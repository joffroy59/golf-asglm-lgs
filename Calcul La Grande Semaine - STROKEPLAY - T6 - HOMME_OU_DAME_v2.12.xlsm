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66BA2758-F35D-49EA-8582-5E81D1374CF7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77" i="4" l="1"/>
  <c r="AK77" i="4" s="1"/>
  <c r="AD77" i="4"/>
  <c r="AJ77" i="4" s="1"/>
  <c r="AJ75" i="4"/>
  <c r="AE75" i="4"/>
  <c r="AK75" i="4" s="1"/>
  <c r="AD75" i="4"/>
  <c r="AE74" i="4"/>
  <c r="AK74" i="4" s="1"/>
  <c r="AD74" i="4"/>
  <c r="AJ74" i="4" s="1"/>
  <c r="AE76" i="4"/>
  <c r="AK76" i="4" s="1"/>
  <c r="AD76" i="4"/>
  <c r="AJ76" i="4" s="1"/>
  <c r="AE73" i="4"/>
  <c r="AK73" i="4" s="1"/>
  <c r="AD73" i="4"/>
  <c r="AJ73" i="4" s="1"/>
  <c r="AE71" i="4"/>
  <c r="AK71" i="4" s="1"/>
  <c r="AD71" i="4"/>
  <c r="AJ71" i="4" s="1"/>
  <c r="AE63" i="4"/>
  <c r="AK63" i="4" s="1"/>
  <c r="AD63" i="4"/>
  <c r="AJ63" i="4" s="1"/>
  <c r="AJ69" i="4"/>
  <c r="AE69" i="4"/>
  <c r="AK69" i="4" s="1"/>
  <c r="AD69" i="4"/>
  <c r="AE68" i="4"/>
  <c r="AK68" i="4" s="1"/>
  <c r="AD68" i="4"/>
  <c r="AJ68" i="4" s="1"/>
  <c r="AE61" i="4"/>
  <c r="AK61" i="4" s="1"/>
  <c r="AD61" i="4"/>
  <c r="AJ61" i="4" s="1"/>
  <c r="AE72" i="4"/>
  <c r="AK72" i="4" s="1"/>
  <c r="AD72" i="4"/>
  <c r="AJ72" i="4" s="1"/>
  <c r="AE64" i="4"/>
  <c r="AK64" i="4" s="1"/>
  <c r="AD64" i="4"/>
  <c r="AJ64" i="4" s="1"/>
  <c r="AE62" i="4"/>
  <c r="AK62" i="4" s="1"/>
  <c r="AD62" i="4"/>
  <c r="AJ62" i="4" s="1"/>
  <c r="AE65" i="4"/>
  <c r="AK65" i="4" s="1"/>
  <c r="AD65" i="4"/>
  <c r="AJ65" i="4" s="1"/>
  <c r="AE70" i="4"/>
  <c r="AK70" i="4" s="1"/>
  <c r="AD70" i="4"/>
  <c r="AJ70" i="4" s="1"/>
  <c r="AE59" i="4"/>
  <c r="AK59" i="4" s="1"/>
  <c r="AD59" i="4"/>
  <c r="AJ59" i="4" s="1"/>
  <c r="AE67" i="4"/>
  <c r="AK67" i="4" s="1"/>
  <c r="AD67" i="4"/>
  <c r="AJ67" i="4" s="1"/>
  <c r="AE56" i="4"/>
  <c r="AK56" i="4" s="1"/>
  <c r="AD56" i="4"/>
  <c r="AJ56" i="4" s="1"/>
  <c r="AE60" i="4"/>
  <c r="AK60" i="4" s="1"/>
  <c r="AD60" i="4"/>
  <c r="AJ60" i="4" s="1"/>
  <c r="AE66" i="4"/>
  <c r="AK66" i="4" s="1"/>
  <c r="AD66" i="4"/>
  <c r="AJ66" i="4" s="1"/>
  <c r="AE58" i="4"/>
  <c r="AK58" i="4" s="1"/>
  <c r="AD58" i="4"/>
  <c r="AJ58" i="4" s="1"/>
  <c r="AE57" i="4"/>
  <c r="AK57" i="4" s="1"/>
  <c r="AD57" i="4"/>
  <c r="AJ57" i="4" s="1"/>
  <c r="AE53" i="4"/>
  <c r="AK53" i="4" s="1"/>
  <c r="AD53" i="4"/>
  <c r="AJ53" i="4" s="1"/>
  <c r="AE55" i="4"/>
  <c r="AK55" i="4" s="1"/>
  <c r="AD55" i="4"/>
  <c r="AJ55" i="4" s="1"/>
  <c r="AE52" i="4"/>
  <c r="AK52" i="4" s="1"/>
  <c r="AD52" i="4"/>
  <c r="AJ52" i="4" s="1"/>
  <c r="AE54" i="4"/>
  <c r="AK54" i="4" s="1"/>
  <c r="AD54" i="4"/>
  <c r="AJ54" i="4" s="1"/>
  <c r="AE51" i="4"/>
  <c r="AK51" i="4" s="1"/>
  <c r="AD51" i="4"/>
  <c r="AJ51" i="4" s="1"/>
  <c r="AE47" i="4"/>
  <c r="AK47" i="4" s="1"/>
  <c r="AD47" i="4"/>
  <c r="AJ47" i="4" s="1"/>
  <c r="AE43" i="4"/>
  <c r="AK43" i="4" s="1"/>
  <c r="AD43" i="4"/>
  <c r="AJ43" i="4" s="1"/>
  <c r="AE50" i="4"/>
  <c r="AK50" i="4" s="1"/>
  <c r="AD50" i="4"/>
  <c r="AJ50" i="4" s="1"/>
  <c r="AE44" i="4"/>
  <c r="AK44" i="4" s="1"/>
  <c r="AD44" i="4"/>
  <c r="AJ44" i="4" s="1"/>
  <c r="AE45" i="4"/>
  <c r="AK45" i="4" s="1"/>
  <c r="AD45" i="4"/>
  <c r="AJ45" i="4" s="1"/>
  <c r="AE48" i="4"/>
  <c r="AK48" i="4" s="1"/>
  <c r="AD48" i="4"/>
  <c r="AJ48" i="4" s="1"/>
  <c r="AE36" i="4"/>
  <c r="AK36" i="4" s="1"/>
  <c r="AD36" i="4"/>
  <c r="AJ36" i="4" s="1"/>
  <c r="AE49" i="4"/>
  <c r="AK49" i="4" s="1"/>
  <c r="AD49" i="4"/>
  <c r="AJ49" i="4" s="1"/>
  <c r="AE42" i="4"/>
  <c r="AK42" i="4" s="1"/>
  <c r="AD42" i="4"/>
  <c r="AJ42" i="4" s="1"/>
  <c r="AE40" i="4"/>
  <c r="AK40" i="4" s="1"/>
  <c r="AD40" i="4"/>
  <c r="AJ40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46" i="4"/>
  <c r="AK46" i="4" s="1"/>
  <c r="AD46" i="4"/>
  <c r="AJ46" i="4" s="1"/>
  <c r="AE39" i="4"/>
  <c r="AK39" i="4" s="1"/>
  <c r="AD39" i="4"/>
  <c r="AJ39" i="4" s="1"/>
  <c r="AE35" i="4"/>
  <c r="AK35" i="4" s="1"/>
  <c r="AD35" i="4"/>
  <c r="AJ35" i="4" s="1"/>
  <c r="AE27" i="4"/>
  <c r="AK27" i="4" s="1"/>
  <c r="AD27" i="4"/>
  <c r="AJ27" i="4" s="1"/>
  <c r="AE38" i="4"/>
  <c r="AK38" i="4" s="1"/>
  <c r="AD38" i="4"/>
  <c r="AJ38" i="4" s="1"/>
  <c r="AE37" i="4"/>
  <c r="AK37" i="4" s="1"/>
  <c r="AD37" i="4"/>
  <c r="AJ37" i="4" s="1"/>
  <c r="AE22" i="4"/>
  <c r="AK22" i="4" s="1"/>
  <c r="AD22" i="4"/>
  <c r="AJ22" i="4" s="1"/>
  <c r="AE41" i="4"/>
  <c r="AK41" i="4" s="1"/>
  <c r="AD41" i="4"/>
  <c r="AJ41" i="4" s="1"/>
  <c r="AE30" i="4"/>
  <c r="AK30" i="4" s="1"/>
  <c r="AD30" i="4"/>
  <c r="AJ30" i="4" s="1"/>
  <c r="AE29" i="4"/>
  <c r="AK29" i="4" s="1"/>
  <c r="AD29" i="4"/>
  <c r="AJ29" i="4" s="1"/>
  <c r="AE34" i="4"/>
  <c r="AK34" i="4" s="1"/>
  <c r="AD34" i="4"/>
  <c r="AJ34" i="4" s="1"/>
  <c r="AE28" i="4"/>
  <c r="AK28" i="4" s="1"/>
  <c r="AD28" i="4"/>
  <c r="AJ28" i="4" s="1"/>
  <c r="AE21" i="4"/>
  <c r="AK21" i="4" s="1"/>
  <c r="AD21" i="4"/>
  <c r="AJ21" i="4" s="1"/>
  <c r="AE26" i="4"/>
  <c r="AK26" i="4" s="1"/>
  <c r="AD26" i="4"/>
  <c r="AJ26" i="4" s="1"/>
  <c r="AE24" i="4"/>
  <c r="AK24" i="4" s="1"/>
  <c r="AD24" i="4"/>
  <c r="AJ24" i="4" s="1"/>
  <c r="AE25" i="4"/>
  <c r="AK25" i="4" s="1"/>
  <c r="AD25" i="4"/>
  <c r="AJ25" i="4" s="1"/>
  <c r="AE23" i="4"/>
  <c r="AK23" i="4" s="1"/>
  <c r="AD23" i="4"/>
  <c r="AJ23" i="4" s="1"/>
  <c r="AE17" i="4"/>
  <c r="AK17" i="4" s="1"/>
  <c r="AD17" i="4"/>
  <c r="AJ17" i="4" s="1"/>
  <c r="AE14" i="4"/>
  <c r="AK14" i="4" s="1"/>
  <c r="AD14" i="4"/>
  <c r="AJ14" i="4" s="1"/>
  <c r="AE19" i="4"/>
  <c r="AK19" i="4" s="1"/>
  <c r="AD19" i="4"/>
  <c r="AJ19" i="4" s="1"/>
  <c r="AE18" i="4"/>
  <c r="AK18" i="4" s="1"/>
  <c r="AD18" i="4"/>
  <c r="AJ18" i="4" s="1"/>
  <c r="AE13" i="4"/>
  <c r="AK13" i="4" s="1"/>
  <c r="AD13" i="4"/>
  <c r="AJ13" i="4" s="1"/>
  <c r="AE15" i="4"/>
  <c r="AK15" i="4" s="1"/>
  <c r="AD15" i="4"/>
  <c r="AJ15" i="4" s="1"/>
  <c r="AE11" i="4"/>
  <c r="AK11" i="4" s="1"/>
  <c r="AD11" i="4"/>
  <c r="AJ11" i="4" s="1"/>
  <c r="AE16" i="4"/>
  <c r="AK16" i="4" s="1"/>
  <c r="AD16" i="4"/>
  <c r="AJ16" i="4" s="1"/>
  <c r="AE9" i="4"/>
  <c r="AK9" i="4" s="1"/>
  <c r="AD9" i="4"/>
  <c r="AJ9" i="4" s="1"/>
  <c r="AE12" i="4"/>
  <c r="AK12" i="4" s="1"/>
  <c r="AD12" i="4"/>
  <c r="AJ12" i="4" s="1"/>
  <c r="AE20" i="4"/>
  <c r="AK20" i="4" s="1"/>
  <c r="AD20" i="4"/>
  <c r="AJ20" i="4" s="1"/>
  <c r="AE6" i="4"/>
  <c r="AK6" i="4" s="1"/>
  <c r="AD6" i="4"/>
  <c r="AJ6" i="4" s="1"/>
  <c r="AE5" i="4"/>
  <c r="AK5" i="4" s="1"/>
  <c r="AD5" i="4"/>
  <c r="AJ5" i="4" s="1"/>
  <c r="AE8" i="4"/>
  <c r="AK8" i="4" s="1"/>
  <c r="AD8" i="4"/>
  <c r="AJ8" i="4" s="1"/>
  <c r="AE10" i="4"/>
  <c r="AK10" i="4" s="1"/>
  <c r="AD10" i="4"/>
  <c r="AJ10" i="4" s="1"/>
  <c r="AE7" i="4"/>
  <c r="AK7" i="4" s="1"/>
  <c r="AD7" i="4"/>
  <c r="AJ7" i="4" s="1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78" i="4"/>
  <c r="AK78" i="4" s="1"/>
  <c r="AD78" i="4"/>
  <c r="AJ78" i="4" s="1"/>
  <c r="AE21" i="5"/>
  <c r="AK21" i="5" s="1"/>
  <c r="AD21" i="5"/>
  <c r="AJ21" i="5" s="1"/>
  <c r="AE135" i="4"/>
  <c r="AK135" i="4" s="1"/>
  <c r="AD135" i="4"/>
  <c r="AJ135" i="4" s="1"/>
  <c r="AE130" i="4"/>
  <c r="AK130" i="4" s="1"/>
  <c r="AD130" i="4"/>
  <c r="AJ130" i="4" s="1"/>
  <c r="AE108" i="4"/>
  <c r="AK108" i="4" s="1"/>
  <c r="AD108" i="4"/>
  <c r="AJ108" i="4" s="1"/>
  <c r="AE180" i="4"/>
  <c r="AK180" i="4" s="1"/>
  <c r="AD180" i="4"/>
  <c r="AJ180" i="4" s="1"/>
  <c r="AE118" i="4"/>
  <c r="AK118" i="4" s="1"/>
  <c r="AD118" i="4"/>
  <c r="AJ118" i="4" s="1"/>
  <c r="AE112" i="4"/>
  <c r="AK112" i="4" s="1"/>
  <c r="AD112" i="4"/>
  <c r="AJ112" i="4" s="1"/>
  <c r="AE113" i="4"/>
  <c r="AK113" i="4" s="1"/>
  <c r="AD113" i="4"/>
  <c r="AJ113" i="4" s="1"/>
  <c r="AE131" i="4"/>
  <c r="AK131" i="4" s="1"/>
  <c r="AD131" i="4"/>
  <c r="AJ131" i="4" s="1"/>
  <c r="AE127" i="4"/>
  <c r="AK127" i="4" s="1"/>
  <c r="AD127" i="4"/>
  <c r="AJ127" i="4" s="1"/>
  <c r="AE132" i="4"/>
  <c r="AK132" i="4" s="1"/>
  <c r="AD132" i="4"/>
  <c r="AJ132" i="4" s="1"/>
  <c r="AE153" i="4"/>
  <c r="AK153" i="4" s="1"/>
  <c r="AD153" i="4"/>
  <c r="AJ153" i="4" s="1"/>
  <c r="AE110" i="4"/>
  <c r="AK110" i="4" s="1"/>
  <c r="AD110" i="4"/>
  <c r="AJ110" i="4" s="1"/>
  <c r="AE117" i="4"/>
  <c r="AK117" i="4" s="1"/>
  <c r="AD117" i="4"/>
  <c r="AJ117" i="4" s="1"/>
  <c r="AE124" i="4"/>
  <c r="AK124" i="4" s="1"/>
  <c r="AD124" i="4"/>
  <c r="AJ124" i="4" s="1"/>
  <c r="AE162" i="4"/>
  <c r="AK162" i="4" s="1"/>
  <c r="AD162" i="4"/>
  <c r="AJ162" i="4" s="1"/>
  <c r="AE158" i="4"/>
  <c r="AK158" i="4" s="1"/>
  <c r="AD158" i="4"/>
  <c r="AJ158" i="4" s="1"/>
  <c r="AE133" i="4"/>
  <c r="AK133" i="4" s="1"/>
  <c r="AD133" i="4"/>
  <c r="AJ133" i="4" s="1"/>
  <c r="AE176" i="4"/>
  <c r="AK176" i="4" s="1"/>
  <c r="AD176" i="4"/>
  <c r="AJ176" i="4" s="1"/>
  <c r="AE175" i="4"/>
  <c r="AK175" i="4" s="1"/>
  <c r="AD175" i="4"/>
  <c r="AJ175" i="4" s="1"/>
  <c r="AE102" i="4"/>
  <c r="AK102" i="4" s="1"/>
  <c r="AD102" i="4"/>
  <c r="AJ102" i="4" s="1"/>
  <c r="AE155" i="4"/>
  <c r="AK155" i="4" s="1"/>
  <c r="AD155" i="4"/>
  <c r="AJ155" i="4" s="1"/>
  <c r="AE179" i="4"/>
  <c r="AK179" i="4" s="1"/>
  <c r="AD179" i="4"/>
  <c r="AJ179" i="4" s="1"/>
  <c r="AE94" i="4"/>
  <c r="AK94" i="4" s="1"/>
  <c r="AD94" i="4"/>
  <c r="AJ94" i="4" s="1"/>
  <c r="AE147" i="4"/>
  <c r="AK147" i="4" s="1"/>
  <c r="AD147" i="4"/>
  <c r="AJ147" i="4" s="1"/>
  <c r="AE122" i="4"/>
  <c r="AK122" i="4" s="1"/>
  <c r="AD122" i="4"/>
  <c r="AJ122" i="4" s="1"/>
  <c r="AE178" i="4"/>
  <c r="AK178" i="4" s="1"/>
  <c r="AD178" i="4"/>
  <c r="AJ178" i="4" s="1"/>
  <c r="AE95" i="4"/>
  <c r="AK95" i="4" s="1"/>
  <c r="AD95" i="4"/>
  <c r="AJ95" i="4" s="1"/>
  <c r="AE92" i="4"/>
  <c r="AK92" i="4" s="1"/>
  <c r="AD92" i="4"/>
  <c r="AJ92" i="4" s="1"/>
  <c r="AE91" i="4"/>
  <c r="AK91" i="4" s="1"/>
  <c r="AD91" i="4"/>
  <c r="AJ91" i="4" s="1"/>
  <c r="AE85" i="4"/>
  <c r="AK85" i="4" s="1"/>
  <c r="AD85" i="4"/>
  <c r="AJ85" i="4" s="1"/>
  <c r="AE141" i="4"/>
  <c r="AK141" i="4" s="1"/>
  <c r="AD141" i="4"/>
  <c r="AJ141" i="4" s="1"/>
  <c r="AE90" i="4"/>
  <c r="AK90" i="4" s="1"/>
  <c r="AD90" i="4"/>
  <c r="AJ90" i="4" s="1"/>
  <c r="AE99" i="4"/>
  <c r="AK99" i="4" s="1"/>
  <c r="AD99" i="4"/>
  <c r="AJ99" i="4" s="1"/>
  <c r="AE144" i="4"/>
  <c r="AK144" i="4" s="1"/>
  <c r="AD144" i="4"/>
  <c r="AJ144" i="4" s="1"/>
  <c r="AE168" i="4"/>
  <c r="AK168" i="4" s="1"/>
  <c r="AD168" i="4"/>
  <c r="AJ168" i="4" s="1"/>
  <c r="AE87" i="4"/>
  <c r="AK87" i="4" s="1"/>
  <c r="AD87" i="4"/>
  <c r="AJ87" i="4" s="1"/>
  <c r="AE146" i="4"/>
  <c r="AK146" i="4" s="1"/>
  <c r="AD146" i="4"/>
  <c r="AJ146" i="4" s="1"/>
  <c r="AE86" i="4"/>
  <c r="AK86" i="4" s="1"/>
  <c r="AD86" i="4"/>
  <c r="AJ86" i="4" s="1"/>
  <c r="AE174" i="4"/>
  <c r="AK174" i="4" s="1"/>
  <c r="AD174" i="4"/>
  <c r="AJ174" i="4" s="1"/>
  <c r="AE177" i="4"/>
  <c r="AK177" i="4" s="1"/>
  <c r="AD177" i="4"/>
  <c r="AJ177" i="4" s="1"/>
  <c r="AE173" i="4"/>
  <c r="AK173" i="4" s="1"/>
  <c r="AD173" i="4"/>
  <c r="AJ173" i="4" s="1"/>
  <c r="AE172" i="4"/>
  <c r="AK172" i="4" s="1"/>
  <c r="AD172" i="4"/>
  <c r="AJ172" i="4" s="1"/>
  <c r="AE166" i="4"/>
  <c r="AK166" i="4" s="1"/>
  <c r="AD166" i="4"/>
  <c r="AJ166" i="4" s="1"/>
  <c r="AE165" i="4"/>
  <c r="AK165" i="4" s="1"/>
  <c r="AD165" i="4"/>
  <c r="AJ165" i="4" s="1"/>
  <c r="AE28" i="5"/>
  <c r="AK28" i="5" s="1"/>
  <c r="AD28" i="5"/>
  <c r="AJ28" i="5" s="1"/>
  <c r="AE33" i="5"/>
  <c r="AK33" i="5" s="1"/>
  <c r="AD33" i="5"/>
  <c r="AJ33" i="5" s="1"/>
  <c r="AE30" i="5"/>
  <c r="AK30" i="5" s="1"/>
  <c r="AD30" i="5"/>
  <c r="AJ30" i="5" s="1"/>
  <c r="AE23" i="5"/>
  <c r="AK23" i="5" s="1"/>
  <c r="AD23" i="5"/>
  <c r="AJ23" i="5" s="1"/>
  <c r="AE27" i="5"/>
  <c r="AK27" i="5" s="1"/>
  <c r="AD27" i="5"/>
  <c r="AJ27" i="5" s="1"/>
  <c r="AE25" i="5"/>
  <c r="AK25" i="5" s="1"/>
  <c r="AD25" i="5"/>
  <c r="AJ25" i="5" s="1"/>
  <c r="AE31" i="5"/>
  <c r="AK31" i="5" s="1"/>
  <c r="AD31" i="5"/>
  <c r="AJ31" i="5" s="1"/>
  <c r="AE160" i="4"/>
  <c r="AK160" i="4" s="1"/>
  <c r="AD160" i="4"/>
  <c r="AJ160" i="4" s="1"/>
  <c r="AE159" i="4"/>
  <c r="AK159" i="4" s="1"/>
  <c r="AD159" i="4"/>
  <c r="AJ159" i="4" s="1"/>
  <c r="AE116" i="4"/>
  <c r="AK116" i="4" s="1"/>
  <c r="AD116" i="4"/>
  <c r="AJ116" i="4" s="1"/>
  <c r="AE114" i="4"/>
  <c r="AK114" i="4" s="1"/>
  <c r="AD114" i="4"/>
  <c r="AJ114" i="4" s="1"/>
  <c r="AE101" i="4"/>
  <c r="AK101" i="4" s="1"/>
  <c r="AD101" i="4"/>
  <c r="AJ101" i="4" s="1"/>
  <c r="AE96" i="4"/>
  <c r="AK96" i="4" s="1"/>
  <c r="AD96" i="4"/>
  <c r="AJ96" i="4" s="1"/>
  <c r="AE148" i="4"/>
  <c r="AK148" i="4" s="1"/>
  <c r="AD148" i="4"/>
  <c r="AJ148" i="4" s="1"/>
  <c r="AE89" i="4"/>
  <c r="AK89" i="4" s="1"/>
  <c r="AD89" i="4"/>
  <c r="AJ89" i="4" s="1"/>
  <c r="AE84" i="4"/>
  <c r="AK84" i="4" s="1"/>
  <c r="AD84" i="4"/>
  <c r="AJ84" i="4" s="1"/>
  <c r="AE93" i="4"/>
  <c r="AK93" i="4" s="1"/>
  <c r="AD93" i="4"/>
  <c r="AJ93" i="4" s="1"/>
  <c r="AE170" i="4"/>
  <c r="AK170" i="4" s="1"/>
  <c r="AD170" i="4"/>
  <c r="AJ170" i="4" s="1"/>
  <c r="AE83" i="4"/>
  <c r="AK83" i="4" s="1"/>
  <c r="AD83" i="4"/>
  <c r="AJ83" i="4" s="1"/>
  <c r="AE121" i="4"/>
  <c r="AK121" i="4" s="1"/>
  <c r="AD121" i="4"/>
  <c r="AJ121" i="4" s="1"/>
  <c r="AE138" i="4"/>
  <c r="AK138" i="4" s="1"/>
  <c r="AD138" i="4"/>
  <c r="AJ138" i="4" s="1"/>
  <c r="AE80" i="4"/>
  <c r="AK80" i="4" s="1"/>
  <c r="AD80" i="4"/>
  <c r="AJ80" i="4" s="1"/>
  <c r="AE120" i="4"/>
  <c r="AK120" i="4" s="1"/>
  <c r="AD120" i="4"/>
  <c r="AJ120" i="4" s="1"/>
  <c r="AE154" i="4"/>
  <c r="AK154" i="4" s="1"/>
  <c r="AD154" i="4"/>
  <c r="AJ154" i="4" s="1"/>
  <c r="AE171" i="4"/>
  <c r="AK171" i="4" s="1"/>
  <c r="AD171" i="4"/>
  <c r="AJ171" i="4" s="1"/>
  <c r="AE163" i="4"/>
  <c r="AK163" i="4" s="1"/>
  <c r="AD163" i="4"/>
  <c r="AJ163" i="4" s="1"/>
  <c r="AE129" i="4"/>
  <c r="AK129" i="4" s="1"/>
  <c r="AD129" i="4"/>
  <c r="AJ129" i="4" s="1"/>
  <c r="AE156" i="4"/>
  <c r="AK156" i="4" s="1"/>
  <c r="AD156" i="4"/>
  <c r="AJ156" i="4" s="1"/>
  <c r="AE88" i="4"/>
  <c r="AK88" i="4" s="1"/>
  <c r="AD88" i="4"/>
  <c r="AJ88" i="4" s="1"/>
  <c r="AE123" i="4"/>
  <c r="AK123" i="4" s="1"/>
  <c r="AD123" i="4"/>
  <c r="AJ123" i="4" s="1"/>
  <c r="AE145" i="4"/>
  <c r="AK145" i="4" s="1"/>
  <c r="AD145" i="4"/>
  <c r="AJ145" i="4" s="1"/>
  <c r="AE142" i="4"/>
  <c r="AK142" i="4" s="1"/>
  <c r="AD142" i="4"/>
  <c r="AJ142" i="4" s="1"/>
  <c r="AE169" i="4"/>
  <c r="AK169" i="4" s="1"/>
  <c r="AD169" i="4"/>
  <c r="AJ169" i="4" s="1"/>
  <c r="AE136" i="4"/>
  <c r="AK136" i="4" s="1"/>
  <c r="AD136" i="4"/>
  <c r="AJ136" i="4" s="1"/>
  <c r="AE167" i="4"/>
  <c r="AK167" i="4" s="1"/>
  <c r="AD167" i="4"/>
  <c r="AJ167" i="4" s="1"/>
  <c r="AE24" i="5"/>
  <c r="AK24" i="5" s="1"/>
  <c r="AD24" i="5"/>
  <c r="AJ24" i="5" s="1"/>
  <c r="AE164" i="4"/>
  <c r="AK164" i="4" s="1"/>
  <c r="AD164" i="4"/>
  <c r="AJ164" i="4" s="1"/>
  <c r="AE161" i="4"/>
  <c r="AK161" i="4" s="1"/>
  <c r="AD161" i="4"/>
  <c r="AJ161" i="4" s="1"/>
  <c r="AE157" i="4"/>
  <c r="AK157" i="4" s="1"/>
  <c r="AD157" i="4"/>
  <c r="AJ157" i="4" s="1"/>
  <c r="AE104" i="4"/>
  <c r="AK104" i="4" s="1"/>
  <c r="AD104" i="4"/>
  <c r="AJ104" i="4" s="1"/>
  <c r="AE115" i="4"/>
  <c r="AK115" i="4" s="1"/>
  <c r="AD115" i="4"/>
  <c r="AJ115" i="4" s="1"/>
  <c r="AE152" i="4"/>
  <c r="AK152" i="4" s="1"/>
  <c r="AD152" i="4"/>
  <c r="AJ152" i="4" s="1"/>
  <c r="AE97" i="4"/>
  <c r="AK97" i="4" s="1"/>
  <c r="AD97" i="4"/>
  <c r="AJ97" i="4" s="1"/>
  <c r="AE149" i="4"/>
  <c r="AK149" i="4" s="1"/>
  <c r="AD149" i="4"/>
  <c r="AJ149" i="4" s="1"/>
  <c r="AE151" i="4"/>
  <c r="AK151" i="4" s="1"/>
  <c r="AD151" i="4"/>
  <c r="AJ151" i="4" s="1"/>
  <c r="AE150" i="4"/>
  <c r="AK150" i="4" s="1"/>
  <c r="AD150" i="4"/>
  <c r="AJ150" i="4" s="1"/>
  <c r="AE143" i="4"/>
  <c r="AK143" i="4" s="1"/>
  <c r="AD143" i="4"/>
  <c r="AJ143" i="4" s="1"/>
  <c r="AE81" i="4"/>
  <c r="AK81" i="4" s="1"/>
  <c r="AD81" i="4"/>
  <c r="AJ81" i="4" s="1"/>
  <c r="AE139" i="4"/>
  <c r="AK139" i="4" s="1"/>
  <c r="AD139" i="4"/>
  <c r="AJ139" i="4" s="1"/>
  <c r="AE140" i="4"/>
  <c r="AK140" i="4" s="1"/>
  <c r="AD140" i="4"/>
  <c r="AJ140" i="4" s="1"/>
  <c r="AE137" i="4"/>
  <c r="AK137" i="4" s="1"/>
  <c r="AD137" i="4"/>
  <c r="AJ137" i="4" s="1"/>
  <c r="AE29" i="5"/>
  <c r="AK29" i="5" s="1"/>
  <c r="AD29" i="5"/>
  <c r="AJ29" i="5" s="1"/>
  <c r="AE32" i="5"/>
  <c r="AK32" i="5" s="1"/>
  <c r="AD32" i="5"/>
  <c r="AJ32" i="5" s="1"/>
  <c r="AE134" i="4"/>
  <c r="AK134" i="4" s="1"/>
  <c r="AD134" i="4"/>
  <c r="AJ134" i="4" s="1"/>
  <c r="AE107" i="4"/>
  <c r="AK107" i="4" s="1"/>
  <c r="AD107" i="4"/>
  <c r="AJ107" i="4" s="1"/>
  <c r="AE126" i="4"/>
  <c r="AK126" i="4" s="1"/>
  <c r="AD126" i="4"/>
  <c r="AJ126" i="4" s="1"/>
  <c r="AE128" i="4"/>
  <c r="AK128" i="4" s="1"/>
  <c r="AD128" i="4"/>
  <c r="AJ128" i="4" s="1"/>
  <c r="AE125" i="4"/>
  <c r="AK125" i="4" s="1"/>
  <c r="AD125" i="4"/>
  <c r="AJ125" i="4" s="1"/>
  <c r="AE82" i="4"/>
  <c r="AK82" i="4" s="1"/>
  <c r="AD82" i="4"/>
  <c r="AJ82" i="4" s="1"/>
  <c r="AE79" i="4"/>
  <c r="AK79" i="4" s="1"/>
  <c r="AD79" i="4"/>
  <c r="AJ79" i="4" s="1"/>
  <c r="AE26" i="5"/>
  <c r="AK26" i="5" s="1"/>
  <c r="AD26" i="5"/>
  <c r="AJ26" i="5" s="1"/>
  <c r="AE105" i="4"/>
  <c r="AK105" i="4" s="1"/>
  <c r="AD105" i="4"/>
  <c r="AJ105" i="4" s="1"/>
  <c r="AE119" i="4"/>
  <c r="AK119" i="4" s="1"/>
  <c r="AD119" i="4"/>
  <c r="AJ119" i="4" s="1"/>
  <c r="AE106" i="4"/>
  <c r="AK106" i="4" s="1"/>
  <c r="AD106" i="4"/>
  <c r="AJ106" i="4" s="1"/>
  <c r="AE109" i="4"/>
  <c r="AK109" i="4" s="1"/>
  <c r="AD109" i="4"/>
  <c r="AJ109" i="4" s="1"/>
  <c r="AE111" i="4"/>
  <c r="AK111" i="4" s="1"/>
  <c r="AD111" i="4"/>
  <c r="AJ111" i="4" s="1"/>
  <c r="AE103" i="4"/>
  <c r="AK103" i="4" s="1"/>
  <c r="AD103" i="4"/>
  <c r="AJ103" i="4" s="1"/>
  <c r="AE100" i="4"/>
  <c r="AK100" i="4" s="1"/>
  <c r="AD100" i="4"/>
  <c r="AJ100" i="4" s="1"/>
  <c r="AE98" i="4"/>
  <c r="AK98" i="4" s="1"/>
  <c r="AD98" i="4"/>
  <c r="AJ98" i="4" s="1"/>
  <c r="AE22" i="5"/>
  <c r="AK22" i="5" s="1"/>
  <c r="AD22" i="5"/>
  <c r="AJ22" i="5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<sst xmlns="http://schemas.openxmlformats.org/spreadsheetml/2006/main" count="167" uniqueCount="102">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</sst>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9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Border="1" applyAlignment="1">
      <alignment horizontal="center"/>
    </xf>
    <xf numFmtId="0" fontId="0" fillId="5" borderId="0" xfId="0" applyFill="1" applyBorder="1"/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Border="1" applyAlignment="1">
      <alignment horizontal="right"/>
    </xf>
  </cellXfs>
  <cellStyles count="1">
    <cellStyle name="Normal" xfId="0" builtinId="0"/>
  </cellStyles>
  <dxfs count="8964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3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7E1CA66-34DB-41C3-8A4B-DD48FE44BEF8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324972</xdr:colOff>
          <xdr:row>5</xdr:row>
          <xdr:rowOff>246528</xdr:rowOff>
        </xdr:from>
        <xdr:to>
          <xdr:col>3</xdr:col>
          <xdr:colOff>1400737</xdr:colOff>
          <xdr:row>7</xdr:row>
          <xdr:rowOff>100852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1C89CA40-FCBD-F7D6-9A7E-1D685C0F1CB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5717B1D1-2CA1-4420-9CA2-98C4A93EB9C2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1"/>
          <a:chOff x="8439150" y="1257300"/>
          <a:chExt cx="4581526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13"/>
            <a:ext cx="4533903" cy="1200138"/>
            <a:chOff x="7698064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1" cy="342898"/>
              <a:chOff x="7724775" y="1535062"/>
              <a:chExt cx="3871271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25" cy="333376"/>
                <a:chOff x="7724775" y="1544583"/>
                <a:chExt cx="1790725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25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8" y="1535062"/>
                <a:ext cx="1596278" cy="342898"/>
                <a:chOff x="9999768" y="1535062"/>
                <a:chExt cx="1596278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8" y="1535062"/>
                      <a:ext cx="1596278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100854</xdr:colOff>
          <xdr:row>9</xdr:row>
          <xdr:rowOff>66675</xdr:rowOff>
        </xdr:from>
        <xdr:to>
          <xdr:col>3</xdr:col>
          <xdr:colOff>1672479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8963" tableBorderDxfId="8962">
  <tableColumns count="4">
    <tableColumn id="1" xr3:uid="{86185E31-EC52-4ECC-BC3E-33C26B14F7C2}" name="Series" dataDxfId="8961">
      <calculatedColumnFormula>_xlfn.CONCAT($V$7," ",V8)</calculatedColumnFormula>
    </tableColumn>
    <tableColumn id="2" xr3:uid="{788D8AF7-A2FF-4152-9FEC-3D734C94A926}" name="Serie" dataDxfId="8960"/>
    <tableColumn id="3" xr3:uid="{98F42830-BCA0-414B-9FEF-78FCD5DB348B}" name="indexMin" dataDxfId="8959"/>
    <tableColumn id="4" xr3:uid="{E4B94243-8BBE-45E2-AAC0-0D18C5A6695E}" name="indexMax" dataDxfId="895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8957" dataDxfId="8955" headerRowBorderDxfId="8956" tableBorderDxfId="8954">
  <tableColumns count="1">
    <tableColumn id="1" xr3:uid="{8473C081-0E42-4FA9-8C99-E5B7E8CD3209}" name="Tours" dataDxfId="895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8952" headerRowBorderDxfId="8951" tableBorderDxfId="8950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8949" dataDxfId="8948" tableBorderDxfId="8947">
  <autoFilter ref="D12:F13" xr:uid="{FCA0E9AA-8BD9-46EB-B07B-67F06EACCB48}"/>
  <tableColumns count="3">
    <tableColumn id="1" xr3:uid="{47561816-2B53-47F6-822E-269C476F3FFD}" name="Tour importé" dataDxfId="8946"/>
    <tableColumn id="2" xr3:uid="{E2C3F515-D8A3-4FC2-B632-32DB6D91A198}" name="Type" dataDxfId="8945">
      <calculatedColumnFormula>INDEX(TableauType[TYPE],Tableau6[[#This Row],[TypeIndex]])</calculatedColumnFormula>
    </tableColumn>
    <tableColumn id="3" xr3:uid="{617E6B65-5E58-4C9B-9DC4-488608A74753}" name="TypeIndex" dataDxfId="894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8943" dataDxfId="8942">
  <autoFilter ref="AD7:AD15" xr:uid="{9029752C-EFC9-4C60-BDF1-B009EF2F440D}"/>
  <tableColumns count="1">
    <tableColumn id="1" xr3:uid="{47EFDC89-116E-4E91-94A2-C4CDC0579100}" name="Fichiers" dataDxfId="89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8940" headerRowBorderDxfId="8939" tableBorderDxfId="8938" totalsRowBorderDxfId="8937">
  <autoFilter ref="U18:V22" xr:uid="{BBFFD128-4797-4BD5-B581-AA8D8277F8F3}"/>
  <tableColumns count="2">
    <tableColumn id="1" xr3:uid="{903026A3-43DC-4900-8F6E-2271BCA97B81}" name="Colonne1" dataDxfId="8936"/>
    <tableColumn id="2" xr3:uid="{C9FC1671-8A12-4C52-9797-E5DB3A7B67E7}" name="Colonne2" dataDxfId="893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8934" tableBorderDxfId="893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8932"/>
    <tableColumn id="2" xr3:uid="{ECBEFB46-CF2E-4172-8E5C-37DBEC25E1AE}" name="Club" dataDxfId="8931"/>
    <tableColumn id="3" xr3:uid="{FBA83F7F-D4E7-4A15-99EC-CE8D436D7EB3}" name="Index" dataDxfId="8930"/>
    <tableColumn id="4" xr3:uid="{0090B21E-C7ED-4CC4-A4C8-7AED1146F2F9}" name="Série" dataDxfId="8929"/>
    <tableColumn id="5" xr3:uid="{7D4E8E6A-E590-441A-A2B5-664E220061CC}" name="Score     Net1" dataDxfId="8928"/>
    <tableColumn id="6" xr3:uid="{84241967-A195-4D05-9846-F0E084774539}" name="Rang   Net1" dataDxfId="8927"/>
    <tableColumn id="7" xr3:uid="{F27CD3EA-D421-4623-93DF-5DFCAA423771}" name="Score    Brut1" dataDxfId="8926"/>
    <tableColumn id="8" xr3:uid="{62D1F21B-032A-484B-BC39-395CC4756A54}" name="Rang   Brut1" dataDxfId="8925"/>
    <tableColumn id="9" xr3:uid="{D3289CF1-FAC6-4CC0-B2B6-80CBB0406845}" name="Score      Net2" dataDxfId="8924"/>
    <tableColumn id="10" xr3:uid="{2F18A068-FD19-4313-83C9-0AB3AA88EE3F}" name="Rang      Net2" dataDxfId="8923"/>
    <tableColumn id="11" xr3:uid="{A7248FAA-403B-4BFE-B0D4-859E30DE4A95}" name="Score      Brut2" dataDxfId="8922"/>
    <tableColumn id="12" xr3:uid="{4F6F4506-16A0-4352-A12B-8992CD80B9B6}" name="Rang      Brut2" dataDxfId="8921"/>
    <tableColumn id="13" xr3:uid="{68CAD2A6-712A-4B66-A7A3-D58BF5303438}" name="Score      Net3" dataDxfId="8920"/>
    <tableColumn id="14" xr3:uid="{9F172573-6C25-46FC-BE9F-F56834E813D9}" name="Rang      Net3" dataDxfId="8919"/>
    <tableColumn id="15" xr3:uid="{618A094F-BB99-4883-A19C-4EBA6E699BCF}" name="Score      Brut3" dataDxfId="8918"/>
    <tableColumn id="16" xr3:uid="{0E544C66-61C9-46D5-A427-A9677AE96910}" name="Rang      Brut3" dataDxfId="8917"/>
    <tableColumn id="17" xr3:uid="{24730B87-D2CD-487D-99BD-EACD109C443F}" name="Score        Net4" dataDxfId="8916"/>
    <tableColumn id="18" xr3:uid="{F0B85087-E217-4534-9BC7-B04BDDCCA8B9}" name="Rang        Net4" dataDxfId="8915"/>
    <tableColumn id="19" xr3:uid="{7DDCD1A6-A182-48A1-9F3F-836B917D0B07}" name="Score        Brut4" dataDxfId="8914"/>
    <tableColumn id="20" xr3:uid="{8EABA2E9-9ADA-4192-8BB2-2F58072A8E01}" name="Rang        Brut4" dataDxfId="8913"/>
    <tableColumn id="21" xr3:uid="{79E31DB6-4982-4160-9B1D-20DE3F5E1BB8}" name="Score        Net5" dataDxfId="8912"/>
    <tableColumn id="22" xr3:uid="{DB589AF3-34B3-447A-A354-D474E90FDB4F}" name="Rang        Net5" dataDxfId="8911"/>
    <tableColumn id="23" xr3:uid="{EC9FE005-CE9F-448B-81FE-28EDD1A971F9}" name="Score        Brut5" dataDxfId="8910"/>
    <tableColumn id="24" xr3:uid="{220294A2-C79D-45F3-9AE5-D46451BBF584}" name="Rang        Brut5" dataDxfId="8909"/>
    <tableColumn id="25" xr3:uid="{A772CA9D-C689-4C9F-9855-E6A692839D23}" name="Score        Net6" dataDxfId="8908"/>
    <tableColumn id="26" xr3:uid="{D2589416-857A-4C41-AC6D-96D41817DEC7}" name="Rang        Net6" dataDxfId="8907"/>
    <tableColumn id="27" xr3:uid="{27ADC7D0-24DE-4505-9913-856D8DE338A9}" name="Score        Brut6" dataDxfId="8906"/>
    <tableColumn id="28" xr3:uid="{ABDBDCB4-7B27-49F8-BC7A-7843BC9FF7A5}" name="Rang        Brut6" dataDxfId="8905"/>
    <tableColumn id="29" xr3:uid="{941D9336-449B-439E-B469-314E549EA186}" name="Score Net Max" dataDxfId="8904">
      <calculatedColumnFormula>IF(MIN(F4,J4,N4,R4,V4,Z4)&lt;&gt;0,MIN(F4,J4,N4,R4,V4,Z4),"")</calculatedColumnFormula>
    </tableColumn>
    <tableColumn id="30" xr3:uid="{90574FCA-077D-4C2D-95A6-25042040131A}" name="Score Brut Max" dataDxfId="8903">
      <calculatedColumnFormula>IF(MIN(H4,L4,P4,T4,X4,AB4)&lt;&gt;0,MIN(H4,L4,P4,T4,X4,AB4),"")</calculatedColumnFormula>
    </tableColumn>
    <tableColumn id="31" xr3:uid="{7D46739F-AA9F-4F4C-8559-42672BDC3359}" name="Score Net Finale" dataDxfId="8902"/>
    <tableColumn id="32" xr3:uid="{11EAF1CA-8CD4-40A4-91A3-87D38FCF3433}" name="Rang Net Finale" dataDxfId="8901"/>
    <tableColumn id="33" xr3:uid="{66A96B4D-B263-479C-A036-CA0A68FB1450}" name="Score Brut Finale" dataDxfId="8900"/>
    <tableColumn id="34" xr3:uid="{AB46E898-F45B-460F-A38E-C5A2BFD53000}" name="Rang Brut Finale" dataDxfId="8899"/>
    <tableColumn id="35" xr3:uid="{E7B91838-CDE0-4965-B3BE-53C906009CF4}" name="Score Net LGS" dataDxfId="8898">
      <calculatedColumnFormula>IF(AD4="","",IF(ISBLANK(AF4),"En cours",AD4+AF4))</calculatedColumnFormula>
    </tableColumn>
    <tableColumn id="36" xr3:uid="{2A90CEF2-3F60-4761-BD52-022404B7522C}" name="Score Brut LGS" dataDxfId="889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8896" tableBorderDxfId="8895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8894"/>
    <tableColumn id="2" xr3:uid="{6DF6013E-11A9-4F6E-B527-4EB5242D32FC}" name="Club" dataDxfId="8893"/>
    <tableColumn id="3" xr3:uid="{809481FC-1207-4212-8E64-39319F31B86C}" name="Index" dataDxfId="8892"/>
    <tableColumn id="4" xr3:uid="{61BCE2E5-DC5C-48C2-BA39-6573DBA32351}" name="Série" dataDxfId="8891"/>
    <tableColumn id="5" xr3:uid="{5210E73B-D34C-4FAE-A187-64170B309A2C}" name="Score     Net1" dataDxfId="8890"/>
    <tableColumn id="6" xr3:uid="{0C146610-8133-4769-A4EC-4AF4A9EB4EEA}" name="Rang   Net1" dataDxfId="8889"/>
    <tableColumn id="7" xr3:uid="{DC3B3441-4412-46B5-8015-7E44D9FF0A16}" name="Score    Brut1" dataDxfId="8888"/>
    <tableColumn id="8" xr3:uid="{780A2D1B-C1E0-4E66-A641-80609193E5ED}" name="Rang   Brut1" dataDxfId="8887"/>
    <tableColumn id="9" xr3:uid="{A286DE62-5493-4750-8D3A-4E0268951135}" name="Score      Net2" dataDxfId="8886"/>
    <tableColumn id="10" xr3:uid="{9AA9E923-19AE-4E9C-B03E-6CCB420B0DE0}" name="Rang      Net2" dataDxfId="8885"/>
    <tableColumn id="11" xr3:uid="{13D9FCED-A177-4823-BBF5-CB6BBFD92170}" name="Score      Brut2" dataDxfId="8884"/>
    <tableColumn id="12" xr3:uid="{AE79BCC0-99C9-4A29-85F9-06518743CC41}" name="Rang      Brut2" dataDxfId="8883"/>
    <tableColumn id="13" xr3:uid="{6260EBE1-C4F8-4892-8111-6848B59FFDDC}" name="Score      Net3" dataDxfId="8882"/>
    <tableColumn id="14" xr3:uid="{70D3C91B-53A9-4C67-AA7C-86DB6FCC84EA}" name="Rang      Net3" dataDxfId="8881"/>
    <tableColumn id="15" xr3:uid="{316ABADB-80DF-4341-9456-B07A916EE828}" name="Score      Brut3" dataDxfId="8880"/>
    <tableColumn id="16" xr3:uid="{5F33B9A2-6C2B-44A9-B727-D955FDD7A57E}" name="Rang      Brut3" dataDxfId="8879"/>
    <tableColumn id="17" xr3:uid="{7405128E-0D40-44C5-B3B7-9098CE3F571B}" name="Score        Net4" dataDxfId="8878"/>
    <tableColumn id="18" xr3:uid="{57B1622B-69C7-4A1C-8967-6906A0E60401}" name="Rang        Net4" dataDxfId="8877"/>
    <tableColumn id="19" xr3:uid="{765D8E18-32EC-4D78-B6D5-C889630A0B4D}" name="Score        Brut4" dataDxfId="8876"/>
    <tableColumn id="20" xr3:uid="{F9E9BC2E-A9E0-415E-92F8-F007D70D402D}" name="Rang        Brut4" dataDxfId="8875"/>
    <tableColumn id="21" xr3:uid="{56B8C53B-2683-43AB-BA94-98D12846892B}" name="Score        Net5" dataDxfId="8874"/>
    <tableColumn id="22" xr3:uid="{CEE64EB1-2B37-4BE8-AD6C-F73635777200}" name="Rang        Net5" dataDxfId="8873"/>
    <tableColumn id="23" xr3:uid="{08967303-5AA9-43EB-A7B1-57000258446B}" name="Score        Brut5" dataDxfId="8872"/>
    <tableColumn id="24" xr3:uid="{8200C06D-A6A7-4584-BCE4-DE94947CAA08}" name="Rang        Brut5" dataDxfId="8871"/>
    <tableColumn id="25" xr3:uid="{E363B218-F04E-4259-A65F-BE04FA1C15B3}" name="Score        Net6" dataDxfId="8870"/>
    <tableColumn id="26" xr3:uid="{EC92842C-B321-4087-AA25-F376E0579048}" name="Rang        Net6" dataDxfId="8869"/>
    <tableColumn id="27" xr3:uid="{3EF61377-66C7-4D60-AF65-BAFD2DD291D8}" name="Score        Brut6" dataDxfId="8868"/>
    <tableColumn id="28" xr3:uid="{251BB10E-2B2F-4B4A-8805-D7C49FF7D091}" name="Rang        Brut6" dataDxfId="8867"/>
    <tableColumn id="29" xr3:uid="{937492D8-E20B-486F-B289-5EBB929EA97E}" name="Score Net Max" dataDxfId="8866">
      <calculatedColumnFormula>IF(MIN(F4,J4,N4,R4,V4,Z4)&lt;&gt;0,MIN(F4,J4,N4,R4,V4,Z4),"")</calculatedColumnFormula>
    </tableColumn>
    <tableColumn id="30" xr3:uid="{BFCE7449-4F11-49CA-B00B-6CF4C21DE23E}" name="Score Brut Max" dataDxfId="8865">
      <calculatedColumnFormula>IF(MIN(H4,L4,P4,T4,X4,AB4)&lt;&gt;0,MIN(H4,L4,P4,T4,X4,AB4),"")</calculatedColumnFormula>
    </tableColumn>
    <tableColumn id="31" xr3:uid="{061F8C59-D91F-49DB-89E4-FD5BF5DEA2BE}" name="Score Net Finale" dataDxfId="8864"/>
    <tableColumn id="32" xr3:uid="{47CCF636-B700-4893-BB69-C5F49188A737}" name="Rang Net Finale" dataDxfId="8863"/>
    <tableColumn id="33" xr3:uid="{34BE4EC2-EAC1-40DC-82EA-B21BFA645C43}" name="Score Brut Finale" dataDxfId="8862"/>
    <tableColumn id="34" xr3:uid="{B4CC10FB-AE7D-4F7B-B5E6-A21DFBD43F7A}" name="Rang Brut Finale" dataDxfId="8861"/>
    <tableColumn id="35" xr3:uid="{2A85E5CE-D8F3-4ABA-BB20-EF4EC4E5400C}" name="Score Net LGS" dataDxfId="8860">
      <calculatedColumnFormula>IF(AD4="","",IF(ISBLANK(AF4),"En cours",AD4+AF4))</calculatedColumnFormula>
    </tableColumn>
    <tableColumn id="36" xr3:uid="{E2505702-E088-4E30-97F4-10F7B06362C7}" name="Score Brut LGS" dataDxfId="885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8858" dataDxfId="8857">
  <autoFilter ref="B4:F5" xr:uid="{BEE036B7-08A7-43AF-AC9F-62B639BE2327}"/>
  <tableColumns count="5">
    <tableColumn id="1" xr3:uid="{07F0EE21-57C5-4450-A337-C4E93B37093B}" name="type" dataDxfId="8856"/>
    <tableColumn id="4" xr3:uid="{5D76DE16-D7AC-47BB-8E5C-7D62535B0C45}" name="joueurs" dataDxfId="8855"/>
    <tableColumn id="6" xr3:uid="{AAEF716B-5939-451B-9370-6D6F4B67A6B4}" name="feuille" dataDxfId="8854"/>
    <tableColumn id="2" xr3:uid="{15443A43-A7C3-4E12-8B5A-8DC832EBEFF5}" name="reference" dataDxfId="8853"/>
    <tableColumn id="3" xr3:uid="{C5F94F07-C4F6-41F7-9201-803FDABD5D1F}" name="date" dataDxfId="885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30" sqref="D30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(ALL)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67" t="s">
        <v>81</v>
      </c>
      <c r="Q5" s="168"/>
      <c r="R5" s="16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203" t="s">
        <v>29</v>
      </c>
      <c r="D6" s="204"/>
      <c r="E6" s="208" t="s">
        <v>0</v>
      </c>
      <c r="F6" s="201"/>
      <c r="G6" s="202"/>
      <c r="H6" s="202"/>
      <c r="I6" s="202"/>
      <c r="J6" s="28"/>
      <c r="L6" s="33"/>
      <c r="M6" s="34"/>
      <c r="N6" s="35"/>
      <c r="P6" s="170">
        <f>IF(Tableau6[Type]=INDEX(TableauType[],1),U19,V19)</f>
        <v>0</v>
      </c>
      <c r="Q6" s="171"/>
      <c r="R6" s="17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206"/>
      <c r="E7" s="202"/>
      <c r="F7" s="202"/>
      <c r="G7" s="202"/>
      <c r="H7" s="202"/>
      <c r="I7" s="202"/>
      <c r="J7" s="28"/>
      <c r="L7" s="36"/>
      <c r="M7" s="37"/>
      <c r="N7" s="38"/>
      <c r="P7" s="173" t="str">
        <f>IF(Tableau6[Type]=INDEX(TableauType[],1),U20,V20)</f>
        <v>export_DAME_Net_12.xlsx</v>
      </c>
      <c r="Q7" s="174"/>
      <c r="R7" s="175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205"/>
      <c r="E8" s="202"/>
      <c r="F8" s="201"/>
      <c r="G8" s="202"/>
      <c r="H8" s="202"/>
      <c r="I8" s="202"/>
      <c r="J8" s="28"/>
      <c r="L8" s="49"/>
      <c r="M8" s="50"/>
      <c r="N8" s="51"/>
      <c r="P8" s="176" t="str">
        <f>IF(Tableau6[Type]=INDEX(TableauType[],1),U21,V21)</f>
        <v>export_DAME_Brut_34.xlsx</v>
      </c>
      <c r="Q8" s="177"/>
      <c r="R8" s="178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206"/>
      <c r="E9" s="202"/>
      <c r="F9" s="201"/>
      <c r="G9" s="202"/>
      <c r="H9" s="202"/>
      <c r="I9" s="202"/>
      <c r="J9" s="28"/>
      <c r="L9" s="36"/>
      <c r="M9" s="37"/>
      <c r="N9" s="38"/>
      <c r="P9" s="179" t="str">
        <f>IF(Tableau6[Type]=INDEX(TableauType[],1),U22,V22)</f>
        <v>export_DAME_Net_34.xlsx</v>
      </c>
      <c r="Q9" s="180"/>
      <c r="R9" s="181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207" t="s">
        <v>101</v>
      </c>
      <c r="D10" s="205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ALL</v>
      </c>
      <c r="F13" s="109">
        <v>3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65" t="s">
        <v>1</v>
      </c>
      <c r="C15" s="165"/>
      <c r="D15" s="165"/>
      <c r="E15" s="165"/>
      <c r="F15" s="165"/>
      <c r="G15" s="165"/>
      <c r="H15" s="165"/>
      <c r="I15" s="165"/>
      <c r="K15" s="166" t="s">
        <v>2</v>
      </c>
      <c r="L15" s="166"/>
      <c r="M15" s="166"/>
      <c r="N15" s="166"/>
      <c r="O15" s="166"/>
      <c r="P15" s="166"/>
      <c r="Q15" s="166"/>
      <c r="R15" s="16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62" t="s">
        <v>98</v>
      </c>
      <c r="Y18" s="163"/>
      <c r="Z18" s="163"/>
      <c r="AA18" s="163"/>
      <c r="AB18" s="164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62" t="s">
        <v>99</v>
      </c>
      <c r="Y22" s="163"/>
      <c r="Z22" s="163"/>
      <c r="AA22" s="163"/>
      <c r="AB22" s="16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(ALL)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89" t="s">
        <v>18</v>
      </c>
      <c r="G2" s="190"/>
      <c r="H2" s="190"/>
      <c r="I2" s="191"/>
      <c r="J2" s="192" t="s">
        <v>19</v>
      </c>
      <c r="K2" s="193"/>
      <c r="L2" s="193"/>
      <c r="M2" s="194"/>
      <c r="N2" s="195" t="s">
        <v>20</v>
      </c>
      <c r="O2" s="190"/>
      <c r="P2" s="190"/>
      <c r="Q2" s="191"/>
      <c r="R2" s="192" t="s">
        <v>21</v>
      </c>
      <c r="S2" s="193"/>
      <c r="T2" s="193"/>
      <c r="U2" s="194"/>
      <c r="V2" s="195" t="s">
        <v>22</v>
      </c>
      <c r="W2" s="190"/>
      <c r="X2" s="190"/>
      <c r="Y2" s="191"/>
      <c r="Z2" s="192" t="s">
        <v>23</v>
      </c>
      <c r="AA2" s="193"/>
      <c r="AB2" s="193"/>
      <c r="AC2" s="196"/>
      <c r="AD2" s="182" t="s">
        <v>82</v>
      </c>
      <c r="AE2" s="183"/>
      <c r="AF2" s="184" t="s">
        <v>17</v>
      </c>
      <c r="AG2" s="185"/>
      <c r="AH2" s="185"/>
      <c r="AI2" s="186"/>
      <c r="AJ2" s="187" t="s">
        <v>25</v>
      </c>
      <c r="AK2" s="18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99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200" t="str">
        <f>IF(MIN(F4,J4,N4,R4,V4,Z4)&lt;&gt;0,MIN(F4,J4,N4,R4,V4,Z4),"")</f>
        <v/>
      </c>
      <c r="AE4" s="200" t="str">
        <f>IF(MIN(H4,L4,P4,T4,X4,AB4)&lt;&gt;0,MIN(H4,L4,P4,T4,X4,AB4),"")</f>
        <v/>
      </c>
      <c r="AF4" s="200"/>
      <c r="AG4" s="199"/>
      <c r="AH4" s="200"/>
      <c r="AI4" s="199"/>
      <c r="AJ4" s="161" t="str">
        <f>IF(AD4="","",IF(ISBLANK(AF4),"En cours",AD4+AF4))</f>
        <v/>
      </c>
      <c r="AK4" s="161" t="str">
        <f>IF(AE4="","",IF(ISBLANK(AH4),"En cours",AE4+AH4))</f>
        <v/>
      </c>
    </row>
    <row r="5" spans="2:37" ht="21" x14ac:dyDescent="0.35"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200" t="str">
        <f>IF(MIN(F5,J5,N5,R5,V5,Z5)&lt;&gt;0,MIN(F5,J5,N5,R5,V5,Z5),"")</f>
        <v/>
      </c>
      <c r="AE5" s="200" t="str">
        <f>IF(MIN(H5,L5,P5,T5,X5,AB5)&lt;&gt;0,MIN(H5,L5,P5,T5,X5,AB5),"")</f>
        <v/>
      </c>
      <c r="AF5" s="200"/>
      <c r="AG5" s="199"/>
      <c r="AH5" s="200"/>
      <c r="AI5" s="199"/>
      <c r="AJ5" s="161" t="str">
        <f>IF(AD5="","",IF(ISBLANK(AF5),"En cours",AD5+AF5))</f>
        <v/>
      </c>
      <c r="AK5" s="161" t="str">
        <f>IF(AE5="","",IF(ISBLANK(AH5),"En cours",AE5+AH5))</f>
        <v/>
      </c>
    </row>
    <row r="6" spans="2:37" ht="21" x14ac:dyDescent="0.35"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99"/>
      <c r="AC6" s="199"/>
      <c r="AD6" s="200" t="str">
        <f>IF(MIN(F6,J6,N6,R6,V6,Z6)&lt;&gt;0,MIN(F6,J6,N6,R6,V6,Z6),"")</f>
        <v/>
      </c>
      <c r="AE6" s="200" t="str">
        <f>IF(MIN(H6,L6,P6,T6,X6,AB6)&lt;&gt;0,MIN(H6,L6,P6,T6,X6,AB6),"")</f>
        <v/>
      </c>
      <c r="AF6" s="200"/>
      <c r="AG6" s="199"/>
      <c r="AH6" s="200"/>
      <c r="AI6" s="199"/>
      <c r="AJ6" s="161" t="str">
        <f>IF(AD6="","",IF(ISBLANK(AF6),"En cours",AD6+AF6))</f>
        <v/>
      </c>
      <c r="AK6" s="161" t="str">
        <f>IF(AE6="","",IF(ISBLANK(AH6),"En cours",AE6+AH6))</f>
        <v/>
      </c>
    </row>
    <row r="7" spans="2:37" ht="21" x14ac:dyDescent="0.35">
      <c r="B7" s="199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200" t="str">
        <f>IF(MIN(F7,J7,N7,R7,V7,Z7)&lt;&gt;0,MIN(F7,J7,N7,R7,V7,Z7),"")</f>
        <v/>
      </c>
      <c r="AE7" s="200" t="str">
        <f>IF(MIN(H7,L7,P7,T7,X7,AB7)&lt;&gt;0,MIN(H7,L7,P7,T7,X7,AB7),"")</f>
        <v/>
      </c>
      <c r="AF7" s="200"/>
      <c r="AG7" s="199"/>
      <c r="AH7" s="200"/>
      <c r="AI7" s="199"/>
      <c r="AJ7" s="161" t="str">
        <f>IF(AD7="","",IF(ISBLANK(AF7),"En cours",AD7+AF7))</f>
        <v/>
      </c>
      <c r="AK7" s="161" t="str">
        <f>IF(AE7="","",IF(ISBLANK(AH7),"En cours",AE7+AH7))</f>
        <v/>
      </c>
    </row>
    <row r="8" spans="2:37" ht="21" x14ac:dyDescent="0.35"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  <c r="W8" s="199"/>
      <c r="X8" s="199"/>
      <c r="Y8" s="199"/>
      <c r="Z8" s="199"/>
      <c r="AA8" s="199"/>
      <c r="AB8" s="199"/>
      <c r="AC8" s="199"/>
      <c r="AD8" s="200" t="str">
        <f>IF(MIN(F8,J8,N8,R8,V8,Z8)&lt;&gt;0,MIN(F8,J8,N8,R8,V8,Z8),"")</f>
        <v/>
      </c>
      <c r="AE8" s="200" t="str">
        <f>IF(MIN(H8,L8,P8,T8,X8,AB8)&lt;&gt;0,MIN(H8,L8,P8,T8,X8,AB8),"")</f>
        <v/>
      </c>
      <c r="AF8" s="200"/>
      <c r="AG8" s="199"/>
      <c r="AH8" s="200"/>
      <c r="AI8" s="199"/>
      <c r="AJ8" s="161" t="str">
        <f>IF(AD8="","",IF(ISBLANK(AF8),"En cours",AD8+AF8))</f>
        <v/>
      </c>
      <c r="AK8" s="161" t="str">
        <f>IF(AE8="","",IF(ISBLANK(AH8),"En cours",AE8+AH8))</f>
        <v/>
      </c>
    </row>
    <row r="9" spans="2:37" ht="21" x14ac:dyDescent="0.35">
      <c r="B9" s="199"/>
      <c r="C9" s="199"/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199"/>
      <c r="W9" s="199"/>
      <c r="X9" s="199"/>
      <c r="Y9" s="199"/>
      <c r="Z9" s="199"/>
      <c r="AA9" s="199"/>
      <c r="AB9" s="199"/>
      <c r="AC9" s="199"/>
      <c r="AD9" s="200" t="str">
        <f>IF(MIN(F9,J9,N9,R9,V9,Z9)&lt;&gt;0,MIN(F9,J9,N9,R9,V9,Z9),"")</f>
        <v/>
      </c>
      <c r="AE9" s="200" t="str">
        <f>IF(MIN(H9,L9,P9,T9,X9,AB9)&lt;&gt;0,MIN(H9,L9,P9,T9,X9,AB9),"")</f>
        <v/>
      </c>
      <c r="AF9" s="200"/>
      <c r="AG9" s="199"/>
      <c r="AH9" s="200"/>
      <c r="AI9" s="199"/>
      <c r="AJ9" s="161" t="str">
        <f>IF(AD9="","",IF(ISBLANK(AF9),"En cours",AD9+AF9))</f>
        <v/>
      </c>
      <c r="AK9" s="161" t="str">
        <f>IF(AE9="","",IF(ISBLANK(AH9),"En cours",AE9+AH9))</f>
        <v/>
      </c>
    </row>
    <row r="10" spans="2:37" ht="21" x14ac:dyDescent="0.35"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200" t="str">
        <f>IF(MIN(F10,J10,N10,R10,V10,Z10)&lt;&gt;0,MIN(F10,J10,N10,R10,V10,Z10),"")</f>
        <v/>
      </c>
      <c r="AE10" s="200" t="str">
        <f>IF(MIN(H10,L10,P10,T10,X10,AB10)&lt;&gt;0,MIN(H10,L10,P10,T10,X10,AB10),"")</f>
        <v/>
      </c>
      <c r="AF10" s="200"/>
      <c r="AG10" s="199"/>
      <c r="AH10" s="200"/>
      <c r="AI10" s="199"/>
      <c r="AJ10" s="161" t="str">
        <f>IF(AD10="","",IF(ISBLANK(AF10),"En cours",AD10+AF10))</f>
        <v/>
      </c>
      <c r="AK10" s="161" t="str">
        <f>IF(AE10="","",IF(ISBLANK(AH10),"En cours",AE10+AH10))</f>
        <v/>
      </c>
    </row>
    <row r="11" spans="2:37" ht="21" x14ac:dyDescent="0.35"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200" t="str">
        <f>IF(MIN(F11,J11,N11,R11,V11,Z11)&lt;&gt;0,MIN(F11,J11,N11,R11,V11,Z11),"")</f>
        <v/>
      </c>
      <c r="AE11" s="200" t="str">
        <f>IF(MIN(H11,L11,P11,T11,X11,AB11)&lt;&gt;0,MIN(H11,L11,P11,T11,X11,AB11),"")</f>
        <v/>
      </c>
      <c r="AF11" s="200"/>
      <c r="AG11" s="199"/>
      <c r="AH11" s="200"/>
      <c r="AI11" s="199"/>
      <c r="AJ11" s="161" t="str">
        <f>IF(AD11="","",IF(ISBLANK(AF11),"En cours",AD11+AF11))</f>
        <v/>
      </c>
      <c r="AK11" s="161" t="str">
        <f>IF(AE11="","",IF(ISBLANK(AH11),"En cours",AE11+AH11))</f>
        <v/>
      </c>
    </row>
    <row r="12" spans="2:37" ht="21" x14ac:dyDescent="0.35"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  <c r="AB12" s="199"/>
      <c r="AC12" s="199"/>
      <c r="AD12" s="200" t="str">
        <f>IF(MIN(F12,J12,N12,R12,V12,Z12)&lt;&gt;0,MIN(F12,J12,N12,R12,V12,Z12),"")</f>
        <v/>
      </c>
      <c r="AE12" s="200" t="str">
        <f>IF(MIN(H12,L12,P12,T12,X12,AB12)&lt;&gt;0,MIN(H12,L12,P12,T12,X12,AB12),"")</f>
        <v/>
      </c>
      <c r="AF12" s="200"/>
      <c r="AG12" s="199"/>
      <c r="AH12" s="200"/>
      <c r="AI12" s="199"/>
      <c r="AJ12" s="161" t="str">
        <f>IF(AD12="","",IF(ISBLANK(AF12),"En cours",AD12+AF12))</f>
        <v/>
      </c>
      <c r="AK12" s="161" t="str">
        <f>IF(AE12="","",IF(ISBLANK(AH12),"En cours",AE12+AH12))</f>
        <v/>
      </c>
    </row>
    <row r="13" spans="2:37" ht="21" x14ac:dyDescent="0.35"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200" t="str">
        <f>IF(MIN(F13,J13,N13,R13,V13,Z13)&lt;&gt;0,MIN(F13,J13,N13,R13,V13,Z13),"")</f>
        <v/>
      </c>
      <c r="AE13" s="200" t="str">
        <f>IF(MIN(H13,L13,P13,T13,X13,AB13)&lt;&gt;0,MIN(H13,L13,P13,T13,X13,AB13),"")</f>
        <v/>
      </c>
      <c r="AF13" s="200"/>
      <c r="AG13" s="199"/>
      <c r="AH13" s="200"/>
      <c r="AI13" s="199"/>
      <c r="AJ13" s="161" t="str">
        <f>IF(AD13="","",IF(ISBLANK(AF13),"En cours",AD13+AF13))</f>
        <v/>
      </c>
      <c r="AK13" s="161" t="str">
        <f>IF(AE13="","",IF(ISBLANK(AH13),"En cours",AE13+AH13))</f>
        <v/>
      </c>
    </row>
    <row r="14" spans="2:37" ht="21" x14ac:dyDescent="0.35"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  <c r="AA14" s="199"/>
      <c r="AB14" s="199"/>
      <c r="AC14" s="199"/>
      <c r="AD14" s="200" t="str">
        <f>IF(MIN(F14,J14,N14,R14,V14,Z14)&lt;&gt;0,MIN(F14,J14,N14,R14,V14,Z14),"")</f>
        <v/>
      </c>
      <c r="AE14" s="200" t="str">
        <f>IF(MIN(H14,L14,P14,T14,X14,AB14)&lt;&gt;0,MIN(H14,L14,P14,T14,X14,AB14),"")</f>
        <v/>
      </c>
      <c r="AF14" s="200"/>
      <c r="AG14" s="199"/>
      <c r="AH14" s="200"/>
      <c r="AI14" s="199"/>
      <c r="AJ14" s="161" t="str">
        <f>IF(AD14="","",IF(ISBLANK(AF14),"En cours",AD14+AF14))</f>
        <v/>
      </c>
      <c r="AK14" s="161" t="str">
        <f>IF(AE14="","",IF(ISBLANK(AH14),"En cours",AE14+AH14))</f>
        <v/>
      </c>
    </row>
    <row r="15" spans="2:37" ht="21" x14ac:dyDescent="0.35">
      <c r="B15" s="199"/>
      <c r="C15" s="199"/>
      <c r="D15" s="199"/>
      <c r="E15" s="199"/>
      <c r="F15" s="199"/>
      <c r="G15" s="199"/>
      <c r="H15" s="199"/>
      <c r="I15" s="199"/>
      <c r="J15" s="199"/>
      <c r="K15" s="199"/>
      <c r="L15" s="199"/>
      <c r="M15" s="199"/>
      <c r="N15" s="199"/>
      <c r="O15" s="199"/>
      <c r="P15" s="199"/>
      <c r="Q15" s="199"/>
      <c r="R15" s="199"/>
      <c r="S15" s="199"/>
      <c r="T15" s="199"/>
      <c r="U15" s="199"/>
      <c r="V15" s="199"/>
      <c r="W15" s="199"/>
      <c r="X15" s="199"/>
      <c r="Y15" s="199"/>
      <c r="Z15" s="199"/>
      <c r="AA15" s="199"/>
      <c r="AB15" s="199"/>
      <c r="AC15" s="199"/>
      <c r="AD15" s="200" t="str">
        <f>IF(MIN(F15,J15,N15,R15,V15,Z15)&lt;&gt;0,MIN(F15,J15,N15,R15,V15,Z15),"")</f>
        <v/>
      </c>
      <c r="AE15" s="200" t="str">
        <f>IF(MIN(H15,L15,P15,T15,X15,AB15)&lt;&gt;0,MIN(H15,L15,P15,T15,X15,AB15),"")</f>
        <v/>
      </c>
      <c r="AF15" s="200"/>
      <c r="AG15" s="199"/>
      <c r="AH15" s="200"/>
      <c r="AI15" s="199"/>
      <c r="AJ15" s="161" t="str">
        <f>IF(AD15="","",IF(ISBLANK(AF15),"En cours",AD15+AF15))</f>
        <v/>
      </c>
      <c r="AK15" s="161" t="str">
        <f>IF(AE15="","",IF(ISBLANK(AH15),"En cours",AE15+AH15))</f>
        <v/>
      </c>
    </row>
    <row r="16" spans="2:37" ht="21" x14ac:dyDescent="0.3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200" t="str">
        <f>IF(MIN(F16,J16,N16,R16,V16,Z16)&lt;&gt;0,MIN(F16,J16,N16,R16,V16,Z16),"")</f>
        <v/>
      </c>
      <c r="AE16" s="200" t="str">
        <f>IF(MIN(H16,L16,P16,T16,X16,AB16)&lt;&gt;0,MIN(H16,L16,P16,T16,X16,AB16),"")</f>
        <v/>
      </c>
      <c r="AF16" s="200"/>
      <c r="AG16" s="199"/>
      <c r="AH16" s="200"/>
      <c r="AI16" s="199"/>
      <c r="AJ16" s="161" t="str">
        <f>IF(AD16="","",IF(ISBLANK(AF16),"En cours",AD16+AF16))</f>
        <v/>
      </c>
      <c r="AK16" s="161" t="str">
        <f>IF(AE16="","",IF(ISBLANK(AH16),"En cours",AE16+AH16))</f>
        <v/>
      </c>
    </row>
    <row r="17" spans="2:37" ht="21" x14ac:dyDescent="0.35">
      <c r="B17" s="199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200" t="str">
        <f>IF(MIN(F17,J17,N17,R17,V17,Z17)&lt;&gt;0,MIN(F17,J17,N17,R17,V17,Z17),"")</f>
        <v/>
      </c>
      <c r="AE17" s="200" t="str">
        <f>IF(MIN(H17,L17,P17,T17,X17,AB17)&lt;&gt;0,MIN(H17,L17,P17,T17,X17,AB17),"")</f>
        <v/>
      </c>
      <c r="AF17" s="200"/>
      <c r="AG17" s="199"/>
      <c r="AH17" s="200"/>
      <c r="AI17" s="199"/>
      <c r="AJ17" s="161" t="str">
        <f>IF(AD17="","",IF(ISBLANK(AF17),"En cours",AD17+AF17))</f>
        <v/>
      </c>
      <c r="AK17" s="161" t="str">
        <f>IF(AE17="","",IF(ISBLANK(AH17),"En cours",AE17+AH17))</f>
        <v/>
      </c>
    </row>
    <row r="18" spans="2:37" ht="21" x14ac:dyDescent="0.35"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200" t="str">
        <f>IF(MIN(F18,J18,N18,R18,V18,Z18)&lt;&gt;0,MIN(F18,J18,N18,R18,V18,Z18),"")</f>
        <v/>
      </c>
      <c r="AE18" s="200" t="str">
        <f>IF(MIN(H18,L18,P18,T18,X18,AB18)&lt;&gt;0,MIN(H18,L18,P18,T18,X18,AB18),"")</f>
        <v/>
      </c>
      <c r="AF18" s="200"/>
      <c r="AG18" s="199"/>
      <c r="AH18" s="200"/>
      <c r="AI18" s="199"/>
      <c r="AJ18" s="161" t="str">
        <f>IF(AD18="","",IF(ISBLANK(AF18),"En cours",AD18+AF18))</f>
        <v/>
      </c>
      <c r="AK18" s="161" t="str">
        <f>IF(AE18="","",IF(ISBLANK(AH18),"En cours",AE18+AH18))</f>
        <v/>
      </c>
    </row>
    <row r="19" spans="2:37" ht="21" x14ac:dyDescent="0.35">
      <c r="B19" s="199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200" t="str">
        <f>IF(MIN(F19,J19,N19,R19,V19,Z19)&lt;&gt;0,MIN(F19,J19,N19,R19,V19,Z19),"")</f>
        <v/>
      </c>
      <c r="AE19" s="200" t="str">
        <f>IF(MIN(H19,L19,P19,T19,X19,AB19)&lt;&gt;0,MIN(H19,L19,P19,T19,X19,AB19),"")</f>
        <v/>
      </c>
      <c r="AF19" s="200"/>
      <c r="AG19" s="199"/>
      <c r="AH19" s="200"/>
      <c r="AI19" s="199"/>
      <c r="AJ19" s="161" t="str">
        <f>IF(AD19="","",IF(ISBLANK(AF19),"En cours",AD19+AF19))</f>
        <v/>
      </c>
      <c r="AK19" s="161" t="str">
        <f>IF(AE19="","",IF(ISBLANK(AH19),"En cours",AE19+AH19))</f>
        <v/>
      </c>
    </row>
    <row r="20" spans="2:37" ht="21" x14ac:dyDescent="0.35">
      <c r="B20" s="199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199"/>
      <c r="AB20" s="199"/>
      <c r="AC20" s="199"/>
      <c r="AD20" s="200" t="str">
        <f>IF(MIN(F20,J20,N20,R20,V20,Z20)&lt;&gt;0,MIN(F20,J20,N20,R20,V20,Z20),"")</f>
        <v/>
      </c>
      <c r="AE20" s="200" t="str">
        <f>IF(MIN(H20,L20,P20,T20,X20,AB20)&lt;&gt;0,MIN(H20,L20,P20,T20,X20,AB20),"")</f>
        <v/>
      </c>
      <c r="AF20" s="200"/>
      <c r="AG20" s="199"/>
      <c r="AH20" s="200"/>
      <c r="AI20" s="199"/>
      <c r="AJ20" s="161" t="str">
        <f>IF(AD20="","",IF(ISBLANK(AF20),"En cours",AD20+AF20))</f>
        <v/>
      </c>
      <c r="AK20" s="161" t="str">
        <f>IF(AE20="","",IF(ISBLANK(AH20),"En cours",AE20+AH20))</f>
        <v/>
      </c>
    </row>
    <row r="21" spans="2:37" ht="21" x14ac:dyDescent="0.35">
      <c r="B21" s="199"/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199"/>
      <c r="AB21" s="199"/>
      <c r="AC21" s="199"/>
      <c r="AD21" s="200" t="str">
        <f>IF(MIN(F21,J21,N21,R21,V21,Z21)&lt;&gt;0,MIN(F21,J21,N21,R21,V21,Z21),"")</f>
        <v/>
      </c>
      <c r="AE21" s="200" t="str">
        <f>IF(MIN(H21,L21,P21,T21,X21,AB21)&lt;&gt;0,MIN(H21,L21,P21,T21,X21,AB21),"")</f>
        <v/>
      </c>
      <c r="AF21" s="200"/>
      <c r="AG21" s="199"/>
      <c r="AH21" s="200"/>
      <c r="AI21" s="199"/>
      <c r="AJ21" s="161" t="str">
        <f>IF(AD21="","",IF(ISBLANK(AF21),"En cours",AD21+AF21))</f>
        <v/>
      </c>
      <c r="AK21" s="161" t="str">
        <f>IF(AE21="","",IF(ISBLANK(AH21),"En cours",AE21+AH21))</f>
        <v/>
      </c>
    </row>
    <row r="22" spans="2:37" ht="21" x14ac:dyDescent="0.35">
      <c r="B22" s="199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200" t="str">
        <f>IF(MIN(F22,J22,N22,R22,V22,Z22)&lt;&gt;0,MIN(F22,J22,N22,R22,V22,Z22),"")</f>
        <v/>
      </c>
      <c r="AE22" s="200" t="str">
        <f>IF(MIN(H22,L22,P22,T22,X22,AB22)&lt;&gt;0,MIN(H22,L22,P22,T22,X22,AB22),"")</f>
        <v/>
      </c>
      <c r="AF22" s="200"/>
      <c r="AG22" s="199"/>
      <c r="AH22" s="200"/>
      <c r="AI22" s="199"/>
      <c r="AJ22" s="161" t="str">
        <f>IF(AD22="","",IF(ISBLANK(AF22),"En cours",AD22+AF22))</f>
        <v/>
      </c>
      <c r="AK22" s="161" t="str">
        <f>IF(AE22="","",IF(ISBLANK(AH22),"En cours",AE22+AH22))</f>
        <v/>
      </c>
    </row>
    <row r="23" spans="2:37" ht="21" x14ac:dyDescent="0.35">
      <c r="B23" s="199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200" t="str">
        <f>IF(MIN(F23,J23,N23,R23,V23,Z23)&lt;&gt;0,MIN(F23,J23,N23,R23,V23,Z23),"")</f>
        <v/>
      </c>
      <c r="AE23" s="200" t="str">
        <f>IF(MIN(H23,L23,P23,T23,X23,AB23)&lt;&gt;0,MIN(H23,L23,P23,T23,X23,AB23),"")</f>
        <v/>
      </c>
      <c r="AF23" s="200"/>
      <c r="AG23" s="199"/>
      <c r="AH23" s="200"/>
      <c r="AI23" s="199"/>
      <c r="AJ23" s="161" t="str">
        <f>IF(AD23="","",IF(ISBLANK(AF23),"En cours",AD23+AF23))</f>
        <v/>
      </c>
      <c r="AK23" s="161" t="str">
        <f>IF(AE23="","",IF(ISBLANK(AH23),"En cours",AE23+AH23))</f>
        <v/>
      </c>
    </row>
    <row r="24" spans="2:37" ht="21" x14ac:dyDescent="0.35">
      <c r="B24" s="199"/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200" t="str">
        <f>IF(MIN(F24,J24,N24,R24,V24,Z24)&lt;&gt;0,MIN(F24,J24,N24,R24,V24,Z24),"")</f>
        <v/>
      </c>
      <c r="AE24" s="200" t="str">
        <f>IF(MIN(H24,L24,P24,T24,X24,AB24)&lt;&gt;0,MIN(H24,L24,P24,T24,X24,AB24),"")</f>
        <v/>
      </c>
      <c r="AF24" s="200"/>
      <c r="AG24" s="199"/>
      <c r="AH24" s="200"/>
      <c r="AI24" s="199"/>
      <c r="AJ24" s="161" t="str">
        <f>IF(AD24="","",IF(ISBLANK(AF24),"En cours",AD24+AF24))</f>
        <v/>
      </c>
      <c r="AK24" s="161" t="str">
        <f>IF(AE24="","",IF(ISBLANK(AH24),"En cours",AE24+AH24))</f>
        <v/>
      </c>
    </row>
    <row r="25" spans="2:37" ht="21" x14ac:dyDescent="0.35">
      <c r="B25" s="199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200" t="str">
        <f>IF(MIN(F25,J25,N25,R25,V25,Z25)&lt;&gt;0,MIN(F25,J25,N25,R25,V25,Z25),"")</f>
        <v/>
      </c>
      <c r="AE25" s="200" t="str">
        <f>IF(MIN(H25,L25,P25,T25,X25,AB25)&lt;&gt;0,MIN(H25,L25,P25,T25,X25,AB25),"")</f>
        <v/>
      </c>
      <c r="AF25" s="200"/>
      <c r="AG25" s="199"/>
      <c r="AH25" s="200"/>
      <c r="AI25" s="199"/>
      <c r="AJ25" s="161" t="str">
        <f>IF(AD25="","",IF(ISBLANK(AF25),"En cours",AD25+AF25))</f>
        <v/>
      </c>
      <c r="AK25" s="161" t="str">
        <f>IF(AE25="","",IF(ISBLANK(AH25),"En cours",AE25+AH25))</f>
        <v/>
      </c>
    </row>
    <row r="26" spans="2:37" ht="21" x14ac:dyDescent="0.35">
      <c r="B26" s="199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  <c r="AA26" s="199"/>
      <c r="AB26" s="199"/>
      <c r="AC26" s="199"/>
      <c r="AD26" s="200" t="str">
        <f>IF(MIN(F26,J26,N26,R26,V26,Z26)&lt;&gt;0,MIN(F26,J26,N26,R26,V26,Z26),"")</f>
        <v/>
      </c>
      <c r="AE26" s="200" t="str">
        <f>IF(MIN(H26,L26,P26,T26,X26,AB26)&lt;&gt;0,MIN(H26,L26,P26,T26,X26,AB26),"")</f>
        <v/>
      </c>
      <c r="AF26" s="200"/>
      <c r="AG26" s="199"/>
      <c r="AH26" s="200"/>
      <c r="AI26" s="199"/>
      <c r="AJ26" s="161" t="str">
        <f>IF(AD26="","",IF(ISBLANK(AF26),"En cours",AD26+AF26))</f>
        <v/>
      </c>
      <c r="AK26" s="161" t="str">
        <f>IF(AE26="","",IF(ISBLANK(AH26),"En cours",AE26+AH26))</f>
        <v/>
      </c>
    </row>
    <row r="27" spans="2:37" ht="21" x14ac:dyDescent="0.35">
      <c r="B27" s="199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200" t="str">
        <f>IF(MIN(F27,J27,N27,R27,V27,Z27)&lt;&gt;0,MIN(F27,J27,N27,R27,V27,Z27),"")</f>
        <v/>
      </c>
      <c r="AE27" s="200" t="str">
        <f>IF(MIN(H27,L27,P27,T27,X27,AB27)&lt;&gt;0,MIN(H27,L27,P27,T27,X27,AB27),"")</f>
        <v/>
      </c>
      <c r="AF27" s="200"/>
      <c r="AG27" s="199"/>
      <c r="AH27" s="200"/>
      <c r="AI27" s="199"/>
      <c r="AJ27" s="161" t="str">
        <f>IF(AD27="","",IF(ISBLANK(AF27),"En cours",AD27+AF27))</f>
        <v/>
      </c>
      <c r="AK27" s="161" t="str">
        <f>IF(AE27="","",IF(ISBLANK(AH27),"En cours",AE27+AH27))</f>
        <v/>
      </c>
    </row>
    <row r="28" spans="2:37" ht="21" x14ac:dyDescent="0.35">
      <c r="B28" s="199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  <c r="AA28" s="199"/>
      <c r="AB28" s="199"/>
      <c r="AC28" s="199"/>
      <c r="AD28" s="200" t="str">
        <f>IF(MIN(F28,J28,N28,R28,V28,Z28)&lt;&gt;0,MIN(F28,J28,N28,R28,V28,Z28),"")</f>
        <v/>
      </c>
      <c r="AE28" s="200" t="str">
        <f>IF(MIN(H28,L28,P28,T28,X28,AB28)&lt;&gt;0,MIN(H28,L28,P28,T28,X28,AB28),"")</f>
        <v/>
      </c>
      <c r="AF28" s="200"/>
      <c r="AG28" s="199"/>
      <c r="AH28" s="200"/>
      <c r="AI28" s="199"/>
      <c r="AJ28" s="161" t="str">
        <f>IF(AD28="","",IF(ISBLANK(AF28),"En cours",AD28+AF28))</f>
        <v/>
      </c>
      <c r="AK28" s="161" t="str">
        <f>IF(AE28="","",IF(ISBLANK(AH28),"En cours",AE28+AH28))</f>
        <v/>
      </c>
    </row>
    <row r="29" spans="2:37" ht="21" x14ac:dyDescent="0.35">
      <c r="B29" s="199"/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  <c r="AA29" s="199"/>
      <c r="AB29" s="199"/>
      <c r="AC29" s="199"/>
      <c r="AD29" s="200" t="str">
        <f>IF(MIN(F29,J29,N29,R29,V29,Z29)&lt;&gt;0,MIN(F29,J29,N29,R29,V29,Z29),"")</f>
        <v/>
      </c>
      <c r="AE29" s="200" t="str">
        <f>IF(MIN(H29,L29,P29,T29,X29,AB29)&lt;&gt;0,MIN(H29,L29,P29,T29,X29,AB29),"")</f>
        <v/>
      </c>
      <c r="AF29" s="200"/>
      <c r="AG29" s="199"/>
      <c r="AH29" s="200"/>
      <c r="AI29" s="199"/>
      <c r="AJ29" s="161" t="str">
        <f>IF(AD29="","",IF(ISBLANK(AF29),"En cours",AD29+AF29))</f>
        <v/>
      </c>
      <c r="AK29" s="161" t="str">
        <f>IF(AE29="","",IF(ISBLANK(AH29),"En cours",AE29+AH29))</f>
        <v/>
      </c>
    </row>
    <row r="30" spans="2:37" ht="21" x14ac:dyDescent="0.35">
      <c r="B30" s="199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200" t="str">
        <f>IF(MIN(F30,J30,N30,R30,V30,Z30)&lt;&gt;0,MIN(F30,J30,N30,R30,V30,Z30),"")</f>
        <v/>
      </c>
      <c r="AE30" s="200" t="str">
        <f>IF(MIN(H30,L30,P30,T30,X30,AB30)&lt;&gt;0,MIN(H30,L30,P30,T30,X30,AB30),"")</f>
        <v/>
      </c>
      <c r="AF30" s="200"/>
      <c r="AG30" s="199"/>
      <c r="AH30" s="200"/>
      <c r="AI30" s="199"/>
      <c r="AJ30" s="161" t="str">
        <f>IF(AD30="","",IF(ISBLANK(AF30),"En cours",AD30+AF30))</f>
        <v/>
      </c>
      <c r="AK30" s="161" t="str">
        <f>IF(AE30="","",IF(ISBLANK(AH30),"En cours",AE30+AH30))</f>
        <v/>
      </c>
    </row>
    <row r="31" spans="2:37" ht="21" x14ac:dyDescent="0.35">
      <c r="B31" s="199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  <c r="AA31" s="199"/>
      <c r="AB31" s="199"/>
      <c r="AC31" s="199"/>
      <c r="AD31" s="200" t="str">
        <f>IF(MIN(F31,J31,N31,R31,V31,Z31)&lt;&gt;0,MIN(F31,J31,N31,R31,V31,Z31),"")</f>
        <v/>
      </c>
      <c r="AE31" s="200" t="str">
        <f>IF(MIN(H31,L31,P31,T31,X31,AB31)&lt;&gt;0,MIN(H31,L31,P31,T31,X31,AB31),"")</f>
        <v/>
      </c>
      <c r="AF31" s="200"/>
      <c r="AG31" s="199"/>
      <c r="AH31" s="200"/>
      <c r="AI31" s="199"/>
      <c r="AJ31" s="161" t="str">
        <f>IF(AD31="","",IF(ISBLANK(AF31),"En cours",AD31+AF31))</f>
        <v/>
      </c>
      <c r="AK31" s="161" t="str">
        <f>IF(AE31="","",IF(ISBLANK(AH31),"En cours",AE31+AH31))</f>
        <v/>
      </c>
    </row>
    <row r="32" spans="2:37" ht="21" x14ac:dyDescent="0.35">
      <c r="B32" s="199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  <c r="AA32" s="199"/>
      <c r="AB32" s="199"/>
      <c r="AC32" s="199"/>
      <c r="AD32" s="200" t="str">
        <f>IF(MIN(F32,J32,N32,R32,V32,Z32)&lt;&gt;0,MIN(F32,J32,N32,R32,V32,Z32),"")</f>
        <v/>
      </c>
      <c r="AE32" s="200" t="str">
        <f>IF(MIN(H32,L32,P32,T32,X32,AB32)&lt;&gt;0,MIN(H32,L32,P32,T32,X32,AB32),"")</f>
        <v/>
      </c>
      <c r="AF32" s="200"/>
      <c r="AG32" s="199"/>
      <c r="AH32" s="200"/>
      <c r="AI32" s="199"/>
      <c r="AJ32" s="161" t="str">
        <f>IF(AD32="","",IF(ISBLANK(AF32),"En cours",AD32+AF32))</f>
        <v/>
      </c>
      <c r="AK32" s="161" t="str">
        <f>IF(AE32="","",IF(ISBLANK(AH32),"En cours",AE32+AH32))</f>
        <v/>
      </c>
    </row>
    <row r="33" spans="2:37" ht="21" x14ac:dyDescent="0.35">
      <c r="B33" s="199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200" t="str">
        <f>IF(MIN(F33,J33,N33,R33,V33,Z33)&lt;&gt;0,MIN(F33,J33,N33,R33,V33,Z33),"")</f>
        <v/>
      </c>
      <c r="AE33" s="200" t="str">
        <f>IF(MIN(H33,L33,P33,T33,X33,AB33)&lt;&gt;0,MIN(H33,L33,P33,T33,X33,AB33),"")</f>
        <v/>
      </c>
      <c r="AF33" s="200"/>
      <c r="AG33" s="199"/>
      <c r="AH33" s="200"/>
      <c r="AI33" s="199"/>
      <c r="AJ33" s="161" t="str">
        <f>IF(AD33="","",IF(ISBLANK(AF33),"En cours",AD33+AF33))</f>
        <v/>
      </c>
      <c r="AK33" s="161" t="str">
        <f>IF(AE33="","",IF(ISBLANK(AH33),"En cours",AE33+AH33))</f>
        <v/>
      </c>
    </row>
    <row r="34" spans="2:37" ht="21" x14ac:dyDescent="0.35">
      <c r="B34" s="199"/>
      <c r="C34" s="199"/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9"/>
      <c r="O34" s="199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  <c r="AA34" s="199"/>
      <c r="AB34" s="199"/>
      <c r="AC34" s="199"/>
      <c r="AD34" s="200" t="str">
        <f>IF(MIN(F34,J34,N34,R34,V34,Z34)&lt;&gt;0,MIN(F34,J34,N34,R34,V34,Z34),"")</f>
        <v/>
      </c>
      <c r="AE34" s="200" t="str">
        <f>IF(MIN(H34,L34,P34,T34,X34,AB34)&lt;&gt;0,MIN(H34,L34,P34,T34,X34,AB34),"")</f>
        <v/>
      </c>
      <c r="AF34" s="200"/>
      <c r="AG34" s="199"/>
      <c r="AH34" s="200"/>
      <c r="AI34" s="199"/>
      <c r="AJ34" s="161" t="str">
        <f>IF(AD34="","",IF(ISBLANK(AF34),"En cours",AD34+AF34))</f>
        <v/>
      </c>
      <c r="AK34" s="161" t="str">
        <f>IF(AE34="","",IF(ISBLANK(AH34),"En cours",AE34+AH34))</f>
        <v/>
      </c>
    </row>
    <row r="35" spans="2:37" ht="21" x14ac:dyDescent="0.35">
      <c r="B35" s="199"/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200" t="str">
        <f>IF(MIN(F35,J35,N35,R35,V35,Z35)&lt;&gt;0,MIN(F35,J35,N35,R35,V35,Z35),"")</f>
        <v/>
      </c>
      <c r="AE35" s="200" t="str">
        <f>IF(MIN(H35,L35,P35,T35,X35,AB35)&lt;&gt;0,MIN(H35,L35,P35,T35,X35,AB35),"")</f>
        <v/>
      </c>
      <c r="AF35" s="200"/>
      <c r="AG35" s="199"/>
      <c r="AH35" s="200"/>
      <c r="AI35" s="199"/>
      <c r="AJ35" s="161" t="str">
        <f>IF(AD35="","",IF(ISBLANK(AF35),"En cours",AD35+AF35))</f>
        <v/>
      </c>
      <c r="AK35" s="161" t="str">
        <f>IF(AE35="","",IF(ISBLANK(AH35),"En cours",AE35+AH35))</f>
        <v/>
      </c>
    </row>
    <row r="36" spans="2:37" ht="21" x14ac:dyDescent="0.35">
      <c r="B36" s="199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99"/>
      <c r="AB36" s="199"/>
      <c r="AC36" s="199"/>
      <c r="AD36" s="200" t="str">
        <f>IF(MIN(F36,J36,N36,R36,V36,Z36)&lt;&gt;0,MIN(F36,J36,N36,R36,V36,Z36),"")</f>
        <v/>
      </c>
      <c r="AE36" s="200" t="str">
        <f>IF(MIN(H36,L36,P36,T36,X36,AB36)&lt;&gt;0,MIN(H36,L36,P36,T36,X36,AB36),"")</f>
        <v/>
      </c>
      <c r="AF36" s="200"/>
      <c r="AG36" s="199"/>
      <c r="AH36" s="200"/>
      <c r="AI36" s="199"/>
      <c r="AJ36" s="161" t="str">
        <f>IF(AD36="","",IF(ISBLANK(AF36),"En cours",AD36+AF36))</f>
        <v/>
      </c>
      <c r="AK36" s="161" t="str">
        <f>IF(AE36="","",IF(ISBLANK(AH36),"En cours",AE36+AH36))</f>
        <v/>
      </c>
    </row>
    <row r="37" spans="2:37" ht="21" x14ac:dyDescent="0.35">
      <c r="B37" s="199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  <c r="AA37" s="199"/>
      <c r="AB37" s="199"/>
      <c r="AC37" s="199"/>
      <c r="AD37" s="200" t="str">
        <f>IF(MIN(F37,J37,N37,R37,V37,Z37)&lt;&gt;0,MIN(F37,J37,N37,R37,V37,Z37),"")</f>
        <v/>
      </c>
      <c r="AE37" s="200" t="str">
        <f>IF(MIN(H37,L37,P37,T37,X37,AB37)&lt;&gt;0,MIN(H37,L37,P37,T37,X37,AB37),"")</f>
        <v/>
      </c>
      <c r="AF37" s="200"/>
      <c r="AG37" s="199"/>
      <c r="AH37" s="200"/>
      <c r="AI37" s="199"/>
      <c r="AJ37" s="161" t="str">
        <f>IF(AD37="","",IF(ISBLANK(AF37),"En cours",AD37+AF37))</f>
        <v/>
      </c>
      <c r="AK37" s="161" t="str">
        <f>IF(AE37="","",IF(ISBLANK(AH37),"En cours",AE37+AH37))</f>
        <v/>
      </c>
    </row>
    <row r="38" spans="2:37" ht="21" x14ac:dyDescent="0.35">
      <c r="B38" s="199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200" t="str">
        <f>IF(MIN(F38,J38,N38,R38,V38,Z38)&lt;&gt;0,MIN(F38,J38,N38,R38,V38,Z38),"")</f>
        <v/>
      </c>
      <c r="AE38" s="200" t="str">
        <f>IF(MIN(H38,L38,P38,T38,X38,AB38)&lt;&gt;0,MIN(H38,L38,P38,T38,X38,AB38),"")</f>
        <v/>
      </c>
      <c r="AF38" s="200"/>
      <c r="AG38" s="199"/>
      <c r="AH38" s="200"/>
      <c r="AI38" s="199"/>
      <c r="AJ38" s="161" t="str">
        <f>IF(AD38="","",IF(ISBLANK(AF38),"En cours",AD38+AF38))</f>
        <v/>
      </c>
      <c r="AK38" s="161" t="str">
        <f>IF(AE38="","",IF(ISBLANK(AH38),"En cours",AE38+AH38))</f>
        <v/>
      </c>
    </row>
    <row r="39" spans="2:37" ht="21" x14ac:dyDescent="0.35">
      <c r="B39" s="199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  <c r="AA39" s="199"/>
      <c r="AB39" s="199"/>
      <c r="AC39" s="199"/>
      <c r="AD39" s="200" t="str">
        <f>IF(MIN(F39,J39,N39,R39,V39,Z39)&lt;&gt;0,MIN(F39,J39,N39,R39,V39,Z39),"")</f>
        <v/>
      </c>
      <c r="AE39" s="200" t="str">
        <f>IF(MIN(H39,L39,P39,T39,X39,AB39)&lt;&gt;0,MIN(H39,L39,P39,T39,X39,AB39),"")</f>
        <v/>
      </c>
      <c r="AF39" s="200"/>
      <c r="AG39" s="199"/>
      <c r="AH39" s="200"/>
      <c r="AI39" s="199"/>
      <c r="AJ39" s="161" t="str">
        <f>IF(AD39="","",IF(ISBLANK(AF39),"En cours",AD39+AF39))</f>
        <v/>
      </c>
      <c r="AK39" s="161" t="str">
        <f>IF(AE39="","",IF(ISBLANK(AH39),"En cours",AE39+AH39))</f>
        <v/>
      </c>
    </row>
    <row r="40" spans="2:37" ht="21" x14ac:dyDescent="0.35"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200" t="str">
        <f>IF(MIN(F40,J40,N40,R40,V40,Z40)&lt;&gt;0,MIN(F40,J40,N40,R40,V40,Z40),"")</f>
        <v/>
      </c>
      <c r="AE40" s="200" t="str">
        <f>IF(MIN(H40,L40,P40,T40,X40,AB40)&lt;&gt;0,MIN(H40,L40,P40,T40,X40,AB40),"")</f>
        <v/>
      </c>
      <c r="AF40" s="200"/>
      <c r="AG40" s="199"/>
      <c r="AH40" s="200"/>
      <c r="AI40" s="199"/>
      <c r="AJ40" s="161" t="str">
        <f>IF(AD40="","",IF(ISBLANK(AF40),"En cours",AD40+AF40))</f>
        <v/>
      </c>
      <c r="AK40" s="161" t="str">
        <f>IF(AE40="","",IF(ISBLANK(AH40),"En cours",AE40+AH40))</f>
        <v/>
      </c>
    </row>
    <row r="41" spans="2:37" ht="21" x14ac:dyDescent="0.35">
      <c r="B41" s="199"/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200" t="str">
        <f>IF(MIN(F41,J41,N41,R41,V41,Z41)&lt;&gt;0,MIN(F41,J41,N41,R41,V41,Z41),"")</f>
        <v/>
      </c>
      <c r="AE41" s="200" t="str">
        <f>IF(MIN(H41,L41,P41,T41,X41,AB41)&lt;&gt;0,MIN(H41,L41,P41,T41,X41,AB41),"")</f>
        <v/>
      </c>
      <c r="AF41" s="200"/>
      <c r="AG41" s="199"/>
      <c r="AH41" s="200"/>
      <c r="AI41" s="199"/>
      <c r="AJ41" s="161" t="str">
        <f>IF(AD41="","",IF(ISBLANK(AF41),"En cours",AD41+AF41))</f>
        <v/>
      </c>
      <c r="AK41" s="161" t="str">
        <f>IF(AE41="","",IF(ISBLANK(AH41),"En cours",AE41+AH41))</f>
        <v/>
      </c>
    </row>
    <row r="42" spans="2:37" ht="21" x14ac:dyDescent="0.35">
      <c r="B42" s="199"/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200" t="str">
        <f>IF(MIN(F42,J42,N42,R42,V42,Z42)&lt;&gt;0,MIN(F42,J42,N42,R42,V42,Z42),"")</f>
        <v/>
      </c>
      <c r="AE42" s="200" t="str">
        <f>IF(MIN(H42,L42,P42,T42,X42,AB42)&lt;&gt;0,MIN(H42,L42,P42,T42,X42,AB42),"")</f>
        <v/>
      </c>
      <c r="AF42" s="200"/>
      <c r="AG42" s="199"/>
      <c r="AH42" s="200"/>
      <c r="AI42" s="199"/>
      <c r="AJ42" s="161" t="str">
        <f>IF(AD42="","",IF(ISBLANK(AF42),"En cours",AD42+AF42))</f>
        <v/>
      </c>
      <c r="AK42" s="161" t="str">
        <f>IF(AE42="","",IF(ISBLANK(AH42),"En cours",AE42+AH42))</f>
        <v/>
      </c>
    </row>
    <row r="43" spans="2:37" ht="21" x14ac:dyDescent="0.35">
      <c r="B43" s="199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  <c r="AB43" s="199"/>
      <c r="AC43" s="199"/>
      <c r="AD43" s="200" t="str">
        <f>IF(MIN(F43,J43,N43,R43,V43,Z43)&lt;&gt;0,MIN(F43,J43,N43,R43,V43,Z43),"")</f>
        <v/>
      </c>
      <c r="AE43" s="200" t="str">
        <f>IF(MIN(H43,L43,P43,T43,X43,AB43)&lt;&gt;0,MIN(H43,L43,P43,T43,X43,AB43),"")</f>
        <v/>
      </c>
      <c r="AF43" s="200"/>
      <c r="AG43" s="199"/>
      <c r="AH43" s="200"/>
      <c r="AI43" s="199"/>
      <c r="AJ43" s="161" t="str">
        <f>IF(AD43="","",IF(ISBLANK(AF43),"En cours",AD43+AF43))</f>
        <v/>
      </c>
      <c r="AK43" s="161" t="str">
        <f>IF(AE43="","",IF(ISBLANK(AH43),"En cours",AE43+AH43))</f>
        <v/>
      </c>
    </row>
    <row r="44" spans="2:37" ht="21" x14ac:dyDescent="0.35">
      <c r="B44" s="199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  <c r="AA44" s="199"/>
      <c r="AB44" s="199"/>
      <c r="AC44" s="199"/>
      <c r="AD44" s="200" t="str">
        <f>IF(MIN(F44,J44,N44,R44,V44,Z44)&lt;&gt;0,MIN(F44,J44,N44,R44,V44,Z44),"")</f>
        <v/>
      </c>
      <c r="AE44" s="200" t="str">
        <f>IF(MIN(H44,L44,P44,T44,X44,AB44)&lt;&gt;0,MIN(H44,L44,P44,T44,X44,AB44),"")</f>
        <v/>
      </c>
      <c r="AF44" s="200"/>
      <c r="AG44" s="199"/>
      <c r="AH44" s="200"/>
      <c r="AI44" s="199"/>
      <c r="AJ44" s="161" t="str">
        <f>IF(AD44="","",IF(ISBLANK(AF44),"En cours",AD44+AF44))</f>
        <v/>
      </c>
      <c r="AK44" s="161" t="str">
        <f>IF(AE44="","",IF(ISBLANK(AH44),"En cours",AE44+AH44))</f>
        <v/>
      </c>
    </row>
    <row r="45" spans="2:37" ht="21" x14ac:dyDescent="0.35"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  <c r="AA45" s="199"/>
      <c r="AB45" s="199"/>
      <c r="AC45" s="199"/>
      <c r="AD45" s="200" t="str">
        <f>IF(MIN(F45,J45,N45,R45,V45,Z45)&lt;&gt;0,MIN(F45,J45,N45,R45,V45,Z45),"")</f>
        <v/>
      </c>
      <c r="AE45" s="200" t="str">
        <f>IF(MIN(H45,L45,P45,T45,X45,AB45)&lt;&gt;0,MIN(H45,L45,P45,T45,X45,AB45),"")</f>
        <v/>
      </c>
      <c r="AF45" s="200"/>
      <c r="AG45" s="199"/>
      <c r="AH45" s="200"/>
      <c r="AI45" s="199"/>
      <c r="AJ45" s="161" t="str">
        <f>IF(AD45="","",IF(ISBLANK(AF45),"En cours",AD45+AF45))</f>
        <v/>
      </c>
      <c r="AK45" s="161" t="str">
        <f>IF(AE45="","",IF(ISBLANK(AH45),"En cours",AE45+AH45))</f>
        <v/>
      </c>
    </row>
    <row r="46" spans="2:37" ht="21" x14ac:dyDescent="0.35"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  <c r="AA46" s="199"/>
      <c r="AB46" s="199"/>
      <c r="AC46" s="199"/>
      <c r="AD46" s="200" t="str">
        <f>IF(MIN(F46,J46,N46,R46,V46,Z46)&lt;&gt;0,MIN(F46,J46,N46,R46,V46,Z46),"")</f>
        <v/>
      </c>
      <c r="AE46" s="200" t="str">
        <f>IF(MIN(H46,L46,P46,T46,X46,AB46)&lt;&gt;0,MIN(H46,L46,P46,T46,X46,AB46),"")</f>
        <v/>
      </c>
      <c r="AF46" s="200"/>
      <c r="AG46" s="199"/>
      <c r="AH46" s="200"/>
      <c r="AI46" s="199"/>
      <c r="AJ46" s="161" t="str">
        <f>IF(AD46="","",IF(ISBLANK(AF46),"En cours",AD46+AF46))</f>
        <v/>
      </c>
      <c r="AK46" s="161" t="str">
        <f>IF(AE46="","",IF(ISBLANK(AH46),"En cours",AE46+AH46))</f>
        <v/>
      </c>
    </row>
    <row r="47" spans="2:37" ht="21" x14ac:dyDescent="0.3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199"/>
      <c r="AA47" s="199"/>
      <c r="AB47" s="199"/>
      <c r="AC47" s="199"/>
      <c r="AD47" s="200" t="str">
        <f>IF(MIN(F47,J47,N47,R47,V47,Z47)&lt;&gt;0,MIN(F47,J47,N47,R47,V47,Z47),"")</f>
        <v/>
      </c>
      <c r="AE47" s="200" t="str">
        <f>IF(MIN(H47,L47,P47,T47,X47,AB47)&lt;&gt;0,MIN(H47,L47,P47,T47,X47,AB47),"")</f>
        <v/>
      </c>
      <c r="AF47" s="200"/>
      <c r="AG47" s="199"/>
      <c r="AH47" s="200"/>
      <c r="AI47" s="199"/>
      <c r="AJ47" s="161" t="str">
        <f>IF(AD47="","",IF(ISBLANK(AF47),"En cours",AD47+AF47))</f>
        <v/>
      </c>
      <c r="AK47" s="161" t="str">
        <f>IF(AE47="","",IF(ISBLANK(AH47),"En cours",AE47+AH47))</f>
        <v/>
      </c>
    </row>
    <row r="48" spans="2:37" ht="21" x14ac:dyDescent="0.35"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  <c r="Y48" s="199"/>
      <c r="Z48" s="199"/>
      <c r="AA48" s="199"/>
      <c r="AB48" s="199"/>
      <c r="AC48" s="199"/>
      <c r="AD48" s="200" t="str">
        <f>IF(MIN(F48,J48,N48,R48,V48,Z48)&lt;&gt;0,MIN(F48,J48,N48,R48,V48,Z48),"")</f>
        <v/>
      </c>
      <c r="AE48" s="200" t="str">
        <f>IF(MIN(H48,L48,P48,T48,X48,AB48)&lt;&gt;0,MIN(H48,L48,P48,T48,X48,AB48),"")</f>
        <v/>
      </c>
      <c r="AF48" s="200"/>
      <c r="AG48" s="199"/>
      <c r="AH48" s="200"/>
      <c r="AI48" s="199"/>
      <c r="AJ48" s="161" t="str">
        <f>IF(AD48="","",IF(ISBLANK(AF48),"En cours",AD48+AF48))</f>
        <v/>
      </c>
      <c r="AK48" s="161" t="str">
        <f>IF(AE48="","",IF(ISBLANK(AH48),"En cours",AE48+AH48))</f>
        <v/>
      </c>
    </row>
    <row r="49" spans="2:37" ht="21" x14ac:dyDescent="0.35"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  <c r="Y49" s="199"/>
      <c r="Z49" s="199"/>
      <c r="AA49" s="199"/>
      <c r="AB49" s="199"/>
      <c r="AC49" s="199"/>
      <c r="AD49" s="200" t="str">
        <f>IF(MIN(F49,J49,N49,R49,V49,Z49)&lt;&gt;0,MIN(F49,J49,N49,R49,V49,Z49),"")</f>
        <v/>
      </c>
      <c r="AE49" s="200" t="str">
        <f>IF(MIN(H49,L49,P49,T49,X49,AB49)&lt;&gt;0,MIN(H49,L49,P49,T49,X49,AB49),"")</f>
        <v/>
      </c>
      <c r="AF49" s="200"/>
      <c r="AG49" s="199"/>
      <c r="AH49" s="200"/>
      <c r="AI49" s="199"/>
      <c r="AJ49" s="161" t="str">
        <f>IF(AD49="","",IF(ISBLANK(AF49),"En cours",AD49+AF49))</f>
        <v/>
      </c>
      <c r="AK49" s="161" t="str">
        <f>IF(AE49="","",IF(ISBLANK(AH49),"En cours",AE49+AH49))</f>
        <v/>
      </c>
    </row>
    <row r="50" spans="2:37" ht="21" x14ac:dyDescent="0.35"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199"/>
      <c r="W50" s="199"/>
      <c r="X50" s="199"/>
      <c r="Y50" s="199"/>
      <c r="Z50" s="199"/>
      <c r="AA50" s="199"/>
      <c r="AB50" s="199"/>
      <c r="AC50" s="199"/>
      <c r="AD50" s="200" t="str">
        <f>IF(MIN(F50,J50,N50,R50,V50,Z50)&lt;&gt;0,MIN(F50,J50,N50,R50,V50,Z50),"")</f>
        <v/>
      </c>
      <c r="AE50" s="200" t="str">
        <f>IF(MIN(H50,L50,P50,T50,X50,AB50)&lt;&gt;0,MIN(H50,L50,P50,T50,X50,AB50),"")</f>
        <v/>
      </c>
      <c r="AF50" s="200"/>
      <c r="AG50" s="199"/>
      <c r="AH50" s="200"/>
      <c r="AI50" s="199"/>
      <c r="AJ50" s="161" t="str">
        <f>IF(AD50="","",IF(ISBLANK(AF50),"En cours",AD50+AF50))</f>
        <v/>
      </c>
      <c r="AK50" s="161" t="str">
        <f>IF(AE50="","",IF(ISBLANK(AH50),"En cours",AE50+AH50))</f>
        <v/>
      </c>
    </row>
    <row r="51" spans="2:37" ht="21" x14ac:dyDescent="0.35"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199"/>
      <c r="X51" s="199"/>
      <c r="Y51" s="199"/>
      <c r="Z51" s="199"/>
      <c r="AA51" s="199"/>
      <c r="AB51" s="199"/>
      <c r="AC51" s="199"/>
      <c r="AD51" s="200" t="str">
        <f>IF(MIN(F51,J51,N51,R51,V51,Z51)&lt;&gt;0,MIN(F51,J51,N51,R51,V51,Z51),"")</f>
        <v/>
      </c>
      <c r="AE51" s="200" t="str">
        <f>IF(MIN(H51,L51,P51,T51,X51,AB51)&lt;&gt;0,MIN(H51,L51,P51,T51,X51,AB51),"")</f>
        <v/>
      </c>
      <c r="AF51" s="200"/>
      <c r="AG51" s="199"/>
      <c r="AH51" s="200"/>
      <c r="AI51" s="199"/>
      <c r="AJ51" s="161" t="str">
        <f>IF(AD51="","",IF(ISBLANK(AF51),"En cours",AD51+AF51))</f>
        <v/>
      </c>
      <c r="AK51" s="161" t="str">
        <f>IF(AE51="","",IF(ISBLANK(AH51),"En cours",AE51+AH51))</f>
        <v/>
      </c>
    </row>
    <row r="52" spans="2:37" ht="21" x14ac:dyDescent="0.35"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  <c r="AD52" s="200" t="str">
        <f>IF(MIN(F52,J52,N52,R52,V52,Z52)&lt;&gt;0,MIN(F52,J52,N52,R52,V52,Z52),"")</f>
        <v/>
      </c>
      <c r="AE52" s="200" t="str">
        <f>IF(MIN(H52,L52,P52,T52,X52,AB52)&lt;&gt;0,MIN(H52,L52,P52,T52,X52,AB52),"")</f>
        <v/>
      </c>
      <c r="AF52" s="200"/>
      <c r="AG52" s="199"/>
      <c r="AH52" s="200"/>
      <c r="AI52" s="199"/>
      <c r="AJ52" s="161" t="str">
        <f>IF(AD52="","",IF(ISBLANK(AF52),"En cours",AD52+AF52))</f>
        <v/>
      </c>
      <c r="AK52" s="161" t="str">
        <f>IF(AE52="","",IF(ISBLANK(AH52),"En cours",AE52+AH52))</f>
        <v/>
      </c>
    </row>
    <row r="53" spans="2:37" ht="21" x14ac:dyDescent="0.35"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  <c r="AA53" s="199"/>
      <c r="AB53" s="199"/>
      <c r="AC53" s="199"/>
      <c r="AD53" s="200" t="str">
        <f>IF(MIN(F53,J53,N53,R53,V53,Z53)&lt;&gt;0,MIN(F53,J53,N53,R53,V53,Z53),"")</f>
        <v/>
      </c>
      <c r="AE53" s="200" t="str">
        <f>IF(MIN(H53,L53,P53,T53,X53,AB53)&lt;&gt;0,MIN(H53,L53,P53,T53,X53,AB53),"")</f>
        <v/>
      </c>
      <c r="AF53" s="200"/>
      <c r="AG53" s="199"/>
      <c r="AH53" s="200"/>
      <c r="AI53" s="199"/>
      <c r="AJ53" s="161" t="str">
        <f>IF(AD53="","",IF(ISBLANK(AF53),"En cours",AD53+AF53))</f>
        <v/>
      </c>
      <c r="AK53" s="161" t="str">
        <f>IF(AE53="","",IF(ISBLANK(AH53),"En cours",AE53+AH53))</f>
        <v/>
      </c>
    </row>
    <row r="54" spans="2:37" ht="21" x14ac:dyDescent="0.35"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199"/>
      <c r="P54" s="199"/>
      <c r="Q54" s="199"/>
      <c r="R54" s="199"/>
      <c r="S54" s="199"/>
      <c r="T54" s="199"/>
      <c r="U54" s="199"/>
      <c r="V54" s="199"/>
      <c r="W54" s="199"/>
      <c r="X54" s="199"/>
      <c r="Y54" s="199"/>
      <c r="Z54" s="199"/>
      <c r="AA54" s="199"/>
      <c r="AB54" s="199"/>
      <c r="AC54" s="199"/>
      <c r="AD54" s="200" t="str">
        <f>IF(MIN(F54,J54,N54,R54,V54,Z54)&lt;&gt;0,MIN(F54,J54,N54,R54,V54,Z54),"")</f>
        <v/>
      </c>
      <c r="AE54" s="200" t="str">
        <f>IF(MIN(H54,L54,P54,T54,X54,AB54)&lt;&gt;0,MIN(H54,L54,P54,T54,X54,AB54),"")</f>
        <v/>
      </c>
      <c r="AF54" s="200"/>
      <c r="AG54" s="199"/>
      <c r="AH54" s="200"/>
      <c r="AI54" s="199"/>
      <c r="AJ54" s="161" t="str">
        <f>IF(AD54="","",IF(ISBLANK(AF54),"En cours",AD54+AF54))</f>
        <v/>
      </c>
      <c r="AK54" s="161" t="str">
        <f>IF(AE54="","",IF(ISBLANK(AH54),"En cours",AE54+AH54))</f>
        <v/>
      </c>
    </row>
    <row r="55" spans="2:37" ht="21" x14ac:dyDescent="0.35"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  <c r="S55" s="199"/>
      <c r="T55" s="199"/>
      <c r="U55" s="199"/>
      <c r="V55" s="199"/>
      <c r="W55" s="199"/>
      <c r="X55" s="199"/>
      <c r="Y55" s="199"/>
      <c r="Z55" s="199"/>
      <c r="AA55" s="199"/>
      <c r="AB55" s="199"/>
      <c r="AC55" s="199"/>
      <c r="AD55" s="200" t="str">
        <f>IF(MIN(F55,J55,N55,R55,V55,Z55)&lt;&gt;0,MIN(F55,J55,N55,R55,V55,Z55),"")</f>
        <v/>
      </c>
      <c r="AE55" s="200" t="str">
        <f>IF(MIN(H55,L55,P55,T55,X55,AB55)&lt;&gt;0,MIN(H55,L55,P55,T55,X55,AB55),"")</f>
        <v/>
      </c>
      <c r="AF55" s="200"/>
      <c r="AG55" s="199"/>
      <c r="AH55" s="200"/>
      <c r="AI55" s="199"/>
      <c r="AJ55" s="161" t="str">
        <f>IF(AD55="","",IF(ISBLANK(AF55),"En cours",AD55+AF55))</f>
        <v/>
      </c>
      <c r="AK55" s="161" t="str">
        <f>IF(AE55="","",IF(ISBLANK(AH55),"En cours",AE55+AH55))</f>
        <v/>
      </c>
    </row>
    <row r="56" spans="2:37" ht="21" x14ac:dyDescent="0.35"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  <c r="S56" s="199"/>
      <c r="T56" s="199"/>
      <c r="U56" s="199"/>
      <c r="V56" s="199"/>
      <c r="W56" s="199"/>
      <c r="X56" s="199"/>
      <c r="Y56" s="199"/>
      <c r="Z56" s="199"/>
      <c r="AA56" s="199"/>
      <c r="AB56" s="199"/>
      <c r="AC56" s="199"/>
      <c r="AD56" s="200" t="str">
        <f>IF(MIN(F56,J56,N56,R56,V56,Z56)&lt;&gt;0,MIN(F56,J56,N56,R56,V56,Z56),"")</f>
        <v/>
      </c>
      <c r="AE56" s="200" t="str">
        <f>IF(MIN(H56,L56,P56,T56,X56,AB56)&lt;&gt;0,MIN(H56,L56,P56,T56,X56,AB56),"")</f>
        <v/>
      </c>
      <c r="AF56" s="200"/>
      <c r="AG56" s="199"/>
      <c r="AH56" s="200"/>
      <c r="AI56" s="199"/>
      <c r="AJ56" s="161" t="str">
        <f>IF(AD56="","",IF(ISBLANK(AF56),"En cours",AD56+AF56))</f>
        <v/>
      </c>
      <c r="AK56" s="161" t="str">
        <f>IF(AE56="","",IF(ISBLANK(AH56),"En cours",AE56+AH56))</f>
        <v/>
      </c>
    </row>
    <row r="57" spans="2:37" ht="21" x14ac:dyDescent="0.35"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  <c r="S57" s="199"/>
      <c r="T57" s="199"/>
      <c r="U57" s="199"/>
      <c r="V57" s="199"/>
      <c r="W57" s="199"/>
      <c r="X57" s="199"/>
      <c r="Y57" s="199"/>
      <c r="Z57" s="199"/>
      <c r="AA57" s="199"/>
      <c r="AB57" s="199"/>
      <c r="AC57" s="199"/>
      <c r="AD57" s="200" t="str">
        <f>IF(MIN(F57,J57,N57,R57,V57,Z57)&lt;&gt;0,MIN(F57,J57,N57,R57,V57,Z57),"")</f>
        <v/>
      </c>
      <c r="AE57" s="200" t="str">
        <f>IF(MIN(H57,L57,P57,T57,X57,AB57)&lt;&gt;0,MIN(H57,L57,P57,T57,X57,AB57),"")</f>
        <v/>
      </c>
      <c r="AF57" s="200"/>
      <c r="AG57" s="199"/>
      <c r="AH57" s="200"/>
      <c r="AI57" s="199"/>
      <c r="AJ57" s="161" t="str">
        <f>IF(AD57="","",IF(ISBLANK(AF57),"En cours",AD57+AF57))</f>
        <v/>
      </c>
      <c r="AK57" s="161" t="str">
        <f>IF(AE57="","",IF(ISBLANK(AH57),"En cours",AE57+AH57))</f>
        <v/>
      </c>
    </row>
    <row r="58" spans="2:37" ht="21" x14ac:dyDescent="0.35"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  <c r="S58" s="199"/>
      <c r="T58" s="199"/>
      <c r="U58" s="199"/>
      <c r="V58" s="199"/>
      <c r="W58" s="199"/>
      <c r="X58" s="199"/>
      <c r="Y58" s="199"/>
      <c r="Z58" s="199"/>
      <c r="AA58" s="199"/>
      <c r="AB58" s="199"/>
      <c r="AC58" s="199"/>
      <c r="AD58" s="200" t="str">
        <f>IF(MIN(F58,J58,N58,R58,V58,Z58)&lt;&gt;0,MIN(F58,J58,N58,R58,V58,Z58),"")</f>
        <v/>
      </c>
      <c r="AE58" s="200" t="str">
        <f>IF(MIN(H58,L58,P58,T58,X58,AB58)&lt;&gt;0,MIN(H58,L58,P58,T58,X58,AB58),"")</f>
        <v/>
      </c>
      <c r="AF58" s="200"/>
      <c r="AG58" s="199"/>
      <c r="AH58" s="200"/>
      <c r="AI58" s="199"/>
      <c r="AJ58" s="161" t="str">
        <f>IF(AD58="","",IF(ISBLANK(AF58),"En cours",AD58+AF58))</f>
        <v/>
      </c>
      <c r="AK58" s="161" t="str">
        <f>IF(AE58="","",IF(ISBLANK(AH58),"En cours",AE58+AH58))</f>
        <v/>
      </c>
    </row>
    <row r="59" spans="2:37" ht="21" x14ac:dyDescent="0.35"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99"/>
      <c r="S59" s="199"/>
      <c r="T59" s="199"/>
      <c r="U59" s="199"/>
      <c r="V59" s="199"/>
      <c r="W59" s="199"/>
      <c r="X59" s="199"/>
      <c r="Y59" s="199"/>
      <c r="Z59" s="199"/>
      <c r="AA59" s="199"/>
      <c r="AB59" s="199"/>
      <c r="AC59" s="199"/>
      <c r="AD59" s="200" t="str">
        <f>IF(MIN(F59,J59,N59,R59,V59,Z59)&lt;&gt;0,MIN(F59,J59,N59,R59,V59,Z59),"")</f>
        <v/>
      </c>
      <c r="AE59" s="200" t="str">
        <f>IF(MIN(H59,L59,P59,T59,X59,AB59)&lt;&gt;0,MIN(H59,L59,P59,T59,X59,AB59),"")</f>
        <v/>
      </c>
      <c r="AF59" s="200"/>
      <c r="AG59" s="199"/>
      <c r="AH59" s="200"/>
      <c r="AI59" s="199"/>
      <c r="AJ59" s="161" t="str">
        <f>IF(AD59="","",IF(ISBLANK(AF59),"En cours",AD59+AF59))</f>
        <v/>
      </c>
      <c r="AK59" s="161" t="str">
        <f>IF(AE59="","",IF(ISBLANK(AH59),"En cours",AE59+AH59))</f>
        <v/>
      </c>
    </row>
    <row r="60" spans="2:37" ht="21" x14ac:dyDescent="0.35"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9"/>
      <c r="V60" s="199"/>
      <c r="W60" s="199"/>
      <c r="X60" s="199"/>
      <c r="Y60" s="199"/>
      <c r="Z60" s="199"/>
      <c r="AA60" s="199"/>
      <c r="AB60" s="199"/>
      <c r="AC60" s="199"/>
      <c r="AD60" s="200" t="str">
        <f>IF(MIN(F60,J60,N60,R60,V60,Z60)&lt;&gt;0,MIN(F60,J60,N60,R60,V60,Z60),"")</f>
        <v/>
      </c>
      <c r="AE60" s="200" t="str">
        <f>IF(MIN(H60,L60,P60,T60,X60,AB60)&lt;&gt;0,MIN(H60,L60,P60,T60,X60,AB60),"")</f>
        <v/>
      </c>
      <c r="AF60" s="200"/>
      <c r="AG60" s="199"/>
      <c r="AH60" s="200"/>
      <c r="AI60" s="199"/>
      <c r="AJ60" s="161" t="str">
        <f>IF(AD60="","",IF(ISBLANK(AF60),"En cours",AD60+AF60))</f>
        <v/>
      </c>
      <c r="AK60" s="161" t="str">
        <f>IF(AE60="","",IF(ISBLANK(AH60),"En cours",AE60+AH60))</f>
        <v/>
      </c>
    </row>
    <row r="61" spans="2:37" ht="21" x14ac:dyDescent="0.35"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  <c r="S61" s="199"/>
      <c r="T61" s="199"/>
      <c r="U61" s="199"/>
      <c r="V61" s="199"/>
      <c r="W61" s="199"/>
      <c r="X61" s="199"/>
      <c r="Y61" s="199"/>
      <c r="Z61" s="199"/>
      <c r="AA61" s="199"/>
      <c r="AB61" s="199"/>
      <c r="AC61" s="199"/>
      <c r="AD61" s="200" t="str">
        <f>IF(MIN(F61,J61,N61,R61,V61,Z61)&lt;&gt;0,MIN(F61,J61,N61,R61,V61,Z61),"")</f>
        <v/>
      </c>
      <c r="AE61" s="200" t="str">
        <f>IF(MIN(H61,L61,P61,T61,X61,AB61)&lt;&gt;0,MIN(H61,L61,P61,T61,X61,AB61),"")</f>
        <v/>
      </c>
      <c r="AF61" s="200"/>
      <c r="AG61" s="199"/>
      <c r="AH61" s="200"/>
      <c r="AI61" s="199"/>
      <c r="AJ61" s="161" t="str">
        <f>IF(AD61="","",IF(ISBLANK(AF61),"En cours",AD61+AF61))</f>
        <v/>
      </c>
      <c r="AK61" s="161" t="str">
        <f>IF(AE61="","",IF(ISBLANK(AH61),"En cours",AE61+AH61))</f>
        <v/>
      </c>
    </row>
    <row r="62" spans="2:37" ht="21" x14ac:dyDescent="0.35">
      <c r="B62" s="199"/>
      <c r="C62" s="199"/>
      <c r="D62" s="199"/>
      <c r="E62" s="199"/>
      <c r="F62" s="199"/>
      <c r="G62" s="199"/>
      <c r="H62" s="199"/>
      <c r="I62" s="199"/>
      <c r="J62" s="199"/>
      <c r="K62" s="199"/>
      <c r="L62" s="199"/>
      <c r="M62" s="199"/>
      <c r="N62" s="199"/>
      <c r="O62" s="199"/>
      <c r="P62" s="199"/>
      <c r="Q62" s="199"/>
      <c r="R62" s="199"/>
      <c r="S62" s="199"/>
      <c r="T62" s="199"/>
      <c r="U62" s="199"/>
      <c r="V62" s="199"/>
      <c r="W62" s="199"/>
      <c r="X62" s="199"/>
      <c r="Y62" s="199"/>
      <c r="Z62" s="199"/>
      <c r="AA62" s="199"/>
      <c r="AB62" s="199"/>
      <c r="AC62" s="199"/>
      <c r="AD62" s="200" t="str">
        <f>IF(MIN(F62,J62,N62,R62,V62,Z62)&lt;&gt;0,MIN(F62,J62,N62,R62,V62,Z62),"")</f>
        <v/>
      </c>
      <c r="AE62" s="200" t="str">
        <f>IF(MIN(H62,L62,P62,T62,X62,AB62)&lt;&gt;0,MIN(H62,L62,P62,T62,X62,AB62),"")</f>
        <v/>
      </c>
      <c r="AF62" s="200"/>
      <c r="AG62" s="199"/>
      <c r="AH62" s="200"/>
      <c r="AI62" s="199"/>
      <c r="AJ62" s="161" t="str">
        <f>IF(AD62="","",IF(ISBLANK(AF62),"En cours",AD62+AF62))</f>
        <v/>
      </c>
      <c r="AK62" s="161" t="str">
        <f>IF(AE62="","",IF(ISBLANK(AH62),"En cours",AE62+AH62))</f>
        <v/>
      </c>
    </row>
    <row r="63" spans="2:37" ht="21" x14ac:dyDescent="0.35"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  <c r="S63" s="199"/>
      <c r="T63" s="199"/>
      <c r="U63" s="199"/>
      <c r="V63" s="199"/>
      <c r="W63" s="199"/>
      <c r="X63" s="199"/>
      <c r="Y63" s="199"/>
      <c r="Z63" s="199"/>
      <c r="AA63" s="199"/>
      <c r="AB63" s="199"/>
      <c r="AC63" s="199"/>
      <c r="AD63" s="200" t="str">
        <f>IF(MIN(F63,J63,N63,R63,V63,Z63)&lt;&gt;0,MIN(F63,J63,N63,R63,V63,Z63),"")</f>
        <v/>
      </c>
      <c r="AE63" s="200" t="str">
        <f>IF(MIN(H63,L63,P63,T63,X63,AB63)&lt;&gt;0,MIN(H63,L63,P63,T63,X63,AB63),"")</f>
        <v/>
      </c>
      <c r="AF63" s="200"/>
      <c r="AG63" s="199"/>
      <c r="AH63" s="200"/>
      <c r="AI63" s="199"/>
      <c r="AJ63" s="161" t="str">
        <f>IF(AD63="","",IF(ISBLANK(AF63),"En cours",AD63+AF63))</f>
        <v/>
      </c>
      <c r="AK63" s="161" t="str">
        <f>IF(AE63="","",IF(ISBLANK(AH63),"En cours",AE63+AH63))</f>
        <v/>
      </c>
    </row>
    <row r="64" spans="2:37" ht="21" x14ac:dyDescent="0.35">
      <c r="B64" s="199"/>
      <c r="C64" s="199"/>
      <c r="D64" s="199"/>
      <c r="E64" s="199"/>
      <c r="F64" s="199"/>
      <c r="G64" s="199"/>
      <c r="H64" s="199"/>
      <c r="I64" s="199"/>
      <c r="J64" s="199"/>
      <c r="K64" s="199"/>
      <c r="L64" s="199"/>
      <c r="M64" s="199"/>
      <c r="N64" s="199"/>
      <c r="O64" s="199"/>
      <c r="P64" s="199"/>
      <c r="Q64" s="199"/>
      <c r="R64" s="199"/>
      <c r="S64" s="199"/>
      <c r="T64" s="199"/>
      <c r="U64" s="199"/>
      <c r="V64" s="199"/>
      <c r="W64" s="199"/>
      <c r="X64" s="199"/>
      <c r="Y64" s="199"/>
      <c r="Z64" s="199"/>
      <c r="AA64" s="199"/>
      <c r="AB64" s="199"/>
      <c r="AC64" s="199"/>
      <c r="AD64" s="200" t="str">
        <f>IF(MIN(F64,J64,N64,R64,V64,Z64)&lt;&gt;0,MIN(F64,J64,N64,R64,V64,Z64),"")</f>
        <v/>
      </c>
      <c r="AE64" s="200" t="str">
        <f>IF(MIN(H64,L64,P64,T64,X64,AB64)&lt;&gt;0,MIN(H64,L64,P64,T64,X64,AB64),"")</f>
        <v/>
      </c>
      <c r="AF64" s="200"/>
      <c r="AG64" s="199"/>
      <c r="AH64" s="200"/>
      <c r="AI64" s="199"/>
      <c r="AJ64" s="161" t="str">
        <f>IF(AD64="","",IF(ISBLANK(AF64),"En cours",AD64+AF64))</f>
        <v/>
      </c>
      <c r="AK64" s="161" t="str">
        <f>IF(AE64="","",IF(ISBLANK(AH64),"En cours",AE64+AH64))</f>
        <v/>
      </c>
    </row>
    <row r="65" spans="2:37" ht="21" x14ac:dyDescent="0.35"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199"/>
      <c r="V65" s="199"/>
      <c r="W65" s="199"/>
      <c r="X65" s="199"/>
      <c r="Y65" s="199"/>
      <c r="Z65" s="199"/>
      <c r="AA65" s="199"/>
      <c r="AB65" s="199"/>
      <c r="AC65" s="199"/>
      <c r="AD65" s="200" t="str">
        <f>IF(MIN(F65,J65,N65,R65,V65,Z65)&lt;&gt;0,MIN(F65,J65,N65,R65,V65,Z65),"")</f>
        <v/>
      </c>
      <c r="AE65" s="200" t="str">
        <f>IF(MIN(H65,L65,P65,T65,X65,AB65)&lt;&gt;0,MIN(H65,L65,P65,T65,X65,AB65),"")</f>
        <v/>
      </c>
      <c r="AF65" s="200"/>
      <c r="AG65" s="199"/>
      <c r="AH65" s="200"/>
      <c r="AI65" s="199"/>
      <c r="AJ65" s="161" t="str">
        <f>IF(AD65="","",IF(ISBLANK(AF65),"En cours",AD65+AF65))</f>
        <v/>
      </c>
      <c r="AK65" s="161" t="str">
        <f>IF(AE65="","",IF(ISBLANK(AH65),"En cours",AE65+AH65))</f>
        <v/>
      </c>
    </row>
    <row r="66" spans="2:37" ht="21" x14ac:dyDescent="0.35"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  <c r="AA66" s="199"/>
      <c r="AB66" s="199"/>
      <c r="AC66" s="199"/>
      <c r="AD66" s="200" t="str">
        <f>IF(MIN(F66,J66,N66,R66,V66,Z66)&lt;&gt;0,MIN(F66,J66,N66,R66,V66,Z66),"")</f>
        <v/>
      </c>
      <c r="AE66" s="200" t="str">
        <f>IF(MIN(H66,L66,P66,T66,X66,AB66)&lt;&gt;0,MIN(H66,L66,P66,T66,X66,AB66),"")</f>
        <v/>
      </c>
      <c r="AF66" s="200"/>
      <c r="AG66" s="199"/>
      <c r="AH66" s="200"/>
      <c r="AI66" s="199"/>
      <c r="AJ66" s="161" t="str">
        <f>IF(AD66="","",IF(ISBLANK(AF66),"En cours",AD66+AF66))</f>
        <v/>
      </c>
      <c r="AK66" s="161" t="str">
        <f>IF(AE66="","",IF(ISBLANK(AH66),"En cours",AE66+AH66))</f>
        <v/>
      </c>
    </row>
    <row r="67" spans="2:37" ht="21" x14ac:dyDescent="0.35"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  <c r="S67" s="199"/>
      <c r="T67" s="199"/>
      <c r="U67" s="199"/>
      <c r="V67" s="199"/>
      <c r="W67" s="199"/>
      <c r="X67" s="199"/>
      <c r="Y67" s="199"/>
      <c r="Z67" s="199"/>
      <c r="AA67" s="199"/>
      <c r="AB67" s="199"/>
      <c r="AC67" s="199"/>
      <c r="AD67" s="200" t="str">
        <f>IF(MIN(F67,J67,N67,R67,V67,Z67)&lt;&gt;0,MIN(F67,J67,N67,R67,V67,Z67),"")</f>
        <v/>
      </c>
      <c r="AE67" s="200" t="str">
        <f>IF(MIN(H67,L67,P67,T67,X67,AB67)&lt;&gt;0,MIN(H67,L67,P67,T67,X67,AB67),"")</f>
        <v/>
      </c>
      <c r="AF67" s="200"/>
      <c r="AG67" s="199"/>
      <c r="AH67" s="200"/>
      <c r="AI67" s="199"/>
      <c r="AJ67" s="161" t="str">
        <f>IF(AD67="","",IF(ISBLANK(AF67),"En cours",AD67+AF67))</f>
        <v/>
      </c>
      <c r="AK67" s="161" t="str">
        <f>IF(AE67="","",IF(ISBLANK(AH67),"En cours",AE67+AH67))</f>
        <v/>
      </c>
    </row>
    <row r="68" spans="2:37" ht="21" x14ac:dyDescent="0.35">
      <c r="B68" s="199"/>
      <c r="C68" s="199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99"/>
      <c r="V68" s="199"/>
      <c r="W68" s="199"/>
      <c r="X68" s="199"/>
      <c r="Y68" s="199"/>
      <c r="Z68" s="199"/>
      <c r="AA68" s="199"/>
      <c r="AB68" s="199"/>
      <c r="AC68" s="199"/>
      <c r="AD68" s="200" t="str">
        <f>IF(MIN(F68,J68,N68,R68,V68,Z68)&lt;&gt;0,MIN(F68,J68,N68,R68,V68,Z68),"")</f>
        <v/>
      </c>
      <c r="AE68" s="200" t="str">
        <f>IF(MIN(H68,L68,P68,T68,X68,AB68)&lt;&gt;0,MIN(H68,L68,P68,T68,X68,AB68),"")</f>
        <v/>
      </c>
      <c r="AF68" s="200"/>
      <c r="AG68" s="199"/>
      <c r="AH68" s="200"/>
      <c r="AI68" s="199"/>
      <c r="AJ68" s="161" t="str">
        <f>IF(AD68="","",IF(ISBLANK(AF68),"En cours",AD68+AF68))</f>
        <v/>
      </c>
      <c r="AK68" s="161" t="str">
        <f>IF(AE68="","",IF(ISBLANK(AH68),"En cours",AE68+AH68))</f>
        <v/>
      </c>
    </row>
    <row r="69" spans="2:37" ht="21" x14ac:dyDescent="0.35"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  <c r="AB69" s="199"/>
      <c r="AC69" s="199"/>
      <c r="AD69" s="200" t="str">
        <f>IF(MIN(F69,J69,N69,R69,V69,Z69)&lt;&gt;0,MIN(F69,J69,N69,R69,V69,Z69),"")</f>
        <v/>
      </c>
      <c r="AE69" s="200" t="str">
        <f>IF(MIN(H69,L69,P69,T69,X69,AB69)&lt;&gt;0,MIN(H69,L69,P69,T69,X69,AB69),"")</f>
        <v/>
      </c>
      <c r="AF69" s="200"/>
      <c r="AG69" s="199"/>
      <c r="AH69" s="200"/>
      <c r="AI69" s="199"/>
      <c r="AJ69" s="161" t="str">
        <f>IF(AD69="","",IF(ISBLANK(AF69),"En cours",AD69+AF69))</f>
        <v/>
      </c>
      <c r="AK69" s="161" t="str">
        <f>IF(AE69="","",IF(ISBLANK(AH69),"En cours",AE69+AH69))</f>
        <v/>
      </c>
    </row>
    <row r="70" spans="2:37" ht="21" x14ac:dyDescent="0.35">
      <c r="B70" s="199"/>
      <c r="C70" s="199"/>
      <c r="D70" s="199"/>
      <c r="E70" s="199"/>
      <c r="F70" s="199"/>
      <c r="G70" s="199"/>
      <c r="H70" s="199"/>
      <c r="I70" s="199"/>
      <c r="J70" s="199"/>
      <c r="K70" s="199"/>
      <c r="L70" s="199"/>
      <c r="M70" s="199"/>
      <c r="N70" s="199"/>
      <c r="O70" s="199"/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  <c r="AA70" s="199"/>
      <c r="AB70" s="199"/>
      <c r="AC70" s="199"/>
      <c r="AD70" s="200" t="str">
        <f>IF(MIN(F70,J70,N70,R70,V70,Z70)&lt;&gt;0,MIN(F70,J70,N70,R70,V70,Z70),"")</f>
        <v/>
      </c>
      <c r="AE70" s="200" t="str">
        <f>IF(MIN(H70,L70,P70,T70,X70,AB70)&lt;&gt;0,MIN(H70,L70,P70,T70,X70,AB70),"")</f>
        <v/>
      </c>
      <c r="AF70" s="200"/>
      <c r="AG70" s="199"/>
      <c r="AH70" s="200"/>
      <c r="AI70" s="199"/>
      <c r="AJ70" s="161" t="str">
        <f>IF(AD70="","",IF(ISBLANK(AF70),"En cours",AD70+AF70))</f>
        <v/>
      </c>
      <c r="AK70" s="161" t="str">
        <f>IF(AE70="","",IF(ISBLANK(AH70),"En cours",AE70+AH70))</f>
        <v/>
      </c>
    </row>
    <row r="71" spans="2:37" ht="21" x14ac:dyDescent="0.35">
      <c r="B71" s="199"/>
      <c r="C71" s="199"/>
      <c r="D71" s="199"/>
      <c r="E71" s="199"/>
      <c r="F71" s="199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  <c r="AA71" s="199"/>
      <c r="AB71" s="199"/>
      <c r="AC71" s="199"/>
      <c r="AD71" s="200" t="str">
        <f>IF(MIN(F71,J71,N71,R71,V71,Z71)&lt;&gt;0,MIN(F71,J71,N71,R71,V71,Z71),"")</f>
        <v/>
      </c>
      <c r="AE71" s="200" t="str">
        <f>IF(MIN(H71,L71,P71,T71,X71,AB71)&lt;&gt;0,MIN(H71,L71,P71,T71,X71,AB71),"")</f>
        <v/>
      </c>
      <c r="AF71" s="200"/>
      <c r="AG71" s="199"/>
      <c r="AH71" s="200"/>
      <c r="AI71" s="199"/>
      <c r="AJ71" s="161" t="str">
        <f>IF(AD71="","",IF(ISBLANK(AF71),"En cours",AD71+AF71))</f>
        <v/>
      </c>
      <c r="AK71" s="161" t="str">
        <f>IF(AE71="","",IF(ISBLANK(AH71),"En cours",AE71+AH71))</f>
        <v/>
      </c>
    </row>
    <row r="72" spans="2:37" ht="21" x14ac:dyDescent="0.35">
      <c r="B72" s="199"/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  <c r="AA72" s="199"/>
      <c r="AB72" s="199"/>
      <c r="AC72" s="199"/>
      <c r="AD72" s="200" t="str">
        <f>IF(MIN(F72,J72,N72,R72,V72,Z72)&lt;&gt;0,MIN(F72,J72,N72,R72,V72,Z72),"")</f>
        <v/>
      </c>
      <c r="AE72" s="200" t="str">
        <f>IF(MIN(H72,L72,P72,T72,X72,AB72)&lt;&gt;0,MIN(H72,L72,P72,T72,X72,AB72),"")</f>
        <v/>
      </c>
      <c r="AF72" s="200"/>
      <c r="AG72" s="199"/>
      <c r="AH72" s="200"/>
      <c r="AI72" s="199"/>
      <c r="AJ72" s="161" t="str">
        <f>IF(AD72="","",IF(ISBLANK(AF72),"En cours",AD72+AF72))</f>
        <v/>
      </c>
      <c r="AK72" s="161" t="str">
        <f>IF(AE72="","",IF(ISBLANK(AH72),"En cours",AE72+AH72))</f>
        <v/>
      </c>
    </row>
    <row r="73" spans="2:37" ht="21" x14ac:dyDescent="0.35"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  <c r="AA73" s="199"/>
      <c r="AB73" s="199"/>
      <c r="AC73" s="199"/>
      <c r="AD73" s="200" t="str">
        <f>IF(MIN(F73,J73,N73,R73,V73,Z73)&lt;&gt;0,MIN(F73,J73,N73,R73,V73,Z73),"")</f>
        <v/>
      </c>
      <c r="AE73" s="200" t="str">
        <f>IF(MIN(H73,L73,P73,T73,X73,AB73)&lt;&gt;0,MIN(H73,L73,P73,T73,X73,AB73),"")</f>
        <v/>
      </c>
      <c r="AF73" s="200"/>
      <c r="AG73" s="199"/>
      <c r="AH73" s="200"/>
      <c r="AI73" s="199"/>
      <c r="AJ73" s="161" t="str">
        <f>IF(AD73="","",IF(ISBLANK(AF73),"En cours",AD73+AF73))</f>
        <v/>
      </c>
      <c r="AK73" s="161" t="str">
        <f>IF(AE73="","",IF(ISBLANK(AH73),"En cours",AE73+AH73))</f>
        <v/>
      </c>
    </row>
    <row r="74" spans="2:37" ht="21" x14ac:dyDescent="0.35"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  <c r="AA74" s="199"/>
      <c r="AB74" s="199"/>
      <c r="AC74" s="199"/>
      <c r="AD74" s="200" t="str">
        <f>IF(MIN(F74,J74,N74,R74,V74,Z74)&lt;&gt;0,MIN(F74,J74,N74,R74,V74,Z74),"")</f>
        <v/>
      </c>
      <c r="AE74" s="200" t="str">
        <f>IF(MIN(H74,L74,P74,T74,X74,AB74)&lt;&gt;0,MIN(H74,L74,P74,T74,X74,AB74),"")</f>
        <v/>
      </c>
      <c r="AF74" s="200"/>
      <c r="AG74" s="199"/>
      <c r="AH74" s="200"/>
      <c r="AI74" s="199"/>
      <c r="AJ74" s="161" t="str">
        <f>IF(AD74="","",IF(ISBLANK(AF74),"En cours",AD74+AF74))</f>
        <v/>
      </c>
      <c r="AK74" s="161" t="str">
        <f>IF(AE74="","",IF(ISBLANK(AH74),"En cours",AE74+AH74))</f>
        <v/>
      </c>
    </row>
    <row r="75" spans="2:37" ht="21" x14ac:dyDescent="0.35"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  <c r="AB75" s="199"/>
      <c r="AC75" s="199"/>
      <c r="AD75" s="200" t="str">
        <f>IF(MIN(F75,J75,N75,R75,V75,Z75)&lt;&gt;0,MIN(F75,J75,N75,R75,V75,Z75),"")</f>
        <v/>
      </c>
      <c r="AE75" s="200" t="str">
        <f>IF(MIN(H75,L75,P75,T75,X75,AB75)&lt;&gt;0,MIN(H75,L75,P75,T75,X75,AB75),"")</f>
        <v/>
      </c>
      <c r="AF75" s="200"/>
      <c r="AG75" s="199"/>
      <c r="AH75" s="200"/>
      <c r="AI75" s="199"/>
      <c r="AJ75" s="161" t="str">
        <f>IF(AD75="","",IF(ISBLANK(AF75),"En cours",AD75+AF75))</f>
        <v/>
      </c>
      <c r="AK75" s="161" t="str">
        <f>IF(AE75="","",IF(ISBLANK(AH75),"En cours",AE75+AH75))</f>
        <v/>
      </c>
    </row>
    <row r="76" spans="2:37" ht="21" x14ac:dyDescent="0.35">
      <c r="B76" s="199"/>
      <c r="C76" s="199"/>
      <c r="D76" s="199"/>
      <c r="E76" s="199"/>
      <c r="F76" s="199"/>
      <c r="G76" s="199"/>
      <c r="H76" s="199"/>
      <c r="I76" s="199"/>
      <c r="J76" s="199"/>
      <c r="K76" s="199"/>
      <c r="L76" s="199"/>
      <c r="M76" s="199"/>
      <c r="N76" s="199"/>
      <c r="O76" s="199"/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  <c r="AA76" s="199"/>
      <c r="AB76" s="199"/>
      <c r="AC76" s="199"/>
      <c r="AD76" s="200" t="str">
        <f>IF(MIN(F76,J76,N76,R76,V76,Z76)&lt;&gt;0,MIN(F76,J76,N76,R76,V76,Z76),"")</f>
        <v/>
      </c>
      <c r="AE76" s="200" t="str">
        <f>IF(MIN(H76,L76,P76,T76,X76,AB76)&lt;&gt;0,MIN(H76,L76,P76,T76,X76,AB76),"")</f>
        <v/>
      </c>
      <c r="AF76" s="200"/>
      <c r="AG76" s="199"/>
      <c r="AH76" s="200"/>
      <c r="AI76" s="199"/>
      <c r="AJ76" s="161" t="str">
        <f>IF(AD76="","",IF(ISBLANK(AF76),"En cours",AD76+AF76))</f>
        <v/>
      </c>
      <c r="AK76" s="161" t="str">
        <f>IF(AE76="","",IF(ISBLANK(AH76),"En cours",AE76+AH76))</f>
        <v/>
      </c>
    </row>
    <row r="77" spans="2:37" ht="21" x14ac:dyDescent="0.35">
      <c r="B77" s="199"/>
      <c r="C77" s="199"/>
      <c r="D77" s="199"/>
      <c r="E77" s="199"/>
      <c r="F77" s="199"/>
      <c r="G77" s="199"/>
      <c r="H77" s="199"/>
      <c r="I77" s="199"/>
      <c r="J77" s="199"/>
      <c r="K77" s="199"/>
      <c r="L77" s="199"/>
      <c r="M77" s="199"/>
      <c r="N77" s="199"/>
      <c r="O77" s="199"/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  <c r="AA77" s="199"/>
      <c r="AB77" s="199"/>
      <c r="AC77" s="199"/>
      <c r="AD77" s="200" t="str">
        <f>IF(MIN(F77,J77,N77,R77,V77,Z77)&lt;&gt;0,MIN(F77,J77,N77,R77,V77,Z77),"")</f>
        <v/>
      </c>
      <c r="AE77" s="200" t="str">
        <f>IF(MIN(H77,L77,P77,T77,X77,AB77)&lt;&gt;0,MIN(H77,L77,P77,T77,X77,AB77),"")</f>
        <v/>
      </c>
      <c r="AF77" s="200"/>
      <c r="AG77" s="199"/>
      <c r="AH77" s="200"/>
      <c r="AI77" s="199"/>
      <c r="AJ77" s="161" t="str">
        <f>IF(AD77="","",IF(ISBLANK(AF77),"En cours",AD77+AF77))</f>
        <v/>
      </c>
      <c r="AK77" s="161" t="str">
        <f>IF(AE77="","",IF(ISBLANK(AH77),"En cours",AE77+AH77))</f>
        <v/>
      </c>
    </row>
    <row r="78" spans="2:37" ht="21" x14ac:dyDescent="0.35">
      <c r="B78" s="199"/>
      <c r="C78" s="199"/>
      <c r="D78" s="199"/>
      <c r="E78" s="199"/>
      <c r="F78" s="199"/>
      <c r="G78" s="199"/>
      <c r="H78" s="199"/>
      <c r="I78" s="199"/>
      <c r="J78" s="199"/>
      <c r="K78" s="199"/>
      <c r="L78" s="199"/>
      <c r="M78" s="199"/>
      <c r="N78" s="199"/>
      <c r="O78" s="199"/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  <c r="AA78" s="199"/>
      <c r="AB78" s="199"/>
      <c r="AC78" s="199"/>
      <c r="AD78" s="200" t="str">
        <f>IF(MIN(F78,J78,N78,R78,V78,Z78)&lt;&gt;0,MIN(F78,J78,N78,R78,V78,Z78),"")</f>
        <v/>
      </c>
      <c r="AE78" s="200" t="str">
        <f>IF(MIN(H78,L78,P78,T78,X78,AB78)&lt;&gt;0,MIN(H78,L78,P78,T78,X78,AB78),"")</f>
        <v/>
      </c>
      <c r="AF78" s="200"/>
      <c r="AG78" s="199"/>
      <c r="AH78" s="200"/>
      <c r="AI78" s="199"/>
      <c r="AJ78" s="161" t="str">
        <f>IF(AD78="","",IF(ISBLANK(AF78),"En cours",AD78+AF78))</f>
        <v/>
      </c>
      <c r="AK78" s="161" t="str">
        <f>IF(AE78="","",IF(ISBLANK(AH78),"En cours",AE78+AH78))</f>
        <v/>
      </c>
    </row>
    <row r="79" spans="2:37" ht="21" x14ac:dyDescent="0.35">
      <c r="B79" s="128"/>
      <c r="C79" s="128"/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9" t="str">
        <f t="shared" ref="AD68:AD99" si="0">IF(MIN(F79,J79,N79,R79,V79,Z79)&lt;&gt;0,MIN(F79,J79,N79,R79,V79,Z79),"")</f>
        <v/>
      </c>
      <c r="AE79" s="129" t="str">
        <f t="shared" ref="AE68:AE99" si="1">IF(MIN(H79,L79,P79,T79,X79,AB79)&lt;&gt;0,MIN(H79,L79,P79,T79,X79,AB79),"")</f>
        <v/>
      </c>
      <c r="AF79" s="129"/>
      <c r="AG79" s="128"/>
      <c r="AH79" s="129"/>
      <c r="AI79" s="128"/>
      <c r="AJ79" s="127" t="str">
        <f t="shared" ref="AJ68:AJ99" si="2">IF(AD79="","",IF(ISBLANK(AF79),"En cours",AD79+AF79))</f>
        <v/>
      </c>
      <c r="AK79" s="127" t="str">
        <f t="shared" ref="AK68:AK99" si="3">IF(AE79="","",IF(ISBLANK(AH79),"En cours",AE79+AH79))</f>
        <v/>
      </c>
    </row>
    <row r="80" spans="2:37" ht="21" x14ac:dyDescent="0.35">
      <c r="B80" s="128"/>
      <c r="C80" s="128"/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9" t="str">
        <f t="shared" si="0"/>
        <v/>
      </c>
      <c r="AE80" s="129" t="str">
        <f t="shared" si="1"/>
        <v/>
      </c>
      <c r="AF80" s="129"/>
      <c r="AG80" s="128"/>
      <c r="AH80" s="129"/>
      <c r="AI80" s="128"/>
      <c r="AJ80" s="127" t="str">
        <f t="shared" si="2"/>
        <v/>
      </c>
      <c r="AK80" s="127" t="str">
        <f t="shared" si="3"/>
        <v/>
      </c>
    </row>
    <row r="81" spans="2:37" ht="21" x14ac:dyDescent="0.35">
      <c r="B81" s="128"/>
      <c r="C81" s="128"/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  <c r="V81" s="128"/>
      <c r="W81" s="128"/>
      <c r="X81" s="128"/>
      <c r="Y81" s="128"/>
      <c r="Z81" s="128"/>
      <c r="AA81" s="128"/>
      <c r="AB81" s="128"/>
      <c r="AC81" s="128"/>
      <c r="AD81" s="129" t="str">
        <f t="shared" si="0"/>
        <v/>
      </c>
      <c r="AE81" s="129" t="str">
        <f t="shared" si="1"/>
        <v/>
      </c>
      <c r="AF81" s="129"/>
      <c r="AG81" s="128"/>
      <c r="AH81" s="129"/>
      <c r="AI81" s="128"/>
      <c r="AJ81" s="127" t="str">
        <f t="shared" si="2"/>
        <v/>
      </c>
      <c r="AK81" s="127" t="str">
        <f t="shared" si="3"/>
        <v/>
      </c>
    </row>
    <row r="82" spans="2:37" ht="21" x14ac:dyDescent="0.35">
      <c r="B82" s="128"/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  <c r="V82" s="128"/>
      <c r="W82" s="128"/>
      <c r="X82" s="128"/>
      <c r="Y82" s="128"/>
      <c r="Z82" s="128"/>
      <c r="AA82" s="128"/>
      <c r="AB82" s="128"/>
      <c r="AC82" s="128"/>
      <c r="AD82" s="129" t="str">
        <f t="shared" si="0"/>
        <v/>
      </c>
      <c r="AE82" s="129" t="str">
        <f t="shared" si="1"/>
        <v/>
      </c>
      <c r="AF82" s="129"/>
      <c r="AG82" s="128"/>
      <c r="AH82" s="129"/>
      <c r="AI82" s="128"/>
      <c r="AJ82" s="127" t="str">
        <f t="shared" si="2"/>
        <v/>
      </c>
      <c r="AK82" s="127" t="str">
        <f t="shared" si="3"/>
        <v/>
      </c>
    </row>
    <row r="83" spans="2:37" ht="21" x14ac:dyDescent="0.35">
      <c r="B83" s="128"/>
      <c r="C83" s="128"/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9" t="str">
        <f t="shared" si="0"/>
        <v/>
      </c>
      <c r="AE83" s="129" t="str">
        <f t="shared" si="1"/>
        <v/>
      </c>
      <c r="AF83" s="129"/>
      <c r="AG83" s="128"/>
      <c r="AH83" s="129"/>
      <c r="AI83" s="128"/>
      <c r="AJ83" s="127" t="str">
        <f t="shared" si="2"/>
        <v/>
      </c>
      <c r="AK83" s="127" t="str">
        <f t="shared" si="3"/>
        <v/>
      </c>
    </row>
    <row r="84" spans="2:37" ht="21" x14ac:dyDescent="0.35">
      <c r="B84" s="128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9" t="str">
        <f t="shared" si="0"/>
        <v/>
      </c>
      <c r="AE84" s="129" t="str">
        <f t="shared" si="1"/>
        <v/>
      </c>
      <c r="AF84" s="129"/>
      <c r="AG84" s="128"/>
      <c r="AH84" s="129"/>
      <c r="AI84" s="128"/>
      <c r="AJ84" s="127" t="str">
        <f t="shared" si="2"/>
        <v/>
      </c>
      <c r="AK84" s="127" t="str">
        <f t="shared" si="3"/>
        <v/>
      </c>
    </row>
    <row r="85" spans="2:37" ht="21" x14ac:dyDescent="0.35">
      <c r="B85" s="128"/>
      <c r="C85" s="128"/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9" t="str">
        <f t="shared" si="0"/>
        <v/>
      </c>
      <c r="AE85" s="129" t="str">
        <f t="shared" si="1"/>
        <v/>
      </c>
      <c r="AF85" s="129"/>
      <c r="AG85" s="128"/>
      <c r="AH85" s="129"/>
      <c r="AI85" s="128"/>
      <c r="AJ85" s="127" t="str">
        <f t="shared" si="2"/>
        <v/>
      </c>
      <c r="AK85" s="127" t="str">
        <f t="shared" si="3"/>
        <v/>
      </c>
    </row>
    <row r="86" spans="2:37" ht="21" x14ac:dyDescent="0.35">
      <c r="B86" s="128"/>
      <c r="C86" s="128"/>
      <c r="D86" s="128"/>
      <c r="E86" s="128"/>
      <c r="F86" s="128"/>
      <c r="G86" s="128"/>
      <c r="H86" s="128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128"/>
      <c r="V86" s="128"/>
      <c r="W86" s="128"/>
      <c r="X86" s="128"/>
      <c r="Y86" s="128"/>
      <c r="Z86" s="128"/>
      <c r="AA86" s="128"/>
      <c r="AB86" s="128"/>
      <c r="AC86" s="128"/>
      <c r="AD86" s="129" t="str">
        <f t="shared" si="0"/>
        <v/>
      </c>
      <c r="AE86" s="129" t="str">
        <f t="shared" si="1"/>
        <v/>
      </c>
      <c r="AF86" s="129"/>
      <c r="AG86" s="128"/>
      <c r="AH86" s="129"/>
      <c r="AI86" s="128"/>
      <c r="AJ86" s="127" t="str">
        <f t="shared" si="2"/>
        <v/>
      </c>
      <c r="AK86" s="127" t="str">
        <f t="shared" si="3"/>
        <v/>
      </c>
    </row>
    <row r="87" spans="2:37" ht="21" x14ac:dyDescent="0.35">
      <c r="B87" s="128"/>
      <c r="C87" s="128"/>
      <c r="D87" s="128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128"/>
      <c r="V87" s="128"/>
      <c r="W87" s="128"/>
      <c r="X87" s="128"/>
      <c r="Y87" s="128"/>
      <c r="Z87" s="128"/>
      <c r="AA87" s="128"/>
      <c r="AB87" s="128"/>
      <c r="AC87" s="128"/>
      <c r="AD87" s="129" t="str">
        <f t="shared" si="0"/>
        <v/>
      </c>
      <c r="AE87" s="129" t="str">
        <f t="shared" si="1"/>
        <v/>
      </c>
      <c r="AF87" s="129"/>
      <c r="AG87" s="128"/>
      <c r="AH87" s="129"/>
      <c r="AI87" s="128"/>
      <c r="AJ87" s="127" t="str">
        <f t="shared" si="2"/>
        <v/>
      </c>
      <c r="AK87" s="127" t="str">
        <f t="shared" si="3"/>
        <v/>
      </c>
    </row>
    <row r="88" spans="2:37" ht="21" x14ac:dyDescent="0.35">
      <c r="B88" s="128"/>
      <c r="C88" s="128"/>
      <c r="D88" s="12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128"/>
      <c r="V88" s="128"/>
      <c r="W88" s="128"/>
      <c r="X88" s="128"/>
      <c r="Y88" s="128"/>
      <c r="Z88" s="128"/>
      <c r="AA88" s="128"/>
      <c r="AB88" s="128"/>
      <c r="AC88" s="128"/>
      <c r="AD88" s="129" t="str">
        <f t="shared" si="0"/>
        <v/>
      </c>
      <c r="AE88" s="129" t="str">
        <f t="shared" si="1"/>
        <v/>
      </c>
      <c r="AF88" s="129"/>
      <c r="AG88" s="128"/>
      <c r="AH88" s="129"/>
      <c r="AI88" s="128"/>
      <c r="AJ88" s="127" t="str">
        <f t="shared" si="2"/>
        <v/>
      </c>
      <c r="AK88" s="127" t="str">
        <f t="shared" si="3"/>
        <v/>
      </c>
    </row>
    <row r="89" spans="2:37" ht="21" x14ac:dyDescent="0.35">
      <c r="B89" s="128"/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9" t="str">
        <f t="shared" si="0"/>
        <v/>
      </c>
      <c r="AE89" s="129" t="str">
        <f t="shared" si="1"/>
        <v/>
      </c>
      <c r="AF89" s="129"/>
      <c r="AG89" s="128"/>
      <c r="AH89" s="129"/>
      <c r="AI89" s="128"/>
      <c r="AJ89" s="127" t="str">
        <f t="shared" si="2"/>
        <v/>
      </c>
      <c r="AK89" s="127" t="str">
        <f t="shared" si="3"/>
        <v/>
      </c>
    </row>
    <row r="90" spans="2:37" ht="21" x14ac:dyDescent="0.35">
      <c r="B90" s="128"/>
      <c r="C90" s="128"/>
      <c r="D90" s="128"/>
      <c r="E90" s="128"/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9" t="str">
        <f t="shared" si="0"/>
        <v/>
      </c>
      <c r="AE90" s="129" t="str">
        <f t="shared" si="1"/>
        <v/>
      </c>
      <c r="AF90" s="129"/>
      <c r="AG90" s="128"/>
      <c r="AH90" s="129"/>
      <c r="AI90" s="128"/>
      <c r="AJ90" s="127" t="str">
        <f t="shared" si="2"/>
        <v/>
      </c>
      <c r="AK90" s="127" t="str">
        <f t="shared" si="3"/>
        <v/>
      </c>
    </row>
    <row r="91" spans="2:37" ht="21" x14ac:dyDescent="0.35">
      <c r="B91" s="128"/>
      <c r="C91" s="128"/>
      <c r="D91" s="128"/>
      <c r="E91" s="128"/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9" t="str">
        <f t="shared" si="0"/>
        <v/>
      </c>
      <c r="AE91" s="129" t="str">
        <f t="shared" si="1"/>
        <v/>
      </c>
      <c r="AF91" s="129"/>
      <c r="AG91" s="128"/>
      <c r="AH91" s="129"/>
      <c r="AI91" s="128"/>
      <c r="AJ91" s="127" t="str">
        <f t="shared" si="2"/>
        <v/>
      </c>
      <c r="AK91" s="127" t="str">
        <f t="shared" si="3"/>
        <v/>
      </c>
    </row>
    <row r="92" spans="2:37" ht="21" x14ac:dyDescent="0.35"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  <c r="V92" s="128"/>
      <c r="W92" s="128"/>
      <c r="X92" s="128"/>
      <c r="Y92" s="128"/>
      <c r="Z92" s="128"/>
      <c r="AA92" s="128"/>
      <c r="AB92" s="128"/>
      <c r="AC92" s="128"/>
      <c r="AD92" s="129" t="str">
        <f t="shared" si="0"/>
        <v/>
      </c>
      <c r="AE92" s="129" t="str">
        <f t="shared" si="1"/>
        <v/>
      </c>
      <c r="AF92" s="129"/>
      <c r="AG92" s="128"/>
      <c r="AH92" s="129"/>
      <c r="AI92" s="128"/>
      <c r="AJ92" s="127" t="str">
        <f t="shared" si="2"/>
        <v/>
      </c>
      <c r="AK92" s="127" t="str">
        <f t="shared" si="3"/>
        <v/>
      </c>
    </row>
    <row r="93" spans="2:37" ht="21" x14ac:dyDescent="0.35">
      <c r="B93" s="128"/>
      <c r="C93" s="128"/>
      <c r="D93" s="128"/>
      <c r="E93" s="128"/>
      <c r="F93" s="128"/>
      <c r="G93" s="128"/>
      <c r="H93" s="128"/>
      <c r="I93" s="128"/>
      <c r="J93" s="128"/>
      <c r="K93" s="128"/>
      <c r="L93" s="128"/>
      <c r="M93" s="128"/>
      <c r="N93" s="128"/>
      <c r="O93" s="128"/>
      <c r="P93" s="128"/>
      <c r="Q93" s="128"/>
      <c r="R93" s="128"/>
      <c r="S93" s="128"/>
      <c r="T93" s="128"/>
      <c r="U93" s="128"/>
      <c r="V93" s="128"/>
      <c r="W93" s="128"/>
      <c r="X93" s="128"/>
      <c r="Y93" s="128"/>
      <c r="Z93" s="128"/>
      <c r="AA93" s="128"/>
      <c r="AB93" s="128"/>
      <c r="AC93" s="128"/>
      <c r="AD93" s="129" t="str">
        <f t="shared" si="0"/>
        <v/>
      </c>
      <c r="AE93" s="129" t="str">
        <f t="shared" si="1"/>
        <v/>
      </c>
      <c r="AF93" s="129"/>
      <c r="AG93" s="128"/>
      <c r="AH93" s="129"/>
      <c r="AI93" s="128"/>
      <c r="AJ93" s="127" t="str">
        <f t="shared" si="2"/>
        <v/>
      </c>
      <c r="AK93" s="127" t="str">
        <f t="shared" si="3"/>
        <v/>
      </c>
    </row>
    <row r="94" spans="2:37" ht="21" x14ac:dyDescent="0.35">
      <c r="B94" s="128"/>
      <c r="C94" s="128"/>
      <c r="D94" s="128"/>
      <c r="E94" s="128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  <c r="V94" s="128"/>
      <c r="W94" s="128"/>
      <c r="X94" s="128"/>
      <c r="Y94" s="128"/>
      <c r="Z94" s="128"/>
      <c r="AA94" s="128"/>
      <c r="AB94" s="128"/>
      <c r="AC94" s="128"/>
      <c r="AD94" s="129" t="str">
        <f t="shared" si="0"/>
        <v/>
      </c>
      <c r="AE94" s="129" t="str">
        <f t="shared" si="1"/>
        <v/>
      </c>
      <c r="AF94" s="129"/>
      <c r="AG94" s="128"/>
      <c r="AH94" s="129"/>
      <c r="AI94" s="128"/>
      <c r="AJ94" s="127" t="str">
        <f t="shared" si="2"/>
        <v/>
      </c>
      <c r="AK94" s="127" t="str">
        <f t="shared" si="3"/>
        <v/>
      </c>
    </row>
    <row r="95" spans="2:37" ht="21" x14ac:dyDescent="0.35">
      <c r="B95" s="128"/>
      <c r="C95" s="128"/>
      <c r="D95" s="128"/>
      <c r="E95" s="128"/>
      <c r="F95" s="128"/>
      <c r="G95" s="128"/>
      <c r="H95" s="128"/>
      <c r="I95" s="128"/>
      <c r="J95" s="128"/>
      <c r="K95" s="128"/>
      <c r="L95" s="128"/>
      <c r="M95" s="128"/>
      <c r="N95" s="128"/>
      <c r="O95" s="128"/>
      <c r="P95" s="128"/>
      <c r="Q95" s="128"/>
      <c r="R95" s="128"/>
      <c r="S95" s="128"/>
      <c r="T95" s="128"/>
      <c r="U95" s="128"/>
      <c r="V95" s="128"/>
      <c r="W95" s="128"/>
      <c r="X95" s="128"/>
      <c r="Y95" s="128"/>
      <c r="Z95" s="128"/>
      <c r="AA95" s="128"/>
      <c r="AB95" s="128"/>
      <c r="AC95" s="128"/>
      <c r="AD95" s="129" t="str">
        <f t="shared" si="0"/>
        <v/>
      </c>
      <c r="AE95" s="129" t="str">
        <f t="shared" si="1"/>
        <v/>
      </c>
      <c r="AF95" s="129"/>
      <c r="AG95" s="128"/>
      <c r="AH95" s="129"/>
      <c r="AI95" s="128"/>
      <c r="AJ95" s="127" t="str">
        <f t="shared" si="2"/>
        <v/>
      </c>
      <c r="AK95" s="127" t="str">
        <f t="shared" si="3"/>
        <v/>
      </c>
    </row>
    <row r="96" spans="2:37" ht="21" x14ac:dyDescent="0.35">
      <c r="B96" s="128"/>
      <c r="C96" s="128"/>
      <c r="D96" s="128"/>
      <c r="E96" s="128"/>
      <c r="F96" s="128"/>
      <c r="G96" s="128"/>
      <c r="H96" s="128"/>
      <c r="I96" s="128"/>
      <c r="J96" s="128"/>
      <c r="K96" s="128"/>
      <c r="L96" s="128"/>
      <c r="M96" s="128"/>
      <c r="N96" s="128"/>
      <c r="O96" s="128"/>
      <c r="P96" s="128"/>
      <c r="Q96" s="128"/>
      <c r="R96" s="128"/>
      <c r="S96" s="128"/>
      <c r="T96" s="128"/>
      <c r="U96" s="128"/>
      <c r="V96" s="128"/>
      <c r="W96" s="128"/>
      <c r="X96" s="128"/>
      <c r="Y96" s="128"/>
      <c r="Z96" s="128"/>
      <c r="AA96" s="128"/>
      <c r="AB96" s="128"/>
      <c r="AC96" s="128"/>
      <c r="AD96" s="129" t="str">
        <f t="shared" si="0"/>
        <v/>
      </c>
      <c r="AE96" s="129" t="str">
        <f t="shared" si="1"/>
        <v/>
      </c>
      <c r="AF96" s="129"/>
      <c r="AG96" s="128"/>
      <c r="AH96" s="129"/>
      <c r="AI96" s="128"/>
      <c r="AJ96" s="127" t="str">
        <f t="shared" si="2"/>
        <v/>
      </c>
      <c r="AK96" s="127" t="str">
        <f t="shared" si="3"/>
        <v/>
      </c>
    </row>
    <row r="97" spans="2:37" ht="21" x14ac:dyDescent="0.35">
      <c r="B97" s="128"/>
      <c r="C97" s="128"/>
      <c r="D97" s="128"/>
      <c r="E97" s="128"/>
      <c r="F97" s="128"/>
      <c r="G97" s="128"/>
      <c r="H97" s="128"/>
      <c r="I97" s="128"/>
      <c r="J97" s="128"/>
      <c r="K97" s="128"/>
      <c r="L97" s="128"/>
      <c r="M97" s="128"/>
      <c r="N97" s="128"/>
      <c r="O97" s="128"/>
      <c r="P97" s="128"/>
      <c r="Q97" s="128"/>
      <c r="R97" s="128"/>
      <c r="S97" s="128"/>
      <c r="T97" s="128"/>
      <c r="U97" s="128"/>
      <c r="V97" s="128"/>
      <c r="W97" s="128"/>
      <c r="X97" s="128"/>
      <c r="Y97" s="128"/>
      <c r="Z97" s="128"/>
      <c r="AA97" s="128"/>
      <c r="AB97" s="128"/>
      <c r="AC97" s="128"/>
      <c r="AD97" s="129" t="str">
        <f t="shared" si="0"/>
        <v/>
      </c>
      <c r="AE97" s="129" t="str">
        <f t="shared" si="1"/>
        <v/>
      </c>
      <c r="AF97" s="129"/>
      <c r="AG97" s="128"/>
      <c r="AH97" s="129"/>
      <c r="AI97" s="128"/>
      <c r="AJ97" s="127" t="str">
        <f t="shared" si="2"/>
        <v/>
      </c>
      <c r="AK97" s="127" t="str">
        <f t="shared" si="3"/>
        <v/>
      </c>
    </row>
    <row r="98" spans="2:37" ht="21" x14ac:dyDescent="0.35">
      <c r="B98" s="128"/>
      <c r="C98" s="128"/>
      <c r="D98" s="128"/>
      <c r="E98" s="128"/>
      <c r="F98" s="128"/>
      <c r="G98" s="128"/>
      <c r="H98" s="128"/>
      <c r="I98" s="128"/>
      <c r="J98" s="128"/>
      <c r="K98" s="128"/>
      <c r="L98" s="128"/>
      <c r="M98" s="128"/>
      <c r="N98" s="128"/>
      <c r="O98" s="128"/>
      <c r="P98" s="128"/>
      <c r="Q98" s="128"/>
      <c r="R98" s="128"/>
      <c r="S98" s="128"/>
      <c r="T98" s="128"/>
      <c r="U98" s="128"/>
      <c r="V98" s="128"/>
      <c r="W98" s="128"/>
      <c r="X98" s="128"/>
      <c r="Y98" s="128"/>
      <c r="Z98" s="128"/>
      <c r="AA98" s="128"/>
      <c r="AB98" s="128"/>
      <c r="AC98" s="128"/>
      <c r="AD98" s="129" t="str">
        <f t="shared" si="0"/>
        <v/>
      </c>
      <c r="AE98" s="129" t="str">
        <f t="shared" si="1"/>
        <v/>
      </c>
      <c r="AF98" s="129"/>
      <c r="AG98" s="128"/>
      <c r="AH98" s="129"/>
      <c r="AI98" s="128"/>
      <c r="AJ98" s="127" t="str">
        <f t="shared" si="2"/>
        <v/>
      </c>
      <c r="AK98" s="127" t="str">
        <f t="shared" si="3"/>
        <v/>
      </c>
    </row>
    <row r="99" spans="2:37" ht="21" x14ac:dyDescent="0.35">
      <c r="B99" s="128"/>
      <c r="C99" s="128"/>
      <c r="D99" s="128"/>
      <c r="E99" s="128"/>
      <c r="F99" s="128"/>
      <c r="G99" s="128"/>
      <c r="H99" s="128"/>
      <c r="I99" s="128"/>
      <c r="J99" s="128"/>
      <c r="K99" s="128"/>
      <c r="L99" s="128"/>
      <c r="M99" s="128"/>
      <c r="N99" s="128"/>
      <c r="O99" s="128"/>
      <c r="P99" s="128"/>
      <c r="Q99" s="128"/>
      <c r="R99" s="128"/>
      <c r="S99" s="128"/>
      <c r="T99" s="128"/>
      <c r="U99" s="128"/>
      <c r="V99" s="128"/>
      <c r="W99" s="128"/>
      <c r="X99" s="128"/>
      <c r="Y99" s="128"/>
      <c r="Z99" s="128"/>
      <c r="AA99" s="128"/>
      <c r="AB99" s="128"/>
      <c r="AC99" s="128"/>
      <c r="AD99" s="129" t="str">
        <f t="shared" si="0"/>
        <v/>
      </c>
      <c r="AE99" s="129" t="str">
        <f t="shared" si="1"/>
        <v/>
      </c>
      <c r="AF99" s="129"/>
      <c r="AG99" s="128"/>
      <c r="AH99" s="129"/>
      <c r="AI99" s="128"/>
      <c r="AJ99" s="127" t="str">
        <f t="shared" si="2"/>
        <v/>
      </c>
      <c r="AK99" s="127" t="str">
        <f t="shared" si="3"/>
        <v/>
      </c>
    </row>
    <row r="100" spans="2:37" ht="21" x14ac:dyDescent="0.35">
      <c r="B100" s="128"/>
      <c r="C100" s="128"/>
      <c r="D100" s="128"/>
      <c r="E100" s="128"/>
      <c r="F100" s="128"/>
      <c r="G100" s="128"/>
      <c r="H100" s="128"/>
      <c r="I100" s="128"/>
      <c r="J100" s="128"/>
      <c r="K100" s="128"/>
      <c r="L100" s="128"/>
      <c r="M100" s="128"/>
      <c r="N100" s="128"/>
      <c r="O100" s="128"/>
      <c r="P100" s="128"/>
      <c r="Q100" s="128"/>
      <c r="R100" s="128"/>
      <c r="S100" s="128"/>
      <c r="T100" s="128"/>
      <c r="U100" s="128"/>
      <c r="V100" s="128"/>
      <c r="W100" s="128"/>
      <c r="X100" s="128"/>
      <c r="Y100" s="128"/>
      <c r="Z100" s="128"/>
      <c r="AA100" s="128"/>
      <c r="AB100" s="128"/>
      <c r="AC100" s="128"/>
      <c r="AD100" s="129" t="str">
        <f t="shared" ref="AD100:AD131" si="4">IF(MIN(F100,J100,N100,R100,V100,Z100)&lt;&gt;0,MIN(F100,J100,N100,R100,V100,Z100),"")</f>
        <v/>
      </c>
      <c r="AE100" s="129" t="str">
        <f t="shared" ref="AE100:AE131" si="5">IF(MIN(H100,L100,P100,T100,X100,AB100)&lt;&gt;0,MIN(H100,L100,P100,T100,X100,AB100),"")</f>
        <v/>
      </c>
      <c r="AF100" s="129"/>
      <c r="AG100" s="128"/>
      <c r="AH100" s="129"/>
      <c r="AI100" s="128"/>
      <c r="AJ100" s="127" t="str">
        <f t="shared" ref="AJ100:AJ131" si="6">IF(AD100="","",IF(ISBLANK(AF100),"En cours",AD100+AF100))</f>
        <v/>
      </c>
      <c r="AK100" s="127" t="str">
        <f t="shared" ref="AK100:AK131" si="7">IF(AE100="","",IF(ISBLANK(AH100),"En cours",AE100+AH100))</f>
        <v/>
      </c>
    </row>
    <row r="101" spans="2:37" ht="21" x14ac:dyDescent="0.35">
      <c r="B101" s="128"/>
      <c r="C101" s="128"/>
      <c r="D101" s="128"/>
      <c r="E101" s="128"/>
      <c r="F101" s="128"/>
      <c r="G101" s="128"/>
      <c r="H101" s="128"/>
      <c r="I101" s="128"/>
      <c r="J101" s="128"/>
      <c r="K101" s="128"/>
      <c r="L101" s="128"/>
      <c r="M101" s="128"/>
      <c r="N101" s="128"/>
      <c r="O101" s="128"/>
      <c r="P101" s="128"/>
      <c r="Q101" s="128"/>
      <c r="R101" s="128"/>
      <c r="S101" s="128"/>
      <c r="T101" s="128"/>
      <c r="U101" s="128"/>
      <c r="V101" s="128"/>
      <c r="W101" s="128"/>
      <c r="X101" s="128"/>
      <c r="Y101" s="128"/>
      <c r="Z101" s="128"/>
      <c r="AA101" s="128"/>
      <c r="AB101" s="128"/>
      <c r="AC101" s="128"/>
      <c r="AD101" s="129" t="str">
        <f t="shared" si="4"/>
        <v/>
      </c>
      <c r="AE101" s="129" t="str">
        <f t="shared" si="5"/>
        <v/>
      </c>
      <c r="AF101" s="129"/>
      <c r="AG101" s="128"/>
      <c r="AH101" s="129"/>
      <c r="AI101" s="128"/>
      <c r="AJ101" s="127" t="str">
        <f t="shared" si="6"/>
        <v/>
      </c>
      <c r="AK101" s="127" t="str">
        <f t="shared" si="7"/>
        <v/>
      </c>
    </row>
    <row r="102" spans="2:37" ht="21" x14ac:dyDescent="0.35">
      <c r="B102" s="128"/>
      <c r="C102" s="128"/>
      <c r="D102" s="128"/>
      <c r="E102" s="128"/>
      <c r="F102" s="128"/>
      <c r="G102" s="128"/>
      <c r="H102" s="128"/>
      <c r="I102" s="128"/>
      <c r="J102" s="128"/>
      <c r="K102" s="128"/>
      <c r="L102" s="128"/>
      <c r="M102" s="128"/>
      <c r="N102" s="128"/>
      <c r="O102" s="128"/>
      <c r="P102" s="128"/>
      <c r="Q102" s="128"/>
      <c r="R102" s="128"/>
      <c r="S102" s="128"/>
      <c r="T102" s="128"/>
      <c r="U102" s="128"/>
      <c r="V102" s="128"/>
      <c r="W102" s="128"/>
      <c r="X102" s="128"/>
      <c r="Y102" s="128"/>
      <c r="Z102" s="128"/>
      <c r="AA102" s="128"/>
      <c r="AB102" s="128"/>
      <c r="AC102" s="128"/>
      <c r="AD102" s="129" t="str">
        <f t="shared" si="4"/>
        <v/>
      </c>
      <c r="AE102" s="129" t="str">
        <f t="shared" si="5"/>
        <v/>
      </c>
      <c r="AF102" s="129"/>
      <c r="AG102" s="128"/>
      <c r="AH102" s="129"/>
      <c r="AI102" s="128"/>
      <c r="AJ102" s="127" t="str">
        <f t="shared" si="6"/>
        <v/>
      </c>
      <c r="AK102" s="127" t="str">
        <f t="shared" si="7"/>
        <v/>
      </c>
    </row>
    <row r="103" spans="2:37" ht="21" x14ac:dyDescent="0.35">
      <c r="B103" s="128"/>
      <c r="C103" s="128"/>
      <c r="D103" s="128"/>
      <c r="E103" s="128"/>
      <c r="F103" s="128"/>
      <c r="G103" s="128"/>
      <c r="H103" s="128"/>
      <c r="I103" s="128"/>
      <c r="J103" s="128"/>
      <c r="K103" s="128"/>
      <c r="L103" s="128"/>
      <c r="M103" s="128"/>
      <c r="N103" s="128"/>
      <c r="O103" s="128"/>
      <c r="P103" s="128"/>
      <c r="Q103" s="128"/>
      <c r="R103" s="128"/>
      <c r="S103" s="128"/>
      <c r="T103" s="128"/>
      <c r="U103" s="128"/>
      <c r="V103" s="128"/>
      <c r="W103" s="128"/>
      <c r="X103" s="128"/>
      <c r="Y103" s="128"/>
      <c r="Z103" s="128"/>
      <c r="AA103" s="128"/>
      <c r="AB103" s="128"/>
      <c r="AC103" s="128"/>
      <c r="AD103" s="129" t="str">
        <f t="shared" si="4"/>
        <v/>
      </c>
      <c r="AE103" s="129" t="str">
        <f t="shared" si="5"/>
        <v/>
      </c>
      <c r="AF103" s="129"/>
      <c r="AG103" s="128"/>
      <c r="AH103" s="129"/>
      <c r="AI103" s="128"/>
      <c r="AJ103" s="127" t="str">
        <f t="shared" si="6"/>
        <v/>
      </c>
      <c r="AK103" s="127" t="str">
        <f t="shared" si="7"/>
        <v/>
      </c>
    </row>
    <row r="104" spans="2:37" ht="21" x14ac:dyDescent="0.35">
      <c r="B104" s="128"/>
      <c r="C104" s="128"/>
      <c r="D104" s="128"/>
      <c r="E104" s="128"/>
      <c r="F104" s="128"/>
      <c r="G104" s="128"/>
      <c r="H104" s="128"/>
      <c r="I104" s="128"/>
      <c r="J104" s="128"/>
      <c r="K104" s="128"/>
      <c r="L104" s="128"/>
      <c r="M104" s="128"/>
      <c r="N104" s="128"/>
      <c r="O104" s="128"/>
      <c r="P104" s="128"/>
      <c r="Q104" s="128"/>
      <c r="R104" s="128"/>
      <c r="S104" s="128"/>
      <c r="T104" s="128"/>
      <c r="U104" s="128"/>
      <c r="V104" s="128"/>
      <c r="W104" s="128"/>
      <c r="X104" s="128"/>
      <c r="Y104" s="128"/>
      <c r="Z104" s="128"/>
      <c r="AA104" s="128"/>
      <c r="AB104" s="128"/>
      <c r="AC104" s="128"/>
      <c r="AD104" s="129" t="str">
        <f t="shared" si="4"/>
        <v/>
      </c>
      <c r="AE104" s="129" t="str">
        <f t="shared" si="5"/>
        <v/>
      </c>
      <c r="AF104" s="129"/>
      <c r="AG104" s="128"/>
      <c r="AH104" s="129"/>
      <c r="AI104" s="128"/>
      <c r="AJ104" s="127" t="str">
        <f t="shared" si="6"/>
        <v/>
      </c>
      <c r="AK104" s="127" t="str">
        <f t="shared" si="7"/>
        <v/>
      </c>
    </row>
    <row r="105" spans="2:37" ht="21" x14ac:dyDescent="0.35">
      <c r="B105" s="128"/>
      <c r="C105" s="128"/>
      <c r="D105" s="128"/>
      <c r="E105" s="128"/>
      <c r="F105" s="128"/>
      <c r="G105" s="128"/>
      <c r="H105" s="128"/>
      <c r="I105" s="128"/>
      <c r="J105" s="128"/>
      <c r="K105" s="128"/>
      <c r="L105" s="128"/>
      <c r="M105" s="128"/>
      <c r="N105" s="128"/>
      <c r="O105" s="128"/>
      <c r="P105" s="128"/>
      <c r="Q105" s="128"/>
      <c r="R105" s="128"/>
      <c r="S105" s="128"/>
      <c r="T105" s="128"/>
      <c r="U105" s="128"/>
      <c r="V105" s="128"/>
      <c r="W105" s="128"/>
      <c r="X105" s="128"/>
      <c r="Y105" s="128"/>
      <c r="Z105" s="128"/>
      <c r="AA105" s="128"/>
      <c r="AB105" s="128"/>
      <c r="AC105" s="128"/>
      <c r="AD105" s="129" t="str">
        <f t="shared" si="4"/>
        <v/>
      </c>
      <c r="AE105" s="129" t="str">
        <f t="shared" si="5"/>
        <v/>
      </c>
      <c r="AF105" s="129"/>
      <c r="AG105" s="128"/>
      <c r="AH105" s="129"/>
      <c r="AI105" s="128"/>
      <c r="AJ105" s="127" t="str">
        <f t="shared" si="6"/>
        <v/>
      </c>
      <c r="AK105" s="127" t="str">
        <f t="shared" si="7"/>
        <v/>
      </c>
    </row>
    <row r="106" spans="2:37" ht="21" x14ac:dyDescent="0.35">
      <c r="B106" s="128"/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  <c r="S106" s="128"/>
      <c r="T106" s="128"/>
      <c r="U106" s="128"/>
      <c r="V106" s="128"/>
      <c r="W106" s="128"/>
      <c r="X106" s="128"/>
      <c r="Y106" s="128"/>
      <c r="Z106" s="128"/>
      <c r="AA106" s="128"/>
      <c r="AB106" s="128"/>
      <c r="AC106" s="128"/>
      <c r="AD106" s="129" t="str">
        <f t="shared" si="4"/>
        <v/>
      </c>
      <c r="AE106" s="129" t="str">
        <f t="shared" si="5"/>
        <v/>
      </c>
      <c r="AF106" s="129"/>
      <c r="AG106" s="128"/>
      <c r="AH106" s="129"/>
      <c r="AI106" s="128"/>
      <c r="AJ106" s="127" t="str">
        <f t="shared" si="6"/>
        <v/>
      </c>
      <c r="AK106" s="127" t="str">
        <f t="shared" si="7"/>
        <v/>
      </c>
    </row>
    <row r="107" spans="2:37" ht="21" x14ac:dyDescent="0.35">
      <c r="B107" s="128"/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28"/>
      <c r="U107" s="128"/>
      <c r="V107" s="128"/>
      <c r="W107" s="128"/>
      <c r="X107" s="128"/>
      <c r="Y107" s="128"/>
      <c r="Z107" s="128"/>
      <c r="AA107" s="128"/>
      <c r="AB107" s="128"/>
      <c r="AC107" s="128"/>
      <c r="AD107" s="129" t="str">
        <f t="shared" si="4"/>
        <v/>
      </c>
      <c r="AE107" s="129" t="str">
        <f t="shared" si="5"/>
        <v/>
      </c>
      <c r="AF107" s="129"/>
      <c r="AG107" s="128"/>
      <c r="AH107" s="129"/>
      <c r="AI107" s="128"/>
      <c r="AJ107" s="127" t="str">
        <f t="shared" si="6"/>
        <v/>
      </c>
      <c r="AK107" s="127" t="str">
        <f t="shared" si="7"/>
        <v/>
      </c>
    </row>
    <row r="108" spans="2:37" ht="21" x14ac:dyDescent="0.35">
      <c r="B108" s="128"/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  <c r="S108" s="128"/>
      <c r="T108" s="128"/>
      <c r="U108" s="128"/>
      <c r="V108" s="128"/>
      <c r="W108" s="128"/>
      <c r="X108" s="128"/>
      <c r="Y108" s="128"/>
      <c r="Z108" s="128"/>
      <c r="AA108" s="128"/>
      <c r="AB108" s="128"/>
      <c r="AC108" s="128"/>
      <c r="AD108" s="129" t="str">
        <f t="shared" si="4"/>
        <v/>
      </c>
      <c r="AE108" s="129" t="str">
        <f t="shared" si="5"/>
        <v/>
      </c>
      <c r="AF108" s="129"/>
      <c r="AG108" s="128"/>
      <c r="AH108" s="129"/>
      <c r="AI108" s="128"/>
      <c r="AJ108" s="127" t="str">
        <f t="shared" si="6"/>
        <v/>
      </c>
      <c r="AK108" s="127" t="str">
        <f t="shared" si="7"/>
        <v/>
      </c>
    </row>
    <row r="109" spans="2:37" ht="21" x14ac:dyDescent="0.35">
      <c r="B109" s="128"/>
      <c r="C109" s="128"/>
      <c r="D109" s="128"/>
      <c r="E109" s="128"/>
      <c r="F109" s="128"/>
      <c r="G109" s="128"/>
      <c r="H109" s="128"/>
      <c r="I109" s="128"/>
      <c r="J109" s="128"/>
      <c r="K109" s="128"/>
      <c r="L109" s="128"/>
      <c r="M109" s="128"/>
      <c r="N109" s="128"/>
      <c r="O109" s="128"/>
      <c r="P109" s="128"/>
      <c r="Q109" s="128"/>
      <c r="R109" s="128"/>
      <c r="S109" s="128"/>
      <c r="T109" s="128"/>
      <c r="U109" s="128"/>
      <c r="V109" s="128"/>
      <c r="W109" s="128"/>
      <c r="X109" s="128"/>
      <c r="Y109" s="128"/>
      <c r="Z109" s="128"/>
      <c r="AA109" s="128"/>
      <c r="AB109" s="128"/>
      <c r="AC109" s="128"/>
      <c r="AD109" s="129" t="str">
        <f t="shared" si="4"/>
        <v/>
      </c>
      <c r="AE109" s="129" t="str">
        <f t="shared" si="5"/>
        <v/>
      </c>
      <c r="AF109" s="129"/>
      <c r="AG109" s="128"/>
      <c r="AH109" s="129"/>
      <c r="AI109" s="128"/>
      <c r="AJ109" s="127" t="str">
        <f t="shared" si="6"/>
        <v/>
      </c>
      <c r="AK109" s="127" t="str">
        <f t="shared" si="7"/>
        <v/>
      </c>
    </row>
    <row r="110" spans="2:37" ht="21" x14ac:dyDescent="0.35">
      <c r="B110" s="128"/>
      <c r="C110" s="128"/>
      <c r="D110" s="128"/>
      <c r="E110" s="128"/>
      <c r="F110" s="128"/>
      <c r="G110" s="128"/>
      <c r="H110" s="128"/>
      <c r="I110" s="128"/>
      <c r="J110" s="128"/>
      <c r="K110" s="128"/>
      <c r="L110" s="128"/>
      <c r="M110" s="128"/>
      <c r="N110" s="128"/>
      <c r="O110" s="128"/>
      <c r="P110" s="128"/>
      <c r="Q110" s="128"/>
      <c r="R110" s="128"/>
      <c r="S110" s="128"/>
      <c r="T110" s="128"/>
      <c r="U110" s="128"/>
      <c r="V110" s="128"/>
      <c r="W110" s="128"/>
      <c r="X110" s="128"/>
      <c r="Y110" s="128"/>
      <c r="Z110" s="128"/>
      <c r="AA110" s="128"/>
      <c r="AB110" s="128"/>
      <c r="AC110" s="128"/>
      <c r="AD110" s="129" t="str">
        <f t="shared" si="4"/>
        <v/>
      </c>
      <c r="AE110" s="129" t="str">
        <f t="shared" si="5"/>
        <v/>
      </c>
      <c r="AF110" s="129"/>
      <c r="AG110" s="128"/>
      <c r="AH110" s="129"/>
      <c r="AI110" s="128"/>
      <c r="AJ110" s="127" t="str">
        <f t="shared" si="6"/>
        <v/>
      </c>
      <c r="AK110" s="127" t="str">
        <f t="shared" si="7"/>
        <v/>
      </c>
    </row>
    <row r="111" spans="2:37" ht="21" x14ac:dyDescent="0.35">
      <c r="B111" s="128"/>
      <c r="C111" s="128"/>
      <c r="D111" s="128"/>
      <c r="E111" s="128"/>
      <c r="F111" s="128"/>
      <c r="G111" s="128"/>
      <c r="H111" s="128"/>
      <c r="I111" s="128"/>
      <c r="J111" s="128"/>
      <c r="K111" s="128"/>
      <c r="L111" s="128"/>
      <c r="M111" s="128"/>
      <c r="N111" s="128"/>
      <c r="O111" s="128"/>
      <c r="P111" s="128"/>
      <c r="Q111" s="128"/>
      <c r="R111" s="128"/>
      <c r="S111" s="128"/>
      <c r="T111" s="128"/>
      <c r="U111" s="128"/>
      <c r="V111" s="128"/>
      <c r="W111" s="128"/>
      <c r="X111" s="128"/>
      <c r="Y111" s="128"/>
      <c r="Z111" s="128"/>
      <c r="AA111" s="128"/>
      <c r="AB111" s="128"/>
      <c r="AC111" s="128"/>
      <c r="AD111" s="129" t="str">
        <f t="shared" si="4"/>
        <v/>
      </c>
      <c r="AE111" s="129" t="str">
        <f t="shared" si="5"/>
        <v/>
      </c>
      <c r="AF111" s="129"/>
      <c r="AG111" s="128"/>
      <c r="AH111" s="129"/>
      <c r="AI111" s="128"/>
      <c r="AJ111" s="127" t="str">
        <f t="shared" si="6"/>
        <v/>
      </c>
      <c r="AK111" s="127" t="str">
        <f t="shared" si="7"/>
        <v/>
      </c>
    </row>
    <row r="112" spans="2:37" ht="21" x14ac:dyDescent="0.35">
      <c r="B112" s="128"/>
      <c r="C112" s="128"/>
      <c r="D112" s="128"/>
      <c r="E112" s="128"/>
      <c r="F112" s="128"/>
      <c r="G112" s="128"/>
      <c r="H112" s="128"/>
      <c r="I112" s="128"/>
      <c r="J112" s="128"/>
      <c r="K112" s="128"/>
      <c r="L112" s="128"/>
      <c r="M112" s="128"/>
      <c r="N112" s="128"/>
      <c r="O112" s="128"/>
      <c r="P112" s="128"/>
      <c r="Q112" s="128"/>
      <c r="R112" s="128"/>
      <c r="S112" s="128"/>
      <c r="T112" s="128"/>
      <c r="U112" s="128"/>
      <c r="V112" s="128"/>
      <c r="W112" s="128"/>
      <c r="X112" s="128"/>
      <c r="Y112" s="128"/>
      <c r="Z112" s="128"/>
      <c r="AA112" s="128"/>
      <c r="AB112" s="128"/>
      <c r="AC112" s="128"/>
      <c r="AD112" s="129" t="str">
        <f t="shared" si="4"/>
        <v/>
      </c>
      <c r="AE112" s="129" t="str">
        <f t="shared" si="5"/>
        <v/>
      </c>
      <c r="AF112" s="129"/>
      <c r="AG112" s="128"/>
      <c r="AH112" s="129"/>
      <c r="AI112" s="128"/>
      <c r="AJ112" s="127" t="str">
        <f t="shared" si="6"/>
        <v/>
      </c>
      <c r="AK112" s="127" t="str">
        <f t="shared" si="7"/>
        <v/>
      </c>
    </row>
    <row r="113" spans="2:37" ht="21" x14ac:dyDescent="0.35">
      <c r="B113" s="128"/>
      <c r="C113" s="128"/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9" t="str">
        <f t="shared" si="4"/>
        <v/>
      </c>
      <c r="AE113" s="129" t="str">
        <f t="shared" si="5"/>
        <v/>
      </c>
      <c r="AF113" s="129"/>
      <c r="AG113" s="128"/>
      <c r="AH113" s="129"/>
      <c r="AI113" s="128"/>
      <c r="AJ113" s="127" t="str">
        <f t="shared" si="6"/>
        <v/>
      </c>
      <c r="AK113" s="127" t="str">
        <f t="shared" si="7"/>
        <v/>
      </c>
    </row>
    <row r="114" spans="2:37" ht="21" x14ac:dyDescent="0.35">
      <c r="B114" s="128"/>
      <c r="C114" s="128"/>
      <c r="D114" s="128"/>
      <c r="E114" s="128"/>
      <c r="F114" s="128"/>
      <c r="G114" s="128"/>
      <c r="H114" s="128"/>
      <c r="I114" s="128"/>
      <c r="J114" s="128"/>
      <c r="K114" s="128"/>
      <c r="L114" s="128"/>
      <c r="M114" s="128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9" t="str">
        <f t="shared" si="4"/>
        <v/>
      </c>
      <c r="AE114" s="129" t="str">
        <f t="shared" si="5"/>
        <v/>
      </c>
      <c r="AF114" s="129"/>
      <c r="AG114" s="128"/>
      <c r="AH114" s="129"/>
      <c r="AI114" s="128"/>
      <c r="AJ114" s="127" t="str">
        <f t="shared" si="6"/>
        <v/>
      </c>
      <c r="AK114" s="127" t="str">
        <f t="shared" si="7"/>
        <v/>
      </c>
    </row>
    <row r="115" spans="2:37" ht="21" x14ac:dyDescent="0.35">
      <c r="B115" s="128"/>
      <c r="C115" s="128"/>
      <c r="D115" s="128"/>
      <c r="E115" s="128"/>
      <c r="F115" s="128"/>
      <c r="G115" s="128"/>
      <c r="H115" s="128"/>
      <c r="I115" s="128"/>
      <c r="J115" s="128"/>
      <c r="K115" s="128"/>
      <c r="L115" s="128"/>
      <c r="M115" s="128"/>
      <c r="N115" s="128"/>
      <c r="O115" s="128"/>
      <c r="P115" s="128"/>
      <c r="Q115" s="128"/>
      <c r="R115" s="128"/>
      <c r="S115" s="128"/>
      <c r="T115" s="128"/>
      <c r="U115" s="128"/>
      <c r="V115" s="128"/>
      <c r="W115" s="128"/>
      <c r="X115" s="128"/>
      <c r="Y115" s="128"/>
      <c r="Z115" s="128"/>
      <c r="AA115" s="128"/>
      <c r="AB115" s="128"/>
      <c r="AC115" s="128"/>
      <c r="AD115" s="129" t="str">
        <f t="shared" si="4"/>
        <v/>
      </c>
      <c r="AE115" s="129" t="str">
        <f t="shared" si="5"/>
        <v/>
      </c>
      <c r="AF115" s="129"/>
      <c r="AG115" s="128"/>
      <c r="AH115" s="129"/>
      <c r="AI115" s="128"/>
      <c r="AJ115" s="127" t="str">
        <f t="shared" si="6"/>
        <v/>
      </c>
      <c r="AK115" s="127" t="str">
        <f t="shared" si="7"/>
        <v/>
      </c>
    </row>
    <row r="116" spans="2:37" ht="21" x14ac:dyDescent="0.35">
      <c r="B116" s="128"/>
      <c r="C116" s="128"/>
      <c r="D116" s="128"/>
      <c r="E116" s="128"/>
      <c r="F116" s="128"/>
      <c r="G116" s="128"/>
      <c r="H116" s="128"/>
      <c r="I116" s="128"/>
      <c r="J116" s="128"/>
      <c r="K116" s="128"/>
      <c r="L116" s="128"/>
      <c r="M116" s="128"/>
      <c r="N116" s="128"/>
      <c r="O116" s="128"/>
      <c r="P116" s="128"/>
      <c r="Q116" s="128"/>
      <c r="R116" s="128"/>
      <c r="S116" s="128"/>
      <c r="T116" s="128"/>
      <c r="U116" s="128"/>
      <c r="V116" s="128"/>
      <c r="W116" s="128"/>
      <c r="X116" s="128"/>
      <c r="Y116" s="128"/>
      <c r="Z116" s="128"/>
      <c r="AA116" s="128"/>
      <c r="AB116" s="128"/>
      <c r="AC116" s="128"/>
      <c r="AD116" s="129" t="str">
        <f t="shared" si="4"/>
        <v/>
      </c>
      <c r="AE116" s="129" t="str">
        <f t="shared" si="5"/>
        <v/>
      </c>
      <c r="AF116" s="129"/>
      <c r="AG116" s="128"/>
      <c r="AH116" s="129"/>
      <c r="AI116" s="128"/>
      <c r="AJ116" s="127" t="str">
        <f t="shared" si="6"/>
        <v/>
      </c>
      <c r="AK116" s="127" t="str">
        <f t="shared" si="7"/>
        <v/>
      </c>
    </row>
    <row r="117" spans="2:37" ht="21" x14ac:dyDescent="0.35">
      <c r="B117" s="128"/>
      <c r="C117" s="128"/>
      <c r="D117" s="128"/>
      <c r="E117" s="128"/>
      <c r="F117" s="128"/>
      <c r="G117" s="128"/>
      <c r="H117" s="128"/>
      <c r="I117" s="128"/>
      <c r="J117" s="128"/>
      <c r="K117" s="128"/>
      <c r="L117" s="128"/>
      <c r="M117" s="128"/>
      <c r="N117" s="128"/>
      <c r="O117" s="128"/>
      <c r="P117" s="128"/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9" t="str">
        <f t="shared" si="4"/>
        <v/>
      </c>
      <c r="AE117" s="129" t="str">
        <f t="shared" si="5"/>
        <v/>
      </c>
      <c r="AF117" s="129"/>
      <c r="AG117" s="128"/>
      <c r="AH117" s="129"/>
      <c r="AI117" s="128"/>
      <c r="AJ117" s="127" t="str">
        <f t="shared" si="6"/>
        <v/>
      </c>
      <c r="AK117" s="127" t="str">
        <f t="shared" si="7"/>
        <v/>
      </c>
    </row>
    <row r="118" spans="2:37" ht="21" x14ac:dyDescent="0.35">
      <c r="B118" s="128"/>
      <c r="C118" s="128"/>
      <c r="D118" s="128"/>
      <c r="E118" s="128"/>
      <c r="F118" s="128"/>
      <c r="G118" s="128"/>
      <c r="H118" s="128"/>
      <c r="I118" s="128"/>
      <c r="J118" s="128"/>
      <c r="K118" s="128"/>
      <c r="L118" s="128"/>
      <c r="M118" s="128"/>
      <c r="N118" s="128"/>
      <c r="O118" s="128"/>
      <c r="P118" s="128"/>
      <c r="Q118" s="128"/>
      <c r="R118" s="128"/>
      <c r="S118" s="128"/>
      <c r="T118" s="128"/>
      <c r="U118" s="128"/>
      <c r="V118" s="128"/>
      <c r="W118" s="128"/>
      <c r="X118" s="128"/>
      <c r="Y118" s="128"/>
      <c r="Z118" s="128"/>
      <c r="AA118" s="128"/>
      <c r="AB118" s="128"/>
      <c r="AC118" s="128"/>
      <c r="AD118" s="129" t="str">
        <f t="shared" si="4"/>
        <v/>
      </c>
      <c r="AE118" s="129" t="str">
        <f t="shared" si="5"/>
        <v/>
      </c>
      <c r="AF118" s="129"/>
      <c r="AG118" s="128"/>
      <c r="AH118" s="129"/>
      <c r="AI118" s="128"/>
      <c r="AJ118" s="127" t="str">
        <f t="shared" si="6"/>
        <v/>
      </c>
      <c r="AK118" s="127" t="str">
        <f t="shared" si="7"/>
        <v/>
      </c>
    </row>
    <row r="119" spans="2:37" ht="21" x14ac:dyDescent="0.35">
      <c r="B119" s="128"/>
      <c r="C119" s="128"/>
      <c r="D119" s="128"/>
      <c r="E119" s="128"/>
      <c r="F119" s="128"/>
      <c r="G119" s="128"/>
      <c r="H119" s="128"/>
      <c r="I119" s="128"/>
      <c r="J119" s="128"/>
      <c r="K119" s="128"/>
      <c r="L119" s="128"/>
      <c r="M119" s="128"/>
      <c r="N119" s="128"/>
      <c r="O119" s="128"/>
      <c r="P119" s="128"/>
      <c r="Q119" s="128"/>
      <c r="R119" s="128"/>
      <c r="S119" s="128"/>
      <c r="T119" s="128"/>
      <c r="U119" s="128"/>
      <c r="V119" s="128"/>
      <c r="W119" s="128"/>
      <c r="X119" s="128"/>
      <c r="Y119" s="128"/>
      <c r="Z119" s="128"/>
      <c r="AA119" s="128"/>
      <c r="AB119" s="128"/>
      <c r="AC119" s="128"/>
      <c r="AD119" s="129" t="str">
        <f t="shared" si="4"/>
        <v/>
      </c>
      <c r="AE119" s="129" t="str">
        <f t="shared" si="5"/>
        <v/>
      </c>
      <c r="AF119" s="129"/>
      <c r="AG119" s="128"/>
      <c r="AH119" s="129"/>
      <c r="AI119" s="128"/>
      <c r="AJ119" s="127" t="str">
        <f t="shared" si="6"/>
        <v/>
      </c>
      <c r="AK119" s="127" t="str">
        <f t="shared" si="7"/>
        <v/>
      </c>
    </row>
    <row r="120" spans="2:37" ht="21" x14ac:dyDescent="0.35">
      <c r="B120" s="128"/>
      <c r="C120" s="128"/>
      <c r="D120" s="128"/>
      <c r="E120" s="128"/>
      <c r="F120" s="128"/>
      <c r="G120" s="128"/>
      <c r="H120" s="128"/>
      <c r="I120" s="128"/>
      <c r="J120" s="128"/>
      <c r="K120" s="128"/>
      <c r="L120" s="128"/>
      <c r="M120" s="128"/>
      <c r="N120" s="128"/>
      <c r="O120" s="128"/>
      <c r="P120" s="128"/>
      <c r="Q120" s="128"/>
      <c r="R120" s="128"/>
      <c r="S120" s="128"/>
      <c r="T120" s="128"/>
      <c r="U120" s="128"/>
      <c r="V120" s="128"/>
      <c r="W120" s="128"/>
      <c r="X120" s="128"/>
      <c r="Y120" s="128"/>
      <c r="Z120" s="128"/>
      <c r="AA120" s="128"/>
      <c r="AB120" s="128"/>
      <c r="AC120" s="128"/>
      <c r="AD120" s="129" t="str">
        <f t="shared" si="4"/>
        <v/>
      </c>
      <c r="AE120" s="129" t="str">
        <f t="shared" si="5"/>
        <v/>
      </c>
      <c r="AF120" s="129"/>
      <c r="AG120" s="128"/>
      <c r="AH120" s="129"/>
      <c r="AI120" s="128"/>
      <c r="AJ120" s="127" t="str">
        <f t="shared" si="6"/>
        <v/>
      </c>
      <c r="AK120" s="127" t="str">
        <f t="shared" si="7"/>
        <v/>
      </c>
    </row>
    <row r="121" spans="2:37" ht="21" x14ac:dyDescent="0.35">
      <c r="B121" s="128"/>
      <c r="C121" s="128"/>
      <c r="D121" s="128"/>
      <c r="E121" s="128"/>
      <c r="F121" s="128"/>
      <c r="G121" s="128"/>
      <c r="H121" s="128"/>
      <c r="I121" s="128"/>
      <c r="J121" s="128"/>
      <c r="K121" s="128"/>
      <c r="L121" s="128"/>
      <c r="M121" s="128"/>
      <c r="N121" s="128"/>
      <c r="O121" s="128"/>
      <c r="P121" s="128"/>
      <c r="Q121" s="128"/>
      <c r="R121" s="128"/>
      <c r="S121" s="128"/>
      <c r="T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9" t="str">
        <f t="shared" si="4"/>
        <v/>
      </c>
      <c r="AE121" s="129" t="str">
        <f t="shared" si="5"/>
        <v/>
      </c>
      <c r="AF121" s="129"/>
      <c r="AG121" s="128"/>
      <c r="AH121" s="129"/>
      <c r="AI121" s="128"/>
      <c r="AJ121" s="127" t="str">
        <f t="shared" si="6"/>
        <v/>
      </c>
      <c r="AK121" s="127" t="str">
        <f t="shared" si="7"/>
        <v/>
      </c>
    </row>
    <row r="122" spans="2:37" ht="21" x14ac:dyDescent="0.35">
      <c r="B122" s="128"/>
      <c r="C122" s="128"/>
      <c r="D122" s="128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28"/>
      <c r="U122" s="128"/>
      <c r="V122" s="128"/>
      <c r="W122" s="128"/>
      <c r="X122" s="128"/>
      <c r="Y122" s="128"/>
      <c r="Z122" s="128"/>
      <c r="AA122" s="128"/>
      <c r="AB122" s="128"/>
      <c r="AC122" s="128"/>
      <c r="AD122" s="129" t="str">
        <f t="shared" si="4"/>
        <v/>
      </c>
      <c r="AE122" s="129" t="str">
        <f t="shared" si="5"/>
        <v/>
      </c>
      <c r="AF122" s="129"/>
      <c r="AG122" s="128"/>
      <c r="AH122" s="129"/>
      <c r="AI122" s="128"/>
      <c r="AJ122" s="127" t="str">
        <f t="shared" si="6"/>
        <v/>
      </c>
      <c r="AK122" s="127" t="str">
        <f t="shared" si="7"/>
        <v/>
      </c>
    </row>
    <row r="123" spans="2:37" ht="21" x14ac:dyDescent="0.35">
      <c r="B123" s="128"/>
      <c r="C123" s="128"/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28"/>
      <c r="T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9" t="str">
        <f t="shared" si="4"/>
        <v/>
      </c>
      <c r="AE123" s="129" t="str">
        <f t="shared" si="5"/>
        <v/>
      </c>
      <c r="AF123" s="129"/>
      <c r="AG123" s="128"/>
      <c r="AH123" s="129"/>
      <c r="AI123" s="128"/>
      <c r="AJ123" s="127" t="str">
        <f t="shared" si="6"/>
        <v/>
      </c>
      <c r="AK123" s="127" t="str">
        <f t="shared" si="7"/>
        <v/>
      </c>
    </row>
    <row r="124" spans="2:37" ht="21" x14ac:dyDescent="0.35">
      <c r="B124" s="128"/>
      <c r="C124" s="128"/>
      <c r="D124" s="128"/>
      <c r="E124" s="128"/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 s="128"/>
      <c r="Q124" s="128"/>
      <c r="R124" s="128"/>
      <c r="S124" s="128"/>
      <c r="T124" s="128"/>
      <c r="U124" s="128"/>
      <c r="V124" s="128"/>
      <c r="W124" s="128"/>
      <c r="X124" s="128"/>
      <c r="Y124" s="128"/>
      <c r="Z124" s="128"/>
      <c r="AA124" s="128"/>
      <c r="AB124" s="128"/>
      <c r="AC124" s="128"/>
      <c r="AD124" s="129" t="str">
        <f t="shared" si="4"/>
        <v/>
      </c>
      <c r="AE124" s="129" t="str">
        <f t="shared" si="5"/>
        <v/>
      </c>
      <c r="AF124" s="129"/>
      <c r="AG124" s="128"/>
      <c r="AH124" s="129"/>
      <c r="AI124" s="128"/>
      <c r="AJ124" s="127" t="str">
        <f t="shared" si="6"/>
        <v/>
      </c>
      <c r="AK124" s="127" t="str">
        <f t="shared" si="7"/>
        <v/>
      </c>
    </row>
    <row r="125" spans="2:37" ht="21" x14ac:dyDescent="0.35">
      <c r="B125" s="128"/>
      <c r="C125" s="128"/>
      <c r="D125" s="128"/>
      <c r="E125" s="128"/>
      <c r="F125" s="128"/>
      <c r="G125" s="128"/>
      <c r="H125" s="128"/>
      <c r="I125" s="128"/>
      <c r="J125" s="128"/>
      <c r="K125" s="128"/>
      <c r="L125" s="128"/>
      <c r="M125" s="128"/>
      <c r="N125" s="128"/>
      <c r="O125" s="128"/>
      <c r="P125" s="128"/>
      <c r="Q125" s="128"/>
      <c r="R125" s="128"/>
      <c r="S125" s="128"/>
      <c r="T125" s="128"/>
      <c r="U125" s="128"/>
      <c r="V125" s="128"/>
      <c r="W125" s="128"/>
      <c r="X125" s="128"/>
      <c r="Y125" s="128"/>
      <c r="Z125" s="128"/>
      <c r="AA125" s="128"/>
      <c r="AB125" s="128"/>
      <c r="AC125" s="128"/>
      <c r="AD125" s="129" t="str">
        <f t="shared" si="4"/>
        <v/>
      </c>
      <c r="AE125" s="129" t="str">
        <f t="shared" si="5"/>
        <v/>
      </c>
      <c r="AF125" s="129"/>
      <c r="AG125" s="128"/>
      <c r="AH125" s="129"/>
      <c r="AI125" s="128"/>
      <c r="AJ125" s="127" t="str">
        <f t="shared" si="6"/>
        <v/>
      </c>
      <c r="AK125" s="127" t="str">
        <f t="shared" si="7"/>
        <v/>
      </c>
    </row>
    <row r="126" spans="2:37" ht="21" x14ac:dyDescent="0.35">
      <c r="B126" s="128"/>
      <c r="C126" s="128"/>
      <c r="D126" s="128"/>
      <c r="E126" s="128"/>
      <c r="F126" s="128"/>
      <c r="G126" s="128"/>
      <c r="H126" s="128"/>
      <c r="I126" s="128"/>
      <c r="J126" s="128"/>
      <c r="K126" s="128"/>
      <c r="L126" s="128"/>
      <c r="M126" s="128"/>
      <c r="N126" s="128"/>
      <c r="O126" s="128"/>
      <c r="P126" s="128"/>
      <c r="Q126" s="128"/>
      <c r="R126" s="128"/>
      <c r="S126" s="128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9" t="str">
        <f t="shared" si="4"/>
        <v/>
      </c>
      <c r="AE126" s="129" t="str">
        <f t="shared" si="5"/>
        <v/>
      </c>
      <c r="AF126" s="129"/>
      <c r="AG126" s="128"/>
      <c r="AH126" s="129"/>
      <c r="AI126" s="128"/>
      <c r="AJ126" s="127" t="str">
        <f t="shared" si="6"/>
        <v/>
      </c>
      <c r="AK126" s="127" t="str">
        <f t="shared" si="7"/>
        <v/>
      </c>
    </row>
    <row r="127" spans="2:37" ht="21" x14ac:dyDescent="0.35">
      <c r="B127" s="128"/>
      <c r="C127" s="128"/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9" t="str">
        <f t="shared" si="4"/>
        <v/>
      </c>
      <c r="AE127" s="129" t="str">
        <f t="shared" si="5"/>
        <v/>
      </c>
      <c r="AF127" s="129"/>
      <c r="AG127" s="128"/>
      <c r="AH127" s="129"/>
      <c r="AI127" s="128"/>
      <c r="AJ127" s="127" t="str">
        <f t="shared" si="6"/>
        <v/>
      </c>
      <c r="AK127" s="127" t="str">
        <f t="shared" si="7"/>
        <v/>
      </c>
    </row>
    <row r="128" spans="2:37" ht="21" x14ac:dyDescent="0.35">
      <c r="B128" s="128"/>
      <c r="C128" s="128"/>
      <c r="D128" s="128"/>
      <c r="E128" s="128"/>
      <c r="F128" s="128"/>
      <c r="G128" s="128"/>
      <c r="H128" s="128"/>
      <c r="I128" s="128"/>
      <c r="J128" s="128"/>
      <c r="K128" s="128"/>
      <c r="L128" s="128"/>
      <c r="M128" s="128"/>
      <c r="N128" s="128"/>
      <c r="O128" s="128"/>
      <c r="P128" s="128"/>
      <c r="Q128" s="128"/>
      <c r="R128" s="128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9" t="str">
        <f t="shared" si="4"/>
        <v/>
      </c>
      <c r="AE128" s="129" t="str">
        <f t="shared" si="5"/>
        <v/>
      </c>
      <c r="AF128" s="129"/>
      <c r="AG128" s="128"/>
      <c r="AH128" s="129"/>
      <c r="AI128" s="128"/>
      <c r="AJ128" s="127" t="str">
        <f t="shared" si="6"/>
        <v/>
      </c>
      <c r="AK128" s="127" t="str">
        <f t="shared" si="7"/>
        <v/>
      </c>
    </row>
    <row r="129" spans="2:37" ht="21" x14ac:dyDescent="0.35">
      <c r="B129" s="128"/>
      <c r="C129" s="128"/>
      <c r="D129" s="128"/>
      <c r="E129" s="128"/>
      <c r="F129" s="128"/>
      <c r="G129" s="128"/>
      <c r="H129" s="128"/>
      <c r="I129" s="128"/>
      <c r="J129" s="128"/>
      <c r="K129" s="128"/>
      <c r="L129" s="128"/>
      <c r="M129" s="128"/>
      <c r="N129" s="128"/>
      <c r="O129" s="128"/>
      <c r="P129" s="128"/>
      <c r="Q129" s="128"/>
      <c r="R129" s="128"/>
      <c r="S129" s="128"/>
      <c r="T129" s="128"/>
      <c r="U129" s="128"/>
      <c r="V129" s="128"/>
      <c r="W129" s="128"/>
      <c r="X129" s="128"/>
      <c r="Y129" s="128"/>
      <c r="Z129" s="128"/>
      <c r="AA129" s="128"/>
      <c r="AB129" s="128"/>
      <c r="AC129" s="128"/>
      <c r="AD129" s="129" t="str">
        <f t="shared" si="4"/>
        <v/>
      </c>
      <c r="AE129" s="129" t="str">
        <f t="shared" si="5"/>
        <v/>
      </c>
      <c r="AF129" s="129"/>
      <c r="AG129" s="128"/>
      <c r="AH129" s="129"/>
      <c r="AI129" s="128"/>
      <c r="AJ129" s="127" t="str">
        <f t="shared" si="6"/>
        <v/>
      </c>
      <c r="AK129" s="127" t="str">
        <f t="shared" si="7"/>
        <v/>
      </c>
    </row>
    <row r="130" spans="2:37" ht="21" x14ac:dyDescent="0.35">
      <c r="B130" s="128"/>
      <c r="C130" s="128"/>
      <c r="D130" s="128"/>
      <c r="E130" s="128"/>
      <c r="F130" s="128"/>
      <c r="G130" s="128"/>
      <c r="H130" s="128"/>
      <c r="I130" s="128"/>
      <c r="J130" s="128"/>
      <c r="K130" s="128"/>
      <c r="L130" s="128"/>
      <c r="M130" s="128"/>
      <c r="N130" s="128"/>
      <c r="O130" s="128"/>
      <c r="P130" s="128"/>
      <c r="Q130" s="128"/>
      <c r="R130" s="128"/>
      <c r="S130" s="128"/>
      <c r="T130" s="128"/>
      <c r="U130" s="128"/>
      <c r="V130" s="128"/>
      <c r="W130" s="128"/>
      <c r="X130" s="128"/>
      <c r="Y130" s="128"/>
      <c r="Z130" s="128"/>
      <c r="AA130" s="128"/>
      <c r="AB130" s="128"/>
      <c r="AC130" s="128"/>
      <c r="AD130" s="129" t="str">
        <f t="shared" si="4"/>
        <v/>
      </c>
      <c r="AE130" s="129" t="str">
        <f t="shared" si="5"/>
        <v/>
      </c>
      <c r="AF130" s="129"/>
      <c r="AG130" s="128"/>
      <c r="AH130" s="129"/>
      <c r="AI130" s="128"/>
      <c r="AJ130" s="127" t="str">
        <f t="shared" si="6"/>
        <v/>
      </c>
      <c r="AK130" s="127" t="str">
        <f t="shared" si="7"/>
        <v/>
      </c>
    </row>
    <row r="131" spans="2:37" ht="21" x14ac:dyDescent="0.35">
      <c r="B131" s="128"/>
      <c r="C131" s="128"/>
      <c r="D131" s="128"/>
      <c r="E131" s="128"/>
      <c r="F131" s="128"/>
      <c r="G131" s="128"/>
      <c r="H131" s="128"/>
      <c r="I131" s="128"/>
      <c r="J131" s="128"/>
      <c r="K131" s="128"/>
      <c r="L131" s="128"/>
      <c r="M131" s="128"/>
      <c r="N131" s="128"/>
      <c r="O131" s="128"/>
      <c r="P131" s="128"/>
      <c r="Q131" s="128"/>
      <c r="R131" s="128"/>
      <c r="S131" s="128"/>
      <c r="T131" s="128"/>
      <c r="U131" s="128"/>
      <c r="V131" s="128"/>
      <c r="W131" s="128"/>
      <c r="X131" s="128"/>
      <c r="Y131" s="128"/>
      <c r="Z131" s="128"/>
      <c r="AA131" s="128"/>
      <c r="AB131" s="128"/>
      <c r="AC131" s="128"/>
      <c r="AD131" s="129" t="str">
        <f t="shared" si="4"/>
        <v/>
      </c>
      <c r="AE131" s="129" t="str">
        <f t="shared" si="5"/>
        <v/>
      </c>
      <c r="AF131" s="129"/>
      <c r="AG131" s="128"/>
      <c r="AH131" s="129"/>
      <c r="AI131" s="128"/>
      <c r="AJ131" s="127" t="str">
        <f t="shared" si="6"/>
        <v/>
      </c>
      <c r="AK131" s="127" t="str">
        <f t="shared" si="7"/>
        <v/>
      </c>
    </row>
    <row r="132" spans="2:37" ht="21" x14ac:dyDescent="0.35">
      <c r="B132" s="128"/>
      <c r="C132" s="128"/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28"/>
      <c r="T132" s="128"/>
      <c r="U132" s="128"/>
      <c r="V132" s="128"/>
      <c r="W132" s="128"/>
      <c r="X132" s="128"/>
      <c r="Y132" s="128"/>
      <c r="Z132" s="128"/>
      <c r="AA132" s="128"/>
      <c r="AB132" s="128"/>
      <c r="AC132" s="128"/>
      <c r="AD132" s="129" t="str">
        <f t="shared" ref="AD132:AD163" si="8">IF(MIN(F132,J132,N132,R132,V132,Z132)&lt;&gt;0,MIN(F132,J132,N132,R132,V132,Z132),"")</f>
        <v/>
      </c>
      <c r="AE132" s="129" t="str">
        <f t="shared" ref="AE132:AE163" si="9">IF(MIN(H132,L132,P132,T132,X132,AB132)&lt;&gt;0,MIN(H132,L132,P132,T132,X132,AB132),"")</f>
        <v/>
      </c>
      <c r="AF132" s="129"/>
      <c r="AG132" s="128"/>
      <c r="AH132" s="129"/>
      <c r="AI132" s="128"/>
      <c r="AJ132" s="127" t="str">
        <f t="shared" ref="AJ132:AJ163" si="10">IF(AD132="","",IF(ISBLANK(AF132),"En cours",AD132+AF132))</f>
        <v/>
      </c>
      <c r="AK132" s="127" t="str">
        <f t="shared" ref="AK132:AK163" si="11">IF(AE132="","",IF(ISBLANK(AH132),"En cours",AE132+AH132))</f>
        <v/>
      </c>
    </row>
    <row r="133" spans="2:37" ht="21" x14ac:dyDescent="0.35">
      <c r="B133" s="128"/>
      <c r="C133" s="128"/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9" t="str">
        <f t="shared" si="8"/>
        <v/>
      </c>
      <c r="AE133" s="129" t="str">
        <f t="shared" si="9"/>
        <v/>
      </c>
      <c r="AF133" s="129"/>
      <c r="AG133" s="128"/>
      <c r="AH133" s="129"/>
      <c r="AI133" s="128"/>
      <c r="AJ133" s="127" t="str">
        <f t="shared" si="10"/>
        <v/>
      </c>
      <c r="AK133" s="127" t="str">
        <f t="shared" si="11"/>
        <v/>
      </c>
    </row>
    <row r="134" spans="2:37" ht="21" x14ac:dyDescent="0.35">
      <c r="B134" s="128"/>
      <c r="C134" s="128"/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9" t="str">
        <f t="shared" si="8"/>
        <v/>
      </c>
      <c r="AE134" s="129" t="str">
        <f t="shared" si="9"/>
        <v/>
      </c>
      <c r="AF134" s="129"/>
      <c r="AG134" s="128"/>
      <c r="AH134" s="129"/>
      <c r="AI134" s="128"/>
      <c r="AJ134" s="127" t="str">
        <f t="shared" si="10"/>
        <v/>
      </c>
      <c r="AK134" s="127" t="str">
        <f t="shared" si="11"/>
        <v/>
      </c>
    </row>
    <row r="135" spans="2:37" ht="21" x14ac:dyDescent="0.35">
      <c r="B135" s="128"/>
      <c r="C135" s="128"/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9" t="str">
        <f t="shared" si="8"/>
        <v/>
      </c>
      <c r="AE135" s="129" t="str">
        <f t="shared" si="9"/>
        <v/>
      </c>
      <c r="AF135" s="129"/>
      <c r="AG135" s="128"/>
      <c r="AH135" s="129"/>
      <c r="AI135" s="128"/>
      <c r="AJ135" s="127" t="str">
        <f t="shared" si="10"/>
        <v/>
      </c>
      <c r="AK135" s="127" t="str">
        <f t="shared" si="11"/>
        <v/>
      </c>
    </row>
    <row r="136" spans="2:37" ht="21" x14ac:dyDescent="0.35">
      <c r="B136" s="128"/>
      <c r="C136" s="128"/>
      <c r="D136" s="128"/>
      <c r="E136" s="128"/>
      <c r="F136" s="128"/>
      <c r="G136" s="128"/>
      <c r="H136" s="128"/>
      <c r="I136" s="128"/>
      <c r="J136" s="128"/>
      <c r="K136" s="128"/>
      <c r="L136" s="128"/>
      <c r="M136" s="128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9" t="str">
        <f t="shared" si="8"/>
        <v/>
      </c>
      <c r="AE136" s="129" t="str">
        <f t="shared" si="9"/>
        <v/>
      </c>
      <c r="AF136" s="129"/>
      <c r="AG136" s="128"/>
      <c r="AH136" s="129"/>
      <c r="AI136" s="128"/>
      <c r="AJ136" s="127" t="str">
        <f t="shared" si="10"/>
        <v/>
      </c>
      <c r="AK136" s="127" t="str">
        <f t="shared" si="11"/>
        <v/>
      </c>
    </row>
    <row r="137" spans="2:37" ht="21" x14ac:dyDescent="0.35">
      <c r="B137" s="128"/>
      <c r="C137" s="128"/>
      <c r="D137" s="128"/>
      <c r="E137" s="128"/>
      <c r="F137" s="128"/>
      <c r="G137" s="128"/>
      <c r="H137" s="128"/>
      <c r="I137" s="128"/>
      <c r="J137" s="128"/>
      <c r="K137" s="128"/>
      <c r="L137" s="128"/>
      <c r="M137" s="128"/>
      <c r="N137" s="128"/>
      <c r="O137" s="128"/>
      <c r="P137" s="128"/>
      <c r="Q137" s="128"/>
      <c r="R137" s="128"/>
      <c r="S137" s="128"/>
      <c r="T137" s="128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9" t="str">
        <f t="shared" si="8"/>
        <v/>
      </c>
      <c r="AE137" s="129" t="str">
        <f t="shared" si="9"/>
        <v/>
      </c>
      <c r="AF137" s="129"/>
      <c r="AG137" s="128"/>
      <c r="AH137" s="129"/>
      <c r="AI137" s="128"/>
      <c r="AJ137" s="127" t="str">
        <f t="shared" si="10"/>
        <v/>
      </c>
      <c r="AK137" s="127" t="str">
        <f t="shared" si="11"/>
        <v/>
      </c>
    </row>
    <row r="138" spans="2:37" ht="21" x14ac:dyDescent="0.35">
      <c r="B138" s="128"/>
      <c r="C138" s="128"/>
      <c r="D138" s="128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9" t="str">
        <f t="shared" si="8"/>
        <v/>
      </c>
      <c r="AE138" s="129" t="str">
        <f t="shared" si="9"/>
        <v/>
      </c>
      <c r="AF138" s="129"/>
      <c r="AG138" s="128"/>
      <c r="AH138" s="129"/>
      <c r="AI138" s="128"/>
      <c r="AJ138" s="127" t="str">
        <f t="shared" si="10"/>
        <v/>
      </c>
      <c r="AK138" s="127" t="str">
        <f t="shared" si="11"/>
        <v/>
      </c>
    </row>
    <row r="139" spans="2:37" ht="21" x14ac:dyDescent="0.35">
      <c r="B139" s="128"/>
      <c r="C139" s="128"/>
      <c r="D139" s="128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9" t="str">
        <f t="shared" si="8"/>
        <v/>
      </c>
      <c r="AE139" s="129" t="str">
        <f t="shared" si="9"/>
        <v/>
      </c>
      <c r="AF139" s="129"/>
      <c r="AG139" s="128"/>
      <c r="AH139" s="129"/>
      <c r="AI139" s="128"/>
      <c r="AJ139" s="127" t="str">
        <f t="shared" si="10"/>
        <v/>
      </c>
      <c r="AK139" s="127" t="str">
        <f t="shared" si="11"/>
        <v/>
      </c>
    </row>
    <row r="140" spans="2:37" ht="21" x14ac:dyDescent="0.35">
      <c r="B140" s="128"/>
      <c r="C140" s="128"/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9" t="str">
        <f t="shared" si="8"/>
        <v/>
      </c>
      <c r="AE140" s="129" t="str">
        <f t="shared" si="9"/>
        <v/>
      </c>
      <c r="AF140" s="129"/>
      <c r="AG140" s="128"/>
      <c r="AH140" s="129"/>
      <c r="AI140" s="128"/>
      <c r="AJ140" s="127" t="str">
        <f t="shared" si="10"/>
        <v/>
      </c>
      <c r="AK140" s="127" t="str">
        <f t="shared" si="11"/>
        <v/>
      </c>
    </row>
    <row r="141" spans="2:37" ht="21" x14ac:dyDescent="0.35">
      <c r="B141" s="128"/>
      <c r="C141" s="128"/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9" t="str">
        <f t="shared" si="8"/>
        <v/>
      </c>
      <c r="AE141" s="129" t="str">
        <f t="shared" si="9"/>
        <v/>
      </c>
      <c r="AF141" s="129"/>
      <c r="AG141" s="128"/>
      <c r="AH141" s="129"/>
      <c r="AI141" s="128"/>
      <c r="AJ141" s="127" t="str">
        <f t="shared" si="10"/>
        <v/>
      </c>
      <c r="AK141" s="127" t="str">
        <f t="shared" si="11"/>
        <v/>
      </c>
    </row>
    <row r="142" spans="2:37" ht="21" x14ac:dyDescent="0.35">
      <c r="B142" s="128"/>
      <c r="C142" s="128"/>
      <c r="D142" s="128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9" t="str">
        <f t="shared" si="8"/>
        <v/>
      </c>
      <c r="AE142" s="129" t="str">
        <f t="shared" si="9"/>
        <v/>
      </c>
      <c r="AF142" s="129"/>
      <c r="AG142" s="128"/>
      <c r="AH142" s="129"/>
      <c r="AI142" s="128"/>
      <c r="AJ142" s="127" t="str">
        <f t="shared" si="10"/>
        <v/>
      </c>
      <c r="AK142" s="127" t="str">
        <f t="shared" si="11"/>
        <v/>
      </c>
    </row>
    <row r="143" spans="2:37" ht="21" x14ac:dyDescent="0.35">
      <c r="B143" s="128"/>
      <c r="C143" s="128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9" t="str">
        <f t="shared" si="8"/>
        <v/>
      </c>
      <c r="AE143" s="129" t="str">
        <f t="shared" si="9"/>
        <v/>
      </c>
      <c r="AF143" s="129"/>
      <c r="AG143" s="128"/>
      <c r="AH143" s="129"/>
      <c r="AI143" s="128"/>
      <c r="AJ143" s="127" t="str">
        <f t="shared" si="10"/>
        <v/>
      </c>
      <c r="AK143" s="127" t="str">
        <f t="shared" si="11"/>
        <v/>
      </c>
    </row>
    <row r="144" spans="2:37" ht="21" x14ac:dyDescent="0.35">
      <c r="B144" s="128"/>
      <c r="C144" s="128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9" t="str">
        <f t="shared" si="8"/>
        <v/>
      </c>
      <c r="AE144" s="129" t="str">
        <f t="shared" si="9"/>
        <v/>
      </c>
      <c r="AF144" s="129"/>
      <c r="AG144" s="128"/>
      <c r="AH144" s="129"/>
      <c r="AI144" s="128"/>
      <c r="AJ144" s="127" t="str">
        <f t="shared" si="10"/>
        <v/>
      </c>
      <c r="AK144" s="127" t="str">
        <f t="shared" si="11"/>
        <v/>
      </c>
    </row>
    <row r="145" spans="2:37" ht="21" x14ac:dyDescent="0.35">
      <c r="B145" s="128"/>
      <c r="C145" s="128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9" t="str">
        <f t="shared" si="8"/>
        <v/>
      </c>
      <c r="AE145" s="129" t="str">
        <f t="shared" si="9"/>
        <v/>
      </c>
      <c r="AF145" s="129"/>
      <c r="AG145" s="128"/>
      <c r="AH145" s="129"/>
      <c r="AI145" s="128"/>
      <c r="AJ145" s="127" t="str">
        <f t="shared" si="10"/>
        <v/>
      </c>
      <c r="AK145" s="127" t="str">
        <f t="shared" si="11"/>
        <v/>
      </c>
    </row>
    <row r="146" spans="2:37" ht="21" x14ac:dyDescent="0.35">
      <c r="B146" s="128"/>
      <c r="C146" s="128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9" t="str">
        <f t="shared" si="8"/>
        <v/>
      </c>
      <c r="AE146" s="129" t="str">
        <f t="shared" si="9"/>
        <v/>
      </c>
      <c r="AF146" s="129"/>
      <c r="AG146" s="128"/>
      <c r="AH146" s="129"/>
      <c r="AI146" s="128"/>
      <c r="AJ146" s="127" t="str">
        <f t="shared" si="10"/>
        <v/>
      </c>
      <c r="AK146" s="127" t="str">
        <f t="shared" si="11"/>
        <v/>
      </c>
    </row>
    <row r="147" spans="2:37" ht="21" x14ac:dyDescent="0.35">
      <c r="B147" s="128"/>
      <c r="C147" s="128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9" t="str">
        <f t="shared" si="8"/>
        <v/>
      </c>
      <c r="AE147" s="129" t="str">
        <f t="shared" si="9"/>
        <v/>
      </c>
      <c r="AF147" s="129"/>
      <c r="AG147" s="128"/>
      <c r="AH147" s="129"/>
      <c r="AI147" s="128"/>
      <c r="AJ147" s="127" t="str">
        <f t="shared" si="10"/>
        <v/>
      </c>
      <c r="AK147" s="127" t="str">
        <f t="shared" si="11"/>
        <v/>
      </c>
    </row>
    <row r="148" spans="2:37" ht="21" x14ac:dyDescent="0.35">
      <c r="B148" s="128"/>
      <c r="C148" s="128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9" t="str">
        <f t="shared" si="8"/>
        <v/>
      </c>
      <c r="AE148" s="129" t="str">
        <f t="shared" si="9"/>
        <v/>
      </c>
      <c r="AF148" s="129"/>
      <c r="AG148" s="128"/>
      <c r="AH148" s="129"/>
      <c r="AI148" s="128"/>
      <c r="AJ148" s="127" t="str">
        <f t="shared" si="10"/>
        <v/>
      </c>
      <c r="AK148" s="127" t="str">
        <f t="shared" si="11"/>
        <v/>
      </c>
    </row>
    <row r="149" spans="2:37" ht="21" x14ac:dyDescent="0.35">
      <c r="B149" s="128"/>
      <c r="C149" s="128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9" t="str">
        <f t="shared" si="8"/>
        <v/>
      </c>
      <c r="AE149" s="129" t="str">
        <f t="shared" si="9"/>
        <v/>
      </c>
      <c r="AF149" s="129"/>
      <c r="AG149" s="128"/>
      <c r="AH149" s="129"/>
      <c r="AI149" s="128"/>
      <c r="AJ149" s="127" t="str">
        <f t="shared" si="10"/>
        <v/>
      </c>
      <c r="AK149" s="127" t="str">
        <f t="shared" si="11"/>
        <v/>
      </c>
    </row>
    <row r="150" spans="2:37" ht="21" x14ac:dyDescent="0.35">
      <c r="B150" s="128"/>
      <c r="C150" s="128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9" t="str">
        <f t="shared" si="8"/>
        <v/>
      </c>
      <c r="AE150" s="129" t="str">
        <f t="shared" si="9"/>
        <v/>
      </c>
      <c r="AF150" s="129"/>
      <c r="AG150" s="128"/>
      <c r="AH150" s="129"/>
      <c r="AI150" s="128"/>
      <c r="AJ150" s="127" t="str">
        <f t="shared" si="10"/>
        <v/>
      </c>
      <c r="AK150" s="127" t="str">
        <f t="shared" si="11"/>
        <v/>
      </c>
    </row>
    <row r="151" spans="2:37" ht="21" x14ac:dyDescent="0.35">
      <c r="B151" s="128"/>
      <c r="C151" s="128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9" t="str">
        <f t="shared" si="8"/>
        <v/>
      </c>
      <c r="AE151" s="129" t="str">
        <f t="shared" si="9"/>
        <v/>
      </c>
      <c r="AF151" s="129"/>
      <c r="AG151" s="128"/>
      <c r="AH151" s="129"/>
      <c r="AI151" s="128"/>
      <c r="AJ151" s="127" t="str">
        <f t="shared" si="10"/>
        <v/>
      </c>
      <c r="AK151" s="127" t="str">
        <f t="shared" si="11"/>
        <v/>
      </c>
    </row>
    <row r="152" spans="2:37" ht="21" x14ac:dyDescent="0.35">
      <c r="B152" s="128"/>
      <c r="C152" s="128"/>
      <c r="D152" s="128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9" t="str">
        <f t="shared" si="8"/>
        <v/>
      </c>
      <c r="AE152" s="129" t="str">
        <f t="shared" si="9"/>
        <v/>
      </c>
      <c r="AF152" s="129"/>
      <c r="AG152" s="128"/>
      <c r="AH152" s="129"/>
      <c r="AI152" s="128"/>
      <c r="AJ152" s="127" t="str">
        <f t="shared" si="10"/>
        <v/>
      </c>
      <c r="AK152" s="127" t="str">
        <f t="shared" si="11"/>
        <v/>
      </c>
    </row>
    <row r="153" spans="2:37" ht="21" x14ac:dyDescent="0.35">
      <c r="B153" s="128"/>
      <c r="C153" s="128"/>
      <c r="D153" s="128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9" t="str">
        <f t="shared" si="8"/>
        <v/>
      </c>
      <c r="AE153" s="129" t="str">
        <f t="shared" si="9"/>
        <v/>
      </c>
      <c r="AF153" s="129"/>
      <c r="AG153" s="128"/>
      <c r="AH153" s="129"/>
      <c r="AI153" s="128"/>
      <c r="AJ153" s="127" t="str">
        <f t="shared" si="10"/>
        <v/>
      </c>
      <c r="AK153" s="127" t="str">
        <f t="shared" si="11"/>
        <v/>
      </c>
    </row>
    <row r="154" spans="2:37" ht="21" x14ac:dyDescent="0.35">
      <c r="B154" s="128"/>
      <c r="C154" s="128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9" t="str">
        <f t="shared" si="8"/>
        <v/>
      </c>
      <c r="AE154" s="129" t="str">
        <f t="shared" si="9"/>
        <v/>
      </c>
      <c r="AF154" s="129"/>
      <c r="AG154" s="128"/>
      <c r="AH154" s="129"/>
      <c r="AI154" s="128"/>
      <c r="AJ154" s="127" t="str">
        <f t="shared" si="10"/>
        <v/>
      </c>
      <c r="AK154" s="127" t="str">
        <f t="shared" si="11"/>
        <v/>
      </c>
    </row>
    <row r="155" spans="2:37" ht="21" x14ac:dyDescent="0.35">
      <c r="B155" s="128"/>
      <c r="C155" s="128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9" t="str">
        <f t="shared" si="8"/>
        <v/>
      </c>
      <c r="AE155" s="129" t="str">
        <f t="shared" si="9"/>
        <v/>
      </c>
      <c r="AF155" s="129"/>
      <c r="AG155" s="128"/>
      <c r="AH155" s="129"/>
      <c r="AI155" s="128"/>
      <c r="AJ155" s="127" t="str">
        <f t="shared" si="10"/>
        <v/>
      </c>
      <c r="AK155" s="127" t="str">
        <f t="shared" si="11"/>
        <v/>
      </c>
    </row>
    <row r="156" spans="2:37" ht="21" x14ac:dyDescent="0.35">
      <c r="B156" s="128"/>
      <c r="C156" s="128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9" t="str">
        <f t="shared" si="8"/>
        <v/>
      </c>
      <c r="AE156" s="129" t="str">
        <f t="shared" si="9"/>
        <v/>
      </c>
      <c r="AF156" s="129"/>
      <c r="AG156" s="128"/>
      <c r="AH156" s="129"/>
      <c r="AI156" s="128"/>
      <c r="AJ156" s="127" t="str">
        <f t="shared" si="10"/>
        <v/>
      </c>
      <c r="AK156" s="127" t="str">
        <f t="shared" si="11"/>
        <v/>
      </c>
    </row>
    <row r="157" spans="2:37" ht="21" x14ac:dyDescent="0.35">
      <c r="B157" s="128"/>
      <c r="C157" s="128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9" t="str">
        <f t="shared" si="8"/>
        <v/>
      </c>
      <c r="AE157" s="129" t="str">
        <f t="shared" si="9"/>
        <v/>
      </c>
      <c r="AF157" s="129"/>
      <c r="AG157" s="128"/>
      <c r="AH157" s="129"/>
      <c r="AI157" s="128"/>
      <c r="AJ157" s="127" t="str">
        <f t="shared" si="10"/>
        <v/>
      </c>
      <c r="AK157" s="127" t="str">
        <f t="shared" si="11"/>
        <v/>
      </c>
    </row>
    <row r="158" spans="2:37" ht="21" x14ac:dyDescent="0.35">
      <c r="B158" s="128"/>
      <c r="C158" s="128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9" t="str">
        <f t="shared" si="8"/>
        <v/>
      </c>
      <c r="AE158" s="129" t="str">
        <f t="shared" si="9"/>
        <v/>
      </c>
      <c r="AF158" s="129"/>
      <c r="AG158" s="128"/>
      <c r="AH158" s="129"/>
      <c r="AI158" s="128"/>
      <c r="AJ158" s="127" t="str">
        <f t="shared" si="10"/>
        <v/>
      </c>
      <c r="AK158" s="127" t="str">
        <f t="shared" si="11"/>
        <v/>
      </c>
    </row>
    <row r="159" spans="2:37" ht="21" x14ac:dyDescent="0.35">
      <c r="B159" s="128"/>
      <c r="C159" s="128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9" t="str">
        <f t="shared" si="8"/>
        <v/>
      </c>
      <c r="AE159" s="129" t="str">
        <f t="shared" si="9"/>
        <v/>
      </c>
      <c r="AF159" s="129"/>
      <c r="AG159" s="128"/>
      <c r="AH159" s="129"/>
      <c r="AI159" s="128"/>
      <c r="AJ159" s="127" t="str">
        <f t="shared" si="10"/>
        <v/>
      </c>
      <c r="AK159" s="127" t="str">
        <f t="shared" si="11"/>
        <v/>
      </c>
    </row>
    <row r="160" spans="2:37" ht="21" x14ac:dyDescent="0.35">
      <c r="B160" s="128"/>
      <c r="C160" s="128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9" t="str">
        <f t="shared" si="8"/>
        <v/>
      </c>
      <c r="AE160" s="129" t="str">
        <f t="shared" si="9"/>
        <v/>
      </c>
      <c r="AF160" s="129"/>
      <c r="AG160" s="128"/>
      <c r="AH160" s="129"/>
      <c r="AI160" s="128"/>
      <c r="AJ160" s="127" t="str">
        <f t="shared" si="10"/>
        <v/>
      </c>
      <c r="AK160" s="127" t="str">
        <f t="shared" si="11"/>
        <v/>
      </c>
    </row>
    <row r="161" spans="2:37" ht="21" x14ac:dyDescent="0.35">
      <c r="B161" s="128"/>
      <c r="C161" s="128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9" t="str">
        <f t="shared" si="8"/>
        <v/>
      </c>
      <c r="AE161" s="129" t="str">
        <f t="shared" si="9"/>
        <v/>
      </c>
      <c r="AF161" s="129"/>
      <c r="AG161" s="128"/>
      <c r="AH161" s="129"/>
      <c r="AI161" s="128"/>
      <c r="AJ161" s="127" t="str">
        <f t="shared" si="10"/>
        <v/>
      </c>
      <c r="AK161" s="127" t="str">
        <f t="shared" si="11"/>
        <v/>
      </c>
    </row>
    <row r="162" spans="2:37" ht="21" x14ac:dyDescent="0.35">
      <c r="B162" s="128"/>
      <c r="C162" s="128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9" t="str">
        <f t="shared" si="8"/>
        <v/>
      </c>
      <c r="AE162" s="129" t="str">
        <f t="shared" si="9"/>
        <v/>
      </c>
      <c r="AF162" s="129"/>
      <c r="AG162" s="128"/>
      <c r="AH162" s="129"/>
      <c r="AI162" s="128"/>
      <c r="AJ162" s="127" t="str">
        <f t="shared" si="10"/>
        <v/>
      </c>
      <c r="AK162" s="127" t="str">
        <f t="shared" si="11"/>
        <v/>
      </c>
    </row>
    <row r="163" spans="2:37" ht="21" x14ac:dyDescent="0.35">
      <c r="B163" s="128"/>
      <c r="C163" s="128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9" t="str">
        <f t="shared" si="8"/>
        <v/>
      </c>
      <c r="AE163" s="129" t="str">
        <f t="shared" si="9"/>
        <v/>
      </c>
      <c r="AF163" s="129"/>
      <c r="AG163" s="128"/>
      <c r="AH163" s="129"/>
      <c r="AI163" s="128"/>
      <c r="AJ163" s="127" t="str">
        <f t="shared" si="10"/>
        <v/>
      </c>
      <c r="AK163" s="127" t="str">
        <f t="shared" si="11"/>
        <v/>
      </c>
    </row>
    <row r="164" spans="2:37" ht="21" x14ac:dyDescent="0.35">
      <c r="B164" s="128"/>
      <c r="C164" s="128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9" t="str">
        <f t="shared" ref="AD164:AD181" si="12">IF(MIN(F164,J164,N164,R164,V164,Z164)&lt;&gt;0,MIN(F164,J164,N164,R164,V164,Z164),"")</f>
        <v/>
      </c>
      <c r="AE164" s="129" t="str">
        <f t="shared" ref="AE164:AE181" si="13">IF(MIN(H164,L164,P164,T164,X164,AB164)&lt;&gt;0,MIN(H164,L164,P164,T164,X164,AB164),"")</f>
        <v/>
      </c>
      <c r="AF164" s="129"/>
      <c r="AG164" s="128"/>
      <c r="AH164" s="129"/>
      <c r="AI164" s="128"/>
      <c r="AJ164" s="127" t="str">
        <f t="shared" ref="AJ164:AJ181" si="14">IF(AD164="","",IF(ISBLANK(AF164),"En cours",AD164+AF164))</f>
        <v/>
      </c>
      <c r="AK164" s="127" t="str">
        <f t="shared" ref="AK164:AK181" si="15">IF(AE164="","",IF(ISBLANK(AH164),"En cours",AE164+AH164))</f>
        <v/>
      </c>
    </row>
    <row r="165" spans="2:37" ht="21" x14ac:dyDescent="0.35">
      <c r="B165" s="128"/>
      <c r="C165" s="128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9" t="str">
        <f t="shared" si="12"/>
        <v/>
      </c>
      <c r="AE165" s="129" t="str">
        <f t="shared" si="13"/>
        <v/>
      </c>
      <c r="AF165" s="129"/>
      <c r="AG165" s="128"/>
      <c r="AH165" s="129"/>
      <c r="AI165" s="128"/>
      <c r="AJ165" s="127" t="str">
        <f t="shared" si="14"/>
        <v/>
      </c>
      <c r="AK165" s="127" t="str">
        <f t="shared" si="15"/>
        <v/>
      </c>
    </row>
    <row r="166" spans="2:37" ht="21" x14ac:dyDescent="0.35">
      <c r="B166" s="128"/>
      <c r="C166" s="128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9" t="str">
        <f t="shared" si="12"/>
        <v/>
      </c>
      <c r="AE166" s="129" t="str">
        <f t="shared" si="13"/>
        <v/>
      </c>
      <c r="AF166" s="129"/>
      <c r="AG166" s="128"/>
      <c r="AH166" s="129"/>
      <c r="AI166" s="128"/>
      <c r="AJ166" s="127" t="str">
        <f t="shared" si="14"/>
        <v/>
      </c>
      <c r="AK166" s="127" t="str">
        <f t="shared" si="15"/>
        <v/>
      </c>
    </row>
    <row r="167" spans="2:37" ht="21" x14ac:dyDescent="0.35">
      <c r="B167" s="128"/>
      <c r="C167" s="128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9" t="str">
        <f t="shared" si="12"/>
        <v/>
      </c>
      <c r="AE167" s="129" t="str">
        <f t="shared" si="13"/>
        <v/>
      </c>
      <c r="AF167" s="129"/>
      <c r="AG167" s="128"/>
      <c r="AH167" s="129"/>
      <c r="AI167" s="128"/>
      <c r="AJ167" s="127" t="str">
        <f t="shared" si="14"/>
        <v/>
      </c>
      <c r="AK167" s="127" t="str">
        <f t="shared" si="15"/>
        <v/>
      </c>
    </row>
    <row r="168" spans="2:37" ht="21" x14ac:dyDescent="0.35">
      <c r="B168" s="128"/>
      <c r="C168" s="128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9" t="str">
        <f t="shared" si="12"/>
        <v/>
      </c>
      <c r="AE168" s="129" t="str">
        <f t="shared" si="13"/>
        <v/>
      </c>
      <c r="AF168" s="129"/>
      <c r="AG168" s="128"/>
      <c r="AH168" s="129"/>
      <c r="AI168" s="128"/>
      <c r="AJ168" s="127" t="str">
        <f t="shared" si="14"/>
        <v/>
      </c>
      <c r="AK168" s="127" t="str">
        <f t="shared" si="15"/>
        <v/>
      </c>
    </row>
    <row r="169" spans="2:37" ht="21" x14ac:dyDescent="0.35">
      <c r="B169" s="128"/>
      <c r="C169" s="128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9" t="str">
        <f t="shared" si="12"/>
        <v/>
      </c>
      <c r="AE169" s="129" t="str">
        <f t="shared" si="13"/>
        <v/>
      </c>
      <c r="AF169" s="129"/>
      <c r="AG169" s="128"/>
      <c r="AH169" s="129"/>
      <c r="AI169" s="128"/>
      <c r="AJ169" s="127" t="str">
        <f t="shared" si="14"/>
        <v/>
      </c>
      <c r="AK169" s="127" t="str">
        <f t="shared" si="15"/>
        <v/>
      </c>
    </row>
    <row r="170" spans="2:37" ht="21" x14ac:dyDescent="0.35">
      <c r="B170" s="128"/>
      <c r="C170" s="128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9" t="str">
        <f t="shared" si="12"/>
        <v/>
      </c>
      <c r="AE170" s="129" t="str">
        <f t="shared" si="13"/>
        <v/>
      </c>
      <c r="AF170" s="129"/>
      <c r="AG170" s="128"/>
      <c r="AH170" s="129"/>
      <c r="AI170" s="128"/>
      <c r="AJ170" s="127" t="str">
        <f t="shared" si="14"/>
        <v/>
      </c>
      <c r="AK170" s="127" t="str">
        <f t="shared" si="15"/>
        <v/>
      </c>
    </row>
    <row r="171" spans="2:37" ht="21" x14ac:dyDescent="0.35">
      <c r="B171" s="128"/>
      <c r="C171" s="128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9" t="str">
        <f t="shared" si="12"/>
        <v/>
      </c>
      <c r="AE171" s="129" t="str">
        <f t="shared" si="13"/>
        <v/>
      </c>
      <c r="AF171" s="129"/>
      <c r="AG171" s="128"/>
      <c r="AH171" s="129"/>
      <c r="AI171" s="128"/>
      <c r="AJ171" s="127" t="str">
        <f t="shared" si="14"/>
        <v/>
      </c>
      <c r="AK171" s="127" t="str">
        <f t="shared" si="15"/>
        <v/>
      </c>
    </row>
    <row r="172" spans="2:37" ht="21" x14ac:dyDescent="0.35">
      <c r="B172" s="128"/>
      <c r="C172" s="128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9" t="str">
        <f t="shared" si="12"/>
        <v/>
      </c>
      <c r="AE172" s="129" t="str">
        <f t="shared" si="13"/>
        <v/>
      </c>
      <c r="AF172" s="129"/>
      <c r="AG172" s="128"/>
      <c r="AH172" s="129"/>
      <c r="AI172" s="128"/>
      <c r="AJ172" s="127" t="str">
        <f t="shared" si="14"/>
        <v/>
      </c>
      <c r="AK172" s="127" t="str">
        <f t="shared" si="15"/>
        <v/>
      </c>
    </row>
    <row r="173" spans="2:37" ht="21" x14ac:dyDescent="0.35">
      <c r="B173" s="128"/>
      <c r="C173" s="128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9" t="str">
        <f t="shared" si="12"/>
        <v/>
      </c>
      <c r="AE173" s="129" t="str">
        <f t="shared" si="13"/>
        <v/>
      </c>
      <c r="AF173" s="129"/>
      <c r="AG173" s="128"/>
      <c r="AH173" s="129"/>
      <c r="AI173" s="128"/>
      <c r="AJ173" s="127" t="str">
        <f t="shared" si="14"/>
        <v/>
      </c>
      <c r="AK173" s="127" t="str">
        <f t="shared" si="15"/>
        <v/>
      </c>
    </row>
    <row r="174" spans="2:37" ht="21" x14ac:dyDescent="0.35">
      <c r="B174" s="128"/>
      <c r="C174" s="128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9" t="str">
        <f t="shared" si="12"/>
        <v/>
      </c>
      <c r="AE174" s="129" t="str">
        <f t="shared" si="13"/>
        <v/>
      </c>
      <c r="AF174" s="129"/>
      <c r="AG174" s="128"/>
      <c r="AH174" s="129"/>
      <c r="AI174" s="128"/>
      <c r="AJ174" s="127" t="str">
        <f t="shared" si="14"/>
        <v/>
      </c>
      <c r="AK174" s="127" t="str">
        <f t="shared" si="15"/>
        <v/>
      </c>
    </row>
    <row r="175" spans="2:37" ht="21" x14ac:dyDescent="0.35">
      <c r="B175" s="128"/>
      <c r="C175" s="128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9" t="str">
        <f t="shared" si="12"/>
        <v/>
      </c>
      <c r="AE175" s="129" t="str">
        <f t="shared" si="13"/>
        <v/>
      </c>
      <c r="AF175" s="129"/>
      <c r="AG175" s="128"/>
      <c r="AH175" s="129"/>
      <c r="AI175" s="128"/>
      <c r="AJ175" s="127" t="str">
        <f t="shared" si="14"/>
        <v/>
      </c>
      <c r="AK175" s="127" t="str">
        <f t="shared" si="15"/>
        <v/>
      </c>
    </row>
    <row r="176" spans="2:37" ht="21" x14ac:dyDescent="0.35">
      <c r="B176" s="128"/>
      <c r="C176" s="128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9" t="str">
        <f t="shared" si="12"/>
        <v/>
      </c>
      <c r="AE176" s="129" t="str">
        <f t="shared" si="13"/>
        <v/>
      </c>
      <c r="AF176" s="129"/>
      <c r="AG176" s="128"/>
      <c r="AH176" s="129"/>
      <c r="AI176" s="128"/>
      <c r="AJ176" s="127" t="str">
        <f t="shared" si="14"/>
        <v/>
      </c>
      <c r="AK176" s="127" t="str">
        <f t="shared" si="15"/>
        <v/>
      </c>
    </row>
    <row r="177" spans="2:37" ht="21" x14ac:dyDescent="0.35">
      <c r="B177" s="128"/>
      <c r="C177" s="128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9" t="str">
        <f t="shared" si="12"/>
        <v/>
      </c>
      <c r="AE177" s="129" t="str">
        <f t="shared" si="13"/>
        <v/>
      </c>
      <c r="AF177" s="129"/>
      <c r="AG177" s="128"/>
      <c r="AH177" s="129"/>
      <c r="AI177" s="128"/>
      <c r="AJ177" s="127" t="str">
        <f t="shared" si="14"/>
        <v/>
      </c>
      <c r="AK177" s="127" t="str">
        <f t="shared" si="15"/>
        <v/>
      </c>
    </row>
    <row r="178" spans="2:37" ht="21" x14ac:dyDescent="0.35">
      <c r="B178" s="128"/>
      <c r="C178" s="128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9" t="str">
        <f t="shared" si="12"/>
        <v/>
      </c>
      <c r="AE178" s="129" t="str">
        <f t="shared" si="13"/>
        <v/>
      </c>
      <c r="AF178" s="129"/>
      <c r="AG178" s="128"/>
      <c r="AH178" s="129"/>
      <c r="AI178" s="128"/>
      <c r="AJ178" s="127" t="str">
        <f t="shared" si="14"/>
        <v/>
      </c>
      <c r="AK178" s="127" t="str">
        <f t="shared" si="15"/>
        <v/>
      </c>
    </row>
    <row r="179" spans="2:37" ht="21" x14ac:dyDescent="0.35">
      <c r="B179" s="128"/>
      <c r="C179" s="128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9" t="str">
        <f t="shared" si="12"/>
        <v/>
      </c>
      <c r="AE179" s="129" t="str">
        <f t="shared" si="13"/>
        <v/>
      </c>
      <c r="AF179" s="129"/>
      <c r="AG179" s="128"/>
      <c r="AH179" s="129"/>
      <c r="AI179" s="128"/>
      <c r="AJ179" s="127" t="str">
        <f t="shared" si="14"/>
        <v/>
      </c>
      <c r="AK179" s="127" t="str">
        <f t="shared" si="15"/>
        <v/>
      </c>
    </row>
    <row r="180" spans="2:37" ht="21" x14ac:dyDescent="0.35">
      <c r="B180" s="157"/>
      <c r="C180" s="158"/>
      <c r="D180" s="158"/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9" t="str">
        <f t="shared" si="12"/>
        <v/>
      </c>
      <c r="AE180" s="159" t="str">
        <f t="shared" si="13"/>
        <v/>
      </c>
      <c r="AF180" s="159"/>
      <c r="AG180" s="158"/>
      <c r="AH180" s="159"/>
      <c r="AI180" s="158"/>
      <c r="AJ180" s="160" t="str">
        <f t="shared" si="14"/>
        <v/>
      </c>
      <c r="AK180" s="161" t="str">
        <f t="shared" si="15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12"/>
        <v/>
      </c>
      <c r="AE181" s="159" t="str">
        <f t="shared" si="13"/>
        <v/>
      </c>
      <c r="AF181" s="159"/>
      <c r="AG181" s="158"/>
      <c r="AH181" s="159"/>
      <c r="AI181" s="158"/>
      <c r="AJ181" s="160" t="str">
        <f t="shared" si="14"/>
        <v/>
      </c>
      <c r="AK181" s="161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ref="AD182:AD195" si="16">IF(MIN(F182,J182,N182,R182,V182,Z182)&lt;&gt;0,MIN(F182,J182,N182,R182,V182,Z182),"")</f>
        <v/>
      </c>
      <c r="AE182" s="76" t="str">
        <f t="shared" ref="AE182:AE195" si="17">IF(MIN(H182,L182,P182,T182,X182,AB182)&lt;&gt;0,MIN(H182,L182,P182,T182,X182,AB182),"")</f>
        <v/>
      </c>
      <c r="AF182" s="77"/>
      <c r="AG182" s="73"/>
      <c r="AH182" s="77"/>
      <c r="AI182" s="73"/>
      <c r="AJ182" s="78" t="str">
        <f t="shared" ref="AJ182:AJ195" si="18">IF(AD182="","",IF(ISBLANK(AF182),"En cours",AD182+AF182))</f>
        <v/>
      </c>
      <c r="AK182" s="79" t="str">
        <f t="shared" ref="AK182:AK195" si="19"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6"/>
        <v/>
      </c>
      <c r="AE183" s="76" t="str">
        <f t="shared" si="17"/>
        <v/>
      </c>
      <c r="AF183" s="77"/>
      <c r="AG183" s="73"/>
      <c r="AH183" s="77"/>
      <c r="AI183" s="73"/>
      <c r="AJ183" s="78" t="str">
        <f t="shared" si="18"/>
        <v/>
      </c>
      <c r="AK183" s="79" t="str">
        <f t="shared" si="19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6"/>
        <v/>
      </c>
      <c r="AE184" s="76" t="str">
        <f t="shared" si="17"/>
        <v/>
      </c>
      <c r="AF184" s="77"/>
      <c r="AG184" s="73"/>
      <c r="AH184" s="77"/>
      <c r="AI184" s="73"/>
      <c r="AJ184" s="78" t="str">
        <f t="shared" si="18"/>
        <v/>
      </c>
      <c r="AK184" s="79" t="str">
        <f t="shared" si="19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6"/>
        <v/>
      </c>
      <c r="AE185" s="76" t="str">
        <f t="shared" si="17"/>
        <v/>
      </c>
      <c r="AF185" s="77"/>
      <c r="AG185" s="73"/>
      <c r="AH185" s="77"/>
      <c r="AI185" s="73"/>
      <c r="AJ185" s="78" t="str">
        <f t="shared" si="18"/>
        <v/>
      </c>
      <c r="AK185" s="79" t="str">
        <f t="shared" si="19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6"/>
        <v/>
      </c>
      <c r="AE186" s="76" t="str">
        <f t="shared" si="17"/>
        <v/>
      </c>
      <c r="AF186" s="77"/>
      <c r="AG186" s="73"/>
      <c r="AH186" s="77"/>
      <c r="AI186" s="73"/>
      <c r="AJ186" s="78" t="str">
        <f t="shared" si="18"/>
        <v/>
      </c>
      <c r="AK186" s="79" t="str">
        <f t="shared" si="19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6"/>
        <v/>
      </c>
      <c r="AE187" s="76" t="str">
        <f t="shared" si="17"/>
        <v/>
      </c>
      <c r="AF187" s="77"/>
      <c r="AG187" s="73"/>
      <c r="AH187" s="77"/>
      <c r="AI187" s="73"/>
      <c r="AJ187" s="78" t="str">
        <f t="shared" si="18"/>
        <v/>
      </c>
      <c r="AK187" s="79" t="str">
        <f t="shared" si="19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6"/>
        <v/>
      </c>
      <c r="AE188" s="76" t="str">
        <f t="shared" si="17"/>
        <v/>
      </c>
      <c r="AF188" s="77"/>
      <c r="AG188" s="73"/>
      <c r="AH188" s="77"/>
      <c r="AI188" s="73"/>
      <c r="AJ188" s="78" t="str">
        <f t="shared" si="18"/>
        <v/>
      </c>
      <c r="AK188" s="79" t="str">
        <f t="shared" si="19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6"/>
        <v/>
      </c>
      <c r="AE189" s="76" t="str">
        <f t="shared" si="17"/>
        <v/>
      </c>
      <c r="AF189" s="77"/>
      <c r="AG189" s="73"/>
      <c r="AH189" s="77"/>
      <c r="AI189" s="73"/>
      <c r="AJ189" s="78" t="str">
        <f t="shared" si="18"/>
        <v/>
      </c>
      <c r="AK189" s="79" t="str">
        <f t="shared" si="19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6"/>
        <v/>
      </c>
      <c r="AE190" s="76" t="str">
        <f t="shared" si="17"/>
        <v/>
      </c>
      <c r="AF190" s="77"/>
      <c r="AG190" s="73"/>
      <c r="AH190" s="77"/>
      <c r="AI190" s="73"/>
      <c r="AJ190" s="78" t="str">
        <f t="shared" si="18"/>
        <v/>
      </c>
      <c r="AK190" s="79" t="str">
        <f t="shared" si="19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6"/>
        <v/>
      </c>
      <c r="AE191" s="76" t="str">
        <f t="shared" si="17"/>
        <v/>
      </c>
      <c r="AF191" s="77"/>
      <c r="AG191" s="73"/>
      <c r="AH191" s="77"/>
      <c r="AI191" s="73"/>
      <c r="AJ191" s="78" t="str">
        <f t="shared" si="18"/>
        <v/>
      </c>
      <c r="AK191" s="79" t="str">
        <f t="shared" si="19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6"/>
        <v/>
      </c>
      <c r="AE192" s="76" t="str">
        <f t="shared" si="17"/>
        <v/>
      </c>
      <c r="AF192" s="77"/>
      <c r="AG192" s="73"/>
      <c r="AH192" s="77"/>
      <c r="AI192" s="73"/>
      <c r="AJ192" s="78" t="str">
        <f t="shared" si="18"/>
        <v/>
      </c>
      <c r="AK192" s="79" t="str">
        <f t="shared" si="19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6"/>
        <v/>
      </c>
      <c r="AE193" s="76" t="str">
        <f t="shared" si="17"/>
        <v/>
      </c>
      <c r="AF193" s="77"/>
      <c r="AG193" s="73"/>
      <c r="AH193" s="77"/>
      <c r="AI193" s="73"/>
      <c r="AJ193" s="78" t="str">
        <f t="shared" si="18"/>
        <v/>
      </c>
      <c r="AK193" s="79" t="str">
        <f t="shared" si="19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6"/>
        <v/>
      </c>
      <c r="AE194" s="76" t="str">
        <f t="shared" si="17"/>
        <v/>
      </c>
      <c r="AF194" s="77"/>
      <c r="AG194" s="73"/>
      <c r="AH194" s="77"/>
      <c r="AI194" s="73"/>
      <c r="AJ194" s="78" t="str">
        <f t="shared" si="18"/>
        <v/>
      </c>
      <c r="AK194" s="79" t="str">
        <f t="shared" si="19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6"/>
        <v/>
      </c>
      <c r="AE195" s="76" t="str">
        <f t="shared" si="17"/>
        <v/>
      </c>
      <c r="AF195" s="77"/>
      <c r="AG195" s="73"/>
      <c r="AH195" s="77"/>
      <c r="AI195" s="73"/>
      <c r="AJ195" s="78" t="str">
        <f t="shared" si="18"/>
        <v/>
      </c>
      <c r="AK195" s="79" t="str">
        <f t="shared" si="19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20">IF(MIN(F196,J196,N196,R196,V196,Z196)&lt;&gt;0,MIN(F196,J196,N196,R196,V196,Z196),"")</f>
        <v/>
      </c>
      <c r="AE196" s="76" t="str">
        <f t="shared" ref="AE196:AE259" si="21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22">IF(AD196="","",IF(ISBLANK(AF196),"En cours",AD196+AF196))</f>
        <v/>
      </c>
      <c r="AK196" s="79" t="str">
        <f t="shared" ref="AK196:AK259" si="23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20"/>
        <v/>
      </c>
      <c r="AE197" s="76" t="str">
        <f t="shared" si="21"/>
        <v/>
      </c>
      <c r="AF197" s="77"/>
      <c r="AG197" s="73"/>
      <c r="AH197" s="77"/>
      <c r="AI197" s="73"/>
      <c r="AJ197" s="78" t="str">
        <f t="shared" si="22"/>
        <v/>
      </c>
      <c r="AK197" s="79" t="str">
        <f t="shared" si="23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20"/>
        <v/>
      </c>
      <c r="AE198" s="76" t="str">
        <f t="shared" si="21"/>
        <v/>
      </c>
      <c r="AF198" s="77"/>
      <c r="AG198" s="73"/>
      <c r="AH198" s="77"/>
      <c r="AI198" s="73"/>
      <c r="AJ198" s="78" t="str">
        <f t="shared" si="22"/>
        <v/>
      </c>
      <c r="AK198" s="79" t="str">
        <f t="shared" si="23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20"/>
        <v/>
      </c>
      <c r="AE199" s="76" t="str">
        <f t="shared" si="21"/>
        <v/>
      </c>
      <c r="AF199" s="77"/>
      <c r="AG199" s="73"/>
      <c r="AH199" s="77"/>
      <c r="AI199" s="73"/>
      <c r="AJ199" s="78" t="str">
        <f t="shared" si="22"/>
        <v/>
      </c>
      <c r="AK199" s="79" t="str">
        <f t="shared" si="23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20"/>
        <v/>
      </c>
      <c r="AE200" s="76" t="str">
        <f t="shared" si="21"/>
        <v/>
      </c>
      <c r="AF200" s="77"/>
      <c r="AG200" s="73"/>
      <c r="AH200" s="77"/>
      <c r="AI200" s="73"/>
      <c r="AJ200" s="78" t="str">
        <f t="shared" si="22"/>
        <v/>
      </c>
      <c r="AK200" s="79" t="str">
        <f t="shared" si="23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20"/>
        <v/>
      </c>
      <c r="AE201" s="76" t="str">
        <f t="shared" si="21"/>
        <v/>
      </c>
      <c r="AF201" s="77"/>
      <c r="AG201" s="73"/>
      <c r="AH201" s="77"/>
      <c r="AI201" s="73"/>
      <c r="AJ201" s="78" t="str">
        <f t="shared" si="22"/>
        <v/>
      </c>
      <c r="AK201" s="79" t="str">
        <f t="shared" si="23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20"/>
        <v/>
      </c>
      <c r="AE202" s="76" t="str">
        <f t="shared" si="21"/>
        <v/>
      </c>
      <c r="AF202" s="77"/>
      <c r="AG202" s="73"/>
      <c r="AH202" s="77"/>
      <c r="AI202" s="73"/>
      <c r="AJ202" s="78" t="str">
        <f t="shared" si="22"/>
        <v/>
      </c>
      <c r="AK202" s="79" t="str">
        <f t="shared" si="23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20"/>
        <v/>
      </c>
      <c r="AE203" s="76" t="str">
        <f t="shared" si="21"/>
        <v/>
      </c>
      <c r="AF203" s="77"/>
      <c r="AG203" s="73"/>
      <c r="AH203" s="77"/>
      <c r="AI203" s="73"/>
      <c r="AJ203" s="78" t="str">
        <f t="shared" si="22"/>
        <v/>
      </c>
      <c r="AK203" s="79" t="str">
        <f t="shared" si="23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20"/>
        <v/>
      </c>
      <c r="AE204" s="76" t="str">
        <f t="shared" si="21"/>
        <v/>
      </c>
      <c r="AF204" s="77"/>
      <c r="AG204" s="73"/>
      <c r="AH204" s="77"/>
      <c r="AI204" s="73"/>
      <c r="AJ204" s="78" t="str">
        <f t="shared" si="22"/>
        <v/>
      </c>
      <c r="AK204" s="79" t="str">
        <f t="shared" si="23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20"/>
        <v/>
      </c>
      <c r="AE205" s="76" t="str">
        <f t="shared" si="21"/>
        <v/>
      </c>
      <c r="AF205" s="77"/>
      <c r="AG205" s="73"/>
      <c r="AH205" s="77"/>
      <c r="AI205" s="73"/>
      <c r="AJ205" s="78" t="str">
        <f t="shared" si="22"/>
        <v/>
      </c>
      <c r="AK205" s="79" t="str">
        <f t="shared" si="23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20"/>
        <v/>
      </c>
      <c r="AE206" s="76" t="str">
        <f t="shared" si="21"/>
        <v/>
      </c>
      <c r="AF206" s="77"/>
      <c r="AG206" s="73"/>
      <c r="AH206" s="77"/>
      <c r="AI206" s="73"/>
      <c r="AJ206" s="78" t="str">
        <f t="shared" si="22"/>
        <v/>
      </c>
      <c r="AK206" s="79" t="str">
        <f t="shared" si="23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20"/>
        <v/>
      </c>
      <c r="AE207" s="76" t="str">
        <f t="shared" si="21"/>
        <v/>
      </c>
      <c r="AF207" s="77"/>
      <c r="AG207" s="73"/>
      <c r="AH207" s="77"/>
      <c r="AI207" s="73"/>
      <c r="AJ207" s="78" t="str">
        <f t="shared" si="22"/>
        <v/>
      </c>
      <c r="AK207" s="79" t="str">
        <f t="shared" si="23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20"/>
        <v/>
      </c>
      <c r="AE208" s="76" t="str">
        <f t="shared" si="21"/>
        <v/>
      </c>
      <c r="AF208" s="77"/>
      <c r="AG208" s="73"/>
      <c r="AH208" s="77"/>
      <c r="AI208" s="73"/>
      <c r="AJ208" s="78" t="str">
        <f t="shared" si="22"/>
        <v/>
      </c>
      <c r="AK208" s="79" t="str">
        <f t="shared" si="23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20"/>
        <v/>
      </c>
      <c r="AE209" s="76" t="str">
        <f t="shared" si="21"/>
        <v/>
      </c>
      <c r="AF209" s="77"/>
      <c r="AG209" s="73"/>
      <c r="AH209" s="77"/>
      <c r="AI209" s="73"/>
      <c r="AJ209" s="78" t="str">
        <f t="shared" si="22"/>
        <v/>
      </c>
      <c r="AK209" s="79" t="str">
        <f t="shared" si="23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20"/>
        <v/>
      </c>
      <c r="AE210" s="76" t="str">
        <f t="shared" si="21"/>
        <v/>
      </c>
      <c r="AF210" s="77"/>
      <c r="AG210" s="73"/>
      <c r="AH210" s="77"/>
      <c r="AI210" s="73"/>
      <c r="AJ210" s="78" t="str">
        <f t="shared" si="22"/>
        <v/>
      </c>
      <c r="AK210" s="79" t="str">
        <f t="shared" si="23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20"/>
        <v/>
      </c>
      <c r="AE211" s="76" t="str">
        <f t="shared" si="21"/>
        <v/>
      </c>
      <c r="AF211" s="77"/>
      <c r="AG211" s="73"/>
      <c r="AH211" s="77"/>
      <c r="AI211" s="73"/>
      <c r="AJ211" s="78" t="str">
        <f t="shared" si="22"/>
        <v/>
      </c>
      <c r="AK211" s="79" t="str">
        <f t="shared" si="23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20"/>
        <v/>
      </c>
      <c r="AE212" s="76" t="str">
        <f t="shared" si="21"/>
        <v/>
      </c>
      <c r="AF212" s="77"/>
      <c r="AG212" s="73"/>
      <c r="AH212" s="77"/>
      <c r="AI212" s="73"/>
      <c r="AJ212" s="78" t="str">
        <f t="shared" si="22"/>
        <v/>
      </c>
      <c r="AK212" s="79" t="str">
        <f t="shared" si="23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20"/>
        <v/>
      </c>
      <c r="AE213" s="76" t="str">
        <f t="shared" si="21"/>
        <v/>
      </c>
      <c r="AF213" s="77"/>
      <c r="AG213" s="73"/>
      <c r="AH213" s="77"/>
      <c r="AI213" s="73"/>
      <c r="AJ213" s="78" t="str">
        <f t="shared" si="22"/>
        <v/>
      </c>
      <c r="AK213" s="79" t="str">
        <f t="shared" si="23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20"/>
        <v/>
      </c>
      <c r="AE214" s="76" t="str">
        <f t="shared" si="21"/>
        <v/>
      </c>
      <c r="AF214" s="77"/>
      <c r="AG214" s="73"/>
      <c r="AH214" s="77"/>
      <c r="AI214" s="73"/>
      <c r="AJ214" s="78" t="str">
        <f t="shared" si="22"/>
        <v/>
      </c>
      <c r="AK214" s="79" t="str">
        <f t="shared" si="23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20"/>
        <v/>
      </c>
      <c r="AE215" s="76" t="str">
        <f t="shared" si="21"/>
        <v/>
      </c>
      <c r="AF215" s="77"/>
      <c r="AG215" s="73"/>
      <c r="AH215" s="77"/>
      <c r="AI215" s="73"/>
      <c r="AJ215" s="78" t="str">
        <f t="shared" si="22"/>
        <v/>
      </c>
      <c r="AK215" s="79" t="str">
        <f t="shared" si="23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20"/>
        <v/>
      </c>
      <c r="AE216" s="76" t="str">
        <f t="shared" si="21"/>
        <v/>
      </c>
      <c r="AF216" s="77"/>
      <c r="AG216" s="73"/>
      <c r="AH216" s="77"/>
      <c r="AI216" s="73"/>
      <c r="AJ216" s="78" t="str">
        <f t="shared" si="22"/>
        <v/>
      </c>
      <c r="AK216" s="79" t="str">
        <f t="shared" si="23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20"/>
        <v/>
      </c>
      <c r="AE217" s="76" t="str">
        <f t="shared" si="21"/>
        <v/>
      </c>
      <c r="AF217" s="77"/>
      <c r="AG217" s="73"/>
      <c r="AH217" s="77"/>
      <c r="AI217" s="73"/>
      <c r="AJ217" s="78" t="str">
        <f t="shared" si="22"/>
        <v/>
      </c>
      <c r="AK217" s="79" t="str">
        <f t="shared" si="23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20"/>
        <v/>
      </c>
      <c r="AE218" s="76" t="str">
        <f t="shared" si="21"/>
        <v/>
      </c>
      <c r="AF218" s="77"/>
      <c r="AG218" s="73"/>
      <c r="AH218" s="77"/>
      <c r="AI218" s="73"/>
      <c r="AJ218" s="78" t="str">
        <f t="shared" si="22"/>
        <v/>
      </c>
      <c r="AK218" s="79" t="str">
        <f t="shared" si="23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20"/>
        <v/>
      </c>
      <c r="AE219" s="76" t="str">
        <f t="shared" si="21"/>
        <v/>
      </c>
      <c r="AF219" s="77"/>
      <c r="AG219" s="73"/>
      <c r="AH219" s="77"/>
      <c r="AI219" s="73"/>
      <c r="AJ219" s="78" t="str">
        <f t="shared" si="22"/>
        <v/>
      </c>
      <c r="AK219" s="79" t="str">
        <f t="shared" si="23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20"/>
        <v/>
      </c>
      <c r="AE220" s="76" t="str">
        <f t="shared" si="21"/>
        <v/>
      </c>
      <c r="AF220" s="77"/>
      <c r="AG220" s="73"/>
      <c r="AH220" s="77"/>
      <c r="AI220" s="73"/>
      <c r="AJ220" s="78" t="str">
        <f t="shared" si="22"/>
        <v/>
      </c>
      <c r="AK220" s="79" t="str">
        <f t="shared" si="23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20"/>
        <v/>
      </c>
      <c r="AE221" s="76" t="str">
        <f t="shared" si="21"/>
        <v/>
      </c>
      <c r="AF221" s="77"/>
      <c r="AG221" s="73"/>
      <c r="AH221" s="77"/>
      <c r="AI221" s="73"/>
      <c r="AJ221" s="78" t="str">
        <f t="shared" si="22"/>
        <v/>
      </c>
      <c r="AK221" s="79" t="str">
        <f t="shared" si="23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20"/>
        <v/>
      </c>
      <c r="AE222" s="76" t="str">
        <f t="shared" si="21"/>
        <v/>
      </c>
      <c r="AF222" s="77"/>
      <c r="AG222" s="73"/>
      <c r="AH222" s="77"/>
      <c r="AI222" s="73"/>
      <c r="AJ222" s="78" t="str">
        <f t="shared" si="22"/>
        <v/>
      </c>
      <c r="AK222" s="79" t="str">
        <f t="shared" si="23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20"/>
        <v/>
      </c>
      <c r="AE223" s="76" t="str">
        <f t="shared" si="21"/>
        <v/>
      </c>
      <c r="AF223" s="77"/>
      <c r="AG223" s="73"/>
      <c r="AH223" s="77"/>
      <c r="AI223" s="73"/>
      <c r="AJ223" s="78" t="str">
        <f t="shared" si="22"/>
        <v/>
      </c>
      <c r="AK223" s="79" t="str">
        <f t="shared" si="23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20"/>
        <v/>
      </c>
      <c r="AE224" s="76" t="str">
        <f t="shared" si="21"/>
        <v/>
      </c>
      <c r="AF224" s="77"/>
      <c r="AG224" s="73"/>
      <c r="AH224" s="77"/>
      <c r="AI224" s="73"/>
      <c r="AJ224" s="78" t="str">
        <f t="shared" si="22"/>
        <v/>
      </c>
      <c r="AK224" s="79" t="str">
        <f t="shared" si="23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20"/>
        <v/>
      </c>
      <c r="AE225" s="76" t="str">
        <f t="shared" si="21"/>
        <v/>
      </c>
      <c r="AF225" s="77"/>
      <c r="AG225" s="73"/>
      <c r="AH225" s="77"/>
      <c r="AI225" s="73"/>
      <c r="AJ225" s="78" t="str">
        <f t="shared" si="22"/>
        <v/>
      </c>
      <c r="AK225" s="79" t="str">
        <f t="shared" si="23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20"/>
        <v/>
      </c>
      <c r="AE226" s="76" t="str">
        <f t="shared" si="21"/>
        <v/>
      </c>
      <c r="AF226" s="77"/>
      <c r="AG226" s="73"/>
      <c r="AH226" s="77"/>
      <c r="AI226" s="73"/>
      <c r="AJ226" s="78" t="str">
        <f t="shared" si="22"/>
        <v/>
      </c>
      <c r="AK226" s="79" t="str">
        <f t="shared" si="23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20"/>
        <v/>
      </c>
      <c r="AE227" s="76" t="str">
        <f t="shared" si="21"/>
        <v/>
      </c>
      <c r="AF227" s="77"/>
      <c r="AG227" s="73"/>
      <c r="AH227" s="77"/>
      <c r="AI227" s="73"/>
      <c r="AJ227" s="78" t="str">
        <f t="shared" si="22"/>
        <v/>
      </c>
      <c r="AK227" s="79" t="str">
        <f t="shared" si="23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20"/>
        <v/>
      </c>
      <c r="AE228" s="76" t="str">
        <f t="shared" si="21"/>
        <v/>
      </c>
      <c r="AF228" s="77"/>
      <c r="AG228" s="73"/>
      <c r="AH228" s="77"/>
      <c r="AI228" s="73"/>
      <c r="AJ228" s="78" t="str">
        <f t="shared" si="22"/>
        <v/>
      </c>
      <c r="AK228" s="79" t="str">
        <f t="shared" si="23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20"/>
        <v/>
      </c>
      <c r="AE229" s="76" t="str">
        <f t="shared" si="21"/>
        <v/>
      </c>
      <c r="AF229" s="77"/>
      <c r="AG229" s="73"/>
      <c r="AH229" s="77"/>
      <c r="AI229" s="73"/>
      <c r="AJ229" s="78" t="str">
        <f t="shared" si="22"/>
        <v/>
      </c>
      <c r="AK229" s="79" t="str">
        <f t="shared" si="23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20"/>
        <v/>
      </c>
      <c r="AE230" s="76" t="str">
        <f t="shared" si="21"/>
        <v/>
      </c>
      <c r="AF230" s="77"/>
      <c r="AG230" s="73"/>
      <c r="AH230" s="77"/>
      <c r="AI230" s="73"/>
      <c r="AJ230" s="78" t="str">
        <f t="shared" si="22"/>
        <v/>
      </c>
      <c r="AK230" s="79" t="str">
        <f t="shared" si="23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20"/>
        <v/>
      </c>
      <c r="AE231" s="76" t="str">
        <f t="shared" si="21"/>
        <v/>
      </c>
      <c r="AF231" s="77"/>
      <c r="AG231" s="73"/>
      <c r="AH231" s="77"/>
      <c r="AI231" s="73"/>
      <c r="AJ231" s="78" t="str">
        <f t="shared" si="22"/>
        <v/>
      </c>
      <c r="AK231" s="79" t="str">
        <f t="shared" si="23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20"/>
        <v/>
      </c>
      <c r="AE232" s="76" t="str">
        <f t="shared" si="21"/>
        <v/>
      </c>
      <c r="AF232" s="77"/>
      <c r="AG232" s="73"/>
      <c r="AH232" s="77"/>
      <c r="AI232" s="73"/>
      <c r="AJ232" s="78" t="str">
        <f t="shared" si="22"/>
        <v/>
      </c>
      <c r="AK232" s="79" t="str">
        <f t="shared" si="23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20"/>
        <v/>
      </c>
      <c r="AE233" s="76" t="str">
        <f t="shared" si="21"/>
        <v/>
      </c>
      <c r="AF233" s="77"/>
      <c r="AG233" s="73"/>
      <c r="AH233" s="77"/>
      <c r="AI233" s="73"/>
      <c r="AJ233" s="78" t="str">
        <f t="shared" si="22"/>
        <v/>
      </c>
      <c r="AK233" s="79" t="str">
        <f t="shared" si="23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20"/>
        <v/>
      </c>
      <c r="AE234" s="76" t="str">
        <f t="shared" si="21"/>
        <v/>
      </c>
      <c r="AF234" s="77"/>
      <c r="AG234" s="73"/>
      <c r="AH234" s="77"/>
      <c r="AI234" s="73"/>
      <c r="AJ234" s="78" t="str">
        <f t="shared" si="22"/>
        <v/>
      </c>
      <c r="AK234" s="79" t="str">
        <f t="shared" si="23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20"/>
        <v/>
      </c>
      <c r="AE235" s="76" t="str">
        <f t="shared" si="21"/>
        <v/>
      </c>
      <c r="AF235" s="77"/>
      <c r="AG235" s="73"/>
      <c r="AH235" s="77"/>
      <c r="AI235" s="73"/>
      <c r="AJ235" s="78" t="str">
        <f t="shared" si="22"/>
        <v/>
      </c>
      <c r="AK235" s="79" t="str">
        <f t="shared" si="23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20"/>
        <v/>
      </c>
      <c r="AE236" s="76" t="str">
        <f t="shared" si="21"/>
        <v/>
      </c>
      <c r="AF236" s="77"/>
      <c r="AG236" s="73"/>
      <c r="AH236" s="77"/>
      <c r="AI236" s="73"/>
      <c r="AJ236" s="78" t="str">
        <f t="shared" si="22"/>
        <v/>
      </c>
      <c r="AK236" s="79" t="str">
        <f t="shared" si="23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20"/>
        <v/>
      </c>
      <c r="AE237" s="76" t="str">
        <f t="shared" si="21"/>
        <v/>
      </c>
      <c r="AF237" s="77"/>
      <c r="AG237" s="73"/>
      <c r="AH237" s="77"/>
      <c r="AI237" s="73"/>
      <c r="AJ237" s="78" t="str">
        <f t="shared" si="22"/>
        <v/>
      </c>
      <c r="AK237" s="79" t="str">
        <f t="shared" si="23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20"/>
        <v/>
      </c>
      <c r="AE238" s="76" t="str">
        <f t="shared" si="21"/>
        <v/>
      </c>
      <c r="AF238" s="77"/>
      <c r="AG238" s="73"/>
      <c r="AH238" s="77"/>
      <c r="AI238" s="73"/>
      <c r="AJ238" s="78" t="str">
        <f t="shared" si="22"/>
        <v/>
      </c>
      <c r="AK238" s="79" t="str">
        <f t="shared" si="23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20"/>
        <v/>
      </c>
      <c r="AE239" s="76" t="str">
        <f t="shared" si="21"/>
        <v/>
      </c>
      <c r="AF239" s="77"/>
      <c r="AG239" s="73"/>
      <c r="AH239" s="77"/>
      <c r="AI239" s="73"/>
      <c r="AJ239" s="78" t="str">
        <f t="shared" si="22"/>
        <v/>
      </c>
      <c r="AK239" s="79" t="str">
        <f t="shared" si="23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20"/>
        <v/>
      </c>
      <c r="AE240" s="76" t="str">
        <f t="shared" si="21"/>
        <v/>
      </c>
      <c r="AF240" s="77"/>
      <c r="AG240" s="73"/>
      <c r="AH240" s="77"/>
      <c r="AI240" s="73"/>
      <c r="AJ240" s="78" t="str">
        <f t="shared" si="22"/>
        <v/>
      </c>
      <c r="AK240" s="79" t="str">
        <f t="shared" si="23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20"/>
        <v/>
      </c>
      <c r="AE241" s="76" t="str">
        <f t="shared" si="21"/>
        <v/>
      </c>
      <c r="AF241" s="77"/>
      <c r="AG241" s="73"/>
      <c r="AH241" s="77"/>
      <c r="AI241" s="73"/>
      <c r="AJ241" s="78" t="str">
        <f t="shared" si="22"/>
        <v/>
      </c>
      <c r="AK241" s="79" t="str">
        <f t="shared" si="23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20"/>
        <v/>
      </c>
      <c r="AE242" s="76" t="str">
        <f t="shared" si="21"/>
        <v/>
      </c>
      <c r="AF242" s="77"/>
      <c r="AG242" s="73"/>
      <c r="AH242" s="77"/>
      <c r="AI242" s="73"/>
      <c r="AJ242" s="78" t="str">
        <f t="shared" si="22"/>
        <v/>
      </c>
      <c r="AK242" s="79" t="str">
        <f t="shared" si="23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20"/>
        <v/>
      </c>
      <c r="AE243" s="76" t="str">
        <f t="shared" si="21"/>
        <v/>
      </c>
      <c r="AF243" s="77"/>
      <c r="AG243" s="73"/>
      <c r="AH243" s="77"/>
      <c r="AI243" s="73"/>
      <c r="AJ243" s="78" t="str">
        <f t="shared" si="22"/>
        <v/>
      </c>
      <c r="AK243" s="79" t="str">
        <f t="shared" si="23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20"/>
        <v/>
      </c>
      <c r="AE244" s="76" t="str">
        <f t="shared" si="21"/>
        <v/>
      </c>
      <c r="AF244" s="77"/>
      <c r="AG244" s="73"/>
      <c r="AH244" s="77"/>
      <c r="AI244" s="73"/>
      <c r="AJ244" s="78" t="str">
        <f t="shared" si="22"/>
        <v/>
      </c>
      <c r="AK244" s="79" t="str">
        <f t="shared" si="23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20"/>
        <v/>
      </c>
      <c r="AE245" s="76" t="str">
        <f t="shared" si="21"/>
        <v/>
      </c>
      <c r="AF245" s="77"/>
      <c r="AG245" s="73"/>
      <c r="AH245" s="77"/>
      <c r="AI245" s="73"/>
      <c r="AJ245" s="78" t="str">
        <f t="shared" si="22"/>
        <v/>
      </c>
      <c r="AK245" s="79" t="str">
        <f t="shared" si="23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20"/>
        <v/>
      </c>
      <c r="AE246" s="76" t="str">
        <f t="shared" si="21"/>
        <v/>
      </c>
      <c r="AF246" s="77"/>
      <c r="AG246" s="73"/>
      <c r="AH246" s="77"/>
      <c r="AI246" s="73"/>
      <c r="AJ246" s="78" t="str">
        <f t="shared" si="22"/>
        <v/>
      </c>
      <c r="AK246" s="79" t="str">
        <f t="shared" si="23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20"/>
        <v/>
      </c>
      <c r="AE247" s="76" t="str">
        <f t="shared" si="21"/>
        <v/>
      </c>
      <c r="AF247" s="77"/>
      <c r="AG247" s="73"/>
      <c r="AH247" s="77"/>
      <c r="AI247" s="73"/>
      <c r="AJ247" s="78" t="str">
        <f t="shared" si="22"/>
        <v/>
      </c>
      <c r="AK247" s="79" t="str">
        <f t="shared" si="23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20"/>
        <v/>
      </c>
      <c r="AE248" s="76" t="str">
        <f t="shared" si="21"/>
        <v/>
      </c>
      <c r="AF248" s="77"/>
      <c r="AG248" s="73"/>
      <c r="AH248" s="77"/>
      <c r="AI248" s="73"/>
      <c r="AJ248" s="78" t="str">
        <f t="shared" si="22"/>
        <v/>
      </c>
      <c r="AK248" s="79" t="str">
        <f t="shared" si="23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20"/>
        <v/>
      </c>
      <c r="AE249" s="76" t="str">
        <f t="shared" si="21"/>
        <v/>
      </c>
      <c r="AF249" s="77"/>
      <c r="AG249" s="73"/>
      <c r="AH249" s="77"/>
      <c r="AI249" s="73"/>
      <c r="AJ249" s="78" t="str">
        <f t="shared" si="22"/>
        <v/>
      </c>
      <c r="AK249" s="79" t="str">
        <f t="shared" si="23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20"/>
        <v/>
      </c>
      <c r="AE250" s="76" t="str">
        <f t="shared" si="21"/>
        <v/>
      </c>
      <c r="AF250" s="77"/>
      <c r="AG250" s="73"/>
      <c r="AH250" s="77"/>
      <c r="AI250" s="73"/>
      <c r="AJ250" s="78" t="str">
        <f t="shared" si="22"/>
        <v/>
      </c>
      <c r="AK250" s="79" t="str">
        <f t="shared" si="23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20"/>
        <v/>
      </c>
      <c r="AE251" s="76" t="str">
        <f t="shared" si="21"/>
        <v/>
      </c>
      <c r="AF251" s="77"/>
      <c r="AG251" s="73"/>
      <c r="AH251" s="77"/>
      <c r="AI251" s="73"/>
      <c r="AJ251" s="78" t="str">
        <f t="shared" si="22"/>
        <v/>
      </c>
      <c r="AK251" s="79" t="str">
        <f t="shared" si="23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20"/>
        <v/>
      </c>
      <c r="AE252" s="76" t="str">
        <f t="shared" si="21"/>
        <v/>
      </c>
      <c r="AF252" s="77"/>
      <c r="AG252" s="73"/>
      <c r="AH252" s="77"/>
      <c r="AI252" s="73"/>
      <c r="AJ252" s="78" t="str">
        <f t="shared" si="22"/>
        <v/>
      </c>
      <c r="AK252" s="79" t="str">
        <f t="shared" si="23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20"/>
        <v/>
      </c>
      <c r="AE253" s="76" t="str">
        <f t="shared" si="21"/>
        <v/>
      </c>
      <c r="AF253" s="77"/>
      <c r="AG253" s="73"/>
      <c r="AH253" s="77"/>
      <c r="AI253" s="73"/>
      <c r="AJ253" s="78" t="str">
        <f t="shared" si="22"/>
        <v/>
      </c>
      <c r="AK253" s="79" t="str">
        <f t="shared" si="23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20"/>
        <v/>
      </c>
      <c r="AE254" s="76" t="str">
        <f t="shared" si="21"/>
        <v/>
      </c>
      <c r="AF254" s="77"/>
      <c r="AG254" s="73"/>
      <c r="AH254" s="77"/>
      <c r="AI254" s="73"/>
      <c r="AJ254" s="78" t="str">
        <f t="shared" si="22"/>
        <v/>
      </c>
      <c r="AK254" s="79" t="str">
        <f t="shared" si="23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20"/>
        <v/>
      </c>
      <c r="AE255" s="76" t="str">
        <f t="shared" si="21"/>
        <v/>
      </c>
      <c r="AF255" s="77"/>
      <c r="AG255" s="73"/>
      <c r="AH255" s="77"/>
      <c r="AI255" s="73"/>
      <c r="AJ255" s="78" t="str">
        <f t="shared" si="22"/>
        <v/>
      </c>
      <c r="AK255" s="79" t="str">
        <f t="shared" si="23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20"/>
        <v/>
      </c>
      <c r="AE256" s="76" t="str">
        <f t="shared" si="21"/>
        <v/>
      </c>
      <c r="AF256" s="77"/>
      <c r="AG256" s="73"/>
      <c r="AH256" s="77"/>
      <c r="AI256" s="73"/>
      <c r="AJ256" s="78" t="str">
        <f t="shared" si="22"/>
        <v/>
      </c>
      <c r="AK256" s="79" t="str">
        <f t="shared" si="23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20"/>
        <v/>
      </c>
      <c r="AE257" s="76" t="str">
        <f t="shared" si="21"/>
        <v/>
      </c>
      <c r="AF257" s="77"/>
      <c r="AG257" s="73"/>
      <c r="AH257" s="77"/>
      <c r="AI257" s="73"/>
      <c r="AJ257" s="78" t="str">
        <f t="shared" si="22"/>
        <v/>
      </c>
      <c r="AK257" s="79" t="str">
        <f t="shared" si="23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20"/>
        <v/>
      </c>
      <c r="AE258" s="76" t="str">
        <f t="shared" si="21"/>
        <v/>
      </c>
      <c r="AF258" s="77"/>
      <c r="AG258" s="73"/>
      <c r="AH258" s="77"/>
      <c r="AI258" s="73"/>
      <c r="AJ258" s="78" t="str">
        <f t="shared" si="22"/>
        <v/>
      </c>
      <c r="AK258" s="79" t="str">
        <f t="shared" si="23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20"/>
        <v/>
      </c>
      <c r="AE259" s="76" t="str">
        <f t="shared" si="21"/>
        <v/>
      </c>
      <c r="AF259" s="77"/>
      <c r="AG259" s="73"/>
      <c r="AH259" s="77"/>
      <c r="AI259" s="73"/>
      <c r="AJ259" s="78" t="str">
        <f t="shared" si="22"/>
        <v/>
      </c>
      <c r="AK259" s="79" t="str">
        <f t="shared" si="23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4">IF(MIN(F260,J260,N260,R260,V260,Z260)&lt;&gt;0,MIN(F260,J260,N260,R260,V260,Z260),"")</f>
        <v/>
      </c>
      <c r="AE260" s="76" t="str">
        <f t="shared" ref="AE260:AE323" si="25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6">IF(AD260="","",IF(ISBLANK(AF260),"En cours",AD260+AF260))</f>
        <v/>
      </c>
      <c r="AK260" s="79" t="str">
        <f t="shared" ref="AK260:AK323" si="27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4"/>
        <v/>
      </c>
      <c r="AE261" s="76" t="str">
        <f t="shared" si="25"/>
        <v/>
      </c>
      <c r="AF261" s="77"/>
      <c r="AG261" s="73"/>
      <c r="AH261" s="77"/>
      <c r="AI261" s="73"/>
      <c r="AJ261" s="78" t="str">
        <f t="shared" si="26"/>
        <v/>
      </c>
      <c r="AK261" s="79" t="str">
        <f t="shared" si="27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4"/>
        <v/>
      </c>
      <c r="AE262" s="76" t="str">
        <f t="shared" si="25"/>
        <v/>
      </c>
      <c r="AF262" s="77"/>
      <c r="AG262" s="73"/>
      <c r="AH262" s="77"/>
      <c r="AI262" s="73"/>
      <c r="AJ262" s="78" t="str">
        <f t="shared" si="26"/>
        <v/>
      </c>
      <c r="AK262" s="79" t="str">
        <f t="shared" si="27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4"/>
        <v/>
      </c>
      <c r="AE263" s="76" t="str">
        <f t="shared" si="25"/>
        <v/>
      </c>
      <c r="AF263" s="77"/>
      <c r="AG263" s="73"/>
      <c r="AH263" s="77"/>
      <c r="AI263" s="73"/>
      <c r="AJ263" s="78" t="str">
        <f t="shared" si="26"/>
        <v/>
      </c>
      <c r="AK263" s="79" t="str">
        <f t="shared" si="27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4"/>
        <v/>
      </c>
      <c r="AE264" s="76" t="str">
        <f t="shared" si="25"/>
        <v/>
      </c>
      <c r="AF264" s="77"/>
      <c r="AG264" s="73"/>
      <c r="AH264" s="77"/>
      <c r="AI264" s="73"/>
      <c r="AJ264" s="78" t="str">
        <f t="shared" si="26"/>
        <v/>
      </c>
      <c r="AK264" s="79" t="str">
        <f t="shared" si="27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4"/>
        <v/>
      </c>
      <c r="AE265" s="76" t="str">
        <f t="shared" si="25"/>
        <v/>
      </c>
      <c r="AF265" s="77"/>
      <c r="AG265" s="73"/>
      <c r="AH265" s="77"/>
      <c r="AI265" s="73"/>
      <c r="AJ265" s="78" t="str">
        <f t="shared" si="26"/>
        <v/>
      </c>
      <c r="AK265" s="79" t="str">
        <f t="shared" si="27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4"/>
        <v/>
      </c>
      <c r="AE266" s="76" t="str">
        <f t="shared" si="25"/>
        <v/>
      </c>
      <c r="AF266" s="77"/>
      <c r="AG266" s="73"/>
      <c r="AH266" s="77"/>
      <c r="AI266" s="73"/>
      <c r="AJ266" s="78" t="str">
        <f t="shared" si="26"/>
        <v/>
      </c>
      <c r="AK266" s="79" t="str">
        <f t="shared" si="27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4"/>
        <v/>
      </c>
      <c r="AE267" s="76" t="str">
        <f t="shared" si="25"/>
        <v/>
      </c>
      <c r="AF267" s="77"/>
      <c r="AG267" s="73"/>
      <c r="AH267" s="77"/>
      <c r="AI267" s="73"/>
      <c r="AJ267" s="78" t="str">
        <f t="shared" si="26"/>
        <v/>
      </c>
      <c r="AK267" s="79" t="str">
        <f t="shared" si="27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4"/>
        <v/>
      </c>
      <c r="AE268" s="76" t="str">
        <f t="shared" si="25"/>
        <v/>
      </c>
      <c r="AF268" s="77"/>
      <c r="AG268" s="73"/>
      <c r="AH268" s="77"/>
      <c r="AI268" s="73"/>
      <c r="AJ268" s="78" t="str">
        <f t="shared" si="26"/>
        <v/>
      </c>
      <c r="AK268" s="79" t="str">
        <f t="shared" si="27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4"/>
        <v/>
      </c>
      <c r="AE269" s="76" t="str">
        <f t="shared" si="25"/>
        <v/>
      </c>
      <c r="AF269" s="77"/>
      <c r="AG269" s="73"/>
      <c r="AH269" s="77"/>
      <c r="AI269" s="73"/>
      <c r="AJ269" s="78" t="str">
        <f t="shared" si="26"/>
        <v/>
      </c>
      <c r="AK269" s="79" t="str">
        <f t="shared" si="27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4"/>
        <v/>
      </c>
      <c r="AE270" s="76" t="str">
        <f t="shared" si="25"/>
        <v/>
      </c>
      <c r="AF270" s="77"/>
      <c r="AG270" s="73"/>
      <c r="AH270" s="77"/>
      <c r="AI270" s="73"/>
      <c r="AJ270" s="78" t="str">
        <f t="shared" si="26"/>
        <v/>
      </c>
      <c r="AK270" s="79" t="str">
        <f t="shared" si="27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4"/>
        <v/>
      </c>
      <c r="AE271" s="76" t="str">
        <f t="shared" si="25"/>
        <v/>
      </c>
      <c r="AF271" s="77"/>
      <c r="AG271" s="73"/>
      <c r="AH271" s="77"/>
      <c r="AI271" s="73"/>
      <c r="AJ271" s="78" t="str">
        <f t="shared" si="26"/>
        <v/>
      </c>
      <c r="AK271" s="79" t="str">
        <f t="shared" si="27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4"/>
        <v/>
      </c>
      <c r="AE272" s="76" t="str">
        <f t="shared" si="25"/>
        <v/>
      </c>
      <c r="AF272" s="77"/>
      <c r="AG272" s="73"/>
      <c r="AH272" s="77"/>
      <c r="AI272" s="73"/>
      <c r="AJ272" s="78" t="str">
        <f t="shared" si="26"/>
        <v/>
      </c>
      <c r="AK272" s="79" t="str">
        <f t="shared" si="27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4"/>
        <v/>
      </c>
      <c r="AE273" s="76" t="str">
        <f t="shared" si="25"/>
        <v/>
      </c>
      <c r="AF273" s="77"/>
      <c r="AG273" s="73"/>
      <c r="AH273" s="77"/>
      <c r="AI273" s="73"/>
      <c r="AJ273" s="78" t="str">
        <f t="shared" si="26"/>
        <v/>
      </c>
      <c r="AK273" s="79" t="str">
        <f t="shared" si="27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4"/>
        <v/>
      </c>
      <c r="AE274" s="76" t="str">
        <f t="shared" si="25"/>
        <v/>
      </c>
      <c r="AF274" s="77"/>
      <c r="AG274" s="73"/>
      <c r="AH274" s="77"/>
      <c r="AI274" s="73"/>
      <c r="AJ274" s="78" t="str">
        <f t="shared" si="26"/>
        <v/>
      </c>
      <c r="AK274" s="79" t="str">
        <f t="shared" si="27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4"/>
        <v/>
      </c>
      <c r="AE275" s="76" t="str">
        <f t="shared" si="25"/>
        <v/>
      </c>
      <c r="AF275" s="77"/>
      <c r="AG275" s="73"/>
      <c r="AH275" s="77"/>
      <c r="AI275" s="73"/>
      <c r="AJ275" s="78" t="str">
        <f t="shared" si="26"/>
        <v/>
      </c>
      <c r="AK275" s="79" t="str">
        <f t="shared" si="27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4"/>
        <v/>
      </c>
      <c r="AE276" s="76" t="str">
        <f t="shared" si="25"/>
        <v/>
      </c>
      <c r="AF276" s="77"/>
      <c r="AG276" s="73"/>
      <c r="AH276" s="77"/>
      <c r="AI276" s="73"/>
      <c r="AJ276" s="78" t="str">
        <f t="shared" si="26"/>
        <v/>
      </c>
      <c r="AK276" s="79" t="str">
        <f t="shared" si="27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4"/>
        <v/>
      </c>
      <c r="AE277" s="76" t="str">
        <f t="shared" si="25"/>
        <v/>
      </c>
      <c r="AF277" s="77"/>
      <c r="AG277" s="73"/>
      <c r="AH277" s="77"/>
      <c r="AI277" s="73"/>
      <c r="AJ277" s="78" t="str">
        <f t="shared" si="26"/>
        <v/>
      </c>
      <c r="AK277" s="79" t="str">
        <f t="shared" si="27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4"/>
        <v/>
      </c>
      <c r="AE278" s="76" t="str">
        <f t="shared" si="25"/>
        <v/>
      </c>
      <c r="AF278" s="77"/>
      <c r="AG278" s="73"/>
      <c r="AH278" s="77"/>
      <c r="AI278" s="73"/>
      <c r="AJ278" s="78" t="str">
        <f t="shared" si="26"/>
        <v/>
      </c>
      <c r="AK278" s="79" t="str">
        <f t="shared" si="27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4"/>
        <v/>
      </c>
      <c r="AE279" s="76" t="str">
        <f t="shared" si="25"/>
        <v/>
      </c>
      <c r="AF279" s="77"/>
      <c r="AG279" s="73"/>
      <c r="AH279" s="77"/>
      <c r="AI279" s="73"/>
      <c r="AJ279" s="78" t="str">
        <f t="shared" si="26"/>
        <v/>
      </c>
      <c r="AK279" s="79" t="str">
        <f t="shared" si="27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4"/>
        <v/>
      </c>
      <c r="AE280" s="76" t="str">
        <f t="shared" si="25"/>
        <v/>
      </c>
      <c r="AF280" s="77"/>
      <c r="AG280" s="73"/>
      <c r="AH280" s="77"/>
      <c r="AI280" s="73"/>
      <c r="AJ280" s="78" t="str">
        <f t="shared" si="26"/>
        <v/>
      </c>
      <c r="AK280" s="79" t="str">
        <f t="shared" si="27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4"/>
        <v/>
      </c>
      <c r="AE281" s="76" t="str">
        <f t="shared" si="25"/>
        <v/>
      </c>
      <c r="AF281" s="77"/>
      <c r="AG281" s="73"/>
      <c r="AH281" s="77"/>
      <c r="AI281" s="73"/>
      <c r="AJ281" s="78" t="str">
        <f t="shared" si="26"/>
        <v/>
      </c>
      <c r="AK281" s="79" t="str">
        <f t="shared" si="27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4"/>
        <v/>
      </c>
      <c r="AE282" s="76" t="str">
        <f t="shared" si="25"/>
        <v/>
      </c>
      <c r="AF282" s="77"/>
      <c r="AG282" s="73"/>
      <c r="AH282" s="77"/>
      <c r="AI282" s="73"/>
      <c r="AJ282" s="78" t="str">
        <f t="shared" si="26"/>
        <v/>
      </c>
      <c r="AK282" s="79" t="str">
        <f t="shared" si="27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4"/>
        <v/>
      </c>
      <c r="AE283" s="76" t="str">
        <f t="shared" si="25"/>
        <v/>
      </c>
      <c r="AF283" s="77"/>
      <c r="AG283" s="73"/>
      <c r="AH283" s="77"/>
      <c r="AI283" s="73"/>
      <c r="AJ283" s="78" t="str">
        <f t="shared" si="26"/>
        <v/>
      </c>
      <c r="AK283" s="79" t="str">
        <f t="shared" si="27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4"/>
        <v/>
      </c>
      <c r="AE284" s="76" t="str">
        <f t="shared" si="25"/>
        <v/>
      </c>
      <c r="AF284" s="77"/>
      <c r="AG284" s="73"/>
      <c r="AH284" s="77"/>
      <c r="AI284" s="73"/>
      <c r="AJ284" s="78" t="str">
        <f t="shared" si="26"/>
        <v/>
      </c>
      <c r="AK284" s="79" t="str">
        <f t="shared" si="27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4"/>
        <v/>
      </c>
      <c r="AE285" s="76" t="str">
        <f t="shared" si="25"/>
        <v/>
      </c>
      <c r="AF285" s="77"/>
      <c r="AG285" s="73"/>
      <c r="AH285" s="77"/>
      <c r="AI285" s="73"/>
      <c r="AJ285" s="78" t="str">
        <f t="shared" si="26"/>
        <v/>
      </c>
      <c r="AK285" s="79" t="str">
        <f t="shared" si="27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4"/>
        <v/>
      </c>
      <c r="AE286" s="76" t="str">
        <f t="shared" si="25"/>
        <v/>
      </c>
      <c r="AF286" s="77"/>
      <c r="AG286" s="73"/>
      <c r="AH286" s="77"/>
      <c r="AI286" s="73"/>
      <c r="AJ286" s="78" t="str">
        <f t="shared" si="26"/>
        <v/>
      </c>
      <c r="AK286" s="79" t="str">
        <f t="shared" si="27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4"/>
        <v/>
      </c>
      <c r="AE287" s="76" t="str">
        <f t="shared" si="25"/>
        <v/>
      </c>
      <c r="AF287" s="77"/>
      <c r="AG287" s="73"/>
      <c r="AH287" s="77"/>
      <c r="AI287" s="73"/>
      <c r="AJ287" s="78" t="str">
        <f t="shared" si="26"/>
        <v/>
      </c>
      <c r="AK287" s="79" t="str">
        <f t="shared" si="27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4"/>
        <v/>
      </c>
      <c r="AE288" s="76" t="str">
        <f t="shared" si="25"/>
        <v/>
      </c>
      <c r="AF288" s="77"/>
      <c r="AG288" s="73"/>
      <c r="AH288" s="77"/>
      <c r="AI288" s="73"/>
      <c r="AJ288" s="78" t="str">
        <f t="shared" si="26"/>
        <v/>
      </c>
      <c r="AK288" s="79" t="str">
        <f t="shared" si="27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4"/>
        <v/>
      </c>
      <c r="AE289" s="76" t="str">
        <f t="shared" si="25"/>
        <v/>
      </c>
      <c r="AF289" s="77"/>
      <c r="AG289" s="73"/>
      <c r="AH289" s="77"/>
      <c r="AI289" s="73"/>
      <c r="AJ289" s="78" t="str">
        <f t="shared" si="26"/>
        <v/>
      </c>
      <c r="AK289" s="79" t="str">
        <f t="shared" si="27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4"/>
        <v/>
      </c>
      <c r="AE290" s="76" t="str">
        <f t="shared" si="25"/>
        <v/>
      </c>
      <c r="AF290" s="77"/>
      <c r="AG290" s="73"/>
      <c r="AH290" s="77"/>
      <c r="AI290" s="73"/>
      <c r="AJ290" s="78" t="str">
        <f t="shared" si="26"/>
        <v/>
      </c>
      <c r="AK290" s="79" t="str">
        <f t="shared" si="27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4"/>
        <v/>
      </c>
      <c r="AE291" s="76" t="str">
        <f t="shared" si="25"/>
        <v/>
      </c>
      <c r="AF291" s="77"/>
      <c r="AG291" s="73"/>
      <c r="AH291" s="77"/>
      <c r="AI291" s="73"/>
      <c r="AJ291" s="78" t="str">
        <f t="shared" si="26"/>
        <v/>
      </c>
      <c r="AK291" s="79" t="str">
        <f t="shared" si="27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4"/>
        <v/>
      </c>
      <c r="AE292" s="76" t="str">
        <f t="shared" si="25"/>
        <v/>
      </c>
      <c r="AF292" s="77"/>
      <c r="AG292" s="73"/>
      <c r="AH292" s="77"/>
      <c r="AI292" s="73"/>
      <c r="AJ292" s="78" t="str">
        <f t="shared" si="26"/>
        <v/>
      </c>
      <c r="AK292" s="79" t="str">
        <f t="shared" si="27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4"/>
        <v/>
      </c>
      <c r="AE293" s="76" t="str">
        <f t="shared" si="25"/>
        <v/>
      </c>
      <c r="AF293" s="77"/>
      <c r="AG293" s="73"/>
      <c r="AH293" s="77"/>
      <c r="AI293" s="73"/>
      <c r="AJ293" s="78" t="str">
        <f t="shared" si="26"/>
        <v/>
      </c>
      <c r="AK293" s="79" t="str">
        <f t="shared" si="27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4"/>
        <v/>
      </c>
      <c r="AE294" s="76" t="str">
        <f t="shared" si="25"/>
        <v/>
      </c>
      <c r="AF294" s="77"/>
      <c r="AG294" s="73"/>
      <c r="AH294" s="77"/>
      <c r="AI294" s="73"/>
      <c r="AJ294" s="78" t="str">
        <f t="shared" si="26"/>
        <v/>
      </c>
      <c r="AK294" s="79" t="str">
        <f t="shared" si="27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4"/>
        <v/>
      </c>
      <c r="AE295" s="76" t="str">
        <f t="shared" si="25"/>
        <v/>
      </c>
      <c r="AF295" s="77"/>
      <c r="AG295" s="73"/>
      <c r="AH295" s="77"/>
      <c r="AI295" s="73"/>
      <c r="AJ295" s="78" t="str">
        <f t="shared" si="26"/>
        <v/>
      </c>
      <c r="AK295" s="79" t="str">
        <f t="shared" si="27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4"/>
        <v/>
      </c>
      <c r="AE296" s="76" t="str">
        <f t="shared" si="25"/>
        <v/>
      </c>
      <c r="AF296" s="77"/>
      <c r="AG296" s="73"/>
      <c r="AH296" s="77"/>
      <c r="AI296" s="73"/>
      <c r="AJ296" s="78" t="str">
        <f t="shared" si="26"/>
        <v/>
      </c>
      <c r="AK296" s="79" t="str">
        <f t="shared" si="27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4"/>
        <v/>
      </c>
      <c r="AE297" s="76" t="str">
        <f t="shared" si="25"/>
        <v/>
      </c>
      <c r="AF297" s="77"/>
      <c r="AG297" s="73"/>
      <c r="AH297" s="77"/>
      <c r="AI297" s="73"/>
      <c r="AJ297" s="78" t="str">
        <f t="shared" si="26"/>
        <v/>
      </c>
      <c r="AK297" s="79" t="str">
        <f t="shared" si="27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4"/>
        <v/>
      </c>
      <c r="AE298" s="76" t="str">
        <f t="shared" si="25"/>
        <v/>
      </c>
      <c r="AF298" s="77"/>
      <c r="AG298" s="73"/>
      <c r="AH298" s="77"/>
      <c r="AI298" s="73"/>
      <c r="AJ298" s="78" t="str">
        <f t="shared" si="26"/>
        <v/>
      </c>
      <c r="AK298" s="79" t="str">
        <f t="shared" si="27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4"/>
        <v/>
      </c>
      <c r="AE299" s="76" t="str">
        <f t="shared" si="25"/>
        <v/>
      </c>
      <c r="AF299" s="77"/>
      <c r="AG299" s="73"/>
      <c r="AH299" s="77"/>
      <c r="AI299" s="73"/>
      <c r="AJ299" s="78" t="str">
        <f t="shared" si="26"/>
        <v/>
      </c>
      <c r="AK299" s="79" t="str">
        <f t="shared" si="27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4"/>
        <v/>
      </c>
      <c r="AE300" s="76" t="str">
        <f t="shared" si="25"/>
        <v/>
      </c>
      <c r="AF300" s="77"/>
      <c r="AG300" s="73"/>
      <c r="AH300" s="77"/>
      <c r="AI300" s="73"/>
      <c r="AJ300" s="78" t="str">
        <f t="shared" si="26"/>
        <v/>
      </c>
      <c r="AK300" s="79" t="str">
        <f t="shared" si="27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4"/>
        <v/>
      </c>
      <c r="AE301" s="76" t="str">
        <f t="shared" si="25"/>
        <v/>
      </c>
      <c r="AF301" s="77"/>
      <c r="AG301" s="73"/>
      <c r="AH301" s="77"/>
      <c r="AI301" s="73"/>
      <c r="AJ301" s="78" t="str">
        <f t="shared" si="26"/>
        <v/>
      </c>
      <c r="AK301" s="79" t="str">
        <f t="shared" si="27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4"/>
        <v/>
      </c>
      <c r="AE302" s="76" t="str">
        <f t="shared" si="25"/>
        <v/>
      </c>
      <c r="AF302" s="77"/>
      <c r="AG302" s="73"/>
      <c r="AH302" s="77"/>
      <c r="AI302" s="73"/>
      <c r="AJ302" s="78" t="str">
        <f t="shared" si="26"/>
        <v/>
      </c>
      <c r="AK302" s="79" t="str">
        <f t="shared" si="27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4"/>
        <v/>
      </c>
      <c r="AE303" s="76" t="str">
        <f t="shared" si="25"/>
        <v/>
      </c>
      <c r="AF303" s="77"/>
      <c r="AG303" s="73"/>
      <c r="AH303" s="77"/>
      <c r="AI303" s="73"/>
      <c r="AJ303" s="78" t="str">
        <f t="shared" si="26"/>
        <v/>
      </c>
      <c r="AK303" s="79" t="str">
        <f t="shared" si="27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4"/>
        <v/>
      </c>
      <c r="AE304" s="76" t="str">
        <f t="shared" si="25"/>
        <v/>
      </c>
      <c r="AF304" s="77"/>
      <c r="AG304" s="73"/>
      <c r="AH304" s="77"/>
      <c r="AI304" s="73"/>
      <c r="AJ304" s="78" t="str">
        <f t="shared" si="26"/>
        <v/>
      </c>
      <c r="AK304" s="79" t="str">
        <f t="shared" si="27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4"/>
        <v/>
      </c>
      <c r="AE305" s="76" t="str">
        <f t="shared" si="25"/>
        <v/>
      </c>
      <c r="AF305" s="77"/>
      <c r="AG305" s="73"/>
      <c r="AH305" s="77"/>
      <c r="AI305" s="73"/>
      <c r="AJ305" s="78" t="str">
        <f t="shared" si="26"/>
        <v/>
      </c>
      <c r="AK305" s="79" t="str">
        <f t="shared" si="27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4"/>
        <v/>
      </c>
      <c r="AE306" s="76" t="str">
        <f t="shared" si="25"/>
        <v/>
      </c>
      <c r="AF306" s="77"/>
      <c r="AG306" s="73"/>
      <c r="AH306" s="77"/>
      <c r="AI306" s="73"/>
      <c r="AJ306" s="78" t="str">
        <f t="shared" si="26"/>
        <v/>
      </c>
      <c r="AK306" s="79" t="str">
        <f t="shared" si="27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4"/>
        <v/>
      </c>
      <c r="AE307" s="76" t="str">
        <f t="shared" si="25"/>
        <v/>
      </c>
      <c r="AF307" s="77"/>
      <c r="AG307" s="73"/>
      <c r="AH307" s="77"/>
      <c r="AI307" s="73"/>
      <c r="AJ307" s="78" t="str">
        <f t="shared" si="26"/>
        <v/>
      </c>
      <c r="AK307" s="79" t="str">
        <f t="shared" si="27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4"/>
        <v/>
      </c>
      <c r="AE308" s="76" t="str">
        <f t="shared" si="25"/>
        <v/>
      </c>
      <c r="AF308" s="77"/>
      <c r="AG308" s="73"/>
      <c r="AH308" s="77"/>
      <c r="AI308" s="73"/>
      <c r="AJ308" s="78" t="str">
        <f t="shared" si="26"/>
        <v/>
      </c>
      <c r="AK308" s="79" t="str">
        <f t="shared" si="27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4"/>
        <v/>
      </c>
      <c r="AE309" s="76" t="str">
        <f t="shared" si="25"/>
        <v/>
      </c>
      <c r="AF309" s="77"/>
      <c r="AG309" s="73"/>
      <c r="AH309" s="77"/>
      <c r="AI309" s="73"/>
      <c r="AJ309" s="78" t="str">
        <f t="shared" si="26"/>
        <v/>
      </c>
      <c r="AK309" s="79" t="str">
        <f t="shared" si="27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4"/>
        <v/>
      </c>
      <c r="AE310" s="76" t="str">
        <f t="shared" si="25"/>
        <v/>
      </c>
      <c r="AF310" s="77"/>
      <c r="AG310" s="73"/>
      <c r="AH310" s="77"/>
      <c r="AI310" s="73"/>
      <c r="AJ310" s="78" t="str">
        <f t="shared" si="26"/>
        <v/>
      </c>
      <c r="AK310" s="79" t="str">
        <f t="shared" si="27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4"/>
        <v/>
      </c>
      <c r="AE311" s="76" t="str">
        <f t="shared" si="25"/>
        <v/>
      </c>
      <c r="AF311" s="77"/>
      <c r="AG311" s="73"/>
      <c r="AH311" s="77"/>
      <c r="AI311" s="73"/>
      <c r="AJ311" s="78" t="str">
        <f t="shared" si="26"/>
        <v/>
      </c>
      <c r="AK311" s="79" t="str">
        <f t="shared" si="27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4"/>
        <v/>
      </c>
      <c r="AE312" s="76" t="str">
        <f t="shared" si="25"/>
        <v/>
      </c>
      <c r="AF312" s="77"/>
      <c r="AG312" s="73"/>
      <c r="AH312" s="77"/>
      <c r="AI312" s="73"/>
      <c r="AJ312" s="78" t="str">
        <f t="shared" si="26"/>
        <v/>
      </c>
      <c r="AK312" s="79" t="str">
        <f t="shared" si="27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4"/>
        <v/>
      </c>
      <c r="AE313" s="76" t="str">
        <f t="shared" si="25"/>
        <v/>
      </c>
      <c r="AF313" s="77"/>
      <c r="AG313" s="73"/>
      <c r="AH313" s="77"/>
      <c r="AI313" s="73"/>
      <c r="AJ313" s="78" t="str">
        <f t="shared" si="26"/>
        <v/>
      </c>
      <c r="AK313" s="79" t="str">
        <f t="shared" si="27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4"/>
        <v/>
      </c>
      <c r="AE314" s="76" t="str">
        <f t="shared" si="25"/>
        <v/>
      </c>
      <c r="AF314" s="77"/>
      <c r="AG314" s="73"/>
      <c r="AH314" s="77"/>
      <c r="AI314" s="73"/>
      <c r="AJ314" s="78" t="str">
        <f t="shared" si="26"/>
        <v/>
      </c>
      <c r="AK314" s="79" t="str">
        <f t="shared" si="27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4"/>
        <v/>
      </c>
      <c r="AE315" s="76" t="str">
        <f t="shared" si="25"/>
        <v/>
      </c>
      <c r="AF315" s="77"/>
      <c r="AG315" s="73"/>
      <c r="AH315" s="77"/>
      <c r="AI315" s="73"/>
      <c r="AJ315" s="78" t="str">
        <f t="shared" si="26"/>
        <v/>
      </c>
      <c r="AK315" s="79" t="str">
        <f t="shared" si="27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4"/>
        <v/>
      </c>
      <c r="AE316" s="76" t="str">
        <f t="shared" si="25"/>
        <v/>
      </c>
      <c r="AF316" s="77"/>
      <c r="AG316" s="73"/>
      <c r="AH316" s="77"/>
      <c r="AI316" s="73"/>
      <c r="AJ316" s="78" t="str">
        <f t="shared" si="26"/>
        <v/>
      </c>
      <c r="AK316" s="79" t="str">
        <f t="shared" si="27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4"/>
        <v/>
      </c>
      <c r="AE317" s="76" t="str">
        <f t="shared" si="25"/>
        <v/>
      </c>
      <c r="AF317" s="77"/>
      <c r="AG317" s="73"/>
      <c r="AH317" s="77"/>
      <c r="AI317" s="73"/>
      <c r="AJ317" s="78" t="str">
        <f t="shared" si="26"/>
        <v/>
      </c>
      <c r="AK317" s="79" t="str">
        <f t="shared" si="27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4"/>
        <v/>
      </c>
      <c r="AE318" s="76" t="str">
        <f t="shared" si="25"/>
        <v/>
      </c>
      <c r="AF318" s="77"/>
      <c r="AG318" s="73"/>
      <c r="AH318" s="77"/>
      <c r="AI318" s="73"/>
      <c r="AJ318" s="78" t="str">
        <f t="shared" si="26"/>
        <v/>
      </c>
      <c r="AK318" s="79" t="str">
        <f t="shared" si="27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4"/>
        <v/>
      </c>
      <c r="AE319" s="76" t="str">
        <f t="shared" si="25"/>
        <v/>
      </c>
      <c r="AF319" s="77"/>
      <c r="AG319" s="73"/>
      <c r="AH319" s="77"/>
      <c r="AI319" s="73"/>
      <c r="AJ319" s="78" t="str">
        <f t="shared" si="26"/>
        <v/>
      </c>
      <c r="AK319" s="79" t="str">
        <f t="shared" si="27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4"/>
        <v/>
      </c>
      <c r="AE320" s="76" t="str">
        <f t="shared" si="25"/>
        <v/>
      </c>
      <c r="AF320" s="77"/>
      <c r="AG320" s="73"/>
      <c r="AH320" s="77"/>
      <c r="AI320" s="73"/>
      <c r="AJ320" s="78" t="str">
        <f t="shared" si="26"/>
        <v/>
      </c>
      <c r="AK320" s="79" t="str">
        <f t="shared" si="27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4"/>
        <v/>
      </c>
      <c r="AE321" s="76" t="str">
        <f t="shared" si="25"/>
        <v/>
      </c>
      <c r="AF321" s="77"/>
      <c r="AG321" s="73"/>
      <c r="AH321" s="77"/>
      <c r="AI321" s="73"/>
      <c r="AJ321" s="78" t="str">
        <f t="shared" si="26"/>
        <v/>
      </c>
      <c r="AK321" s="79" t="str">
        <f t="shared" si="27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4"/>
        <v/>
      </c>
      <c r="AE322" s="76" t="str">
        <f t="shared" si="25"/>
        <v/>
      </c>
      <c r="AF322" s="77"/>
      <c r="AG322" s="73"/>
      <c r="AH322" s="77"/>
      <c r="AI322" s="73"/>
      <c r="AJ322" s="78" t="str">
        <f t="shared" si="26"/>
        <v/>
      </c>
      <c r="AK322" s="79" t="str">
        <f t="shared" si="27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4"/>
        <v/>
      </c>
      <c r="AE323" s="76" t="str">
        <f t="shared" si="25"/>
        <v/>
      </c>
      <c r="AF323" s="77"/>
      <c r="AG323" s="73"/>
      <c r="AH323" s="77"/>
      <c r="AI323" s="73"/>
      <c r="AJ323" s="78" t="str">
        <f t="shared" si="26"/>
        <v/>
      </c>
      <c r="AK323" s="79" t="str">
        <f t="shared" si="27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8">IF(MIN(F324,J324,N324,R324,V324,Z324)&lt;&gt;0,MIN(F324,J324,N324,R324,V324,Z324),"")</f>
        <v/>
      </c>
      <c r="AE324" s="76" t="str">
        <f t="shared" ref="AE324:AE350" si="29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30">IF(AD324="","",IF(ISBLANK(AF324),"En cours",AD324+AF324))</f>
        <v/>
      </c>
      <c r="AK324" s="79" t="str">
        <f t="shared" ref="AK324:AK350" si="31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8"/>
        <v/>
      </c>
      <c r="AE325" s="76" t="str">
        <f t="shared" si="29"/>
        <v/>
      </c>
      <c r="AF325" s="77"/>
      <c r="AG325" s="73"/>
      <c r="AH325" s="77"/>
      <c r="AI325" s="73"/>
      <c r="AJ325" s="78" t="str">
        <f t="shared" si="30"/>
        <v/>
      </c>
      <c r="AK325" s="79" t="str">
        <f t="shared" si="31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8"/>
        <v/>
      </c>
      <c r="AE326" s="76" t="str">
        <f t="shared" si="29"/>
        <v/>
      </c>
      <c r="AF326" s="77"/>
      <c r="AG326" s="73"/>
      <c r="AH326" s="77"/>
      <c r="AI326" s="73"/>
      <c r="AJ326" s="78" t="str">
        <f t="shared" si="30"/>
        <v/>
      </c>
      <c r="AK326" s="79" t="str">
        <f t="shared" si="31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8"/>
        <v/>
      </c>
      <c r="AE327" s="76" t="str">
        <f t="shared" si="29"/>
        <v/>
      </c>
      <c r="AF327" s="77"/>
      <c r="AG327" s="73"/>
      <c r="AH327" s="77"/>
      <c r="AI327" s="73"/>
      <c r="AJ327" s="78" t="str">
        <f t="shared" si="30"/>
        <v/>
      </c>
      <c r="AK327" s="79" t="str">
        <f t="shared" si="31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8"/>
        <v/>
      </c>
      <c r="AE328" s="76" t="str">
        <f t="shared" si="29"/>
        <v/>
      </c>
      <c r="AF328" s="77"/>
      <c r="AG328" s="73"/>
      <c r="AH328" s="77"/>
      <c r="AI328" s="73"/>
      <c r="AJ328" s="78" t="str">
        <f t="shared" si="30"/>
        <v/>
      </c>
      <c r="AK328" s="79" t="str">
        <f t="shared" si="31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8"/>
        <v/>
      </c>
      <c r="AE329" s="76" t="str">
        <f t="shared" si="29"/>
        <v/>
      </c>
      <c r="AF329" s="77"/>
      <c r="AG329" s="73"/>
      <c r="AH329" s="77"/>
      <c r="AI329" s="73"/>
      <c r="AJ329" s="78" t="str">
        <f t="shared" si="30"/>
        <v/>
      </c>
      <c r="AK329" s="79" t="str">
        <f t="shared" si="31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8"/>
        <v/>
      </c>
      <c r="AE330" s="76" t="str">
        <f t="shared" si="29"/>
        <v/>
      </c>
      <c r="AF330" s="77"/>
      <c r="AG330" s="73"/>
      <c r="AH330" s="77"/>
      <c r="AI330" s="73"/>
      <c r="AJ330" s="78" t="str">
        <f t="shared" si="30"/>
        <v/>
      </c>
      <c r="AK330" s="79" t="str">
        <f t="shared" si="31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8"/>
        <v/>
      </c>
      <c r="AE331" s="76" t="str">
        <f t="shared" si="29"/>
        <v/>
      </c>
      <c r="AF331" s="77"/>
      <c r="AG331" s="73"/>
      <c r="AH331" s="77"/>
      <c r="AI331" s="73"/>
      <c r="AJ331" s="78" t="str">
        <f t="shared" si="30"/>
        <v/>
      </c>
      <c r="AK331" s="79" t="str">
        <f t="shared" si="31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8"/>
        <v/>
      </c>
      <c r="AE332" s="76" t="str">
        <f t="shared" si="29"/>
        <v/>
      </c>
      <c r="AF332" s="77"/>
      <c r="AG332" s="73"/>
      <c r="AH332" s="77"/>
      <c r="AI332" s="73"/>
      <c r="AJ332" s="78" t="str">
        <f t="shared" si="30"/>
        <v/>
      </c>
      <c r="AK332" s="79" t="str">
        <f t="shared" si="31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8"/>
        <v/>
      </c>
      <c r="AE333" s="76" t="str">
        <f t="shared" si="29"/>
        <v/>
      </c>
      <c r="AF333" s="77"/>
      <c r="AG333" s="73"/>
      <c r="AH333" s="77"/>
      <c r="AI333" s="73"/>
      <c r="AJ333" s="78" t="str">
        <f t="shared" si="30"/>
        <v/>
      </c>
      <c r="AK333" s="79" t="str">
        <f t="shared" si="31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8"/>
        <v/>
      </c>
      <c r="AE334" s="76" t="str">
        <f t="shared" si="29"/>
        <v/>
      </c>
      <c r="AF334" s="77"/>
      <c r="AG334" s="73"/>
      <c r="AH334" s="77"/>
      <c r="AI334" s="73"/>
      <c r="AJ334" s="78" t="str">
        <f t="shared" si="30"/>
        <v/>
      </c>
      <c r="AK334" s="79" t="str">
        <f t="shared" si="31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8"/>
        <v/>
      </c>
      <c r="AE335" s="76" t="str">
        <f t="shared" si="29"/>
        <v/>
      </c>
      <c r="AF335" s="77"/>
      <c r="AG335" s="73"/>
      <c r="AH335" s="77"/>
      <c r="AI335" s="73"/>
      <c r="AJ335" s="78" t="str">
        <f t="shared" si="30"/>
        <v/>
      </c>
      <c r="AK335" s="79" t="str">
        <f t="shared" si="31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8"/>
        <v/>
      </c>
      <c r="AE336" s="76" t="str">
        <f t="shared" si="29"/>
        <v/>
      </c>
      <c r="AF336" s="77"/>
      <c r="AG336" s="73"/>
      <c r="AH336" s="77"/>
      <c r="AI336" s="73"/>
      <c r="AJ336" s="78" t="str">
        <f t="shared" si="30"/>
        <v/>
      </c>
      <c r="AK336" s="79" t="str">
        <f t="shared" si="31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8"/>
        <v/>
      </c>
      <c r="AE337" s="76" t="str">
        <f t="shared" si="29"/>
        <v/>
      </c>
      <c r="AF337" s="77"/>
      <c r="AG337" s="73"/>
      <c r="AH337" s="77"/>
      <c r="AI337" s="73"/>
      <c r="AJ337" s="78" t="str">
        <f t="shared" si="30"/>
        <v/>
      </c>
      <c r="AK337" s="79" t="str">
        <f t="shared" si="31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8"/>
        <v/>
      </c>
      <c r="AE338" s="76" t="str">
        <f t="shared" si="29"/>
        <v/>
      </c>
      <c r="AF338" s="77"/>
      <c r="AG338" s="73"/>
      <c r="AH338" s="77"/>
      <c r="AI338" s="73"/>
      <c r="AJ338" s="78" t="str">
        <f t="shared" si="30"/>
        <v/>
      </c>
      <c r="AK338" s="79" t="str">
        <f t="shared" si="31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8"/>
        <v/>
      </c>
      <c r="AE339" s="76" t="str">
        <f t="shared" si="29"/>
        <v/>
      </c>
      <c r="AF339" s="77"/>
      <c r="AG339" s="73"/>
      <c r="AH339" s="77"/>
      <c r="AI339" s="73"/>
      <c r="AJ339" s="78" t="str">
        <f t="shared" si="30"/>
        <v/>
      </c>
      <c r="AK339" s="79" t="str">
        <f t="shared" si="31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8"/>
        <v/>
      </c>
      <c r="AE340" s="76" t="str">
        <f t="shared" si="29"/>
        <v/>
      </c>
      <c r="AF340" s="77"/>
      <c r="AG340" s="73"/>
      <c r="AH340" s="77"/>
      <c r="AI340" s="73"/>
      <c r="AJ340" s="78" t="str">
        <f t="shared" si="30"/>
        <v/>
      </c>
      <c r="AK340" s="79" t="str">
        <f t="shared" si="31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8"/>
        <v/>
      </c>
      <c r="AE341" s="76" t="str">
        <f t="shared" si="29"/>
        <v/>
      </c>
      <c r="AF341" s="77"/>
      <c r="AG341" s="73"/>
      <c r="AH341" s="77"/>
      <c r="AI341" s="73"/>
      <c r="AJ341" s="78" t="str">
        <f t="shared" si="30"/>
        <v/>
      </c>
      <c r="AK341" s="79" t="str">
        <f t="shared" si="31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8"/>
        <v/>
      </c>
      <c r="AE342" s="76" t="str">
        <f t="shared" si="29"/>
        <v/>
      </c>
      <c r="AF342" s="77"/>
      <c r="AG342" s="73"/>
      <c r="AH342" s="77"/>
      <c r="AI342" s="73"/>
      <c r="AJ342" s="78" t="str">
        <f t="shared" si="30"/>
        <v/>
      </c>
      <c r="AK342" s="79" t="str">
        <f t="shared" si="31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8"/>
        <v/>
      </c>
      <c r="AE343" s="76" t="str">
        <f t="shared" si="29"/>
        <v/>
      </c>
      <c r="AF343" s="77"/>
      <c r="AG343" s="73"/>
      <c r="AH343" s="77"/>
      <c r="AI343" s="73"/>
      <c r="AJ343" s="78" t="str">
        <f t="shared" si="30"/>
        <v/>
      </c>
      <c r="AK343" s="79" t="str">
        <f t="shared" si="31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8"/>
        <v/>
      </c>
      <c r="AE344" s="76" t="str">
        <f t="shared" si="29"/>
        <v/>
      </c>
      <c r="AF344" s="77"/>
      <c r="AG344" s="73"/>
      <c r="AH344" s="77"/>
      <c r="AI344" s="73"/>
      <c r="AJ344" s="78" t="str">
        <f t="shared" si="30"/>
        <v/>
      </c>
      <c r="AK344" s="79" t="str">
        <f t="shared" si="31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8"/>
        <v/>
      </c>
      <c r="AE345" s="76" t="str">
        <f t="shared" si="29"/>
        <v/>
      </c>
      <c r="AF345" s="77"/>
      <c r="AG345" s="73"/>
      <c r="AH345" s="77"/>
      <c r="AI345" s="73"/>
      <c r="AJ345" s="78" t="str">
        <f t="shared" si="30"/>
        <v/>
      </c>
      <c r="AK345" s="79" t="str">
        <f t="shared" si="31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8"/>
        <v/>
      </c>
      <c r="AE346" s="76" t="str">
        <f t="shared" si="29"/>
        <v/>
      </c>
      <c r="AF346" s="77"/>
      <c r="AG346" s="73"/>
      <c r="AH346" s="77"/>
      <c r="AI346" s="73"/>
      <c r="AJ346" s="78" t="str">
        <f t="shared" si="30"/>
        <v/>
      </c>
      <c r="AK346" s="79" t="str">
        <f t="shared" si="31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8"/>
        <v/>
      </c>
      <c r="AE347" s="76" t="str">
        <f t="shared" si="29"/>
        <v/>
      </c>
      <c r="AF347" s="77"/>
      <c r="AG347" s="73"/>
      <c r="AH347" s="77"/>
      <c r="AI347" s="73"/>
      <c r="AJ347" s="78" t="str">
        <f t="shared" si="30"/>
        <v/>
      </c>
      <c r="AK347" s="79" t="str">
        <f t="shared" si="31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8"/>
        <v/>
      </c>
      <c r="AE348" s="76" t="str">
        <f t="shared" si="29"/>
        <v/>
      </c>
      <c r="AF348" s="77"/>
      <c r="AG348" s="73"/>
      <c r="AH348" s="77"/>
      <c r="AI348" s="73"/>
      <c r="AJ348" s="78" t="str">
        <f t="shared" si="30"/>
        <v/>
      </c>
      <c r="AK348" s="79" t="str">
        <f t="shared" si="31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8"/>
        <v/>
      </c>
      <c r="AE349" s="76" t="str">
        <f t="shared" si="29"/>
        <v/>
      </c>
      <c r="AF349" s="77"/>
      <c r="AG349" s="73"/>
      <c r="AH349" s="77"/>
      <c r="AI349" s="73"/>
      <c r="AJ349" s="78" t="str">
        <f t="shared" si="30"/>
        <v/>
      </c>
      <c r="AK349" s="79" t="str">
        <f t="shared" si="31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8"/>
        <v/>
      </c>
      <c r="AE350" s="76" t="str">
        <f t="shared" si="29"/>
        <v/>
      </c>
      <c r="AF350" s="77"/>
      <c r="AG350" s="73"/>
      <c r="AH350" s="77"/>
      <c r="AI350" s="73"/>
      <c r="AJ350" s="78" t="str">
        <f t="shared" si="30"/>
        <v/>
      </c>
      <c r="AK350" s="79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8851" priority="76289" stopIfTrue="1" operator="equal">
      <formula>"En cours"</formula>
    </cfRule>
  </conditionalFormatting>
  <conditionalFormatting sqref="AJ181">
    <cfRule type="cellIs" dxfId="8850" priority="76290" stopIfTrue="1" operator="notEqual">
      <formula>"En cours"</formula>
    </cfRule>
  </conditionalFormatting>
  <conditionalFormatting sqref="AK181">
    <cfRule type="cellIs" dxfId="8849" priority="76291" stopIfTrue="1" operator="equal">
      <formula>"En cours"</formula>
    </cfRule>
  </conditionalFormatting>
  <conditionalFormatting sqref="AK181">
    <cfRule type="cellIs" dxfId="8848" priority="76292" stopIfTrue="1" operator="notEqual">
      <formula>"En cours"</formula>
    </cfRule>
  </conditionalFormatting>
  <conditionalFormatting sqref="AJ98">
    <cfRule type="cellIs" dxfId="8823" priority="81609" stopIfTrue="1" operator="equal">
      <formula>"En cours"</formula>
    </cfRule>
  </conditionalFormatting>
  <conditionalFormatting sqref="AJ98">
    <cfRule type="cellIs" dxfId="8822" priority="81610" stopIfTrue="1" operator="notEqual">
      <formula>"En cours"</formula>
    </cfRule>
  </conditionalFormatting>
  <conditionalFormatting sqref="AK98">
    <cfRule type="cellIs" dxfId="8821" priority="81611" stopIfTrue="1" operator="equal">
      <formula>"En cours"</formula>
    </cfRule>
  </conditionalFormatting>
  <conditionalFormatting sqref="AK98">
    <cfRule type="cellIs" dxfId="8820" priority="81612" stopIfTrue="1" operator="notEqual">
      <formula>"En cours"</formula>
    </cfRule>
  </conditionalFormatting>
  <conditionalFormatting sqref="AJ100">
    <cfRule type="cellIs" dxfId="8819" priority="81617" stopIfTrue="1" operator="equal">
      <formula>"En cours"</formula>
    </cfRule>
  </conditionalFormatting>
  <conditionalFormatting sqref="AJ100">
    <cfRule type="cellIs" dxfId="8818" priority="81618" stopIfTrue="1" operator="notEqual">
      <formula>"En cours"</formula>
    </cfRule>
  </conditionalFormatting>
  <conditionalFormatting sqref="AK100">
    <cfRule type="cellIs" dxfId="8817" priority="81619" stopIfTrue="1" operator="equal">
      <formula>"En cours"</formula>
    </cfRule>
  </conditionalFormatting>
  <conditionalFormatting sqref="AK100">
    <cfRule type="cellIs" dxfId="8816" priority="81620" stopIfTrue="1" operator="notEqual">
      <formula>"En cours"</formula>
    </cfRule>
  </conditionalFormatting>
  <conditionalFormatting sqref="AJ103">
    <cfRule type="cellIs" dxfId="8815" priority="81645" stopIfTrue="1" operator="equal">
      <formula>"En cours"</formula>
    </cfRule>
  </conditionalFormatting>
  <conditionalFormatting sqref="AJ103">
    <cfRule type="cellIs" dxfId="8814" priority="81646" stopIfTrue="1" operator="notEqual">
      <formula>"En cours"</formula>
    </cfRule>
  </conditionalFormatting>
  <conditionalFormatting sqref="AK103">
    <cfRule type="cellIs" dxfId="8813" priority="81647" stopIfTrue="1" operator="equal">
      <formula>"En cours"</formula>
    </cfRule>
  </conditionalFormatting>
  <conditionalFormatting sqref="AK103">
    <cfRule type="cellIs" dxfId="8812" priority="81648" stopIfTrue="1" operator="notEqual">
      <formula>"En cours"</formula>
    </cfRule>
  </conditionalFormatting>
  <conditionalFormatting sqref="AJ111">
    <cfRule type="cellIs" dxfId="8811" priority="81693" stopIfTrue="1" operator="equal">
      <formula>"En cours"</formula>
    </cfRule>
  </conditionalFormatting>
  <conditionalFormatting sqref="AJ111">
    <cfRule type="cellIs" dxfId="8810" priority="81694" stopIfTrue="1" operator="notEqual">
      <formula>"En cours"</formula>
    </cfRule>
  </conditionalFormatting>
  <conditionalFormatting sqref="AK111">
    <cfRule type="cellIs" dxfId="8809" priority="81695" stopIfTrue="1" operator="equal">
      <formula>"En cours"</formula>
    </cfRule>
  </conditionalFormatting>
  <conditionalFormatting sqref="AK111">
    <cfRule type="cellIs" dxfId="8808" priority="81696" stopIfTrue="1" operator="notEqual">
      <formula>"En cours"</formula>
    </cfRule>
  </conditionalFormatting>
  <conditionalFormatting sqref="AJ109">
    <cfRule type="cellIs" dxfId="8807" priority="81701" stopIfTrue="1" operator="equal">
      <formula>"En cours"</formula>
    </cfRule>
  </conditionalFormatting>
  <conditionalFormatting sqref="AJ109">
    <cfRule type="cellIs" dxfId="8806" priority="81702" stopIfTrue="1" operator="notEqual">
      <formula>"En cours"</formula>
    </cfRule>
  </conditionalFormatting>
  <conditionalFormatting sqref="AK109">
    <cfRule type="cellIs" dxfId="8805" priority="81703" stopIfTrue="1" operator="equal">
      <formula>"En cours"</formula>
    </cfRule>
  </conditionalFormatting>
  <conditionalFormatting sqref="AK109">
    <cfRule type="cellIs" dxfId="8804" priority="81704" stopIfTrue="1" operator="notEqual">
      <formula>"En cours"</formula>
    </cfRule>
  </conditionalFormatting>
  <conditionalFormatting sqref="AJ106">
    <cfRule type="cellIs" dxfId="8803" priority="81705" stopIfTrue="1" operator="equal">
      <formula>"En cours"</formula>
    </cfRule>
  </conditionalFormatting>
  <conditionalFormatting sqref="AJ106">
    <cfRule type="cellIs" dxfId="8802" priority="81706" stopIfTrue="1" operator="notEqual">
      <formula>"En cours"</formula>
    </cfRule>
  </conditionalFormatting>
  <conditionalFormatting sqref="AK106">
    <cfRule type="cellIs" dxfId="8801" priority="81707" stopIfTrue="1" operator="equal">
      <formula>"En cours"</formula>
    </cfRule>
  </conditionalFormatting>
  <conditionalFormatting sqref="AK106">
    <cfRule type="cellIs" dxfId="8800" priority="81708" stopIfTrue="1" operator="notEqual">
      <formula>"En cours"</formula>
    </cfRule>
  </conditionalFormatting>
  <conditionalFormatting sqref="AJ119">
    <cfRule type="cellIs" dxfId="8799" priority="81721" stopIfTrue="1" operator="equal">
      <formula>"En cours"</formula>
    </cfRule>
  </conditionalFormatting>
  <conditionalFormatting sqref="AJ119">
    <cfRule type="cellIs" dxfId="8798" priority="81722" stopIfTrue="1" operator="notEqual">
      <formula>"En cours"</formula>
    </cfRule>
  </conditionalFormatting>
  <conditionalFormatting sqref="AK119">
    <cfRule type="cellIs" dxfId="8797" priority="81723" stopIfTrue="1" operator="equal">
      <formula>"En cours"</formula>
    </cfRule>
  </conditionalFormatting>
  <conditionalFormatting sqref="AK119">
    <cfRule type="cellIs" dxfId="8796" priority="81724" stopIfTrue="1" operator="notEqual">
      <formula>"En cours"</formula>
    </cfRule>
  </conditionalFormatting>
  <conditionalFormatting sqref="AJ105">
    <cfRule type="cellIs" dxfId="8795" priority="81725" stopIfTrue="1" operator="equal">
      <formula>"En cours"</formula>
    </cfRule>
  </conditionalFormatting>
  <conditionalFormatting sqref="AJ105">
    <cfRule type="cellIs" dxfId="8794" priority="81726" stopIfTrue="1" operator="notEqual">
      <formula>"En cours"</formula>
    </cfRule>
  </conditionalFormatting>
  <conditionalFormatting sqref="AK105">
    <cfRule type="cellIs" dxfId="8793" priority="81727" stopIfTrue="1" operator="equal">
      <formula>"En cours"</formula>
    </cfRule>
  </conditionalFormatting>
  <conditionalFormatting sqref="AK105">
    <cfRule type="cellIs" dxfId="8792" priority="81728" stopIfTrue="1" operator="notEqual">
      <formula>"En cours"</formula>
    </cfRule>
  </conditionalFormatting>
  <conditionalFormatting sqref="AJ79">
    <cfRule type="cellIs" dxfId="8787" priority="82057" stopIfTrue="1" operator="equal">
      <formula>"En cours"</formula>
    </cfRule>
  </conditionalFormatting>
  <conditionalFormatting sqref="AJ79">
    <cfRule type="cellIs" dxfId="8786" priority="82058" stopIfTrue="1" operator="notEqual">
      <formula>"En cours"</formula>
    </cfRule>
  </conditionalFormatting>
  <conditionalFormatting sqref="AK79">
    <cfRule type="cellIs" dxfId="8785" priority="82059" stopIfTrue="1" operator="equal">
      <formula>"En cours"</formula>
    </cfRule>
  </conditionalFormatting>
  <conditionalFormatting sqref="AK79">
    <cfRule type="cellIs" dxfId="8784" priority="82060" stopIfTrue="1" operator="notEqual">
      <formula>"En cours"</formula>
    </cfRule>
  </conditionalFormatting>
  <conditionalFormatting sqref="AJ82">
    <cfRule type="cellIs" dxfId="8763" priority="82189" stopIfTrue="1" operator="equal">
      <formula>"En cours"</formula>
    </cfRule>
  </conditionalFormatting>
  <conditionalFormatting sqref="AJ82">
    <cfRule type="cellIs" dxfId="8762" priority="82190" stopIfTrue="1" operator="notEqual">
      <formula>"En cours"</formula>
    </cfRule>
  </conditionalFormatting>
  <conditionalFormatting sqref="AK82">
    <cfRule type="cellIs" dxfId="8761" priority="82191" stopIfTrue="1" operator="equal">
      <formula>"En cours"</formula>
    </cfRule>
  </conditionalFormatting>
  <conditionalFormatting sqref="AK82">
    <cfRule type="cellIs" dxfId="8760" priority="82192" stopIfTrue="1" operator="notEqual">
      <formula>"En cours"</formula>
    </cfRule>
  </conditionalFormatting>
  <conditionalFormatting sqref="AJ125">
    <cfRule type="cellIs" dxfId="8755" priority="82237" stopIfTrue="1" operator="equal">
      <formula>"En cours"</formula>
    </cfRule>
  </conditionalFormatting>
  <conditionalFormatting sqref="AJ125">
    <cfRule type="cellIs" dxfId="8754" priority="82238" stopIfTrue="1" operator="notEqual">
      <formula>"En cours"</formula>
    </cfRule>
  </conditionalFormatting>
  <conditionalFormatting sqref="AK125">
    <cfRule type="cellIs" dxfId="8753" priority="82239" stopIfTrue="1" operator="equal">
      <formula>"En cours"</formula>
    </cfRule>
  </conditionalFormatting>
  <conditionalFormatting sqref="AK125">
    <cfRule type="cellIs" dxfId="8752" priority="82240" stopIfTrue="1" operator="notEqual">
      <formula>"En cours"</formula>
    </cfRule>
  </conditionalFormatting>
  <conditionalFormatting sqref="AJ128">
    <cfRule type="cellIs" dxfId="8739" priority="82289" stopIfTrue="1" operator="equal">
      <formula>"En cours"</formula>
    </cfRule>
  </conditionalFormatting>
  <conditionalFormatting sqref="AJ128">
    <cfRule type="cellIs" dxfId="8738" priority="82290" stopIfTrue="1" operator="notEqual">
      <formula>"En cours"</formula>
    </cfRule>
  </conditionalFormatting>
  <conditionalFormatting sqref="AK128">
    <cfRule type="cellIs" dxfId="8737" priority="82291" stopIfTrue="1" operator="equal">
      <formula>"En cours"</formula>
    </cfRule>
  </conditionalFormatting>
  <conditionalFormatting sqref="AK128">
    <cfRule type="cellIs" dxfId="8736" priority="82292" stopIfTrue="1" operator="notEqual">
      <formula>"En cours"</formula>
    </cfRule>
  </conditionalFormatting>
  <conditionalFormatting sqref="AJ126">
    <cfRule type="cellIs" dxfId="8735" priority="82297" stopIfTrue="1" operator="equal">
      <formula>"En cours"</formula>
    </cfRule>
  </conditionalFormatting>
  <conditionalFormatting sqref="AJ126">
    <cfRule type="cellIs" dxfId="8734" priority="82298" stopIfTrue="1" operator="notEqual">
      <formula>"En cours"</formula>
    </cfRule>
  </conditionalFormatting>
  <conditionalFormatting sqref="AK126">
    <cfRule type="cellIs" dxfId="8733" priority="82299" stopIfTrue="1" operator="equal">
      <formula>"En cours"</formula>
    </cfRule>
  </conditionalFormatting>
  <conditionalFormatting sqref="AK126">
    <cfRule type="cellIs" dxfId="8732" priority="82300" stopIfTrue="1" operator="notEqual">
      <formula>"En cours"</formula>
    </cfRule>
  </conditionalFormatting>
  <conditionalFormatting sqref="AJ107">
    <cfRule type="cellIs" dxfId="8731" priority="82301" stopIfTrue="1" operator="equal">
      <formula>"En cours"</formula>
    </cfRule>
  </conditionalFormatting>
  <conditionalFormatting sqref="AJ107">
    <cfRule type="cellIs" dxfId="8730" priority="82302" stopIfTrue="1" operator="notEqual">
      <formula>"En cours"</formula>
    </cfRule>
  </conditionalFormatting>
  <conditionalFormatting sqref="AK107">
    <cfRule type="cellIs" dxfId="8729" priority="82303" stopIfTrue="1" operator="equal">
      <formula>"En cours"</formula>
    </cfRule>
  </conditionalFormatting>
  <conditionalFormatting sqref="AK107">
    <cfRule type="cellIs" dxfId="8728" priority="82304" stopIfTrue="1" operator="notEqual">
      <formula>"En cours"</formula>
    </cfRule>
  </conditionalFormatting>
  <conditionalFormatting sqref="AJ134">
    <cfRule type="cellIs" dxfId="8727" priority="82321" stopIfTrue="1" operator="equal">
      <formula>"En cours"</formula>
    </cfRule>
  </conditionalFormatting>
  <conditionalFormatting sqref="AJ134">
    <cfRule type="cellIs" dxfId="8726" priority="82322" stopIfTrue="1" operator="notEqual">
      <formula>"En cours"</formula>
    </cfRule>
  </conditionalFormatting>
  <conditionalFormatting sqref="AK134">
    <cfRule type="cellIs" dxfId="8725" priority="82323" stopIfTrue="1" operator="equal">
      <formula>"En cours"</formula>
    </cfRule>
  </conditionalFormatting>
  <conditionalFormatting sqref="AK134">
    <cfRule type="cellIs" dxfId="8724" priority="82324" stopIfTrue="1" operator="notEqual">
      <formula>"En cours"</formula>
    </cfRule>
  </conditionalFormatting>
  <conditionalFormatting sqref="AJ137">
    <cfRule type="cellIs" dxfId="8723" priority="82673" stopIfTrue="1" operator="equal">
      <formula>"En cours"</formula>
    </cfRule>
  </conditionalFormatting>
  <conditionalFormatting sqref="AJ137">
    <cfRule type="cellIs" dxfId="8722" priority="82674" stopIfTrue="1" operator="notEqual">
      <formula>"En cours"</formula>
    </cfRule>
  </conditionalFormatting>
  <conditionalFormatting sqref="AK137">
    <cfRule type="cellIs" dxfId="8721" priority="82675" stopIfTrue="1" operator="equal">
      <formula>"En cours"</formula>
    </cfRule>
  </conditionalFormatting>
  <conditionalFormatting sqref="AK137">
    <cfRule type="cellIs" dxfId="8720" priority="82676" stopIfTrue="1" operator="notEqual">
      <formula>"En cours"</formula>
    </cfRule>
  </conditionalFormatting>
  <conditionalFormatting sqref="AJ140">
    <cfRule type="cellIs" dxfId="8719" priority="82681" stopIfTrue="1" operator="equal">
      <formula>"En cours"</formula>
    </cfRule>
  </conditionalFormatting>
  <conditionalFormatting sqref="AJ140">
    <cfRule type="cellIs" dxfId="8718" priority="82682" stopIfTrue="1" operator="notEqual">
      <formula>"En cours"</formula>
    </cfRule>
  </conditionalFormatting>
  <conditionalFormatting sqref="AK140">
    <cfRule type="cellIs" dxfId="8717" priority="82683" stopIfTrue="1" operator="equal">
      <formula>"En cours"</formula>
    </cfRule>
  </conditionalFormatting>
  <conditionalFormatting sqref="AK140">
    <cfRule type="cellIs" dxfId="8716" priority="82684" stopIfTrue="1" operator="notEqual">
      <formula>"En cours"</formula>
    </cfRule>
  </conditionalFormatting>
  <conditionalFormatting sqref="AJ139">
    <cfRule type="cellIs" dxfId="8715" priority="82685" stopIfTrue="1" operator="equal">
      <formula>"En cours"</formula>
    </cfRule>
  </conditionalFormatting>
  <conditionalFormatting sqref="AJ139">
    <cfRule type="cellIs" dxfId="8714" priority="82686" stopIfTrue="1" operator="notEqual">
      <formula>"En cours"</formula>
    </cfRule>
  </conditionalFormatting>
  <conditionalFormatting sqref="AK139">
    <cfRule type="cellIs" dxfId="8713" priority="82687" stopIfTrue="1" operator="equal">
      <formula>"En cours"</formula>
    </cfRule>
  </conditionalFormatting>
  <conditionalFormatting sqref="AK139">
    <cfRule type="cellIs" dxfId="8712" priority="82688" stopIfTrue="1" operator="notEqual">
      <formula>"En cours"</formula>
    </cfRule>
  </conditionalFormatting>
  <conditionalFormatting sqref="AJ81">
    <cfRule type="cellIs" dxfId="8711" priority="82697" stopIfTrue="1" operator="equal">
      <formula>"En cours"</formula>
    </cfRule>
  </conditionalFormatting>
  <conditionalFormatting sqref="AJ81">
    <cfRule type="cellIs" dxfId="8710" priority="82698" stopIfTrue="1" operator="notEqual">
      <formula>"En cours"</formula>
    </cfRule>
  </conditionalFormatting>
  <conditionalFormatting sqref="AK81">
    <cfRule type="cellIs" dxfId="8709" priority="82699" stopIfTrue="1" operator="equal">
      <formula>"En cours"</formula>
    </cfRule>
  </conditionalFormatting>
  <conditionalFormatting sqref="AK81">
    <cfRule type="cellIs" dxfId="8708" priority="82700" stopIfTrue="1" operator="notEqual">
      <formula>"En cours"</formula>
    </cfRule>
  </conditionalFormatting>
  <conditionalFormatting sqref="AJ143">
    <cfRule type="cellIs" dxfId="8703" priority="82773" stopIfTrue="1" operator="equal">
      <formula>"En cours"</formula>
    </cfRule>
  </conditionalFormatting>
  <conditionalFormatting sqref="AJ143">
    <cfRule type="cellIs" dxfId="8702" priority="82774" stopIfTrue="1" operator="notEqual">
      <formula>"En cours"</formula>
    </cfRule>
  </conditionalFormatting>
  <conditionalFormatting sqref="AK143">
    <cfRule type="cellIs" dxfId="8701" priority="82775" stopIfTrue="1" operator="equal">
      <formula>"En cours"</formula>
    </cfRule>
  </conditionalFormatting>
  <conditionalFormatting sqref="AK143">
    <cfRule type="cellIs" dxfId="8700" priority="82776" stopIfTrue="1" operator="notEqual">
      <formula>"En cours"</formula>
    </cfRule>
  </conditionalFormatting>
  <conditionalFormatting sqref="AJ150">
    <cfRule type="cellIs" dxfId="8699" priority="82809" stopIfTrue="1" operator="equal">
      <formula>"En cours"</formula>
    </cfRule>
  </conditionalFormatting>
  <conditionalFormatting sqref="AJ150">
    <cfRule type="cellIs" dxfId="8698" priority="82810" stopIfTrue="1" operator="notEqual">
      <formula>"En cours"</formula>
    </cfRule>
  </conditionalFormatting>
  <conditionalFormatting sqref="AK150">
    <cfRule type="cellIs" dxfId="8697" priority="82811" stopIfTrue="1" operator="equal">
      <formula>"En cours"</formula>
    </cfRule>
  </conditionalFormatting>
  <conditionalFormatting sqref="AK150">
    <cfRule type="cellIs" dxfId="8696" priority="82812" stopIfTrue="1" operator="notEqual">
      <formula>"En cours"</formula>
    </cfRule>
  </conditionalFormatting>
  <conditionalFormatting sqref="AJ151">
    <cfRule type="cellIs" dxfId="8695" priority="82813" stopIfTrue="1" operator="equal">
      <formula>"En cours"</formula>
    </cfRule>
  </conditionalFormatting>
  <conditionalFormatting sqref="AJ151">
    <cfRule type="cellIs" dxfId="8694" priority="82814" stopIfTrue="1" operator="notEqual">
      <formula>"En cours"</formula>
    </cfRule>
  </conditionalFormatting>
  <conditionalFormatting sqref="AK151">
    <cfRule type="cellIs" dxfId="8693" priority="82815" stopIfTrue="1" operator="equal">
      <formula>"En cours"</formula>
    </cfRule>
  </conditionalFormatting>
  <conditionalFormatting sqref="AK151">
    <cfRule type="cellIs" dxfId="8692" priority="82816" stopIfTrue="1" operator="notEqual">
      <formula>"En cours"</formula>
    </cfRule>
  </conditionalFormatting>
  <conditionalFormatting sqref="AJ149">
    <cfRule type="cellIs" dxfId="8691" priority="82829" stopIfTrue="1" operator="equal">
      <formula>"En cours"</formula>
    </cfRule>
  </conditionalFormatting>
  <conditionalFormatting sqref="AJ149">
    <cfRule type="cellIs" dxfId="8690" priority="82830" stopIfTrue="1" operator="notEqual">
      <formula>"En cours"</formula>
    </cfRule>
  </conditionalFormatting>
  <conditionalFormatting sqref="AK149">
    <cfRule type="cellIs" dxfId="8689" priority="82831" stopIfTrue="1" operator="equal">
      <formula>"En cours"</formula>
    </cfRule>
  </conditionalFormatting>
  <conditionalFormatting sqref="AK149">
    <cfRule type="cellIs" dxfId="8688" priority="82832" stopIfTrue="1" operator="notEqual">
      <formula>"En cours"</formula>
    </cfRule>
  </conditionalFormatting>
  <conditionalFormatting sqref="AJ97">
    <cfRule type="cellIs" dxfId="8687" priority="82857" stopIfTrue="1" operator="equal">
      <formula>"En cours"</formula>
    </cfRule>
  </conditionalFormatting>
  <conditionalFormatting sqref="AJ97">
    <cfRule type="cellIs" dxfId="8686" priority="82858" stopIfTrue="1" operator="notEqual">
      <formula>"En cours"</formula>
    </cfRule>
  </conditionalFormatting>
  <conditionalFormatting sqref="AK97">
    <cfRule type="cellIs" dxfId="8685" priority="82859" stopIfTrue="1" operator="equal">
      <formula>"En cours"</formula>
    </cfRule>
  </conditionalFormatting>
  <conditionalFormatting sqref="AK97">
    <cfRule type="cellIs" dxfId="8684" priority="82860" stopIfTrue="1" operator="notEqual">
      <formula>"En cours"</formula>
    </cfRule>
  </conditionalFormatting>
  <conditionalFormatting sqref="AJ152">
    <cfRule type="cellIs" dxfId="8683" priority="82865" stopIfTrue="1" operator="equal">
      <formula>"En cours"</formula>
    </cfRule>
  </conditionalFormatting>
  <conditionalFormatting sqref="AJ152">
    <cfRule type="cellIs" dxfId="8682" priority="82866" stopIfTrue="1" operator="notEqual">
      <formula>"En cours"</formula>
    </cfRule>
  </conditionalFormatting>
  <conditionalFormatting sqref="AK152">
    <cfRule type="cellIs" dxfId="8681" priority="82867" stopIfTrue="1" operator="equal">
      <formula>"En cours"</formula>
    </cfRule>
  </conditionalFormatting>
  <conditionalFormatting sqref="AK152">
    <cfRule type="cellIs" dxfId="8680" priority="82868" stopIfTrue="1" operator="notEqual">
      <formula>"En cours"</formula>
    </cfRule>
  </conditionalFormatting>
  <conditionalFormatting sqref="AJ115">
    <cfRule type="cellIs" dxfId="8679" priority="82889" stopIfTrue="1" operator="equal">
      <formula>"En cours"</formula>
    </cfRule>
  </conditionalFormatting>
  <conditionalFormatting sqref="AJ115">
    <cfRule type="cellIs" dxfId="8678" priority="82890" stopIfTrue="1" operator="notEqual">
      <formula>"En cours"</formula>
    </cfRule>
  </conditionalFormatting>
  <conditionalFormatting sqref="AK115">
    <cfRule type="cellIs" dxfId="8677" priority="82891" stopIfTrue="1" operator="equal">
      <formula>"En cours"</formula>
    </cfRule>
  </conditionalFormatting>
  <conditionalFormatting sqref="AK115">
    <cfRule type="cellIs" dxfId="8676" priority="82892" stopIfTrue="1" operator="notEqual">
      <formula>"En cours"</formula>
    </cfRule>
  </conditionalFormatting>
  <conditionalFormatting sqref="AJ104">
    <cfRule type="cellIs" dxfId="8675" priority="82897" stopIfTrue="1" operator="equal">
      <formula>"En cours"</formula>
    </cfRule>
  </conditionalFormatting>
  <conditionalFormatting sqref="AJ104">
    <cfRule type="cellIs" dxfId="8674" priority="82898" stopIfTrue="1" operator="notEqual">
      <formula>"En cours"</formula>
    </cfRule>
  </conditionalFormatting>
  <conditionalFormatting sqref="AK104">
    <cfRule type="cellIs" dxfId="8673" priority="82899" stopIfTrue="1" operator="equal">
      <formula>"En cours"</formula>
    </cfRule>
  </conditionalFormatting>
  <conditionalFormatting sqref="AK104">
    <cfRule type="cellIs" dxfId="8672" priority="82900" stopIfTrue="1" operator="notEqual">
      <formula>"En cours"</formula>
    </cfRule>
  </conditionalFormatting>
  <conditionalFormatting sqref="AJ157">
    <cfRule type="cellIs" dxfId="8671" priority="82925" stopIfTrue="1" operator="equal">
      <formula>"En cours"</formula>
    </cfRule>
  </conditionalFormatting>
  <conditionalFormatting sqref="AJ157">
    <cfRule type="cellIs" dxfId="8670" priority="82926" stopIfTrue="1" operator="notEqual">
      <formula>"En cours"</formula>
    </cfRule>
  </conditionalFormatting>
  <conditionalFormatting sqref="AK157">
    <cfRule type="cellIs" dxfId="8669" priority="82927" stopIfTrue="1" operator="equal">
      <formula>"En cours"</formula>
    </cfRule>
  </conditionalFormatting>
  <conditionalFormatting sqref="AK157">
    <cfRule type="cellIs" dxfId="8668" priority="82928" stopIfTrue="1" operator="notEqual">
      <formula>"En cours"</formula>
    </cfRule>
  </conditionalFormatting>
  <conditionalFormatting sqref="AJ161">
    <cfRule type="cellIs" dxfId="8667" priority="82961" stopIfTrue="1" operator="equal">
      <formula>"En cours"</formula>
    </cfRule>
  </conditionalFormatting>
  <conditionalFormatting sqref="AJ161">
    <cfRule type="cellIs" dxfId="8666" priority="82962" stopIfTrue="1" operator="notEqual">
      <formula>"En cours"</formula>
    </cfRule>
  </conditionalFormatting>
  <conditionalFormatting sqref="AK161">
    <cfRule type="cellIs" dxfId="8665" priority="82963" stopIfTrue="1" operator="equal">
      <formula>"En cours"</formula>
    </cfRule>
  </conditionalFormatting>
  <conditionalFormatting sqref="AK161">
    <cfRule type="cellIs" dxfId="8664" priority="82964" stopIfTrue="1" operator="notEqual">
      <formula>"En cours"</formula>
    </cfRule>
  </conditionalFormatting>
  <conditionalFormatting sqref="AJ164">
    <cfRule type="cellIs" dxfId="8663" priority="82977" stopIfTrue="1" operator="equal">
      <formula>"En cours"</formula>
    </cfRule>
  </conditionalFormatting>
  <conditionalFormatting sqref="AJ164">
    <cfRule type="cellIs" dxfId="8662" priority="82978" stopIfTrue="1" operator="notEqual">
      <formula>"En cours"</formula>
    </cfRule>
  </conditionalFormatting>
  <conditionalFormatting sqref="AK164">
    <cfRule type="cellIs" dxfId="8661" priority="82979" stopIfTrue="1" operator="equal">
      <formula>"En cours"</formula>
    </cfRule>
  </conditionalFormatting>
  <conditionalFormatting sqref="AK164">
    <cfRule type="cellIs" dxfId="8660" priority="82980" stopIfTrue="1" operator="notEqual">
      <formula>"En cours"</formula>
    </cfRule>
  </conditionalFormatting>
  <conditionalFormatting sqref="AJ167">
    <cfRule type="cellIs" dxfId="8659" priority="83245" stopIfTrue="1" operator="equal">
      <formula>"En cours"</formula>
    </cfRule>
  </conditionalFormatting>
  <conditionalFormatting sqref="AJ167">
    <cfRule type="cellIs" dxfId="8658" priority="83246" stopIfTrue="1" operator="notEqual">
      <formula>"En cours"</formula>
    </cfRule>
  </conditionalFormatting>
  <conditionalFormatting sqref="AK167">
    <cfRule type="cellIs" dxfId="8657" priority="83247" stopIfTrue="1" operator="equal">
      <formula>"En cours"</formula>
    </cfRule>
  </conditionalFormatting>
  <conditionalFormatting sqref="AK167">
    <cfRule type="cellIs" dxfId="8656" priority="83248" stopIfTrue="1" operator="notEqual">
      <formula>"En cours"</formula>
    </cfRule>
  </conditionalFormatting>
  <conditionalFormatting sqref="AJ136">
    <cfRule type="cellIs" dxfId="8647" priority="83269" stopIfTrue="1" operator="equal">
      <formula>"En cours"</formula>
    </cfRule>
  </conditionalFormatting>
  <conditionalFormatting sqref="AJ136">
    <cfRule type="cellIs" dxfId="8646" priority="83270" stopIfTrue="1" operator="notEqual">
      <formula>"En cours"</formula>
    </cfRule>
  </conditionalFormatting>
  <conditionalFormatting sqref="AK136">
    <cfRule type="cellIs" dxfId="8645" priority="83271" stopIfTrue="1" operator="equal">
      <formula>"En cours"</formula>
    </cfRule>
  </conditionalFormatting>
  <conditionalFormatting sqref="AK136">
    <cfRule type="cellIs" dxfId="8644" priority="83272" stopIfTrue="1" operator="notEqual">
      <formula>"En cours"</formula>
    </cfRule>
  </conditionalFormatting>
  <conditionalFormatting sqref="AJ169">
    <cfRule type="cellIs" dxfId="8643" priority="83285" stopIfTrue="1" operator="equal">
      <formula>"En cours"</formula>
    </cfRule>
  </conditionalFormatting>
  <conditionalFormatting sqref="AJ169">
    <cfRule type="cellIs" dxfId="8642" priority="83286" stopIfTrue="1" operator="notEqual">
      <formula>"En cours"</formula>
    </cfRule>
  </conditionalFormatting>
  <conditionalFormatting sqref="AK169">
    <cfRule type="cellIs" dxfId="8641" priority="83287" stopIfTrue="1" operator="equal">
      <formula>"En cours"</formula>
    </cfRule>
  </conditionalFormatting>
  <conditionalFormatting sqref="AK169">
    <cfRule type="cellIs" dxfId="8640" priority="83288" stopIfTrue="1" operator="notEqual">
      <formula>"En cours"</formula>
    </cfRule>
  </conditionalFormatting>
  <conditionalFormatting sqref="AJ142">
    <cfRule type="cellIs" dxfId="8639" priority="83289" stopIfTrue="1" operator="equal">
      <formula>"En cours"</formula>
    </cfRule>
  </conditionalFormatting>
  <conditionalFormatting sqref="AJ142">
    <cfRule type="cellIs" dxfId="8638" priority="83290" stopIfTrue="1" operator="notEqual">
      <formula>"En cours"</formula>
    </cfRule>
  </conditionalFormatting>
  <conditionalFormatting sqref="AK142">
    <cfRule type="cellIs" dxfId="8637" priority="83291" stopIfTrue="1" operator="equal">
      <formula>"En cours"</formula>
    </cfRule>
  </conditionalFormatting>
  <conditionalFormatting sqref="AK142">
    <cfRule type="cellIs" dxfId="8636" priority="83292" stopIfTrue="1" operator="notEqual">
      <formula>"En cours"</formula>
    </cfRule>
  </conditionalFormatting>
  <conditionalFormatting sqref="AJ145">
    <cfRule type="cellIs" dxfId="8635" priority="83297" stopIfTrue="1" operator="equal">
      <formula>"En cours"</formula>
    </cfRule>
  </conditionalFormatting>
  <conditionalFormatting sqref="AJ145">
    <cfRule type="cellIs" dxfId="8634" priority="83298" stopIfTrue="1" operator="notEqual">
      <formula>"En cours"</formula>
    </cfRule>
  </conditionalFormatting>
  <conditionalFormatting sqref="AK145">
    <cfRule type="cellIs" dxfId="8633" priority="83299" stopIfTrue="1" operator="equal">
      <formula>"En cours"</formula>
    </cfRule>
  </conditionalFormatting>
  <conditionalFormatting sqref="AK145">
    <cfRule type="cellIs" dxfId="8632" priority="83300" stopIfTrue="1" operator="notEqual">
      <formula>"En cours"</formula>
    </cfRule>
  </conditionalFormatting>
  <conditionalFormatting sqref="AJ123">
    <cfRule type="cellIs" dxfId="8627" priority="83349" stopIfTrue="1" operator="equal">
      <formula>"En cours"</formula>
    </cfRule>
  </conditionalFormatting>
  <conditionalFormatting sqref="AJ123">
    <cfRule type="cellIs" dxfId="8626" priority="83350" stopIfTrue="1" operator="notEqual">
      <formula>"En cours"</formula>
    </cfRule>
  </conditionalFormatting>
  <conditionalFormatting sqref="AK123">
    <cfRule type="cellIs" dxfId="8625" priority="83351" stopIfTrue="1" operator="equal">
      <formula>"En cours"</formula>
    </cfRule>
  </conditionalFormatting>
  <conditionalFormatting sqref="AK123">
    <cfRule type="cellIs" dxfId="8624" priority="83352" stopIfTrue="1" operator="notEqual">
      <formula>"En cours"</formula>
    </cfRule>
  </conditionalFormatting>
  <conditionalFormatting sqref="AJ88">
    <cfRule type="cellIs" dxfId="8619" priority="83357" stopIfTrue="1" operator="equal">
      <formula>"En cours"</formula>
    </cfRule>
  </conditionalFormatting>
  <conditionalFormatting sqref="AJ88">
    <cfRule type="cellIs" dxfId="8618" priority="83358" stopIfTrue="1" operator="notEqual">
      <formula>"En cours"</formula>
    </cfRule>
  </conditionalFormatting>
  <conditionalFormatting sqref="AK88">
    <cfRule type="cellIs" dxfId="8617" priority="83359" stopIfTrue="1" operator="equal">
      <formula>"En cours"</formula>
    </cfRule>
  </conditionalFormatting>
  <conditionalFormatting sqref="AK88">
    <cfRule type="cellIs" dxfId="8616" priority="83360" stopIfTrue="1" operator="notEqual">
      <formula>"En cours"</formula>
    </cfRule>
  </conditionalFormatting>
  <conditionalFormatting sqref="AJ156">
    <cfRule type="cellIs" dxfId="8615" priority="83397" stopIfTrue="1" operator="equal">
      <formula>"En cours"</formula>
    </cfRule>
  </conditionalFormatting>
  <conditionalFormatting sqref="AJ156">
    <cfRule type="cellIs" dxfId="8614" priority="83398" stopIfTrue="1" operator="notEqual">
      <formula>"En cours"</formula>
    </cfRule>
  </conditionalFormatting>
  <conditionalFormatting sqref="AK156">
    <cfRule type="cellIs" dxfId="8613" priority="83399" stopIfTrue="1" operator="equal">
      <formula>"En cours"</formula>
    </cfRule>
  </conditionalFormatting>
  <conditionalFormatting sqref="AK156">
    <cfRule type="cellIs" dxfId="8612" priority="83400" stopIfTrue="1" operator="notEqual">
      <formula>"En cours"</formula>
    </cfRule>
  </conditionalFormatting>
  <conditionalFormatting sqref="AJ129">
    <cfRule type="cellIs" dxfId="8611" priority="83429" stopIfTrue="1" operator="equal">
      <formula>"En cours"</formula>
    </cfRule>
  </conditionalFormatting>
  <conditionalFormatting sqref="AJ129">
    <cfRule type="cellIs" dxfId="8610" priority="83430" stopIfTrue="1" operator="notEqual">
      <formula>"En cours"</formula>
    </cfRule>
  </conditionalFormatting>
  <conditionalFormatting sqref="AK129">
    <cfRule type="cellIs" dxfId="8609" priority="83431" stopIfTrue="1" operator="equal">
      <formula>"En cours"</formula>
    </cfRule>
  </conditionalFormatting>
  <conditionalFormatting sqref="AK129">
    <cfRule type="cellIs" dxfId="8608" priority="83432" stopIfTrue="1" operator="notEqual">
      <formula>"En cours"</formula>
    </cfRule>
  </conditionalFormatting>
  <conditionalFormatting sqref="AJ163">
    <cfRule type="cellIs" dxfId="8607" priority="83437" stopIfTrue="1" operator="equal">
      <formula>"En cours"</formula>
    </cfRule>
  </conditionalFormatting>
  <conditionalFormatting sqref="AJ163">
    <cfRule type="cellIs" dxfId="8606" priority="83438" stopIfTrue="1" operator="notEqual">
      <formula>"En cours"</formula>
    </cfRule>
  </conditionalFormatting>
  <conditionalFormatting sqref="AK163">
    <cfRule type="cellIs" dxfId="8605" priority="83439" stopIfTrue="1" operator="equal">
      <formula>"En cours"</formula>
    </cfRule>
  </conditionalFormatting>
  <conditionalFormatting sqref="AK163">
    <cfRule type="cellIs" dxfId="8604" priority="83440" stopIfTrue="1" operator="notEqual">
      <formula>"En cours"</formula>
    </cfRule>
  </conditionalFormatting>
  <conditionalFormatting sqref="AJ171">
    <cfRule type="cellIs" dxfId="8603" priority="83469" stopIfTrue="1" operator="equal">
      <formula>"En cours"</formula>
    </cfRule>
  </conditionalFormatting>
  <conditionalFormatting sqref="AJ171">
    <cfRule type="cellIs" dxfId="8602" priority="83470" stopIfTrue="1" operator="notEqual">
      <formula>"En cours"</formula>
    </cfRule>
  </conditionalFormatting>
  <conditionalFormatting sqref="AK171">
    <cfRule type="cellIs" dxfId="8601" priority="83471" stopIfTrue="1" operator="equal">
      <formula>"En cours"</formula>
    </cfRule>
  </conditionalFormatting>
  <conditionalFormatting sqref="AK171">
    <cfRule type="cellIs" dxfId="8600" priority="83472" stopIfTrue="1" operator="notEqual">
      <formula>"En cours"</formula>
    </cfRule>
  </conditionalFormatting>
  <conditionalFormatting sqref="AJ154">
    <cfRule type="cellIs" dxfId="8599" priority="83473" stopIfTrue="1" operator="equal">
      <formula>"En cours"</formula>
    </cfRule>
  </conditionalFormatting>
  <conditionalFormatting sqref="AJ154">
    <cfRule type="cellIs" dxfId="8598" priority="83474" stopIfTrue="1" operator="notEqual">
      <formula>"En cours"</formula>
    </cfRule>
  </conditionalFormatting>
  <conditionalFormatting sqref="AK154">
    <cfRule type="cellIs" dxfId="8597" priority="83475" stopIfTrue="1" operator="equal">
      <formula>"En cours"</formula>
    </cfRule>
  </conditionalFormatting>
  <conditionalFormatting sqref="AK154">
    <cfRule type="cellIs" dxfId="8596" priority="83476" stopIfTrue="1" operator="notEqual">
      <formula>"En cours"</formula>
    </cfRule>
  </conditionalFormatting>
  <conditionalFormatting sqref="AJ120">
    <cfRule type="cellIs" dxfId="8595" priority="83725" stopIfTrue="1" operator="equal">
      <formula>"En cours"</formula>
    </cfRule>
  </conditionalFormatting>
  <conditionalFormatting sqref="AJ120">
    <cfRule type="cellIs" dxfId="8594" priority="83726" stopIfTrue="1" operator="notEqual">
      <formula>"En cours"</formula>
    </cfRule>
  </conditionalFormatting>
  <conditionalFormatting sqref="AK120">
    <cfRule type="cellIs" dxfId="8593" priority="83727" stopIfTrue="1" operator="equal">
      <formula>"En cours"</formula>
    </cfRule>
  </conditionalFormatting>
  <conditionalFormatting sqref="AK120">
    <cfRule type="cellIs" dxfId="8592" priority="83728" stopIfTrue="1" operator="notEqual">
      <formula>"En cours"</formula>
    </cfRule>
  </conditionalFormatting>
  <conditionalFormatting sqref="AJ80">
    <cfRule type="cellIs" dxfId="8591" priority="83733" stopIfTrue="1" operator="equal">
      <formula>"En cours"</formula>
    </cfRule>
  </conditionalFormatting>
  <conditionalFormatting sqref="AJ80">
    <cfRule type="cellIs" dxfId="8590" priority="83734" stopIfTrue="1" operator="notEqual">
      <formula>"En cours"</formula>
    </cfRule>
  </conditionalFormatting>
  <conditionalFormatting sqref="AK80">
    <cfRule type="cellIs" dxfId="8589" priority="83735" stopIfTrue="1" operator="equal">
      <formula>"En cours"</formula>
    </cfRule>
  </conditionalFormatting>
  <conditionalFormatting sqref="AK80">
    <cfRule type="cellIs" dxfId="8588" priority="83736" stopIfTrue="1" operator="notEqual">
      <formula>"En cours"</formula>
    </cfRule>
  </conditionalFormatting>
  <conditionalFormatting sqref="AJ138">
    <cfRule type="cellIs" dxfId="8587" priority="83753" stopIfTrue="1" operator="equal">
      <formula>"En cours"</formula>
    </cfRule>
  </conditionalFormatting>
  <conditionalFormatting sqref="AJ138">
    <cfRule type="cellIs" dxfId="8586" priority="83754" stopIfTrue="1" operator="notEqual">
      <formula>"En cours"</formula>
    </cfRule>
  </conditionalFormatting>
  <conditionalFormatting sqref="AK138">
    <cfRule type="cellIs" dxfId="8585" priority="83755" stopIfTrue="1" operator="equal">
      <formula>"En cours"</formula>
    </cfRule>
  </conditionalFormatting>
  <conditionalFormatting sqref="AK138">
    <cfRule type="cellIs" dxfId="8584" priority="83756" stopIfTrue="1" operator="notEqual">
      <formula>"En cours"</formula>
    </cfRule>
  </conditionalFormatting>
  <conditionalFormatting sqref="AJ121">
    <cfRule type="cellIs" dxfId="8583" priority="83765" stopIfTrue="1" operator="equal">
      <formula>"En cours"</formula>
    </cfRule>
  </conditionalFormatting>
  <conditionalFormatting sqref="AJ121">
    <cfRule type="cellIs" dxfId="8582" priority="83766" stopIfTrue="1" operator="notEqual">
      <formula>"En cours"</formula>
    </cfRule>
  </conditionalFormatting>
  <conditionalFormatting sqref="AK121">
    <cfRule type="cellIs" dxfId="8581" priority="83767" stopIfTrue="1" operator="equal">
      <formula>"En cours"</formula>
    </cfRule>
  </conditionalFormatting>
  <conditionalFormatting sqref="AK121">
    <cfRule type="cellIs" dxfId="8580" priority="83768" stopIfTrue="1" operator="notEqual">
      <formula>"En cours"</formula>
    </cfRule>
  </conditionalFormatting>
  <conditionalFormatting sqref="AJ83">
    <cfRule type="cellIs" dxfId="8579" priority="83769" stopIfTrue="1" operator="equal">
      <formula>"En cours"</formula>
    </cfRule>
  </conditionalFormatting>
  <conditionalFormatting sqref="AJ83">
    <cfRule type="cellIs" dxfId="8578" priority="83770" stopIfTrue="1" operator="notEqual">
      <formula>"En cours"</formula>
    </cfRule>
  </conditionalFormatting>
  <conditionalFormatting sqref="AK83">
    <cfRule type="cellIs" dxfId="8577" priority="83771" stopIfTrue="1" operator="equal">
      <formula>"En cours"</formula>
    </cfRule>
  </conditionalFormatting>
  <conditionalFormatting sqref="AK83">
    <cfRule type="cellIs" dxfId="8576" priority="83772" stopIfTrue="1" operator="notEqual">
      <formula>"En cours"</formula>
    </cfRule>
  </conditionalFormatting>
  <conditionalFormatting sqref="AJ170">
    <cfRule type="cellIs" dxfId="8575" priority="83793" stopIfTrue="1" operator="equal">
      <formula>"En cours"</formula>
    </cfRule>
  </conditionalFormatting>
  <conditionalFormatting sqref="AJ170">
    <cfRule type="cellIs" dxfId="8574" priority="83794" stopIfTrue="1" operator="notEqual">
      <formula>"En cours"</formula>
    </cfRule>
  </conditionalFormatting>
  <conditionalFormatting sqref="AK170">
    <cfRule type="cellIs" dxfId="8573" priority="83795" stopIfTrue="1" operator="equal">
      <formula>"En cours"</formula>
    </cfRule>
  </conditionalFormatting>
  <conditionalFormatting sqref="AK170">
    <cfRule type="cellIs" dxfId="8572" priority="83796" stopIfTrue="1" operator="notEqual">
      <formula>"En cours"</formula>
    </cfRule>
  </conditionalFormatting>
  <conditionalFormatting sqref="AJ93">
    <cfRule type="cellIs" dxfId="8567" priority="83805" stopIfTrue="1" operator="equal">
      <formula>"En cours"</formula>
    </cfRule>
  </conditionalFormatting>
  <conditionalFormatting sqref="AJ93">
    <cfRule type="cellIs" dxfId="8566" priority="83806" stopIfTrue="1" operator="notEqual">
      <formula>"En cours"</formula>
    </cfRule>
  </conditionalFormatting>
  <conditionalFormatting sqref="AK93">
    <cfRule type="cellIs" dxfId="8565" priority="83807" stopIfTrue="1" operator="equal">
      <formula>"En cours"</formula>
    </cfRule>
  </conditionalFormatting>
  <conditionalFormatting sqref="AK93">
    <cfRule type="cellIs" dxfId="8564" priority="83808" stopIfTrue="1" operator="notEqual">
      <formula>"En cours"</formula>
    </cfRule>
  </conditionalFormatting>
  <conditionalFormatting sqref="AJ84">
    <cfRule type="cellIs" dxfId="8563" priority="83809" stopIfTrue="1" operator="equal">
      <formula>"En cours"</formula>
    </cfRule>
  </conditionalFormatting>
  <conditionalFormatting sqref="AJ84">
    <cfRule type="cellIs" dxfId="8562" priority="83810" stopIfTrue="1" operator="notEqual">
      <formula>"En cours"</formula>
    </cfRule>
  </conditionalFormatting>
  <conditionalFormatting sqref="AK84">
    <cfRule type="cellIs" dxfId="8561" priority="83811" stopIfTrue="1" operator="equal">
      <formula>"En cours"</formula>
    </cfRule>
  </conditionalFormatting>
  <conditionalFormatting sqref="AK84">
    <cfRule type="cellIs" dxfId="8560" priority="83812" stopIfTrue="1" operator="notEqual">
      <formula>"En cours"</formula>
    </cfRule>
  </conditionalFormatting>
  <conditionalFormatting sqref="AJ89">
    <cfRule type="cellIs" dxfId="8559" priority="83833" stopIfTrue="1" operator="equal">
      <formula>"En cours"</formula>
    </cfRule>
  </conditionalFormatting>
  <conditionalFormatting sqref="AJ89">
    <cfRule type="cellIs" dxfId="8558" priority="83834" stopIfTrue="1" operator="notEqual">
      <formula>"En cours"</formula>
    </cfRule>
  </conditionalFormatting>
  <conditionalFormatting sqref="AK89">
    <cfRule type="cellIs" dxfId="8557" priority="83835" stopIfTrue="1" operator="equal">
      <formula>"En cours"</formula>
    </cfRule>
  </conditionalFormatting>
  <conditionalFormatting sqref="AK89">
    <cfRule type="cellIs" dxfId="8556" priority="83836" stopIfTrue="1" operator="notEqual">
      <formula>"En cours"</formula>
    </cfRule>
  </conditionalFormatting>
  <conditionalFormatting sqref="AJ148">
    <cfRule type="cellIs" dxfId="8555" priority="83845" stopIfTrue="1" operator="equal">
      <formula>"En cours"</formula>
    </cfRule>
  </conditionalFormatting>
  <conditionalFormatting sqref="AJ148">
    <cfRule type="cellIs" dxfId="8554" priority="83846" stopIfTrue="1" operator="notEqual">
      <formula>"En cours"</formula>
    </cfRule>
  </conditionalFormatting>
  <conditionalFormatting sqref="AK148">
    <cfRule type="cellIs" dxfId="8553" priority="83847" stopIfTrue="1" operator="equal">
      <formula>"En cours"</formula>
    </cfRule>
  </conditionalFormatting>
  <conditionalFormatting sqref="AK148">
    <cfRule type="cellIs" dxfId="8552" priority="83848" stopIfTrue="1" operator="notEqual">
      <formula>"En cours"</formula>
    </cfRule>
  </conditionalFormatting>
  <conditionalFormatting sqref="AJ96">
    <cfRule type="cellIs" dxfId="8551" priority="83865" stopIfTrue="1" operator="equal">
      <formula>"En cours"</formula>
    </cfRule>
  </conditionalFormatting>
  <conditionalFormatting sqref="AJ96">
    <cfRule type="cellIs" dxfId="8550" priority="83866" stopIfTrue="1" operator="notEqual">
      <formula>"En cours"</formula>
    </cfRule>
  </conditionalFormatting>
  <conditionalFormatting sqref="AK96">
    <cfRule type="cellIs" dxfId="8549" priority="83867" stopIfTrue="1" operator="equal">
      <formula>"En cours"</formula>
    </cfRule>
  </conditionalFormatting>
  <conditionalFormatting sqref="AK96">
    <cfRule type="cellIs" dxfId="8548" priority="83868" stopIfTrue="1" operator="notEqual">
      <formula>"En cours"</formula>
    </cfRule>
  </conditionalFormatting>
  <conditionalFormatting sqref="AJ101">
    <cfRule type="cellIs" dxfId="8547" priority="83885" stopIfTrue="1" operator="equal">
      <formula>"En cours"</formula>
    </cfRule>
  </conditionalFormatting>
  <conditionalFormatting sqref="AJ101">
    <cfRule type="cellIs" dxfId="8546" priority="83886" stopIfTrue="1" operator="notEqual">
      <formula>"En cours"</formula>
    </cfRule>
  </conditionalFormatting>
  <conditionalFormatting sqref="AK101">
    <cfRule type="cellIs" dxfId="8545" priority="83887" stopIfTrue="1" operator="equal">
      <formula>"En cours"</formula>
    </cfRule>
  </conditionalFormatting>
  <conditionalFormatting sqref="AK101">
    <cfRule type="cellIs" dxfId="8544" priority="83888" stopIfTrue="1" operator="notEqual">
      <formula>"En cours"</formula>
    </cfRule>
  </conditionalFormatting>
  <conditionalFormatting sqref="AJ114">
    <cfRule type="cellIs" dxfId="8543" priority="83893" stopIfTrue="1" operator="equal">
      <formula>"En cours"</formula>
    </cfRule>
  </conditionalFormatting>
  <conditionalFormatting sqref="AJ114">
    <cfRule type="cellIs" dxfId="8542" priority="83894" stopIfTrue="1" operator="notEqual">
      <formula>"En cours"</formula>
    </cfRule>
  </conditionalFormatting>
  <conditionalFormatting sqref="AK114">
    <cfRule type="cellIs" dxfId="8541" priority="83895" stopIfTrue="1" operator="equal">
      <formula>"En cours"</formula>
    </cfRule>
  </conditionalFormatting>
  <conditionalFormatting sqref="AK114">
    <cfRule type="cellIs" dxfId="8540" priority="83896" stopIfTrue="1" operator="notEqual">
      <formula>"En cours"</formula>
    </cfRule>
  </conditionalFormatting>
  <conditionalFormatting sqref="AJ116">
    <cfRule type="cellIs" dxfId="8539" priority="83905" stopIfTrue="1" operator="equal">
      <formula>"En cours"</formula>
    </cfRule>
  </conditionalFormatting>
  <conditionalFormatting sqref="AJ116">
    <cfRule type="cellIs" dxfId="8538" priority="83906" stopIfTrue="1" operator="notEqual">
      <formula>"En cours"</formula>
    </cfRule>
  </conditionalFormatting>
  <conditionalFormatting sqref="AK116">
    <cfRule type="cellIs" dxfId="8537" priority="83907" stopIfTrue="1" operator="equal">
      <formula>"En cours"</formula>
    </cfRule>
  </conditionalFormatting>
  <conditionalFormatting sqref="AK116">
    <cfRule type="cellIs" dxfId="8536" priority="83908" stopIfTrue="1" operator="notEqual">
      <formula>"En cours"</formula>
    </cfRule>
  </conditionalFormatting>
  <conditionalFormatting sqref="AJ159">
    <cfRule type="cellIs" dxfId="8535" priority="83917" stopIfTrue="1" operator="equal">
      <formula>"En cours"</formula>
    </cfRule>
  </conditionalFormatting>
  <conditionalFormatting sqref="AJ159">
    <cfRule type="cellIs" dxfId="8534" priority="83918" stopIfTrue="1" operator="notEqual">
      <formula>"En cours"</formula>
    </cfRule>
  </conditionalFormatting>
  <conditionalFormatting sqref="AK159">
    <cfRule type="cellIs" dxfId="8533" priority="83919" stopIfTrue="1" operator="equal">
      <formula>"En cours"</formula>
    </cfRule>
  </conditionalFormatting>
  <conditionalFormatting sqref="AK159">
    <cfRule type="cellIs" dxfId="8532" priority="83920" stopIfTrue="1" operator="notEqual">
      <formula>"En cours"</formula>
    </cfRule>
  </conditionalFormatting>
  <conditionalFormatting sqref="AJ160">
    <cfRule type="cellIs" dxfId="8527" priority="83949" stopIfTrue="1" operator="equal">
      <formula>"En cours"</formula>
    </cfRule>
  </conditionalFormatting>
  <conditionalFormatting sqref="AJ160">
    <cfRule type="cellIs" dxfId="8526" priority="83950" stopIfTrue="1" operator="notEqual">
      <formula>"En cours"</formula>
    </cfRule>
  </conditionalFormatting>
  <conditionalFormatting sqref="AK160">
    <cfRule type="cellIs" dxfId="8525" priority="83951" stopIfTrue="1" operator="equal">
      <formula>"En cours"</formula>
    </cfRule>
  </conditionalFormatting>
  <conditionalFormatting sqref="AK160">
    <cfRule type="cellIs" dxfId="8524" priority="83952" stopIfTrue="1" operator="notEqual">
      <formula>"En cours"</formula>
    </cfRule>
  </conditionalFormatting>
  <conditionalFormatting sqref="AJ165">
    <cfRule type="cellIs" dxfId="8507" priority="84357" stopIfTrue="1" operator="equal">
      <formula>"En cours"</formula>
    </cfRule>
  </conditionalFormatting>
  <conditionalFormatting sqref="AJ165">
    <cfRule type="cellIs" dxfId="8506" priority="84358" stopIfTrue="1" operator="notEqual">
      <formula>"En cours"</formula>
    </cfRule>
  </conditionalFormatting>
  <conditionalFormatting sqref="AK165">
    <cfRule type="cellIs" dxfId="8505" priority="84359" stopIfTrue="1" operator="equal">
      <formula>"En cours"</formula>
    </cfRule>
  </conditionalFormatting>
  <conditionalFormatting sqref="AK165">
    <cfRule type="cellIs" dxfId="8504" priority="84360" stopIfTrue="1" operator="notEqual">
      <formula>"En cours"</formula>
    </cfRule>
  </conditionalFormatting>
  <conditionalFormatting sqref="AJ166">
    <cfRule type="cellIs" dxfId="8495" priority="84369" stopIfTrue="1" operator="equal">
      <formula>"En cours"</formula>
    </cfRule>
  </conditionalFormatting>
  <conditionalFormatting sqref="AJ166">
    <cfRule type="cellIs" dxfId="8494" priority="84370" stopIfTrue="1" operator="notEqual">
      <formula>"En cours"</formula>
    </cfRule>
  </conditionalFormatting>
  <conditionalFormatting sqref="AK166">
    <cfRule type="cellIs" dxfId="8493" priority="84371" stopIfTrue="1" operator="equal">
      <formula>"En cours"</formula>
    </cfRule>
  </conditionalFormatting>
  <conditionalFormatting sqref="AK166">
    <cfRule type="cellIs" dxfId="8492" priority="84372" stopIfTrue="1" operator="notEqual">
      <formula>"En cours"</formula>
    </cfRule>
  </conditionalFormatting>
  <conditionalFormatting sqref="AJ172">
    <cfRule type="cellIs" dxfId="8491" priority="84373" stopIfTrue="1" operator="equal">
      <formula>"En cours"</formula>
    </cfRule>
  </conditionalFormatting>
  <conditionalFormatting sqref="AJ172">
    <cfRule type="cellIs" dxfId="8490" priority="84374" stopIfTrue="1" operator="notEqual">
      <formula>"En cours"</formula>
    </cfRule>
  </conditionalFormatting>
  <conditionalFormatting sqref="AK172">
    <cfRule type="cellIs" dxfId="8489" priority="84375" stopIfTrue="1" operator="equal">
      <formula>"En cours"</formula>
    </cfRule>
  </conditionalFormatting>
  <conditionalFormatting sqref="AK172">
    <cfRule type="cellIs" dxfId="8488" priority="84376" stopIfTrue="1" operator="notEqual">
      <formula>"En cours"</formula>
    </cfRule>
  </conditionalFormatting>
  <conditionalFormatting sqref="AJ173">
    <cfRule type="cellIs" dxfId="8487" priority="84377" stopIfTrue="1" operator="equal">
      <formula>"En cours"</formula>
    </cfRule>
  </conditionalFormatting>
  <conditionalFormatting sqref="AJ173">
    <cfRule type="cellIs" dxfId="8486" priority="84378" stopIfTrue="1" operator="notEqual">
      <formula>"En cours"</formula>
    </cfRule>
  </conditionalFormatting>
  <conditionalFormatting sqref="AK173">
    <cfRule type="cellIs" dxfId="8485" priority="84379" stopIfTrue="1" operator="equal">
      <formula>"En cours"</formula>
    </cfRule>
  </conditionalFormatting>
  <conditionalFormatting sqref="AK173">
    <cfRule type="cellIs" dxfId="8484" priority="84380" stopIfTrue="1" operator="notEqual">
      <formula>"En cours"</formula>
    </cfRule>
  </conditionalFormatting>
  <conditionalFormatting sqref="AJ177">
    <cfRule type="cellIs" dxfId="8471" priority="84393" stopIfTrue="1" operator="equal">
      <formula>"En cours"</formula>
    </cfRule>
  </conditionalFormatting>
  <conditionalFormatting sqref="AJ177">
    <cfRule type="cellIs" dxfId="8470" priority="84394" stopIfTrue="1" operator="notEqual">
      <formula>"En cours"</formula>
    </cfRule>
  </conditionalFormatting>
  <conditionalFormatting sqref="AK177">
    <cfRule type="cellIs" dxfId="8469" priority="84395" stopIfTrue="1" operator="equal">
      <formula>"En cours"</formula>
    </cfRule>
  </conditionalFormatting>
  <conditionalFormatting sqref="AK177">
    <cfRule type="cellIs" dxfId="8468" priority="84396" stopIfTrue="1" operator="notEqual">
      <formula>"En cours"</formula>
    </cfRule>
  </conditionalFormatting>
  <conditionalFormatting sqref="AJ174">
    <cfRule type="cellIs" dxfId="8451" priority="84413" stopIfTrue="1" operator="equal">
      <formula>"En cours"</formula>
    </cfRule>
  </conditionalFormatting>
  <conditionalFormatting sqref="AJ174">
    <cfRule type="cellIs" dxfId="8450" priority="84414" stopIfTrue="1" operator="notEqual">
      <formula>"En cours"</formula>
    </cfRule>
  </conditionalFormatting>
  <conditionalFormatting sqref="AK174">
    <cfRule type="cellIs" dxfId="8449" priority="84415" stopIfTrue="1" operator="equal">
      <formula>"En cours"</formula>
    </cfRule>
  </conditionalFormatting>
  <conditionalFormatting sqref="AK174">
    <cfRule type="cellIs" dxfId="8448" priority="84416" stopIfTrue="1" operator="notEqual">
      <formula>"En cours"</formula>
    </cfRule>
  </conditionalFormatting>
  <conditionalFormatting sqref="AJ86">
    <cfRule type="cellIs" dxfId="8447" priority="84417" stopIfTrue="1" operator="equal">
      <formula>"En cours"</formula>
    </cfRule>
  </conditionalFormatting>
  <conditionalFormatting sqref="AJ86">
    <cfRule type="cellIs" dxfId="8446" priority="84418" stopIfTrue="1" operator="notEqual">
      <formula>"En cours"</formula>
    </cfRule>
  </conditionalFormatting>
  <conditionalFormatting sqref="AK86">
    <cfRule type="cellIs" dxfId="8445" priority="84419" stopIfTrue="1" operator="equal">
      <formula>"En cours"</formula>
    </cfRule>
  </conditionalFormatting>
  <conditionalFormatting sqref="AK86">
    <cfRule type="cellIs" dxfId="8444" priority="84420" stopIfTrue="1" operator="notEqual">
      <formula>"En cours"</formula>
    </cfRule>
  </conditionalFormatting>
  <conditionalFormatting sqref="AJ146">
    <cfRule type="cellIs" dxfId="8443" priority="84421" stopIfTrue="1" operator="equal">
      <formula>"En cours"</formula>
    </cfRule>
  </conditionalFormatting>
  <conditionalFormatting sqref="AJ146">
    <cfRule type="cellIs" dxfId="8442" priority="84422" stopIfTrue="1" operator="notEqual">
      <formula>"En cours"</formula>
    </cfRule>
  </conditionalFormatting>
  <conditionalFormatting sqref="AK146">
    <cfRule type="cellIs" dxfId="8441" priority="84423" stopIfTrue="1" operator="equal">
      <formula>"En cours"</formula>
    </cfRule>
  </conditionalFormatting>
  <conditionalFormatting sqref="AK146">
    <cfRule type="cellIs" dxfId="8440" priority="84424" stopIfTrue="1" operator="notEqual">
      <formula>"En cours"</formula>
    </cfRule>
  </conditionalFormatting>
  <conditionalFormatting sqref="AJ87">
    <cfRule type="cellIs" dxfId="8435" priority="84429" stopIfTrue="1" operator="equal">
      <formula>"En cours"</formula>
    </cfRule>
  </conditionalFormatting>
  <conditionalFormatting sqref="AJ87">
    <cfRule type="cellIs" dxfId="8434" priority="84430" stopIfTrue="1" operator="notEqual">
      <formula>"En cours"</formula>
    </cfRule>
  </conditionalFormatting>
  <conditionalFormatting sqref="AK87">
    <cfRule type="cellIs" dxfId="8433" priority="84431" stopIfTrue="1" operator="equal">
      <formula>"En cours"</formula>
    </cfRule>
  </conditionalFormatting>
  <conditionalFormatting sqref="AK87">
    <cfRule type="cellIs" dxfId="8432" priority="84432" stopIfTrue="1" operator="notEqual">
      <formula>"En cours"</formula>
    </cfRule>
  </conditionalFormatting>
  <conditionalFormatting sqref="AJ168">
    <cfRule type="cellIs" dxfId="8427" priority="84437" stopIfTrue="1" operator="equal">
      <formula>"En cours"</formula>
    </cfRule>
  </conditionalFormatting>
  <conditionalFormatting sqref="AJ168">
    <cfRule type="cellIs" dxfId="8426" priority="84438" stopIfTrue="1" operator="notEqual">
      <formula>"En cours"</formula>
    </cfRule>
  </conditionalFormatting>
  <conditionalFormatting sqref="AK168">
    <cfRule type="cellIs" dxfId="8425" priority="84439" stopIfTrue="1" operator="equal">
      <formula>"En cours"</formula>
    </cfRule>
  </conditionalFormatting>
  <conditionalFormatting sqref="AK168">
    <cfRule type="cellIs" dxfId="8424" priority="84440" stopIfTrue="1" operator="notEqual">
      <formula>"En cours"</formula>
    </cfRule>
  </conditionalFormatting>
  <conditionalFormatting sqref="AJ144">
    <cfRule type="cellIs" dxfId="8415" priority="84449" stopIfTrue="1" operator="equal">
      <formula>"En cours"</formula>
    </cfRule>
  </conditionalFormatting>
  <conditionalFormatting sqref="AJ144">
    <cfRule type="cellIs" dxfId="8414" priority="84450" stopIfTrue="1" operator="notEqual">
      <formula>"En cours"</formula>
    </cfRule>
  </conditionalFormatting>
  <conditionalFormatting sqref="AK144">
    <cfRule type="cellIs" dxfId="8413" priority="84451" stopIfTrue="1" operator="equal">
      <formula>"En cours"</formula>
    </cfRule>
  </conditionalFormatting>
  <conditionalFormatting sqref="AK144">
    <cfRule type="cellIs" dxfId="8412" priority="84452" stopIfTrue="1" operator="notEqual">
      <formula>"En cours"</formula>
    </cfRule>
  </conditionalFormatting>
  <conditionalFormatting sqref="AJ99">
    <cfRule type="cellIs" dxfId="8407" priority="84457" stopIfTrue="1" operator="equal">
      <formula>"En cours"</formula>
    </cfRule>
  </conditionalFormatting>
  <conditionalFormatting sqref="AJ99">
    <cfRule type="cellIs" dxfId="8406" priority="84458" stopIfTrue="1" operator="notEqual">
      <formula>"En cours"</formula>
    </cfRule>
  </conditionalFormatting>
  <conditionalFormatting sqref="AK99">
    <cfRule type="cellIs" dxfId="8405" priority="84459" stopIfTrue="1" operator="equal">
      <formula>"En cours"</formula>
    </cfRule>
  </conditionalFormatting>
  <conditionalFormatting sqref="AK99">
    <cfRule type="cellIs" dxfId="8404" priority="84460" stopIfTrue="1" operator="notEqual">
      <formula>"En cours"</formula>
    </cfRule>
  </conditionalFormatting>
  <conditionalFormatting sqref="AJ90">
    <cfRule type="cellIs" dxfId="8403" priority="84461" stopIfTrue="1" operator="equal">
      <formula>"En cours"</formula>
    </cfRule>
  </conditionalFormatting>
  <conditionalFormatting sqref="AJ90">
    <cfRule type="cellIs" dxfId="8402" priority="84462" stopIfTrue="1" operator="notEqual">
      <formula>"En cours"</formula>
    </cfRule>
  </conditionalFormatting>
  <conditionalFormatting sqref="AK90">
    <cfRule type="cellIs" dxfId="8401" priority="84463" stopIfTrue="1" operator="equal">
      <formula>"En cours"</formula>
    </cfRule>
  </conditionalFormatting>
  <conditionalFormatting sqref="AK90">
    <cfRule type="cellIs" dxfId="8400" priority="84464" stopIfTrue="1" operator="notEqual">
      <formula>"En cours"</formula>
    </cfRule>
  </conditionalFormatting>
  <conditionalFormatting sqref="AJ141">
    <cfRule type="cellIs" dxfId="8399" priority="84465" stopIfTrue="1" operator="equal">
      <formula>"En cours"</formula>
    </cfRule>
  </conditionalFormatting>
  <conditionalFormatting sqref="AJ141">
    <cfRule type="cellIs" dxfId="8398" priority="84466" stopIfTrue="1" operator="notEqual">
      <formula>"En cours"</formula>
    </cfRule>
  </conditionalFormatting>
  <conditionalFormatting sqref="AK141">
    <cfRule type="cellIs" dxfId="8397" priority="84467" stopIfTrue="1" operator="equal">
      <formula>"En cours"</formula>
    </cfRule>
  </conditionalFormatting>
  <conditionalFormatting sqref="AK141">
    <cfRule type="cellIs" dxfId="8396" priority="84468" stopIfTrue="1" operator="notEqual">
      <formula>"En cours"</formula>
    </cfRule>
  </conditionalFormatting>
  <conditionalFormatting sqref="AJ85">
    <cfRule type="cellIs" dxfId="8395" priority="84469" stopIfTrue="1" operator="equal">
      <formula>"En cours"</formula>
    </cfRule>
  </conditionalFormatting>
  <conditionalFormatting sqref="AJ85">
    <cfRule type="cellIs" dxfId="8394" priority="84470" stopIfTrue="1" operator="notEqual">
      <formula>"En cours"</formula>
    </cfRule>
  </conditionalFormatting>
  <conditionalFormatting sqref="AK85">
    <cfRule type="cellIs" dxfId="8393" priority="84471" stopIfTrue="1" operator="equal">
      <formula>"En cours"</formula>
    </cfRule>
  </conditionalFormatting>
  <conditionalFormatting sqref="AK85">
    <cfRule type="cellIs" dxfId="8392" priority="84472" stopIfTrue="1" operator="notEqual">
      <formula>"En cours"</formula>
    </cfRule>
  </conditionalFormatting>
  <conditionalFormatting sqref="AJ91">
    <cfRule type="cellIs" dxfId="8379" priority="84485" stopIfTrue="1" operator="equal">
      <formula>"En cours"</formula>
    </cfRule>
  </conditionalFormatting>
  <conditionalFormatting sqref="AJ91">
    <cfRule type="cellIs" dxfId="8378" priority="84486" stopIfTrue="1" operator="notEqual">
      <formula>"En cours"</formula>
    </cfRule>
  </conditionalFormatting>
  <conditionalFormatting sqref="AK91">
    <cfRule type="cellIs" dxfId="8377" priority="84487" stopIfTrue="1" operator="equal">
      <formula>"En cours"</formula>
    </cfRule>
  </conditionalFormatting>
  <conditionalFormatting sqref="AK91">
    <cfRule type="cellIs" dxfId="8376" priority="84488" stopIfTrue="1" operator="notEqual">
      <formula>"En cours"</formula>
    </cfRule>
  </conditionalFormatting>
  <conditionalFormatting sqref="AJ92">
    <cfRule type="cellIs" dxfId="8371" priority="84493" stopIfTrue="1" operator="equal">
      <formula>"En cours"</formula>
    </cfRule>
  </conditionalFormatting>
  <conditionalFormatting sqref="AJ92">
    <cfRule type="cellIs" dxfId="8370" priority="84494" stopIfTrue="1" operator="notEqual">
      <formula>"En cours"</formula>
    </cfRule>
  </conditionalFormatting>
  <conditionalFormatting sqref="AK92">
    <cfRule type="cellIs" dxfId="8369" priority="84495" stopIfTrue="1" operator="equal">
      <formula>"En cours"</formula>
    </cfRule>
  </conditionalFormatting>
  <conditionalFormatting sqref="AK92">
    <cfRule type="cellIs" dxfId="8368" priority="84496" stopIfTrue="1" operator="notEqual">
      <formula>"En cours"</formula>
    </cfRule>
  </conditionalFormatting>
  <conditionalFormatting sqref="AJ95">
    <cfRule type="cellIs" dxfId="8359" priority="84505" stopIfTrue="1" operator="equal">
      <formula>"En cours"</formula>
    </cfRule>
  </conditionalFormatting>
  <conditionalFormatting sqref="AJ95">
    <cfRule type="cellIs" dxfId="8358" priority="84506" stopIfTrue="1" operator="notEqual">
      <formula>"En cours"</formula>
    </cfRule>
  </conditionalFormatting>
  <conditionalFormatting sqref="AK95">
    <cfRule type="cellIs" dxfId="8357" priority="84507" stopIfTrue="1" operator="equal">
      <formula>"En cours"</formula>
    </cfRule>
  </conditionalFormatting>
  <conditionalFormatting sqref="AK95">
    <cfRule type="cellIs" dxfId="8356" priority="84508" stopIfTrue="1" operator="notEqual">
      <formula>"En cours"</formula>
    </cfRule>
  </conditionalFormatting>
  <conditionalFormatting sqref="AJ178">
    <cfRule type="cellIs" dxfId="8355" priority="84509" stopIfTrue="1" operator="equal">
      <formula>"En cours"</formula>
    </cfRule>
  </conditionalFormatting>
  <conditionalFormatting sqref="AJ178">
    <cfRule type="cellIs" dxfId="8354" priority="84510" stopIfTrue="1" operator="notEqual">
      <formula>"En cours"</formula>
    </cfRule>
  </conditionalFormatting>
  <conditionalFormatting sqref="AK178">
    <cfRule type="cellIs" dxfId="8353" priority="84511" stopIfTrue="1" operator="equal">
      <formula>"En cours"</formula>
    </cfRule>
  </conditionalFormatting>
  <conditionalFormatting sqref="AK178">
    <cfRule type="cellIs" dxfId="8352" priority="84512" stopIfTrue="1" operator="notEqual">
      <formula>"En cours"</formula>
    </cfRule>
  </conditionalFormatting>
  <conditionalFormatting sqref="AJ122">
    <cfRule type="cellIs" dxfId="8351" priority="84513" stopIfTrue="1" operator="equal">
      <formula>"En cours"</formula>
    </cfRule>
  </conditionalFormatting>
  <conditionalFormatting sqref="AJ122">
    <cfRule type="cellIs" dxfId="8350" priority="84514" stopIfTrue="1" operator="notEqual">
      <formula>"En cours"</formula>
    </cfRule>
  </conditionalFormatting>
  <conditionalFormatting sqref="AK122">
    <cfRule type="cellIs" dxfId="8349" priority="84515" stopIfTrue="1" operator="equal">
      <formula>"En cours"</formula>
    </cfRule>
  </conditionalFormatting>
  <conditionalFormatting sqref="AK122">
    <cfRule type="cellIs" dxfId="8348" priority="84516" stopIfTrue="1" operator="notEqual">
      <formula>"En cours"</formula>
    </cfRule>
  </conditionalFormatting>
  <conditionalFormatting sqref="AJ147">
    <cfRule type="cellIs" dxfId="8343" priority="84521" stopIfTrue="1" operator="equal">
      <formula>"En cours"</formula>
    </cfRule>
  </conditionalFormatting>
  <conditionalFormatting sqref="AJ147">
    <cfRule type="cellIs" dxfId="8342" priority="84522" stopIfTrue="1" operator="notEqual">
      <formula>"En cours"</formula>
    </cfRule>
  </conditionalFormatting>
  <conditionalFormatting sqref="AK147">
    <cfRule type="cellIs" dxfId="8341" priority="84523" stopIfTrue="1" operator="equal">
      <formula>"En cours"</formula>
    </cfRule>
  </conditionalFormatting>
  <conditionalFormatting sqref="AK147">
    <cfRule type="cellIs" dxfId="8340" priority="84524" stopIfTrue="1" operator="notEqual">
      <formula>"En cours"</formula>
    </cfRule>
  </conditionalFormatting>
  <conditionalFormatting sqref="AJ94">
    <cfRule type="cellIs" dxfId="8315" priority="84549" stopIfTrue="1" operator="equal">
      <formula>"En cours"</formula>
    </cfRule>
  </conditionalFormatting>
  <conditionalFormatting sqref="AJ94">
    <cfRule type="cellIs" dxfId="8314" priority="84550" stopIfTrue="1" operator="notEqual">
      <formula>"En cours"</formula>
    </cfRule>
  </conditionalFormatting>
  <conditionalFormatting sqref="AK94">
    <cfRule type="cellIs" dxfId="8313" priority="84551" stopIfTrue="1" operator="equal">
      <formula>"En cours"</formula>
    </cfRule>
  </conditionalFormatting>
  <conditionalFormatting sqref="AK94">
    <cfRule type="cellIs" dxfId="8312" priority="84552" stopIfTrue="1" operator="notEqual">
      <formula>"En cours"</formula>
    </cfRule>
  </conditionalFormatting>
  <conditionalFormatting sqref="AJ179">
    <cfRule type="cellIs" dxfId="8303" priority="84561" stopIfTrue="1" operator="equal">
      <formula>"En cours"</formula>
    </cfRule>
  </conditionalFormatting>
  <conditionalFormatting sqref="AJ179">
    <cfRule type="cellIs" dxfId="8302" priority="84562" stopIfTrue="1" operator="notEqual">
      <formula>"En cours"</formula>
    </cfRule>
  </conditionalFormatting>
  <conditionalFormatting sqref="AK179">
    <cfRule type="cellIs" dxfId="8301" priority="84563" stopIfTrue="1" operator="equal">
      <formula>"En cours"</formula>
    </cfRule>
  </conditionalFormatting>
  <conditionalFormatting sqref="AK179">
    <cfRule type="cellIs" dxfId="8300" priority="84564" stopIfTrue="1" operator="notEqual">
      <formula>"En cours"</formula>
    </cfRule>
  </conditionalFormatting>
  <conditionalFormatting sqref="AJ155">
    <cfRule type="cellIs" dxfId="8291" priority="84573" stopIfTrue="1" operator="equal">
      <formula>"En cours"</formula>
    </cfRule>
  </conditionalFormatting>
  <conditionalFormatting sqref="AJ155">
    <cfRule type="cellIs" dxfId="8290" priority="84574" stopIfTrue="1" operator="notEqual">
      <formula>"En cours"</formula>
    </cfRule>
  </conditionalFormatting>
  <conditionalFormatting sqref="AK155">
    <cfRule type="cellIs" dxfId="8289" priority="84575" stopIfTrue="1" operator="equal">
      <formula>"En cours"</formula>
    </cfRule>
  </conditionalFormatting>
  <conditionalFormatting sqref="AK155">
    <cfRule type="cellIs" dxfId="8288" priority="84576" stopIfTrue="1" operator="notEqual">
      <formula>"En cours"</formula>
    </cfRule>
  </conditionalFormatting>
  <conditionalFormatting sqref="AJ102">
    <cfRule type="cellIs" dxfId="8283" priority="84581" stopIfTrue="1" operator="equal">
      <formula>"En cours"</formula>
    </cfRule>
  </conditionalFormatting>
  <conditionalFormatting sqref="AJ102">
    <cfRule type="cellIs" dxfId="8282" priority="84582" stopIfTrue="1" operator="notEqual">
      <formula>"En cours"</formula>
    </cfRule>
  </conditionalFormatting>
  <conditionalFormatting sqref="AK102">
    <cfRule type="cellIs" dxfId="8281" priority="84583" stopIfTrue="1" operator="equal">
      <formula>"En cours"</formula>
    </cfRule>
  </conditionalFormatting>
  <conditionalFormatting sqref="AK102">
    <cfRule type="cellIs" dxfId="8280" priority="84584" stopIfTrue="1" operator="notEqual">
      <formula>"En cours"</formula>
    </cfRule>
  </conditionalFormatting>
  <conditionalFormatting sqref="AJ175">
    <cfRule type="cellIs" dxfId="8275" priority="84589" stopIfTrue="1" operator="equal">
      <formula>"En cours"</formula>
    </cfRule>
  </conditionalFormatting>
  <conditionalFormatting sqref="AJ175">
    <cfRule type="cellIs" dxfId="8274" priority="84590" stopIfTrue="1" operator="notEqual">
      <formula>"En cours"</formula>
    </cfRule>
  </conditionalFormatting>
  <conditionalFormatting sqref="AK175">
    <cfRule type="cellIs" dxfId="8273" priority="84591" stopIfTrue="1" operator="equal">
      <formula>"En cours"</formula>
    </cfRule>
  </conditionalFormatting>
  <conditionalFormatting sqref="AK175">
    <cfRule type="cellIs" dxfId="8272" priority="84592" stopIfTrue="1" operator="notEqual">
      <formula>"En cours"</formula>
    </cfRule>
  </conditionalFormatting>
  <conditionalFormatting sqref="AJ176">
    <cfRule type="cellIs" dxfId="8271" priority="84593" stopIfTrue="1" operator="equal">
      <formula>"En cours"</formula>
    </cfRule>
  </conditionalFormatting>
  <conditionalFormatting sqref="AJ176">
    <cfRule type="cellIs" dxfId="8270" priority="84594" stopIfTrue="1" operator="notEqual">
      <formula>"En cours"</formula>
    </cfRule>
  </conditionalFormatting>
  <conditionalFormatting sqref="AK176">
    <cfRule type="cellIs" dxfId="8269" priority="84595" stopIfTrue="1" operator="equal">
      <formula>"En cours"</formula>
    </cfRule>
  </conditionalFormatting>
  <conditionalFormatting sqref="AK176">
    <cfRule type="cellIs" dxfId="8268" priority="84596" stopIfTrue="1" operator="notEqual">
      <formula>"En cours"</formula>
    </cfRule>
  </conditionalFormatting>
  <conditionalFormatting sqref="AJ133">
    <cfRule type="cellIs" dxfId="8263" priority="84601" stopIfTrue="1" operator="equal">
      <formula>"En cours"</formula>
    </cfRule>
  </conditionalFormatting>
  <conditionalFormatting sqref="AJ133">
    <cfRule type="cellIs" dxfId="8262" priority="84602" stopIfTrue="1" operator="notEqual">
      <formula>"En cours"</formula>
    </cfRule>
  </conditionalFormatting>
  <conditionalFormatting sqref="AK133">
    <cfRule type="cellIs" dxfId="8261" priority="84603" stopIfTrue="1" operator="equal">
      <formula>"En cours"</formula>
    </cfRule>
  </conditionalFormatting>
  <conditionalFormatting sqref="AK133">
    <cfRule type="cellIs" dxfId="8260" priority="84604" stopIfTrue="1" operator="notEqual">
      <formula>"En cours"</formula>
    </cfRule>
  </conditionalFormatting>
  <conditionalFormatting sqref="AJ158">
    <cfRule type="cellIs" dxfId="8259" priority="84605" stopIfTrue="1" operator="equal">
      <formula>"En cours"</formula>
    </cfRule>
  </conditionalFormatting>
  <conditionalFormatting sqref="AJ158">
    <cfRule type="cellIs" dxfId="8258" priority="84606" stopIfTrue="1" operator="notEqual">
      <formula>"En cours"</formula>
    </cfRule>
  </conditionalFormatting>
  <conditionalFormatting sqref="AK158">
    <cfRule type="cellIs" dxfId="8257" priority="84607" stopIfTrue="1" operator="equal">
      <formula>"En cours"</formula>
    </cfRule>
  </conditionalFormatting>
  <conditionalFormatting sqref="AK158">
    <cfRule type="cellIs" dxfId="8256" priority="84608" stopIfTrue="1" operator="notEqual">
      <formula>"En cours"</formula>
    </cfRule>
  </conditionalFormatting>
  <conditionalFormatting sqref="AJ162">
    <cfRule type="cellIs" dxfId="8251" priority="84613" stopIfTrue="1" operator="equal">
      <formula>"En cours"</formula>
    </cfRule>
  </conditionalFormatting>
  <conditionalFormatting sqref="AJ162">
    <cfRule type="cellIs" dxfId="8250" priority="84614" stopIfTrue="1" operator="notEqual">
      <formula>"En cours"</formula>
    </cfRule>
  </conditionalFormatting>
  <conditionalFormatting sqref="AK162">
    <cfRule type="cellIs" dxfId="8249" priority="84615" stopIfTrue="1" operator="equal">
      <formula>"En cours"</formula>
    </cfRule>
  </conditionalFormatting>
  <conditionalFormatting sqref="AK162">
    <cfRule type="cellIs" dxfId="8248" priority="84616" stopIfTrue="1" operator="notEqual">
      <formula>"En cours"</formula>
    </cfRule>
  </conditionalFormatting>
  <conditionalFormatting sqref="AJ124">
    <cfRule type="cellIs" dxfId="8243" priority="84621" stopIfTrue="1" operator="equal">
      <formula>"En cours"</formula>
    </cfRule>
  </conditionalFormatting>
  <conditionalFormatting sqref="AJ124">
    <cfRule type="cellIs" dxfId="8242" priority="84622" stopIfTrue="1" operator="notEqual">
      <formula>"En cours"</formula>
    </cfRule>
  </conditionalFormatting>
  <conditionalFormatting sqref="AK124">
    <cfRule type="cellIs" dxfId="8241" priority="84623" stopIfTrue="1" operator="equal">
      <formula>"En cours"</formula>
    </cfRule>
  </conditionalFormatting>
  <conditionalFormatting sqref="AK124">
    <cfRule type="cellIs" dxfId="8240" priority="84624" stopIfTrue="1" operator="notEqual">
      <formula>"En cours"</formula>
    </cfRule>
  </conditionalFormatting>
  <conditionalFormatting sqref="AJ117">
    <cfRule type="cellIs" dxfId="8231" priority="84633" stopIfTrue="1" operator="equal">
      <formula>"En cours"</formula>
    </cfRule>
  </conditionalFormatting>
  <conditionalFormatting sqref="AJ117">
    <cfRule type="cellIs" dxfId="8230" priority="84634" stopIfTrue="1" operator="notEqual">
      <formula>"En cours"</formula>
    </cfRule>
  </conditionalFormatting>
  <conditionalFormatting sqref="AK117">
    <cfRule type="cellIs" dxfId="8229" priority="84635" stopIfTrue="1" operator="equal">
      <formula>"En cours"</formula>
    </cfRule>
  </conditionalFormatting>
  <conditionalFormatting sqref="AK117">
    <cfRule type="cellIs" dxfId="8228" priority="84636" stopIfTrue="1" operator="notEqual">
      <formula>"En cours"</formula>
    </cfRule>
  </conditionalFormatting>
  <conditionalFormatting sqref="AJ110">
    <cfRule type="cellIs" dxfId="8223" priority="84641" stopIfTrue="1" operator="equal">
      <formula>"En cours"</formula>
    </cfRule>
  </conditionalFormatting>
  <conditionalFormatting sqref="AJ110">
    <cfRule type="cellIs" dxfId="8222" priority="84642" stopIfTrue="1" operator="notEqual">
      <formula>"En cours"</formula>
    </cfRule>
  </conditionalFormatting>
  <conditionalFormatting sqref="AK110">
    <cfRule type="cellIs" dxfId="8221" priority="84643" stopIfTrue="1" operator="equal">
      <formula>"En cours"</formula>
    </cfRule>
  </conditionalFormatting>
  <conditionalFormatting sqref="AK110">
    <cfRule type="cellIs" dxfId="8220" priority="84644" stopIfTrue="1" operator="notEqual">
      <formula>"En cours"</formula>
    </cfRule>
  </conditionalFormatting>
  <conditionalFormatting sqref="AJ153">
    <cfRule type="cellIs" dxfId="8219" priority="84645" stopIfTrue="1" operator="equal">
      <formula>"En cours"</formula>
    </cfRule>
  </conditionalFormatting>
  <conditionalFormatting sqref="AJ153">
    <cfRule type="cellIs" dxfId="8218" priority="84646" stopIfTrue="1" operator="notEqual">
      <formula>"En cours"</formula>
    </cfRule>
  </conditionalFormatting>
  <conditionalFormatting sqref="AK153">
    <cfRule type="cellIs" dxfId="8217" priority="84647" stopIfTrue="1" operator="equal">
      <formula>"En cours"</formula>
    </cfRule>
  </conditionalFormatting>
  <conditionalFormatting sqref="AK153">
    <cfRule type="cellIs" dxfId="8216" priority="84648" stopIfTrue="1" operator="notEqual">
      <formula>"En cours"</formula>
    </cfRule>
  </conditionalFormatting>
  <conditionalFormatting sqref="AJ132">
    <cfRule type="cellIs" dxfId="8215" priority="84649" stopIfTrue="1" operator="equal">
      <formula>"En cours"</formula>
    </cfRule>
  </conditionalFormatting>
  <conditionalFormatting sqref="AJ132">
    <cfRule type="cellIs" dxfId="8214" priority="84650" stopIfTrue="1" operator="notEqual">
      <formula>"En cours"</formula>
    </cfRule>
  </conditionalFormatting>
  <conditionalFormatting sqref="AK132">
    <cfRule type="cellIs" dxfId="8213" priority="84651" stopIfTrue="1" operator="equal">
      <formula>"En cours"</formula>
    </cfRule>
  </conditionalFormatting>
  <conditionalFormatting sqref="AK132">
    <cfRule type="cellIs" dxfId="8212" priority="84652" stopIfTrue="1" operator="notEqual">
      <formula>"En cours"</formula>
    </cfRule>
  </conditionalFormatting>
  <conditionalFormatting sqref="AJ127">
    <cfRule type="cellIs" dxfId="8211" priority="84653" stopIfTrue="1" operator="equal">
      <formula>"En cours"</formula>
    </cfRule>
  </conditionalFormatting>
  <conditionalFormatting sqref="AJ127">
    <cfRule type="cellIs" dxfId="8210" priority="84654" stopIfTrue="1" operator="notEqual">
      <formula>"En cours"</formula>
    </cfRule>
  </conditionalFormatting>
  <conditionalFormatting sqref="AK127">
    <cfRule type="cellIs" dxfId="8209" priority="84655" stopIfTrue="1" operator="equal">
      <formula>"En cours"</formula>
    </cfRule>
  </conditionalFormatting>
  <conditionalFormatting sqref="AK127">
    <cfRule type="cellIs" dxfId="8208" priority="84656" stopIfTrue="1" operator="notEqual">
      <formula>"En cours"</formula>
    </cfRule>
  </conditionalFormatting>
  <conditionalFormatting sqref="AJ131">
    <cfRule type="cellIs" dxfId="8207" priority="84657" stopIfTrue="1" operator="equal">
      <formula>"En cours"</formula>
    </cfRule>
  </conditionalFormatting>
  <conditionalFormatting sqref="AJ131">
    <cfRule type="cellIs" dxfId="8206" priority="84658" stopIfTrue="1" operator="notEqual">
      <formula>"En cours"</formula>
    </cfRule>
  </conditionalFormatting>
  <conditionalFormatting sqref="AK131">
    <cfRule type="cellIs" dxfId="8205" priority="84659" stopIfTrue="1" operator="equal">
      <formula>"En cours"</formula>
    </cfRule>
  </conditionalFormatting>
  <conditionalFormatting sqref="AK131">
    <cfRule type="cellIs" dxfId="8204" priority="84660" stopIfTrue="1" operator="notEqual">
      <formula>"En cours"</formula>
    </cfRule>
  </conditionalFormatting>
  <conditionalFormatting sqref="AJ113">
    <cfRule type="cellIs" dxfId="8191" priority="84673" stopIfTrue="1" operator="equal">
      <formula>"En cours"</formula>
    </cfRule>
  </conditionalFormatting>
  <conditionalFormatting sqref="AJ113">
    <cfRule type="cellIs" dxfId="8190" priority="84674" stopIfTrue="1" operator="notEqual">
      <formula>"En cours"</formula>
    </cfRule>
  </conditionalFormatting>
  <conditionalFormatting sqref="AK113">
    <cfRule type="cellIs" dxfId="8189" priority="84675" stopIfTrue="1" operator="equal">
      <formula>"En cours"</formula>
    </cfRule>
  </conditionalFormatting>
  <conditionalFormatting sqref="AK113">
    <cfRule type="cellIs" dxfId="8188" priority="84676" stopIfTrue="1" operator="notEqual">
      <formula>"En cours"</formula>
    </cfRule>
  </conditionalFormatting>
  <conditionalFormatting sqref="AJ112">
    <cfRule type="cellIs" dxfId="8183" priority="84681" stopIfTrue="1" operator="equal">
      <formula>"En cours"</formula>
    </cfRule>
  </conditionalFormatting>
  <conditionalFormatting sqref="AJ112">
    <cfRule type="cellIs" dxfId="8182" priority="84682" stopIfTrue="1" operator="notEqual">
      <formula>"En cours"</formula>
    </cfRule>
  </conditionalFormatting>
  <conditionalFormatting sqref="AK112">
    <cfRule type="cellIs" dxfId="8181" priority="84683" stopIfTrue="1" operator="equal">
      <formula>"En cours"</formula>
    </cfRule>
  </conditionalFormatting>
  <conditionalFormatting sqref="AK112">
    <cfRule type="cellIs" dxfId="8180" priority="84684" stopIfTrue="1" operator="notEqual">
      <formula>"En cours"</formula>
    </cfRule>
  </conditionalFormatting>
  <conditionalFormatting sqref="AJ118">
    <cfRule type="cellIs" dxfId="8175" priority="84689" stopIfTrue="1" operator="equal">
      <formula>"En cours"</formula>
    </cfRule>
  </conditionalFormatting>
  <conditionalFormatting sqref="AJ118">
    <cfRule type="cellIs" dxfId="8174" priority="84690" stopIfTrue="1" operator="notEqual">
      <formula>"En cours"</formula>
    </cfRule>
  </conditionalFormatting>
  <conditionalFormatting sqref="AK118">
    <cfRule type="cellIs" dxfId="8173" priority="84691" stopIfTrue="1" operator="equal">
      <formula>"En cours"</formula>
    </cfRule>
  </conditionalFormatting>
  <conditionalFormatting sqref="AK118">
    <cfRule type="cellIs" dxfId="8172" priority="84692" stopIfTrue="1" operator="notEqual">
      <formula>"En cours"</formula>
    </cfRule>
  </conditionalFormatting>
  <conditionalFormatting sqref="AJ180">
    <cfRule type="cellIs" dxfId="8159" priority="84705" stopIfTrue="1" operator="equal">
      <formula>"En cours"</formula>
    </cfRule>
  </conditionalFormatting>
  <conditionalFormatting sqref="AJ180">
    <cfRule type="cellIs" dxfId="8158" priority="84706" stopIfTrue="1" operator="notEqual">
      <formula>"En cours"</formula>
    </cfRule>
  </conditionalFormatting>
  <conditionalFormatting sqref="AK180">
    <cfRule type="cellIs" dxfId="8157" priority="84707" stopIfTrue="1" operator="equal">
      <formula>"En cours"</formula>
    </cfRule>
  </conditionalFormatting>
  <conditionalFormatting sqref="AK180">
    <cfRule type="cellIs" dxfId="8156" priority="84708" stopIfTrue="1" operator="notEqual">
      <formula>"En cours"</formula>
    </cfRule>
  </conditionalFormatting>
  <conditionalFormatting sqref="AJ108">
    <cfRule type="cellIs" dxfId="8151" priority="84713" stopIfTrue="1" operator="equal">
      <formula>"En cours"</formula>
    </cfRule>
  </conditionalFormatting>
  <conditionalFormatting sqref="AJ108">
    <cfRule type="cellIs" dxfId="8150" priority="84714" stopIfTrue="1" operator="notEqual">
      <formula>"En cours"</formula>
    </cfRule>
  </conditionalFormatting>
  <conditionalFormatting sqref="AK108">
    <cfRule type="cellIs" dxfId="8149" priority="84715" stopIfTrue="1" operator="equal">
      <formula>"En cours"</formula>
    </cfRule>
  </conditionalFormatting>
  <conditionalFormatting sqref="AK108">
    <cfRule type="cellIs" dxfId="8148" priority="84716" stopIfTrue="1" operator="notEqual">
      <formula>"En cours"</formula>
    </cfRule>
  </conditionalFormatting>
  <conditionalFormatting sqref="AJ130">
    <cfRule type="cellIs" dxfId="8147" priority="84717" stopIfTrue="1" operator="equal">
      <formula>"En cours"</formula>
    </cfRule>
  </conditionalFormatting>
  <conditionalFormatting sqref="AJ130">
    <cfRule type="cellIs" dxfId="8146" priority="84718" stopIfTrue="1" operator="notEqual">
      <formula>"En cours"</formula>
    </cfRule>
  </conditionalFormatting>
  <conditionalFormatting sqref="AK130">
    <cfRule type="cellIs" dxfId="8145" priority="84719" stopIfTrue="1" operator="equal">
      <formula>"En cours"</formula>
    </cfRule>
  </conditionalFormatting>
  <conditionalFormatting sqref="AK130">
    <cfRule type="cellIs" dxfId="8144" priority="84720" stopIfTrue="1" operator="notEqual">
      <formula>"En cours"</formula>
    </cfRule>
  </conditionalFormatting>
  <conditionalFormatting sqref="AJ135">
    <cfRule type="cellIs" dxfId="8143" priority="84721" stopIfTrue="1" operator="equal">
      <formula>"En cours"</formula>
    </cfRule>
  </conditionalFormatting>
  <conditionalFormatting sqref="AJ135">
    <cfRule type="cellIs" dxfId="8142" priority="84722" stopIfTrue="1" operator="notEqual">
      <formula>"En cours"</formula>
    </cfRule>
  </conditionalFormatting>
  <conditionalFormatting sqref="AK135">
    <cfRule type="cellIs" dxfId="8141" priority="84723" stopIfTrue="1" operator="equal">
      <formula>"En cours"</formula>
    </cfRule>
  </conditionalFormatting>
  <conditionalFormatting sqref="AK135">
    <cfRule type="cellIs" dxfId="8140" priority="84724" stopIfTrue="1" operator="notEqual">
      <formula>"En cours"</formula>
    </cfRule>
  </conditionalFormatting>
  <conditionalFormatting sqref="AJ78">
    <cfRule type="cellIs" dxfId="2223" priority="90641" stopIfTrue="1" operator="equal">
      <formula>"En cours"</formula>
    </cfRule>
  </conditionalFormatting>
  <conditionalFormatting sqref="AJ78">
    <cfRule type="cellIs" dxfId="2222" priority="90642" stopIfTrue="1" operator="notEqual">
      <formula>"En cours"</formula>
    </cfRule>
  </conditionalFormatting>
  <conditionalFormatting sqref="AK78">
    <cfRule type="cellIs" dxfId="2221" priority="90643" stopIfTrue="1" operator="equal">
      <formula>"En cours"</formula>
    </cfRule>
  </conditionalFormatting>
  <conditionalFormatting sqref="AK78">
    <cfRule type="cellIs" dxfId="2220" priority="90644" stopIfTrue="1" operator="notEqual">
      <formula>"En cours"</formula>
    </cfRule>
  </conditionalFormatting>
  <conditionalFormatting sqref="AJ4">
    <cfRule type="cellIs" dxfId="1923" priority="90941" stopIfTrue="1" operator="equal">
      <formula>"En cours"</formula>
    </cfRule>
  </conditionalFormatting>
  <conditionalFormatting sqref="AJ4">
    <cfRule type="cellIs" dxfId="1922" priority="90942" stopIfTrue="1" operator="notEqual">
      <formula>"En cours"</formula>
    </cfRule>
  </conditionalFormatting>
  <conditionalFormatting sqref="AK4">
    <cfRule type="cellIs" dxfId="1921" priority="90943" stopIfTrue="1" operator="equal">
      <formula>"En cours"</formula>
    </cfRule>
  </conditionalFormatting>
  <conditionalFormatting sqref="AK4">
    <cfRule type="cellIs" dxfId="1920" priority="90944" stopIfTrue="1" operator="notEqual">
      <formula>"En cours"</formula>
    </cfRule>
  </conditionalFormatting>
  <conditionalFormatting sqref="AJ7">
    <cfRule type="cellIs" dxfId="1919" priority="90945" stopIfTrue="1" operator="equal">
      <formula>"En cours"</formula>
    </cfRule>
  </conditionalFormatting>
  <conditionalFormatting sqref="AJ7">
    <cfRule type="cellIs" dxfId="1918" priority="90946" stopIfTrue="1" operator="notEqual">
      <formula>"En cours"</formula>
    </cfRule>
  </conditionalFormatting>
  <conditionalFormatting sqref="AK7">
    <cfRule type="cellIs" dxfId="1917" priority="90947" stopIfTrue="1" operator="equal">
      <formula>"En cours"</formula>
    </cfRule>
  </conditionalFormatting>
  <conditionalFormatting sqref="AK7">
    <cfRule type="cellIs" dxfId="1916" priority="90948" stopIfTrue="1" operator="notEqual">
      <formula>"En cours"</formula>
    </cfRule>
  </conditionalFormatting>
  <conditionalFormatting sqref="AJ10">
    <cfRule type="cellIs" dxfId="1915" priority="90949" stopIfTrue="1" operator="equal">
      <formula>"En cours"</formula>
    </cfRule>
  </conditionalFormatting>
  <conditionalFormatting sqref="AJ10">
    <cfRule type="cellIs" dxfId="1914" priority="90950" stopIfTrue="1" operator="notEqual">
      <formula>"En cours"</formula>
    </cfRule>
  </conditionalFormatting>
  <conditionalFormatting sqref="AK10">
    <cfRule type="cellIs" dxfId="1913" priority="90951" stopIfTrue="1" operator="equal">
      <formula>"En cours"</formula>
    </cfRule>
  </conditionalFormatting>
  <conditionalFormatting sqref="AK10">
    <cfRule type="cellIs" dxfId="1912" priority="90952" stopIfTrue="1" operator="notEqual">
      <formula>"En cours"</formula>
    </cfRule>
  </conditionalFormatting>
  <conditionalFormatting sqref="AJ8">
    <cfRule type="cellIs" dxfId="1911" priority="90953" stopIfTrue="1" operator="equal">
      <formula>"En cours"</formula>
    </cfRule>
  </conditionalFormatting>
  <conditionalFormatting sqref="AJ8">
    <cfRule type="cellIs" dxfId="1910" priority="90954" stopIfTrue="1" operator="notEqual">
      <formula>"En cours"</formula>
    </cfRule>
  </conditionalFormatting>
  <conditionalFormatting sqref="AK8">
    <cfRule type="cellIs" dxfId="1909" priority="90955" stopIfTrue="1" operator="equal">
      <formula>"En cours"</formula>
    </cfRule>
  </conditionalFormatting>
  <conditionalFormatting sqref="AK8">
    <cfRule type="cellIs" dxfId="1908" priority="90956" stopIfTrue="1" operator="notEqual">
      <formula>"En cours"</formula>
    </cfRule>
  </conditionalFormatting>
  <conditionalFormatting sqref="AJ5">
    <cfRule type="cellIs" dxfId="1907" priority="90957" stopIfTrue="1" operator="equal">
      <formula>"En cours"</formula>
    </cfRule>
  </conditionalFormatting>
  <conditionalFormatting sqref="AJ5">
    <cfRule type="cellIs" dxfId="1906" priority="90958" stopIfTrue="1" operator="notEqual">
      <formula>"En cours"</formula>
    </cfRule>
  </conditionalFormatting>
  <conditionalFormatting sqref="AK5">
    <cfRule type="cellIs" dxfId="1905" priority="90959" stopIfTrue="1" operator="equal">
      <formula>"En cours"</formula>
    </cfRule>
  </conditionalFormatting>
  <conditionalFormatting sqref="AK5">
    <cfRule type="cellIs" dxfId="1904" priority="90960" stopIfTrue="1" operator="notEqual">
      <formula>"En cours"</formula>
    </cfRule>
  </conditionalFormatting>
  <conditionalFormatting sqref="AJ6">
    <cfRule type="cellIs" dxfId="1903" priority="90961" stopIfTrue="1" operator="equal">
      <formula>"En cours"</formula>
    </cfRule>
  </conditionalFormatting>
  <conditionalFormatting sqref="AJ6">
    <cfRule type="cellIs" dxfId="1902" priority="90962" stopIfTrue="1" operator="notEqual">
      <formula>"En cours"</formula>
    </cfRule>
  </conditionalFormatting>
  <conditionalFormatting sqref="AK6">
    <cfRule type="cellIs" dxfId="1901" priority="90963" stopIfTrue="1" operator="equal">
      <formula>"En cours"</formula>
    </cfRule>
  </conditionalFormatting>
  <conditionalFormatting sqref="AK6">
    <cfRule type="cellIs" dxfId="1900" priority="90964" stopIfTrue="1" operator="notEqual">
      <formula>"En cours"</formula>
    </cfRule>
  </conditionalFormatting>
  <conditionalFormatting sqref="AJ20">
    <cfRule type="cellIs" dxfId="1899" priority="90965" stopIfTrue="1" operator="equal">
      <formula>"En cours"</formula>
    </cfRule>
  </conditionalFormatting>
  <conditionalFormatting sqref="AJ20">
    <cfRule type="cellIs" dxfId="1898" priority="90966" stopIfTrue="1" operator="notEqual">
      <formula>"En cours"</formula>
    </cfRule>
  </conditionalFormatting>
  <conditionalFormatting sqref="AK20">
    <cfRule type="cellIs" dxfId="1897" priority="90967" stopIfTrue="1" operator="equal">
      <formula>"En cours"</formula>
    </cfRule>
  </conditionalFormatting>
  <conditionalFormatting sqref="AK20">
    <cfRule type="cellIs" dxfId="1896" priority="90968" stopIfTrue="1" operator="notEqual">
      <formula>"En cours"</formula>
    </cfRule>
  </conditionalFormatting>
  <conditionalFormatting sqref="AJ12">
    <cfRule type="cellIs" dxfId="1895" priority="90969" stopIfTrue="1" operator="equal">
      <formula>"En cours"</formula>
    </cfRule>
  </conditionalFormatting>
  <conditionalFormatting sqref="AJ12">
    <cfRule type="cellIs" dxfId="1894" priority="90970" stopIfTrue="1" operator="notEqual">
      <formula>"En cours"</formula>
    </cfRule>
  </conditionalFormatting>
  <conditionalFormatting sqref="AK12">
    <cfRule type="cellIs" dxfId="1893" priority="90971" stopIfTrue="1" operator="equal">
      <formula>"En cours"</formula>
    </cfRule>
  </conditionalFormatting>
  <conditionalFormatting sqref="AK12">
    <cfRule type="cellIs" dxfId="1892" priority="90972" stopIfTrue="1" operator="notEqual">
      <formula>"En cours"</formula>
    </cfRule>
  </conditionalFormatting>
  <conditionalFormatting sqref="AJ9">
    <cfRule type="cellIs" dxfId="1891" priority="90973" stopIfTrue="1" operator="equal">
      <formula>"En cours"</formula>
    </cfRule>
  </conditionalFormatting>
  <conditionalFormatting sqref="AJ9">
    <cfRule type="cellIs" dxfId="1890" priority="90974" stopIfTrue="1" operator="notEqual">
      <formula>"En cours"</formula>
    </cfRule>
  </conditionalFormatting>
  <conditionalFormatting sqref="AK9">
    <cfRule type="cellIs" dxfId="1889" priority="90975" stopIfTrue="1" operator="equal">
      <formula>"En cours"</formula>
    </cfRule>
  </conditionalFormatting>
  <conditionalFormatting sqref="AK9">
    <cfRule type="cellIs" dxfId="1888" priority="90976" stopIfTrue="1" operator="notEqual">
      <formula>"En cours"</formula>
    </cfRule>
  </conditionalFormatting>
  <conditionalFormatting sqref="AJ16">
    <cfRule type="cellIs" dxfId="1887" priority="90977" stopIfTrue="1" operator="equal">
      <formula>"En cours"</formula>
    </cfRule>
  </conditionalFormatting>
  <conditionalFormatting sqref="AJ16">
    <cfRule type="cellIs" dxfId="1886" priority="90978" stopIfTrue="1" operator="notEqual">
      <formula>"En cours"</formula>
    </cfRule>
  </conditionalFormatting>
  <conditionalFormatting sqref="AK16">
    <cfRule type="cellIs" dxfId="1885" priority="90979" stopIfTrue="1" operator="equal">
      <formula>"En cours"</formula>
    </cfRule>
  </conditionalFormatting>
  <conditionalFormatting sqref="AK16">
    <cfRule type="cellIs" dxfId="1884" priority="90980" stopIfTrue="1" operator="notEqual">
      <formula>"En cours"</formula>
    </cfRule>
  </conditionalFormatting>
  <conditionalFormatting sqref="AJ11">
    <cfRule type="cellIs" dxfId="1883" priority="90981" stopIfTrue="1" operator="equal">
      <formula>"En cours"</formula>
    </cfRule>
  </conditionalFormatting>
  <conditionalFormatting sqref="AJ11">
    <cfRule type="cellIs" dxfId="1882" priority="90982" stopIfTrue="1" operator="notEqual">
      <formula>"En cours"</formula>
    </cfRule>
  </conditionalFormatting>
  <conditionalFormatting sqref="AK11">
    <cfRule type="cellIs" dxfId="1881" priority="90983" stopIfTrue="1" operator="equal">
      <formula>"En cours"</formula>
    </cfRule>
  </conditionalFormatting>
  <conditionalFormatting sqref="AK11">
    <cfRule type="cellIs" dxfId="1880" priority="90984" stopIfTrue="1" operator="notEqual">
      <formula>"En cours"</formula>
    </cfRule>
  </conditionalFormatting>
  <conditionalFormatting sqref="AJ15">
    <cfRule type="cellIs" dxfId="1879" priority="90985" stopIfTrue="1" operator="equal">
      <formula>"En cours"</formula>
    </cfRule>
  </conditionalFormatting>
  <conditionalFormatting sqref="AJ15">
    <cfRule type="cellIs" dxfId="1878" priority="90986" stopIfTrue="1" operator="notEqual">
      <formula>"En cours"</formula>
    </cfRule>
  </conditionalFormatting>
  <conditionalFormatting sqref="AK15">
    <cfRule type="cellIs" dxfId="1877" priority="90987" stopIfTrue="1" operator="equal">
      <formula>"En cours"</formula>
    </cfRule>
  </conditionalFormatting>
  <conditionalFormatting sqref="AK15">
    <cfRule type="cellIs" dxfId="1876" priority="90988" stopIfTrue="1" operator="notEqual">
      <formula>"En cours"</formula>
    </cfRule>
  </conditionalFormatting>
  <conditionalFormatting sqref="AJ13">
    <cfRule type="cellIs" dxfId="1875" priority="90989" stopIfTrue="1" operator="equal">
      <formula>"En cours"</formula>
    </cfRule>
  </conditionalFormatting>
  <conditionalFormatting sqref="AJ13">
    <cfRule type="cellIs" dxfId="1874" priority="90990" stopIfTrue="1" operator="notEqual">
      <formula>"En cours"</formula>
    </cfRule>
  </conditionalFormatting>
  <conditionalFormatting sqref="AK13">
    <cfRule type="cellIs" dxfId="1873" priority="90991" stopIfTrue="1" operator="equal">
      <formula>"En cours"</formula>
    </cfRule>
  </conditionalFormatting>
  <conditionalFormatting sqref="AK13">
    <cfRule type="cellIs" dxfId="1872" priority="90992" stopIfTrue="1" operator="notEqual">
      <formula>"En cours"</formula>
    </cfRule>
  </conditionalFormatting>
  <conditionalFormatting sqref="AJ18">
    <cfRule type="cellIs" dxfId="1871" priority="90993" stopIfTrue="1" operator="equal">
      <formula>"En cours"</formula>
    </cfRule>
  </conditionalFormatting>
  <conditionalFormatting sqref="AJ18">
    <cfRule type="cellIs" dxfId="1870" priority="90994" stopIfTrue="1" operator="notEqual">
      <formula>"En cours"</formula>
    </cfRule>
  </conditionalFormatting>
  <conditionalFormatting sqref="AK18">
    <cfRule type="cellIs" dxfId="1869" priority="90995" stopIfTrue="1" operator="equal">
      <formula>"En cours"</formula>
    </cfRule>
  </conditionalFormatting>
  <conditionalFormatting sqref="AK18">
    <cfRule type="cellIs" dxfId="1868" priority="90996" stopIfTrue="1" operator="notEqual">
      <formula>"En cours"</formula>
    </cfRule>
  </conditionalFormatting>
  <conditionalFormatting sqref="AJ19">
    <cfRule type="cellIs" dxfId="1867" priority="90997" stopIfTrue="1" operator="equal">
      <formula>"En cours"</formula>
    </cfRule>
  </conditionalFormatting>
  <conditionalFormatting sqref="AJ19">
    <cfRule type="cellIs" dxfId="1866" priority="90998" stopIfTrue="1" operator="notEqual">
      <formula>"En cours"</formula>
    </cfRule>
  </conditionalFormatting>
  <conditionalFormatting sqref="AK19">
    <cfRule type="cellIs" dxfId="1865" priority="90999" stopIfTrue="1" operator="equal">
      <formula>"En cours"</formula>
    </cfRule>
  </conditionalFormatting>
  <conditionalFormatting sqref="AK19">
    <cfRule type="cellIs" dxfId="1864" priority="91000" stopIfTrue="1" operator="notEqual">
      <formula>"En cours"</formula>
    </cfRule>
  </conditionalFormatting>
  <conditionalFormatting sqref="AJ14">
    <cfRule type="cellIs" dxfId="1863" priority="91001" stopIfTrue="1" operator="equal">
      <formula>"En cours"</formula>
    </cfRule>
  </conditionalFormatting>
  <conditionalFormatting sqref="AJ14">
    <cfRule type="cellIs" dxfId="1862" priority="91002" stopIfTrue="1" operator="notEqual">
      <formula>"En cours"</formula>
    </cfRule>
  </conditionalFormatting>
  <conditionalFormatting sqref="AK14">
    <cfRule type="cellIs" dxfId="1861" priority="91003" stopIfTrue="1" operator="equal">
      <formula>"En cours"</formula>
    </cfRule>
  </conditionalFormatting>
  <conditionalFormatting sqref="AK14">
    <cfRule type="cellIs" dxfId="1860" priority="91004" stopIfTrue="1" operator="notEqual">
      <formula>"En cours"</formula>
    </cfRule>
  </conditionalFormatting>
  <conditionalFormatting sqref="AJ17">
    <cfRule type="cellIs" dxfId="1859" priority="91005" stopIfTrue="1" operator="equal">
      <formula>"En cours"</formula>
    </cfRule>
  </conditionalFormatting>
  <conditionalFormatting sqref="AJ17">
    <cfRule type="cellIs" dxfId="1858" priority="91006" stopIfTrue="1" operator="notEqual">
      <formula>"En cours"</formula>
    </cfRule>
  </conditionalFormatting>
  <conditionalFormatting sqref="AK17">
    <cfRule type="cellIs" dxfId="1857" priority="91007" stopIfTrue="1" operator="equal">
      <formula>"En cours"</formula>
    </cfRule>
  </conditionalFormatting>
  <conditionalFormatting sqref="AK17">
    <cfRule type="cellIs" dxfId="1856" priority="91008" stopIfTrue="1" operator="notEqual">
      <formula>"En cours"</formula>
    </cfRule>
  </conditionalFormatting>
  <conditionalFormatting sqref="AJ23">
    <cfRule type="cellIs" dxfId="1855" priority="91009" stopIfTrue="1" operator="equal">
      <formula>"En cours"</formula>
    </cfRule>
  </conditionalFormatting>
  <conditionalFormatting sqref="AJ23">
    <cfRule type="cellIs" dxfId="1854" priority="91010" stopIfTrue="1" operator="notEqual">
      <formula>"En cours"</formula>
    </cfRule>
  </conditionalFormatting>
  <conditionalFormatting sqref="AK23">
    <cfRule type="cellIs" dxfId="1853" priority="91011" stopIfTrue="1" operator="equal">
      <formula>"En cours"</formula>
    </cfRule>
  </conditionalFormatting>
  <conditionalFormatting sqref="AK23">
    <cfRule type="cellIs" dxfId="1852" priority="91012" stopIfTrue="1" operator="notEqual">
      <formula>"En cours"</formula>
    </cfRule>
  </conditionalFormatting>
  <conditionalFormatting sqref="AJ25">
    <cfRule type="cellIs" dxfId="1851" priority="91013" stopIfTrue="1" operator="equal">
      <formula>"En cours"</formula>
    </cfRule>
  </conditionalFormatting>
  <conditionalFormatting sqref="AJ25">
    <cfRule type="cellIs" dxfId="1850" priority="91014" stopIfTrue="1" operator="notEqual">
      <formula>"En cours"</formula>
    </cfRule>
  </conditionalFormatting>
  <conditionalFormatting sqref="AK25">
    <cfRule type="cellIs" dxfId="1849" priority="91015" stopIfTrue="1" operator="equal">
      <formula>"En cours"</formula>
    </cfRule>
  </conditionalFormatting>
  <conditionalFormatting sqref="AK25">
    <cfRule type="cellIs" dxfId="1848" priority="91016" stopIfTrue="1" operator="notEqual">
      <formula>"En cours"</formula>
    </cfRule>
  </conditionalFormatting>
  <conditionalFormatting sqref="AJ24">
    <cfRule type="cellIs" dxfId="1847" priority="91017" stopIfTrue="1" operator="equal">
      <formula>"En cours"</formula>
    </cfRule>
  </conditionalFormatting>
  <conditionalFormatting sqref="AJ24">
    <cfRule type="cellIs" dxfId="1846" priority="91018" stopIfTrue="1" operator="notEqual">
      <formula>"En cours"</formula>
    </cfRule>
  </conditionalFormatting>
  <conditionalFormatting sqref="AK24">
    <cfRule type="cellIs" dxfId="1845" priority="91019" stopIfTrue="1" operator="equal">
      <formula>"En cours"</formula>
    </cfRule>
  </conditionalFormatting>
  <conditionalFormatting sqref="AK24">
    <cfRule type="cellIs" dxfId="1844" priority="91020" stopIfTrue="1" operator="notEqual">
      <formula>"En cours"</formula>
    </cfRule>
  </conditionalFormatting>
  <conditionalFormatting sqref="AJ26">
    <cfRule type="cellIs" dxfId="1843" priority="91021" stopIfTrue="1" operator="equal">
      <formula>"En cours"</formula>
    </cfRule>
  </conditionalFormatting>
  <conditionalFormatting sqref="AJ26">
    <cfRule type="cellIs" dxfId="1842" priority="91022" stopIfTrue="1" operator="notEqual">
      <formula>"En cours"</formula>
    </cfRule>
  </conditionalFormatting>
  <conditionalFormatting sqref="AK26">
    <cfRule type="cellIs" dxfId="1841" priority="91023" stopIfTrue="1" operator="equal">
      <formula>"En cours"</formula>
    </cfRule>
  </conditionalFormatting>
  <conditionalFormatting sqref="AK26">
    <cfRule type="cellIs" dxfId="1840" priority="91024" stopIfTrue="1" operator="notEqual">
      <formula>"En cours"</formula>
    </cfRule>
  </conditionalFormatting>
  <conditionalFormatting sqref="AJ21">
    <cfRule type="cellIs" dxfId="1839" priority="91025" stopIfTrue="1" operator="equal">
      <formula>"En cours"</formula>
    </cfRule>
  </conditionalFormatting>
  <conditionalFormatting sqref="AJ21">
    <cfRule type="cellIs" dxfId="1838" priority="91026" stopIfTrue="1" operator="notEqual">
      <formula>"En cours"</formula>
    </cfRule>
  </conditionalFormatting>
  <conditionalFormatting sqref="AK21">
    <cfRule type="cellIs" dxfId="1837" priority="91027" stopIfTrue="1" operator="equal">
      <formula>"En cours"</formula>
    </cfRule>
  </conditionalFormatting>
  <conditionalFormatting sqref="AK21">
    <cfRule type="cellIs" dxfId="1836" priority="91028" stopIfTrue="1" operator="notEqual">
      <formula>"En cours"</formula>
    </cfRule>
  </conditionalFormatting>
  <conditionalFormatting sqref="AJ28">
    <cfRule type="cellIs" dxfId="1835" priority="91029" stopIfTrue="1" operator="equal">
      <formula>"En cours"</formula>
    </cfRule>
  </conditionalFormatting>
  <conditionalFormatting sqref="AJ28">
    <cfRule type="cellIs" dxfId="1834" priority="91030" stopIfTrue="1" operator="notEqual">
      <formula>"En cours"</formula>
    </cfRule>
  </conditionalFormatting>
  <conditionalFormatting sqref="AK28">
    <cfRule type="cellIs" dxfId="1833" priority="91031" stopIfTrue="1" operator="equal">
      <formula>"En cours"</formula>
    </cfRule>
  </conditionalFormatting>
  <conditionalFormatting sqref="AK28">
    <cfRule type="cellIs" dxfId="1832" priority="91032" stopIfTrue="1" operator="notEqual">
      <formula>"En cours"</formula>
    </cfRule>
  </conditionalFormatting>
  <conditionalFormatting sqref="AJ34">
    <cfRule type="cellIs" dxfId="1831" priority="91033" stopIfTrue="1" operator="equal">
      <formula>"En cours"</formula>
    </cfRule>
  </conditionalFormatting>
  <conditionalFormatting sqref="AJ34">
    <cfRule type="cellIs" dxfId="1830" priority="91034" stopIfTrue="1" operator="notEqual">
      <formula>"En cours"</formula>
    </cfRule>
  </conditionalFormatting>
  <conditionalFormatting sqref="AK34">
    <cfRule type="cellIs" dxfId="1829" priority="91035" stopIfTrue="1" operator="equal">
      <formula>"En cours"</formula>
    </cfRule>
  </conditionalFormatting>
  <conditionalFormatting sqref="AK34">
    <cfRule type="cellIs" dxfId="1828" priority="91036" stopIfTrue="1" operator="notEqual">
      <formula>"En cours"</formula>
    </cfRule>
  </conditionalFormatting>
  <conditionalFormatting sqref="AJ29">
    <cfRule type="cellIs" dxfId="1827" priority="91037" stopIfTrue="1" operator="equal">
      <formula>"En cours"</formula>
    </cfRule>
  </conditionalFormatting>
  <conditionalFormatting sqref="AJ29">
    <cfRule type="cellIs" dxfId="1826" priority="91038" stopIfTrue="1" operator="notEqual">
      <formula>"En cours"</formula>
    </cfRule>
  </conditionalFormatting>
  <conditionalFormatting sqref="AK29">
    <cfRule type="cellIs" dxfId="1825" priority="91039" stopIfTrue="1" operator="equal">
      <formula>"En cours"</formula>
    </cfRule>
  </conditionalFormatting>
  <conditionalFormatting sqref="AK29">
    <cfRule type="cellIs" dxfId="1824" priority="91040" stopIfTrue="1" operator="notEqual">
      <formula>"En cours"</formula>
    </cfRule>
  </conditionalFormatting>
  <conditionalFormatting sqref="AJ30">
    <cfRule type="cellIs" dxfId="1823" priority="91041" stopIfTrue="1" operator="equal">
      <formula>"En cours"</formula>
    </cfRule>
  </conditionalFormatting>
  <conditionalFormatting sqref="AJ30">
    <cfRule type="cellIs" dxfId="1822" priority="91042" stopIfTrue="1" operator="notEqual">
      <formula>"En cours"</formula>
    </cfRule>
  </conditionalFormatting>
  <conditionalFormatting sqref="AK30">
    <cfRule type="cellIs" dxfId="1821" priority="91043" stopIfTrue="1" operator="equal">
      <formula>"En cours"</formula>
    </cfRule>
  </conditionalFormatting>
  <conditionalFormatting sqref="AK30">
    <cfRule type="cellIs" dxfId="1820" priority="91044" stopIfTrue="1" operator="notEqual">
      <formula>"En cours"</formula>
    </cfRule>
  </conditionalFormatting>
  <conditionalFormatting sqref="AJ41">
    <cfRule type="cellIs" dxfId="1819" priority="91045" stopIfTrue="1" operator="equal">
      <formula>"En cours"</formula>
    </cfRule>
  </conditionalFormatting>
  <conditionalFormatting sqref="AJ41">
    <cfRule type="cellIs" dxfId="1818" priority="91046" stopIfTrue="1" operator="notEqual">
      <formula>"En cours"</formula>
    </cfRule>
  </conditionalFormatting>
  <conditionalFormatting sqref="AK41">
    <cfRule type="cellIs" dxfId="1817" priority="91047" stopIfTrue="1" operator="equal">
      <formula>"En cours"</formula>
    </cfRule>
  </conditionalFormatting>
  <conditionalFormatting sqref="AK41">
    <cfRule type="cellIs" dxfId="1816" priority="91048" stopIfTrue="1" operator="notEqual">
      <formula>"En cours"</formula>
    </cfRule>
  </conditionalFormatting>
  <conditionalFormatting sqref="AJ22">
    <cfRule type="cellIs" dxfId="1815" priority="91049" stopIfTrue="1" operator="equal">
      <formula>"En cours"</formula>
    </cfRule>
  </conditionalFormatting>
  <conditionalFormatting sqref="AJ22">
    <cfRule type="cellIs" dxfId="1814" priority="91050" stopIfTrue="1" operator="notEqual">
      <formula>"En cours"</formula>
    </cfRule>
  </conditionalFormatting>
  <conditionalFormatting sqref="AK22">
    <cfRule type="cellIs" dxfId="1813" priority="91051" stopIfTrue="1" operator="equal">
      <formula>"En cours"</formula>
    </cfRule>
  </conditionalFormatting>
  <conditionalFormatting sqref="AK22">
    <cfRule type="cellIs" dxfId="1812" priority="91052" stopIfTrue="1" operator="notEqual">
      <formula>"En cours"</formula>
    </cfRule>
  </conditionalFormatting>
  <conditionalFormatting sqref="AJ37">
    <cfRule type="cellIs" dxfId="1811" priority="91053" stopIfTrue="1" operator="equal">
      <formula>"En cours"</formula>
    </cfRule>
  </conditionalFormatting>
  <conditionalFormatting sqref="AJ37">
    <cfRule type="cellIs" dxfId="1810" priority="91054" stopIfTrue="1" operator="notEqual">
      <formula>"En cours"</formula>
    </cfRule>
  </conditionalFormatting>
  <conditionalFormatting sqref="AK37">
    <cfRule type="cellIs" dxfId="1809" priority="91055" stopIfTrue="1" operator="equal">
      <formula>"En cours"</formula>
    </cfRule>
  </conditionalFormatting>
  <conditionalFormatting sqref="AK37">
    <cfRule type="cellIs" dxfId="1808" priority="91056" stopIfTrue="1" operator="notEqual">
      <formula>"En cours"</formula>
    </cfRule>
  </conditionalFormatting>
  <conditionalFormatting sqref="AJ38">
    <cfRule type="cellIs" dxfId="1807" priority="91057" stopIfTrue="1" operator="equal">
      <formula>"En cours"</formula>
    </cfRule>
  </conditionalFormatting>
  <conditionalFormatting sqref="AJ38">
    <cfRule type="cellIs" dxfId="1806" priority="91058" stopIfTrue="1" operator="notEqual">
      <formula>"En cours"</formula>
    </cfRule>
  </conditionalFormatting>
  <conditionalFormatting sqref="AK38">
    <cfRule type="cellIs" dxfId="1805" priority="91059" stopIfTrue="1" operator="equal">
      <formula>"En cours"</formula>
    </cfRule>
  </conditionalFormatting>
  <conditionalFormatting sqref="AK38">
    <cfRule type="cellIs" dxfId="1804" priority="91060" stopIfTrue="1" operator="notEqual">
      <formula>"En cours"</formula>
    </cfRule>
  </conditionalFormatting>
  <conditionalFormatting sqref="AJ27">
    <cfRule type="cellIs" dxfId="1803" priority="91061" stopIfTrue="1" operator="equal">
      <formula>"En cours"</formula>
    </cfRule>
  </conditionalFormatting>
  <conditionalFormatting sqref="AJ27">
    <cfRule type="cellIs" dxfId="1802" priority="91062" stopIfTrue="1" operator="notEqual">
      <formula>"En cours"</formula>
    </cfRule>
  </conditionalFormatting>
  <conditionalFormatting sqref="AK27">
    <cfRule type="cellIs" dxfId="1801" priority="91063" stopIfTrue="1" operator="equal">
      <formula>"En cours"</formula>
    </cfRule>
  </conditionalFormatting>
  <conditionalFormatting sqref="AK27">
    <cfRule type="cellIs" dxfId="1800" priority="91064" stopIfTrue="1" operator="notEqual">
      <formula>"En cours"</formula>
    </cfRule>
  </conditionalFormatting>
  <conditionalFormatting sqref="AJ35">
    <cfRule type="cellIs" dxfId="1799" priority="91065" stopIfTrue="1" operator="equal">
      <formula>"En cours"</formula>
    </cfRule>
  </conditionalFormatting>
  <conditionalFormatting sqref="AJ35">
    <cfRule type="cellIs" dxfId="1798" priority="91066" stopIfTrue="1" operator="notEqual">
      <formula>"En cours"</formula>
    </cfRule>
  </conditionalFormatting>
  <conditionalFormatting sqref="AK35">
    <cfRule type="cellIs" dxfId="1797" priority="91067" stopIfTrue="1" operator="equal">
      <formula>"En cours"</formula>
    </cfRule>
  </conditionalFormatting>
  <conditionalFormatting sqref="AK35">
    <cfRule type="cellIs" dxfId="1796" priority="91068" stopIfTrue="1" operator="notEqual">
      <formula>"En cours"</formula>
    </cfRule>
  </conditionalFormatting>
  <conditionalFormatting sqref="AJ39">
    <cfRule type="cellIs" dxfId="1795" priority="91069" stopIfTrue="1" operator="equal">
      <formula>"En cours"</formula>
    </cfRule>
  </conditionalFormatting>
  <conditionalFormatting sqref="AJ39">
    <cfRule type="cellIs" dxfId="1794" priority="91070" stopIfTrue="1" operator="notEqual">
      <formula>"En cours"</formula>
    </cfRule>
  </conditionalFormatting>
  <conditionalFormatting sqref="AK39">
    <cfRule type="cellIs" dxfId="1793" priority="91071" stopIfTrue="1" operator="equal">
      <formula>"En cours"</formula>
    </cfRule>
  </conditionalFormatting>
  <conditionalFormatting sqref="AK39">
    <cfRule type="cellIs" dxfId="1792" priority="91072" stopIfTrue="1" operator="notEqual">
      <formula>"En cours"</formula>
    </cfRule>
  </conditionalFormatting>
  <conditionalFormatting sqref="AJ46">
    <cfRule type="cellIs" dxfId="1791" priority="91073" stopIfTrue="1" operator="equal">
      <formula>"En cours"</formula>
    </cfRule>
  </conditionalFormatting>
  <conditionalFormatting sqref="AJ46">
    <cfRule type="cellIs" dxfId="1790" priority="91074" stopIfTrue="1" operator="notEqual">
      <formula>"En cours"</formula>
    </cfRule>
  </conditionalFormatting>
  <conditionalFormatting sqref="AK46">
    <cfRule type="cellIs" dxfId="1789" priority="91075" stopIfTrue="1" operator="equal">
      <formula>"En cours"</formula>
    </cfRule>
  </conditionalFormatting>
  <conditionalFormatting sqref="AK46">
    <cfRule type="cellIs" dxfId="1788" priority="91076" stopIfTrue="1" operator="notEqual">
      <formula>"En cours"</formula>
    </cfRule>
  </conditionalFormatting>
  <conditionalFormatting sqref="AJ31">
    <cfRule type="cellIs" dxfId="1787" priority="91077" stopIfTrue="1" operator="equal">
      <formula>"En cours"</formula>
    </cfRule>
  </conditionalFormatting>
  <conditionalFormatting sqref="AJ31">
    <cfRule type="cellIs" dxfId="1786" priority="91078" stopIfTrue="1" operator="notEqual">
      <formula>"En cours"</formula>
    </cfRule>
  </conditionalFormatting>
  <conditionalFormatting sqref="AK31">
    <cfRule type="cellIs" dxfId="1785" priority="91079" stopIfTrue="1" operator="equal">
      <formula>"En cours"</formula>
    </cfRule>
  </conditionalFormatting>
  <conditionalFormatting sqref="AK31">
    <cfRule type="cellIs" dxfId="1784" priority="91080" stopIfTrue="1" operator="notEqual">
      <formula>"En cours"</formula>
    </cfRule>
  </conditionalFormatting>
  <conditionalFormatting sqref="AJ32">
    <cfRule type="cellIs" dxfId="1783" priority="91081" stopIfTrue="1" operator="equal">
      <formula>"En cours"</formula>
    </cfRule>
  </conditionalFormatting>
  <conditionalFormatting sqref="AJ32">
    <cfRule type="cellIs" dxfId="1782" priority="91082" stopIfTrue="1" operator="notEqual">
      <formula>"En cours"</formula>
    </cfRule>
  </conditionalFormatting>
  <conditionalFormatting sqref="AK32">
    <cfRule type="cellIs" dxfId="1781" priority="91083" stopIfTrue="1" operator="equal">
      <formula>"En cours"</formula>
    </cfRule>
  </conditionalFormatting>
  <conditionalFormatting sqref="AK32">
    <cfRule type="cellIs" dxfId="1780" priority="91084" stopIfTrue="1" operator="notEqual">
      <formula>"En cours"</formula>
    </cfRule>
  </conditionalFormatting>
  <conditionalFormatting sqref="AJ33">
    <cfRule type="cellIs" dxfId="1779" priority="91085" stopIfTrue="1" operator="equal">
      <formula>"En cours"</formula>
    </cfRule>
  </conditionalFormatting>
  <conditionalFormatting sqref="AJ33">
    <cfRule type="cellIs" dxfId="1778" priority="91086" stopIfTrue="1" operator="notEqual">
      <formula>"En cours"</formula>
    </cfRule>
  </conditionalFormatting>
  <conditionalFormatting sqref="AK33">
    <cfRule type="cellIs" dxfId="1777" priority="91087" stopIfTrue="1" operator="equal">
      <formula>"En cours"</formula>
    </cfRule>
  </conditionalFormatting>
  <conditionalFormatting sqref="AK33">
    <cfRule type="cellIs" dxfId="1776" priority="91088" stopIfTrue="1" operator="notEqual">
      <formula>"En cours"</formula>
    </cfRule>
  </conditionalFormatting>
  <conditionalFormatting sqref="AJ40">
    <cfRule type="cellIs" dxfId="1775" priority="91089" stopIfTrue="1" operator="equal">
      <formula>"En cours"</formula>
    </cfRule>
  </conditionalFormatting>
  <conditionalFormatting sqref="AJ40">
    <cfRule type="cellIs" dxfId="1774" priority="91090" stopIfTrue="1" operator="notEqual">
      <formula>"En cours"</formula>
    </cfRule>
  </conditionalFormatting>
  <conditionalFormatting sqref="AK40">
    <cfRule type="cellIs" dxfId="1773" priority="91091" stopIfTrue="1" operator="equal">
      <formula>"En cours"</formula>
    </cfRule>
  </conditionalFormatting>
  <conditionalFormatting sqref="AK40">
    <cfRule type="cellIs" dxfId="1772" priority="91092" stopIfTrue="1" operator="notEqual">
      <formula>"En cours"</formula>
    </cfRule>
  </conditionalFormatting>
  <conditionalFormatting sqref="AJ42">
    <cfRule type="cellIs" dxfId="1771" priority="91093" stopIfTrue="1" operator="equal">
      <formula>"En cours"</formula>
    </cfRule>
  </conditionalFormatting>
  <conditionalFormatting sqref="AJ42">
    <cfRule type="cellIs" dxfId="1770" priority="91094" stopIfTrue="1" operator="notEqual">
      <formula>"En cours"</formula>
    </cfRule>
  </conditionalFormatting>
  <conditionalFormatting sqref="AK42">
    <cfRule type="cellIs" dxfId="1769" priority="91095" stopIfTrue="1" operator="equal">
      <formula>"En cours"</formula>
    </cfRule>
  </conditionalFormatting>
  <conditionalFormatting sqref="AK42">
    <cfRule type="cellIs" dxfId="1768" priority="91096" stopIfTrue="1" operator="notEqual">
      <formula>"En cours"</formula>
    </cfRule>
  </conditionalFormatting>
  <conditionalFormatting sqref="AJ49">
    <cfRule type="cellIs" dxfId="1767" priority="91097" stopIfTrue="1" operator="equal">
      <formula>"En cours"</formula>
    </cfRule>
  </conditionalFormatting>
  <conditionalFormatting sqref="AJ49">
    <cfRule type="cellIs" dxfId="1766" priority="91098" stopIfTrue="1" operator="notEqual">
      <formula>"En cours"</formula>
    </cfRule>
  </conditionalFormatting>
  <conditionalFormatting sqref="AK49">
    <cfRule type="cellIs" dxfId="1765" priority="91099" stopIfTrue="1" operator="equal">
      <formula>"En cours"</formula>
    </cfRule>
  </conditionalFormatting>
  <conditionalFormatting sqref="AK49">
    <cfRule type="cellIs" dxfId="1764" priority="91100" stopIfTrue="1" operator="notEqual">
      <formula>"En cours"</formula>
    </cfRule>
  </conditionalFormatting>
  <conditionalFormatting sqref="AJ36">
    <cfRule type="cellIs" dxfId="1763" priority="91101" stopIfTrue="1" operator="equal">
      <formula>"En cours"</formula>
    </cfRule>
  </conditionalFormatting>
  <conditionalFormatting sqref="AJ36">
    <cfRule type="cellIs" dxfId="1762" priority="91102" stopIfTrue="1" operator="notEqual">
      <formula>"En cours"</formula>
    </cfRule>
  </conditionalFormatting>
  <conditionalFormatting sqref="AK36">
    <cfRule type="cellIs" dxfId="1761" priority="91103" stopIfTrue="1" operator="equal">
      <formula>"En cours"</formula>
    </cfRule>
  </conditionalFormatting>
  <conditionalFormatting sqref="AK36">
    <cfRule type="cellIs" dxfId="1760" priority="91104" stopIfTrue="1" operator="notEqual">
      <formula>"En cours"</formula>
    </cfRule>
  </conditionalFormatting>
  <conditionalFormatting sqref="AJ48">
    <cfRule type="cellIs" dxfId="1759" priority="91105" stopIfTrue="1" operator="equal">
      <formula>"En cours"</formula>
    </cfRule>
  </conditionalFormatting>
  <conditionalFormatting sqref="AJ48">
    <cfRule type="cellIs" dxfId="1758" priority="91106" stopIfTrue="1" operator="notEqual">
      <formula>"En cours"</formula>
    </cfRule>
  </conditionalFormatting>
  <conditionalFormatting sqref="AK48">
    <cfRule type="cellIs" dxfId="1757" priority="91107" stopIfTrue="1" operator="equal">
      <formula>"En cours"</formula>
    </cfRule>
  </conditionalFormatting>
  <conditionalFormatting sqref="AK48">
    <cfRule type="cellIs" dxfId="1756" priority="91108" stopIfTrue="1" operator="notEqual">
      <formula>"En cours"</formula>
    </cfRule>
  </conditionalFormatting>
  <conditionalFormatting sqref="AJ45">
    <cfRule type="cellIs" dxfId="1755" priority="91109" stopIfTrue="1" operator="equal">
      <formula>"En cours"</formula>
    </cfRule>
  </conditionalFormatting>
  <conditionalFormatting sqref="AJ45">
    <cfRule type="cellIs" dxfId="1754" priority="91110" stopIfTrue="1" operator="notEqual">
      <formula>"En cours"</formula>
    </cfRule>
  </conditionalFormatting>
  <conditionalFormatting sqref="AK45">
    <cfRule type="cellIs" dxfId="1753" priority="91111" stopIfTrue="1" operator="equal">
      <formula>"En cours"</formula>
    </cfRule>
  </conditionalFormatting>
  <conditionalFormatting sqref="AK45">
    <cfRule type="cellIs" dxfId="1752" priority="91112" stopIfTrue="1" operator="notEqual">
      <formula>"En cours"</formula>
    </cfRule>
  </conditionalFormatting>
  <conditionalFormatting sqref="AJ44">
    <cfRule type="cellIs" dxfId="1751" priority="91113" stopIfTrue="1" operator="equal">
      <formula>"En cours"</formula>
    </cfRule>
  </conditionalFormatting>
  <conditionalFormatting sqref="AJ44">
    <cfRule type="cellIs" dxfId="1750" priority="91114" stopIfTrue="1" operator="notEqual">
      <formula>"En cours"</formula>
    </cfRule>
  </conditionalFormatting>
  <conditionalFormatting sqref="AK44">
    <cfRule type="cellIs" dxfId="1749" priority="91115" stopIfTrue="1" operator="equal">
      <formula>"En cours"</formula>
    </cfRule>
  </conditionalFormatting>
  <conditionalFormatting sqref="AK44">
    <cfRule type="cellIs" dxfId="1748" priority="91116" stopIfTrue="1" operator="notEqual">
      <formula>"En cours"</formula>
    </cfRule>
  </conditionalFormatting>
  <conditionalFormatting sqref="AJ50">
    <cfRule type="cellIs" dxfId="1747" priority="91117" stopIfTrue="1" operator="equal">
      <formula>"En cours"</formula>
    </cfRule>
  </conditionalFormatting>
  <conditionalFormatting sqref="AJ50">
    <cfRule type="cellIs" dxfId="1746" priority="91118" stopIfTrue="1" operator="notEqual">
      <formula>"En cours"</formula>
    </cfRule>
  </conditionalFormatting>
  <conditionalFormatting sqref="AK50">
    <cfRule type="cellIs" dxfId="1745" priority="91119" stopIfTrue="1" operator="equal">
      <formula>"En cours"</formula>
    </cfRule>
  </conditionalFormatting>
  <conditionalFormatting sqref="AK50">
    <cfRule type="cellIs" dxfId="1744" priority="91120" stopIfTrue="1" operator="notEqual">
      <formula>"En cours"</formula>
    </cfRule>
  </conditionalFormatting>
  <conditionalFormatting sqref="AJ43">
    <cfRule type="cellIs" dxfId="1743" priority="91121" stopIfTrue="1" operator="equal">
      <formula>"En cours"</formula>
    </cfRule>
  </conditionalFormatting>
  <conditionalFormatting sqref="AJ43">
    <cfRule type="cellIs" dxfId="1742" priority="91122" stopIfTrue="1" operator="notEqual">
      <formula>"En cours"</formula>
    </cfRule>
  </conditionalFormatting>
  <conditionalFormatting sqref="AK43">
    <cfRule type="cellIs" dxfId="1741" priority="91123" stopIfTrue="1" operator="equal">
      <formula>"En cours"</formula>
    </cfRule>
  </conditionalFormatting>
  <conditionalFormatting sqref="AK43">
    <cfRule type="cellIs" dxfId="1740" priority="91124" stopIfTrue="1" operator="notEqual">
      <formula>"En cours"</formula>
    </cfRule>
  </conditionalFormatting>
  <conditionalFormatting sqref="AJ47">
    <cfRule type="cellIs" dxfId="1739" priority="91125" stopIfTrue="1" operator="equal">
      <formula>"En cours"</formula>
    </cfRule>
  </conditionalFormatting>
  <conditionalFormatting sqref="AJ47">
    <cfRule type="cellIs" dxfId="1738" priority="91126" stopIfTrue="1" operator="notEqual">
      <formula>"En cours"</formula>
    </cfRule>
  </conditionalFormatting>
  <conditionalFormatting sqref="AK47">
    <cfRule type="cellIs" dxfId="1737" priority="91127" stopIfTrue="1" operator="equal">
      <formula>"En cours"</formula>
    </cfRule>
  </conditionalFormatting>
  <conditionalFormatting sqref="AK47">
    <cfRule type="cellIs" dxfId="1736" priority="91128" stopIfTrue="1" operator="notEqual">
      <formula>"En cours"</formula>
    </cfRule>
  </conditionalFormatting>
  <conditionalFormatting sqref="AJ51">
    <cfRule type="cellIs" dxfId="1735" priority="91129" stopIfTrue="1" operator="equal">
      <formula>"En cours"</formula>
    </cfRule>
  </conditionalFormatting>
  <conditionalFormatting sqref="AJ51">
    <cfRule type="cellIs" dxfId="1734" priority="91130" stopIfTrue="1" operator="notEqual">
      <formula>"En cours"</formula>
    </cfRule>
  </conditionalFormatting>
  <conditionalFormatting sqref="AK51">
    <cfRule type="cellIs" dxfId="1733" priority="91131" stopIfTrue="1" operator="equal">
      <formula>"En cours"</formula>
    </cfRule>
  </conditionalFormatting>
  <conditionalFormatting sqref="AK51">
    <cfRule type="cellIs" dxfId="1732" priority="91132" stopIfTrue="1" operator="notEqual">
      <formula>"En cours"</formula>
    </cfRule>
  </conditionalFormatting>
  <conditionalFormatting sqref="AJ54">
    <cfRule type="cellIs" dxfId="1731" priority="91133" stopIfTrue="1" operator="equal">
      <formula>"En cours"</formula>
    </cfRule>
  </conditionalFormatting>
  <conditionalFormatting sqref="AJ54">
    <cfRule type="cellIs" dxfId="1730" priority="91134" stopIfTrue="1" operator="notEqual">
      <formula>"En cours"</formula>
    </cfRule>
  </conditionalFormatting>
  <conditionalFormatting sqref="AK54">
    <cfRule type="cellIs" dxfId="1729" priority="91135" stopIfTrue="1" operator="equal">
      <formula>"En cours"</formula>
    </cfRule>
  </conditionalFormatting>
  <conditionalFormatting sqref="AK54">
    <cfRule type="cellIs" dxfId="1728" priority="91136" stopIfTrue="1" operator="notEqual">
      <formula>"En cours"</formula>
    </cfRule>
  </conditionalFormatting>
  <conditionalFormatting sqref="AJ52">
    <cfRule type="cellIs" dxfId="1727" priority="91137" stopIfTrue="1" operator="equal">
      <formula>"En cours"</formula>
    </cfRule>
  </conditionalFormatting>
  <conditionalFormatting sqref="AJ52">
    <cfRule type="cellIs" dxfId="1726" priority="91138" stopIfTrue="1" operator="notEqual">
      <formula>"En cours"</formula>
    </cfRule>
  </conditionalFormatting>
  <conditionalFormatting sqref="AK52">
    <cfRule type="cellIs" dxfId="1725" priority="91139" stopIfTrue="1" operator="equal">
      <formula>"En cours"</formula>
    </cfRule>
  </conditionalFormatting>
  <conditionalFormatting sqref="AK52">
    <cfRule type="cellIs" dxfId="1724" priority="91140" stopIfTrue="1" operator="notEqual">
      <formula>"En cours"</formula>
    </cfRule>
  </conditionalFormatting>
  <conditionalFormatting sqref="AJ55">
    <cfRule type="cellIs" dxfId="1723" priority="91141" stopIfTrue="1" operator="equal">
      <formula>"En cours"</formula>
    </cfRule>
  </conditionalFormatting>
  <conditionalFormatting sqref="AJ55">
    <cfRule type="cellIs" dxfId="1722" priority="91142" stopIfTrue="1" operator="notEqual">
      <formula>"En cours"</formula>
    </cfRule>
  </conditionalFormatting>
  <conditionalFormatting sqref="AK55">
    <cfRule type="cellIs" dxfId="1721" priority="91143" stopIfTrue="1" operator="equal">
      <formula>"En cours"</formula>
    </cfRule>
  </conditionalFormatting>
  <conditionalFormatting sqref="AK55">
    <cfRule type="cellIs" dxfId="1720" priority="91144" stopIfTrue="1" operator="notEqual">
      <formula>"En cours"</formula>
    </cfRule>
  </conditionalFormatting>
  <conditionalFormatting sqref="AJ53">
    <cfRule type="cellIs" dxfId="1719" priority="91145" stopIfTrue="1" operator="equal">
      <formula>"En cours"</formula>
    </cfRule>
  </conditionalFormatting>
  <conditionalFormatting sqref="AJ53">
    <cfRule type="cellIs" dxfId="1718" priority="91146" stopIfTrue="1" operator="notEqual">
      <formula>"En cours"</formula>
    </cfRule>
  </conditionalFormatting>
  <conditionalFormatting sqref="AK53">
    <cfRule type="cellIs" dxfId="1717" priority="91147" stopIfTrue="1" operator="equal">
      <formula>"En cours"</formula>
    </cfRule>
  </conditionalFormatting>
  <conditionalFormatting sqref="AK53">
    <cfRule type="cellIs" dxfId="1716" priority="91148" stopIfTrue="1" operator="notEqual">
      <formula>"En cours"</formula>
    </cfRule>
  </conditionalFormatting>
  <conditionalFormatting sqref="AJ57">
    <cfRule type="cellIs" dxfId="1715" priority="91149" stopIfTrue="1" operator="equal">
      <formula>"En cours"</formula>
    </cfRule>
  </conditionalFormatting>
  <conditionalFormatting sqref="AJ57">
    <cfRule type="cellIs" dxfId="1714" priority="91150" stopIfTrue="1" operator="notEqual">
      <formula>"En cours"</formula>
    </cfRule>
  </conditionalFormatting>
  <conditionalFormatting sqref="AK57">
    <cfRule type="cellIs" dxfId="1713" priority="91151" stopIfTrue="1" operator="equal">
      <formula>"En cours"</formula>
    </cfRule>
  </conditionalFormatting>
  <conditionalFormatting sqref="AK57">
    <cfRule type="cellIs" dxfId="1712" priority="91152" stopIfTrue="1" operator="notEqual">
      <formula>"En cours"</formula>
    </cfRule>
  </conditionalFormatting>
  <conditionalFormatting sqref="AJ58">
    <cfRule type="cellIs" dxfId="1711" priority="91153" stopIfTrue="1" operator="equal">
      <formula>"En cours"</formula>
    </cfRule>
  </conditionalFormatting>
  <conditionalFormatting sqref="AJ58">
    <cfRule type="cellIs" dxfId="1710" priority="91154" stopIfTrue="1" operator="notEqual">
      <formula>"En cours"</formula>
    </cfRule>
  </conditionalFormatting>
  <conditionalFormatting sqref="AK58">
    <cfRule type="cellIs" dxfId="1709" priority="91155" stopIfTrue="1" operator="equal">
      <formula>"En cours"</formula>
    </cfRule>
  </conditionalFormatting>
  <conditionalFormatting sqref="AK58">
    <cfRule type="cellIs" dxfId="1708" priority="91156" stopIfTrue="1" operator="notEqual">
      <formula>"En cours"</formula>
    </cfRule>
  </conditionalFormatting>
  <conditionalFormatting sqref="AJ66">
    <cfRule type="cellIs" dxfId="1707" priority="91157" stopIfTrue="1" operator="equal">
      <formula>"En cours"</formula>
    </cfRule>
  </conditionalFormatting>
  <conditionalFormatting sqref="AJ66">
    <cfRule type="cellIs" dxfId="1706" priority="91158" stopIfTrue="1" operator="notEqual">
      <formula>"En cours"</formula>
    </cfRule>
  </conditionalFormatting>
  <conditionalFormatting sqref="AK66">
    <cfRule type="cellIs" dxfId="1705" priority="91159" stopIfTrue="1" operator="equal">
      <formula>"En cours"</formula>
    </cfRule>
  </conditionalFormatting>
  <conditionalFormatting sqref="AK66">
    <cfRule type="cellIs" dxfId="1704" priority="91160" stopIfTrue="1" operator="notEqual">
      <formula>"En cours"</formula>
    </cfRule>
  </conditionalFormatting>
  <conditionalFormatting sqref="AJ60">
    <cfRule type="cellIs" dxfId="1703" priority="91161" stopIfTrue="1" operator="equal">
      <formula>"En cours"</formula>
    </cfRule>
  </conditionalFormatting>
  <conditionalFormatting sqref="AJ60">
    <cfRule type="cellIs" dxfId="1702" priority="91162" stopIfTrue="1" operator="notEqual">
      <formula>"En cours"</formula>
    </cfRule>
  </conditionalFormatting>
  <conditionalFormatting sqref="AK60">
    <cfRule type="cellIs" dxfId="1701" priority="91163" stopIfTrue="1" operator="equal">
      <formula>"En cours"</formula>
    </cfRule>
  </conditionalFormatting>
  <conditionalFormatting sqref="AK60">
    <cfRule type="cellIs" dxfId="1700" priority="91164" stopIfTrue="1" operator="notEqual">
      <formula>"En cours"</formula>
    </cfRule>
  </conditionalFormatting>
  <conditionalFormatting sqref="AJ56">
    <cfRule type="cellIs" dxfId="1699" priority="91165" stopIfTrue="1" operator="equal">
      <formula>"En cours"</formula>
    </cfRule>
  </conditionalFormatting>
  <conditionalFormatting sqref="AJ56">
    <cfRule type="cellIs" dxfId="1698" priority="91166" stopIfTrue="1" operator="notEqual">
      <formula>"En cours"</formula>
    </cfRule>
  </conditionalFormatting>
  <conditionalFormatting sqref="AK56">
    <cfRule type="cellIs" dxfId="1697" priority="91167" stopIfTrue="1" operator="equal">
      <formula>"En cours"</formula>
    </cfRule>
  </conditionalFormatting>
  <conditionalFormatting sqref="AK56">
    <cfRule type="cellIs" dxfId="1696" priority="91168" stopIfTrue="1" operator="notEqual">
      <formula>"En cours"</formula>
    </cfRule>
  </conditionalFormatting>
  <conditionalFormatting sqref="AJ67">
    <cfRule type="cellIs" dxfId="1695" priority="91169" stopIfTrue="1" operator="equal">
      <formula>"En cours"</formula>
    </cfRule>
  </conditionalFormatting>
  <conditionalFormatting sqref="AJ67">
    <cfRule type="cellIs" dxfId="1694" priority="91170" stopIfTrue="1" operator="notEqual">
      <formula>"En cours"</formula>
    </cfRule>
  </conditionalFormatting>
  <conditionalFormatting sqref="AK67">
    <cfRule type="cellIs" dxfId="1693" priority="91171" stopIfTrue="1" operator="equal">
      <formula>"En cours"</formula>
    </cfRule>
  </conditionalFormatting>
  <conditionalFormatting sqref="AK67">
    <cfRule type="cellIs" dxfId="1692" priority="91172" stopIfTrue="1" operator="notEqual">
      <formula>"En cours"</formula>
    </cfRule>
  </conditionalFormatting>
  <conditionalFormatting sqref="AJ59">
    <cfRule type="cellIs" dxfId="1691" priority="91173" stopIfTrue="1" operator="equal">
      <formula>"En cours"</formula>
    </cfRule>
  </conditionalFormatting>
  <conditionalFormatting sqref="AJ59">
    <cfRule type="cellIs" dxfId="1690" priority="91174" stopIfTrue="1" operator="notEqual">
      <formula>"En cours"</formula>
    </cfRule>
  </conditionalFormatting>
  <conditionalFormatting sqref="AK59">
    <cfRule type="cellIs" dxfId="1689" priority="91175" stopIfTrue="1" operator="equal">
      <formula>"En cours"</formula>
    </cfRule>
  </conditionalFormatting>
  <conditionalFormatting sqref="AK59">
    <cfRule type="cellIs" dxfId="1688" priority="91176" stopIfTrue="1" operator="notEqual">
      <formula>"En cours"</formula>
    </cfRule>
  </conditionalFormatting>
  <conditionalFormatting sqref="AJ70">
    <cfRule type="cellIs" dxfId="1687" priority="91177" stopIfTrue="1" operator="equal">
      <formula>"En cours"</formula>
    </cfRule>
  </conditionalFormatting>
  <conditionalFormatting sqref="AJ70">
    <cfRule type="cellIs" dxfId="1686" priority="91178" stopIfTrue="1" operator="notEqual">
      <formula>"En cours"</formula>
    </cfRule>
  </conditionalFormatting>
  <conditionalFormatting sqref="AK70">
    <cfRule type="cellIs" dxfId="1685" priority="91179" stopIfTrue="1" operator="equal">
      <formula>"En cours"</formula>
    </cfRule>
  </conditionalFormatting>
  <conditionalFormatting sqref="AK70">
    <cfRule type="cellIs" dxfId="1684" priority="91180" stopIfTrue="1" operator="notEqual">
      <formula>"En cours"</formula>
    </cfRule>
  </conditionalFormatting>
  <conditionalFormatting sqref="AJ65">
    <cfRule type="cellIs" dxfId="1683" priority="91181" stopIfTrue="1" operator="equal">
      <formula>"En cours"</formula>
    </cfRule>
  </conditionalFormatting>
  <conditionalFormatting sqref="AJ65">
    <cfRule type="cellIs" dxfId="1682" priority="91182" stopIfTrue="1" operator="notEqual">
      <formula>"En cours"</formula>
    </cfRule>
  </conditionalFormatting>
  <conditionalFormatting sqref="AK65">
    <cfRule type="cellIs" dxfId="1681" priority="91183" stopIfTrue="1" operator="equal">
      <formula>"En cours"</formula>
    </cfRule>
  </conditionalFormatting>
  <conditionalFormatting sqref="AK65">
    <cfRule type="cellIs" dxfId="1680" priority="91184" stopIfTrue="1" operator="notEqual">
      <formula>"En cours"</formula>
    </cfRule>
  </conditionalFormatting>
  <conditionalFormatting sqref="AJ62">
    <cfRule type="cellIs" dxfId="1679" priority="91185" stopIfTrue="1" operator="equal">
      <formula>"En cours"</formula>
    </cfRule>
  </conditionalFormatting>
  <conditionalFormatting sqref="AJ62">
    <cfRule type="cellIs" dxfId="1678" priority="91186" stopIfTrue="1" operator="notEqual">
      <formula>"En cours"</formula>
    </cfRule>
  </conditionalFormatting>
  <conditionalFormatting sqref="AK62">
    <cfRule type="cellIs" dxfId="1677" priority="91187" stopIfTrue="1" operator="equal">
      <formula>"En cours"</formula>
    </cfRule>
  </conditionalFormatting>
  <conditionalFormatting sqref="AK62">
    <cfRule type="cellIs" dxfId="1676" priority="91188" stopIfTrue="1" operator="notEqual">
      <formula>"En cours"</formula>
    </cfRule>
  </conditionalFormatting>
  <conditionalFormatting sqref="AJ64">
    <cfRule type="cellIs" dxfId="1675" priority="91189" stopIfTrue="1" operator="equal">
      <formula>"En cours"</formula>
    </cfRule>
  </conditionalFormatting>
  <conditionalFormatting sqref="AJ64">
    <cfRule type="cellIs" dxfId="1674" priority="91190" stopIfTrue="1" operator="notEqual">
      <formula>"En cours"</formula>
    </cfRule>
  </conditionalFormatting>
  <conditionalFormatting sqref="AK64">
    <cfRule type="cellIs" dxfId="1673" priority="91191" stopIfTrue="1" operator="equal">
      <formula>"En cours"</formula>
    </cfRule>
  </conditionalFormatting>
  <conditionalFormatting sqref="AK64">
    <cfRule type="cellIs" dxfId="1672" priority="91192" stopIfTrue="1" operator="notEqual">
      <formula>"En cours"</formula>
    </cfRule>
  </conditionalFormatting>
  <conditionalFormatting sqref="AJ72">
    <cfRule type="cellIs" dxfId="1671" priority="91193" stopIfTrue="1" operator="equal">
      <formula>"En cours"</formula>
    </cfRule>
  </conditionalFormatting>
  <conditionalFormatting sqref="AJ72">
    <cfRule type="cellIs" dxfId="1670" priority="91194" stopIfTrue="1" operator="notEqual">
      <formula>"En cours"</formula>
    </cfRule>
  </conditionalFormatting>
  <conditionalFormatting sqref="AK72">
    <cfRule type="cellIs" dxfId="1669" priority="91195" stopIfTrue="1" operator="equal">
      <formula>"En cours"</formula>
    </cfRule>
  </conditionalFormatting>
  <conditionalFormatting sqref="AK72">
    <cfRule type="cellIs" dxfId="1668" priority="91196" stopIfTrue="1" operator="notEqual">
      <formula>"En cours"</formula>
    </cfRule>
  </conditionalFormatting>
  <conditionalFormatting sqref="AJ61">
    <cfRule type="cellIs" dxfId="1667" priority="91197" stopIfTrue="1" operator="equal">
      <formula>"En cours"</formula>
    </cfRule>
  </conditionalFormatting>
  <conditionalFormatting sqref="AJ61">
    <cfRule type="cellIs" dxfId="1666" priority="91198" stopIfTrue="1" operator="notEqual">
      <formula>"En cours"</formula>
    </cfRule>
  </conditionalFormatting>
  <conditionalFormatting sqref="AK61">
    <cfRule type="cellIs" dxfId="1665" priority="91199" stopIfTrue="1" operator="equal">
      <formula>"En cours"</formula>
    </cfRule>
  </conditionalFormatting>
  <conditionalFormatting sqref="AK61">
    <cfRule type="cellIs" dxfId="1664" priority="91200" stopIfTrue="1" operator="notEqual">
      <formula>"En cours"</formula>
    </cfRule>
  </conditionalFormatting>
  <conditionalFormatting sqref="AJ68">
    <cfRule type="cellIs" dxfId="1663" priority="91201" stopIfTrue="1" operator="equal">
      <formula>"En cours"</formula>
    </cfRule>
  </conditionalFormatting>
  <conditionalFormatting sqref="AJ68">
    <cfRule type="cellIs" dxfId="1662" priority="91202" stopIfTrue="1" operator="notEqual">
      <formula>"En cours"</formula>
    </cfRule>
  </conditionalFormatting>
  <conditionalFormatting sqref="AK68">
    <cfRule type="cellIs" dxfId="1661" priority="91203" stopIfTrue="1" operator="equal">
      <formula>"En cours"</formula>
    </cfRule>
  </conditionalFormatting>
  <conditionalFormatting sqref="AK68">
    <cfRule type="cellIs" dxfId="1660" priority="91204" stopIfTrue="1" operator="notEqual">
      <formula>"En cours"</formula>
    </cfRule>
  </conditionalFormatting>
  <conditionalFormatting sqref="AJ69">
    <cfRule type="cellIs" dxfId="1659" priority="91205" stopIfTrue="1" operator="equal">
      <formula>"En cours"</formula>
    </cfRule>
  </conditionalFormatting>
  <conditionalFormatting sqref="AJ69">
    <cfRule type="cellIs" dxfId="1658" priority="91206" stopIfTrue="1" operator="notEqual">
      <formula>"En cours"</formula>
    </cfRule>
  </conditionalFormatting>
  <conditionalFormatting sqref="AK69">
    <cfRule type="cellIs" dxfId="1657" priority="91207" stopIfTrue="1" operator="equal">
      <formula>"En cours"</formula>
    </cfRule>
  </conditionalFormatting>
  <conditionalFormatting sqref="AK69">
    <cfRule type="cellIs" dxfId="1656" priority="91208" stopIfTrue="1" operator="notEqual">
      <formula>"En cours"</formula>
    </cfRule>
  </conditionalFormatting>
  <conditionalFormatting sqref="AJ63">
    <cfRule type="cellIs" dxfId="1655" priority="91209" stopIfTrue="1" operator="equal">
      <formula>"En cours"</formula>
    </cfRule>
  </conditionalFormatting>
  <conditionalFormatting sqref="AJ63">
    <cfRule type="cellIs" dxfId="1654" priority="91210" stopIfTrue="1" operator="notEqual">
      <formula>"En cours"</formula>
    </cfRule>
  </conditionalFormatting>
  <conditionalFormatting sqref="AK63">
    <cfRule type="cellIs" dxfId="1653" priority="91211" stopIfTrue="1" operator="equal">
      <formula>"En cours"</formula>
    </cfRule>
  </conditionalFormatting>
  <conditionalFormatting sqref="AK63">
    <cfRule type="cellIs" dxfId="1652" priority="91212" stopIfTrue="1" operator="notEqual">
      <formula>"En cours"</formula>
    </cfRule>
  </conditionalFormatting>
  <conditionalFormatting sqref="AJ71">
    <cfRule type="cellIs" dxfId="1651" priority="91213" stopIfTrue="1" operator="equal">
      <formula>"En cours"</formula>
    </cfRule>
  </conditionalFormatting>
  <conditionalFormatting sqref="AJ71">
    <cfRule type="cellIs" dxfId="1650" priority="91214" stopIfTrue="1" operator="notEqual">
      <formula>"En cours"</formula>
    </cfRule>
  </conditionalFormatting>
  <conditionalFormatting sqref="AK71">
    <cfRule type="cellIs" dxfId="1649" priority="91215" stopIfTrue="1" operator="equal">
      <formula>"En cours"</formula>
    </cfRule>
  </conditionalFormatting>
  <conditionalFormatting sqref="AK71">
    <cfRule type="cellIs" dxfId="1648" priority="91216" stopIfTrue="1" operator="notEqual">
      <formula>"En cours"</formula>
    </cfRule>
  </conditionalFormatting>
  <conditionalFormatting sqref="AJ73">
    <cfRule type="cellIs" dxfId="1647" priority="91217" stopIfTrue="1" operator="equal">
      <formula>"En cours"</formula>
    </cfRule>
  </conditionalFormatting>
  <conditionalFormatting sqref="AJ73">
    <cfRule type="cellIs" dxfId="1646" priority="91218" stopIfTrue="1" operator="notEqual">
      <formula>"En cours"</formula>
    </cfRule>
  </conditionalFormatting>
  <conditionalFormatting sqref="AK73">
    <cfRule type="cellIs" dxfId="1645" priority="91219" stopIfTrue="1" operator="equal">
      <formula>"En cours"</formula>
    </cfRule>
  </conditionalFormatting>
  <conditionalFormatting sqref="AK73">
    <cfRule type="cellIs" dxfId="1644" priority="91220" stopIfTrue="1" operator="notEqual">
      <formula>"En cours"</formula>
    </cfRule>
  </conditionalFormatting>
  <conditionalFormatting sqref="AJ76">
    <cfRule type="cellIs" dxfId="1643" priority="91221" stopIfTrue="1" operator="equal">
      <formula>"En cours"</formula>
    </cfRule>
  </conditionalFormatting>
  <conditionalFormatting sqref="AJ76">
    <cfRule type="cellIs" dxfId="1642" priority="91222" stopIfTrue="1" operator="notEqual">
      <formula>"En cours"</formula>
    </cfRule>
  </conditionalFormatting>
  <conditionalFormatting sqref="AK76">
    <cfRule type="cellIs" dxfId="1641" priority="91223" stopIfTrue="1" operator="equal">
      <formula>"En cours"</formula>
    </cfRule>
  </conditionalFormatting>
  <conditionalFormatting sqref="AK76">
    <cfRule type="cellIs" dxfId="1640" priority="91224" stopIfTrue="1" operator="notEqual">
      <formula>"En cours"</formula>
    </cfRule>
  </conditionalFormatting>
  <conditionalFormatting sqref="AJ74">
    <cfRule type="cellIs" dxfId="1639" priority="91225" stopIfTrue="1" operator="equal">
      <formula>"En cours"</formula>
    </cfRule>
  </conditionalFormatting>
  <conditionalFormatting sqref="AJ74">
    <cfRule type="cellIs" dxfId="1638" priority="91226" stopIfTrue="1" operator="notEqual">
      <formula>"En cours"</formula>
    </cfRule>
  </conditionalFormatting>
  <conditionalFormatting sqref="AK74">
    <cfRule type="cellIs" dxfId="1637" priority="91227" stopIfTrue="1" operator="equal">
      <formula>"En cours"</formula>
    </cfRule>
  </conditionalFormatting>
  <conditionalFormatting sqref="AK74">
    <cfRule type="cellIs" dxfId="1636" priority="91228" stopIfTrue="1" operator="notEqual">
      <formula>"En cours"</formula>
    </cfRule>
  </conditionalFormatting>
  <conditionalFormatting sqref="AJ75">
    <cfRule type="cellIs" dxfId="1635" priority="91229" stopIfTrue="1" operator="equal">
      <formula>"En cours"</formula>
    </cfRule>
  </conditionalFormatting>
  <conditionalFormatting sqref="AJ75">
    <cfRule type="cellIs" dxfId="1634" priority="91230" stopIfTrue="1" operator="notEqual">
      <formula>"En cours"</formula>
    </cfRule>
  </conditionalFormatting>
  <conditionalFormatting sqref="AK75">
    <cfRule type="cellIs" dxfId="1633" priority="91231" stopIfTrue="1" operator="equal">
      <formula>"En cours"</formula>
    </cfRule>
  </conditionalFormatting>
  <conditionalFormatting sqref="AK75">
    <cfRule type="cellIs" dxfId="1632" priority="91232" stopIfTrue="1" operator="notEqual">
      <formula>"En cours"</formula>
    </cfRule>
  </conditionalFormatting>
  <conditionalFormatting sqref="AJ77">
    <cfRule type="cellIs" dxfId="1631" priority="91233" stopIfTrue="1" operator="equal">
      <formula>"En cours"</formula>
    </cfRule>
  </conditionalFormatting>
  <conditionalFormatting sqref="AJ77">
    <cfRule type="cellIs" dxfId="1630" priority="91234" stopIfTrue="1" operator="notEqual">
      <formula>"En cours"</formula>
    </cfRule>
  </conditionalFormatting>
  <conditionalFormatting sqref="AK77">
    <cfRule type="cellIs" dxfId="1629" priority="91235" stopIfTrue="1" operator="equal">
      <formula>"En cours"</formula>
    </cfRule>
  </conditionalFormatting>
  <conditionalFormatting sqref="AK77">
    <cfRule type="cellIs" dxfId="1628" priority="9123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89" t="s">
        <v>18</v>
      </c>
      <c r="G2" s="190"/>
      <c r="H2" s="190"/>
      <c r="I2" s="191"/>
      <c r="J2" s="192" t="s">
        <v>19</v>
      </c>
      <c r="K2" s="193"/>
      <c r="L2" s="193"/>
      <c r="M2" s="194"/>
      <c r="N2" s="195" t="s">
        <v>20</v>
      </c>
      <c r="O2" s="190"/>
      <c r="P2" s="190"/>
      <c r="Q2" s="191"/>
      <c r="R2" s="192" t="s">
        <v>21</v>
      </c>
      <c r="S2" s="193"/>
      <c r="T2" s="193"/>
      <c r="U2" s="194"/>
      <c r="V2" s="195" t="s">
        <v>22</v>
      </c>
      <c r="W2" s="190"/>
      <c r="X2" s="190"/>
      <c r="Y2" s="191"/>
      <c r="Z2" s="192" t="s">
        <v>23</v>
      </c>
      <c r="AA2" s="193"/>
      <c r="AB2" s="193"/>
      <c r="AC2" s="196"/>
      <c r="AD2" s="182" t="s">
        <v>24</v>
      </c>
      <c r="AE2" s="183"/>
      <c r="AF2" s="184" t="s">
        <v>17</v>
      </c>
      <c r="AG2" s="185"/>
      <c r="AH2" s="185"/>
      <c r="AI2" s="186"/>
      <c r="AJ2" s="187" t="s">
        <v>25</v>
      </c>
      <c r="AK2" s="18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99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200" t="str">
        <f>IF(MIN(F4,J4,N4,R4,V4,Z4)&lt;&gt;0,MIN(F4,J4,N4,R4,V4,Z4),"")</f>
        <v/>
      </c>
      <c r="AE4" s="200" t="str">
        <f>IF(MIN(H4,L4,P4,T4,X4,AB4)&lt;&gt;0,MIN(H4,L4,P4,T4,X4,AB4),"")</f>
        <v/>
      </c>
      <c r="AF4" s="200"/>
      <c r="AG4" s="199"/>
      <c r="AH4" s="200"/>
      <c r="AI4" s="199"/>
      <c r="AJ4" s="161" t="str">
        <f>IF(AD4="","",IF(ISBLANK(AF4),"En cours",AD4+AF4))</f>
        <v/>
      </c>
      <c r="AK4" s="161" t="str">
        <f>IF(AE4="","",IF(ISBLANK(AH4),"En cours",AE4+AH4))</f>
        <v/>
      </c>
    </row>
    <row r="5" spans="2:37" ht="21" x14ac:dyDescent="0.35"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200" t="str">
        <f>IF(MIN(F5,J5,N5,R5,V5,Z5)&lt;&gt;0,MIN(F5,J5,N5,R5,V5,Z5),"")</f>
        <v/>
      </c>
      <c r="AE5" s="200" t="str">
        <f>IF(MIN(H5,L5,P5,T5,X5,AB5)&lt;&gt;0,MIN(H5,L5,P5,T5,X5,AB5),"")</f>
        <v/>
      </c>
      <c r="AF5" s="200"/>
      <c r="AG5" s="199"/>
      <c r="AH5" s="200"/>
      <c r="AI5" s="199"/>
      <c r="AJ5" s="161" t="str">
        <f>IF(AD5="","",IF(ISBLANK(AF5),"En cours",AD5+AF5))</f>
        <v/>
      </c>
      <c r="AK5" s="161" t="str">
        <f>IF(AE5="","",IF(ISBLANK(AH5),"En cours",AE5+AH5))</f>
        <v/>
      </c>
    </row>
    <row r="6" spans="2:37" ht="21" x14ac:dyDescent="0.35"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99"/>
      <c r="AC6" s="199"/>
      <c r="AD6" s="200" t="str">
        <f>IF(MIN(F6,J6,N6,R6,V6,Z6)&lt;&gt;0,MIN(F6,J6,N6,R6,V6,Z6),"")</f>
        <v/>
      </c>
      <c r="AE6" s="200" t="str">
        <f>IF(MIN(H6,L6,P6,T6,X6,AB6)&lt;&gt;0,MIN(H6,L6,P6,T6,X6,AB6),"")</f>
        <v/>
      </c>
      <c r="AF6" s="200"/>
      <c r="AG6" s="199"/>
      <c r="AH6" s="200"/>
      <c r="AI6" s="199"/>
      <c r="AJ6" s="161" t="str">
        <f>IF(AD6="","",IF(ISBLANK(AF6),"En cours",AD6+AF6))</f>
        <v/>
      </c>
      <c r="AK6" s="161" t="str">
        <f>IF(AE6="","",IF(ISBLANK(AH6),"En cours",AE6+AH6))</f>
        <v/>
      </c>
    </row>
    <row r="7" spans="2:37" ht="21" x14ac:dyDescent="0.35">
      <c r="B7" s="199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200" t="str">
        <f>IF(MIN(F7,J7,N7,R7,V7,Z7)&lt;&gt;0,MIN(F7,J7,N7,R7,V7,Z7),"")</f>
        <v/>
      </c>
      <c r="AE7" s="200" t="str">
        <f>IF(MIN(H7,L7,P7,T7,X7,AB7)&lt;&gt;0,MIN(H7,L7,P7,T7,X7,AB7),"")</f>
        <v/>
      </c>
      <c r="AF7" s="200"/>
      <c r="AG7" s="199"/>
      <c r="AH7" s="200"/>
      <c r="AI7" s="199"/>
      <c r="AJ7" s="161" t="str">
        <f>IF(AD7="","",IF(ISBLANK(AF7),"En cours",AD7+AF7))</f>
        <v/>
      </c>
      <c r="AK7" s="161" t="str">
        <f>IF(AE7="","",IF(ISBLANK(AH7),"En cours",AE7+AH7))</f>
        <v/>
      </c>
    </row>
    <row r="8" spans="2:37" ht="21" x14ac:dyDescent="0.35"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  <c r="W8" s="199"/>
      <c r="X8" s="199"/>
      <c r="Y8" s="199"/>
      <c r="Z8" s="199"/>
      <c r="AA8" s="199"/>
      <c r="AB8" s="199"/>
      <c r="AC8" s="199"/>
      <c r="AD8" s="200" t="str">
        <f>IF(MIN(F8,J8,N8,R8,V8,Z8)&lt;&gt;0,MIN(F8,J8,N8,R8,V8,Z8),"")</f>
        <v/>
      </c>
      <c r="AE8" s="200" t="str">
        <f>IF(MIN(H8,L8,P8,T8,X8,AB8)&lt;&gt;0,MIN(H8,L8,P8,T8,X8,AB8),"")</f>
        <v/>
      </c>
      <c r="AF8" s="200"/>
      <c r="AG8" s="199"/>
      <c r="AH8" s="200"/>
      <c r="AI8" s="199"/>
      <c r="AJ8" s="161" t="str">
        <f>IF(AD8="","",IF(ISBLANK(AF8),"En cours",AD8+AF8))</f>
        <v/>
      </c>
      <c r="AK8" s="161" t="str">
        <f>IF(AE8="","",IF(ISBLANK(AH8),"En cours",AE8+AH8))</f>
        <v/>
      </c>
    </row>
    <row r="9" spans="2:37" ht="21" x14ac:dyDescent="0.35">
      <c r="B9" s="199"/>
      <c r="C9" s="199"/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199"/>
      <c r="W9" s="199"/>
      <c r="X9" s="199"/>
      <c r="Y9" s="199"/>
      <c r="Z9" s="199"/>
      <c r="AA9" s="199"/>
      <c r="AB9" s="199"/>
      <c r="AC9" s="199"/>
      <c r="AD9" s="200" t="str">
        <f>IF(MIN(F9,J9,N9,R9,V9,Z9)&lt;&gt;0,MIN(F9,J9,N9,R9,V9,Z9),"")</f>
        <v/>
      </c>
      <c r="AE9" s="200" t="str">
        <f>IF(MIN(H9,L9,P9,T9,X9,AB9)&lt;&gt;0,MIN(H9,L9,P9,T9,X9,AB9),"")</f>
        <v/>
      </c>
      <c r="AF9" s="200"/>
      <c r="AG9" s="199"/>
      <c r="AH9" s="200"/>
      <c r="AI9" s="199"/>
      <c r="AJ9" s="161" t="str">
        <f>IF(AD9="","",IF(ISBLANK(AF9),"En cours",AD9+AF9))</f>
        <v/>
      </c>
      <c r="AK9" s="161" t="str">
        <f>IF(AE9="","",IF(ISBLANK(AH9),"En cours",AE9+AH9))</f>
        <v/>
      </c>
    </row>
    <row r="10" spans="2:37" ht="21" x14ac:dyDescent="0.35"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200" t="str">
        <f>IF(MIN(F10,J10,N10,R10,V10,Z10)&lt;&gt;0,MIN(F10,J10,N10,R10,V10,Z10),"")</f>
        <v/>
      </c>
      <c r="AE10" s="200" t="str">
        <f>IF(MIN(H10,L10,P10,T10,X10,AB10)&lt;&gt;0,MIN(H10,L10,P10,T10,X10,AB10),"")</f>
        <v/>
      </c>
      <c r="AF10" s="200"/>
      <c r="AG10" s="199"/>
      <c r="AH10" s="200"/>
      <c r="AI10" s="199"/>
      <c r="AJ10" s="161" t="str">
        <f>IF(AD10="","",IF(ISBLANK(AF10),"En cours",AD10+AF10))</f>
        <v/>
      </c>
      <c r="AK10" s="161" t="str">
        <f>IF(AE10="","",IF(ISBLANK(AH10),"En cours",AE10+AH10))</f>
        <v/>
      </c>
    </row>
    <row r="11" spans="2:37" ht="21" x14ac:dyDescent="0.35"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200" t="str">
        <f>IF(MIN(F11,J11,N11,R11,V11,Z11)&lt;&gt;0,MIN(F11,J11,N11,R11,V11,Z11),"")</f>
        <v/>
      </c>
      <c r="AE11" s="200" t="str">
        <f>IF(MIN(H11,L11,P11,T11,X11,AB11)&lt;&gt;0,MIN(H11,L11,P11,T11,X11,AB11),"")</f>
        <v/>
      </c>
      <c r="AF11" s="200"/>
      <c r="AG11" s="199"/>
      <c r="AH11" s="200"/>
      <c r="AI11" s="199"/>
      <c r="AJ11" s="161" t="str">
        <f>IF(AD11="","",IF(ISBLANK(AF11),"En cours",AD11+AF11))</f>
        <v/>
      </c>
      <c r="AK11" s="161" t="str">
        <f>IF(AE11="","",IF(ISBLANK(AH11),"En cours",AE11+AH11))</f>
        <v/>
      </c>
    </row>
    <row r="12" spans="2:37" ht="21" x14ac:dyDescent="0.35"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  <c r="AB12" s="199"/>
      <c r="AC12" s="199"/>
      <c r="AD12" s="200" t="str">
        <f>IF(MIN(F12,J12,N12,R12,V12,Z12)&lt;&gt;0,MIN(F12,J12,N12,R12,V12,Z12),"")</f>
        <v/>
      </c>
      <c r="AE12" s="200" t="str">
        <f>IF(MIN(H12,L12,P12,T12,X12,AB12)&lt;&gt;0,MIN(H12,L12,P12,T12,X12,AB12),"")</f>
        <v/>
      </c>
      <c r="AF12" s="200"/>
      <c r="AG12" s="199"/>
      <c r="AH12" s="200"/>
      <c r="AI12" s="199"/>
      <c r="AJ12" s="161" t="str">
        <f>IF(AD12="","",IF(ISBLANK(AF12),"En cours",AD12+AF12))</f>
        <v/>
      </c>
      <c r="AK12" s="161" t="str">
        <f>IF(AE12="","",IF(ISBLANK(AH12),"En cours",AE12+AH12))</f>
        <v/>
      </c>
    </row>
    <row r="13" spans="2:37" ht="21" x14ac:dyDescent="0.35"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200" t="str">
        <f>IF(MIN(F13,J13,N13,R13,V13,Z13)&lt;&gt;0,MIN(F13,J13,N13,R13,V13,Z13),"")</f>
        <v/>
      </c>
      <c r="AE13" s="200" t="str">
        <f>IF(MIN(H13,L13,P13,T13,X13,AB13)&lt;&gt;0,MIN(H13,L13,P13,T13,X13,AB13),"")</f>
        <v/>
      </c>
      <c r="AF13" s="200"/>
      <c r="AG13" s="199"/>
      <c r="AH13" s="200"/>
      <c r="AI13" s="199"/>
      <c r="AJ13" s="161" t="str">
        <f>IF(AD13="","",IF(ISBLANK(AF13),"En cours",AD13+AF13))</f>
        <v/>
      </c>
      <c r="AK13" s="161" t="str">
        <f>IF(AE13="","",IF(ISBLANK(AH13),"En cours",AE13+AH13))</f>
        <v/>
      </c>
    </row>
    <row r="14" spans="2:37" ht="21" x14ac:dyDescent="0.35"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  <c r="AA14" s="199"/>
      <c r="AB14" s="199"/>
      <c r="AC14" s="199"/>
      <c r="AD14" s="200" t="str">
        <f>IF(MIN(F14,J14,N14,R14,V14,Z14)&lt;&gt;0,MIN(F14,J14,N14,R14,V14,Z14),"")</f>
        <v/>
      </c>
      <c r="AE14" s="200" t="str">
        <f>IF(MIN(H14,L14,P14,T14,X14,AB14)&lt;&gt;0,MIN(H14,L14,P14,T14,X14,AB14),"")</f>
        <v/>
      </c>
      <c r="AF14" s="200"/>
      <c r="AG14" s="199"/>
      <c r="AH14" s="200"/>
      <c r="AI14" s="199"/>
      <c r="AJ14" s="161" t="str">
        <f>IF(AD14="","",IF(ISBLANK(AF14),"En cours",AD14+AF14))</f>
        <v/>
      </c>
      <c r="AK14" s="161" t="str">
        <f>IF(AE14="","",IF(ISBLANK(AH14),"En cours",AE14+AH14))</f>
        <v/>
      </c>
    </row>
    <row r="15" spans="2:37" ht="21" x14ac:dyDescent="0.35">
      <c r="B15" s="199"/>
      <c r="C15" s="199"/>
      <c r="D15" s="199"/>
      <c r="E15" s="199"/>
      <c r="F15" s="199"/>
      <c r="G15" s="199"/>
      <c r="H15" s="199"/>
      <c r="I15" s="199"/>
      <c r="J15" s="199"/>
      <c r="K15" s="199"/>
      <c r="L15" s="199"/>
      <c r="M15" s="199"/>
      <c r="N15" s="199"/>
      <c r="O15" s="199"/>
      <c r="P15" s="199"/>
      <c r="Q15" s="199"/>
      <c r="R15" s="199"/>
      <c r="S15" s="199"/>
      <c r="T15" s="199"/>
      <c r="U15" s="199"/>
      <c r="V15" s="199"/>
      <c r="W15" s="199"/>
      <c r="X15" s="199"/>
      <c r="Y15" s="199"/>
      <c r="Z15" s="199"/>
      <c r="AA15" s="199"/>
      <c r="AB15" s="199"/>
      <c r="AC15" s="199"/>
      <c r="AD15" s="200" t="str">
        <f>IF(MIN(F15,J15,N15,R15,V15,Z15)&lt;&gt;0,MIN(F15,J15,N15,R15,V15,Z15),"")</f>
        <v/>
      </c>
      <c r="AE15" s="200" t="str">
        <f>IF(MIN(H15,L15,P15,T15,X15,AB15)&lt;&gt;0,MIN(H15,L15,P15,T15,X15,AB15),"")</f>
        <v/>
      </c>
      <c r="AF15" s="200"/>
      <c r="AG15" s="199"/>
      <c r="AH15" s="200"/>
      <c r="AI15" s="199"/>
      <c r="AJ15" s="161" t="str">
        <f>IF(AD15="","",IF(ISBLANK(AF15),"En cours",AD15+AF15))</f>
        <v/>
      </c>
      <c r="AK15" s="161" t="str">
        <f>IF(AE15="","",IF(ISBLANK(AH15),"En cours",AE15+AH15))</f>
        <v/>
      </c>
    </row>
    <row r="16" spans="2:37" ht="21" x14ac:dyDescent="0.3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200" t="str">
        <f>IF(MIN(F16,J16,N16,R16,V16,Z16)&lt;&gt;0,MIN(F16,J16,N16,R16,V16,Z16),"")</f>
        <v/>
      </c>
      <c r="AE16" s="200" t="str">
        <f>IF(MIN(H16,L16,P16,T16,X16,AB16)&lt;&gt;0,MIN(H16,L16,P16,T16,X16,AB16),"")</f>
        <v/>
      </c>
      <c r="AF16" s="200"/>
      <c r="AG16" s="199"/>
      <c r="AH16" s="200"/>
      <c r="AI16" s="199"/>
      <c r="AJ16" s="161" t="str">
        <f>IF(AD16="","",IF(ISBLANK(AF16),"En cours",AD16+AF16))</f>
        <v/>
      </c>
      <c r="AK16" s="161" t="str">
        <f>IF(AE16="","",IF(ISBLANK(AH16),"En cours",AE16+AH16))</f>
        <v/>
      </c>
    </row>
    <row r="17" spans="2:37" ht="21" x14ac:dyDescent="0.35">
      <c r="B17" s="199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200" t="str">
        <f>IF(MIN(F17,J17,N17,R17,V17,Z17)&lt;&gt;0,MIN(F17,J17,N17,R17,V17,Z17),"")</f>
        <v/>
      </c>
      <c r="AE17" s="200" t="str">
        <f>IF(MIN(H17,L17,P17,T17,X17,AB17)&lt;&gt;0,MIN(H17,L17,P17,T17,X17,AB17),"")</f>
        <v/>
      </c>
      <c r="AF17" s="200"/>
      <c r="AG17" s="199"/>
      <c r="AH17" s="200"/>
      <c r="AI17" s="199"/>
      <c r="AJ17" s="161" t="str">
        <f>IF(AD17="","",IF(ISBLANK(AF17),"En cours",AD17+AF17))</f>
        <v/>
      </c>
      <c r="AK17" s="161" t="str">
        <f>IF(AE17="","",IF(ISBLANK(AH17),"En cours",AE17+AH17))</f>
        <v/>
      </c>
    </row>
    <row r="18" spans="2:37" ht="21" x14ac:dyDescent="0.35"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200" t="str">
        <f>IF(MIN(F18,J18,N18,R18,V18,Z18)&lt;&gt;0,MIN(F18,J18,N18,R18,V18,Z18),"")</f>
        <v/>
      </c>
      <c r="AE18" s="200" t="str">
        <f>IF(MIN(H18,L18,P18,T18,X18,AB18)&lt;&gt;0,MIN(H18,L18,P18,T18,X18,AB18),"")</f>
        <v/>
      </c>
      <c r="AF18" s="200"/>
      <c r="AG18" s="199"/>
      <c r="AH18" s="200"/>
      <c r="AI18" s="199"/>
      <c r="AJ18" s="161" t="str">
        <f>IF(AD18="","",IF(ISBLANK(AF18),"En cours",AD18+AF18))</f>
        <v/>
      </c>
      <c r="AK18" s="161" t="str">
        <f>IF(AE18="","",IF(ISBLANK(AH18),"En cours",AE18+AH18))</f>
        <v/>
      </c>
    </row>
    <row r="19" spans="2:37" ht="21" x14ac:dyDescent="0.35">
      <c r="B19" s="199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200" t="str">
        <f>IF(MIN(F19,J19,N19,R19,V19,Z19)&lt;&gt;0,MIN(F19,J19,N19,R19,V19,Z19),"")</f>
        <v/>
      </c>
      <c r="AE19" s="200" t="str">
        <f>IF(MIN(H19,L19,P19,T19,X19,AB19)&lt;&gt;0,MIN(H19,L19,P19,T19,X19,AB19),"")</f>
        <v/>
      </c>
      <c r="AF19" s="200"/>
      <c r="AG19" s="199"/>
      <c r="AH19" s="200"/>
      <c r="AI19" s="199"/>
      <c r="AJ19" s="161" t="str">
        <f>IF(AD19="","",IF(ISBLANK(AF19),"En cours",AD19+AF19))</f>
        <v/>
      </c>
      <c r="AK19" s="161" t="str">
        <f>IF(AE19="","",IF(ISBLANK(AH19),"En cours",AE19+AH19))</f>
        <v/>
      </c>
    </row>
    <row r="20" spans="2:37" ht="21" x14ac:dyDescent="0.35">
      <c r="B20" s="199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199"/>
      <c r="AB20" s="199"/>
      <c r="AC20" s="199"/>
      <c r="AD20" s="200" t="str">
        <f>IF(MIN(F20,J20,N20,R20,V20,Z20)&lt;&gt;0,MIN(F20,J20,N20,R20,V20,Z20),"")</f>
        <v/>
      </c>
      <c r="AE20" s="200" t="str">
        <f>IF(MIN(H20,L20,P20,T20,X20,AB20)&lt;&gt;0,MIN(H20,L20,P20,T20,X20,AB20),"")</f>
        <v/>
      </c>
      <c r="AF20" s="200"/>
      <c r="AG20" s="199"/>
      <c r="AH20" s="200"/>
      <c r="AI20" s="199"/>
      <c r="AJ20" s="161" t="str">
        <f>IF(AD20="","",IF(ISBLANK(AF20),"En cours",AD20+AF20))</f>
        <v/>
      </c>
      <c r="AK20" s="161" t="str">
        <f>IF(AE20="","",IF(ISBLANK(AH20),"En cours",AE20+AH20))</f>
        <v/>
      </c>
    </row>
    <row r="21" spans="2:37" ht="21" x14ac:dyDescent="0.35">
      <c r="B21" s="199"/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199"/>
      <c r="AB21" s="199"/>
      <c r="AC21" s="199"/>
      <c r="AD21" s="200" t="str">
        <f>IF(MIN(F21,J21,N21,R21,V21,Z21)&lt;&gt;0,MIN(F21,J21,N21,R21,V21,Z21),"")</f>
        <v/>
      </c>
      <c r="AE21" s="200" t="str">
        <f>IF(MIN(H21,L21,P21,T21,X21,AB21)&lt;&gt;0,MIN(H21,L21,P21,T21,X21,AB21),"")</f>
        <v/>
      </c>
      <c r="AF21" s="200"/>
      <c r="AG21" s="199"/>
      <c r="AH21" s="200"/>
      <c r="AI21" s="199"/>
      <c r="AJ21" s="161" t="str">
        <f>IF(AD21="","",IF(ISBLANK(AF21),"En cours",AD21+AF21))</f>
        <v/>
      </c>
      <c r="AK21" s="161" t="str">
        <f>IF(AE21="","",IF(ISBLANK(AH21),"En cours",AE21+AH21))</f>
        <v/>
      </c>
    </row>
    <row r="22" spans="2:37" ht="21" x14ac:dyDescent="0.35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9" t="str">
        <f t="shared" ref="AD4:AD35" si="0">IF(MIN(F22,J22,N22,R22,V22,Z22)&lt;&gt;0,MIN(F22,J22,N22,R22,V22,Z22),"")</f>
        <v/>
      </c>
      <c r="AE22" s="129" t="str">
        <f t="shared" ref="AE4:AE35" si="1">IF(MIN(H22,L22,P22,T22,X22,AB22)&lt;&gt;0,MIN(H22,L22,P22,T22,X22,AB22),"")</f>
        <v/>
      </c>
      <c r="AF22" s="129"/>
      <c r="AG22" s="128"/>
      <c r="AH22" s="129"/>
      <c r="AI22" s="128"/>
      <c r="AJ22" s="127" t="str">
        <f t="shared" ref="AJ4:AJ35" si="2">IF(AD22="","",IF(ISBLANK(AF22),"En cours",AD22+AF22))</f>
        <v/>
      </c>
      <c r="AK22" s="127" t="str">
        <f t="shared" ref="AK4:AK35" si="3">IF(AE22="","",IF(ISBLANK(AH22),"En cours",AE22+AH22))</f>
        <v/>
      </c>
    </row>
    <row r="23" spans="2:37" ht="21" x14ac:dyDescent="0.35"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9" t="str">
        <f t="shared" si="0"/>
        <v/>
      </c>
      <c r="AE23" s="129" t="str">
        <f t="shared" si="1"/>
        <v/>
      </c>
      <c r="AF23" s="129"/>
      <c r="AG23" s="128"/>
      <c r="AH23" s="129"/>
      <c r="AI23" s="128"/>
      <c r="AJ23" s="127" t="str">
        <f t="shared" si="2"/>
        <v/>
      </c>
      <c r="AK23" s="127" t="str">
        <f t="shared" si="3"/>
        <v/>
      </c>
    </row>
    <row r="24" spans="2:37" ht="21" x14ac:dyDescent="0.35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9" t="str">
        <f t="shared" si="0"/>
        <v/>
      </c>
      <c r="AE24" s="129" t="str">
        <f t="shared" si="1"/>
        <v/>
      </c>
      <c r="AF24" s="129"/>
      <c r="AG24" s="128"/>
      <c r="AH24" s="129"/>
      <c r="AI24" s="128"/>
      <c r="AJ24" s="127" t="str">
        <f t="shared" si="2"/>
        <v/>
      </c>
      <c r="AK24" s="127" t="str">
        <f t="shared" si="3"/>
        <v/>
      </c>
    </row>
    <row r="25" spans="2:37" ht="21" x14ac:dyDescent="0.35"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9" t="str">
        <f t="shared" si="0"/>
        <v/>
      </c>
      <c r="AE25" s="129" t="str">
        <f t="shared" si="1"/>
        <v/>
      </c>
      <c r="AF25" s="129"/>
      <c r="AG25" s="128"/>
      <c r="AH25" s="129"/>
      <c r="AI25" s="128"/>
      <c r="AJ25" s="127" t="str">
        <f t="shared" si="2"/>
        <v/>
      </c>
      <c r="AK25" s="127" t="str">
        <f t="shared" si="3"/>
        <v/>
      </c>
    </row>
    <row r="26" spans="2:37" ht="21" x14ac:dyDescent="0.35"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9" t="str">
        <f t="shared" si="0"/>
        <v/>
      </c>
      <c r="AE26" s="129" t="str">
        <f t="shared" si="1"/>
        <v/>
      </c>
      <c r="AF26" s="129"/>
      <c r="AG26" s="128"/>
      <c r="AH26" s="129"/>
      <c r="AI26" s="128"/>
      <c r="AJ26" s="127" t="str">
        <f t="shared" si="2"/>
        <v/>
      </c>
      <c r="AK26" s="127" t="str">
        <f t="shared" si="3"/>
        <v/>
      </c>
    </row>
    <row r="27" spans="2:37" ht="21" x14ac:dyDescent="0.35"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9" t="str">
        <f t="shared" si="0"/>
        <v/>
      </c>
      <c r="AE27" s="129" t="str">
        <f t="shared" si="1"/>
        <v/>
      </c>
      <c r="AF27" s="129"/>
      <c r="AG27" s="128"/>
      <c r="AH27" s="129"/>
      <c r="AI27" s="128"/>
      <c r="AJ27" s="127" t="str">
        <f t="shared" si="2"/>
        <v/>
      </c>
      <c r="AK27" s="127" t="str">
        <f t="shared" si="3"/>
        <v/>
      </c>
    </row>
    <row r="28" spans="2:37" ht="21" x14ac:dyDescent="0.35"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9" t="str">
        <f t="shared" si="0"/>
        <v/>
      </c>
      <c r="AE28" s="129" t="str">
        <f t="shared" si="1"/>
        <v/>
      </c>
      <c r="AF28" s="129"/>
      <c r="AG28" s="128"/>
      <c r="AH28" s="129"/>
      <c r="AI28" s="128"/>
      <c r="AJ28" s="127" t="str">
        <f t="shared" si="2"/>
        <v/>
      </c>
      <c r="AK28" s="127" t="str">
        <f t="shared" si="3"/>
        <v/>
      </c>
    </row>
    <row r="29" spans="2:37" ht="21" x14ac:dyDescent="0.35"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9" t="str">
        <f t="shared" si="0"/>
        <v/>
      </c>
      <c r="AE29" s="129" t="str">
        <f t="shared" si="1"/>
        <v/>
      </c>
      <c r="AF29" s="129"/>
      <c r="AG29" s="128"/>
      <c r="AH29" s="129"/>
      <c r="AI29" s="128"/>
      <c r="AJ29" s="127" t="str">
        <f t="shared" si="2"/>
        <v/>
      </c>
      <c r="AK29" s="127" t="str">
        <f t="shared" si="3"/>
        <v/>
      </c>
    </row>
    <row r="30" spans="2:37" ht="21" x14ac:dyDescent="0.35"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9" t="str">
        <f t="shared" si="0"/>
        <v/>
      </c>
      <c r="AE30" s="129" t="str">
        <f t="shared" si="1"/>
        <v/>
      </c>
      <c r="AF30" s="129"/>
      <c r="AG30" s="128"/>
      <c r="AH30" s="129"/>
      <c r="AI30" s="128"/>
      <c r="AJ30" s="127" t="str">
        <f t="shared" si="2"/>
        <v/>
      </c>
      <c r="AK30" s="127" t="str">
        <f t="shared" si="3"/>
        <v/>
      </c>
    </row>
    <row r="31" spans="2:37" ht="21" x14ac:dyDescent="0.35"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9" t="str">
        <f t="shared" si="0"/>
        <v/>
      </c>
      <c r="AE31" s="129" t="str">
        <f t="shared" si="1"/>
        <v/>
      </c>
      <c r="AF31" s="129"/>
      <c r="AG31" s="128"/>
      <c r="AH31" s="129"/>
      <c r="AI31" s="128"/>
      <c r="AJ31" s="127" t="str">
        <f t="shared" si="2"/>
        <v/>
      </c>
      <c r="AK31" s="127" t="str">
        <f t="shared" si="3"/>
        <v/>
      </c>
    </row>
    <row r="32" spans="2:37" ht="21" x14ac:dyDescent="0.35"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9" t="str">
        <f t="shared" si="0"/>
        <v/>
      </c>
      <c r="AE32" s="129" t="str">
        <f t="shared" si="1"/>
        <v/>
      </c>
      <c r="AF32" s="129"/>
      <c r="AG32" s="128"/>
      <c r="AH32" s="129"/>
      <c r="AI32" s="128"/>
      <c r="AJ32" s="127" t="str">
        <f t="shared" si="2"/>
        <v/>
      </c>
      <c r="AK32" s="127" t="str">
        <f t="shared" si="3"/>
        <v/>
      </c>
    </row>
    <row r="33" spans="2:37" ht="21" x14ac:dyDescent="0.35"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9" t="str">
        <f t="shared" si="0"/>
        <v/>
      </c>
      <c r="AE33" s="129" t="str">
        <f t="shared" si="1"/>
        <v/>
      </c>
      <c r="AF33" s="129"/>
      <c r="AG33" s="128"/>
      <c r="AH33" s="129"/>
      <c r="AI33" s="128"/>
      <c r="AJ33" s="127" t="str">
        <f t="shared" si="2"/>
        <v/>
      </c>
      <c r="AK33" s="127" t="str">
        <f t="shared" si="3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0"/>
        <v/>
      </c>
      <c r="AE34" s="129" t="str">
        <f t="shared" si="1"/>
        <v/>
      </c>
      <c r="AF34" s="129"/>
      <c r="AG34" s="128"/>
      <c r="AH34" s="129"/>
      <c r="AI34" s="128"/>
      <c r="AJ34" s="127" t="str">
        <f t="shared" si="2"/>
        <v/>
      </c>
      <c r="AK34" s="127" t="str">
        <f t="shared" si="3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0"/>
        <v/>
      </c>
      <c r="AE35" s="129" t="str">
        <f t="shared" si="1"/>
        <v/>
      </c>
      <c r="AF35" s="129"/>
      <c r="AG35" s="128"/>
      <c r="AH35" s="129"/>
      <c r="AI35" s="128"/>
      <c r="AJ35" s="127" t="str">
        <f t="shared" si="2"/>
        <v/>
      </c>
      <c r="AK35" s="127" t="str">
        <f t="shared" si="3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ref="AD36:AD67" si="4">IF(MIN(F36,J36,N36,R36,V36,Z36)&lt;&gt;0,MIN(F36,J36,N36,R36,V36,Z36),"")</f>
        <v/>
      </c>
      <c r="AE36" s="126" t="str">
        <f t="shared" ref="AE36:AE67" si="5">IF(MIN(H36,L36,P36,T36,X36,AB36)&lt;&gt;0,MIN(H36,L36,P36,T36,X36,AB36),"")</f>
        <v/>
      </c>
      <c r="AF36" s="126"/>
      <c r="AG36" s="125"/>
      <c r="AH36" s="126"/>
      <c r="AI36" s="125"/>
      <c r="AJ36" s="124" t="str">
        <f t="shared" ref="AJ36:AJ67" si="6">IF(AD36="","",IF(ISBLANK(AF36),"En cours",AD36+AF36))</f>
        <v/>
      </c>
      <c r="AK36" s="124" t="str">
        <f t="shared" ref="AK36:AK67" si="7">IF(AE36="","",IF(ISBLANK(AH36),"En cours",AE36+AH36))</f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4"/>
        <v/>
      </c>
      <c r="AE37" s="97" t="str">
        <f t="shared" si="5"/>
        <v/>
      </c>
      <c r="AF37" s="97"/>
      <c r="AG37" s="96"/>
      <c r="AH37" s="97"/>
      <c r="AI37" s="96"/>
      <c r="AJ37" s="98" t="str">
        <f t="shared" si="6"/>
        <v/>
      </c>
      <c r="AK37" s="99" t="str">
        <f t="shared" si="7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4"/>
        <v/>
      </c>
      <c r="AE38" s="97" t="str">
        <f t="shared" si="5"/>
        <v/>
      </c>
      <c r="AF38" s="97"/>
      <c r="AG38" s="96"/>
      <c r="AH38" s="97"/>
      <c r="AI38" s="96"/>
      <c r="AJ38" s="98" t="str">
        <f t="shared" si="6"/>
        <v/>
      </c>
      <c r="AK38" s="99" t="str">
        <f t="shared" si="7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4"/>
        <v/>
      </c>
      <c r="AE39" s="97" t="str">
        <f t="shared" si="5"/>
        <v/>
      </c>
      <c r="AF39" s="97"/>
      <c r="AG39" s="96"/>
      <c r="AH39" s="97"/>
      <c r="AI39" s="96"/>
      <c r="AJ39" s="98" t="str">
        <f t="shared" si="6"/>
        <v/>
      </c>
      <c r="AK39" s="99" t="str">
        <f t="shared" si="7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4"/>
        <v/>
      </c>
      <c r="AE40" s="97" t="str">
        <f t="shared" si="5"/>
        <v/>
      </c>
      <c r="AF40" s="97"/>
      <c r="AG40" s="96"/>
      <c r="AH40" s="97"/>
      <c r="AI40" s="96"/>
      <c r="AJ40" s="98" t="str">
        <f t="shared" si="6"/>
        <v/>
      </c>
      <c r="AK40" s="99" t="str">
        <f t="shared" si="7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4"/>
        <v/>
      </c>
      <c r="AE41" s="97" t="str">
        <f t="shared" si="5"/>
        <v/>
      </c>
      <c r="AF41" s="97"/>
      <c r="AG41" s="96"/>
      <c r="AH41" s="97"/>
      <c r="AI41" s="96"/>
      <c r="AJ41" s="98" t="str">
        <f t="shared" si="6"/>
        <v/>
      </c>
      <c r="AK41" s="99" t="str">
        <f t="shared" si="7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4"/>
        <v/>
      </c>
      <c r="AE42" s="97" t="str">
        <f t="shared" si="5"/>
        <v/>
      </c>
      <c r="AF42" s="97"/>
      <c r="AG42" s="96"/>
      <c r="AH42" s="97"/>
      <c r="AI42" s="96"/>
      <c r="AJ42" s="98" t="str">
        <f t="shared" si="6"/>
        <v/>
      </c>
      <c r="AK42" s="99" t="str">
        <f t="shared" si="7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4"/>
        <v/>
      </c>
      <c r="AE43" s="97" t="str">
        <f t="shared" si="5"/>
        <v/>
      </c>
      <c r="AF43" s="97"/>
      <c r="AG43" s="96"/>
      <c r="AH43" s="97"/>
      <c r="AI43" s="96"/>
      <c r="AJ43" s="98" t="str">
        <f t="shared" si="6"/>
        <v/>
      </c>
      <c r="AK43" s="99" t="str">
        <f t="shared" si="7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4"/>
        <v/>
      </c>
      <c r="AE44" s="97" t="str">
        <f t="shared" si="5"/>
        <v/>
      </c>
      <c r="AF44" s="97"/>
      <c r="AG44" s="96"/>
      <c r="AH44" s="97"/>
      <c r="AI44" s="96"/>
      <c r="AJ44" s="98" t="str">
        <f t="shared" si="6"/>
        <v/>
      </c>
      <c r="AK44" s="99" t="str">
        <f t="shared" si="7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4"/>
        <v/>
      </c>
      <c r="AE45" s="97" t="str">
        <f t="shared" si="5"/>
        <v/>
      </c>
      <c r="AF45" s="97"/>
      <c r="AG45" s="96"/>
      <c r="AH45" s="97"/>
      <c r="AI45" s="96"/>
      <c r="AJ45" s="98" t="str">
        <f t="shared" si="6"/>
        <v/>
      </c>
      <c r="AK45" s="99" t="str">
        <f t="shared" si="7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4"/>
        <v/>
      </c>
      <c r="AE46" s="97" t="str">
        <f t="shared" si="5"/>
        <v/>
      </c>
      <c r="AF46" s="97"/>
      <c r="AG46" s="96"/>
      <c r="AH46" s="97"/>
      <c r="AI46" s="96"/>
      <c r="AJ46" s="98" t="str">
        <f t="shared" si="6"/>
        <v/>
      </c>
      <c r="AK46" s="99" t="str">
        <f t="shared" si="7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4"/>
        <v/>
      </c>
      <c r="AE47" s="97" t="str">
        <f t="shared" si="5"/>
        <v/>
      </c>
      <c r="AF47" s="97"/>
      <c r="AG47" s="96"/>
      <c r="AH47" s="97"/>
      <c r="AI47" s="96"/>
      <c r="AJ47" s="98" t="str">
        <f t="shared" si="6"/>
        <v/>
      </c>
      <c r="AK47" s="99" t="str">
        <f t="shared" si="7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4"/>
        <v/>
      </c>
      <c r="AE48" s="76" t="str">
        <f t="shared" si="5"/>
        <v/>
      </c>
      <c r="AF48" s="77"/>
      <c r="AG48" s="73"/>
      <c r="AH48" s="77"/>
      <c r="AI48" s="73"/>
      <c r="AJ48" s="78" t="str">
        <f t="shared" si="6"/>
        <v/>
      </c>
      <c r="AK48" s="79" t="str">
        <f t="shared" si="7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4"/>
        <v/>
      </c>
      <c r="AE49" s="76" t="str">
        <f t="shared" si="5"/>
        <v/>
      </c>
      <c r="AF49" s="77"/>
      <c r="AG49" s="73"/>
      <c r="AH49" s="77"/>
      <c r="AI49" s="73"/>
      <c r="AJ49" s="78" t="str">
        <f t="shared" si="6"/>
        <v/>
      </c>
      <c r="AK49" s="79" t="str">
        <f t="shared" si="7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4"/>
        <v/>
      </c>
      <c r="AE50" s="76" t="str">
        <f t="shared" si="5"/>
        <v/>
      </c>
      <c r="AF50" s="77"/>
      <c r="AG50" s="73"/>
      <c r="AH50" s="77"/>
      <c r="AI50" s="73"/>
      <c r="AJ50" s="78" t="str">
        <f t="shared" si="6"/>
        <v/>
      </c>
      <c r="AK50" s="79" t="str">
        <f t="shared" si="7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4"/>
        <v/>
      </c>
      <c r="AE51" s="76" t="str">
        <f t="shared" si="5"/>
        <v/>
      </c>
      <c r="AF51" s="77"/>
      <c r="AG51" s="73"/>
      <c r="AH51" s="77"/>
      <c r="AI51" s="73"/>
      <c r="AJ51" s="78" t="str">
        <f t="shared" si="6"/>
        <v/>
      </c>
      <c r="AK51" s="79" t="str">
        <f t="shared" si="7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4"/>
        <v/>
      </c>
      <c r="AE52" s="76" t="str">
        <f t="shared" si="5"/>
        <v/>
      </c>
      <c r="AF52" s="77"/>
      <c r="AG52" s="73"/>
      <c r="AH52" s="77"/>
      <c r="AI52" s="73"/>
      <c r="AJ52" s="78" t="str">
        <f t="shared" si="6"/>
        <v/>
      </c>
      <c r="AK52" s="79" t="str">
        <f t="shared" si="7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4"/>
        <v/>
      </c>
      <c r="AE53" s="76" t="str">
        <f t="shared" si="5"/>
        <v/>
      </c>
      <c r="AF53" s="77"/>
      <c r="AG53" s="73"/>
      <c r="AH53" s="77"/>
      <c r="AI53" s="73"/>
      <c r="AJ53" s="78" t="str">
        <f t="shared" si="6"/>
        <v/>
      </c>
      <c r="AK53" s="79" t="str">
        <f t="shared" si="7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4"/>
        <v/>
      </c>
      <c r="AE54" s="76" t="str">
        <f t="shared" si="5"/>
        <v/>
      </c>
      <c r="AF54" s="77"/>
      <c r="AG54" s="73"/>
      <c r="AH54" s="77"/>
      <c r="AI54" s="73"/>
      <c r="AJ54" s="78" t="str">
        <f t="shared" si="6"/>
        <v/>
      </c>
      <c r="AK54" s="79" t="str">
        <f t="shared" si="7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4"/>
        <v/>
      </c>
      <c r="AE55" s="76" t="str">
        <f t="shared" si="5"/>
        <v/>
      </c>
      <c r="AF55" s="77"/>
      <c r="AG55" s="73"/>
      <c r="AH55" s="77"/>
      <c r="AI55" s="73"/>
      <c r="AJ55" s="78" t="str">
        <f t="shared" si="6"/>
        <v/>
      </c>
      <c r="AK55" s="79" t="str">
        <f t="shared" si="7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4"/>
        <v/>
      </c>
      <c r="AE56" s="76" t="str">
        <f t="shared" si="5"/>
        <v/>
      </c>
      <c r="AF56" s="77"/>
      <c r="AG56" s="73"/>
      <c r="AH56" s="77"/>
      <c r="AI56" s="73"/>
      <c r="AJ56" s="78" t="str">
        <f t="shared" si="6"/>
        <v/>
      </c>
      <c r="AK56" s="79" t="str">
        <f t="shared" si="7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4"/>
        <v/>
      </c>
      <c r="AE57" s="76" t="str">
        <f t="shared" si="5"/>
        <v/>
      </c>
      <c r="AF57" s="77"/>
      <c r="AG57" s="73"/>
      <c r="AH57" s="77"/>
      <c r="AI57" s="73"/>
      <c r="AJ57" s="78" t="str">
        <f t="shared" si="6"/>
        <v/>
      </c>
      <c r="AK57" s="79" t="str">
        <f t="shared" si="7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4"/>
        <v/>
      </c>
      <c r="AE58" s="76" t="str">
        <f t="shared" si="5"/>
        <v/>
      </c>
      <c r="AF58" s="77"/>
      <c r="AG58" s="73"/>
      <c r="AH58" s="77"/>
      <c r="AI58" s="73"/>
      <c r="AJ58" s="78" t="str">
        <f t="shared" si="6"/>
        <v/>
      </c>
      <c r="AK58" s="79" t="str">
        <f t="shared" si="7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4"/>
        <v/>
      </c>
      <c r="AE59" s="76" t="str">
        <f t="shared" si="5"/>
        <v/>
      </c>
      <c r="AF59" s="77"/>
      <c r="AG59" s="73"/>
      <c r="AH59" s="77"/>
      <c r="AI59" s="73"/>
      <c r="AJ59" s="78" t="str">
        <f t="shared" si="6"/>
        <v/>
      </c>
      <c r="AK59" s="79" t="str">
        <f t="shared" si="7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4"/>
        <v/>
      </c>
      <c r="AE60" s="76" t="str">
        <f t="shared" si="5"/>
        <v/>
      </c>
      <c r="AF60" s="77"/>
      <c r="AG60" s="73"/>
      <c r="AH60" s="77"/>
      <c r="AI60" s="73"/>
      <c r="AJ60" s="78" t="str">
        <f t="shared" si="6"/>
        <v/>
      </c>
      <c r="AK60" s="79" t="str">
        <f t="shared" si="7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4"/>
        <v/>
      </c>
      <c r="AE61" s="76" t="str">
        <f t="shared" si="5"/>
        <v/>
      </c>
      <c r="AF61" s="77"/>
      <c r="AG61" s="73"/>
      <c r="AH61" s="77"/>
      <c r="AI61" s="73"/>
      <c r="AJ61" s="78" t="str">
        <f t="shared" si="6"/>
        <v/>
      </c>
      <c r="AK61" s="79" t="str">
        <f t="shared" si="7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4"/>
        <v/>
      </c>
      <c r="AE62" s="76" t="str">
        <f t="shared" si="5"/>
        <v/>
      </c>
      <c r="AF62" s="77"/>
      <c r="AG62" s="73"/>
      <c r="AH62" s="77"/>
      <c r="AI62" s="73"/>
      <c r="AJ62" s="78" t="str">
        <f t="shared" si="6"/>
        <v/>
      </c>
      <c r="AK62" s="79" t="str">
        <f t="shared" si="7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4"/>
        <v/>
      </c>
      <c r="AE63" s="76" t="str">
        <f t="shared" si="5"/>
        <v/>
      </c>
      <c r="AF63" s="77"/>
      <c r="AG63" s="73"/>
      <c r="AH63" s="77"/>
      <c r="AI63" s="73"/>
      <c r="AJ63" s="78" t="str">
        <f t="shared" si="6"/>
        <v/>
      </c>
      <c r="AK63" s="79" t="str">
        <f t="shared" si="7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4"/>
        <v/>
      </c>
      <c r="AE64" s="76" t="str">
        <f t="shared" si="5"/>
        <v/>
      </c>
      <c r="AF64" s="77"/>
      <c r="AG64" s="73"/>
      <c r="AH64" s="77"/>
      <c r="AI64" s="73"/>
      <c r="AJ64" s="78" t="str">
        <f t="shared" si="6"/>
        <v/>
      </c>
      <c r="AK64" s="79" t="str">
        <f t="shared" si="7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4"/>
        <v/>
      </c>
      <c r="AE65" s="76" t="str">
        <f t="shared" si="5"/>
        <v/>
      </c>
      <c r="AF65" s="77"/>
      <c r="AG65" s="73"/>
      <c r="AH65" s="77"/>
      <c r="AI65" s="73"/>
      <c r="AJ65" s="78" t="str">
        <f t="shared" si="6"/>
        <v/>
      </c>
      <c r="AK65" s="79" t="str">
        <f t="shared" si="7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4"/>
        <v/>
      </c>
      <c r="AE66" s="76" t="str">
        <f t="shared" si="5"/>
        <v/>
      </c>
      <c r="AF66" s="77"/>
      <c r="AG66" s="73"/>
      <c r="AH66" s="77"/>
      <c r="AI66" s="73"/>
      <c r="AJ66" s="78" t="str">
        <f t="shared" si="6"/>
        <v/>
      </c>
      <c r="AK66" s="79" t="str">
        <f t="shared" si="7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4"/>
        <v/>
      </c>
      <c r="AE67" s="76" t="str">
        <f t="shared" si="5"/>
        <v/>
      </c>
      <c r="AF67" s="77"/>
      <c r="AG67" s="73"/>
      <c r="AH67" s="77"/>
      <c r="AI67" s="73"/>
      <c r="AJ67" s="78" t="str">
        <f t="shared" si="6"/>
        <v/>
      </c>
      <c r="AK67" s="79" t="str">
        <f t="shared" si="7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8">IF(MIN(F68,J68,N68,R68,V68,Z68)&lt;&gt;0,MIN(F68,J68,N68,R68,V68,Z68),"")</f>
        <v/>
      </c>
      <c r="AE68" s="76" t="str">
        <f t="shared" ref="AE68:AE131" si="9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10">IF(AD68="","",IF(ISBLANK(AF68),"En cours",AD68+AF68))</f>
        <v/>
      </c>
      <c r="AK68" s="79" t="str">
        <f t="shared" ref="AK68:AK131" si="11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8"/>
        <v/>
      </c>
      <c r="AE69" s="76" t="str">
        <f t="shared" si="9"/>
        <v/>
      </c>
      <c r="AF69" s="77"/>
      <c r="AG69" s="73"/>
      <c r="AH69" s="77"/>
      <c r="AI69" s="73"/>
      <c r="AJ69" s="78" t="str">
        <f t="shared" si="10"/>
        <v/>
      </c>
      <c r="AK69" s="79" t="str">
        <f t="shared" si="11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8"/>
        <v/>
      </c>
      <c r="AE70" s="76" t="str">
        <f t="shared" si="9"/>
        <v/>
      </c>
      <c r="AF70" s="77"/>
      <c r="AG70" s="73"/>
      <c r="AH70" s="77"/>
      <c r="AI70" s="73"/>
      <c r="AJ70" s="78" t="str">
        <f t="shared" si="10"/>
        <v/>
      </c>
      <c r="AK70" s="79" t="str">
        <f t="shared" si="11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8"/>
        <v/>
      </c>
      <c r="AE71" s="76" t="str">
        <f t="shared" si="9"/>
        <v/>
      </c>
      <c r="AF71" s="77"/>
      <c r="AG71" s="73"/>
      <c r="AH71" s="77"/>
      <c r="AI71" s="73"/>
      <c r="AJ71" s="78" t="str">
        <f t="shared" si="10"/>
        <v/>
      </c>
      <c r="AK71" s="79" t="str">
        <f t="shared" si="11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8"/>
        <v/>
      </c>
      <c r="AE72" s="76" t="str">
        <f t="shared" si="9"/>
        <v/>
      </c>
      <c r="AF72" s="77"/>
      <c r="AG72" s="73"/>
      <c r="AH72" s="77"/>
      <c r="AI72" s="73"/>
      <c r="AJ72" s="78" t="str">
        <f t="shared" si="10"/>
        <v/>
      </c>
      <c r="AK72" s="79" t="str">
        <f t="shared" si="11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8"/>
        <v/>
      </c>
      <c r="AE73" s="76" t="str">
        <f t="shared" si="9"/>
        <v/>
      </c>
      <c r="AF73" s="77"/>
      <c r="AG73" s="73"/>
      <c r="AH73" s="77"/>
      <c r="AI73" s="73"/>
      <c r="AJ73" s="78" t="str">
        <f t="shared" si="10"/>
        <v/>
      </c>
      <c r="AK73" s="79" t="str">
        <f t="shared" si="11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8"/>
        <v/>
      </c>
      <c r="AE74" s="76" t="str">
        <f t="shared" si="9"/>
        <v/>
      </c>
      <c r="AF74" s="77"/>
      <c r="AG74" s="73"/>
      <c r="AH74" s="77"/>
      <c r="AI74" s="73"/>
      <c r="AJ74" s="78" t="str">
        <f t="shared" si="10"/>
        <v/>
      </c>
      <c r="AK74" s="79" t="str">
        <f t="shared" si="11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8"/>
        <v/>
      </c>
      <c r="AE75" s="76" t="str">
        <f t="shared" si="9"/>
        <v/>
      </c>
      <c r="AF75" s="77"/>
      <c r="AG75" s="73"/>
      <c r="AH75" s="77"/>
      <c r="AI75" s="73"/>
      <c r="AJ75" s="78" t="str">
        <f t="shared" si="10"/>
        <v/>
      </c>
      <c r="AK75" s="79" t="str">
        <f t="shared" si="11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8"/>
        <v/>
      </c>
      <c r="AE76" s="76" t="str">
        <f t="shared" si="9"/>
        <v/>
      </c>
      <c r="AF76" s="77"/>
      <c r="AG76" s="73"/>
      <c r="AH76" s="77"/>
      <c r="AI76" s="73"/>
      <c r="AJ76" s="78" t="str">
        <f t="shared" si="10"/>
        <v/>
      </c>
      <c r="AK76" s="79" t="str">
        <f t="shared" si="11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8"/>
        <v/>
      </c>
      <c r="AE77" s="76" t="str">
        <f t="shared" si="9"/>
        <v/>
      </c>
      <c r="AF77" s="77"/>
      <c r="AG77" s="73"/>
      <c r="AH77" s="77"/>
      <c r="AI77" s="73"/>
      <c r="AJ77" s="78" t="str">
        <f t="shared" si="10"/>
        <v/>
      </c>
      <c r="AK77" s="79" t="str">
        <f t="shared" si="11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8"/>
        <v/>
      </c>
      <c r="AE78" s="76" t="str">
        <f t="shared" si="9"/>
        <v/>
      </c>
      <c r="AF78" s="77"/>
      <c r="AG78" s="73"/>
      <c r="AH78" s="77"/>
      <c r="AI78" s="73"/>
      <c r="AJ78" s="78" t="str">
        <f t="shared" si="10"/>
        <v/>
      </c>
      <c r="AK78" s="79" t="str">
        <f t="shared" si="11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8"/>
        <v/>
      </c>
      <c r="AE79" s="76" t="str">
        <f t="shared" si="9"/>
        <v/>
      </c>
      <c r="AF79" s="77"/>
      <c r="AG79" s="73"/>
      <c r="AH79" s="77"/>
      <c r="AI79" s="73"/>
      <c r="AJ79" s="78" t="str">
        <f t="shared" si="10"/>
        <v/>
      </c>
      <c r="AK79" s="79" t="str">
        <f t="shared" si="11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8"/>
        <v/>
      </c>
      <c r="AE80" s="76" t="str">
        <f t="shared" si="9"/>
        <v/>
      </c>
      <c r="AF80" s="77"/>
      <c r="AG80" s="73"/>
      <c r="AH80" s="77"/>
      <c r="AI80" s="73"/>
      <c r="AJ80" s="78" t="str">
        <f t="shared" si="10"/>
        <v/>
      </c>
      <c r="AK80" s="79" t="str">
        <f t="shared" si="11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8"/>
        <v/>
      </c>
      <c r="AE81" s="76" t="str">
        <f t="shared" si="9"/>
        <v/>
      </c>
      <c r="AF81" s="77"/>
      <c r="AG81" s="73"/>
      <c r="AH81" s="77"/>
      <c r="AI81" s="73"/>
      <c r="AJ81" s="78" t="str">
        <f t="shared" si="10"/>
        <v/>
      </c>
      <c r="AK81" s="79" t="str">
        <f t="shared" si="11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8"/>
        <v/>
      </c>
      <c r="AE82" s="76" t="str">
        <f t="shared" si="9"/>
        <v/>
      </c>
      <c r="AF82" s="77"/>
      <c r="AG82" s="73"/>
      <c r="AH82" s="77"/>
      <c r="AI82" s="73"/>
      <c r="AJ82" s="78" t="str">
        <f t="shared" si="10"/>
        <v/>
      </c>
      <c r="AK82" s="79" t="str">
        <f t="shared" si="11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8"/>
        <v/>
      </c>
      <c r="AE83" s="76" t="str">
        <f t="shared" si="9"/>
        <v/>
      </c>
      <c r="AF83" s="77"/>
      <c r="AG83" s="73"/>
      <c r="AH83" s="77"/>
      <c r="AI83" s="73"/>
      <c r="AJ83" s="78" t="str">
        <f t="shared" si="10"/>
        <v/>
      </c>
      <c r="AK83" s="79" t="str">
        <f t="shared" si="11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8"/>
        <v/>
      </c>
      <c r="AE84" s="76" t="str">
        <f t="shared" si="9"/>
        <v/>
      </c>
      <c r="AF84" s="77"/>
      <c r="AG84" s="73"/>
      <c r="AH84" s="77"/>
      <c r="AI84" s="73"/>
      <c r="AJ84" s="78" t="str">
        <f t="shared" si="10"/>
        <v/>
      </c>
      <c r="AK84" s="79" t="str">
        <f t="shared" si="11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8"/>
        <v/>
      </c>
      <c r="AE85" s="76" t="str">
        <f t="shared" si="9"/>
        <v/>
      </c>
      <c r="AF85" s="77"/>
      <c r="AG85" s="73"/>
      <c r="AH85" s="77"/>
      <c r="AI85" s="73"/>
      <c r="AJ85" s="78" t="str">
        <f t="shared" si="10"/>
        <v/>
      </c>
      <c r="AK85" s="79" t="str">
        <f t="shared" si="11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8"/>
        <v/>
      </c>
      <c r="AE86" s="76" t="str">
        <f t="shared" si="9"/>
        <v/>
      </c>
      <c r="AF86" s="77"/>
      <c r="AG86" s="73"/>
      <c r="AH86" s="77"/>
      <c r="AI86" s="73"/>
      <c r="AJ86" s="78" t="str">
        <f t="shared" si="10"/>
        <v/>
      </c>
      <c r="AK86" s="79" t="str">
        <f t="shared" si="11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8"/>
        <v/>
      </c>
      <c r="AE87" s="76" t="str">
        <f t="shared" si="9"/>
        <v/>
      </c>
      <c r="AF87" s="77"/>
      <c r="AG87" s="73"/>
      <c r="AH87" s="77"/>
      <c r="AI87" s="73"/>
      <c r="AJ87" s="78" t="str">
        <f t="shared" si="10"/>
        <v/>
      </c>
      <c r="AK87" s="79" t="str">
        <f t="shared" si="11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8"/>
        <v/>
      </c>
      <c r="AE88" s="76" t="str">
        <f t="shared" si="9"/>
        <v/>
      </c>
      <c r="AF88" s="77"/>
      <c r="AG88" s="73"/>
      <c r="AH88" s="77"/>
      <c r="AI88" s="73"/>
      <c r="AJ88" s="78" t="str">
        <f t="shared" si="10"/>
        <v/>
      </c>
      <c r="AK88" s="79" t="str">
        <f t="shared" si="11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8"/>
        <v/>
      </c>
      <c r="AE89" s="76" t="str">
        <f t="shared" si="9"/>
        <v/>
      </c>
      <c r="AF89" s="77"/>
      <c r="AG89" s="73"/>
      <c r="AH89" s="77"/>
      <c r="AI89" s="73"/>
      <c r="AJ89" s="78" t="str">
        <f t="shared" si="10"/>
        <v/>
      </c>
      <c r="AK89" s="79" t="str">
        <f t="shared" si="11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8"/>
        <v/>
      </c>
      <c r="AE90" s="76" t="str">
        <f t="shared" si="9"/>
        <v/>
      </c>
      <c r="AF90" s="77"/>
      <c r="AG90" s="73"/>
      <c r="AH90" s="77"/>
      <c r="AI90" s="73"/>
      <c r="AJ90" s="78" t="str">
        <f t="shared" si="10"/>
        <v/>
      </c>
      <c r="AK90" s="79" t="str">
        <f t="shared" si="11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8"/>
        <v/>
      </c>
      <c r="AE91" s="76" t="str">
        <f t="shared" si="9"/>
        <v/>
      </c>
      <c r="AF91" s="77"/>
      <c r="AG91" s="73"/>
      <c r="AH91" s="77"/>
      <c r="AI91" s="73"/>
      <c r="AJ91" s="78" t="str">
        <f t="shared" si="10"/>
        <v/>
      </c>
      <c r="AK91" s="79" t="str">
        <f t="shared" si="11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8"/>
        <v/>
      </c>
      <c r="AE92" s="76" t="str">
        <f t="shared" si="9"/>
        <v/>
      </c>
      <c r="AF92" s="77"/>
      <c r="AG92" s="73"/>
      <c r="AH92" s="77"/>
      <c r="AI92" s="73"/>
      <c r="AJ92" s="78" t="str">
        <f t="shared" si="10"/>
        <v/>
      </c>
      <c r="AK92" s="79" t="str">
        <f t="shared" si="11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8"/>
        <v/>
      </c>
      <c r="AE93" s="76" t="str">
        <f t="shared" si="9"/>
        <v/>
      </c>
      <c r="AF93" s="77"/>
      <c r="AG93" s="73"/>
      <c r="AH93" s="77"/>
      <c r="AI93" s="73"/>
      <c r="AJ93" s="78" t="str">
        <f t="shared" si="10"/>
        <v/>
      </c>
      <c r="AK93" s="79" t="str">
        <f t="shared" si="11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8"/>
        <v/>
      </c>
      <c r="AE94" s="76" t="str">
        <f t="shared" si="9"/>
        <v/>
      </c>
      <c r="AF94" s="77"/>
      <c r="AG94" s="73"/>
      <c r="AH94" s="77"/>
      <c r="AI94" s="73"/>
      <c r="AJ94" s="78" t="str">
        <f t="shared" si="10"/>
        <v/>
      </c>
      <c r="AK94" s="79" t="str">
        <f t="shared" si="11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8"/>
        <v/>
      </c>
      <c r="AE95" s="76" t="str">
        <f t="shared" si="9"/>
        <v/>
      </c>
      <c r="AF95" s="77"/>
      <c r="AG95" s="73"/>
      <c r="AH95" s="77"/>
      <c r="AI95" s="73"/>
      <c r="AJ95" s="78" t="str">
        <f t="shared" si="10"/>
        <v/>
      </c>
      <c r="AK95" s="79" t="str">
        <f t="shared" si="11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8"/>
        <v/>
      </c>
      <c r="AE96" s="76" t="str">
        <f t="shared" si="9"/>
        <v/>
      </c>
      <c r="AF96" s="77"/>
      <c r="AG96" s="73"/>
      <c r="AH96" s="77"/>
      <c r="AI96" s="73"/>
      <c r="AJ96" s="78" t="str">
        <f t="shared" si="10"/>
        <v/>
      </c>
      <c r="AK96" s="79" t="str">
        <f t="shared" si="11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8"/>
        <v/>
      </c>
      <c r="AE97" s="76" t="str">
        <f t="shared" si="9"/>
        <v/>
      </c>
      <c r="AF97" s="77"/>
      <c r="AG97" s="73"/>
      <c r="AH97" s="77"/>
      <c r="AI97" s="73"/>
      <c r="AJ97" s="78" t="str">
        <f t="shared" si="10"/>
        <v/>
      </c>
      <c r="AK97" s="79" t="str">
        <f t="shared" si="11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8"/>
        <v/>
      </c>
      <c r="AE98" s="76" t="str">
        <f t="shared" si="9"/>
        <v/>
      </c>
      <c r="AF98" s="77"/>
      <c r="AG98" s="73"/>
      <c r="AH98" s="77"/>
      <c r="AI98" s="73"/>
      <c r="AJ98" s="78" t="str">
        <f t="shared" si="10"/>
        <v/>
      </c>
      <c r="AK98" s="79" t="str">
        <f t="shared" si="11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8"/>
        <v/>
      </c>
      <c r="AE99" s="76" t="str">
        <f t="shared" si="9"/>
        <v/>
      </c>
      <c r="AF99" s="77"/>
      <c r="AG99" s="73"/>
      <c r="AH99" s="77"/>
      <c r="AI99" s="73"/>
      <c r="AJ99" s="78" t="str">
        <f t="shared" si="10"/>
        <v/>
      </c>
      <c r="AK99" s="79" t="str">
        <f t="shared" si="11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8"/>
        <v/>
      </c>
      <c r="AE100" s="76" t="str">
        <f t="shared" si="9"/>
        <v/>
      </c>
      <c r="AF100" s="77"/>
      <c r="AG100" s="73"/>
      <c r="AH100" s="77"/>
      <c r="AI100" s="73"/>
      <c r="AJ100" s="78" t="str">
        <f t="shared" si="10"/>
        <v/>
      </c>
      <c r="AK100" s="79" t="str">
        <f t="shared" si="11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8"/>
        <v/>
      </c>
      <c r="AE101" s="76" t="str">
        <f t="shared" si="9"/>
        <v/>
      </c>
      <c r="AF101" s="77"/>
      <c r="AG101" s="73"/>
      <c r="AH101" s="77"/>
      <c r="AI101" s="73"/>
      <c r="AJ101" s="78" t="str">
        <f t="shared" si="10"/>
        <v/>
      </c>
      <c r="AK101" s="79" t="str">
        <f t="shared" si="11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8"/>
        <v/>
      </c>
      <c r="AE102" s="76" t="str">
        <f t="shared" si="9"/>
        <v/>
      </c>
      <c r="AF102" s="77"/>
      <c r="AG102" s="73"/>
      <c r="AH102" s="77"/>
      <c r="AI102" s="73"/>
      <c r="AJ102" s="78" t="str">
        <f t="shared" si="10"/>
        <v/>
      </c>
      <c r="AK102" s="79" t="str">
        <f t="shared" si="11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8"/>
        <v/>
      </c>
      <c r="AE103" s="76" t="str">
        <f t="shared" si="9"/>
        <v/>
      </c>
      <c r="AF103" s="77"/>
      <c r="AG103" s="73"/>
      <c r="AH103" s="77"/>
      <c r="AI103" s="73"/>
      <c r="AJ103" s="78" t="str">
        <f t="shared" si="10"/>
        <v/>
      </c>
      <c r="AK103" s="79" t="str">
        <f t="shared" si="11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8"/>
        <v/>
      </c>
      <c r="AE104" s="76" t="str">
        <f t="shared" si="9"/>
        <v/>
      </c>
      <c r="AF104" s="77"/>
      <c r="AG104" s="73"/>
      <c r="AH104" s="77"/>
      <c r="AI104" s="73"/>
      <c r="AJ104" s="78" t="str">
        <f t="shared" si="10"/>
        <v/>
      </c>
      <c r="AK104" s="79" t="str">
        <f t="shared" si="11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8"/>
        <v/>
      </c>
      <c r="AE105" s="76" t="str">
        <f t="shared" si="9"/>
        <v/>
      </c>
      <c r="AF105" s="77"/>
      <c r="AG105" s="73"/>
      <c r="AH105" s="77"/>
      <c r="AI105" s="73"/>
      <c r="AJ105" s="78" t="str">
        <f t="shared" si="10"/>
        <v/>
      </c>
      <c r="AK105" s="79" t="str">
        <f t="shared" si="11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8"/>
        <v/>
      </c>
      <c r="AE106" s="76" t="str">
        <f t="shared" si="9"/>
        <v/>
      </c>
      <c r="AF106" s="77"/>
      <c r="AG106" s="73"/>
      <c r="AH106" s="77"/>
      <c r="AI106" s="73"/>
      <c r="AJ106" s="78" t="str">
        <f t="shared" si="10"/>
        <v/>
      </c>
      <c r="AK106" s="79" t="str">
        <f t="shared" si="11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8"/>
        <v/>
      </c>
      <c r="AE107" s="76" t="str">
        <f t="shared" si="9"/>
        <v/>
      </c>
      <c r="AF107" s="77"/>
      <c r="AG107" s="73"/>
      <c r="AH107" s="77"/>
      <c r="AI107" s="73"/>
      <c r="AJ107" s="78" t="str">
        <f t="shared" si="10"/>
        <v/>
      </c>
      <c r="AK107" s="79" t="str">
        <f t="shared" si="11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8"/>
        <v/>
      </c>
      <c r="AE108" s="76" t="str">
        <f t="shared" si="9"/>
        <v/>
      </c>
      <c r="AF108" s="77"/>
      <c r="AG108" s="73"/>
      <c r="AH108" s="77"/>
      <c r="AI108" s="73"/>
      <c r="AJ108" s="78" t="str">
        <f t="shared" si="10"/>
        <v/>
      </c>
      <c r="AK108" s="79" t="str">
        <f t="shared" si="11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8"/>
        <v/>
      </c>
      <c r="AE109" s="76" t="str">
        <f t="shared" si="9"/>
        <v/>
      </c>
      <c r="AF109" s="77"/>
      <c r="AG109" s="73"/>
      <c r="AH109" s="77"/>
      <c r="AI109" s="73"/>
      <c r="AJ109" s="78" t="str">
        <f t="shared" si="10"/>
        <v/>
      </c>
      <c r="AK109" s="79" t="str">
        <f t="shared" si="11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8"/>
        <v/>
      </c>
      <c r="AE110" s="76" t="str">
        <f t="shared" si="9"/>
        <v/>
      </c>
      <c r="AF110" s="77"/>
      <c r="AG110" s="73"/>
      <c r="AH110" s="77"/>
      <c r="AI110" s="73"/>
      <c r="AJ110" s="78" t="str">
        <f t="shared" si="10"/>
        <v/>
      </c>
      <c r="AK110" s="79" t="str">
        <f t="shared" si="11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8"/>
        <v/>
      </c>
      <c r="AE111" s="76" t="str">
        <f t="shared" si="9"/>
        <v/>
      </c>
      <c r="AF111" s="77"/>
      <c r="AG111" s="73"/>
      <c r="AH111" s="77"/>
      <c r="AI111" s="73"/>
      <c r="AJ111" s="78" t="str">
        <f t="shared" si="10"/>
        <v/>
      </c>
      <c r="AK111" s="79" t="str">
        <f t="shared" si="11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8"/>
        <v/>
      </c>
      <c r="AE112" s="76" t="str">
        <f t="shared" si="9"/>
        <v/>
      </c>
      <c r="AF112" s="77"/>
      <c r="AG112" s="73"/>
      <c r="AH112" s="77"/>
      <c r="AI112" s="73"/>
      <c r="AJ112" s="78" t="str">
        <f t="shared" si="10"/>
        <v/>
      </c>
      <c r="AK112" s="79" t="str">
        <f t="shared" si="11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8"/>
        <v/>
      </c>
      <c r="AE113" s="76" t="str">
        <f t="shared" si="9"/>
        <v/>
      </c>
      <c r="AF113" s="77"/>
      <c r="AG113" s="73"/>
      <c r="AH113" s="77"/>
      <c r="AI113" s="73"/>
      <c r="AJ113" s="78" t="str">
        <f t="shared" si="10"/>
        <v/>
      </c>
      <c r="AK113" s="79" t="str">
        <f t="shared" si="11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8"/>
        <v/>
      </c>
      <c r="AE114" s="76" t="str">
        <f t="shared" si="9"/>
        <v/>
      </c>
      <c r="AF114" s="77"/>
      <c r="AG114" s="73"/>
      <c r="AH114" s="77"/>
      <c r="AI114" s="73"/>
      <c r="AJ114" s="78" t="str">
        <f t="shared" si="10"/>
        <v/>
      </c>
      <c r="AK114" s="79" t="str">
        <f t="shared" si="11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8"/>
        <v/>
      </c>
      <c r="AE115" s="76" t="str">
        <f t="shared" si="9"/>
        <v/>
      </c>
      <c r="AF115" s="77"/>
      <c r="AG115" s="73"/>
      <c r="AH115" s="77"/>
      <c r="AI115" s="73"/>
      <c r="AJ115" s="78" t="str">
        <f t="shared" si="10"/>
        <v/>
      </c>
      <c r="AK115" s="79" t="str">
        <f t="shared" si="11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8"/>
        <v/>
      </c>
      <c r="AE116" s="76" t="str">
        <f t="shared" si="9"/>
        <v/>
      </c>
      <c r="AF116" s="77"/>
      <c r="AG116" s="73"/>
      <c r="AH116" s="77"/>
      <c r="AI116" s="73"/>
      <c r="AJ116" s="78" t="str">
        <f t="shared" si="10"/>
        <v/>
      </c>
      <c r="AK116" s="79" t="str">
        <f t="shared" si="11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8"/>
        <v/>
      </c>
      <c r="AE117" s="76" t="str">
        <f t="shared" si="9"/>
        <v/>
      </c>
      <c r="AF117" s="77"/>
      <c r="AG117" s="73"/>
      <c r="AH117" s="77"/>
      <c r="AI117" s="73"/>
      <c r="AJ117" s="78" t="str">
        <f t="shared" si="10"/>
        <v/>
      </c>
      <c r="AK117" s="79" t="str">
        <f t="shared" si="11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8"/>
        <v/>
      </c>
      <c r="AE118" s="76" t="str">
        <f t="shared" si="9"/>
        <v/>
      </c>
      <c r="AF118" s="77"/>
      <c r="AG118" s="73"/>
      <c r="AH118" s="77"/>
      <c r="AI118" s="73"/>
      <c r="AJ118" s="78" t="str">
        <f t="shared" si="10"/>
        <v/>
      </c>
      <c r="AK118" s="79" t="str">
        <f t="shared" si="11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8"/>
        <v/>
      </c>
      <c r="AE119" s="76" t="str">
        <f t="shared" si="9"/>
        <v/>
      </c>
      <c r="AF119" s="77"/>
      <c r="AG119" s="73"/>
      <c r="AH119" s="77"/>
      <c r="AI119" s="73"/>
      <c r="AJ119" s="78" t="str">
        <f t="shared" si="10"/>
        <v/>
      </c>
      <c r="AK119" s="79" t="str">
        <f t="shared" si="11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8"/>
        <v/>
      </c>
      <c r="AE120" s="76" t="str">
        <f t="shared" si="9"/>
        <v/>
      </c>
      <c r="AF120" s="77"/>
      <c r="AG120" s="73"/>
      <c r="AH120" s="77"/>
      <c r="AI120" s="73"/>
      <c r="AJ120" s="78" t="str">
        <f t="shared" si="10"/>
        <v/>
      </c>
      <c r="AK120" s="79" t="str">
        <f t="shared" si="11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8"/>
        <v/>
      </c>
      <c r="AE121" s="76" t="str">
        <f t="shared" si="9"/>
        <v/>
      </c>
      <c r="AF121" s="77"/>
      <c r="AG121" s="73"/>
      <c r="AH121" s="77"/>
      <c r="AI121" s="73"/>
      <c r="AJ121" s="78" t="str">
        <f t="shared" si="10"/>
        <v/>
      </c>
      <c r="AK121" s="79" t="str">
        <f t="shared" si="11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8"/>
        <v/>
      </c>
      <c r="AE122" s="76" t="str">
        <f t="shared" si="9"/>
        <v/>
      </c>
      <c r="AF122" s="77"/>
      <c r="AG122" s="73"/>
      <c r="AH122" s="77"/>
      <c r="AI122" s="73"/>
      <c r="AJ122" s="78" t="str">
        <f t="shared" si="10"/>
        <v/>
      </c>
      <c r="AK122" s="79" t="str">
        <f t="shared" si="11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8"/>
        <v/>
      </c>
      <c r="AE123" s="76" t="str">
        <f t="shared" si="9"/>
        <v/>
      </c>
      <c r="AF123" s="77"/>
      <c r="AG123" s="73"/>
      <c r="AH123" s="77"/>
      <c r="AI123" s="73"/>
      <c r="AJ123" s="78" t="str">
        <f t="shared" si="10"/>
        <v/>
      </c>
      <c r="AK123" s="79" t="str">
        <f t="shared" si="11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8"/>
        <v/>
      </c>
      <c r="AE124" s="76" t="str">
        <f t="shared" si="9"/>
        <v/>
      </c>
      <c r="AF124" s="77"/>
      <c r="AG124" s="73"/>
      <c r="AH124" s="77"/>
      <c r="AI124" s="73"/>
      <c r="AJ124" s="78" t="str">
        <f t="shared" si="10"/>
        <v/>
      </c>
      <c r="AK124" s="79" t="str">
        <f t="shared" si="11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8"/>
        <v/>
      </c>
      <c r="AE125" s="76" t="str">
        <f t="shared" si="9"/>
        <v/>
      </c>
      <c r="AF125" s="77"/>
      <c r="AG125" s="73"/>
      <c r="AH125" s="77"/>
      <c r="AI125" s="73"/>
      <c r="AJ125" s="78" t="str">
        <f t="shared" si="10"/>
        <v/>
      </c>
      <c r="AK125" s="79" t="str">
        <f t="shared" si="11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8"/>
        <v/>
      </c>
      <c r="AE126" s="76" t="str">
        <f t="shared" si="9"/>
        <v/>
      </c>
      <c r="AF126" s="77"/>
      <c r="AG126" s="73"/>
      <c r="AH126" s="77"/>
      <c r="AI126" s="73"/>
      <c r="AJ126" s="78" t="str">
        <f t="shared" si="10"/>
        <v/>
      </c>
      <c r="AK126" s="79" t="str">
        <f t="shared" si="11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8"/>
        <v/>
      </c>
      <c r="AE127" s="76" t="str">
        <f t="shared" si="9"/>
        <v/>
      </c>
      <c r="AF127" s="77"/>
      <c r="AG127" s="73"/>
      <c r="AH127" s="77"/>
      <c r="AI127" s="73"/>
      <c r="AJ127" s="78" t="str">
        <f t="shared" si="10"/>
        <v/>
      </c>
      <c r="AK127" s="79" t="str">
        <f t="shared" si="11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8"/>
        <v/>
      </c>
      <c r="AE128" s="76" t="str">
        <f t="shared" si="9"/>
        <v/>
      </c>
      <c r="AF128" s="77"/>
      <c r="AG128" s="73"/>
      <c r="AH128" s="77"/>
      <c r="AI128" s="73"/>
      <c r="AJ128" s="78" t="str">
        <f t="shared" si="10"/>
        <v/>
      </c>
      <c r="AK128" s="79" t="str">
        <f t="shared" si="11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8"/>
        <v/>
      </c>
      <c r="AE129" s="76" t="str">
        <f t="shared" si="9"/>
        <v/>
      </c>
      <c r="AF129" s="77"/>
      <c r="AG129" s="73"/>
      <c r="AH129" s="77"/>
      <c r="AI129" s="73"/>
      <c r="AJ129" s="78" t="str">
        <f t="shared" si="10"/>
        <v/>
      </c>
      <c r="AK129" s="79" t="str">
        <f t="shared" si="11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8"/>
        <v/>
      </c>
      <c r="AE130" s="76" t="str">
        <f t="shared" si="9"/>
        <v/>
      </c>
      <c r="AF130" s="77"/>
      <c r="AG130" s="73"/>
      <c r="AH130" s="77"/>
      <c r="AI130" s="73"/>
      <c r="AJ130" s="78" t="str">
        <f t="shared" si="10"/>
        <v/>
      </c>
      <c r="AK130" s="79" t="str">
        <f t="shared" si="11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8"/>
        <v/>
      </c>
      <c r="AE131" s="76" t="str">
        <f t="shared" si="9"/>
        <v/>
      </c>
      <c r="AF131" s="77"/>
      <c r="AG131" s="73"/>
      <c r="AH131" s="77"/>
      <c r="AI131" s="73"/>
      <c r="AJ131" s="78" t="str">
        <f t="shared" si="10"/>
        <v/>
      </c>
      <c r="AK131" s="79" t="str">
        <f t="shared" si="11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12">IF(MIN(F132,J132,N132,R132,V132,Z132)&lt;&gt;0,MIN(F132,J132,N132,R132,V132,Z132),"")</f>
        <v/>
      </c>
      <c r="AE132" s="76" t="str">
        <f t="shared" ref="AE132:AE195" si="13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4">IF(AD132="","",IF(ISBLANK(AF132),"En cours",AD132+AF132))</f>
        <v/>
      </c>
      <c r="AK132" s="79" t="str">
        <f t="shared" ref="AK132:AK195" si="15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12"/>
        <v/>
      </c>
      <c r="AE133" s="76" t="str">
        <f t="shared" si="13"/>
        <v/>
      </c>
      <c r="AF133" s="77"/>
      <c r="AG133" s="73"/>
      <c r="AH133" s="77"/>
      <c r="AI133" s="73"/>
      <c r="AJ133" s="78" t="str">
        <f t="shared" si="14"/>
        <v/>
      </c>
      <c r="AK133" s="79" t="str">
        <f t="shared" si="15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12"/>
        <v/>
      </c>
      <c r="AE134" s="76" t="str">
        <f t="shared" si="13"/>
        <v/>
      </c>
      <c r="AF134" s="77"/>
      <c r="AG134" s="73"/>
      <c r="AH134" s="77"/>
      <c r="AI134" s="73"/>
      <c r="AJ134" s="78" t="str">
        <f t="shared" si="14"/>
        <v/>
      </c>
      <c r="AK134" s="79" t="str">
        <f t="shared" si="15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12"/>
        <v/>
      </c>
      <c r="AE135" s="76" t="str">
        <f t="shared" si="13"/>
        <v/>
      </c>
      <c r="AF135" s="77"/>
      <c r="AG135" s="73"/>
      <c r="AH135" s="77"/>
      <c r="AI135" s="73"/>
      <c r="AJ135" s="78" t="str">
        <f t="shared" si="14"/>
        <v/>
      </c>
      <c r="AK135" s="79" t="str">
        <f t="shared" si="15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12"/>
        <v/>
      </c>
      <c r="AE136" s="76" t="str">
        <f t="shared" si="13"/>
        <v/>
      </c>
      <c r="AF136" s="77"/>
      <c r="AG136" s="73"/>
      <c r="AH136" s="77"/>
      <c r="AI136" s="73"/>
      <c r="AJ136" s="78" t="str">
        <f t="shared" si="14"/>
        <v/>
      </c>
      <c r="AK136" s="79" t="str">
        <f t="shared" si="15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12"/>
        <v/>
      </c>
      <c r="AE137" s="76" t="str">
        <f t="shared" si="13"/>
        <v/>
      </c>
      <c r="AF137" s="77"/>
      <c r="AG137" s="73"/>
      <c r="AH137" s="77"/>
      <c r="AI137" s="73"/>
      <c r="AJ137" s="78" t="str">
        <f t="shared" si="14"/>
        <v/>
      </c>
      <c r="AK137" s="79" t="str">
        <f t="shared" si="15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12"/>
        <v/>
      </c>
      <c r="AE138" s="76" t="str">
        <f t="shared" si="13"/>
        <v/>
      </c>
      <c r="AF138" s="77"/>
      <c r="AG138" s="73"/>
      <c r="AH138" s="77"/>
      <c r="AI138" s="73"/>
      <c r="AJ138" s="78" t="str">
        <f t="shared" si="14"/>
        <v/>
      </c>
      <c r="AK138" s="79" t="str">
        <f t="shared" si="15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12"/>
        <v/>
      </c>
      <c r="AE139" s="76" t="str">
        <f t="shared" si="13"/>
        <v/>
      </c>
      <c r="AF139" s="77"/>
      <c r="AG139" s="73"/>
      <c r="AH139" s="77"/>
      <c r="AI139" s="73"/>
      <c r="AJ139" s="78" t="str">
        <f t="shared" si="14"/>
        <v/>
      </c>
      <c r="AK139" s="79" t="str">
        <f t="shared" si="15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12"/>
        <v/>
      </c>
      <c r="AE140" s="76" t="str">
        <f t="shared" si="13"/>
        <v/>
      </c>
      <c r="AF140" s="77"/>
      <c r="AG140" s="73"/>
      <c r="AH140" s="77"/>
      <c r="AI140" s="73"/>
      <c r="AJ140" s="78" t="str">
        <f t="shared" si="14"/>
        <v/>
      </c>
      <c r="AK140" s="79" t="str">
        <f t="shared" si="15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12"/>
        <v/>
      </c>
      <c r="AE141" s="76" t="str">
        <f t="shared" si="13"/>
        <v/>
      </c>
      <c r="AF141" s="77"/>
      <c r="AG141" s="73"/>
      <c r="AH141" s="77"/>
      <c r="AI141" s="73"/>
      <c r="AJ141" s="78" t="str">
        <f t="shared" si="14"/>
        <v/>
      </c>
      <c r="AK141" s="79" t="str">
        <f t="shared" si="15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12"/>
        <v/>
      </c>
      <c r="AE142" s="76" t="str">
        <f t="shared" si="13"/>
        <v/>
      </c>
      <c r="AF142" s="77"/>
      <c r="AG142" s="73"/>
      <c r="AH142" s="77"/>
      <c r="AI142" s="73"/>
      <c r="AJ142" s="78" t="str">
        <f t="shared" si="14"/>
        <v/>
      </c>
      <c r="AK142" s="79" t="str">
        <f t="shared" si="15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12"/>
        <v/>
      </c>
      <c r="AE143" s="76" t="str">
        <f t="shared" si="13"/>
        <v/>
      </c>
      <c r="AF143" s="77"/>
      <c r="AG143" s="73"/>
      <c r="AH143" s="77"/>
      <c r="AI143" s="73"/>
      <c r="AJ143" s="78" t="str">
        <f t="shared" si="14"/>
        <v/>
      </c>
      <c r="AK143" s="79" t="str">
        <f t="shared" si="15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12"/>
        <v/>
      </c>
      <c r="AE144" s="76" t="str">
        <f t="shared" si="13"/>
        <v/>
      </c>
      <c r="AF144" s="77"/>
      <c r="AG144" s="73"/>
      <c r="AH144" s="77"/>
      <c r="AI144" s="73"/>
      <c r="AJ144" s="78" t="str">
        <f t="shared" si="14"/>
        <v/>
      </c>
      <c r="AK144" s="79" t="str">
        <f t="shared" si="15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12"/>
        <v/>
      </c>
      <c r="AE145" s="76" t="str">
        <f t="shared" si="13"/>
        <v/>
      </c>
      <c r="AF145" s="77"/>
      <c r="AG145" s="73"/>
      <c r="AH145" s="77"/>
      <c r="AI145" s="73"/>
      <c r="AJ145" s="78" t="str">
        <f t="shared" si="14"/>
        <v/>
      </c>
      <c r="AK145" s="79" t="str">
        <f t="shared" si="15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12"/>
        <v/>
      </c>
      <c r="AE146" s="76" t="str">
        <f t="shared" si="13"/>
        <v/>
      </c>
      <c r="AF146" s="77"/>
      <c r="AG146" s="73"/>
      <c r="AH146" s="77"/>
      <c r="AI146" s="73"/>
      <c r="AJ146" s="78" t="str">
        <f t="shared" si="14"/>
        <v/>
      </c>
      <c r="AK146" s="79" t="str">
        <f t="shared" si="15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12"/>
        <v/>
      </c>
      <c r="AE147" s="76" t="str">
        <f t="shared" si="13"/>
        <v/>
      </c>
      <c r="AF147" s="77"/>
      <c r="AG147" s="73"/>
      <c r="AH147" s="77"/>
      <c r="AI147" s="73"/>
      <c r="AJ147" s="78" t="str">
        <f t="shared" si="14"/>
        <v/>
      </c>
      <c r="AK147" s="79" t="str">
        <f t="shared" si="15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12"/>
        <v/>
      </c>
      <c r="AE148" s="76" t="str">
        <f t="shared" si="13"/>
        <v/>
      </c>
      <c r="AF148" s="77"/>
      <c r="AG148" s="73"/>
      <c r="AH148" s="77"/>
      <c r="AI148" s="73"/>
      <c r="AJ148" s="78" t="str">
        <f t="shared" si="14"/>
        <v/>
      </c>
      <c r="AK148" s="79" t="str">
        <f t="shared" si="15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12"/>
        <v/>
      </c>
      <c r="AE149" s="76" t="str">
        <f t="shared" si="13"/>
        <v/>
      </c>
      <c r="AF149" s="77"/>
      <c r="AG149" s="73"/>
      <c r="AH149" s="77"/>
      <c r="AI149" s="73"/>
      <c r="AJ149" s="78" t="str">
        <f t="shared" si="14"/>
        <v/>
      </c>
      <c r="AK149" s="79" t="str">
        <f t="shared" si="15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12"/>
        <v/>
      </c>
      <c r="AE150" s="76" t="str">
        <f t="shared" si="13"/>
        <v/>
      </c>
      <c r="AF150" s="77"/>
      <c r="AG150" s="73"/>
      <c r="AH150" s="77"/>
      <c r="AI150" s="73"/>
      <c r="AJ150" s="78" t="str">
        <f t="shared" si="14"/>
        <v/>
      </c>
      <c r="AK150" s="79" t="str">
        <f t="shared" si="15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12"/>
        <v/>
      </c>
      <c r="AE151" s="76" t="str">
        <f t="shared" si="13"/>
        <v/>
      </c>
      <c r="AF151" s="77"/>
      <c r="AG151" s="73"/>
      <c r="AH151" s="77"/>
      <c r="AI151" s="73"/>
      <c r="AJ151" s="78" t="str">
        <f t="shared" si="14"/>
        <v/>
      </c>
      <c r="AK151" s="79" t="str">
        <f t="shared" si="15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12"/>
        <v/>
      </c>
      <c r="AE152" s="76" t="str">
        <f t="shared" si="13"/>
        <v/>
      </c>
      <c r="AF152" s="77"/>
      <c r="AG152" s="73"/>
      <c r="AH152" s="77"/>
      <c r="AI152" s="73"/>
      <c r="AJ152" s="78" t="str">
        <f t="shared" si="14"/>
        <v/>
      </c>
      <c r="AK152" s="79" t="str">
        <f t="shared" si="15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12"/>
        <v/>
      </c>
      <c r="AE153" s="76" t="str">
        <f t="shared" si="13"/>
        <v/>
      </c>
      <c r="AF153" s="77"/>
      <c r="AG153" s="73"/>
      <c r="AH153" s="77"/>
      <c r="AI153" s="73"/>
      <c r="AJ153" s="78" t="str">
        <f t="shared" si="14"/>
        <v/>
      </c>
      <c r="AK153" s="79" t="str">
        <f t="shared" si="15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12"/>
        <v/>
      </c>
      <c r="AE154" s="76" t="str">
        <f t="shared" si="13"/>
        <v/>
      </c>
      <c r="AF154" s="77"/>
      <c r="AG154" s="73"/>
      <c r="AH154" s="77"/>
      <c r="AI154" s="73"/>
      <c r="AJ154" s="78" t="str">
        <f t="shared" si="14"/>
        <v/>
      </c>
      <c r="AK154" s="79" t="str">
        <f t="shared" si="15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12"/>
        <v/>
      </c>
      <c r="AE155" s="76" t="str">
        <f t="shared" si="13"/>
        <v/>
      </c>
      <c r="AF155" s="77"/>
      <c r="AG155" s="73"/>
      <c r="AH155" s="77"/>
      <c r="AI155" s="73"/>
      <c r="AJ155" s="78" t="str">
        <f t="shared" si="14"/>
        <v/>
      </c>
      <c r="AK155" s="79" t="str">
        <f t="shared" si="15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12"/>
        <v/>
      </c>
      <c r="AE156" s="76" t="str">
        <f t="shared" si="13"/>
        <v/>
      </c>
      <c r="AF156" s="77"/>
      <c r="AG156" s="73"/>
      <c r="AH156" s="77"/>
      <c r="AI156" s="73"/>
      <c r="AJ156" s="78" t="str">
        <f t="shared" si="14"/>
        <v/>
      </c>
      <c r="AK156" s="79" t="str">
        <f t="shared" si="15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12"/>
        <v/>
      </c>
      <c r="AE157" s="76" t="str">
        <f t="shared" si="13"/>
        <v/>
      </c>
      <c r="AF157" s="77"/>
      <c r="AG157" s="73"/>
      <c r="AH157" s="77"/>
      <c r="AI157" s="73"/>
      <c r="AJ157" s="78" t="str">
        <f t="shared" si="14"/>
        <v/>
      </c>
      <c r="AK157" s="79" t="str">
        <f t="shared" si="15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12"/>
        <v/>
      </c>
      <c r="AE158" s="76" t="str">
        <f t="shared" si="13"/>
        <v/>
      </c>
      <c r="AF158" s="77"/>
      <c r="AG158" s="73"/>
      <c r="AH158" s="77"/>
      <c r="AI158" s="73"/>
      <c r="AJ158" s="78" t="str">
        <f t="shared" si="14"/>
        <v/>
      </c>
      <c r="AK158" s="79" t="str">
        <f t="shared" si="15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12"/>
        <v/>
      </c>
      <c r="AE159" s="76" t="str">
        <f t="shared" si="13"/>
        <v/>
      </c>
      <c r="AF159" s="77"/>
      <c r="AG159" s="73"/>
      <c r="AH159" s="77"/>
      <c r="AI159" s="73"/>
      <c r="AJ159" s="78" t="str">
        <f t="shared" si="14"/>
        <v/>
      </c>
      <c r="AK159" s="79" t="str">
        <f t="shared" si="15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12"/>
        <v/>
      </c>
      <c r="AE160" s="76" t="str">
        <f t="shared" si="13"/>
        <v/>
      </c>
      <c r="AF160" s="77"/>
      <c r="AG160" s="73"/>
      <c r="AH160" s="77"/>
      <c r="AI160" s="73"/>
      <c r="AJ160" s="78" t="str">
        <f t="shared" si="14"/>
        <v/>
      </c>
      <c r="AK160" s="79" t="str">
        <f t="shared" si="15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12"/>
        <v/>
      </c>
      <c r="AE161" s="76" t="str">
        <f t="shared" si="13"/>
        <v/>
      </c>
      <c r="AF161" s="77"/>
      <c r="AG161" s="73"/>
      <c r="AH161" s="77"/>
      <c r="AI161" s="73"/>
      <c r="AJ161" s="78" t="str">
        <f t="shared" si="14"/>
        <v/>
      </c>
      <c r="AK161" s="79" t="str">
        <f t="shared" si="15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12"/>
        <v/>
      </c>
      <c r="AE162" s="76" t="str">
        <f t="shared" si="13"/>
        <v/>
      </c>
      <c r="AF162" s="77"/>
      <c r="AG162" s="73"/>
      <c r="AH162" s="77"/>
      <c r="AI162" s="73"/>
      <c r="AJ162" s="78" t="str">
        <f t="shared" si="14"/>
        <v/>
      </c>
      <c r="AK162" s="79" t="str">
        <f t="shared" si="15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12"/>
        <v/>
      </c>
      <c r="AE163" s="76" t="str">
        <f t="shared" si="13"/>
        <v/>
      </c>
      <c r="AF163" s="77"/>
      <c r="AG163" s="73"/>
      <c r="AH163" s="77"/>
      <c r="AI163" s="73"/>
      <c r="AJ163" s="78" t="str">
        <f t="shared" si="14"/>
        <v/>
      </c>
      <c r="AK163" s="79" t="str">
        <f t="shared" si="15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12"/>
        <v/>
      </c>
      <c r="AE164" s="76" t="str">
        <f t="shared" si="13"/>
        <v/>
      </c>
      <c r="AF164" s="77"/>
      <c r="AG164" s="73"/>
      <c r="AH164" s="77"/>
      <c r="AI164" s="73"/>
      <c r="AJ164" s="78" t="str">
        <f t="shared" si="14"/>
        <v/>
      </c>
      <c r="AK164" s="79" t="str">
        <f t="shared" si="15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12"/>
        <v/>
      </c>
      <c r="AE165" s="76" t="str">
        <f t="shared" si="13"/>
        <v/>
      </c>
      <c r="AF165" s="77"/>
      <c r="AG165" s="73"/>
      <c r="AH165" s="77"/>
      <c r="AI165" s="73"/>
      <c r="AJ165" s="78" t="str">
        <f t="shared" si="14"/>
        <v/>
      </c>
      <c r="AK165" s="79" t="str">
        <f t="shared" si="15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12"/>
        <v/>
      </c>
      <c r="AE166" s="76" t="str">
        <f t="shared" si="13"/>
        <v/>
      </c>
      <c r="AF166" s="77"/>
      <c r="AG166" s="73"/>
      <c r="AH166" s="77"/>
      <c r="AI166" s="73"/>
      <c r="AJ166" s="78" t="str">
        <f t="shared" si="14"/>
        <v/>
      </c>
      <c r="AK166" s="79" t="str">
        <f t="shared" si="15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12"/>
        <v/>
      </c>
      <c r="AE167" s="76" t="str">
        <f t="shared" si="13"/>
        <v/>
      </c>
      <c r="AF167" s="77"/>
      <c r="AG167" s="73"/>
      <c r="AH167" s="77"/>
      <c r="AI167" s="73"/>
      <c r="AJ167" s="78" t="str">
        <f t="shared" si="14"/>
        <v/>
      </c>
      <c r="AK167" s="79" t="str">
        <f t="shared" si="15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12"/>
        <v/>
      </c>
      <c r="AE168" s="76" t="str">
        <f t="shared" si="13"/>
        <v/>
      </c>
      <c r="AF168" s="77"/>
      <c r="AG168" s="73"/>
      <c r="AH168" s="77"/>
      <c r="AI168" s="73"/>
      <c r="AJ168" s="78" t="str">
        <f t="shared" si="14"/>
        <v/>
      </c>
      <c r="AK168" s="79" t="str">
        <f t="shared" si="15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12"/>
        <v/>
      </c>
      <c r="AE169" s="76" t="str">
        <f t="shared" si="13"/>
        <v/>
      </c>
      <c r="AF169" s="77"/>
      <c r="AG169" s="73"/>
      <c r="AH169" s="77"/>
      <c r="AI169" s="73"/>
      <c r="AJ169" s="78" t="str">
        <f t="shared" si="14"/>
        <v/>
      </c>
      <c r="AK169" s="79" t="str">
        <f t="shared" si="15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12"/>
        <v/>
      </c>
      <c r="AE170" s="76" t="str">
        <f t="shared" si="13"/>
        <v/>
      </c>
      <c r="AF170" s="77"/>
      <c r="AG170" s="73"/>
      <c r="AH170" s="77"/>
      <c r="AI170" s="73"/>
      <c r="AJ170" s="78" t="str">
        <f t="shared" si="14"/>
        <v/>
      </c>
      <c r="AK170" s="79" t="str">
        <f t="shared" si="15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12"/>
        <v/>
      </c>
      <c r="AE171" s="76" t="str">
        <f t="shared" si="13"/>
        <v/>
      </c>
      <c r="AF171" s="77"/>
      <c r="AG171" s="73"/>
      <c r="AH171" s="77"/>
      <c r="AI171" s="73"/>
      <c r="AJ171" s="78" t="str">
        <f t="shared" si="14"/>
        <v/>
      </c>
      <c r="AK171" s="79" t="str">
        <f t="shared" si="15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12"/>
        <v/>
      </c>
      <c r="AE172" s="76" t="str">
        <f t="shared" si="13"/>
        <v/>
      </c>
      <c r="AF172" s="77"/>
      <c r="AG172" s="73"/>
      <c r="AH172" s="77"/>
      <c r="AI172" s="73"/>
      <c r="AJ172" s="78" t="str">
        <f t="shared" si="14"/>
        <v/>
      </c>
      <c r="AK172" s="79" t="str">
        <f t="shared" si="15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12"/>
        <v/>
      </c>
      <c r="AE173" s="76" t="str">
        <f t="shared" si="13"/>
        <v/>
      </c>
      <c r="AF173" s="77"/>
      <c r="AG173" s="73"/>
      <c r="AH173" s="77"/>
      <c r="AI173" s="73"/>
      <c r="AJ173" s="78" t="str">
        <f t="shared" si="14"/>
        <v/>
      </c>
      <c r="AK173" s="79" t="str">
        <f t="shared" si="15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12"/>
        <v/>
      </c>
      <c r="AE174" s="76" t="str">
        <f t="shared" si="13"/>
        <v/>
      </c>
      <c r="AF174" s="77"/>
      <c r="AG174" s="73"/>
      <c r="AH174" s="77"/>
      <c r="AI174" s="73"/>
      <c r="AJ174" s="78" t="str">
        <f t="shared" si="14"/>
        <v/>
      </c>
      <c r="AK174" s="79" t="str">
        <f t="shared" si="15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12"/>
        <v/>
      </c>
      <c r="AE175" s="76" t="str">
        <f t="shared" si="13"/>
        <v/>
      </c>
      <c r="AF175" s="77"/>
      <c r="AG175" s="73"/>
      <c r="AH175" s="77"/>
      <c r="AI175" s="73"/>
      <c r="AJ175" s="78" t="str">
        <f t="shared" si="14"/>
        <v/>
      </c>
      <c r="AK175" s="79" t="str">
        <f t="shared" si="15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12"/>
        <v/>
      </c>
      <c r="AE176" s="76" t="str">
        <f t="shared" si="13"/>
        <v/>
      </c>
      <c r="AF176" s="77"/>
      <c r="AG176" s="73"/>
      <c r="AH176" s="77"/>
      <c r="AI176" s="73"/>
      <c r="AJ176" s="78" t="str">
        <f t="shared" si="14"/>
        <v/>
      </c>
      <c r="AK176" s="79" t="str">
        <f t="shared" si="15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12"/>
        <v/>
      </c>
      <c r="AE177" s="76" t="str">
        <f t="shared" si="13"/>
        <v/>
      </c>
      <c r="AF177" s="77"/>
      <c r="AG177" s="73"/>
      <c r="AH177" s="77"/>
      <c r="AI177" s="73"/>
      <c r="AJ177" s="78" t="str">
        <f t="shared" si="14"/>
        <v/>
      </c>
      <c r="AK177" s="79" t="str">
        <f t="shared" si="15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12"/>
        <v/>
      </c>
      <c r="AE178" s="76" t="str">
        <f t="shared" si="13"/>
        <v/>
      </c>
      <c r="AF178" s="77"/>
      <c r="AG178" s="73"/>
      <c r="AH178" s="77"/>
      <c r="AI178" s="73"/>
      <c r="AJ178" s="78" t="str">
        <f t="shared" si="14"/>
        <v/>
      </c>
      <c r="AK178" s="79" t="str">
        <f t="shared" si="15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12"/>
        <v/>
      </c>
      <c r="AE179" s="76" t="str">
        <f t="shared" si="13"/>
        <v/>
      </c>
      <c r="AF179" s="77"/>
      <c r="AG179" s="73"/>
      <c r="AH179" s="77"/>
      <c r="AI179" s="73"/>
      <c r="AJ179" s="78" t="str">
        <f t="shared" si="14"/>
        <v/>
      </c>
      <c r="AK179" s="79" t="str">
        <f t="shared" si="15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12"/>
        <v/>
      </c>
      <c r="AE180" s="76" t="str">
        <f t="shared" si="13"/>
        <v/>
      </c>
      <c r="AF180" s="77"/>
      <c r="AG180" s="73"/>
      <c r="AH180" s="77"/>
      <c r="AI180" s="73"/>
      <c r="AJ180" s="78" t="str">
        <f t="shared" si="14"/>
        <v/>
      </c>
      <c r="AK180" s="79" t="str">
        <f t="shared" si="15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12"/>
        <v/>
      </c>
      <c r="AE181" s="76" t="str">
        <f t="shared" si="13"/>
        <v/>
      </c>
      <c r="AF181" s="77"/>
      <c r="AG181" s="73"/>
      <c r="AH181" s="77"/>
      <c r="AI181" s="73"/>
      <c r="AJ181" s="78" t="str">
        <f t="shared" si="14"/>
        <v/>
      </c>
      <c r="AK181" s="79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2"/>
        <v/>
      </c>
      <c r="AE182" s="76" t="str">
        <f t="shared" si="13"/>
        <v/>
      </c>
      <c r="AF182" s="77"/>
      <c r="AG182" s="73"/>
      <c r="AH182" s="77"/>
      <c r="AI182" s="73"/>
      <c r="AJ182" s="78" t="str">
        <f t="shared" si="14"/>
        <v/>
      </c>
      <c r="AK182" s="79" t="str">
        <f t="shared" si="15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2"/>
        <v/>
      </c>
      <c r="AE183" s="76" t="str">
        <f t="shared" si="13"/>
        <v/>
      </c>
      <c r="AF183" s="77"/>
      <c r="AG183" s="73"/>
      <c r="AH183" s="77"/>
      <c r="AI183" s="73"/>
      <c r="AJ183" s="78" t="str">
        <f t="shared" si="14"/>
        <v/>
      </c>
      <c r="AK183" s="79" t="str">
        <f t="shared" si="15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2"/>
        <v/>
      </c>
      <c r="AE184" s="76" t="str">
        <f t="shared" si="13"/>
        <v/>
      </c>
      <c r="AF184" s="77"/>
      <c r="AG184" s="73"/>
      <c r="AH184" s="77"/>
      <c r="AI184" s="73"/>
      <c r="AJ184" s="78" t="str">
        <f t="shared" si="14"/>
        <v/>
      </c>
      <c r="AK184" s="79" t="str">
        <f t="shared" si="15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2"/>
        <v/>
      </c>
      <c r="AE185" s="76" t="str">
        <f t="shared" si="13"/>
        <v/>
      </c>
      <c r="AF185" s="77"/>
      <c r="AG185" s="73"/>
      <c r="AH185" s="77"/>
      <c r="AI185" s="73"/>
      <c r="AJ185" s="78" t="str">
        <f t="shared" si="14"/>
        <v/>
      </c>
      <c r="AK185" s="79" t="str">
        <f t="shared" si="15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2"/>
        <v/>
      </c>
      <c r="AE186" s="76" t="str">
        <f t="shared" si="13"/>
        <v/>
      </c>
      <c r="AF186" s="77"/>
      <c r="AG186" s="73"/>
      <c r="AH186" s="77"/>
      <c r="AI186" s="73"/>
      <c r="AJ186" s="78" t="str">
        <f t="shared" si="14"/>
        <v/>
      </c>
      <c r="AK186" s="79" t="str">
        <f t="shared" si="15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2"/>
        <v/>
      </c>
      <c r="AE187" s="76" t="str">
        <f t="shared" si="13"/>
        <v/>
      </c>
      <c r="AF187" s="77"/>
      <c r="AG187" s="73"/>
      <c r="AH187" s="77"/>
      <c r="AI187" s="73"/>
      <c r="AJ187" s="78" t="str">
        <f t="shared" si="14"/>
        <v/>
      </c>
      <c r="AK187" s="79" t="str">
        <f t="shared" si="15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2"/>
        <v/>
      </c>
      <c r="AE188" s="76" t="str">
        <f t="shared" si="13"/>
        <v/>
      </c>
      <c r="AF188" s="77"/>
      <c r="AG188" s="73"/>
      <c r="AH188" s="77"/>
      <c r="AI188" s="73"/>
      <c r="AJ188" s="78" t="str">
        <f t="shared" si="14"/>
        <v/>
      </c>
      <c r="AK188" s="79" t="str">
        <f t="shared" si="15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2"/>
        <v/>
      </c>
      <c r="AE189" s="76" t="str">
        <f t="shared" si="13"/>
        <v/>
      </c>
      <c r="AF189" s="77"/>
      <c r="AG189" s="73"/>
      <c r="AH189" s="77"/>
      <c r="AI189" s="73"/>
      <c r="AJ189" s="78" t="str">
        <f t="shared" si="14"/>
        <v/>
      </c>
      <c r="AK189" s="79" t="str">
        <f t="shared" si="15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2"/>
        <v/>
      </c>
      <c r="AE190" s="76" t="str">
        <f t="shared" si="13"/>
        <v/>
      </c>
      <c r="AF190" s="77"/>
      <c r="AG190" s="73"/>
      <c r="AH190" s="77"/>
      <c r="AI190" s="73"/>
      <c r="AJ190" s="78" t="str">
        <f t="shared" si="14"/>
        <v/>
      </c>
      <c r="AK190" s="79" t="str">
        <f t="shared" si="15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2"/>
        <v/>
      </c>
      <c r="AE191" s="76" t="str">
        <f t="shared" si="13"/>
        <v/>
      </c>
      <c r="AF191" s="77"/>
      <c r="AG191" s="73"/>
      <c r="AH191" s="77"/>
      <c r="AI191" s="73"/>
      <c r="AJ191" s="78" t="str">
        <f t="shared" si="14"/>
        <v/>
      </c>
      <c r="AK191" s="79" t="str">
        <f t="shared" si="15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2"/>
        <v/>
      </c>
      <c r="AE192" s="76" t="str">
        <f t="shared" si="13"/>
        <v/>
      </c>
      <c r="AF192" s="77"/>
      <c r="AG192" s="73"/>
      <c r="AH192" s="77"/>
      <c r="AI192" s="73"/>
      <c r="AJ192" s="78" t="str">
        <f t="shared" si="14"/>
        <v/>
      </c>
      <c r="AK192" s="79" t="str">
        <f t="shared" si="15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2"/>
        <v/>
      </c>
      <c r="AE193" s="76" t="str">
        <f t="shared" si="13"/>
        <v/>
      </c>
      <c r="AF193" s="77"/>
      <c r="AG193" s="73"/>
      <c r="AH193" s="77"/>
      <c r="AI193" s="73"/>
      <c r="AJ193" s="78" t="str">
        <f t="shared" si="14"/>
        <v/>
      </c>
      <c r="AK193" s="79" t="str">
        <f t="shared" si="15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2"/>
        <v/>
      </c>
      <c r="AE194" s="76" t="str">
        <f t="shared" si="13"/>
        <v/>
      </c>
      <c r="AF194" s="77"/>
      <c r="AG194" s="73"/>
      <c r="AH194" s="77"/>
      <c r="AI194" s="73"/>
      <c r="AJ194" s="78" t="str">
        <f t="shared" si="14"/>
        <v/>
      </c>
      <c r="AK194" s="79" t="str">
        <f t="shared" si="15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2"/>
        <v/>
      </c>
      <c r="AE195" s="76" t="str">
        <f t="shared" si="13"/>
        <v/>
      </c>
      <c r="AF195" s="77"/>
      <c r="AG195" s="73"/>
      <c r="AH195" s="77"/>
      <c r="AI195" s="73"/>
      <c r="AJ195" s="78" t="str">
        <f t="shared" si="14"/>
        <v/>
      </c>
      <c r="AK195" s="79" t="str">
        <f t="shared" si="15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6">IF(MIN(F196,J196,N196,R196,V196,Z196)&lt;&gt;0,MIN(F196,J196,N196,R196,V196,Z196),"")</f>
        <v/>
      </c>
      <c r="AE196" s="76" t="str">
        <f t="shared" ref="AE196:AE259" si="17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8">IF(AD196="","",IF(ISBLANK(AF196),"En cours",AD196+AF196))</f>
        <v/>
      </c>
      <c r="AK196" s="79" t="str">
        <f t="shared" ref="AK196:AK259" si="19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6"/>
        <v/>
      </c>
      <c r="AE197" s="76" t="str">
        <f t="shared" si="17"/>
        <v/>
      </c>
      <c r="AF197" s="77"/>
      <c r="AG197" s="73"/>
      <c r="AH197" s="77"/>
      <c r="AI197" s="73"/>
      <c r="AJ197" s="78" t="str">
        <f t="shared" si="18"/>
        <v/>
      </c>
      <c r="AK197" s="79" t="str">
        <f t="shared" si="19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6"/>
        <v/>
      </c>
      <c r="AE198" s="76" t="str">
        <f t="shared" si="17"/>
        <v/>
      </c>
      <c r="AF198" s="77"/>
      <c r="AG198" s="73"/>
      <c r="AH198" s="77"/>
      <c r="AI198" s="73"/>
      <c r="AJ198" s="78" t="str">
        <f t="shared" si="18"/>
        <v/>
      </c>
      <c r="AK198" s="79" t="str">
        <f t="shared" si="19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6"/>
        <v/>
      </c>
      <c r="AE199" s="76" t="str">
        <f t="shared" si="17"/>
        <v/>
      </c>
      <c r="AF199" s="77"/>
      <c r="AG199" s="73"/>
      <c r="AH199" s="77"/>
      <c r="AI199" s="73"/>
      <c r="AJ199" s="78" t="str">
        <f t="shared" si="18"/>
        <v/>
      </c>
      <c r="AK199" s="79" t="str">
        <f t="shared" si="19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6"/>
        <v/>
      </c>
      <c r="AE200" s="76" t="str">
        <f t="shared" si="17"/>
        <v/>
      </c>
      <c r="AF200" s="77"/>
      <c r="AG200" s="73"/>
      <c r="AH200" s="77"/>
      <c r="AI200" s="73"/>
      <c r="AJ200" s="78" t="str">
        <f t="shared" si="18"/>
        <v/>
      </c>
      <c r="AK200" s="79" t="str">
        <f t="shared" si="19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6"/>
        <v/>
      </c>
      <c r="AE201" s="76" t="str">
        <f t="shared" si="17"/>
        <v/>
      </c>
      <c r="AF201" s="77"/>
      <c r="AG201" s="73"/>
      <c r="AH201" s="77"/>
      <c r="AI201" s="73"/>
      <c r="AJ201" s="78" t="str">
        <f t="shared" si="18"/>
        <v/>
      </c>
      <c r="AK201" s="79" t="str">
        <f t="shared" si="19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6"/>
        <v/>
      </c>
      <c r="AE202" s="76" t="str">
        <f t="shared" si="17"/>
        <v/>
      </c>
      <c r="AF202" s="77"/>
      <c r="AG202" s="73"/>
      <c r="AH202" s="77"/>
      <c r="AI202" s="73"/>
      <c r="AJ202" s="78" t="str">
        <f t="shared" si="18"/>
        <v/>
      </c>
      <c r="AK202" s="79" t="str">
        <f t="shared" si="19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6"/>
        <v/>
      </c>
      <c r="AE203" s="76" t="str">
        <f t="shared" si="17"/>
        <v/>
      </c>
      <c r="AF203" s="77"/>
      <c r="AG203" s="73"/>
      <c r="AH203" s="77"/>
      <c r="AI203" s="73"/>
      <c r="AJ203" s="78" t="str">
        <f t="shared" si="18"/>
        <v/>
      </c>
      <c r="AK203" s="79" t="str">
        <f t="shared" si="19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6"/>
        <v/>
      </c>
      <c r="AE204" s="76" t="str">
        <f t="shared" si="17"/>
        <v/>
      </c>
      <c r="AF204" s="77"/>
      <c r="AG204" s="73"/>
      <c r="AH204" s="77"/>
      <c r="AI204" s="73"/>
      <c r="AJ204" s="78" t="str">
        <f t="shared" si="18"/>
        <v/>
      </c>
      <c r="AK204" s="79" t="str">
        <f t="shared" si="19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6"/>
        <v/>
      </c>
      <c r="AE205" s="76" t="str">
        <f t="shared" si="17"/>
        <v/>
      </c>
      <c r="AF205" s="77"/>
      <c r="AG205" s="73"/>
      <c r="AH205" s="77"/>
      <c r="AI205" s="73"/>
      <c r="AJ205" s="78" t="str">
        <f t="shared" si="18"/>
        <v/>
      </c>
      <c r="AK205" s="79" t="str">
        <f t="shared" si="19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6"/>
        <v/>
      </c>
      <c r="AE206" s="76" t="str">
        <f t="shared" si="17"/>
        <v/>
      </c>
      <c r="AF206" s="77"/>
      <c r="AG206" s="73"/>
      <c r="AH206" s="77"/>
      <c r="AI206" s="73"/>
      <c r="AJ206" s="78" t="str">
        <f t="shared" si="18"/>
        <v/>
      </c>
      <c r="AK206" s="79" t="str">
        <f t="shared" si="19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6"/>
        <v/>
      </c>
      <c r="AE207" s="76" t="str">
        <f t="shared" si="17"/>
        <v/>
      </c>
      <c r="AF207" s="77"/>
      <c r="AG207" s="73"/>
      <c r="AH207" s="77"/>
      <c r="AI207" s="73"/>
      <c r="AJ207" s="78" t="str">
        <f t="shared" si="18"/>
        <v/>
      </c>
      <c r="AK207" s="79" t="str">
        <f t="shared" si="19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6"/>
        <v/>
      </c>
      <c r="AE208" s="76" t="str">
        <f t="shared" si="17"/>
        <v/>
      </c>
      <c r="AF208" s="77"/>
      <c r="AG208" s="73"/>
      <c r="AH208" s="77"/>
      <c r="AI208" s="73"/>
      <c r="AJ208" s="78" t="str">
        <f t="shared" si="18"/>
        <v/>
      </c>
      <c r="AK208" s="79" t="str">
        <f t="shared" si="19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6"/>
        <v/>
      </c>
      <c r="AE209" s="76" t="str">
        <f t="shared" si="17"/>
        <v/>
      </c>
      <c r="AF209" s="77"/>
      <c r="AG209" s="73"/>
      <c r="AH209" s="77"/>
      <c r="AI209" s="73"/>
      <c r="AJ209" s="78" t="str">
        <f t="shared" si="18"/>
        <v/>
      </c>
      <c r="AK209" s="79" t="str">
        <f t="shared" si="19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6"/>
        <v/>
      </c>
      <c r="AE210" s="76" t="str">
        <f t="shared" si="17"/>
        <v/>
      </c>
      <c r="AF210" s="77"/>
      <c r="AG210" s="73"/>
      <c r="AH210" s="77"/>
      <c r="AI210" s="73"/>
      <c r="AJ210" s="78" t="str">
        <f t="shared" si="18"/>
        <v/>
      </c>
      <c r="AK210" s="79" t="str">
        <f t="shared" si="19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6"/>
        <v/>
      </c>
      <c r="AE211" s="76" t="str">
        <f t="shared" si="17"/>
        <v/>
      </c>
      <c r="AF211" s="77"/>
      <c r="AG211" s="73"/>
      <c r="AH211" s="77"/>
      <c r="AI211" s="73"/>
      <c r="AJ211" s="78" t="str">
        <f t="shared" si="18"/>
        <v/>
      </c>
      <c r="AK211" s="79" t="str">
        <f t="shared" si="19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6"/>
        <v/>
      </c>
      <c r="AE212" s="76" t="str">
        <f t="shared" si="17"/>
        <v/>
      </c>
      <c r="AF212" s="77"/>
      <c r="AG212" s="73"/>
      <c r="AH212" s="77"/>
      <c r="AI212" s="73"/>
      <c r="AJ212" s="78" t="str">
        <f t="shared" si="18"/>
        <v/>
      </c>
      <c r="AK212" s="79" t="str">
        <f t="shared" si="19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6"/>
        <v/>
      </c>
      <c r="AE213" s="76" t="str">
        <f t="shared" si="17"/>
        <v/>
      </c>
      <c r="AF213" s="77"/>
      <c r="AG213" s="73"/>
      <c r="AH213" s="77"/>
      <c r="AI213" s="73"/>
      <c r="AJ213" s="78" t="str">
        <f t="shared" si="18"/>
        <v/>
      </c>
      <c r="AK213" s="79" t="str">
        <f t="shared" si="19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6"/>
        <v/>
      </c>
      <c r="AE214" s="76" t="str">
        <f t="shared" si="17"/>
        <v/>
      </c>
      <c r="AF214" s="77"/>
      <c r="AG214" s="73"/>
      <c r="AH214" s="77"/>
      <c r="AI214" s="73"/>
      <c r="AJ214" s="78" t="str">
        <f t="shared" si="18"/>
        <v/>
      </c>
      <c r="AK214" s="79" t="str">
        <f t="shared" si="19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6"/>
        <v/>
      </c>
      <c r="AE215" s="76" t="str">
        <f t="shared" si="17"/>
        <v/>
      </c>
      <c r="AF215" s="77"/>
      <c r="AG215" s="73"/>
      <c r="AH215" s="77"/>
      <c r="AI215" s="73"/>
      <c r="AJ215" s="78" t="str">
        <f t="shared" si="18"/>
        <v/>
      </c>
      <c r="AK215" s="79" t="str">
        <f t="shared" si="19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6"/>
        <v/>
      </c>
      <c r="AE216" s="76" t="str">
        <f t="shared" si="17"/>
        <v/>
      </c>
      <c r="AF216" s="77"/>
      <c r="AG216" s="73"/>
      <c r="AH216" s="77"/>
      <c r="AI216" s="73"/>
      <c r="AJ216" s="78" t="str">
        <f t="shared" si="18"/>
        <v/>
      </c>
      <c r="AK216" s="79" t="str">
        <f t="shared" si="19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6"/>
        <v/>
      </c>
      <c r="AE217" s="76" t="str">
        <f t="shared" si="17"/>
        <v/>
      </c>
      <c r="AF217" s="77"/>
      <c r="AG217" s="73"/>
      <c r="AH217" s="77"/>
      <c r="AI217" s="73"/>
      <c r="AJ217" s="78" t="str">
        <f t="shared" si="18"/>
        <v/>
      </c>
      <c r="AK217" s="79" t="str">
        <f t="shared" si="19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6"/>
        <v/>
      </c>
      <c r="AE218" s="76" t="str">
        <f t="shared" si="17"/>
        <v/>
      </c>
      <c r="AF218" s="77"/>
      <c r="AG218" s="73"/>
      <c r="AH218" s="77"/>
      <c r="AI218" s="73"/>
      <c r="AJ218" s="78" t="str">
        <f t="shared" si="18"/>
        <v/>
      </c>
      <c r="AK218" s="79" t="str">
        <f t="shared" si="19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6"/>
        <v/>
      </c>
      <c r="AE219" s="76" t="str">
        <f t="shared" si="17"/>
        <v/>
      </c>
      <c r="AF219" s="77"/>
      <c r="AG219" s="73"/>
      <c r="AH219" s="77"/>
      <c r="AI219" s="73"/>
      <c r="AJ219" s="78" t="str">
        <f t="shared" si="18"/>
        <v/>
      </c>
      <c r="AK219" s="79" t="str">
        <f t="shared" si="19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6"/>
        <v/>
      </c>
      <c r="AE220" s="76" t="str">
        <f t="shared" si="17"/>
        <v/>
      </c>
      <c r="AF220" s="77"/>
      <c r="AG220" s="73"/>
      <c r="AH220" s="77"/>
      <c r="AI220" s="73"/>
      <c r="AJ220" s="78" t="str">
        <f t="shared" si="18"/>
        <v/>
      </c>
      <c r="AK220" s="79" t="str">
        <f t="shared" si="19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6"/>
        <v/>
      </c>
      <c r="AE221" s="76" t="str">
        <f t="shared" si="17"/>
        <v/>
      </c>
      <c r="AF221" s="77"/>
      <c r="AG221" s="73"/>
      <c r="AH221" s="77"/>
      <c r="AI221" s="73"/>
      <c r="AJ221" s="78" t="str">
        <f t="shared" si="18"/>
        <v/>
      </c>
      <c r="AK221" s="79" t="str">
        <f t="shared" si="19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6"/>
        <v/>
      </c>
      <c r="AE222" s="76" t="str">
        <f t="shared" si="17"/>
        <v/>
      </c>
      <c r="AF222" s="77"/>
      <c r="AG222" s="73"/>
      <c r="AH222" s="77"/>
      <c r="AI222" s="73"/>
      <c r="AJ222" s="78" t="str">
        <f t="shared" si="18"/>
        <v/>
      </c>
      <c r="AK222" s="79" t="str">
        <f t="shared" si="19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6"/>
        <v/>
      </c>
      <c r="AE223" s="76" t="str">
        <f t="shared" si="17"/>
        <v/>
      </c>
      <c r="AF223" s="77"/>
      <c r="AG223" s="73"/>
      <c r="AH223" s="77"/>
      <c r="AI223" s="73"/>
      <c r="AJ223" s="78" t="str">
        <f t="shared" si="18"/>
        <v/>
      </c>
      <c r="AK223" s="79" t="str">
        <f t="shared" si="19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6"/>
        <v/>
      </c>
      <c r="AE224" s="76" t="str">
        <f t="shared" si="17"/>
        <v/>
      </c>
      <c r="AF224" s="77"/>
      <c r="AG224" s="73"/>
      <c r="AH224" s="77"/>
      <c r="AI224" s="73"/>
      <c r="AJ224" s="78" t="str">
        <f t="shared" si="18"/>
        <v/>
      </c>
      <c r="AK224" s="79" t="str">
        <f t="shared" si="19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6"/>
        <v/>
      </c>
      <c r="AE225" s="76" t="str">
        <f t="shared" si="17"/>
        <v/>
      </c>
      <c r="AF225" s="77"/>
      <c r="AG225" s="73"/>
      <c r="AH225" s="77"/>
      <c r="AI225" s="73"/>
      <c r="AJ225" s="78" t="str">
        <f t="shared" si="18"/>
        <v/>
      </c>
      <c r="AK225" s="79" t="str">
        <f t="shared" si="19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6"/>
        <v/>
      </c>
      <c r="AE226" s="76" t="str">
        <f t="shared" si="17"/>
        <v/>
      </c>
      <c r="AF226" s="77"/>
      <c r="AG226" s="73"/>
      <c r="AH226" s="77"/>
      <c r="AI226" s="73"/>
      <c r="AJ226" s="78" t="str">
        <f t="shared" si="18"/>
        <v/>
      </c>
      <c r="AK226" s="79" t="str">
        <f t="shared" si="19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6"/>
        <v/>
      </c>
      <c r="AE227" s="76" t="str">
        <f t="shared" si="17"/>
        <v/>
      </c>
      <c r="AF227" s="77"/>
      <c r="AG227" s="73"/>
      <c r="AH227" s="77"/>
      <c r="AI227" s="73"/>
      <c r="AJ227" s="78" t="str">
        <f t="shared" si="18"/>
        <v/>
      </c>
      <c r="AK227" s="79" t="str">
        <f t="shared" si="19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6"/>
        <v/>
      </c>
      <c r="AE228" s="76" t="str">
        <f t="shared" si="17"/>
        <v/>
      </c>
      <c r="AF228" s="77"/>
      <c r="AG228" s="73"/>
      <c r="AH228" s="77"/>
      <c r="AI228" s="73"/>
      <c r="AJ228" s="78" t="str">
        <f t="shared" si="18"/>
        <v/>
      </c>
      <c r="AK228" s="79" t="str">
        <f t="shared" si="19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6"/>
        <v/>
      </c>
      <c r="AE229" s="76" t="str">
        <f t="shared" si="17"/>
        <v/>
      </c>
      <c r="AF229" s="77"/>
      <c r="AG229" s="73"/>
      <c r="AH229" s="77"/>
      <c r="AI229" s="73"/>
      <c r="AJ229" s="78" t="str">
        <f t="shared" si="18"/>
        <v/>
      </c>
      <c r="AK229" s="79" t="str">
        <f t="shared" si="19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6"/>
        <v/>
      </c>
      <c r="AE230" s="76" t="str">
        <f t="shared" si="17"/>
        <v/>
      </c>
      <c r="AF230" s="77"/>
      <c r="AG230" s="73"/>
      <c r="AH230" s="77"/>
      <c r="AI230" s="73"/>
      <c r="AJ230" s="78" t="str">
        <f t="shared" si="18"/>
        <v/>
      </c>
      <c r="AK230" s="79" t="str">
        <f t="shared" si="19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6"/>
        <v/>
      </c>
      <c r="AE231" s="76" t="str">
        <f t="shared" si="17"/>
        <v/>
      </c>
      <c r="AF231" s="77"/>
      <c r="AG231" s="73"/>
      <c r="AH231" s="77"/>
      <c r="AI231" s="73"/>
      <c r="AJ231" s="78" t="str">
        <f t="shared" si="18"/>
        <v/>
      </c>
      <c r="AK231" s="79" t="str">
        <f t="shared" si="19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6"/>
        <v/>
      </c>
      <c r="AE232" s="76" t="str">
        <f t="shared" si="17"/>
        <v/>
      </c>
      <c r="AF232" s="77"/>
      <c r="AG232" s="73"/>
      <c r="AH232" s="77"/>
      <c r="AI232" s="73"/>
      <c r="AJ232" s="78" t="str">
        <f t="shared" si="18"/>
        <v/>
      </c>
      <c r="AK232" s="79" t="str">
        <f t="shared" si="19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6"/>
        <v/>
      </c>
      <c r="AE233" s="76" t="str">
        <f t="shared" si="17"/>
        <v/>
      </c>
      <c r="AF233" s="77"/>
      <c r="AG233" s="73"/>
      <c r="AH233" s="77"/>
      <c r="AI233" s="73"/>
      <c r="AJ233" s="78" t="str">
        <f t="shared" si="18"/>
        <v/>
      </c>
      <c r="AK233" s="79" t="str">
        <f t="shared" si="19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6"/>
        <v/>
      </c>
      <c r="AE234" s="76" t="str">
        <f t="shared" si="17"/>
        <v/>
      </c>
      <c r="AF234" s="77"/>
      <c r="AG234" s="73"/>
      <c r="AH234" s="77"/>
      <c r="AI234" s="73"/>
      <c r="AJ234" s="78" t="str">
        <f t="shared" si="18"/>
        <v/>
      </c>
      <c r="AK234" s="79" t="str">
        <f t="shared" si="19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6"/>
        <v/>
      </c>
      <c r="AE235" s="76" t="str">
        <f t="shared" si="17"/>
        <v/>
      </c>
      <c r="AF235" s="77"/>
      <c r="AG235" s="73"/>
      <c r="AH235" s="77"/>
      <c r="AI235" s="73"/>
      <c r="AJ235" s="78" t="str">
        <f t="shared" si="18"/>
        <v/>
      </c>
      <c r="AK235" s="79" t="str">
        <f t="shared" si="19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6"/>
        <v/>
      </c>
      <c r="AE236" s="76" t="str">
        <f t="shared" si="17"/>
        <v/>
      </c>
      <c r="AF236" s="77"/>
      <c r="AG236" s="73"/>
      <c r="AH236" s="77"/>
      <c r="AI236" s="73"/>
      <c r="AJ236" s="78" t="str">
        <f t="shared" si="18"/>
        <v/>
      </c>
      <c r="AK236" s="79" t="str">
        <f t="shared" si="19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6"/>
        <v/>
      </c>
      <c r="AE237" s="76" t="str">
        <f t="shared" si="17"/>
        <v/>
      </c>
      <c r="AF237" s="77"/>
      <c r="AG237" s="73"/>
      <c r="AH237" s="77"/>
      <c r="AI237" s="73"/>
      <c r="AJ237" s="78" t="str">
        <f t="shared" si="18"/>
        <v/>
      </c>
      <c r="AK237" s="79" t="str">
        <f t="shared" si="19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6"/>
        <v/>
      </c>
      <c r="AE238" s="76" t="str">
        <f t="shared" si="17"/>
        <v/>
      </c>
      <c r="AF238" s="77"/>
      <c r="AG238" s="73"/>
      <c r="AH238" s="77"/>
      <c r="AI238" s="73"/>
      <c r="AJ238" s="78" t="str">
        <f t="shared" si="18"/>
        <v/>
      </c>
      <c r="AK238" s="79" t="str">
        <f t="shared" si="19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6"/>
        <v/>
      </c>
      <c r="AE239" s="76" t="str">
        <f t="shared" si="17"/>
        <v/>
      </c>
      <c r="AF239" s="77"/>
      <c r="AG239" s="73"/>
      <c r="AH239" s="77"/>
      <c r="AI239" s="73"/>
      <c r="AJ239" s="78" t="str">
        <f t="shared" si="18"/>
        <v/>
      </c>
      <c r="AK239" s="79" t="str">
        <f t="shared" si="19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6"/>
        <v/>
      </c>
      <c r="AE240" s="76" t="str">
        <f t="shared" si="17"/>
        <v/>
      </c>
      <c r="AF240" s="77"/>
      <c r="AG240" s="73"/>
      <c r="AH240" s="77"/>
      <c r="AI240" s="73"/>
      <c r="AJ240" s="78" t="str">
        <f t="shared" si="18"/>
        <v/>
      </c>
      <c r="AK240" s="79" t="str">
        <f t="shared" si="19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6"/>
        <v/>
      </c>
      <c r="AE241" s="76" t="str">
        <f t="shared" si="17"/>
        <v/>
      </c>
      <c r="AF241" s="77"/>
      <c r="AG241" s="73"/>
      <c r="AH241" s="77"/>
      <c r="AI241" s="73"/>
      <c r="AJ241" s="78" t="str">
        <f t="shared" si="18"/>
        <v/>
      </c>
      <c r="AK241" s="79" t="str">
        <f t="shared" si="19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6"/>
        <v/>
      </c>
      <c r="AE242" s="76" t="str">
        <f t="shared" si="17"/>
        <v/>
      </c>
      <c r="AF242" s="77"/>
      <c r="AG242" s="73"/>
      <c r="AH242" s="77"/>
      <c r="AI242" s="73"/>
      <c r="AJ242" s="78" t="str">
        <f t="shared" si="18"/>
        <v/>
      </c>
      <c r="AK242" s="79" t="str">
        <f t="shared" si="19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6"/>
        <v/>
      </c>
      <c r="AE243" s="76" t="str">
        <f t="shared" si="17"/>
        <v/>
      </c>
      <c r="AF243" s="77"/>
      <c r="AG243" s="73"/>
      <c r="AH243" s="77"/>
      <c r="AI243" s="73"/>
      <c r="AJ243" s="78" t="str">
        <f t="shared" si="18"/>
        <v/>
      </c>
      <c r="AK243" s="79" t="str">
        <f t="shared" si="19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6"/>
        <v/>
      </c>
      <c r="AE244" s="76" t="str">
        <f t="shared" si="17"/>
        <v/>
      </c>
      <c r="AF244" s="77"/>
      <c r="AG244" s="73"/>
      <c r="AH244" s="77"/>
      <c r="AI244" s="73"/>
      <c r="AJ244" s="78" t="str">
        <f t="shared" si="18"/>
        <v/>
      </c>
      <c r="AK244" s="79" t="str">
        <f t="shared" si="19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6"/>
        <v/>
      </c>
      <c r="AE245" s="76" t="str">
        <f t="shared" si="17"/>
        <v/>
      </c>
      <c r="AF245" s="77"/>
      <c r="AG245" s="73"/>
      <c r="AH245" s="77"/>
      <c r="AI245" s="73"/>
      <c r="AJ245" s="78" t="str">
        <f t="shared" si="18"/>
        <v/>
      </c>
      <c r="AK245" s="79" t="str">
        <f t="shared" si="19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6"/>
        <v/>
      </c>
      <c r="AE246" s="76" t="str">
        <f t="shared" si="17"/>
        <v/>
      </c>
      <c r="AF246" s="77"/>
      <c r="AG246" s="73"/>
      <c r="AH246" s="77"/>
      <c r="AI246" s="73"/>
      <c r="AJ246" s="78" t="str">
        <f t="shared" si="18"/>
        <v/>
      </c>
      <c r="AK246" s="79" t="str">
        <f t="shared" si="19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6"/>
        <v/>
      </c>
      <c r="AE247" s="76" t="str">
        <f t="shared" si="17"/>
        <v/>
      </c>
      <c r="AF247" s="77"/>
      <c r="AG247" s="73"/>
      <c r="AH247" s="77"/>
      <c r="AI247" s="73"/>
      <c r="AJ247" s="78" t="str">
        <f t="shared" si="18"/>
        <v/>
      </c>
      <c r="AK247" s="79" t="str">
        <f t="shared" si="19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6"/>
        <v/>
      </c>
      <c r="AE248" s="76" t="str">
        <f t="shared" si="17"/>
        <v/>
      </c>
      <c r="AF248" s="77"/>
      <c r="AG248" s="73"/>
      <c r="AH248" s="77"/>
      <c r="AI248" s="73"/>
      <c r="AJ248" s="78" t="str">
        <f t="shared" si="18"/>
        <v/>
      </c>
      <c r="AK248" s="79" t="str">
        <f t="shared" si="19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6"/>
        <v/>
      </c>
      <c r="AE249" s="76" t="str">
        <f t="shared" si="17"/>
        <v/>
      </c>
      <c r="AF249" s="77"/>
      <c r="AG249" s="73"/>
      <c r="AH249" s="77"/>
      <c r="AI249" s="73"/>
      <c r="AJ249" s="78" t="str">
        <f t="shared" si="18"/>
        <v/>
      </c>
      <c r="AK249" s="79" t="str">
        <f t="shared" si="19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6"/>
        <v/>
      </c>
      <c r="AE250" s="76" t="str">
        <f t="shared" si="17"/>
        <v/>
      </c>
      <c r="AF250" s="77"/>
      <c r="AG250" s="73"/>
      <c r="AH250" s="77"/>
      <c r="AI250" s="73"/>
      <c r="AJ250" s="78" t="str">
        <f t="shared" si="18"/>
        <v/>
      </c>
      <c r="AK250" s="79" t="str">
        <f t="shared" si="19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6"/>
        <v/>
      </c>
      <c r="AE251" s="76" t="str">
        <f t="shared" si="17"/>
        <v/>
      </c>
      <c r="AF251" s="77"/>
      <c r="AG251" s="73"/>
      <c r="AH251" s="77"/>
      <c r="AI251" s="73"/>
      <c r="AJ251" s="78" t="str">
        <f t="shared" si="18"/>
        <v/>
      </c>
      <c r="AK251" s="79" t="str">
        <f t="shared" si="19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6"/>
        <v/>
      </c>
      <c r="AE252" s="76" t="str">
        <f t="shared" si="17"/>
        <v/>
      </c>
      <c r="AF252" s="77"/>
      <c r="AG252" s="73"/>
      <c r="AH252" s="77"/>
      <c r="AI252" s="73"/>
      <c r="AJ252" s="78" t="str">
        <f t="shared" si="18"/>
        <v/>
      </c>
      <c r="AK252" s="79" t="str">
        <f t="shared" si="19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6"/>
        <v/>
      </c>
      <c r="AE253" s="76" t="str">
        <f t="shared" si="17"/>
        <v/>
      </c>
      <c r="AF253" s="77"/>
      <c r="AG253" s="73"/>
      <c r="AH253" s="77"/>
      <c r="AI253" s="73"/>
      <c r="AJ253" s="78" t="str">
        <f t="shared" si="18"/>
        <v/>
      </c>
      <c r="AK253" s="79" t="str">
        <f t="shared" si="19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6"/>
        <v/>
      </c>
      <c r="AE254" s="76" t="str">
        <f t="shared" si="17"/>
        <v/>
      </c>
      <c r="AF254" s="77"/>
      <c r="AG254" s="73"/>
      <c r="AH254" s="77"/>
      <c r="AI254" s="73"/>
      <c r="AJ254" s="78" t="str">
        <f t="shared" si="18"/>
        <v/>
      </c>
      <c r="AK254" s="79" t="str">
        <f t="shared" si="19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6"/>
        <v/>
      </c>
      <c r="AE255" s="76" t="str">
        <f t="shared" si="17"/>
        <v/>
      </c>
      <c r="AF255" s="77"/>
      <c r="AG255" s="73"/>
      <c r="AH255" s="77"/>
      <c r="AI255" s="73"/>
      <c r="AJ255" s="78" t="str">
        <f t="shared" si="18"/>
        <v/>
      </c>
      <c r="AK255" s="79" t="str">
        <f t="shared" si="19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6"/>
        <v/>
      </c>
      <c r="AE256" s="76" t="str">
        <f t="shared" si="17"/>
        <v/>
      </c>
      <c r="AF256" s="77"/>
      <c r="AG256" s="73"/>
      <c r="AH256" s="77"/>
      <c r="AI256" s="73"/>
      <c r="AJ256" s="78" t="str">
        <f t="shared" si="18"/>
        <v/>
      </c>
      <c r="AK256" s="79" t="str">
        <f t="shared" si="19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6"/>
        <v/>
      </c>
      <c r="AE257" s="76" t="str">
        <f t="shared" si="17"/>
        <v/>
      </c>
      <c r="AF257" s="77"/>
      <c r="AG257" s="73"/>
      <c r="AH257" s="77"/>
      <c r="AI257" s="73"/>
      <c r="AJ257" s="78" t="str">
        <f t="shared" si="18"/>
        <v/>
      </c>
      <c r="AK257" s="79" t="str">
        <f t="shared" si="19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6"/>
        <v/>
      </c>
      <c r="AE258" s="76" t="str">
        <f t="shared" si="17"/>
        <v/>
      </c>
      <c r="AF258" s="77"/>
      <c r="AG258" s="73"/>
      <c r="AH258" s="77"/>
      <c r="AI258" s="73"/>
      <c r="AJ258" s="78" t="str">
        <f t="shared" si="18"/>
        <v/>
      </c>
      <c r="AK258" s="79" t="str">
        <f t="shared" si="19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6"/>
        <v/>
      </c>
      <c r="AE259" s="76" t="str">
        <f t="shared" si="17"/>
        <v/>
      </c>
      <c r="AF259" s="77"/>
      <c r="AG259" s="73"/>
      <c r="AH259" s="77"/>
      <c r="AI259" s="73"/>
      <c r="AJ259" s="78" t="str">
        <f t="shared" si="18"/>
        <v/>
      </c>
      <c r="AK259" s="79" t="str">
        <f t="shared" si="19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0">IF(MIN(F260,J260,N260,R260,V260,Z260)&lt;&gt;0,MIN(F260,J260,N260,R260,V260,Z260),"")</f>
        <v/>
      </c>
      <c r="AE260" s="76" t="str">
        <f t="shared" ref="AE260:AE323" si="21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2">IF(AD260="","",IF(ISBLANK(AF260),"En cours",AD260+AF260))</f>
        <v/>
      </c>
      <c r="AK260" s="79" t="str">
        <f t="shared" ref="AK260:AK323" si="23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0"/>
        <v/>
      </c>
      <c r="AE261" s="76" t="str">
        <f t="shared" si="21"/>
        <v/>
      </c>
      <c r="AF261" s="77"/>
      <c r="AG261" s="73"/>
      <c r="AH261" s="77"/>
      <c r="AI261" s="73"/>
      <c r="AJ261" s="78" t="str">
        <f t="shared" si="22"/>
        <v/>
      </c>
      <c r="AK261" s="79" t="str">
        <f t="shared" si="23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0"/>
        <v/>
      </c>
      <c r="AE262" s="76" t="str">
        <f t="shared" si="21"/>
        <v/>
      </c>
      <c r="AF262" s="77"/>
      <c r="AG262" s="73"/>
      <c r="AH262" s="77"/>
      <c r="AI262" s="73"/>
      <c r="AJ262" s="78" t="str">
        <f t="shared" si="22"/>
        <v/>
      </c>
      <c r="AK262" s="79" t="str">
        <f t="shared" si="23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0"/>
        <v/>
      </c>
      <c r="AE263" s="76" t="str">
        <f t="shared" si="21"/>
        <v/>
      </c>
      <c r="AF263" s="77"/>
      <c r="AG263" s="73"/>
      <c r="AH263" s="77"/>
      <c r="AI263" s="73"/>
      <c r="AJ263" s="78" t="str">
        <f t="shared" si="22"/>
        <v/>
      </c>
      <c r="AK263" s="79" t="str">
        <f t="shared" si="23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0"/>
        <v/>
      </c>
      <c r="AE264" s="76" t="str">
        <f t="shared" si="21"/>
        <v/>
      </c>
      <c r="AF264" s="77"/>
      <c r="AG264" s="73"/>
      <c r="AH264" s="77"/>
      <c r="AI264" s="73"/>
      <c r="AJ264" s="78" t="str">
        <f t="shared" si="22"/>
        <v/>
      </c>
      <c r="AK264" s="79" t="str">
        <f t="shared" si="23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0"/>
        <v/>
      </c>
      <c r="AE265" s="76" t="str">
        <f t="shared" si="21"/>
        <v/>
      </c>
      <c r="AF265" s="77"/>
      <c r="AG265" s="73"/>
      <c r="AH265" s="77"/>
      <c r="AI265" s="73"/>
      <c r="AJ265" s="78" t="str">
        <f t="shared" si="22"/>
        <v/>
      </c>
      <c r="AK265" s="79" t="str">
        <f t="shared" si="23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0"/>
        <v/>
      </c>
      <c r="AE266" s="76" t="str">
        <f t="shared" si="21"/>
        <v/>
      </c>
      <c r="AF266" s="77"/>
      <c r="AG266" s="73"/>
      <c r="AH266" s="77"/>
      <c r="AI266" s="73"/>
      <c r="AJ266" s="78" t="str">
        <f t="shared" si="22"/>
        <v/>
      </c>
      <c r="AK266" s="79" t="str">
        <f t="shared" si="23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0"/>
        <v/>
      </c>
      <c r="AE267" s="76" t="str">
        <f t="shared" si="21"/>
        <v/>
      </c>
      <c r="AF267" s="77"/>
      <c r="AG267" s="73"/>
      <c r="AH267" s="77"/>
      <c r="AI267" s="73"/>
      <c r="AJ267" s="78" t="str">
        <f t="shared" si="22"/>
        <v/>
      </c>
      <c r="AK267" s="79" t="str">
        <f t="shared" si="23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0"/>
        <v/>
      </c>
      <c r="AE268" s="76" t="str">
        <f t="shared" si="21"/>
        <v/>
      </c>
      <c r="AF268" s="77"/>
      <c r="AG268" s="73"/>
      <c r="AH268" s="77"/>
      <c r="AI268" s="73"/>
      <c r="AJ268" s="78" t="str">
        <f t="shared" si="22"/>
        <v/>
      </c>
      <c r="AK268" s="79" t="str">
        <f t="shared" si="23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0"/>
        <v/>
      </c>
      <c r="AE269" s="76" t="str">
        <f t="shared" si="21"/>
        <v/>
      </c>
      <c r="AF269" s="77"/>
      <c r="AG269" s="73"/>
      <c r="AH269" s="77"/>
      <c r="AI269" s="73"/>
      <c r="AJ269" s="78" t="str">
        <f t="shared" si="22"/>
        <v/>
      </c>
      <c r="AK269" s="79" t="str">
        <f t="shared" si="23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0"/>
        <v/>
      </c>
      <c r="AE270" s="76" t="str">
        <f t="shared" si="21"/>
        <v/>
      </c>
      <c r="AF270" s="77"/>
      <c r="AG270" s="73"/>
      <c r="AH270" s="77"/>
      <c r="AI270" s="73"/>
      <c r="AJ270" s="78" t="str">
        <f t="shared" si="22"/>
        <v/>
      </c>
      <c r="AK270" s="79" t="str">
        <f t="shared" si="23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0"/>
        <v/>
      </c>
      <c r="AE271" s="76" t="str">
        <f t="shared" si="21"/>
        <v/>
      </c>
      <c r="AF271" s="77"/>
      <c r="AG271" s="73"/>
      <c r="AH271" s="77"/>
      <c r="AI271" s="73"/>
      <c r="AJ271" s="78" t="str">
        <f t="shared" si="22"/>
        <v/>
      </c>
      <c r="AK271" s="79" t="str">
        <f t="shared" si="23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0"/>
        <v/>
      </c>
      <c r="AE272" s="76" t="str">
        <f t="shared" si="21"/>
        <v/>
      </c>
      <c r="AF272" s="77"/>
      <c r="AG272" s="73"/>
      <c r="AH272" s="77"/>
      <c r="AI272" s="73"/>
      <c r="AJ272" s="78" t="str">
        <f t="shared" si="22"/>
        <v/>
      </c>
      <c r="AK272" s="79" t="str">
        <f t="shared" si="23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0"/>
        <v/>
      </c>
      <c r="AE273" s="76" t="str">
        <f t="shared" si="21"/>
        <v/>
      </c>
      <c r="AF273" s="77"/>
      <c r="AG273" s="73"/>
      <c r="AH273" s="77"/>
      <c r="AI273" s="73"/>
      <c r="AJ273" s="78" t="str">
        <f t="shared" si="22"/>
        <v/>
      </c>
      <c r="AK273" s="79" t="str">
        <f t="shared" si="23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0"/>
        <v/>
      </c>
      <c r="AE274" s="76" t="str">
        <f t="shared" si="21"/>
        <v/>
      </c>
      <c r="AF274" s="77"/>
      <c r="AG274" s="73"/>
      <c r="AH274" s="77"/>
      <c r="AI274" s="73"/>
      <c r="AJ274" s="78" t="str">
        <f t="shared" si="22"/>
        <v/>
      </c>
      <c r="AK274" s="79" t="str">
        <f t="shared" si="23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0"/>
        <v/>
      </c>
      <c r="AE275" s="76" t="str">
        <f t="shared" si="21"/>
        <v/>
      </c>
      <c r="AF275" s="77"/>
      <c r="AG275" s="73"/>
      <c r="AH275" s="77"/>
      <c r="AI275" s="73"/>
      <c r="AJ275" s="78" t="str">
        <f t="shared" si="22"/>
        <v/>
      </c>
      <c r="AK275" s="79" t="str">
        <f t="shared" si="23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0"/>
        <v/>
      </c>
      <c r="AE276" s="76" t="str">
        <f t="shared" si="21"/>
        <v/>
      </c>
      <c r="AF276" s="77"/>
      <c r="AG276" s="73"/>
      <c r="AH276" s="77"/>
      <c r="AI276" s="73"/>
      <c r="AJ276" s="78" t="str">
        <f t="shared" si="22"/>
        <v/>
      </c>
      <c r="AK276" s="79" t="str">
        <f t="shared" si="23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0"/>
        <v/>
      </c>
      <c r="AE277" s="76" t="str">
        <f t="shared" si="21"/>
        <v/>
      </c>
      <c r="AF277" s="77"/>
      <c r="AG277" s="73"/>
      <c r="AH277" s="77"/>
      <c r="AI277" s="73"/>
      <c r="AJ277" s="78" t="str">
        <f t="shared" si="22"/>
        <v/>
      </c>
      <c r="AK277" s="79" t="str">
        <f t="shared" si="23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0"/>
        <v/>
      </c>
      <c r="AE278" s="76" t="str">
        <f t="shared" si="21"/>
        <v/>
      </c>
      <c r="AF278" s="77"/>
      <c r="AG278" s="73"/>
      <c r="AH278" s="77"/>
      <c r="AI278" s="73"/>
      <c r="AJ278" s="78" t="str">
        <f t="shared" si="22"/>
        <v/>
      </c>
      <c r="AK278" s="79" t="str">
        <f t="shared" si="23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0"/>
        <v/>
      </c>
      <c r="AE279" s="76" t="str">
        <f t="shared" si="21"/>
        <v/>
      </c>
      <c r="AF279" s="77"/>
      <c r="AG279" s="73"/>
      <c r="AH279" s="77"/>
      <c r="AI279" s="73"/>
      <c r="AJ279" s="78" t="str">
        <f t="shared" si="22"/>
        <v/>
      </c>
      <c r="AK279" s="79" t="str">
        <f t="shared" si="23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0"/>
        <v/>
      </c>
      <c r="AE280" s="76" t="str">
        <f t="shared" si="21"/>
        <v/>
      </c>
      <c r="AF280" s="77"/>
      <c r="AG280" s="73"/>
      <c r="AH280" s="77"/>
      <c r="AI280" s="73"/>
      <c r="AJ280" s="78" t="str">
        <f t="shared" si="22"/>
        <v/>
      </c>
      <c r="AK280" s="79" t="str">
        <f t="shared" si="23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0"/>
        <v/>
      </c>
      <c r="AE281" s="76" t="str">
        <f t="shared" si="21"/>
        <v/>
      </c>
      <c r="AF281" s="77"/>
      <c r="AG281" s="73"/>
      <c r="AH281" s="77"/>
      <c r="AI281" s="73"/>
      <c r="AJ281" s="78" t="str">
        <f t="shared" si="22"/>
        <v/>
      </c>
      <c r="AK281" s="79" t="str">
        <f t="shared" si="23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0"/>
        <v/>
      </c>
      <c r="AE282" s="76" t="str">
        <f t="shared" si="21"/>
        <v/>
      </c>
      <c r="AF282" s="77"/>
      <c r="AG282" s="73"/>
      <c r="AH282" s="77"/>
      <c r="AI282" s="73"/>
      <c r="AJ282" s="78" t="str">
        <f t="shared" si="22"/>
        <v/>
      </c>
      <c r="AK282" s="79" t="str">
        <f t="shared" si="23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0"/>
        <v/>
      </c>
      <c r="AE283" s="76" t="str">
        <f t="shared" si="21"/>
        <v/>
      </c>
      <c r="AF283" s="77"/>
      <c r="AG283" s="73"/>
      <c r="AH283" s="77"/>
      <c r="AI283" s="73"/>
      <c r="AJ283" s="78" t="str">
        <f t="shared" si="22"/>
        <v/>
      </c>
      <c r="AK283" s="79" t="str">
        <f t="shared" si="23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0"/>
        <v/>
      </c>
      <c r="AE284" s="76" t="str">
        <f t="shared" si="21"/>
        <v/>
      </c>
      <c r="AF284" s="77"/>
      <c r="AG284" s="73"/>
      <c r="AH284" s="77"/>
      <c r="AI284" s="73"/>
      <c r="AJ284" s="78" t="str">
        <f t="shared" si="22"/>
        <v/>
      </c>
      <c r="AK284" s="79" t="str">
        <f t="shared" si="23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0"/>
        <v/>
      </c>
      <c r="AE285" s="76" t="str">
        <f t="shared" si="21"/>
        <v/>
      </c>
      <c r="AF285" s="77"/>
      <c r="AG285" s="73"/>
      <c r="AH285" s="77"/>
      <c r="AI285" s="73"/>
      <c r="AJ285" s="78" t="str">
        <f t="shared" si="22"/>
        <v/>
      </c>
      <c r="AK285" s="79" t="str">
        <f t="shared" si="23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0"/>
        <v/>
      </c>
      <c r="AE286" s="76" t="str">
        <f t="shared" si="21"/>
        <v/>
      </c>
      <c r="AF286" s="77"/>
      <c r="AG286" s="73"/>
      <c r="AH286" s="77"/>
      <c r="AI286" s="73"/>
      <c r="AJ286" s="78" t="str">
        <f t="shared" si="22"/>
        <v/>
      </c>
      <c r="AK286" s="79" t="str">
        <f t="shared" si="23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0"/>
        <v/>
      </c>
      <c r="AE287" s="76" t="str">
        <f t="shared" si="21"/>
        <v/>
      </c>
      <c r="AF287" s="77"/>
      <c r="AG287" s="73"/>
      <c r="AH287" s="77"/>
      <c r="AI287" s="73"/>
      <c r="AJ287" s="78" t="str">
        <f t="shared" si="22"/>
        <v/>
      </c>
      <c r="AK287" s="79" t="str">
        <f t="shared" si="23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0"/>
        <v/>
      </c>
      <c r="AE288" s="76" t="str">
        <f t="shared" si="21"/>
        <v/>
      </c>
      <c r="AF288" s="77"/>
      <c r="AG288" s="73"/>
      <c r="AH288" s="77"/>
      <c r="AI288" s="73"/>
      <c r="AJ288" s="78" t="str">
        <f t="shared" si="22"/>
        <v/>
      </c>
      <c r="AK288" s="79" t="str">
        <f t="shared" si="23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0"/>
        <v/>
      </c>
      <c r="AE289" s="76" t="str">
        <f t="shared" si="21"/>
        <v/>
      </c>
      <c r="AF289" s="77"/>
      <c r="AG289" s="73"/>
      <c r="AH289" s="77"/>
      <c r="AI289" s="73"/>
      <c r="AJ289" s="78" t="str">
        <f t="shared" si="22"/>
        <v/>
      </c>
      <c r="AK289" s="79" t="str">
        <f t="shared" si="23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0"/>
        <v/>
      </c>
      <c r="AE290" s="76" t="str">
        <f t="shared" si="21"/>
        <v/>
      </c>
      <c r="AF290" s="77"/>
      <c r="AG290" s="73"/>
      <c r="AH290" s="77"/>
      <c r="AI290" s="73"/>
      <c r="AJ290" s="78" t="str">
        <f t="shared" si="22"/>
        <v/>
      </c>
      <c r="AK290" s="79" t="str">
        <f t="shared" si="23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0"/>
        <v/>
      </c>
      <c r="AE291" s="76" t="str">
        <f t="shared" si="21"/>
        <v/>
      </c>
      <c r="AF291" s="77"/>
      <c r="AG291" s="73"/>
      <c r="AH291" s="77"/>
      <c r="AI291" s="73"/>
      <c r="AJ291" s="78" t="str">
        <f t="shared" si="22"/>
        <v/>
      </c>
      <c r="AK291" s="79" t="str">
        <f t="shared" si="23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0"/>
        <v/>
      </c>
      <c r="AE292" s="76" t="str">
        <f t="shared" si="21"/>
        <v/>
      </c>
      <c r="AF292" s="77"/>
      <c r="AG292" s="73"/>
      <c r="AH292" s="77"/>
      <c r="AI292" s="73"/>
      <c r="AJ292" s="78" t="str">
        <f t="shared" si="22"/>
        <v/>
      </c>
      <c r="AK292" s="79" t="str">
        <f t="shared" si="23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0"/>
        <v/>
      </c>
      <c r="AE293" s="76" t="str">
        <f t="shared" si="21"/>
        <v/>
      </c>
      <c r="AF293" s="77"/>
      <c r="AG293" s="73"/>
      <c r="AH293" s="77"/>
      <c r="AI293" s="73"/>
      <c r="AJ293" s="78" t="str">
        <f t="shared" si="22"/>
        <v/>
      </c>
      <c r="AK293" s="79" t="str">
        <f t="shared" si="23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0"/>
        <v/>
      </c>
      <c r="AE294" s="76" t="str">
        <f t="shared" si="21"/>
        <v/>
      </c>
      <c r="AF294" s="77"/>
      <c r="AG294" s="73"/>
      <c r="AH294" s="77"/>
      <c r="AI294" s="73"/>
      <c r="AJ294" s="78" t="str">
        <f t="shared" si="22"/>
        <v/>
      </c>
      <c r="AK294" s="79" t="str">
        <f t="shared" si="23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0"/>
        <v/>
      </c>
      <c r="AE295" s="76" t="str">
        <f t="shared" si="21"/>
        <v/>
      </c>
      <c r="AF295" s="77"/>
      <c r="AG295" s="73"/>
      <c r="AH295" s="77"/>
      <c r="AI295" s="73"/>
      <c r="AJ295" s="78" t="str">
        <f t="shared" si="22"/>
        <v/>
      </c>
      <c r="AK295" s="79" t="str">
        <f t="shared" si="23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0"/>
        <v/>
      </c>
      <c r="AE296" s="76" t="str">
        <f t="shared" si="21"/>
        <v/>
      </c>
      <c r="AF296" s="77"/>
      <c r="AG296" s="73"/>
      <c r="AH296" s="77"/>
      <c r="AI296" s="73"/>
      <c r="AJ296" s="78" t="str">
        <f t="shared" si="22"/>
        <v/>
      </c>
      <c r="AK296" s="79" t="str">
        <f t="shared" si="23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0"/>
        <v/>
      </c>
      <c r="AE297" s="76" t="str">
        <f t="shared" si="21"/>
        <v/>
      </c>
      <c r="AF297" s="77"/>
      <c r="AG297" s="73"/>
      <c r="AH297" s="77"/>
      <c r="AI297" s="73"/>
      <c r="AJ297" s="78" t="str">
        <f t="shared" si="22"/>
        <v/>
      </c>
      <c r="AK297" s="79" t="str">
        <f t="shared" si="23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0"/>
        <v/>
      </c>
      <c r="AE298" s="76" t="str">
        <f t="shared" si="21"/>
        <v/>
      </c>
      <c r="AF298" s="77"/>
      <c r="AG298" s="73"/>
      <c r="AH298" s="77"/>
      <c r="AI298" s="73"/>
      <c r="AJ298" s="78" t="str">
        <f t="shared" si="22"/>
        <v/>
      </c>
      <c r="AK298" s="79" t="str">
        <f t="shared" si="23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0"/>
        <v/>
      </c>
      <c r="AE299" s="76" t="str">
        <f t="shared" si="21"/>
        <v/>
      </c>
      <c r="AF299" s="77"/>
      <c r="AG299" s="73"/>
      <c r="AH299" s="77"/>
      <c r="AI299" s="73"/>
      <c r="AJ299" s="78" t="str">
        <f t="shared" si="22"/>
        <v/>
      </c>
      <c r="AK299" s="79" t="str">
        <f t="shared" si="23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0"/>
        <v/>
      </c>
      <c r="AE300" s="76" t="str">
        <f t="shared" si="21"/>
        <v/>
      </c>
      <c r="AF300" s="77"/>
      <c r="AG300" s="73"/>
      <c r="AH300" s="77"/>
      <c r="AI300" s="73"/>
      <c r="AJ300" s="78" t="str">
        <f t="shared" si="22"/>
        <v/>
      </c>
      <c r="AK300" s="79" t="str">
        <f t="shared" si="23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0"/>
        <v/>
      </c>
      <c r="AE301" s="76" t="str">
        <f t="shared" si="21"/>
        <v/>
      </c>
      <c r="AF301" s="77"/>
      <c r="AG301" s="73"/>
      <c r="AH301" s="77"/>
      <c r="AI301" s="73"/>
      <c r="AJ301" s="78" t="str">
        <f t="shared" si="22"/>
        <v/>
      </c>
      <c r="AK301" s="79" t="str">
        <f t="shared" si="23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0"/>
        <v/>
      </c>
      <c r="AE302" s="76" t="str">
        <f t="shared" si="21"/>
        <v/>
      </c>
      <c r="AF302" s="77"/>
      <c r="AG302" s="73"/>
      <c r="AH302" s="77"/>
      <c r="AI302" s="73"/>
      <c r="AJ302" s="78" t="str">
        <f t="shared" si="22"/>
        <v/>
      </c>
      <c r="AK302" s="79" t="str">
        <f t="shared" si="23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0"/>
        <v/>
      </c>
      <c r="AE303" s="76" t="str">
        <f t="shared" si="21"/>
        <v/>
      </c>
      <c r="AF303" s="77"/>
      <c r="AG303" s="73"/>
      <c r="AH303" s="77"/>
      <c r="AI303" s="73"/>
      <c r="AJ303" s="78" t="str">
        <f t="shared" si="22"/>
        <v/>
      </c>
      <c r="AK303" s="79" t="str">
        <f t="shared" si="23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0"/>
        <v/>
      </c>
      <c r="AE304" s="76" t="str">
        <f t="shared" si="21"/>
        <v/>
      </c>
      <c r="AF304" s="77"/>
      <c r="AG304" s="73"/>
      <c r="AH304" s="77"/>
      <c r="AI304" s="73"/>
      <c r="AJ304" s="78" t="str">
        <f t="shared" si="22"/>
        <v/>
      </c>
      <c r="AK304" s="79" t="str">
        <f t="shared" si="23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0"/>
        <v/>
      </c>
      <c r="AE305" s="76" t="str">
        <f t="shared" si="21"/>
        <v/>
      </c>
      <c r="AF305" s="77"/>
      <c r="AG305" s="73"/>
      <c r="AH305" s="77"/>
      <c r="AI305" s="73"/>
      <c r="AJ305" s="78" t="str">
        <f t="shared" si="22"/>
        <v/>
      </c>
      <c r="AK305" s="79" t="str">
        <f t="shared" si="23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0"/>
        <v/>
      </c>
      <c r="AE306" s="76" t="str">
        <f t="shared" si="21"/>
        <v/>
      </c>
      <c r="AF306" s="77"/>
      <c r="AG306" s="73"/>
      <c r="AH306" s="77"/>
      <c r="AI306" s="73"/>
      <c r="AJ306" s="78" t="str">
        <f t="shared" si="22"/>
        <v/>
      </c>
      <c r="AK306" s="79" t="str">
        <f t="shared" si="23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0"/>
        <v/>
      </c>
      <c r="AE307" s="76" t="str">
        <f t="shared" si="21"/>
        <v/>
      </c>
      <c r="AF307" s="77"/>
      <c r="AG307" s="73"/>
      <c r="AH307" s="77"/>
      <c r="AI307" s="73"/>
      <c r="AJ307" s="78" t="str">
        <f t="shared" si="22"/>
        <v/>
      </c>
      <c r="AK307" s="79" t="str">
        <f t="shared" si="23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0"/>
        <v/>
      </c>
      <c r="AE308" s="76" t="str">
        <f t="shared" si="21"/>
        <v/>
      </c>
      <c r="AF308" s="77"/>
      <c r="AG308" s="73"/>
      <c r="AH308" s="77"/>
      <c r="AI308" s="73"/>
      <c r="AJ308" s="78" t="str">
        <f t="shared" si="22"/>
        <v/>
      </c>
      <c r="AK308" s="79" t="str">
        <f t="shared" si="23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0"/>
        <v/>
      </c>
      <c r="AE309" s="76" t="str">
        <f t="shared" si="21"/>
        <v/>
      </c>
      <c r="AF309" s="77"/>
      <c r="AG309" s="73"/>
      <c r="AH309" s="77"/>
      <c r="AI309" s="73"/>
      <c r="AJ309" s="78" t="str">
        <f t="shared" si="22"/>
        <v/>
      </c>
      <c r="AK309" s="79" t="str">
        <f t="shared" si="23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0"/>
        <v/>
      </c>
      <c r="AE310" s="76" t="str">
        <f t="shared" si="21"/>
        <v/>
      </c>
      <c r="AF310" s="77"/>
      <c r="AG310" s="73"/>
      <c r="AH310" s="77"/>
      <c r="AI310" s="73"/>
      <c r="AJ310" s="78" t="str">
        <f t="shared" si="22"/>
        <v/>
      </c>
      <c r="AK310" s="79" t="str">
        <f t="shared" si="23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0"/>
        <v/>
      </c>
      <c r="AE311" s="76" t="str">
        <f t="shared" si="21"/>
        <v/>
      </c>
      <c r="AF311" s="77"/>
      <c r="AG311" s="73"/>
      <c r="AH311" s="77"/>
      <c r="AI311" s="73"/>
      <c r="AJ311" s="78" t="str">
        <f t="shared" si="22"/>
        <v/>
      </c>
      <c r="AK311" s="79" t="str">
        <f t="shared" si="23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0"/>
        <v/>
      </c>
      <c r="AE312" s="76" t="str">
        <f t="shared" si="21"/>
        <v/>
      </c>
      <c r="AF312" s="77"/>
      <c r="AG312" s="73"/>
      <c r="AH312" s="77"/>
      <c r="AI312" s="73"/>
      <c r="AJ312" s="78" t="str">
        <f t="shared" si="22"/>
        <v/>
      </c>
      <c r="AK312" s="79" t="str">
        <f t="shared" si="23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0"/>
        <v/>
      </c>
      <c r="AE313" s="76" t="str">
        <f t="shared" si="21"/>
        <v/>
      </c>
      <c r="AF313" s="77"/>
      <c r="AG313" s="73"/>
      <c r="AH313" s="77"/>
      <c r="AI313" s="73"/>
      <c r="AJ313" s="78" t="str">
        <f t="shared" si="22"/>
        <v/>
      </c>
      <c r="AK313" s="79" t="str">
        <f t="shared" si="23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0"/>
        <v/>
      </c>
      <c r="AE314" s="76" t="str">
        <f t="shared" si="21"/>
        <v/>
      </c>
      <c r="AF314" s="77"/>
      <c r="AG314" s="73"/>
      <c r="AH314" s="77"/>
      <c r="AI314" s="73"/>
      <c r="AJ314" s="78" t="str">
        <f t="shared" si="22"/>
        <v/>
      </c>
      <c r="AK314" s="79" t="str">
        <f t="shared" si="23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0"/>
        <v/>
      </c>
      <c r="AE315" s="76" t="str">
        <f t="shared" si="21"/>
        <v/>
      </c>
      <c r="AF315" s="77"/>
      <c r="AG315" s="73"/>
      <c r="AH315" s="77"/>
      <c r="AI315" s="73"/>
      <c r="AJ315" s="78" t="str">
        <f t="shared" si="22"/>
        <v/>
      </c>
      <c r="AK315" s="79" t="str">
        <f t="shared" si="23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0"/>
        <v/>
      </c>
      <c r="AE316" s="76" t="str">
        <f t="shared" si="21"/>
        <v/>
      </c>
      <c r="AF316" s="77"/>
      <c r="AG316" s="73"/>
      <c r="AH316" s="77"/>
      <c r="AI316" s="73"/>
      <c r="AJ316" s="78" t="str">
        <f t="shared" si="22"/>
        <v/>
      </c>
      <c r="AK316" s="79" t="str">
        <f t="shared" si="23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0"/>
        <v/>
      </c>
      <c r="AE317" s="76" t="str">
        <f t="shared" si="21"/>
        <v/>
      </c>
      <c r="AF317" s="77"/>
      <c r="AG317" s="73"/>
      <c r="AH317" s="77"/>
      <c r="AI317" s="73"/>
      <c r="AJ317" s="78" t="str">
        <f t="shared" si="22"/>
        <v/>
      </c>
      <c r="AK317" s="79" t="str">
        <f t="shared" si="23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0"/>
        <v/>
      </c>
      <c r="AE318" s="76" t="str">
        <f t="shared" si="21"/>
        <v/>
      </c>
      <c r="AF318" s="77"/>
      <c r="AG318" s="73"/>
      <c r="AH318" s="77"/>
      <c r="AI318" s="73"/>
      <c r="AJ318" s="78" t="str">
        <f t="shared" si="22"/>
        <v/>
      </c>
      <c r="AK318" s="79" t="str">
        <f t="shared" si="23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0"/>
        <v/>
      </c>
      <c r="AE319" s="76" t="str">
        <f t="shared" si="21"/>
        <v/>
      </c>
      <c r="AF319" s="77"/>
      <c r="AG319" s="73"/>
      <c r="AH319" s="77"/>
      <c r="AI319" s="73"/>
      <c r="AJ319" s="78" t="str">
        <f t="shared" si="22"/>
        <v/>
      </c>
      <c r="AK319" s="79" t="str">
        <f t="shared" si="23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0"/>
        <v/>
      </c>
      <c r="AE320" s="76" t="str">
        <f t="shared" si="21"/>
        <v/>
      </c>
      <c r="AF320" s="77"/>
      <c r="AG320" s="73"/>
      <c r="AH320" s="77"/>
      <c r="AI320" s="73"/>
      <c r="AJ320" s="78" t="str">
        <f t="shared" si="22"/>
        <v/>
      </c>
      <c r="AK320" s="79" t="str">
        <f t="shared" si="23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0"/>
        <v/>
      </c>
      <c r="AE321" s="76" t="str">
        <f t="shared" si="21"/>
        <v/>
      </c>
      <c r="AF321" s="77"/>
      <c r="AG321" s="73"/>
      <c r="AH321" s="77"/>
      <c r="AI321" s="73"/>
      <c r="AJ321" s="78" t="str">
        <f t="shared" si="22"/>
        <v/>
      </c>
      <c r="AK321" s="79" t="str">
        <f t="shared" si="23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0"/>
        <v/>
      </c>
      <c r="AE322" s="76" t="str">
        <f t="shared" si="21"/>
        <v/>
      </c>
      <c r="AF322" s="77"/>
      <c r="AG322" s="73"/>
      <c r="AH322" s="77"/>
      <c r="AI322" s="73"/>
      <c r="AJ322" s="78" t="str">
        <f t="shared" si="22"/>
        <v/>
      </c>
      <c r="AK322" s="79" t="str">
        <f t="shared" si="23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0"/>
        <v/>
      </c>
      <c r="AE323" s="76" t="str">
        <f t="shared" si="21"/>
        <v/>
      </c>
      <c r="AF323" s="77"/>
      <c r="AG323" s="73"/>
      <c r="AH323" s="77"/>
      <c r="AI323" s="73"/>
      <c r="AJ323" s="78" t="str">
        <f t="shared" si="22"/>
        <v/>
      </c>
      <c r="AK323" s="79" t="str">
        <f t="shared" si="23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4">IF(MIN(F324,J324,N324,R324,V324,Z324)&lt;&gt;0,MIN(F324,J324,N324,R324,V324,Z324),"")</f>
        <v/>
      </c>
      <c r="AE324" s="76" t="str">
        <f t="shared" ref="AE324:AE350" si="25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6">IF(AD324="","",IF(ISBLANK(AF324),"En cours",AD324+AF324))</f>
        <v/>
      </c>
      <c r="AK324" s="79" t="str">
        <f t="shared" ref="AK324:AK350" si="27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4"/>
        <v/>
      </c>
      <c r="AE325" s="76" t="str">
        <f t="shared" si="25"/>
        <v/>
      </c>
      <c r="AF325" s="77"/>
      <c r="AG325" s="73"/>
      <c r="AH325" s="77"/>
      <c r="AI325" s="73"/>
      <c r="AJ325" s="78" t="str">
        <f t="shared" si="26"/>
        <v/>
      </c>
      <c r="AK325" s="79" t="str">
        <f t="shared" si="27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4"/>
        <v/>
      </c>
      <c r="AE326" s="76" t="str">
        <f t="shared" si="25"/>
        <v/>
      </c>
      <c r="AF326" s="77"/>
      <c r="AG326" s="73"/>
      <c r="AH326" s="77"/>
      <c r="AI326" s="73"/>
      <c r="AJ326" s="78" t="str">
        <f t="shared" si="26"/>
        <v/>
      </c>
      <c r="AK326" s="79" t="str">
        <f t="shared" si="27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4"/>
        <v/>
      </c>
      <c r="AE327" s="76" t="str">
        <f t="shared" si="25"/>
        <v/>
      </c>
      <c r="AF327" s="77"/>
      <c r="AG327" s="73"/>
      <c r="AH327" s="77"/>
      <c r="AI327" s="73"/>
      <c r="AJ327" s="78" t="str">
        <f t="shared" si="26"/>
        <v/>
      </c>
      <c r="AK327" s="79" t="str">
        <f t="shared" si="27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4"/>
        <v/>
      </c>
      <c r="AE328" s="76" t="str">
        <f t="shared" si="25"/>
        <v/>
      </c>
      <c r="AF328" s="77"/>
      <c r="AG328" s="73"/>
      <c r="AH328" s="77"/>
      <c r="AI328" s="73"/>
      <c r="AJ328" s="78" t="str">
        <f t="shared" si="26"/>
        <v/>
      </c>
      <c r="AK328" s="79" t="str">
        <f t="shared" si="27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4"/>
        <v/>
      </c>
      <c r="AE329" s="76" t="str">
        <f t="shared" si="25"/>
        <v/>
      </c>
      <c r="AF329" s="77"/>
      <c r="AG329" s="73"/>
      <c r="AH329" s="77"/>
      <c r="AI329" s="73"/>
      <c r="AJ329" s="78" t="str">
        <f t="shared" si="26"/>
        <v/>
      </c>
      <c r="AK329" s="79" t="str">
        <f t="shared" si="27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4"/>
        <v/>
      </c>
      <c r="AE330" s="76" t="str">
        <f t="shared" si="25"/>
        <v/>
      </c>
      <c r="AF330" s="77"/>
      <c r="AG330" s="73"/>
      <c r="AH330" s="77"/>
      <c r="AI330" s="73"/>
      <c r="AJ330" s="78" t="str">
        <f t="shared" si="26"/>
        <v/>
      </c>
      <c r="AK330" s="79" t="str">
        <f t="shared" si="27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4"/>
        <v/>
      </c>
      <c r="AE331" s="76" t="str">
        <f t="shared" si="25"/>
        <v/>
      </c>
      <c r="AF331" s="77"/>
      <c r="AG331" s="73"/>
      <c r="AH331" s="77"/>
      <c r="AI331" s="73"/>
      <c r="AJ331" s="78" t="str">
        <f t="shared" si="26"/>
        <v/>
      </c>
      <c r="AK331" s="79" t="str">
        <f t="shared" si="27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4"/>
        <v/>
      </c>
      <c r="AE332" s="76" t="str">
        <f t="shared" si="25"/>
        <v/>
      </c>
      <c r="AF332" s="77"/>
      <c r="AG332" s="73"/>
      <c r="AH332" s="77"/>
      <c r="AI332" s="73"/>
      <c r="AJ332" s="78" t="str">
        <f t="shared" si="26"/>
        <v/>
      </c>
      <c r="AK332" s="79" t="str">
        <f t="shared" si="27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4"/>
        <v/>
      </c>
      <c r="AE333" s="76" t="str">
        <f t="shared" si="25"/>
        <v/>
      </c>
      <c r="AF333" s="77"/>
      <c r="AG333" s="73"/>
      <c r="AH333" s="77"/>
      <c r="AI333" s="73"/>
      <c r="AJ333" s="78" t="str">
        <f t="shared" si="26"/>
        <v/>
      </c>
      <c r="AK333" s="79" t="str">
        <f t="shared" si="27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4"/>
        <v/>
      </c>
      <c r="AE334" s="76" t="str">
        <f t="shared" si="25"/>
        <v/>
      </c>
      <c r="AF334" s="77"/>
      <c r="AG334" s="73"/>
      <c r="AH334" s="77"/>
      <c r="AI334" s="73"/>
      <c r="AJ334" s="78" t="str">
        <f t="shared" si="26"/>
        <v/>
      </c>
      <c r="AK334" s="79" t="str">
        <f t="shared" si="27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4"/>
        <v/>
      </c>
      <c r="AE335" s="76" t="str">
        <f t="shared" si="25"/>
        <v/>
      </c>
      <c r="AF335" s="77"/>
      <c r="AG335" s="73"/>
      <c r="AH335" s="77"/>
      <c r="AI335" s="73"/>
      <c r="AJ335" s="78" t="str">
        <f t="shared" si="26"/>
        <v/>
      </c>
      <c r="AK335" s="79" t="str">
        <f t="shared" si="27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4"/>
        <v/>
      </c>
      <c r="AE336" s="76" t="str">
        <f t="shared" si="25"/>
        <v/>
      </c>
      <c r="AF336" s="77"/>
      <c r="AG336" s="73"/>
      <c r="AH336" s="77"/>
      <c r="AI336" s="73"/>
      <c r="AJ336" s="78" t="str">
        <f t="shared" si="26"/>
        <v/>
      </c>
      <c r="AK336" s="79" t="str">
        <f t="shared" si="27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4"/>
        <v/>
      </c>
      <c r="AE337" s="76" t="str">
        <f t="shared" si="25"/>
        <v/>
      </c>
      <c r="AF337" s="77"/>
      <c r="AG337" s="73"/>
      <c r="AH337" s="77"/>
      <c r="AI337" s="73"/>
      <c r="AJ337" s="78" t="str">
        <f t="shared" si="26"/>
        <v/>
      </c>
      <c r="AK337" s="79" t="str">
        <f t="shared" si="27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4"/>
        <v/>
      </c>
      <c r="AE338" s="76" t="str">
        <f t="shared" si="25"/>
        <v/>
      </c>
      <c r="AF338" s="77"/>
      <c r="AG338" s="73"/>
      <c r="AH338" s="77"/>
      <c r="AI338" s="73"/>
      <c r="AJ338" s="78" t="str">
        <f t="shared" si="26"/>
        <v/>
      </c>
      <c r="AK338" s="79" t="str">
        <f t="shared" si="27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4"/>
        <v/>
      </c>
      <c r="AE339" s="76" t="str">
        <f t="shared" si="25"/>
        <v/>
      </c>
      <c r="AF339" s="77"/>
      <c r="AG339" s="73"/>
      <c r="AH339" s="77"/>
      <c r="AI339" s="73"/>
      <c r="AJ339" s="78" t="str">
        <f t="shared" si="26"/>
        <v/>
      </c>
      <c r="AK339" s="79" t="str">
        <f t="shared" si="27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4"/>
        <v/>
      </c>
      <c r="AE340" s="76" t="str">
        <f t="shared" si="25"/>
        <v/>
      </c>
      <c r="AF340" s="77"/>
      <c r="AG340" s="73"/>
      <c r="AH340" s="77"/>
      <c r="AI340" s="73"/>
      <c r="AJ340" s="78" t="str">
        <f t="shared" si="26"/>
        <v/>
      </c>
      <c r="AK340" s="79" t="str">
        <f t="shared" si="27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4"/>
        <v/>
      </c>
      <c r="AE341" s="76" t="str">
        <f t="shared" si="25"/>
        <v/>
      </c>
      <c r="AF341" s="77"/>
      <c r="AG341" s="73"/>
      <c r="AH341" s="77"/>
      <c r="AI341" s="73"/>
      <c r="AJ341" s="78" t="str">
        <f t="shared" si="26"/>
        <v/>
      </c>
      <c r="AK341" s="79" t="str">
        <f t="shared" si="27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4"/>
        <v/>
      </c>
      <c r="AE342" s="76" t="str">
        <f t="shared" si="25"/>
        <v/>
      </c>
      <c r="AF342" s="77"/>
      <c r="AG342" s="73"/>
      <c r="AH342" s="77"/>
      <c r="AI342" s="73"/>
      <c r="AJ342" s="78" t="str">
        <f t="shared" si="26"/>
        <v/>
      </c>
      <c r="AK342" s="79" t="str">
        <f t="shared" si="27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4"/>
        <v/>
      </c>
      <c r="AE343" s="76" t="str">
        <f t="shared" si="25"/>
        <v/>
      </c>
      <c r="AF343" s="77"/>
      <c r="AG343" s="73"/>
      <c r="AH343" s="77"/>
      <c r="AI343" s="73"/>
      <c r="AJ343" s="78" t="str">
        <f t="shared" si="26"/>
        <v/>
      </c>
      <c r="AK343" s="79" t="str">
        <f t="shared" si="27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4"/>
        <v/>
      </c>
      <c r="AE344" s="76" t="str">
        <f t="shared" si="25"/>
        <v/>
      </c>
      <c r="AF344" s="77"/>
      <c r="AG344" s="73"/>
      <c r="AH344" s="77"/>
      <c r="AI344" s="73"/>
      <c r="AJ344" s="78" t="str">
        <f t="shared" si="26"/>
        <v/>
      </c>
      <c r="AK344" s="79" t="str">
        <f t="shared" si="27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4"/>
        <v/>
      </c>
      <c r="AE345" s="76" t="str">
        <f t="shared" si="25"/>
        <v/>
      </c>
      <c r="AF345" s="77"/>
      <c r="AG345" s="73"/>
      <c r="AH345" s="77"/>
      <c r="AI345" s="73"/>
      <c r="AJ345" s="78" t="str">
        <f t="shared" si="26"/>
        <v/>
      </c>
      <c r="AK345" s="79" t="str">
        <f t="shared" si="27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4"/>
        <v/>
      </c>
      <c r="AE346" s="76" t="str">
        <f t="shared" si="25"/>
        <v/>
      </c>
      <c r="AF346" s="77"/>
      <c r="AG346" s="73"/>
      <c r="AH346" s="77"/>
      <c r="AI346" s="73"/>
      <c r="AJ346" s="78" t="str">
        <f t="shared" si="26"/>
        <v/>
      </c>
      <c r="AK346" s="79" t="str">
        <f t="shared" si="27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4"/>
        <v/>
      </c>
      <c r="AE347" s="76" t="str">
        <f t="shared" si="25"/>
        <v/>
      </c>
      <c r="AF347" s="77"/>
      <c r="AG347" s="73"/>
      <c r="AH347" s="77"/>
      <c r="AI347" s="73"/>
      <c r="AJ347" s="78" t="str">
        <f t="shared" si="26"/>
        <v/>
      </c>
      <c r="AK347" s="79" t="str">
        <f t="shared" si="27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4"/>
        <v/>
      </c>
      <c r="AE348" s="76" t="str">
        <f t="shared" si="25"/>
        <v/>
      </c>
      <c r="AF348" s="77"/>
      <c r="AG348" s="73"/>
      <c r="AH348" s="77"/>
      <c r="AI348" s="73"/>
      <c r="AJ348" s="78" t="str">
        <f t="shared" si="26"/>
        <v/>
      </c>
      <c r="AK348" s="79" t="str">
        <f t="shared" si="27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4"/>
        <v/>
      </c>
      <c r="AE349" s="76" t="str">
        <f t="shared" si="25"/>
        <v/>
      </c>
      <c r="AF349" s="77"/>
      <c r="AG349" s="73"/>
      <c r="AH349" s="77"/>
      <c r="AI349" s="73"/>
      <c r="AJ349" s="78" t="str">
        <f t="shared" si="26"/>
        <v/>
      </c>
      <c r="AK349" s="79" t="str">
        <f t="shared" si="27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4"/>
        <v/>
      </c>
      <c r="AE350" s="76" t="str">
        <f t="shared" si="25"/>
        <v/>
      </c>
      <c r="AF350" s="77"/>
      <c r="AG350" s="73"/>
      <c r="AH350" s="77"/>
      <c r="AI350" s="73"/>
      <c r="AJ350" s="78" t="str">
        <f t="shared" si="26"/>
        <v/>
      </c>
      <c r="AK350" s="79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627" priority="8633" stopIfTrue="1" operator="equal">
      <formula>"En cours"</formula>
    </cfRule>
    <cfRule type="cellIs" dxfId="1626" priority="8634" stopIfTrue="1" operator="notEqual">
      <formula>"En cours"</formula>
    </cfRule>
  </conditionalFormatting>
  <conditionalFormatting sqref="AK36">
    <cfRule type="cellIs" dxfId="1625" priority="8635" stopIfTrue="1" operator="equal">
      <formula>"En cours"</formula>
    </cfRule>
    <cfRule type="cellIs" dxfId="1624" priority="8636" stopIfTrue="1" operator="notEqual">
      <formula>"En cours"</formula>
    </cfRule>
  </conditionalFormatting>
  <conditionalFormatting sqref="AJ34">
    <cfRule type="cellIs" dxfId="1623" priority="31769" stopIfTrue="1" operator="equal">
      <formula>"En cours"</formula>
    </cfRule>
    <cfRule type="cellIs" dxfId="1622" priority="31770" stopIfTrue="1" operator="notEqual">
      <formula>"En cours"</formula>
    </cfRule>
  </conditionalFormatting>
  <conditionalFormatting sqref="AK34">
    <cfRule type="cellIs" dxfId="1621" priority="31771" stopIfTrue="1" operator="equal">
      <formula>"En cours"</formula>
    </cfRule>
    <cfRule type="cellIs" dxfId="1620" priority="31772" stopIfTrue="1" operator="notEqual">
      <formula>"En cours"</formula>
    </cfRule>
  </conditionalFormatting>
  <conditionalFormatting sqref="AJ35">
    <cfRule type="cellIs" dxfId="1619" priority="32081" stopIfTrue="1" operator="equal">
      <formula>"En cours"</formula>
    </cfRule>
  </conditionalFormatting>
  <conditionalFormatting sqref="AJ35">
    <cfRule type="cellIs" dxfId="1618" priority="32082" stopIfTrue="1" operator="notEqual">
      <formula>"En cours"</formula>
    </cfRule>
  </conditionalFormatting>
  <conditionalFormatting sqref="AK35">
    <cfRule type="cellIs" dxfId="1617" priority="32083" stopIfTrue="1" operator="equal">
      <formula>"En cours"</formula>
    </cfRule>
  </conditionalFormatting>
  <conditionalFormatting sqref="AK35">
    <cfRule type="cellIs" dxfId="1616" priority="32084" stopIfTrue="1" operator="notEqual">
      <formula>"En cours"</formula>
    </cfRule>
  </conditionalFormatting>
  <conditionalFormatting sqref="AJ22">
    <cfRule type="cellIs" dxfId="1615" priority="33245" stopIfTrue="1" operator="equal">
      <formula>"En cours"</formula>
    </cfRule>
  </conditionalFormatting>
  <conditionalFormatting sqref="AJ22">
    <cfRule type="cellIs" dxfId="1614" priority="33246" stopIfTrue="1" operator="notEqual">
      <formula>"En cours"</formula>
    </cfRule>
  </conditionalFormatting>
  <conditionalFormatting sqref="AK22">
    <cfRule type="cellIs" dxfId="1613" priority="33247" stopIfTrue="1" operator="equal">
      <formula>"En cours"</formula>
    </cfRule>
  </conditionalFormatting>
  <conditionalFormatting sqref="AK22">
    <cfRule type="cellIs" dxfId="1612" priority="33248" stopIfTrue="1" operator="notEqual">
      <formula>"En cours"</formula>
    </cfRule>
  </conditionalFormatting>
  <conditionalFormatting sqref="AJ26">
    <cfRule type="cellIs" dxfId="1607" priority="33341" stopIfTrue="1" operator="equal">
      <formula>"En cours"</formula>
    </cfRule>
  </conditionalFormatting>
  <conditionalFormatting sqref="AJ26">
    <cfRule type="cellIs" dxfId="1606" priority="33342" stopIfTrue="1" operator="notEqual">
      <formula>"En cours"</formula>
    </cfRule>
  </conditionalFormatting>
  <conditionalFormatting sqref="AK26">
    <cfRule type="cellIs" dxfId="1605" priority="33343" stopIfTrue="1" operator="equal">
      <formula>"En cours"</formula>
    </cfRule>
  </conditionalFormatting>
  <conditionalFormatting sqref="AK26">
    <cfRule type="cellIs" dxfId="1604" priority="33344" stopIfTrue="1" operator="notEqual">
      <formula>"En cours"</formula>
    </cfRule>
  </conditionalFormatting>
  <conditionalFormatting sqref="AJ32">
    <cfRule type="cellIs" dxfId="1599" priority="33433" stopIfTrue="1" operator="equal">
      <formula>"En cours"</formula>
    </cfRule>
  </conditionalFormatting>
  <conditionalFormatting sqref="AJ32">
    <cfRule type="cellIs" dxfId="1598" priority="33434" stopIfTrue="1" operator="notEqual">
      <formula>"En cours"</formula>
    </cfRule>
  </conditionalFormatting>
  <conditionalFormatting sqref="AK32">
    <cfRule type="cellIs" dxfId="1597" priority="33435" stopIfTrue="1" operator="equal">
      <formula>"En cours"</formula>
    </cfRule>
  </conditionalFormatting>
  <conditionalFormatting sqref="AK32">
    <cfRule type="cellIs" dxfId="1596" priority="33436" stopIfTrue="1" operator="notEqual">
      <formula>"En cours"</formula>
    </cfRule>
  </conditionalFormatting>
  <conditionalFormatting sqref="AJ29">
    <cfRule type="cellIs" dxfId="1595" priority="33437" stopIfTrue="1" operator="equal">
      <formula>"En cours"</formula>
    </cfRule>
  </conditionalFormatting>
  <conditionalFormatting sqref="AJ29">
    <cfRule type="cellIs" dxfId="1594" priority="33438" stopIfTrue="1" operator="notEqual">
      <formula>"En cours"</formula>
    </cfRule>
  </conditionalFormatting>
  <conditionalFormatting sqref="AK29">
    <cfRule type="cellIs" dxfId="1593" priority="33439" stopIfTrue="1" operator="equal">
      <formula>"En cours"</formula>
    </cfRule>
  </conditionalFormatting>
  <conditionalFormatting sqref="AK29">
    <cfRule type="cellIs" dxfId="1592" priority="33440" stopIfTrue="1" operator="notEqual">
      <formula>"En cours"</formula>
    </cfRule>
  </conditionalFormatting>
  <conditionalFormatting sqref="AJ24">
    <cfRule type="cellIs" dxfId="1591" priority="33537" stopIfTrue="1" operator="equal">
      <formula>"En cours"</formula>
    </cfRule>
  </conditionalFormatting>
  <conditionalFormatting sqref="AJ24">
    <cfRule type="cellIs" dxfId="1590" priority="33538" stopIfTrue="1" operator="notEqual">
      <formula>"En cours"</formula>
    </cfRule>
  </conditionalFormatting>
  <conditionalFormatting sqref="AK24">
    <cfRule type="cellIs" dxfId="1589" priority="33539" stopIfTrue="1" operator="equal">
      <formula>"En cours"</formula>
    </cfRule>
  </conditionalFormatting>
  <conditionalFormatting sqref="AK24">
    <cfRule type="cellIs" dxfId="1588" priority="33540" stopIfTrue="1" operator="notEqual">
      <formula>"En cours"</formula>
    </cfRule>
  </conditionalFormatting>
  <conditionalFormatting sqref="AJ31">
    <cfRule type="cellIs" dxfId="1587" priority="33665" stopIfTrue="1" operator="equal">
      <formula>"En cours"</formula>
    </cfRule>
  </conditionalFormatting>
  <conditionalFormatting sqref="AJ31">
    <cfRule type="cellIs" dxfId="1586" priority="33666" stopIfTrue="1" operator="notEqual">
      <formula>"En cours"</formula>
    </cfRule>
  </conditionalFormatting>
  <conditionalFormatting sqref="AK31">
    <cfRule type="cellIs" dxfId="1585" priority="33667" stopIfTrue="1" operator="equal">
      <formula>"En cours"</formula>
    </cfRule>
  </conditionalFormatting>
  <conditionalFormatting sqref="AK31">
    <cfRule type="cellIs" dxfId="1584" priority="33668" stopIfTrue="1" operator="notEqual">
      <formula>"En cours"</formula>
    </cfRule>
  </conditionalFormatting>
  <conditionalFormatting sqref="AJ25">
    <cfRule type="cellIs" dxfId="1575" priority="33677" stopIfTrue="1" operator="equal">
      <formula>"En cours"</formula>
    </cfRule>
  </conditionalFormatting>
  <conditionalFormatting sqref="AJ25">
    <cfRule type="cellIs" dxfId="1574" priority="33678" stopIfTrue="1" operator="notEqual">
      <formula>"En cours"</formula>
    </cfRule>
  </conditionalFormatting>
  <conditionalFormatting sqref="AK25">
    <cfRule type="cellIs" dxfId="1573" priority="33679" stopIfTrue="1" operator="equal">
      <formula>"En cours"</formula>
    </cfRule>
  </conditionalFormatting>
  <conditionalFormatting sqref="AK25">
    <cfRule type="cellIs" dxfId="1572" priority="33680" stopIfTrue="1" operator="notEqual">
      <formula>"En cours"</formula>
    </cfRule>
  </conditionalFormatting>
  <conditionalFormatting sqref="AJ27">
    <cfRule type="cellIs" dxfId="1539" priority="33713" stopIfTrue="1" operator="equal">
      <formula>"En cours"</formula>
    </cfRule>
  </conditionalFormatting>
  <conditionalFormatting sqref="AJ27">
    <cfRule type="cellIs" dxfId="1538" priority="33714" stopIfTrue="1" operator="notEqual">
      <formula>"En cours"</formula>
    </cfRule>
  </conditionalFormatting>
  <conditionalFormatting sqref="AK27">
    <cfRule type="cellIs" dxfId="1537" priority="33715" stopIfTrue="1" operator="equal">
      <formula>"En cours"</formula>
    </cfRule>
  </conditionalFormatting>
  <conditionalFormatting sqref="AK27">
    <cfRule type="cellIs" dxfId="1536" priority="33716" stopIfTrue="1" operator="notEqual">
      <formula>"En cours"</formula>
    </cfRule>
  </conditionalFormatting>
  <conditionalFormatting sqref="AJ23">
    <cfRule type="cellIs" dxfId="1531" priority="33721" stopIfTrue="1" operator="equal">
      <formula>"En cours"</formula>
    </cfRule>
  </conditionalFormatting>
  <conditionalFormatting sqref="AJ23">
    <cfRule type="cellIs" dxfId="1530" priority="33722" stopIfTrue="1" operator="notEqual">
      <formula>"En cours"</formula>
    </cfRule>
  </conditionalFormatting>
  <conditionalFormatting sqref="AK23">
    <cfRule type="cellIs" dxfId="1529" priority="33723" stopIfTrue="1" operator="equal">
      <formula>"En cours"</formula>
    </cfRule>
  </conditionalFormatting>
  <conditionalFormatting sqref="AK23">
    <cfRule type="cellIs" dxfId="1528" priority="33724" stopIfTrue="1" operator="notEqual">
      <formula>"En cours"</formula>
    </cfRule>
  </conditionalFormatting>
  <conditionalFormatting sqref="AJ30">
    <cfRule type="cellIs" dxfId="1515" priority="33737" stopIfTrue="1" operator="equal">
      <formula>"En cours"</formula>
    </cfRule>
  </conditionalFormatting>
  <conditionalFormatting sqref="AJ30">
    <cfRule type="cellIs" dxfId="1514" priority="33738" stopIfTrue="1" operator="notEqual">
      <formula>"En cours"</formula>
    </cfRule>
  </conditionalFormatting>
  <conditionalFormatting sqref="AK30">
    <cfRule type="cellIs" dxfId="1513" priority="33739" stopIfTrue="1" operator="equal">
      <formula>"En cours"</formula>
    </cfRule>
  </conditionalFormatting>
  <conditionalFormatting sqref="AK30">
    <cfRule type="cellIs" dxfId="1512" priority="33740" stopIfTrue="1" operator="notEqual">
      <formula>"En cours"</formula>
    </cfRule>
  </conditionalFormatting>
  <conditionalFormatting sqref="AJ33">
    <cfRule type="cellIs" dxfId="1507" priority="33745" stopIfTrue="1" operator="equal">
      <formula>"En cours"</formula>
    </cfRule>
  </conditionalFormatting>
  <conditionalFormatting sqref="AJ33">
    <cfRule type="cellIs" dxfId="1506" priority="33746" stopIfTrue="1" operator="notEqual">
      <formula>"En cours"</formula>
    </cfRule>
  </conditionalFormatting>
  <conditionalFormatting sqref="AK33">
    <cfRule type="cellIs" dxfId="1505" priority="33747" stopIfTrue="1" operator="equal">
      <formula>"En cours"</formula>
    </cfRule>
  </conditionalFormatting>
  <conditionalFormatting sqref="AK33">
    <cfRule type="cellIs" dxfId="1504" priority="33748" stopIfTrue="1" operator="notEqual">
      <formula>"En cours"</formula>
    </cfRule>
  </conditionalFormatting>
  <conditionalFormatting sqref="AJ28">
    <cfRule type="cellIs" dxfId="1503" priority="33749" stopIfTrue="1" operator="equal">
      <formula>"En cours"</formula>
    </cfRule>
    <cfRule type="cellIs" dxfId="1502" priority="33750" stopIfTrue="1" operator="notEqual">
      <formula>"En cours"</formula>
    </cfRule>
  </conditionalFormatting>
  <conditionalFormatting sqref="AK28">
    <cfRule type="cellIs" dxfId="1501" priority="33751" stopIfTrue="1" operator="equal">
      <formula>"En cours"</formula>
    </cfRule>
    <cfRule type="cellIs" dxfId="1500" priority="33752" stopIfTrue="1" operator="notEqual">
      <formula>"En cours"</formula>
    </cfRule>
  </conditionalFormatting>
  <conditionalFormatting sqref="AJ21">
    <cfRule type="cellIs" dxfId="143" priority="35109" stopIfTrue="1" operator="equal">
      <formula>"En cours"</formula>
    </cfRule>
  </conditionalFormatting>
  <conditionalFormatting sqref="AJ21">
    <cfRule type="cellIs" dxfId="142" priority="35110" stopIfTrue="1" operator="notEqual">
      <formula>"En cours"</formula>
    </cfRule>
  </conditionalFormatting>
  <conditionalFormatting sqref="AK21">
    <cfRule type="cellIs" dxfId="141" priority="35111" stopIfTrue="1" operator="equal">
      <formula>"En cours"</formula>
    </cfRule>
  </conditionalFormatting>
  <conditionalFormatting sqref="AK21">
    <cfRule type="cellIs" dxfId="140" priority="35112" stopIfTrue="1" operator="notEqual">
      <formula>"En cours"</formula>
    </cfRule>
  </conditionalFormatting>
  <conditionalFormatting sqref="AJ5">
    <cfRule type="cellIs" dxfId="67" priority="35185" stopIfTrue="1" operator="equal">
      <formula>"En cours"</formula>
    </cfRule>
    <cfRule type="cellIs" dxfId="66" priority="35186" stopIfTrue="1" operator="notEqual">
      <formula>"En cours"</formula>
    </cfRule>
  </conditionalFormatting>
  <conditionalFormatting sqref="AK5">
    <cfRule type="cellIs" dxfId="65" priority="35187" stopIfTrue="1" operator="equal">
      <formula>"En cours"</formula>
    </cfRule>
    <cfRule type="cellIs" dxfId="64" priority="35188" stopIfTrue="1" operator="notEqual">
      <formula>"En cours"</formula>
    </cfRule>
  </conditionalFormatting>
  <conditionalFormatting sqref="AJ6">
    <cfRule type="cellIs" dxfId="63" priority="35189" stopIfTrue="1" operator="equal">
      <formula>"En cours"</formula>
    </cfRule>
  </conditionalFormatting>
  <conditionalFormatting sqref="AJ6">
    <cfRule type="cellIs" dxfId="62" priority="35190" stopIfTrue="1" operator="notEqual">
      <formula>"En cours"</formula>
    </cfRule>
  </conditionalFormatting>
  <conditionalFormatting sqref="AK6">
    <cfRule type="cellIs" dxfId="61" priority="35191" stopIfTrue="1" operator="equal">
      <formula>"En cours"</formula>
    </cfRule>
  </conditionalFormatting>
  <conditionalFormatting sqref="AK6">
    <cfRule type="cellIs" dxfId="60" priority="35192" stopIfTrue="1" operator="notEqual">
      <formula>"En cours"</formula>
    </cfRule>
  </conditionalFormatting>
  <conditionalFormatting sqref="AJ4">
    <cfRule type="cellIs" dxfId="59" priority="35193" stopIfTrue="1" operator="equal">
      <formula>"En cours"</formula>
    </cfRule>
    <cfRule type="cellIs" dxfId="58" priority="35194" stopIfTrue="1" operator="notEqual">
      <formula>"En cours"</formula>
    </cfRule>
  </conditionalFormatting>
  <conditionalFormatting sqref="AK4">
    <cfRule type="cellIs" dxfId="57" priority="35195" stopIfTrue="1" operator="equal">
      <formula>"En cours"</formula>
    </cfRule>
    <cfRule type="cellIs" dxfId="56" priority="35196" stopIfTrue="1" operator="notEqual">
      <formula>"En cours"</formula>
    </cfRule>
  </conditionalFormatting>
  <conditionalFormatting sqref="AJ7">
    <cfRule type="cellIs" dxfId="55" priority="35197" stopIfTrue="1" operator="equal">
      <formula>"En cours"</formula>
    </cfRule>
  </conditionalFormatting>
  <conditionalFormatting sqref="AJ7">
    <cfRule type="cellIs" dxfId="54" priority="35198" stopIfTrue="1" operator="notEqual">
      <formula>"En cours"</formula>
    </cfRule>
  </conditionalFormatting>
  <conditionalFormatting sqref="AK7">
    <cfRule type="cellIs" dxfId="53" priority="35199" stopIfTrue="1" operator="equal">
      <formula>"En cours"</formula>
    </cfRule>
  </conditionalFormatting>
  <conditionalFormatting sqref="AK7">
    <cfRule type="cellIs" dxfId="52" priority="35200" stopIfTrue="1" operator="notEqual">
      <formula>"En cours"</formula>
    </cfRule>
  </conditionalFormatting>
  <conditionalFormatting sqref="AJ8">
    <cfRule type="cellIs" dxfId="51" priority="35201" stopIfTrue="1" operator="equal">
      <formula>"En cours"</formula>
    </cfRule>
  </conditionalFormatting>
  <conditionalFormatting sqref="AJ8">
    <cfRule type="cellIs" dxfId="50" priority="35202" stopIfTrue="1" operator="notEqual">
      <formula>"En cours"</formula>
    </cfRule>
  </conditionalFormatting>
  <conditionalFormatting sqref="AK8">
    <cfRule type="cellIs" dxfId="49" priority="35203" stopIfTrue="1" operator="equal">
      <formula>"En cours"</formula>
    </cfRule>
  </conditionalFormatting>
  <conditionalFormatting sqref="AK8">
    <cfRule type="cellIs" dxfId="48" priority="35204" stopIfTrue="1" operator="notEqual">
      <formula>"En cours"</formula>
    </cfRule>
  </conditionalFormatting>
  <conditionalFormatting sqref="AJ9">
    <cfRule type="cellIs" dxfId="47" priority="35205" stopIfTrue="1" operator="equal">
      <formula>"En cours"</formula>
    </cfRule>
  </conditionalFormatting>
  <conditionalFormatting sqref="AJ9">
    <cfRule type="cellIs" dxfId="46" priority="35206" stopIfTrue="1" operator="notEqual">
      <formula>"En cours"</formula>
    </cfRule>
  </conditionalFormatting>
  <conditionalFormatting sqref="AK9">
    <cfRule type="cellIs" dxfId="45" priority="35207" stopIfTrue="1" operator="equal">
      <formula>"En cours"</formula>
    </cfRule>
  </conditionalFormatting>
  <conditionalFormatting sqref="AK9">
    <cfRule type="cellIs" dxfId="44" priority="35208" stopIfTrue="1" operator="notEqual">
      <formula>"En cours"</formula>
    </cfRule>
  </conditionalFormatting>
  <conditionalFormatting sqref="AJ10">
    <cfRule type="cellIs" dxfId="43" priority="35209" stopIfTrue="1" operator="equal">
      <formula>"En cours"</formula>
    </cfRule>
  </conditionalFormatting>
  <conditionalFormatting sqref="AJ10">
    <cfRule type="cellIs" dxfId="42" priority="35210" stopIfTrue="1" operator="notEqual">
      <formula>"En cours"</formula>
    </cfRule>
  </conditionalFormatting>
  <conditionalFormatting sqref="AK10">
    <cfRule type="cellIs" dxfId="41" priority="35211" stopIfTrue="1" operator="equal">
      <formula>"En cours"</formula>
    </cfRule>
  </conditionalFormatting>
  <conditionalFormatting sqref="AK10">
    <cfRule type="cellIs" dxfId="40" priority="35212" stopIfTrue="1" operator="notEqual">
      <formula>"En cours"</formula>
    </cfRule>
  </conditionalFormatting>
  <conditionalFormatting sqref="AJ11">
    <cfRule type="cellIs" dxfId="39" priority="35213" stopIfTrue="1" operator="equal">
      <formula>"En cours"</formula>
    </cfRule>
  </conditionalFormatting>
  <conditionalFormatting sqref="AJ11">
    <cfRule type="cellIs" dxfId="38" priority="35214" stopIfTrue="1" operator="notEqual">
      <formula>"En cours"</formula>
    </cfRule>
  </conditionalFormatting>
  <conditionalFormatting sqref="AK11">
    <cfRule type="cellIs" dxfId="37" priority="35215" stopIfTrue="1" operator="equal">
      <formula>"En cours"</formula>
    </cfRule>
  </conditionalFormatting>
  <conditionalFormatting sqref="AK11">
    <cfRule type="cellIs" dxfId="36" priority="35216" stopIfTrue="1" operator="notEqual">
      <formula>"En cours"</formula>
    </cfRule>
  </conditionalFormatting>
  <conditionalFormatting sqref="AJ12">
    <cfRule type="cellIs" dxfId="35" priority="35217" stopIfTrue="1" operator="equal">
      <formula>"En cours"</formula>
    </cfRule>
  </conditionalFormatting>
  <conditionalFormatting sqref="AJ12">
    <cfRule type="cellIs" dxfId="34" priority="35218" stopIfTrue="1" operator="notEqual">
      <formula>"En cours"</formula>
    </cfRule>
  </conditionalFormatting>
  <conditionalFormatting sqref="AK12">
    <cfRule type="cellIs" dxfId="33" priority="35219" stopIfTrue="1" operator="equal">
      <formula>"En cours"</formula>
    </cfRule>
  </conditionalFormatting>
  <conditionalFormatting sqref="AK12">
    <cfRule type="cellIs" dxfId="32" priority="35220" stopIfTrue="1" operator="notEqual">
      <formula>"En cours"</formula>
    </cfRule>
  </conditionalFormatting>
  <conditionalFormatting sqref="AJ14">
    <cfRule type="cellIs" dxfId="31" priority="35221" stopIfTrue="1" operator="equal">
      <formula>"En cours"</formula>
    </cfRule>
  </conditionalFormatting>
  <conditionalFormatting sqref="AJ14">
    <cfRule type="cellIs" dxfId="30" priority="35222" stopIfTrue="1" operator="notEqual">
      <formula>"En cours"</formula>
    </cfRule>
  </conditionalFormatting>
  <conditionalFormatting sqref="AK14">
    <cfRule type="cellIs" dxfId="29" priority="35223" stopIfTrue="1" operator="equal">
      <formula>"En cours"</formula>
    </cfRule>
  </conditionalFormatting>
  <conditionalFormatting sqref="AK14">
    <cfRule type="cellIs" dxfId="28" priority="35224" stopIfTrue="1" operator="notEqual">
      <formula>"En cours"</formula>
    </cfRule>
  </conditionalFormatting>
  <conditionalFormatting sqref="AJ13">
    <cfRule type="cellIs" dxfId="27" priority="35225" stopIfTrue="1" operator="equal">
      <formula>"En cours"</formula>
    </cfRule>
  </conditionalFormatting>
  <conditionalFormatting sqref="AJ13">
    <cfRule type="cellIs" dxfId="26" priority="35226" stopIfTrue="1" operator="notEqual">
      <formula>"En cours"</formula>
    </cfRule>
  </conditionalFormatting>
  <conditionalFormatting sqref="AK13">
    <cfRule type="cellIs" dxfId="25" priority="35227" stopIfTrue="1" operator="equal">
      <formula>"En cours"</formula>
    </cfRule>
  </conditionalFormatting>
  <conditionalFormatting sqref="AK13">
    <cfRule type="cellIs" dxfId="24" priority="35228" stopIfTrue="1" operator="notEqual">
      <formula>"En cours"</formula>
    </cfRule>
  </conditionalFormatting>
  <conditionalFormatting sqref="AJ16">
    <cfRule type="cellIs" dxfId="23" priority="35229" stopIfTrue="1" operator="equal">
      <formula>"En cours"</formula>
    </cfRule>
  </conditionalFormatting>
  <conditionalFormatting sqref="AJ16">
    <cfRule type="cellIs" dxfId="22" priority="35230" stopIfTrue="1" operator="notEqual">
      <formula>"En cours"</formula>
    </cfRule>
  </conditionalFormatting>
  <conditionalFormatting sqref="AK16">
    <cfRule type="cellIs" dxfId="21" priority="35231" stopIfTrue="1" operator="equal">
      <formula>"En cours"</formula>
    </cfRule>
  </conditionalFormatting>
  <conditionalFormatting sqref="AK16">
    <cfRule type="cellIs" dxfId="20" priority="35232" stopIfTrue="1" operator="notEqual">
      <formula>"En cours"</formula>
    </cfRule>
  </conditionalFormatting>
  <conditionalFormatting sqref="AJ15">
    <cfRule type="cellIs" dxfId="19" priority="35233" stopIfTrue="1" operator="equal">
      <formula>"En cours"</formula>
    </cfRule>
  </conditionalFormatting>
  <conditionalFormatting sqref="AJ15">
    <cfRule type="cellIs" dxfId="18" priority="35234" stopIfTrue="1" operator="notEqual">
      <formula>"En cours"</formula>
    </cfRule>
  </conditionalFormatting>
  <conditionalFormatting sqref="AK15">
    <cfRule type="cellIs" dxfId="17" priority="35235" stopIfTrue="1" operator="equal">
      <formula>"En cours"</formula>
    </cfRule>
  </conditionalFormatting>
  <conditionalFormatting sqref="AK15">
    <cfRule type="cellIs" dxfId="16" priority="35236" stopIfTrue="1" operator="notEqual">
      <formula>"En cours"</formula>
    </cfRule>
  </conditionalFormatting>
  <conditionalFormatting sqref="AJ19">
    <cfRule type="cellIs" dxfId="15" priority="35237" stopIfTrue="1" operator="equal">
      <formula>"En cours"</formula>
    </cfRule>
  </conditionalFormatting>
  <conditionalFormatting sqref="AJ19">
    <cfRule type="cellIs" dxfId="14" priority="35238" stopIfTrue="1" operator="notEqual">
      <formula>"En cours"</formula>
    </cfRule>
  </conditionalFormatting>
  <conditionalFormatting sqref="AK19">
    <cfRule type="cellIs" dxfId="13" priority="35239" stopIfTrue="1" operator="equal">
      <formula>"En cours"</formula>
    </cfRule>
  </conditionalFormatting>
  <conditionalFormatting sqref="AK19">
    <cfRule type="cellIs" dxfId="12" priority="35240" stopIfTrue="1" operator="notEqual">
      <formula>"En cours"</formula>
    </cfRule>
  </conditionalFormatting>
  <conditionalFormatting sqref="AJ17">
    <cfRule type="cellIs" dxfId="11" priority="35241" stopIfTrue="1" operator="equal">
      <formula>"En cours"</formula>
    </cfRule>
  </conditionalFormatting>
  <conditionalFormatting sqref="AJ17">
    <cfRule type="cellIs" dxfId="10" priority="35242" stopIfTrue="1" operator="notEqual">
      <formula>"En cours"</formula>
    </cfRule>
  </conditionalFormatting>
  <conditionalFormatting sqref="AK17">
    <cfRule type="cellIs" dxfId="9" priority="35243" stopIfTrue="1" operator="equal">
      <formula>"En cours"</formula>
    </cfRule>
  </conditionalFormatting>
  <conditionalFormatting sqref="AK17">
    <cfRule type="cellIs" dxfId="8" priority="35244" stopIfTrue="1" operator="notEqual">
      <formula>"En cours"</formula>
    </cfRule>
  </conditionalFormatting>
  <conditionalFormatting sqref="AJ20">
    <cfRule type="cellIs" dxfId="7" priority="35245" stopIfTrue="1" operator="equal">
      <formula>"En cours"</formula>
    </cfRule>
  </conditionalFormatting>
  <conditionalFormatting sqref="AJ20">
    <cfRule type="cellIs" dxfId="6" priority="35246" stopIfTrue="1" operator="notEqual">
      <formula>"En cours"</formula>
    </cfRule>
  </conditionalFormatting>
  <conditionalFormatting sqref="AK20">
    <cfRule type="cellIs" dxfId="5" priority="35247" stopIfTrue="1" operator="equal">
      <formula>"En cours"</formula>
    </cfRule>
  </conditionalFormatting>
  <conditionalFormatting sqref="AK20">
    <cfRule type="cellIs" dxfId="4" priority="35248" stopIfTrue="1" operator="notEqual">
      <formula>"En cours"</formula>
    </cfRule>
  </conditionalFormatting>
  <conditionalFormatting sqref="AJ18">
    <cfRule type="cellIs" dxfId="3" priority="35249" stopIfTrue="1" operator="equal">
      <formula>"En cours"</formula>
    </cfRule>
  </conditionalFormatting>
  <conditionalFormatting sqref="AJ18">
    <cfRule type="cellIs" dxfId="2" priority="35250" stopIfTrue="1" operator="notEqual">
      <formula>"En cours"</formula>
    </cfRule>
  </conditionalFormatting>
  <conditionalFormatting sqref="AK18">
    <cfRule type="cellIs" dxfId="1" priority="35251" stopIfTrue="1" operator="equal">
      <formula>"En cours"</formula>
    </cfRule>
  </conditionalFormatting>
  <conditionalFormatting sqref="AK18">
    <cfRule type="cellIs" dxfId="0" priority="3525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workbookViewId="0">
      <pane ySplit="4" topLeftCell="A5" activePane="bottomLeft" state="frozen"/>
      <selection pane="bottomLeft" activeCell="E38" sqref="E3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B5" s="197"/>
      <c r="C5" s="197"/>
      <c r="D5" s="197"/>
      <c r="E5" s="197"/>
      <c r="F5" s="19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2024-08-06T20:28:12Z</dcterms:modified>
</cp:coreProperties>
</file>