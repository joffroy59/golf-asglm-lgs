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1B0E3BAB-8C2F-4DF9-B8D9-D77EB4572E4B}" xr6:coauthVersionLast="47" xr6:coauthVersionMax="47" xr10:uidLastSave="{00000000-0000-0000-0000-000000000000}"/>
  <bookViews>
    <workbookView xWindow="-120" yWindow="-120" windowWidth="29040" windowHeight="1584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11" i="5" l="1"/>
  <c r="AJ11" i="5"/>
  <c r="AE11" i="5"/>
  <c r="AD11" i="5"/>
  <c r="AK8" i="5"/>
  <c r="AE8" i="5"/>
  <c r="AD8" i="5"/>
  <c r="AJ8" i="5" s="1"/>
  <c r="AK9" i="5"/>
  <c r="AJ9" i="5"/>
  <c r="AE9" i="5"/>
  <c r="AD9" i="5"/>
  <c r="AK10" i="5"/>
  <c r="AJ10" i="5"/>
  <c r="AE10" i="5"/>
  <c r="AD10" i="5"/>
  <c r="AK12" i="5"/>
  <c r="AJ12" i="5"/>
  <c r="AE12" i="5"/>
  <c r="AD12" i="5"/>
  <c r="AK7" i="5"/>
  <c r="AJ7" i="5"/>
  <c r="AE7" i="5"/>
  <c r="AD7" i="5"/>
  <c r="AK6" i="5"/>
  <c r="AJ6" i="5"/>
  <c r="AE6" i="5"/>
  <c r="AD6" i="5"/>
  <c r="AK4" i="5"/>
  <c r="AJ4" i="5"/>
  <c r="AE4" i="5"/>
  <c r="AD4" i="5"/>
  <c r="AK5" i="5"/>
  <c r="AJ5" i="5"/>
  <c r="AE5" i="5"/>
  <c r="AD5" i="5"/>
  <c r="AK333" i="5"/>
  <c r="AJ333" i="5"/>
  <c r="AE333" i="5"/>
  <c r="AD333" i="5"/>
  <c r="AK344" i="5"/>
  <c r="AJ344" i="5"/>
  <c r="AE344" i="5"/>
  <c r="AD344" i="5"/>
  <c r="AK347" i="5"/>
  <c r="AJ347" i="5"/>
  <c r="AE347" i="5"/>
  <c r="AD347" i="5"/>
  <c r="AK334" i="5"/>
  <c r="AJ334" i="5"/>
  <c r="AE334" i="5"/>
  <c r="AD334" i="5"/>
  <c r="AK349" i="5"/>
  <c r="AJ349" i="5"/>
  <c r="AE349" i="5"/>
  <c r="AD349" i="5"/>
  <c r="AK336" i="5"/>
  <c r="AJ336" i="5"/>
  <c r="AE336" i="5"/>
  <c r="AD336" i="5"/>
  <c r="AK332" i="5"/>
  <c r="AJ332" i="5"/>
  <c r="AE332" i="5"/>
  <c r="AD332" i="5"/>
  <c r="AK348" i="5"/>
  <c r="AJ348" i="5"/>
  <c r="AE348" i="5"/>
  <c r="AD348" i="5"/>
  <c r="AK350" i="5"/>
  <c r="AJ350" i="5"/>
  <c r="AE350" i="5"/>
  <c r="AD350" i="5"/>
  <c r="AK339" i="5"/>
  <c r="AJ339" i="5"/>
  <c r="AE339" i="5"/>
  <c r="AD339" i="5"/>
  <c r="AK340" i="5"/>
  <c r="AJ340" i="5"/>
  <c r="AE340" i="5"/>
  <c r="AD340" i="5"/>
  <c r="AK338" i="5"/>
  <c r="AJ338" i="5"/>
  <c r="AE338" i="5"/>
  <c r="AD338" i="5"/>
  <c r="AK341" i="5"/>
  <c r="AJ341" i="5"/>
  <c r="AE341" i="5"/>
  <c r="AD341" i="5"/>
  <c r="AK337" i="5"/>
  <c r="AJ337" i="5"/>
  <c r="AE337" i="5"/>
  <c r="AD337" i="5"/>
  <c r="AK346" i="5"/>
  <c r="AJ346" i="5"/>
  <c r="AE346" i="5"/>
  <c r="AD346" i="5"/>
  <c r="AK345" i="5"/>
  <c r="AJ345" i="5"/>
  <c r="AE345" i="5"/>
  <c r="AD345" i="5"/>
  <c r="AK331" i="5"/>
  <c r="AJ331" i="5"/>
  <c r="AE331" i="5"/>
  <c r="AD331" i="5"/>
  <c r="AK343" i="5"/>
  <c r="AJ343" i="5"/>
  <c r="AE343" i="5"/>
  <c r="AD343" i="5"/>
  <c r="AK342" i="5"/>
  <c r="AJ342" i="5"/>
  <c r="AE342" i="5"/>
  <c r="AD342" i="5"/>
  <c r="AK335" i="5"/>
  <c r="AJ335" i="5"/>
  <c r="AE335" i="5"/>
  <c r="AD335" i="5"/>
  <c r="AE85" i="4"/>
  <c r="AK85" i="4" s="1"/>
  <c r="AD85" i="4"/>
  <c r="AJ85" i="4" s="1"/>
  <c r="AE84" i="4"/>
  <c r="AK84" i="4" s="1"/>
  <c r="AD84" i="4"/>
  <c r="AJ84" i="4" s="1"/>
  <c r="AE69" i="4"/>
  <c r="AK69" i="4" s="1"/>
  <c r="AD69" i="4"/>
  <c r="AJ69" i="4" s="1"/>
  <c r="AE89" i="4"/>
  <c r="AK89" i="4" s="1"/>
  <c r="AD89" i="4"/>
  <c r="AJ89" i="4" s="1"/>
  <c r="AE80" i="4"/>
  <c r="AK80" i="4" s="1"/>
  <c r="AD80" i="4"/>
  <c r="AJ80" i="4" s="1"/>
  <c r="AE65" i="4"/>
  <c r="AK65" i="4" s="1"/>
  <c r="AD65" i="4"/>
  <c r="AJ65" i="4" s="1"/>
  <c r="AE81" i="4"/>
  <c r="AK81" i="4" s="1"/>
  <c r="AD81" i="4"/>
  <c r="AJ81" i="4" s="1"/>
  <c r="AE55" i="4"/>
  <c r="AK55" i="4" s="1"/>
  <c r="AD55" i="4"/>
  <c r="AJ55" i="4" s="1"/>
  <c r="AE66" i="4"/>
  <c r="AK66" i="4" s="1"/>
  <c r="AD66" i="4"/>
  <c r="AJ66" i="4" s="1"/>
  <c r="AE48" i="4"/>
  <c r="AK48" i="4" s="1"/>
  <c r="AD48" i="4"/>
  <c r="AJ48" i="4" s="1"/>
  <c r="AE58" i="4"/>
  <c r="AK58" i="4" s="1"/>
  <c r="AD58" i="4"/>
  <c r="AJ58" i="4" s="1"/>
  <c r="AE64" i="4"/>
  <c r="AK64" i="4" s="1"/>
  <c r="AD64" i="4"/>
  <c r="AJ64" i="4" s="1"/>
  <c r="AE60" i="4"/>
  <c r="AK60" i="4" s="1"/>
  <c r="AD60" i="4"/>
  <c r="AJ60" i="4" s="1"/>
  <c r="AE49" i="4"/>
  <c r="AK49" i="4" s="1"/>
  <c r="AD49" i="4"/>
  <c r="AJ49" i="4" s="1"/>
  <c r="AE72" i="4"/>
  <c r="AK72" i="4" s="1"/>
  <c r="AD72" i="4"/>
  <c r="AJ72" i="4" s="1"/>
  <c r="AE70" i="4"/>
  <c r="AK70" i="4" s="1"/>
  <c r="AD70" i="4"/>
  <c r="AJ70" i="4" s="1"/>
  <c r="AE38" i="4"/>
  <c r="AK38" i="4" s="1"/>
  <c r="AD38" i="4"/>
  <c r="AJ38" i="4" s="1"/>
  <c r="AE63" i="4"/>
  <c r="AK63" i="4" s="1"/>
  <c r="AD63" i="4"/>
  <c r="AJ63" i="4" s="1"/>
  <c r="AE52" i="4"/>
  <c r="AK52" i="4" s="1"/>
  <c r="AD52" i="4"/>
  <c r="AJ52" i="4" s="1"/>
  <c r="AE36" i="4"/>
  <c r="AK36" i="4" s="1"/>
  <c r="AD36" i="4"/>
  <c r="AJ36" i="4" s="1"/>
  <c r="AE79" i="4"/>
  <c r="AK79" i="4" s="1"/>
  <c r="AD79" i="4"/>
  <c r="AJ79" i="4" s="1"/>
  <c r="AE56" i="4"/>
  <c r="AK56" i="4" s="1"/>
  <c r="AD56" i="4"/>
  <c r="AJ56" i="4" s="1"/>
  <c r="AE35" i="4"/>
  <c r="AK35" i="4" s="1"/>
  <c r="AD35" i="4"/>
  <c r="AJ35" i="4" s="1"/>
  <c r="AE54" i="4"/>
  <c r="AK54" i="4" s="1"/>
  <c r="AD54" i="4"/>
  <c r="AJ54" i="4" s="1"/>
  <c r="AE75" i="4"/>
  <c r="AK75" i="4" s="1"/>
  <c r="AD75" i="4"/>
  <c r="AJ75" i="4" s="1"/>
  <c r="AE50" i="4"/>
  <c r="AK50" i="4" s="1"/>
  <c r="AD50" i="4"/>
  <c r="AJ50" i="4" s="1"/>
  <c r="AE31" i="4"/>
  <c r="AK31" i="4" s="1"/>
  <c r="AD31" i="4"/>
  <c r="AJ31" i="4" s="1"/>
  <c r="AE32" i="4"/>
  <c r="AK32" i="4" s="1"/>
  <c r="AD32" i="4"/>
  <c r="AJ32" i="4" s="1"/>
  <c r="AE41" i="4"/>
  <c r="AK41" i="4" s="1"/>
  <c r="AD41" i="4"/>
  <c r="AJ41" i="4" s="1"/>
  <c r="AE83" i="4"/>
  <c r="AK83" i="4" s="1"/>
  <c r="AD83" i="4"/>
  <c r="AJ83" i="4" s="1"/>
  <c r="AE73" i="4"/>
  <c r="AK73" i="4" s="1"/>
  <c r="AD73" i="4"/>
  <c r="AJ73" i="4" s="1"/>
  <c r="AE88" i="4"/>
  <c r="AK88" i="4" s="1"/>
  <c r="AD88" i="4"/>
  <c r="AJ88" i="4" s="1"/>
  <c r="AE51" i="4"/>
  <c r="AK51" i="4" s="1"/>
  <c r="AD51" i="4"/>
  <c r="AJ51" i="4" s="1"/>
  <c r="AE46" i="4"/>
  <c r="AK46" i="4" s="1"/>
  <c r="AD46" i="4"/>
  <c r="AJ46" i="4" s="1"/>
  <c r="AE78" i="4"/>
  <c r="AK78" i="4" s="1"/>
  <c r="AD78" i="4"/>
  <c r="AJ78" i="4" s="1"/>
  <c r="AE74" i="4"/>
  <c r="AK74" i="4" s="1"/>
  <c r="AD74" i="4"/>
  <c r="AJ74" i="4" s="1"/>
  <c r="AE76" i="4"/>
  <c r="AK76" i="4" s="1"/>
  <c r="AD76" i="4"/>
  <c r="AJ76" i="4" s="1"/>
  <c r="AE67" i="4"/>
  <c r="AK67" i="4" s="1"/>
  <c r="AD67" i="4"/>
  <c r="AJ67" i="4" s="1"/>
  <c r="AE53" i="4"/>
  <c r="AK53" i="4" s="1"/>
  <c r="AD53" i="4"/>
  <c r="AJ53" i="4" s="1"/>
  <c r="AE62" i="4"/>
  <c r="AK62" i="4" s="1"/>
  <c r="AD62" i="4"/>
  <c r="AJ62" i="4" s="1"/>
  <c r="AE61" i="4"/>
  <c r="AK61" i="4" s="1"/>
  <c r="AD61" i="4"/>
  <c r="AJ61" i="4" s="1"/>
  <c r="AE71" i="4"/>
  <c r="AK71" i="4" s="1"/>
  <c r="AD71" i="4"/>
  <c r="AJ71" i="4" s="1"/>
  <c r="AE47" i="4"/>
  <c r="AK47" i="4" s="1"/>
  <c r="AD47" i="4"/>
  <c r="AJ47" i="4" s="1"/>
  <c r="AE45" i="4"/>
  <c r="AK45" i="4" s="1"/>
  <c r="AD45" i="4"/>
  <c r="AJ45" i="4" s="1"/>
  <c r="AE87" i="4"/>
  <c r="AK87" i="4" s="1"/>
  <c r="AD87" i="4"/>
  <c r="AJ87" i="4" s="1"/>
  <c r="AE77" i="4"/>
  <c r="AK77" i="4" s="1"/>
  <c r="AD77" i="4"/>
  <c r="AJ77" i="4" s="1"/>
  <c r="AE37" i="4"/>
  <c r="AK37" i="4" s="1"/>
  <c r="AD37" i="4"/>
  <c r="AJ37" i="4" s="1"/>
  <c r="AE43" i="4"/>
  <c r="AK43" i="4" s="1"/>
  <c r="AD43" i="4"/>
  <c r="AJ43" i="4" s="1"/>
  <c r="AE40" i="4"/>
  <c r="AK40" i="4" s="1"/>
  <c r="AD40" i="4"/>
  <c r="AJ40" i="4" s="1"/>
  <c r="AE42" i="4"/>
  <c r="AK42" i="4" s="1"/>
  <c r="AD42" i="4"/>
  <c r="AJ42" i="4" s="1"/>
  <c r="AE39" i="4"/>
  <c r="AK39" i="4" s="1"/>
  <c r="AD39" i="4"/>
  <c r="AJ39" i="4" s="1"/>
  <c r="AE82" i="4"/>
  <c r="AK82" i="4" s="1"/>
  <c r="AD82" i="4"/>
  <c r="AJ82" i="4" s="1"/>
  <c r="AE24" i="4"/>
  <c r="AK24" i="4" s="1"/>
  <c r="AD24" i="4"/>
  <c r="AJ24" i="4" s="1"/>
  <c r="AE59" i="4"/>
  <c r="AK59" i="4" s="1"/>
  <c r="AD59" i="4"/>
  <c r="AJ59" i="4" s="1"/>
  <c r="AE34" i="4"/>
  <c r="AK34" i="4" s="1"/>
  <c r="AD34" i="4"/>
  <c r="AJ34" i="4" s="1"/>
  <c r="AE30" i="4"/>
  <c r="AK30" i="4" s="1"/>
  <c r="AD30" i="4"/>
  <c r="AJ30" i="4" s="1"/>
  <c r="AE44" i="4"/>
  <c r="AK44" i="4" s="1"/>
  <c r="AD44" i="4"/>
  <c r="AJ44" i="4" s="1"/>
  <c r="AE68" i="4"/>
  <c r="AK68" i="4" s="1"/>
  <c r="AD68" i="4"/>
  <c r="AJ68" i="4" s="1"/>
  <c r="AE29" i="4"/>
  <c r="AK29" i="4" s="1"/>
  <c r="AD29" i="4"/>
  <c r="AJ29" i="4" s="1"/>
  <c r="AE27" i="4"/>
  <c r="AK27" i="4" s="1"/>
  <c r="AD27" i="4"/>
  <c r="AJ27" i="4" s="1"/>
  <c r="AJ19" i="4"/>
  <c r="AE19" i="4"/>
  <c r="AK19" i="4" s="1"/>
  <c r="AD19" i="4"/>
  <c r="AE28" i="4"/>
  <c r="AK28" i="4" s="1"/>
  <c r="AD28" i="4"/>
  <c r="AJ28" i="4" s="1"/>
  <c r="AE21" i="4"/>
  <c r="AK21" i="4" s="1"/>
  <c r="AD21" i="4"/>
  <c r="AJ21" i="4" s="1"/>
  <c r="AE33" i="4"/>
  <c r="AK33" i="4" s="1"/>
  <c r="AD33" i="4"/>
  <c r="AJ33" i="4" s="1"/>
  <c r="AE22" i="4"/>
  <c r="AK22" i="4" s="1"/>
  <c r="AD22" i="4"/>
  <c r="AJ22" i="4" s="1"/>
  <c r="AE14" i="4"/>
  <c r="AK14" i="4" s="1"/>
  <c r="AD14" i="4"/>
  <c r="AJ14" i="4" s="1"/>
  <c r="AE25" i="4"/>
  <c r="AK25" i="4" s="1"/>
  <c r="AD25" i="4"/>
  <c r="AJ25" i="4" s="1"/>
  <c r="AE26" i="4"/>
  <c r="AK26" i="4" s="1"/>
  <c r="AD26" i="4"/>
  <c r="AJ26" i="4" s="1"/>
  <c r="AE11" i="4"/>
  <c r="AK11" i="4" s="1"/>
  <c r="AD11" i="4"/>
  <c r="AJ11" i="4" s="1"/>
  <c r="AE5" i="4"/>
  <c r="AK5" i="4" s="1"/>
  <c r="AD5" i="4"/>
  <c r="AJ5" i="4" s="1"/>
  <c r="AE8" i="4"/>
  <c r="AK8" i="4" s="1"/>
  <c r="AD8" i="4"/>
  <c r="AJ8" i="4" s="1"/>
  <c r="AE57" i="4"/>
  <c r="AK57" i="4" s="1"/>
  <c r="AD57" i="4"/>
  <c r="AJ57" i="4" s="1"/>
  <c r="AE86" i="4"/>
  <c r="AK86" i="4" s="1"/>
  <c r="AD86" i="4"/>
  <c r="AJ86" i="4" s="1"/>
  <c r="AE16" i="4"/>
  <c r="AK16" i="4" s="1"/>
  <c r="AD16" i="4"/>
  <c r="AJ16" i="4" s="1"/>
  <c r="AE17" i="4"/>
  <c r="AK17" i="4" s="1"/>
  <c r="AD17" i="4"/>
  <c r="AJ17" i="4" s="1"/>
  <c r="AE20" i="4"/>
  <c r="AK20" i="4" s="1"/>
  <c r="AD20" i="4"/>
  <c r="AJ20" i="4" s="1"/>
  <c r="AE23" i="4"/>
  <c r="AK23" i="4" s="1"/>
  <c r="AD23" i="4"/>
  <c r="AJ23" i="4" s="1"/>
  <c r="AE15" i="4"/>
  <c r="AK15" i="4" s="1"/>
  <c r="AD15" i="4"/>
  <c r="AJ15" i="4" s="1"/>
  <c r="AE18" i="4"/>
  <c r="AK18" i="4" s="1"/>
  <c r="AD18" i="4"/>
  <c r="AJ18" i="4" s="1"/>
  <c r="AE13" i="4"/>
  <c r="AK13" i="4" s="1"/>
  <c r="AD13" i="4"/>
  <c r="AJ13" i="4" s="1"/>
  <c r="AE10" i="4"/>
  <c r="AK10" i="4" s="1"/>
  <c r="AD10" i="4"/>
  <c r="AJ10" i="4" s="1"/>
  <c r="AE6" i="4"/>
  <c r="AK6" i="4" s="1"/>
  <c r="AD6" i="4"/>
  <c r="AJ6" i="4" s="1"/>
  <c r="AE9" i="4"/>
  <c r="AK9" i="4" s="1"/>
  <c r="AD9" i="4"/>
  <c r="AJ9" i="4" s="1"/>
  <c r="AE7" i="4"/>
  <c r="AK7" i="4" s="1"/>
  <c r="AD7" i="4"/>
  <c r="AJ7" i="4" s="1"/>
  <c r="AE12" i="4"/>
  <c r="AK12" i="4" s="1"/>
  <c r="AD12" i="4"/>
  <c r="AJ12" i="4" s="1"/>
  <c r="AE4" i="4"/>
  <c r="AK4" i="4" s="1"/>
  <c r="AD4" i="4"/>
  <c r="AJ4" i="4" s="1"/>
  <c r="AE342" i="4"/>
  <c r="AK342" i="4" s="1"/>
  <c r="AD342" i="4"/>
  <c r="AJ342" i="4" s="1"/>
  <c r="AE271" i="4"/>
  <c r="AK271" i="4" s="1"/>
  <c r="AD271" i="4"/>
  <c r="AJ271" i="4" s="1"/>
  <c r="AE277" i="4"/>
  <c r="AK277" i="4" s="1"/>
  <c r="AD277" i="4"/>
  <c r="AJ277" i="4" s="1"/>
  <c r="AE286" i="4"/>
  <c r="AK286" i="4" s="1"/>
  <c r="AD286" i="4"/>
  <c r="AJ286" i="4" s="1"/>
  <c r="AE281" i="4"/>
  <c r="AK281" i="4" s="1"/>
  <c r="AD281" i="4"/>
  <c r="AJ281" i="4" s="1"/>
  <c r="AE341" i="4"/>
  <c r="AK341" i="4" s="1"/>
  <c r="AD341" i="4"/>
  <c r="AJ341" i="4" s="1"/>
  <c r="AE314" i="4"/>
  <c r="AK314" i="4" s="1"/>
  <c r="AD314" i="4"/>
  <c r="AJ314" i="4" s="1"/>
  <c r="AE312" i="4"/>
  <c r="AK312" i="4" s="1"/>
  <c r="AD312" i="4"/>
  <c r="AJ312" i="4" s="1"/>
  <c r="AE303" i="4"/>
  <c r="AK303" i="4" s="1"/>
  <c r="AD303" i="4"/>
  <c r="AJ303" i="4" s="1"/>
  <c r="AE261" i="4"/>
  <c r="AK261" i="4" s="1"/>
  <c r="AD261" i="4"/>
  <c r="AJ261" i="4" s="1"/>
  <c r="AE299" i="4"/>
  <c r="AK299" i="4" s="1"/>
  <c r="AD299" i="4"/>
  <c r="AJ299" i="4" s="1"/>
  <c r="AE333" i="4"/>
  <c r="AK333" i="4" s="1"/>
  <c r="AD333" i="4"/>
  <c r="AJ333" i="4" s="1"/>
  <c r="AE297" i="4"/>
  <c r="AK297" i="4" s="1"/>
  <c r="AD297" i="4"/>
  <c r="AJ297" i="4" s="1"/>
  <c r="AE295" i="4"/>
  <c r="AK295" i="4" s="1"/>
  <c r="AD295" i="4"/>
  <c r="AJ295" i="4" s="1"/>
  <c r="AE298" i="4"/>
  <c r="AK298" i="4" s="1"/>
  <c r="AD298" i="4"/>
  <c r="AJ298" i="4" s="1"/>
  <c r="AE268" i="4"/>
  <c r="AK268" i="4" s="1"/>
  <c r="AD268" i="4"/>
  <c r="AJ268" i="4" s="1"/>
  <c r="AE348" i="4"/>
  <c r="AK348" i="4" s="1"/>
  <c r="AD348" i="4"/>
  <c r="AJ348" i="4" s="1"/>
  <c r="AE294" i="4"/>
  <c r="AK294" i="4" s="1"/>
  <c r="AD294" i="4"/>
  <c r="AJ294" i="4" s="1"/>
  <c r="AE317" i="4"/>
  <c r="AK317" i="4" s="1"/>
  <c r="AD317" i="4"/>
  <c r="AJ317" i="4" s="1"/>
  <c r="AE350" i="4"/>
  <c r="AK350" i="4" s="1"/>
  <c r="AD350" i="4"/>
  <c r="AJ350" i="4" s="1"/>
  <c r="AE327" i="4"/>
  <c r="AK327" i="4" s="1"/>
  <c r="AD327" i="4"/>
  <c r="AJ327" i="4" s="1"/>
  <c r="AE291" i="4"/>
  <c r="AK291" i="4" s="1"/>
  <c r="AD291" i="4"/>
  <c r="AJ291" i="4" s="1"/>
  <c r="AE316" i="4"/>
  <c r="AK316" i="4" s="1"/>
  <c r="AD316" i="4"/>
  <c r="AJ316" i="4" s="1"/>
  <c r="AE338" i="4"/>
  <c r="AK338" i="4" s="1"/>
  <c r="AD338" i="4"/>
  <c r="AJ338" i="4" s="1"/>
  <c r="AE349" i="4"/>
  <c r="AK349" i="4" s="1"/>
  <c r="AD349" i="4"/>
  <c r="AJ349" i="4" s="1"/>
  <c r="AE344" i="4"/>
  <c r="AK344" i="4" s="1"/>
  <c r="AD344" i="4"/>
  <c r="AJ344" i="4" s="1"/>
  <c r="AE323" i="4"/>
  <c r="AK323" i="4" s="1"/>
  <c r="AD323" i="4"/>
  <c r="AJ323" i="4" s="1"/>
  <c r="AE266" i="4"/>
  <c r="AK266" i="4" s="1"/>
  <c r="AD266" i="4"/>
  <c r="AJ266" i="4" s="1"/>
  <c r="AE339" i="4"/>
  <c r="AK339" i="4" s="1"/>
  <c r="AD339" i="4"/>
  <c r="AJ339" i="4" s="1"/>
  <c r="AE296" i="4"/>
  <c r="AK296" i="4" s="1"/>
  <c r="AD296" i="4"/>
  <c r="AJ296" i="4" s="1"/>
  <c r="AE283" i="4"/>
  <c r="AK283" i="4" s="1"/>
  <c r="AD283" i="4"/>
  <c r="AJ283" i="4" s="1"/>
  <c r="AE318" i="4"/>
  <c r="AK318" i="4" s="1"/>
  <c r="AD318" i="4"/>
  <c r="AJ318" i="4" s="1"/>
  <c r="AE270" i="4"/>
  <c r="AK270" i="4" s="1"/>
  <c r="AD270" i="4"/>
  <c r="AJ270" i="4" s="1"/>
  <c r="AE332" i="4"/>
  <c r="AK332" i="4" s="1"/>
  <c r="AD332" i="4"/>
  <c r="AJ332" i="4" s="1"/>
  <c r="AE330" i="4"/>
  <c r="AK330" i="4" s="1"/>
  <c r="AD330" i="4"/>
  <c r="AJ330" i="4" s="1"/>
  <c r="AE347" i="4"/>
  <c r="AK347" i="4" s="1"/>
  <c r="AD347" i="4"/>
  <c r="AJ347" i="4" s="1"/>
  <c r="AE325" i="4"/>
  <c r="AK325" i="4" s="1"/>
  <c r="AD325" i="4"/>
  <c r="AJ325" i="4" s="1"/>
  <c r="AE274" i="4"/>
  <c r="AK274" i="4" s="1"/>
  <c r="AD274" i="4"/>
  <c r="AJ274" i="4" s="1"/>
  <c r="AE289" i="4"/>
  <c r="AK289" i="4" s="1"/>
  <c r="AD289" i="4"/>
  <c r="AJ289" i="4" s="1"/>
  <c r="AE346" i="4"/>
  <c r="AK346" i="4" s="1"/>
  <c r="AD346" i="4"/>
  <c r="AJ346" i="4" s="1"/>
  <c r="AE345" i="4"/>
  <c r="AK345" i="4" s="1"/>
  <c r="AD345" i="4"/>
  <c r="AJ345" i="4" s="1"/>
  <c r="AE343" i="4"/>
  <c r="AK343" i="4" s="1"/>
  <c r="AD343" i="4"/>
  <c r="AJ343" i="4" s="1"/>
  <c r="AE340" i="4"/>
  <c r="AK340" i="4" s="1"/>
  <c r="AD340" i="4"/>
  <c r="AJ340" i="4" s="1"/>
  <c r="AE306" i="4"/>
  <c r="AK306" i="4" s="1"/>
  <c r="AD306" i="4"/>
  <c r="AJ306" i="4" s="1"/>
  <c r="AE313" i="4"/>
  <c r="AK313" i="4" s="1"/>
  <c r="AD313" i="4"/>
  <c r="AJ313" i="4" s="1"/>
  <c r="AE304" i="4"/>
  <c r="AK304" i="4" s="1"/>
  <c r="AD304" i="4"/>
  <c r="AJ304" i="4" s="1"/>
  <c r="AE337" i="4"/>
  <c r="AK337" i="4" s="1"/>
  <c r="AD337" i="4"/>
  <c r="AJ337" i="4" s="1"/>
  <c r="AE300" i="4"/>
  <c r="AK300" i="4" s="1"/>
  <c r="AD300" i="4"/>
  <c r="AJ300" i="4" s="1"/>
  <c r="AE334" i="4"/>
  <c r="AK334" i="4" s="1"/>
  <c r="AD334" i="4"/>
  <c r="AJ334" i="4" s="1"/>
  <c r="AE336" i="4"/>
  <c r="AK336" i="4" s="1"/>
  <c r="AD336" i="4"/>
  <c r="AJ336" i="4" s="1"/>
  <c r="AE335" i="4"/>
  <c r="AK335" i="4" s="1"/>
  <c r="AD335" i="4"/>
  <c r="AJ335" i="4" s="1"/>
  <c r="AE331" i="4"/>
  <c r="AK331" i="4" s="1"/>
  <c r="AD331" i="4"/>
  <c r="AJ331" i="4" s="1"/>
  <c r="AJ288" i="4"/>
  <c r="AE288" i="4"/>
  <c r="AK288" i="4" s="1"/>
  <c r="AD288" i="4"/>
  <c r="AE292" i="4"/>
  <c r="AK292" i="4" s="1"/>
  <c r="AD292" i="4"/>
  <c r="AJ292" i="4" s="1"/>
  <c r="AE328" i="4"/>
  <c r="AK328" i="4" s="1"/>
  <c r="AD328" i="4"/>
  <c r="AJ328" i="4" s="1"/>
  <c r="AE329" i="4"/>
  <c r="AK329" i="4" s="1"/>
  <c r="AD329" i="4"/>
  <c r="AJ329" i="4" s="1"/>
  <c r="AE326" i="4"/>
  <c r="AK326" i="4" s="1"/>
  <c r="AD326" i="4"/>
  <c r="AJ326" i="4" s="1"/>
  <c r="AE324" i="4"/>
  <c r="AK324" i="4" s="1"/>
  <c r="AD324" i="4"/>
  <c r="AJ324" i="4" s="1"/>
  <c r="AE309" i="4"/>
  <c r="AK309" i="4" s="1"/>
  <c r="AD309" i="4"/>
  <c r="AJ309" i="4" s="1"/>
  <c r="AE321" i="4"/>
  <c r="AK321" i="4" s="1"/>
  <c r="AD321" i="4"/>
  <c r="AJ321" i="4" s="1"/>
  <c r="AE322" i="4"/>
  <c r="AK322" i="4" s="1"/>
  <c r="AD322" i="4"/>
  <c r="AJ322" i="4" s="1"/>
  <c r="AE263" i="4"/>
  <c r="AK263" i="4" s="1"/>
  <c r="AD263" i="4"/>
  <c r="AJ263" i="4" s="1"/>
  <c r="AE319" i="4"/>
  <c r="AK319" i="4" s="1"/>
  <c r="AD319" i="4"/>
  <c r="AJ319" i="4" s="1"/>
  <c r="AE273" i="4"/>
  <c r="AK273" i="4" s="1"/>
  <c r="AD273" i="4"/>
  <c r="AJ273" i="4" s="1"/>
  <c r="AE269" i="4"/>
  <c r="AK269" i="4" s="1"/>
  <c r="AD269" i="4"/>
  <c r="AJ269" i="4" s="1"/>
  <c r="AE278" i="4"/>
  <c r="AK278" i="4" s="1"/>
  <c r="AD278" i="4"/>
  <c r="AJ278" i="4" s="1"/>
  <c r="AE320" i="4"/>
  <c r="AK320" i="4" s="1"/>
  <c r="AD320" i="4"/>
  <c r="AJ320" i="4" s="1"/>
  <c r="AE280" i="4"/>
  <c r="AK280" i="4" s="1"/>
  <c r="AD280" i="4"/>
  <c r="AJ280" i="4" s="1"/>
  <c r="AE285" i="4"/>
  <c r="AK285" i="4" s="1"/>
  <c r="AD285" i="4"/>
  <c r="AJ285" i="4" s="1"/>
  <c r="AE293" i="4"/>
  <c r="AK293" i="4" s="1"/>
  <c r="AD293" i="4"/>
  <c r="AJ293" i="4" s="1"/>
  <c r="AE282" i="4"/>
  <c r="AK282" i="4" s="1"/>
  <c r="AD282" i="4"/>
  <c r="AJ282" i="4" s="1"/>
  <c r="AE287" i="4"/>
  <c r="AK287" i="4" s="1"/>
  <c r="AD287" i="4"/>
  <c r="AJ287" i="4" s="1"/>
  <c r="AE260" i="4"/>
  <c r="AK260" i="4" s="1"/>
  <c r="AD260" i="4"/>
  <c r="AJ260" i="4" s="1"/>
  <c r="AE275" i="4"/>
  <c r="AK275" i="4" s="1"/>
  <c r="AD275" i="4"/>
  <c r="AJ275" i="4" s="1"/>
  <c r="AE272" i="4"/>
  <c r="AK272" i="4" s="1"/>
  <c r="AD272" i="4"/>
  <c r="AJ272" i="4" s="1"/>
  <c r="AE290" i="4"/>
  <c r="AK290" i="4" s="1"/>
  <c r="AD290" i="4"/>
  <c r="AJ290" i="4" s="1"/>
  <c r="AE284" i="4"/>
  <c r="AK284" i="4" s="1"/>
  <c r="AD284" i="4"/>
  <c r="AJ284" i="4" s="1"/>
  <c r="AE307" i="4"/>
  <c r="AK307" i="4" s="1"/>
  <c r="AD307" i="4"/>
  <c r="AJ307" i="4" s="1"/>
  <c r="AE315" i="4"/>
  <c r="AK315" i="4" s="1"/>
  <c r="AD315" i="4"/>
  <c r="AJ315" i="4" s="1"/>
  <c r="AE308" i="4"/>
  <c r="AK308" i="4" s="1"/>
  <c r="AD308" i="4"/>
  <c r="AJ308" i="4" s="1"/>
  <c r="AE310" i="4"/>
  <c r="AK310" i="4" s="1"/>
  <c r="AD310" i="4"/>
  <c r="AJ310" i="4" s="1"/>
  <c r="AE311" i="4"/>
  <c r="AK311" i="4" s="1"/>
  <c r="AD311" i="4"/>
  <c r="AJ311" i="4" s="1"/>
  <c r="AE305" i="4"/>
  <c r="AK305" i="4" s="1"/>
  <c r="AD305" i="4"/>
  <c r="AJ305" i="4" s="1"/>
  <c r="AE302" i="4"/>
  <c r="AK302" i="4" s="1"/>
  <c r="AD302" i="4"/>
  <c r="AJ302" i="4" s="1"/>
  <c r="AE301" i="4"/>
  <c r="AK301" i="4" s="1"/>
  <c r="AD301" i="4"/>
  <c r="AJ301" i="4" s="1"/>
  <c r="AE265" i="4"/>
  <c r="AK265" i="4" s="1"/>
  <c r="AD265" i="4"/>
  <c r="AJ265" i="4" s="1"/>
  <c r="AE279" i="4"/>
  <c r="AK279" i="4" s="1"/>
  <c r="AD279" i="4"/>
  <c r="AJ279" i="4" s="1"/>
  <c r="AE276" i="4"/>
  <c r="AK276" i="4" s="1"/>
  <c r="AD276" i="4"/>
  <c r="AJ276" i="4" s="1"/>
  <c r="AJ267" i="4"/>
  <c r="AE267" i="4"/>
  <c r="AK267" i="4" s="1"/>
  <c r="AD267" i="4"/>
  <c r="AE264" i="4"/>
  <c r="AK264" i="4" s="1"/>
  <c r="AD264" i="4"/>
  <c r="AJ264" i="4" s="1"/>
  <c r="AE262" i="4"/>
  <c r="AK262" i="4" s="1"/>
  <c r="AD262" i="4"/>
  <c r="AJ262" i="4" s="1"/>
  <c r="E13" i="1" l="1"/>
  <c r="P6" i="1" s="1"/>
  <c r="D3" i="1"/>
  <c r="AE14" i="5"/>
  <c r="AK14" i="5" s="1"/>
  <c r="AD14" i="5"/>
  <c r="AJ14" i="5" s="1"/>
  <c r="AE13" i="5"/>
  <c r="AK13" i="5" s="1"/>
  <c r="AD13" i="5"/>
  <c r="AJ13" i="5" s="1"/>
  <c r="AE16" i="5"/>
  <c r="AK16" i="5" s="1"/>
  <c r="AD16" i="5"/>
  <c r="AJ16" i="5" s="1"/>
  <c r="AE15" i="5"/>
  <c r="AK15" i="5" s="1"/>
  <c r="AD15" i="5"/>
  <c r="AJ15" i="5" s="1"/>
  <c r="AE17" i="5"/>
  <c r="AK17" i="5" s="1"/>
  <c r="AE18" i="5"/>
  <c r="AK18" i="5" s="1"/>
  <c r="AE19" i="5"/>
  <c r="AK19" i="5" s="1"/>
  <c r="AE20" i="5"/>
  <c r="AK20" i="5" s="1"/>
  <c r="AE21" i="5"/>
  <c r="AK21" i="5" s="1"/>
  <c r="AE22" i="5"/>
  <c r="AK22" i="5" s="1"/>
  <c r="AE23" i="5"/>
  <c r="AK23" i="5" s="1"/>
  <c r="AE24" i="5"/>
  <c r="AK24" i="5" s="1"/>
  <c r="AE25" i="5"/>
  <c r="AK25" i="5" s="1"/>
  <c r="AE26" i="5"/>
  <c r="AE27" i="5"/>
  <c r="AK27" i="5" s="1"/>
  <c r="AE28" i="5"/>
  <c r="AK28" i="5" s="1"/>
  <c r="AE29" i="5"/>
  <c r="AK29" i="5" s="1"/>
  <c r="AE30" i="5"/>
  <c r="AK30" i="5" s="1"/>
  <c r="AE31" i="5"/>
  <c r="AK31" i="5" s="1"/>
  <c r="AE32" i="5"/>
  <c r="AK32" i="5" s="1"/>
  <c r="AE33" i="5"/>
  <c r="AK33" i="5" s="1"/>
  <c r="AE34" i="5"/>
  <c r="AK34" i="5" s="1"/>
  <c r="AE35" i="5"/>
  <c r="AK35" i="5" s="1"/>
  <c r="AE36" i="5"/>
  <c r="AK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D17" i="5"/>
  <c r="AJ17" i="5" s="1"/>
  <c r="AD18" i="5"/>
  <c r="AJ18" i="5" s="1"/>
  <c r="AD19" i="5"/>
  <c r="AJ19" i="5" s="1"/>
  <c r="AD20" i="5"/>
  <c r="AJ20" i="5" s="1"/>
  <c r="AD21" i="5"/>
  <c r="AJ21" i="5" s="1"/>
  <c r="AD22" i="5"/>
  <c r="AJ22" i="5" s="1"/>
  <c r="AD23" i="5"/>
  <c r="AJ23" i="5" s="1"/>
  <c r="AD24" i="5"/>
  <c r="AJ24" i="5" s="1"/>
  <c r="AD25" i="5"/>
  <c r="AJ25" i="5" s="1"/>
  <c r="AD26" i="5"/>
  <c r="AJ26" i="5" s="1"/>
  <c r="AD27" i="5"/>
  <c r="AJ27" i="5" s="1"/>
  <c r="AD28" i="5"/>
  <c r="AJ28" i="5" s="1"/>
  <c r="AD29" i="5"/>
  <c r="AJ29" i="5" s="1"/>
  <c r="AD30" i="5"/>
  <c r="AJ30" i="5" s="1"/>
  <c r="AD31" i="5"/>
  <c r="AJ31" i="5" s="1"/>
  <c r="AD32" i="5"/>
  <c r="AJ32" i="5" s="1"/>
  <c r="AD33" i="5"/>
  <c r="AJ33" i="5" s="1"/>
  <c r="AD34" i="5"/>
  <c r="AJ34" i="5" s="1"/>
  <c r="AD35" i="5"/>
  <c r="AJ35" i="5" s="1"/>
  <c r="AD36" i="5"/>
  <c r="AJ36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E90" i="4"/>
  <c r="AK90" i="4" s="1"/>
  <c r="AE91" i="4"/>
  <c r="AK91" i="4" s="1"/>
  <c r="AE92" i="4"/>
  <c r="AK92" i="4" s="1"/>
  <c r="AE93" i="4"/>
  <c r="AK93" i="4" s="1"/>
  <c r="AE94" i="4"/>
  <c r="AK94" i="4" s="1"/>
  <c r="AE95" i="4"/>
  <c r="AK95" i="4" s="1"/>
  <c r="AE96" i="4"/>
  <c r="AK96" i="4" s="1"/>
  <c r="AE97" i="4"/>
  <c r="AK97" i="4" s="1"/>
  <c r="AE98" i="4"/>
  <c r="AK98" i="4" s="1"/>
  <c r="AE99" i="4"/>
  <c r="AK99" i="4" s="1"/>
  <c r="AE100" i="4"/>
  <c r="AK100" i="4" s="1"/>
  <c r="AE101" i="4"/>
  <c r="AK101" i="4" s="1"/>
  <c r="AE102" i="4"/>
  <c r="AK102" i="4" s="1"/>
  <c r="AE103" i="4"/>
  <c r="AK103" i="4" s="1"/>
  <c r="AE104" i="4"/>
  <c r="AK104" i="4" s="1"/>
  <c r="AE105" i="4"/>
  <c r="AK105" i="4" s="1"/>
  <c r="AE106" i="4"/>
  <c r="AK106" i="4" s="1"/>
  <c r="AE107" i="4"/>
  <c r="AK107" i="4" s="1"/>
  <c r="AE108" i="4"/>
  <c r="AK108" i="4" s="1"/>
  <c r="AE109" i="4"/>
  <c r="AK109" i="4" s="1"/>
  <c r="AE110" i="4"/>
  <c r="AK110" i="4" s="1"/>
  <c r="AE111" i="4"/>
  <c r="AK111" i="4" s="1"/>
  <c r="AE112" i="4"/>
  <c r="AK112" i="4" s="1"/>
  <c r="AE113" i="4"/>
  <c r="AK113" i="4" s="1"/>
  <c r="AE114" i="4"/>
  <c r="AK114" i="4" s="1"/>
  <c r="AE115" i="4"/>
  <c r="AK115" i="4" s="1"/>
  <c r="AE116" i="4"/>
  <c r="AK116" i="4" s="1"/>
  <c r="AE117" i="4"/>
  <c r="AK117" i="4" s="1"/>
  <c r="AE118" i="4"/>
  <c r="AK118" i="4" s="1"/>
  <c r="AE119" i="4"/>
  <c r="AK119" i="4" s="1"/>
  <c r="AE120" i="4"/>
  <c r="AK120" i="4" s="1"/>
  <c r="AE121" i="4"/>
  <c r="AK121" i="4" s="1"/>
  <c r="AE122" i="4"/>
  <c r="AK122" i="4" s="1"/>
  <c r="AE123" i="4"/>
  <c r="AK123" i="4" s="1"/>
  <c r="AE124" i="4"/>
  <c r="AK124" i="4" s="1"/>
  <c r="AE125" i="4"/>
  <c r="AK125" i="4" s="1"/>
  <c r="AE126" i="4"/>
  <c r="AK126" i="4" s="1"/>
  <c r="AE127" i="4"/>
  <c r="AK127" i="4" s="1"/>
  <c r="AE128" i="4"/>
  <c r="AK128" i="4" s="1"/>
  <c r="AE129" i="4"/>
  <c r="AK129" i="4" s="1"/>
  <c r="AE130" i="4"/>
  <c r="AK130" i="4" s="1"/>
  <c r="AE131" i="4"/>
  <c r="AK131" i="4" s="1"/>
  <c r="AE132" i="4"/>
  <c r="AK132" i="4" s="1"/>
  <c r="AE133" i="4"/>
  <c r="AK133" i="4" s="1"/>
  <c r="AE134" i="4"/>
  <c r="AK134" i="4" s="1"/>
  <c r="AE135" i="4"/>
  <c r="AK135" i="4" s="1"/>
  <c r="AE136" i="4"/>
  <c r="AK136" i="4" s="1"/>
  <c r="AE137" i="4"/>
  <c r="AK137" i="4" s="1"/>
  <c r="AE138" i="4"/>
  <c r="AK138" i="4" s="1"/>
  <c r="AE139" i="4"/>
  <c r="AK139" i="4" s="1"/>
  <c r="AE140" i="4"/>
  <c r="AK140" i="4" s="1"/>
  <c r="AE141" i="4"/>
  <c r="AK141" i="4" s="1"/>
  <c r="AE142" i="4"/>
  <c r="AK142" i="4" s="1"/>
  <c r="AE143" i="4"/>
  <c r="AK143" i="4" s="1"/>
  <c r="AE144" i="4"/>
  <c r="AK144" i="4" s="1"/>
  <c r="AE145" i="4"/>
  <c r="AK145" i="4" s="1"/>
  <c r="AE146" i="4"/>
  <c r="AK146" i="4" s="1"/>
  <c r="AE147" i="4"/>
  <c r="AK147" i="4" s="1"/>
  <c r="AE148" i="4"/>
  <c r="AK148" i="4" s="1"/>
  <c r="AE149" i="4"/>
  <c r="AK149" i="4" s="1"/>
  <c r="AE150" i="4"/>
  <c r="AK150" i="4" s="1"/>
  <c r="AE151" i="4"/>
  <c r="AK151" i="4" s="1"/>
  <c r="AE152" i="4"/>
  <c r="AK152" i="4" s="1"/>
  <c r="AE153" i="4"/>
  <c r="AK153" i="4" s="1"/>
  <c r="AE154" i="4"/>
  <c r="AK154" i="4" s="1"/>
  <c r="AE155" i="4"/>
  <c r="AK155" i="4" s="1"/>
  <c r="AE156" i="4"/>
  <c r="AK156" i="4" s="1"/>
  <c r="AE157" i="4"/>
  <c r="AK157" i="4" s="1"/>
  <c r="AE158" i="4"/>
  <c r="AK158" i="4" s="1"/>
  <c r="AE159" i="4"/>
  <c r="AK159" i="4" s="1"/>
  <c r="AE160" i="4"/>
  <c r="AK160" i="4" s="1"/>
  <c r="AE161" i="4"/>
  <c r="AK161" i="4" s="1"/>
  <c r="AE162" i="4"/>
  <c r="AK162" i="4" s="1"/>
  <c r="AE163" i="4"/>
  <c r="AK163" i="4" s="1"/>
  <c r="AE164" i="4"/>
  <c r="AK164" i="4" s="1"/>
  <c r="AE165" i="4"/>
  <c r="AK165" i="4" s="1"/>
  <c r="AE166" i="4"/>
  <c r="AK166" i="4" s="1"/>
  <c r="AE167" i="4"/>
  <c r="AK167" i="4" s="1"/>
  <c r="AE168" i="4"/>
  <c r="AK168" i="4" s="1"/>
  <c r="AE169" i="4"/>
  <c r="AK169" i="4" s="1"/>
  <c r="AE170" i="4"/>
  <c r="AK170" i="4" s="1"/>
  <c r="AE171" i="4"/>
  <c r="AK171" i="4" s="1"/>
  <c r="AE172" i="4"/>
  <c r="AK172" i="4" s="1"/>
  <c r="AE173" i="4"/>
  <c r="AK173" i="4" s="1"/>
  <c r="AE174" i="4"/>
  <c r="AK174" i="4" s="1"/>
  <c r="AE175" i="4"/>
  <c r="AK175" i="4" s="1"/>
  <c r="AE176" i="4"/>
  <c r="AK176" i="4" s="1"/>
  <c r="AE177" i="4"/>
  <c r="AK177" i="4" s="1"/>
  <c r="AE178" i="4"/>
  <c r="AK178" i="4" s="1"/>
  <c r="AE179" i="4"/>
  <c r="AK179" i="4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D90" i="4"/>
  <c r="AJ90" i="4" s="1"/>
  <c r="AD91" i="4"/>
  <c r="AJ91" i="4" s="1"/>
  <c r="AD92" i="4"/>
  <c r="AJ92" i="4" s="1"/>
  <c r="AD93" i="4"/>
  <c r="AJ93" i="4" s="1"/>
  <c r="AD94" i="4"/>
  <c r="AJ94" i="4" s="1"/>
  <c r="AD95" i="4"/>
  <c r="AJ95" i="4" s="1"/>
  <c r="AD96" i="4"/>
  <c r="AJ96" i="4" s="1"/>
  <c r="AD97" i="4"/>
  <c r="AJ97" i="4" s="1"/>
  <c r="AD98" i="4"/>
  <c r="AJ98" i="4" s="1"/>
  <c r="AD99" i="4"/>
  <c r="AJ99" i="4" s="1"/>
  <c r="AD100" i="4"/>
  <c r="AJ100" i="4" s="1"/>
  <c r="AD101" i="4"/>
  <c r="AJ101" i="4" s="1"/>
  <c r="AD102" i="4"/>
  <c r="AJ102" i="4" s="1"/>
  <c r="AD103" i="4"/>
  <c r="AJ103" i="4" s="1"/>
  <c r="AD104" i="4"/>
  <c r="AJ104" i="4" s="1"/>
  <c r="AD105" i="4"/>
  <c r="AJ105" i="4" s="1"/>
  <c r="AD106" i="4"/>
  <c r="AJ106" i="4" s="1"/>
  <c r="AD107" i="4"/>
  <c r="AJ107" i="4" s="1"/>
  <c r="AD108" i="4"/>
  <c r="AJ108" i="4" s="1"/>
  <c r="AD109" i="4"/>
  <c r="AJ109" i="4" s="1"/>
  <c r="AD110" i="4"/>
  <c r="AJ110" i="4" s="1"/>
  <c r="AD111" i="4"/>
  <c r="AJ111" i="4" s="1"/>
  <c r="AD112" i="4"/>
  <c r="AJ112" i="4" s="1"/>
  <c r="AD113" i="4"/>
  <c r="AJ113" i="4" s="1"/>
  <c r="AD114" i="4"/>
  <c r="AJ114" i="4" s="1"/>
  <c r="AD115" i="4"/>
  <c r="AJ115" i="4" s="1"/>
  <c r="AD116" i="4"/>
  <c r="AJ116" i="4" s="1"/>
  <c r="AD117" i="4"/>
  <c r="AJ117" i="4" s="1"/>
  <c r="AD118" i="4"/>
  <c r="AJ118" i="4" s="1"/>
  <c r="AD119" i="4"/>
  <c r="AJ119" i="4" s="1"/>
  <c r="AD120" i="4"/>
  <c r="AJ120" i="4" s="1"/>
  <c r="AD121" i="4"/>
  <c r="AJ121" i="4" s="1"/>
  <c r="AD122" i="4"/>
  <c r="AJ122" i="4" s="1"/>
  <c r="AD123" i="4"/>
  <c r="AJ123" i="4" s="1"/>
  <c r="AD124" i="4"/>
  <c r="AJ124" i="4" s="1"/>
  <c r="AD125" i="4"/>
  <c r="AJ125" i="4" s="1"/>
  <c r="AD126" i="4"/>
  <c r="AJ126" i="4" s="1"/>
  <c r="AD127" i="4"/>
  <c r="AJ127" i="4" s="1"/>
  <c r="AD128" i="4"/>
  <c r="AJ128" i="4" s="1"/>
  <c r="AD129" i="4"/>
  <c r="AJ129" i="4" s="1"/>
  <c r="AD130" i="4"/>
  <c r="AJ130" i="4" s="1"/>
  <c r="AD131" i="4"/>
  <c r="AJ131" i="4" s="1"/>
  <c r="AD132" i="4"/>
  <c r="AJ132" i="4" s="1"/>
  <c r="AD133" i="4"/>
  <c r="AJ133" i="4" s="1"/>
  <c r="AD134" i="4"/>
  <c r="AJ134" i="4" s="1"/>
  <c r="AD135" i="4"/>
  <c r="AJ135" i="4" s="1"/>
  <c r="AD136" i="4"/>
  <c r="AJ136" i="4" s="1"/>
  <c r="AD137" i="4"/>
  <c r="AJ137" i="4" s="1"/>
  <c r="AD138" i="4"/>
  <c r="AJ138" i="4" s="1"/>
  <c r="AD139" i="4"/>
  <c r="AJ139" i="4" s="1"/>
  <c r="AD140" i="4"/>
  <c r="AJ140" i="4" s="1"/>
  <c r="AD141" i="4"/>
  <c r="AJ141" i="4" s="1"/>
  <c r="AD142" i="4"/>
  <c r="AJ142" i="4" s="1"/>
  <c r="AD143" i="4"/>
  <c r="AJ143" i="4" s="1"/>
  <c r="AD144" i="4"/>
  <c r="AJ144" i="4" s="1"/>
  <c r="AD145" i="4"/>
  <c r="AJ145" i="4" s="1"/>
  <c r="AD146" i="4"/>
  <c r="AJ146" i="4" s="1"/>
  <c r="AD147" i="4"/>
  <c r="AJ147" i="4" s="1"/>
  <c r="AD148" i="4"/>
  <c r="AJ148" i="4" s="1"/>
  <c r="AD149" i="4"/>
  <c r="AJ149" i="4" s="1"/>
  <c r="AD150" i="4"/>
  <c r="AJ150" i="4" s="1"/>
  <c r="AD151" i="4"/>
  <c r="AJ151" i="4" s="1"/>
  <c r="AD152" i="4"/>
  <c r="AJ152" i="4" s="1"/>
  <c r="AD153" i="4"/>
  <c r="AJ153" i="4" s="1"/>
  <c r="AD154" i="4"/>
  <c r="AJ154" i="4" s="1"/>
  <c r="AD155" i="4"/>
  <c r="AJ155" i="4" s="1"/>
  <c r="AD156" i="4"/>
  <c r="AJ156" i="4" s="1"/>
  <c r="AD157" i="4"/>
  <c r="AJ157" i="4" s="1"/>
  <c r="AD158" i="4"/>
  <c r="AJ158" i="4" s="1"/>
  <c r="AD159" i="4"/>
  <c r="AJ159" i="4" s="1"/>
  <c r="AD160" i="4"/>
  <c r="AJ160" i="4" s="1"/>
  <c r="AD161" i="4"/>
  <c r="AJ161" i="4" s="1"/>
  <c r="AD162" i="4"/>
  <c r="AJ162" i="4" s="1"/>
  <c r="AD163" i="4"/>
  <c r="AJ163" i="4" s="1"/>
  <c r="AD164" i="4"/>
  <c r="AJ164" i="4" s="1"/>
  <c r="AD165" i="4"/>
  <c r="AJ165" i="4" s="1"/>
  <c r="AD166" i="4"/>
  <c r="AJ166" i="4" s="1"/>
  <c r="AD167" i="4"/>
  <c r="AJ167" i="4" s="1"/>
  <c r="AD168" i="4"/>
  <c r="AJ168" i="4" s="1"/>
  <c r="AD169" i="4"/>
  <c r="AJ169" i="4" s="1"/>
  <c r="AD170" i="4"/>
  <c r="AJ170" i="4" s="1"/>
  <c r="AD171" i="4"/>
  <c r="AJ171" i="4" s="1"/>
  <c r="AD172" i="4"/>
  <c r="AJ172" i="4" s="1"/>
  <c r="AD173" i="4"/>
  <c r="AJ173" i="4" s="1"/>
  <c r="AD174" i="4"/>
  <c r="AJ174" i="4" s="1"/>
  <c r="AD175" i="4"/>
  <c r="AJ175" i="4" s="1"/>
  <c r="AD176" i="4"/>
  <c r="AJ176" i="4" s="1"/>
  <c r="AD177" i="4"/>
  <c r="AJ177" i="4" s="1"/>
  <c r="AD178" i="4"/>
  <c r="AJ178" i="4" s="1"/>
  <c r="AD179" i="4"/>
  <c r="AJ179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K2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<sst xmlns="http://schemas.openxmlformats.org/spreadsheetml/2006/main" count="1010" uniqueCount="361">
  <si>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</si>
  <si>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</si>
  <si>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</si>
  <si>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</si>
  <si>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</si>
  <si>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</si>
  <si>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</si>
  <si>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</si>
  <si>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</si>
  <si>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</si>
  <si>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</si>
  <si>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</si>
  <si>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</si>
  <si>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</si>
  <si>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</si>
  <si>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</si>
  <si>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</si>
  <si>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</si>
  <si>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</si>
  <si>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</si>
  <si>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</si>
  <si>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</si>
  <si>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</si>
  <si>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</si>
  <si>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</si>
  <si>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</si>
  <si>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</si>
  <si>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</si>
  <si>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</si>
  <si>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</si>
  <si>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</si>
  <si>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</si>
  <si>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</si>
  <si>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</si>
  <si>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</si>
  <si>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</si>
  <si>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</si>
  <si>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</si>
  <si>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</si>
  <si>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</si>
  <si>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</si>
  <si>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</si>
  <si>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</si>
  <si>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</si>
  <si>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</si>
  <si>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</si>
  <si>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</si>
  <si>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</si>
  <si>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</si>
  <si>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</si>
  <si>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</si>
  <si>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</si>
  <si>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</si>
  <si>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</si>
  <si>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</si>
  <si>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</si>
  <si>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</si>
  <si>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</si>
  <si>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</si>
  <si>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</si>
  <si>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</si>
  <si>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</si>
  <si>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</si>
  <si>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</si>
  <si>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</si>
  <si>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</si>
  <si>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</si>
  <si>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</si>
  <si>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</si>
  <si>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</si>
  <si>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</si>
  <si>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</si>
  <si>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</si>
  <si>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</si>
  <si>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</si>
  <si>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</si>
  <si>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</si>
  <si>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</si>
  <si>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</si>
  <si>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</si>
  <si>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</si>
  <si>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</si>
  <si>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</si>
  <si>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</si>
  <si>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</si>
  <si>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</si>
  <si>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</si>
  <si>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</si>
  <si>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</si>
  <si>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</si>
  <si>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</si>
  <si>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</si>
  <si>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</si>
  <si>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</si>
  <si>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</si>
  <si>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</si>
  <si>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</si>
  <si>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</si>
  <si>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</si>
  <si>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</si>
  <si>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</si>
  <si>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</si>
  <si>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</si>
  <si>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</si>
  <si>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</si>
  <si>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</si>
  <si>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</si>
  <si>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</si>
  <si>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</si>
  <si>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</si>
  <si>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</si>
  <si>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</si>
  <si>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</si>
  <si>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</si>
  <si>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</si>
  <si>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</si>
  <si>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</si>
  <si>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</si>
  <si>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</si>
  <si>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</si>
  <si>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</si>
  <si>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</si>
  <si>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</si>
  <si>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</si>
  <si>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</si>
  <si>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</si>
  <si>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</si>
  <si>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</si>
  <si>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</si>
  <si>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</si>
  <si>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</si>
  <si>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</si>
  <si>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</si>
  <si>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</si>
  <si>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</si>
  <si>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</si>
  <si>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</si>
  <si>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</si>
  <si>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</si>
  <si>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</si>
  <si>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</si>
  <si>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</si>
  <si>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</si>
  <si>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</si>
  <si>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</si>
  <si>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</si>
  <si>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</si>
  <si>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</si>
  <si>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</si>
  <si>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</si>
  <si>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</si>
  <si>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</si>
  <si>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</si>
  <si>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</si>
  <si>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</si>
  <si>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</si>
  <si>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</si>
  <si>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</si>
  <si>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</si>
  <si>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</si>
  <si>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</si>
  <si>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</si>
  <si>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</si>
  <si>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</si>
  <si>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</si>
  <si>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</si>
  <si>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</si>
  <si>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</si>
  <si>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</si>
  <si>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</si>
  <si>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</si>
  <si>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</si>
  <si>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</si>
  <si>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</si>
  <si>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</si>
  <si>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</si>
  <si>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</si>
  <si>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</si>
  <si>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</si>
  <si>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</si>
  <si>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</si>
  <si>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</si>
  <si>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</si>
  <si>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</si>
  <si>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</si>
  <si>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</si>
  <si>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</si>
  <si>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</si>
  <si>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</si>
  <si>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</si>
  <si>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</si>
  <si>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</si>
  <si>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</si>
  <si>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</si>
  <si>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</si>
  <si>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</si>
  <si>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</si>
  <si>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</si>
  <si>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</si>
  <si>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</si>
  <si>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</si>
  <si>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</si>
  <si>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</si>
  <si>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</si>
  <si>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</si>
  <si>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</si>
  <si>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</si>
  <si>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</si>
  <si>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</si>
  <si>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</si>
  <si>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</si>
  <si>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</si>
  <si>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</si>
  <si>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</si>
  <si>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</si>
  <si>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</si>
  <si>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</si>
  <si>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</si>
  <si>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</si>
  <si>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</si>
  <si>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</si>
  <si>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</si>
  <si>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</si>
  <si>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</si>
  <si>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</si>
  <si>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</si>
  <si>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</si>
  <si>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</si>
  <si>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</si>
  <si>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</si>
  <si>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</si>
  <si>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</si>
  <si>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Importation et generation de tous les tours depuis un repertoire HOMME/DAME (Clean import =Vrai) - Tour 3</t>
  </si>
  <si>
    <t>C:\Users\jerom\Dropbox\ASGLM BUREAU\ASGLM 2023\LGS\T3\export_HOMME_Brut_1.xlsx</t>
  </si>
  <si>
    <t>MOUCHEL Paul</t>
  </si>
  <si>
    <t>WANTE Arne</t>
  </si>
  <si>
    <t>CANTILLON Marc-Alban</t>
  </si>
  <si>
    <t>NIBART Fabrice</t>
  </si>
  <si>
    <t>BONDUES</t>
  </si>
  <si>
    <t>MATYS Michel</t>
  </si>
  <si>
    <t>NEANG Samal</t>
  </si>
  <si>
    <t>RAYNAUD Hervé</t>
  </si>
  <si>
    <t>DERRADJ Nory</t>
  </si>
  <si>
    <t>DEBUSSCHERE Yves</t>
  </si>
  <si>
    <t>REGUEME Eric</t>
  </si>
  <si>
    <t>DUBY Nicolas</t>
  </si>
  <si>
    <t>NEANG Luca</t>
  </si>
  <si>
    <t>CAYRADE Romain</t>
  </si>
  <si>
    <t>DELCAMBRE Maxime</t>
  </si>
  <si>
    <t>MINET Kevin</t>
  </si>
  <si>
    <t>MINET David</t>
  </si>
  <si>
    <t>C:\Users\jerom\Dropbox\ASGLM BUREAU\ASGLM 2023\LGS\T3\export_HOMME_Net_1.xlsx</t>
  </si>
  <si>
    <t>Calcul du Tour 3</t>
  </si>
  <si>
    <t>Importation et generation de tous les tours depuis un repertoire HOMME/DAME (Clean import =Vrai) - Tour 4</t>
  </si>
  <si>
    <t>C:\Users\jerom\Dropbox\ASGLM BUREAU\ASGLM 2023\LGS\T4\export_HOMME_Brut_1.xlsx</t>
  </si>
  <si>
    <t>LE MOAL Thomas</t>
  </si>
  <si>
    <t>MARTINOT Jérôme</t>
  </si>
  <si>
    <t>LE MOAL Paul</t>
  </si>
  <si>
    <t>RAYS Amaury</t>
  </si>
  <si>
    <t>MALBRANQUE Jean-Philippe</t>
  </si>
  <si>
    <t>GRYSON Arnaud</t>
  </si>
  <si>
    <t>MORIN Jeremie</t>
  </si>
  <si>
    <t>MAGNIN-FEYSOT Guillaume</t>
  </si>
  <si>
    <t>POTDEVIN Davy</t>
  </si>
  <si>
    <t>HUANG Jingpei</t>
  </si>
  <si>
    <t>SART</t>
  </si>
  <si>
    <t>BOUCHONNET Leo</t>
  </si>
  <si>
    <t>BARTAU Guillaume</t>
  </si>
  <si>
    <t>PARENT Nicolas</t>
  </si>
  <si>
    <t>DUSSART Gilles</t>
  </si>
  <si>
    <t>REIGNIER Pascal</t>
  </si>
  <si>
    <t>LOUBET Jean Michel</t>
  </si>
  <si>
    <t>ROBIN Raphael</t>
  </si>
  <si>
    <t>INESIS GOLF PAR</t>
  </si>
  <si>
    <t>CASTELAIN Maxime</t>
  </si>
  <si>
    <t>BRUTKIEWICZ Jean-Jacques</t>
  </si>
  <si>
    <t>DELCOUR Bruno</t>
  </si>
  <si>
    <t>JAGODZINSKI Jean-Yves</t>
  </si>
  <si>
    <t>KIN Jean-Michel</t>
  </si>
  <si>
    <t>VINCENT François</t>
  </si>
  <si>
    <t>CAMBRAY Francois</t>
  </si>
  <si>
    <t>LACOMBLEZ Steve</t>
  </si>
  <si>
    <t>HOTTON Olivier</t>
  </si>
  <si>
    <t>LAMOUR Regis</t>
  </si>
  <si>
    <t>DEPREY Vincent</t>
  </si>
  <si>
    <t>WILLERVAL Sebastien</t>
  </si>
  <si>
    <t>C:\Users\jerom\Dropbox\ASGLM BUREAU\ASGLM 2023\LGS\T4\export_HOMME_Net_1.xlsx</t>
  </si>
  <si>
    <t>Calcul du Tour 4</t>
  </si>
  <si>
    <t>Importation et generation de tous les tours depuis un repertoire HOMME/DAME (Clean import =Vrai) - Tour 5</t>
  </si>
  <si>
    <t>C:\Users\jerom\Dropbox\ASGLM BUREAU\ASGLM 2023\LGS\T5\export_HOMME_Brut_1.xlsx</t>
  </si>
  <si>
    <t>LONNEVILLE Sacha</t>
  </si>
  <si>
    <t>MATHON Loïc</t>
  </si>
  <si>
    <t>CEZARD Jean Camille</t>
  </si>
  <si>
    <t>LE BRIS Maxime</t>
  </si>
  <si>
    <t>TARGAT Wassily</t>
  </si>
  <si>
    <t>SILVAIN Jean-Marc</t>
  </si>
  <si>
    <t>DOAN Thang</t>
  </si>
  <si>
    <t>C:\Users\jerom\Dropbox\ASGLM BUREAU\ASGLM 2023\LGS\T5\export_HOMME_Net_1.xlsx</t>
  </si>
  <si>
    <t>Calcul du Tour 5</t>
  </si>
  <si>
    <t>Importation et generation de tous les tours depuis un repertoire HOMME/DAME (Clean import =Vrai) - Tour 6</t>
  </si>
  <si>
    <t>C:\Users\jerom\Dropbox\ASGLM BUREAU\ASGLM 2023\LGS\T6\export_HOMME_Brut_1.xlsx</t>
  </si>
  <si>
    <t>DEWAELE Matthieu</t>
  </si>
  <si>
    <t>DELHOMMEZ Louis</t>
  </si>
  <si>
    <t>PICK Edouard</t>
  </si>
  <si>
    <t>GEVREY Remi</t>
  </si>
  <si>
    <t>SADONES Eric</t>
  </si>
  <si>
    <t>C:\Users\jerom\Dropbox\ASGLM BUREAU\ASGLM 2023\LGS\T6\export_HOMME_Net_1.xlsx</t>
  </si>
  <si>
    <t>Calcul du Tour 6</t>
  </si>
  <si>
    <t>Importation et generation de tous les tours depuis un repertoire HOMME/DAME (Clean import =Vrai) - Tour 7</t>
  </si>
  <si>
    <t>C:\Users\jerom\Dropbox\ASGLM BUREAU\ASGLM 2023\LGS\Finale\export_HOMME_Brut_1.xlsx</t>
  </si>
  <si>
    <t>MARULAZ Julien</t>
  </si>
  <si>
    <t>DIOT Marc Antoine</t>
  </si>
  <si>
    <t>ROELS Kevin</t>
  </si>
  <si>
    <t>FAUTREZ Bernard</t>
  </si>
  <si>
    <t>C:\Users\jerom\Dropbox\ASGLM BUREAU\ASGLM 2023\LGS\Finale\export_HOMME_Net_1.xlsx</t>
  </si>
  <si>
    <t>Calcul du Tour 7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</si>
  <si>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</si>
  <si>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</si>
  <si>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</si>
  <si>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</si>
  <si>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</si>
  <si>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</si>
  <si>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</si>
  <si>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</si>
  <si>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</si>
  <si>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</si>
  <si>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</si>
  <si>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</si>
  <si>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</si>
  <si>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</si>
  <si>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</si>
  <si>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</si>
  <si>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</si>
  <si>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</si>
  <si>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</si>
  <si>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</si>
  <si>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</si>
  <si>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</si>
  <si>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</si>
  <si>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</si>
  <si>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</si>
  <si>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</si>
  <si>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</si>
  <si>
    <t>C:\Users\jerom\Dropbox\ASGLM BUREAU\ASGLM 2023\LGS\T3\export_DAME_Brut_12.xlsx</t>
  </si>
  <si>
    <t>COUSIN Valerie</t>
  </si>
  <si>
    <t>OHMANN Anne Valérie</t>
  </si>
  <si>
    <t>DELCAMBRE Caroline</t>
  </si>
  <si>
    <t>MINET Nathalie</t>
  </si>
  <si>
    <t>JOLY Delphine</t>
  </si>
  <si>
    <t>CARON Carla-Maria</t>
  </si>
  <si>
    <t>C:\Users\jerom\Dropbox\ASGLM BUREAU\ASGLM 2023\LGS\T3\export_DAME_Net_12.xlsx</t>
  </si>
  <si>
    <t>C:\Users\jerom\Dropbox\ASGLM BUREAU\ASGLM 2023\LGS\T4\export_DAME_Brut_12.xlsx</t>
  </si>
  <si>
    <t>DUPLOUY Cécile</t>
  </si>
  <si>
    <t>BRUTKIEWICZ Dominique</t>
  </si>
  <si>
    <t>C:\Users\jerom\Dropbox\ASGLM BUREAU\ASGLM 2023\LGS\T4\export_DAME_Net_12.xlsx</t>
  </si>
  <si>
    <t>C:\Users\jerom\Dropbox\ASGLM BUREAU\ASGLM 2023\LGS\T5\export_DAME_Brut_12.xlsx</t>
  </si>
  <si>
    <t>C:\Users\jerom\Dropbox\ASGLM BUREAU\ASGLM 2023\LGS\T5\export_DAME_Net_12.xlsx</t>
  </si>
  <si>
    <t>C:\Users\jerom\Dropbox\ASGLM BUREAU\ASGLM 2023\LGS\T6\export_DAME_Brut_12.xlsx</t>
  </si>
  <si>
    <t>C:\Users\jerom\Dropbox\ASGLM BUREAU\ASGLM 2023\LGS\T6\export_DAME_Net_12.xlsx</t>
  </si>
  <si>
    <t>C:\Users\jerom\Dropbox\ASGLM BUREAU\ASGLM 2023\LGS\Finale\export_DAME_Brut_12.xlsx</t>
  </si>
  <si>
    <t>C:\Users\jerom\Dropbox\ASGLM BUREAU\ASGLM 2023\LGS\Finale\export_DAME_Net_12.xlsx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</si>
</sst>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4" fillId="0" borderId="60" xfId="0" applyFont="1" applyBorder="1"/>
    <xf numFmtId="0" fontId="12" fillId="0" borderId="60" xfId="0" applyFont="1" applyBorder="1"/>
    <xf numFmtId="0" fontId="13" fillId="0" borderId="60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12" fillId="0" borderId="61" xfId="0" applyFont="1" applyBorder="1"/>
    <xf numFmtId="0" fontId="12" fillId="0" borderId="62" xfId="0" applyFont="1" applyBorder="1"/>
    <xf numFmtId="0" fontId="13" fillId="0" borderId="62" xfId="0" applyFont="1" applyBorder="1"/>
    <xf numFmtId="0" fontId="14" fillId="0" borderId="62" xfId="0" applyFont="1" applyBorder="1"/>
    <xf numFmtId="0" fontId="14" fillId="0" borderId="63" xfId="0" applyFont="1" applyBorder="1"/>
    <xf numFmtId="0" fontId="12" fillId="0" borderId="0" xfId="0" applyFont="1" applyBorder="1"/>
    <xf numFmtId="0" fontId="13" fillId="0" borderId="0" xfId="0" applyFont="1" applyBorder="1"/>
    <xf numFmtId="0" fontId="14" fillId="0" borderId="0" xfId="0" applyFont="1" applyBorder="1"/>
  </cellXfs>
  <cellStyles count="1">
    <cellStyle name="Normal" xfId="0" builtinId="0"/>
  </cellStyles>
  <dxfs count="5660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5659" tableBorderDxfId="5658">
  <tableColumns count="4">
    <tableColumn id="1" xr3:uid="{86185E31-EC52-4ECC-BC3E-33C26B14F7C2}" name="Series" dataDxfId="5657">
      <calculatedColumnFormula>_xlfn.CONCAT($V$7," ",V8)</calculatedColumnFormula>
    </tableColumn>
    <tableColumn id="2" xr3:uid="{788D8AF7-A2FF-4152-9FEC-3D734C94A926}" name="Serie" dataDxfId="5656"/>
    <tableColumn id="3" xr3:uid="{98F42830-BCA0-414B-9FEF-78FCD5DB348B}" name="indexMin" dataDxfId="5655"/>
    <tableColumn id="4" xr3:uid="{E4B94243-8BBE-45E2-AAC0-0D18C5A6695E}" name="indexMax" dataDxfId="565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5653" dataDxfId="5651" headerRowBorderDxfId="5652" tableBorderDxfId="5650">
  <tableColumns count="1">
    <tableColumn id="1" xr3:uid="{8473C081-0E42-4FA9-8C99-E5B7E8CD3209}" name="Tours" dataDxfId="56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5648" headerRowBorderDxfId="5647" tableBorderDxfId="5646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5645" dataDxfId="5644" tableBorderDxfId="5643">
  <autoFilter ref="D12:F13" xr:uid="{FCA0E9AA-8BD9-46EB-B07B-67F06EACCB48}"/>
  <tableColumns count="3">
    <tableColumn id="1" xr3:uid="{47561816-2B53-47F6-822E-269C476F3FFD}" name="Tour importé" dataDxfId="5642"/>
    <tableColumn id="2" xr3:uid="{E2C3F515-D8A3-4FC2-B632-32DB6D91A198}" name="Type" dataDxfId="5641">
      <calculatedColumnFormula>INDEX(TableauType[TYPE],Tableau6[[#This Row],[TypeIndex]])</calculatedColumnFormula>
    </tableColumn>
    <tableColumn id="3" xr3:uid="{617E6B65-5E58-4C9B-9DC4-488608A74753}" name="TypeIndex" dataDxfId="564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5639" dataDxfId="5638">
  <autoFilter ref="AD7:AD15" xr:uid="{9029752C-EFC9-4C60-BDF1-B009EF2F440D}"/>
  <tableColumns count="1">
    <tableColumn id="1" xr3:uid="{47EFDC89-116E-4E91-94A2-C4CDC0579100}" name="Fichiers" dataDxfId="56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5636" headerRowBorderDxfId="5635" tableBorderDxfId="5634" totalsRowBorderDxfId="5633">
  <autoFilter ref="U18:V22" xr:uid="{BBFFD128-4797-4BD5-B581-AA8D8277F8F3}"/>
  <tableColumns count="2">
    <tableColumn id="1" xr3:uid="{903026A3-43DC-4900-8F6E-2271BCA97B81}" name="Fichiers Homme" dataDxfId="5632"/>
    <tableColumn id="2" xr3:uid="{C9FC1671-8A12-4C52-9797-E5DB3A7B67E7}" name="Fichiers Dame" dataDxfId="563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5630" tableBorderDxfId="5629">
  <autoFilter ref="B3:AK350" xr:uid="{757563A6-7DEF-4C3D-A97A-B10AA5BF5A55}"/>
  <sortState xmlns:xlrd2="http://schemas.microsoft.com/office/spreadsheetml/2017/richdata2" ref="B4:AK350">
    <sortCondition ref="AK3:AK350"/>
  </sortState>
  <tableColumns count="36">
    <tableColumn id="1" xr3:uid="{46FBD385-6600-4EA5-9FBF-8661E23C917F}" name="Nom - Prénom" dataDxfId="5628"/>
    <tableColumn id="2" xr3:uid="{ECBEFB46-CF2E-4172-8E5C-37DBEC25E1AE}" name="Club" dataDxfId="5627"/>
    <tableColumn id="3" xr3:uid="{FBA83F7F-D4E7-4A15-99EC-CE8D436D7EB3}" name="Index" dataDxfId="5626"/>
    <tableColumn id="4" xr3:uid="{0090B21E-C7ED-4CC4-A4C8-7AED1146F2F9}" name="Série" dataDxfId="5625"/>
    <tableColumn id="5" xr3:uid="{7D4E8E6A-E590-441A-A2B5-664E220061CC}" name="Score     Net1" dataDxfId="5624"/>
    <tableColumn id="6" xr3:uid="{84241967-A195-4D05-9846-F0E084774539}" name="Rang   Net1" dataDxfId="5623"/>
    <tableColumn id="7" xr3:uid="{F27CD3EA-D421-4623-93DF-5DFCAA423771}" name="Score    Brut1" dataDxfId="5622"/>
    <tableColumn id="8" xr3:uid="{62D1F21B-032A-484B-BC39-395CC4756A54}" name="Rang   Brut1" dataDxfId="5621"/>
    <tableColumn id="9" xr3:uid="{D3289CF1-FAC6-4CC0-B2B6-80CBB0406845}" name="Score      Net2" dataDxfId="5620"/>
    <tableColumn id="10" xr3:uid="{2F18A068-FD19-4313-83C9-0AB3AA88EE3F}" name="Rang      Net2" dataDxfId="5619"/>
    <tableColumn id="11" xr3:uid="{A7248FAA-403B-4BFE-B0D4-859E30DE4A95}" name="Score      Brut2" dataDxfId="5618"/>
    <tableColumn id="12" xr3:uid="{4F6F4506-16A0-4352-A12B-8992CD80B9B6}" name="Rang      Brut2" dataDxfId="5617"/>
    <tableColumn id="13" xr3:uid="{68CAD2A6-712A-4B66-A7A3-D58BF5303438}" name="Score      Net3" dataDxfId="5616"/>
    <tableColumn id="14" xr3:uid="{9F172573-6C25-46FC-BE9F-F56834E813D9}" name="Rang      Net3" dataDxfId="5615"/>
    <tableColumn id="15" xr3:uid="{618A094F-BB99-4883-A19C-4EBA6E699BCF}" name="Score      Brut3" dataDxfId="5614"/>
    <tableColumn id="16" xr3:uid="{0E544C66-61C9-46D5-A427-A9677AE96910}" name="Rang      Brut3" dataDxfId="5613"/>
    <tableColumn id="17" xr3:uid="{24730B87-D2CD-487D-99BD-EACD109C443F}" name="Score        Net4" dataDxfId="5612"/>
    <tableColumn id="18" xr3:uid="{F0B85087-E217-4534-9BC7-B04BDDCCA8B9}" name="Rang        Net4" dataDxfId="5611"/>
    <tableColumn id="19" xr3:uid="{7DDCD1A6-A182-48A1-9F3F-836B917D0B07}" name="Score        Brut4" dataDxfId="5610"/>
    <tableColumn id="20" xr3:uid="{8EABA2E9-9ADA-4192-8BB2-2F58072A8E01}" name="Rang        Brut4" dataDxfId="5609"/>
    <tableColumn id="21" xr3:uid="{79E31DB6-4982-4160-9B1D-20DE3F5E1BB8}" name="Score        Net5" dataDxfId="5608"/>
    <tableColumn id="22" xr3:uid="{DB589AF3-34B3-447A-A354-D474E90FDB4F}" name="Rang        Net5" dataDxfId="5607"/>
    <tableColumn id="23" xr3:uid="{EC9FE005-CE9F-448B-81FE-28EDD1A971F9}" name="Score        Brut5" dataDxfId="5606"/>
    <tableColumn id="24" xr3:uid="{220294A2-C79D-45F3-9AE5-D46451BBF584}" name="Rang        Brut5" dataDxfId="5605"/>
    <tableColumn id="25" xr3:uid="{A772CA9D-C689-4C9F-9855-E6A692839D23}" name="Score        Net6" dataDxfId="5604"/>
    <tableColumn id="26" xr3:uid="{D2589416-857A-4C41-AC6D-96D41817DEC7}" name="Rang        Net6" dataDxfId="5603"/>
    <tableColumn id="27" xr3:uid="{27ADC7D0-24DE-4505-9913-856D8DE338A9}" name="Score        Brut6" dataDxfId="5602"/>
    <tableColumn id="28" xr3:uid="{ABDBDCB4-7B27-49F8-BC7A-7843BC9FF7A5}" name="Rang        Brut6" dataDxfId="5601"/>
    <tableColumn id="29" xr3:uid="{941D9336-449B-439E-B469-314E549EA186}" name="Score Net Max" dataDxfId="5600">
      <calculatedColumnFormula>IF(MIN(F4,J4,N4,R4,V4,Z4)&lt;&gt;0,MIN(F4,J4,N4,R4,V4,Z4),"")</calculatedColumnFormula>
    </tableColumn>
    <tableColumn id="30" xr3:uid="{90574FCA-077D-4C2D-95A6-25042040131A}" name="Score Brut Max" dataDxfId="5599">
      <calculatedColumnFormula>IF(MIN(H4,L4,P4,T4,X4,AB4)&lt;&gt;0,MIN(H4,L4,P4,T4,X4,AB4),"")</calculatedColumnFormula>
    </tableColumn>
    <tableColumn id="31" xr3:uid="{7D46739F-AA9F-4F4C-8559-42672BDC3359}" name="Score Net Finale" dataDxfId="5598"/>
    <tableColumn id="32" xr3:uid="{11EAF1CA-8CD4-40A4-91A3-87D38FCF3433}" name="Rang Net Finale" dataDxfId="5597"/>
    <tableColumn id="33" xr3:uid="{66A96B4D-B263-479C-A036-CA0A68FB1450}" name="Score Brut Finale" dataDxfId="5596"/>
    <tableColumn id="34" xr3:uid="{AB46E898-F45B-460F-A38E-C5A2BFD53000}" name="Rang Brut Finale" dataDxfId="5595"/>
    <tableColumn id="35" xr3:uid="{E7B91838-CDE0-4965-B3BE-53C906009CF4}" name="Score Net LGS" dataDxfId="5594">
      <calculatedColumnFormula>IF(AD4="","",IF(ISBLANK(AF4),"En cours",AD4+AF4))</calculatedColumnFormula>
    </tableColumn>
    <tableColumn id="36" xr3:uid="{2A90CEF2-3F60-4761-BD52-022404B7522C}" name="Score Brut LGS" dataDxfId="559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5592" tableBorderDxfId="5591">
  <autoFilter ref="B3:AK350" xr:uid="{E9B37CBB-E8EE-4443-BEEC-6E8A9D0EB34B}"/>
  <sortState xmlns:xlrd2="http://schemas.microsoft.com/office/spreadsheetml/2017/richdata2" ref="B4:AK350">
    <sortCondition ref="AK3:AK350"/>
  </sortState>
  <tableColumns count="36">
    <tableColumn id="1" xr3:uid="{8D8DCB9F-B21E-48F0-B06F-30CE3AABF015}" name="Nom - Prénom" dataDxfId="5590"/>
    <tableColumn id="2" xr3:uid="{6DF6013E-11A9-4F6E-B527-4EB5242D32FC}" name="Club" dataDxfId="5589"/>
    <tableColumn id="3" xr3:uid="{809481FC-1207-4212-8E64-39319F31B86C}" name="Index" dataDxfId="5588"/>
    <tableColumn id="4" xr3:uid="{61BCE2E5-DC5C-48C2-BA39-6573DBA32351}" name="Série" dataDxfId="5587"/>
    <tableColumn id="5" xr3:uid="{5210E73B-D34C-4FAE-A187-64170B309A2C}" name="Score     Net1" dataDxfId="5586"/>
    <tableColumn id="6" xr3:uid="{0C146610-8133-4769-A4EC-4AF4A9EB4EEA}" name="Rang   Net1" dataDxfId="5585"/>
    <tableColumn id="7" xr3:uid="{DC3B3441-4412-46B5-8015-7E44D9FF0A16}" name="Score    Brut1" dataDxfId="5584"/>
    <tableColumn id="8" xr3:uid="{780A2D1B-C1E0-4E66-A641-80609193E5ED}" name="Rang   Brut1" dataDxfId="5583"/>
    <tableColumn id="9" xr3:uid="{A286DE62-5493-4750-8D3A-4E0268951135}" name="Score      Net2" dataDxfId="5582"/>
    <tableColumn id="10" xr3:uid="{9AA9E923-19AE-4E9C-B03E-6CCB420B0DE0}" name="Rang      Net2" dataDxfId="5581"/>
    <tableColumn id="11" xr3:uid="{13D9FCED-A177-4823-BBF5-CB6BBFD92170}" name="Score      Brut2" dataDxfId="5580"/>
    <tableColumn id="12" xr3:uid="{AE79BCC0-99C9-4A29-85F9-06518743CC41}" name="Rang      Brut2" dataDxfId="5579"/>
    <tableColumn id="13" xr3:uid="{6260EBE1-C4F8-4892-8111-6848B59FFDDC}" name="Score      Net3" dataDxfId="5578"/>
    <tableColumn id="14" xr3:uid="{70D3C91B-53A9-4C67-AA7C-86DB6FCC84EA}" name="Rang      Net3" dataDxfId="5577"/>
    <tableColumn id="15" xr3:uid="{316ABADB-80DF-4341-9456-B07A916EE828}" name="Score      Brut3" dataDxfId="5576"/>
    <tableColumn id="16" xr3:uid="{5F33B9A2-6C2B-44A9-B727-D955FDD7A57E}" name="Rang      Brut3" dataDxfId="5575"/>
    <tableColumn id="17" xr3:uid="{7405128E-0D40-44C5-B3B7-9098CE3F571B}" name="Score        Net4" dataDxfId="5574"/>
    <tableColumn id="18" xr3:uid="{57B1622B-69C7-4A1C-8967-6906A0E60401}" name="Rang        Net4" dataDxfId="5573"/>
    <tableColumn id="19" xr3:uid="{765D8E18-32EC-4D78-B6D5-C889630A0B4D}" name="Score        Brut4" dataDxfId="5572"/>
    <tableColumn id="20" xr3:uid="{F9E9BC2E-A9E0-415E-92F8-F007D70D402D}" name="Rang        Brut4" dataDxfId="5571"/>
    <tableColumn id="21" xr3:uid="{56B8C53B-2683-43AB-BA94-98D12846892B}" name="Score        Net5" dataDxfId="5570"/>
    <tableColumn id="22" xr3:uid="{CEE64EB1-2B37-4BE8-AD6C-F73635777200}" name="Rang        Net5" dataDxfId="5569"/>
    <tableColumn id="23" xr3:uid="{08967303-5AA9-43EB-A7B1-57000258446B}" name="Score        Brut5" dataDxfId="5568"/>
    <tableColumn id="24" xr3:uid="{8200C06D-A6A7-4584-BCE4-DE94947CAA08}" name="Rang        Brut5" dataDxfId="5567"/>
    <tableColumn id="25" xr3:uid="{E363B218-F04E-4259-A65F-BE04FA1C15B3}" name="Score        Net6" dataDxfId="5566"/>
    <tableColumn id="26" xr3:uid="{EC92842C-B321-4087-AA25-F376E0579048}" name="Rang        Net6" dataDxfId="5565"/>
    <tableColumn id="27" xr3:uid="{3EF61377-66C7-4D60-AF65-BAFD2DD291D8}" name="Score        Brut6" dataDxfId="5564"/>
    <tableColumn id="28" xr3:uid="{251BB10E-2B2F-4B4A-8805-D7C49FF7D091}" name="Rang        Brut6" dataDxfId="5563"/>
    <tableColumn id="29" xr3:uid="{937492D8-E20B-486F-B289-5EBB929EA97E}" name="Score Net Max" dataDxfId="5562">
      <calculatedColumnFormula>IF(MIN(F4,J4,N4,R4,V4,Z4)&lt;&gt;0,MIN(F4,J4,N4,R4,V4,Z4),"")</calculatedColumnFormula>
    </tableColumn>
    <tableColumn id="30" xr3:uid="{BFCE7449-4F11-49CA-B00B-6CF4C21DE23E}" name="Score Brut Max" dataDxfId="5561">
      <calculatedColumnFormula>IF(MIN(H4,L4,P4,T4,X4,AB4)&lt;&gt;0,MIN(H4,L4,P4,T4,X4,AB4),"")</calculatedColumnFormula>
    </tableColumn>
    <tableColumn id="31" xr3:uid="{061F8C59-D91F-49DB-89E4-FD5BF5DEA2BE}" name="Score Net Finale" dataDxfId="5560"/>
    <tableColumn id="32" xr3:uid="{47CCF636-B700-4893-BB69-C5F49188A737}" name="Rang Net Finale" dataDxfId="5559"/>
    <tableColumn id="33" xr3:uid="{34BE4EC2-EAC1-40DC-82EA-B21BFA645C43}" name="Score Brut Finale" dataDxfId="5558"/>
    <tableColumn id="34" xr3:uid="{B4CC10FB-AE7D-4F7B-B5E6-A21DFBD43F7A}" name="Rang Brut Finale" dataDxfId="5557"/>
    <tableColumn id="35" xr3:uid="{2A85E5CE-D8F3-4ABA-BB20-EF4EC4E5400C}" name="Score Net LGS" dataDxfId="5556">
      <calculatedColumnFormula>IF(AD4="","",IF(ISBLANK(AF4),"En cours",AD4+AF4))</calculatedColumnFormula>
    </tableColumn>
    <tableColumn id="36" xr3:uid="{E2505702-E088-4E30-97F4-10F7B06362C7}" name="Score Brut LGS" dataDxfId="555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64" totalsRowShown="0" headerRowDxfId="5554" dataDxfId="5553">
  <autoFilter ref="B4:F64" xr:uid="{BEE036B7-08A7-43AF-AC9F-62B639BE2327}"/>
  <tableColumns count="5">
    <tableColumn id="1" xr3:uid="{07F0EE21-57C5-4450-A337-C4E93B37093B}" name="type" dataDxfId="5552"/>
    <tableColumn id="4" xr3:uid="{5D76DE16-D7AC-47BB-8E5C-7D62535B0C45}" name="joueurs" dataDxfId="5551"/>
    <tableColumn id="6" xr3:uid="{AAEF716B-5939-451B-9370-6D6F4B67A6B4}" name="feuille" dataDxfId="5550"/>
    <tableColumn id="2" xr3:uid="{15443A43-A7C3-4E12-8B5A-8DC832EBEFF5}" name="reference" dataDxfId="5549"/>
    <tableColumn id="3" xr3:uid="{C5F94F07-C4F6-41F7-9201-803FDABD5D1F}" name="date" dataDxfId="554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45158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39" t="s">
        <v>82</v>
      </c>
      <c r="Q5" s="140"/>
      <c r="R5" s="141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42" t="str">
        <f>IF(Tableau6[Type]=INDEX(TableauType[],1),U19,V19)</f>
        <v>export_DAME_Brut_12.xlsx</v>
      </c>
      <c r="Q6" s="143"/>
      <c r="R6" s="144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45" t="str">
        <f>IF(Tableau6[Type]=INDEX(TableauType[],1),U20,V20)</f>
        <v>export_DAME_Net_12.xlsx</v>
      </c>
      <c r="Q7" s="146"/>
      <c r="R7" s="147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48" t="str">
        <f>IF(Tableau6[Type]=INDEX(TableauType[],1),U21,V21)</f>
        <v>export_DAME_Brut_34.xlsx</v>
      </c>
      <c r="Q8" s="149"/>
      <c r="R8" s="150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51" t="str">
        <f>IF(Tableau6[Type]=INDEX(TableauType[],1),U22,V22)</f>
        <v>export_DAME_Net_34.xlsx</v>
      </c>
      <c r="Q9" s="152"/>
      <c r="R9" s="153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37" t="s">
        <v>1</v>
      </c>
      <c r="C15" s="137"/>
      <c r="D15" s="137"/>
      <c r="E15" s="137"/>
      <c r="F15" s="137"/>
      <c r="G15" s="137"/>
      <c r="H15" s="137"/>
      <c r="I15" s="137"/>
      <c r="K15" s="138" t="s">
        <v>2</v>
      </c>
      <c r="L15" s="138"/>
      <c r="M15" s="138"/>
      <c r="N15" s="138"/>
      <c r="O15" s="138"/>
      <c r="P15" s="138"/>
      <c r="Q15" s="138"/>
      <c r="R15" s="138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AB1" activePane="topRight" state="frozen"/>
      <selection pane="topRight" activeCell="B5" sqref="B5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177</v>
      </c>
      <c r="C2" s="75" t="s">
        <v>38</v>
      </c>
      <c r="E2" s="19"/>
      <c r="F2" s="161" t="s">
        <v>19</v>
      </c>
      <c r="G2" s="162"/>
      <c r="H2" s="162"/>
      <c r="I2" s="163"/>
      <c r="J2" s="164" t="s">
        <v>20</v>
      </c>
      <c r="K2" s="165"/>
      <c r="L2" s="165"/>
      <c r="M2" s="166"/>
      <c r="N2" s="167" t="s">
        <v>21</v>
      </c>
      <c r="O2" s="162"/>
      <c r="P2" s="162"/>
      <c r="Q2" s="163"/>
      <c r="R2" s="164" t="s">
        <v>22</v>
      </c>
      <c r="S2" s="165"/>
      <c r="T2" s="165"/>
      <c r="U2" s="166"/>
      <c r="V2" s="167" t="s">
        <v>23</v>
      </c>
      <c r="W2" s="162"/>
      <c r="X2" s="162"/>
      <c r="Y2" s="163"/>
      <c r="Z2" s="164" t="s">
        <v>24</v>
      </c>
      <c r="AA2" s="165"/>
      <c r="AB2" s="165"/>
      <c r="AC2" s="168"/>
      <c r="AD2" s="154" t="s">
        <v>85</v>
      </c>
      <c r="AE2" s="155"/>
      <c r="AF2" s="156" t="s">
        <v>18</v>
      </c>
      <c r="AG2" s="157"/>
      <c r="AH2" s="157"/>
      <c r="AI2" s="158"/>
      <c r="AJ2" s="159" t="s">
        <v>26</v>
      </c>
      <c r="AK2" s="160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35" t="s">
        <v>109</v>
      </c>
      <c r="C4" s="135" t="s">
        <v>102</v>
      </c>
      <c r="D4" s="135">
        <v>8.3000000000000007</v>
      </c>
      <c r="E4" s="135" t="s">
        <v>103</v>
      </c>
      <c r="F4" s="135">
        <v>69</v>
      </c>
      <c r="G4" s="135">
        <v>3</v>
      </c>
      <c r="H4" s="135">
        <v>79</v>
      </c>
      <c r="I4" s="135">
        <v>6</v>
      </c>
      <c r="J4" s="135">
        <v>67</v>
      </c>
      <c r="K4" s="135">
        <v>1</v>
      </c>
      <c r="L4" s="135">
        <v>77</v>
      </c>
      <c r="M4" s="135">
        <v>1</v>
      </c>
      <c r="N4" s="135">
        <v>75</v>
      </c>
      <c r="O4" s="135">
        <v>6</v>
      </c>
      <c r="P4" s="135">
        <v>85</v>
      </c>
      <c r="Q4" s="135">
        <v>7</v>
      </c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6">
        <f>IF(MIN(F4,J4,N4,R4,V4,Z4)&lt;&gt;0,MIN(F4,J4,N4,R4,V4,Z4),"")</f>
        <v>67</v>
      </c>
      <c r="AE4" s="136">
        <f>IF(MIN(H4,L4,P4,T4,X4,AB4)&lt;&gt;0,MIN(H4,L4,P4,T4,X4,AB4),"")</f>
        <v>77</v>
      </c>
      <c r="AF4" s="136">
        <v>67</v>
      </c>
      <c r="AG4" s="135">
        <v>1</v>
      </c>
      <c r="AH4" s="136">
        <v>77</v>
      </c>
      <c r="AI4" s="135">
        <v>1</v>
      </c>
      <c r="AJ4" s="134">
        <f>IF(AD4="","",IF(ISBLANK(AF4),"En cours",AD4+AF4))</f>
        <v>134</v>
      </c>
      <c r="AK4" s="134">
        <f>IF(AE4="","",IF(ISBLANK(AH4),"En cours",AE4+AH4))</f>
        <v>154</v>
      </c>
    </row>
    <row r="5" spans="2:37" ht="21" x14ac:dyDescent="0.35">
      <c r="B5" s="135" t="s">
        <v>124</v>
      </c>
      <c r="C5" s="135" t="s">
        <v>102</v>
      </c>
      <c r="D5" s="135">
        <v>12.2</v>
      </c>
      <c r="E5" s="135" t="s">
        <v>123</v>
      </c>
      <c r="F5" s="135">
        <v>71</v>
      </c>
      <c r="G5" s="135">
        <v>5</v>
      </c>
      <c r="H5" s="135">
        <v>82</v>
      </c>
      <c r="I5" s="135">
        <v>2</v>
      </c>
      <c r="J5" s="135"/>
      <c r="K5" s="135"/>
      <c r="L5" s="135"/>
      <c r="M5" s="135"/>
      <c r="N5" s="135">
        <v>66</v>
      </c>
      <c r="O5" s="135">
        <v>2</v>
      </c>
      <c r="P5" s="135">
        <v>77</v>
      </c>
      <c r="Q5" s="135">
        <v>1</v>
      </c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6">
        <f>IF(MIN(F5,J5,N5,R5,V5,Z5)&lt;&gt;0,MIN(F5,J5,N5,R5,V5,Z5),"")</f>
        <v>66</v>
      </c>
      <c r="AE5" s="136">
        <f>IF(MIN(H5,L5,P5,T5,X5,AB5)&lt;&gt;0,MIN(H5,L5,P5,T5,X5,AB5),"")</f>
        <v>77</v>
      </c>
      <c r="AF5" s="136">
        <v>68</v>
      </c>
      <c r="AG5" s="135">
        <v>2</v>
      </c>
      <c r="AH5" s="136">
        <v>79</v>
      </c>
      <c r="AI5" s="135">
        <v>2</v>
      </c>
      <c r="AJ5" s="134">
        <f>IF(AD5="","",IF(ISBLANK(AF5),"En cours",AD5+AF5))</f>
        <v>134</v>
      </c>
      <c r="AK5" s="134">
        <f>IF(AE5="","",IF(ISBLANK(AH5),"En cours",AE5+AH5))</f>
        <v>156</v>
      </c>
    </row>
    <row r="6" spans="2:37" ht="21" x14ac:dyDescent="0.35">
      <c r="B6" s="135" t="s">
        <v>290</v>
      </c>
      <c r="C6" s="135" t="s">
        <v>238</v>
      </c>
      <c r="D6" s="135">
        <v>7.2</v>
      </c>
      <c r="E6" s="135" t="s">
        <v>103</v>
      </c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>
        <v>70</v>
      </c>
      <c r="W6" s="135">
        <v>3</v>
      </c>
      <c r="X6" s="135">
        <v>79</v>
      </c>
      <c r="Y6" s="135">
        <v>2</v>
      </c>
      <c r="Z6" s="135">
        <v>73</v>
      </c>
      <c r="AA6" s="135">
        <v>4</v>
      </c>
      <c r="AB6" s="135">
        <v>76</v>
      </c>
      <c r="AC6" s="135">
        <v>1</v>
      </c>
      <c r="AD6" s="136">
        <f>IF(MIN(F6,J6,N6,R6,V6,Z6)&lt;&gt;0,MIN(F6,J6,N6,R6,V6,Z6),"")</f>
        <v>70</v>
      </c>
      <c r="AE6" s="136">
        <f>IF(MIN(H6,L6,P6,T6,X6,AB6)&lt;&gt;0,MIN(H6,L6,P6,T6,X6,AB6),"")</f>
        <v>76</v>
      </c>
      <c r="AF6" s="136">
        <v>78</v>
      </c>
      <c r="AG6" s="135">
        <v>12</v>
      </c>
      <c r="AH6" s="136">
        <v>81</v>
      </c>
      <c r="AI6" s="135">
        <v>5</v>
      </c>
      <c r="AJ6" s="134">
        <f>IF(AD6="","",IF(ISBLANK(AF6),"En cours",AD6+AF6))</f>
        <v>148</v>
      </c>
      <c r="AK6" s="134">
        <f>IF(AE6="","",IF(ISBLANK(AH6),"En cours",AE6+AH6))</f>
        <v>157</v>
      </c>
    </row>
    <row r="7" spans="2:37" ht="21" x14ac:dyDescent="0.35">
      <c r="B7" s="135" t="s">
        <v>108</v>
      </c>
      <c r="C7" s="135" t="s">
        <v>102</v>
      </c>
      <c r="D7" s="135">
        <v>8.1999999999999993</v>
      </c>
      <c r="E7" s="135" t="s">
        <v>103</v>
      </c>
      <c r="F7" s="135">
        <v>69</v>
      </c>
      <c r="G7" s="135">
        <v>2</v>
      </c>
      <c r="H7" s="135">
        <v>79</v>
      </c>
      <c r="I7" s="135">
        <v>5</v>
      </c>
      <c r="J7" s="135"/>
      <c r="K7" s="135"/>
      <c r="L7" s="135"/>
      <c r="M7" s="135"/>
      <c r="N7" s="135">
        <v>68</v>
      </c>
      <c r="O7" s="135">
        <v>1</v>
      </c>
      <c r="P7" s="135">
        <v>78</v>
      </c>
      <c r="Q7" s="135">
        <v>1</v>
      </c>
      <c r="R7" s="135">
        <v>76</v>
      </c>
      <c r="S7" s="135">
        <v>9</v>
      </c>
      <c r="T7" s="135">
        <v>86</v>
      </c>
      <c r="U7" s="135">
        <v>8</v>
      </c>
      <c r="V7" s="135"/>
      <c r="W7" s="135"/>
      <c r="X7" s="135"/>
      <c r="Y7" s="135"/>
      <c r="Z7" s="135">
        <v>73</v>
      </c>
      <c r="AA7" s="135">
        <v>6</v>
      </c>
      <c r="AB7" s="135">
        <v>83</v>
      </c>
      <c r="AC7" s="135">
        <v>8</v>
      </c>
      <c r="AD7" s="136">
        <f>IF(MIN(F7,J7,N7,R7,V7,Z7)&lt;&gt;0,MIN(F7,J7,N7,R7,V7,Z7),"")</f>
        <v>68</v>
      </c>
      <c r="AE7" s="136">
        <f>IF(MIN(H7,L7,P7,T7,X7,AB7)&lt;&gt;0,MIN(H7,L7,P7,T7,X7,AB7),"")</f>
        <v>78</v>
      </c>
      <c r="AF7" s="136">
        <v>70</v>
      </c>
      <c r="AG7" s="135">
        <v>5</v>
      </c>
      <c r="AH7" s="136">
        <v>80</v>
      </c>
      <c r="AI7" s="135">
        <v>3</v>
      </c>
      <c r="AJ7" s="134">
        <f>IF(AD7="","",IF(ISBLANK(AF7),"En cours",AD7+AF7))</f>
        <v>138</v>
      </c>
      <c r="AK7" s="134">
        <f>IF(AE7="","",IF(ISBLANK(AH7),"En cours",AE7+AH7))</f>
        <v>158</v>
      </c>
    </row>
    <row r="8" spans="2:37" ht="21" x14ac:dyDescent="0.35">
      <c r="B8" s="135" t="s">
        <v>132</v>
      </c>
      <c r="C8" s="135" t="s">
        <v>102</v>
      </c>
      <c r="D8" s="135">
        <v>14.2</v>
      </c>
      <c r="E8" s="135" t="s">
        <v>123</v>
      </c>
      <c r="F8" s="135">
        <v>72</v>
      </c>
      <c r="G8" s="135">
        <v>10</v>
      </c>
      <c r="H8" s="135">
        <v>85</v>
      </c>
      <c r="I8" s="135">
        <v>9</v>
      </c>
      <c r="J8" s="135"/>
      <c r="K8" s="135"/>
      <c r="L8" s="135"/>
      <c r="M8" s="135"/>
      <c r="N8" s="135">
        <v>77</v>
      </c>
      <c r="O8" s="135">
        <v>19</v>
      </c>
      <c r="P8" s="135">
        <v>90</v>
      </c>
      <c r="Q8" s="135">
        <v>17</v>
      </c>
      <c r="R8" s="135"/>
      <c r="S8" s="135"/>
      <c r="T8" s="135"/>
      <c r="U8" s="135"/>
      <c r="V8" s="135">
        <v>73</v>
      </c>
      <c r="W8" s="135">
        <v>8</v>
      </c>
      <c r="X8" s="135">
        <v>86</v>
      </c>
      <c r="Y8" s="135">
        <v>6</v>
      </c>
      <c r="Z8" s="135"/>
      <c r="AA8" s="135"/>
      <c r="AB8" s="135"/>
      <c r="AC8" s="135"/>
      <c r="AD8" s="136">
        <f>IF(MIN(F8,J8,N8,R8,V8,Z8)&lt;&gt;0,MIN(F8,J8,N8,R8,V8,Z8),"")</f>
        <v>72</v>
      </c>
      <c r="AE8" s="136">
        <f>IF(MIN(H8,L8,P8,T8,X8,AB8)&lt;&gt;0,MIN(H8,L8,P8,T8,X8,AB8),"")</f>
        <v>85</v>
      </c>
      <c r="AF8" s="136">
        <v>60</v>
      </c>
      <c r="AG8" s="135">
        <v>1</v>
      </c>
      <c r="AH8" s="136">
        <v>73</v>
      </c>
      <c r="AI8" s="135">
        <v>1</v>
      </c>
      <c r="AJ8" s="134">
        <f>IF(AD8="","",IF(ISBLANK(AF8),"En cours",AD8+AF8))</f>
        <v>132</v>
      </c>
      <c r="AK8" s="134">
        <f>IF(AE8="","",IF(ISBLANK(AH8),"En cours",AE8+AH8))</f>
        <v>158</v>
      </c>
    </row>
    <row r="9" spans="2:37" ht="21" x14ac:dyDescent="0.35">
      <c r="B9" s="135" t="s">
        <v>110</v>
      </c>
      <c r="C9" s="135" t="s">
        <v>102</v>
      </c>
      <c r="D9" s="135">
        <v>0.3</v>
      </c>
      <c r="E9" s="135" t="s">
        <v>103</v>
      </c>
      <c r="F9" s="135">
        <v>80</v>
      </c>
      <c r="G9" s="135">
        <v>17</v>
      </c>
      <c r="H9" s="135">
        <v>81</v>
      </c>
      <c r="I9" s="135">
        <v>7</v>
      </c>
      <c r="J9" s="135"/>
      <c r="K9" s="135"/>
      <c r="L9" s="135"/>
      <c r="M9" s="135"/>
      <c r="N9" s="135"/>
      <c r="O9" s="135"/>
      <c r="P9" s="135"/>
      <c r="Q9" s="135"/>
      <c r="R9" s="135">
        <v>78</v>
      </c>
      <c r="S9" s="135">
        <v>11</v>
      </c>
      <c r="T9" s="135">
        <v>79</v>
      </c>
      <c r="U9" s="135">
        <v>1</v>
      </c>
      <c r="V9" s="135"/>
      <c r="W9" s="135"/>
      <c r="X9" s="135"/>
      <c r="Y9" s="135"/>
      <c r="Z9" s="135"/>
      <c r="AA9" s="135"/>
      <c r="AB9" s="135"/>
      <c r="AC9" s="135"/>
      <c r="AD9" s="136">
        <f>IF(MIN(F9,J9,N9,R9,V9,Z9)&lt;&gt;0,MIN(F9,J9,N9,R9,V9,Z9),"")</f>
        <v>78</v>
      </c>
      <c r="AE9" s="136">
        <f>IF(MIN(H9,L9,P9,T9,X9,AB9)&lt;&gt;0,MIN(H9,L9,P9,T9,X9,AB9),"")</f>
        <v>79</v>
      </c>
      <c r="AF9" s="136">
        <v>79</v>
      </c>
      <c r="AG9" s="135">
        <v>13</v>
      </c>
      <c r="AH9" s="136">
        <v>80</v>
      </c>
      <c r="AI9" s="135">
        <v>4</v>
      </c>
      <c r="AJ9" s="134">
        <f>IF(AD9="","",IF(ISBLANK(AF9),"En cours",AD9+AF9))</f>
        <v>157</v>
      </c>
      <c r="AK9" s="134">
        <f>IF(AE9="","",IF(ISBLANK(AH9),"En cours",AE9+AH9))</f>
        <v>159</v>
      </c>
    </row>
    <row r="10" spans="2:37" ht="21" x14ac:dyDescent="0.35">
      <c r="B10" s="135" t="s">
        <v>121</v>
      </c>
      <c r="C10" s="135" t="s">
        <v>102</v>
      </c>
      <c r="D10" s="135">
        <v>9.6</v>
      </c>
      <c r="E10" s="135" t="s">
        <v>103</v>
      </c>
      <c r="F10" s="135">
        <v>78</v>
      </c>
      <c r="G10" s="135">
        <v>14</v>
      </c>
      <c r="H10" s="135">
        <v>90</v>
      </c>
      <c r="I10" s="135">
        <v>17</v>
      </c>
      <c r="J10" s="135"/>
      <c r="K10" s="135"/>
      <c r="L10" s="135"/>
      <c r="M10" s="135"/>
      <c r="N10" s="135">
        <v>71</v>
      </c>
      <c r="O10" s="135">
        <v>3</v>
      </c>
      <c r="P10" s="135">
        <v>83</v>
      </c>
      <c r="Q10" s="135">
        <v>5</v>
      </c>
      <c r="R10" s="135"/>
      <c r="S10" s="135"/>
      <c r="T10" s="135"/>
      <c r="U10" s="135"/>
      <c r="V10" s="135">
        <v>66</v>
      </c>
      <c r="W10" s="135">
        <v>2</v>
      </c>
      <c r="X10" s="135">
        <v>78</v>
      </c>
      <c r="Y10" s="135">
        <v>1</v>
      </c>
      <c r="Z10" s="135"/>
      <c r="AA10" s="135"/>
      <c r="AB10" s="135"/>
      <c r="AC10" s="135"/>
      <c r="AD10" s="136">
        <f>IF(MIN(F10,J10,N10,R10,V10,Z10)&lt;&gt;0,MIN(F10,J10,N10,R10,V10,Z10),"")</f>
        <v>66</v>
      </c>
      <c r="AE10" s="136">
        <f>IF(MIN(H10,L10,P10,T10,X10,AB10)&lt;&gt;0,MIN(H10,L10,P10,T10,X10,AB10),"")</f>
        <v>78</v>
      </c>
      <c r="AF10" s="136">
        <v>70</v>
      </c>
      <c r="AG10" s="135">
        <v>2</v>
      </c>
      <c r="AH10" s="136">
        <v>82</v>
      </c>
      <c r="AI10" s="135">
        <v>6</v>
      </c>
      <c r="AJ10" s="134">
        <f>IF(AD10="","",IF(ISBLANK(AF10),"En cours",AD10+AF10))</f>
        <v>136</v>
      </c>
      <c r="AK10" s="134">
        <f>IF(AE10="","",IF(ISBLANK(AH10),"En cours",AE10+AH10))</f>
        <v>160</v>
      </c>
    </row>
    <row r="11" spans="2:37" ht="21" x14ac:dyDescent="0.35">
      <c r="B11" s="135" t="s">
        <v>133</v>
      </c>
      <c r="C11" s="135" t="s">
        <v>102</v>
      </c>
      <c r="D11" s="135">
        <v>11.7</v>
      </c>
      <c r="E11" s="135" t="s">
        <v>123</v>
      </c>
      <c r="F11" s="135">
        <v>76</v>
      </c>
      <c r="G11" s="135">
        <v>21</v>
      </c>
      <c r="H11" s="135">
        <v>86</v>
      </c>
      <c r="I11" s="135">
        <v>10</v>
      </c>
      <c r="J11" s="135">
        <v>81</v>
      </c>
      <c r="K11" s="135">
        <v>27</v>
      </c>
      <c r="L11" s="135">
        <v>91</v>
      </c>
      <c r="M11" s="135">
        <v>16</v>
      </c>
      <c r="N11" s="135">
        <v>69</v>
      </c>
      <c r="O11" s="135">
        <v>4</v>
      </c>
      <c r="P11" s="135">
        <v>79</v>
      </c>
      <c r="Q11" s="135">
        <v>2</v>
      </c>
      <c r="R11" s="135"/>
      <c r="S11" s="135"/>
      <c r="T11" s="135"/>
      <c r="U11" s="135"/>
      <c r="V11" s="135">
        <v>79</v>
      </c>
      <c r="W11" s="135">
        <v>21</v>
      </c>
      <c r="X11" s="135">
        <v>89</v>
      </c>
      <c r="Y11" s="135">
        <v>13</v>
      </c>
      <c r="Z11" s="135">
        <v>77</v>
      </c>
      <c r="AA11" s="135">
        <v>20</v>
      </c>
      <c r="AB11" s="135">
        <v>87</v>
      </c>
      <c r="AC11" s="135">
        <v>11</v>
      </c>
      <c r="AD11" s="136">
        <f>IF(MIN(F11,J11,N11,R11,V11,Z11)&lt;&gt;0,MIN(F11,J11,N11,R11,V11,Z11),"")</f>
        <v>69</v>
      </c>
      <c r="AE11" s="136">
        <f>IF(MIN(H11,L11,P11,T11,X11,AB11)&lt;&gt;0,MIN(H11,L11,P11,T11,X11,AB11),"")</f>
        <v>79</v>
      </c>
      <c r="AF11" s="136">
        <v>72</v>
      </c>
      <c r="AG11" s="135">
        <v>10</v>
      </c>
      <c r="AH11" s="136">
        <v>82</v>
      </c>
      <c r="AI11" s="135">
        <v>3</v>
      </c>
      <c r="AJ11" s="134">
        <f>IF(AD11="","",IF(ISBLANK(AF11),"En cours",AD11+AF11))</f>
        <v>141</v>
      </c>
      <c r="AK11" s="134">
        <f>IF(AE11="","",IF(ISBLANK(AH11),"En cours",AE11+AH11))</f>
        <v>161</v>
      </c>
    </row>
    <row r="12" spans="2:37" ht="21" x14ac:dyDescent="0.35">
      <c r="B12" s="135" t="s">
        <v>111</v>
      </c>
      <c r="C12" s="135" t="s">
        <v>102</v>
      </c>
      <c r="D12" s="135">
        <v>7.6</v>
      </c>
      <c r="E12" s="135" t="s">
        <v>103</v>
      </c>
      <c r="F12" s="135">
        <v>74</v>
      </c>
      <c r="G12" s="135">
        <v>9</v>
      </c>
      <c r="H12" s="135">
        <v>83</v>
      </c>
      <c r="I12" s="135">
        <v>8</v>
      </c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>
        <v>79</v>
      </c>
      <c r="W12" s="135">
        <v>6</v>
      </c>
      <c r="X12" s="135">
        <v>88</v>
      </c>
      <c r="Y12" s="135">
        <v>6</v>
      </c>
      <c r="Z12" s="135">
        <v>74</v>
      </c>
      <c r="AA12" s="135">
        <v>7</v>
      </c>
      <c r="AB12" s="135">
        <v>83</v>
      </c>
      <c r="AC12" s="135">
        <v>6</v>
      </c>
      <c r="AD12" s="136">
        <f>IF(MIN(F12,J12,N12,R12,V12,Z12)&lt;&gt;0,MIN(F12,J12,N12,R12,V12,Z12),"")</f>
        <v>74</v>
      </c>
      <c r="AE12" s="136">
        <f>IF(MIN(H12,L12,P12,T12,X12,AB12)&lt;&gt;0,MIN(H12,L12,P12,T12,X12,AB12),"")</f>
        <v>83</v>
      </c>
      <c r="AF12" s="136">
        <v>70</v>
      </c>
      <c r="AG12" s="135">
        <v>4</v>
      </c>
      <c r="AH12" s="136">
        <v>79</v>
      </c>
      <c r="AI12" s="135">
        <v>2</v>
      </c>
      <c r="AJ12" s="134">
        <f>IF(AD12="","",IF(ISBLANK(AF12),"En cours",AD12+AF12))</f>
        <v>144</v>
      </c>
      <c r="AK12" s="134">
        <f>IF(AE12="","",IF(ISBLANK(AH12),"En cours",AE12+AH12))</f>
        <v>162</v>
      </c>
    </row>
    <row r="13" spans="2:37" ht="21" x14ac:dyDescent="0.35">
      <c r="B13" s="135" t="s">
        <v>116</v>
      </c>
      <c r="C13" s="135" t="s">
        <v>102</v>
      </c>
      <c r="D13" s="135">
        <v>10.8</v>
      </c>
      <c r="E13" s="135" t="s">
        <v>103</v>
      </c>
      <c r="F13" s="135">
        <v>76</v>
      </c>
      <c r="G13" s="135">
        <v>10</v>
      </c>
      <c r="H13" s="135">
        <v>89</v>
      </c>
      <c r="I13" s="135">
        <v>13</v>
      </c>
      <c r="J13" s="135">
        <v>69</v>
      </c>
      <c r="K13" s="135">
        <v>2</v>
      </c>
      <c r="L13" s="135">
        <v>82</v>
      </c>
      <c r="M13" s="135">
        <v>5</v>
      </c>
      <c r="N13" s="135">
        <v>76</v>
      </c>
      <c r="O13" s="135">
        <v>8</v>
      </c>
      <c r="P13" s="135">
        <v>89</v>
      </c>
      <c r="Q13" s="135">
        <v>10</v>
      </c>
      <c r="R13" s="135">
        <v>67</v>
      </c>
      <c r="S13" s="135">
        <v>2</v>
      </c>
      <c r="T13" s="135">
        <v>80</v>
      </c>
      <c r="U13" s="135">
        <v>2</v>
      </c>
      <c r="V13" s="135"/>
      <c r="W13" s="135"/>
      <c r="X13" s="135"/>
      <c r="Y13" s="135"/>
      <c r="Z13" s="135">
        <v>72</v>
      </c>
      <c r="AA13" s="135">
        <v>3</v>
      </c>
      <c r="AB13" s="135">
        <v>85</v>
      </c>
      <c r="AC13" s="135">
        <v>9</v>
      </c>
      <c r="AD13" s="136">
        <f>IF(MIN(F13,J13,N13,R13,V13,Z13)&lt;&gt;0,MIN(F13,J13,N13,R13,V13,Z13),"")</f>
        <v>67</v>
      </c>
      <c r="AE13" s="136">
        <f>IF(MIN(H13,L13,P13,T13,X13,AB13)&lt;&gt;0,MIN(H13,L13,P13,T13,X13,AB13),"")</f>
        <v>80</v>
      </c>
      <c r="AF13" s="136">
        <v>70</v>
      </c>
      <c r="AG13" s="135">
        <v>3</v>
      </c>
      <c r="AH13" s="136">
        <v>83</v>
      </c>
      <c r="AI13" s="135">
        <v>7</v>
      </c>
      <c r="AJ13" s="134">
        <f>IF(AD13="","",IF(ISBLANK(AF13),"En cours",AD13+AF13))</f>
        <v>137</v>
      </c>
      <c r="AK13" s="134">
        <f>IF(AE13="","",IF(ISBLANK(AH13),"En cours",AE13+AH13))</f>
        <v>163</v>
      </c>
    </row>
    <row r="14" spans="2:37" ht="21" x14ac:dyDescent="0.35">
      <c r="B14" s="135" t="s">
        <v>144</v>
      </c>
      <c r="C14" s="135" t="s">
        <v>102</v>
      </c>
      <c r="D14" s="135">
        <v>14.8</v>
      </c>
      <c r="E14" s="135" t="s">
        <v>123</v>
      </c>
      <c r="F14" s="135">
        <v>76</v>
      </c>
      <c r="G14" s="135">
        <v>20</v>
      </c>
      <c r="H14" s="135">
        <v>90</v>
      </c>
      <c r="I14" s="135">
        <v>21</v>
      </c>
      <c r="J14" s="135">
        <v>70</v>
      </c>
      <c r="K14" s="135">
        <v>3</v>
      </c>
      <c r="L14" s="135">
        <v>84</v>
      </c>
      <c r="M14" s="135">
        <v>5</v>
      </c>
      <c r="N14" s="135">
        <v>65</v>
      </c>
      <c r="O14" s="135">
        <v>1</v>
      </c>
      <c r="P14" s="135">
        <v>79</v>
      </c>
      <c r="Q14" s="135">
        <v>3</v>
      </c>
      <c r="R14" s="135">
        <v>70</v>
      </c>
      <c r="S14" s="135">
        <v>5</v>
      </c>
      <c r="T14" s="135">
        <v>84</v>
      </c>
      <c r="U14" s="135">
        <v>5</v>
      </c>
      <c r="V14" s="135">
        <v>75</v>
      </c>
      <c r="W14" s="135">
        <v>13</v>
      </c>
      <c r="X14" s="135">
        <v>89</v>
      </c>
      <c r="Y14" s="135">
        <v>15</v>
      </c>
      <c r="Z14" s="135">
        <v>80</v>
      </c>
      <c r="AA14" s="135">
        <v>24</v>
      </c>
      <c r="AB14" s="135">
        <v>94</v>
      </c>
      <c r="AC14" s="135">
        <v>25</v>
      </c>
      <c r="AD14" s="136">
        <f>IF(MIN(F14,J14,N14,R14,V14,Z14)&lt;&gt;0,MIN(F14,J14,N14,R14,V14,Z14),"")</f>
        <v>65</v>
      </c>
      <c r="AE14" s="136">
        <f>IF(MIN(H14,L14,P14,T14,X14,AB14)&lt;&gt;0,MIN(H14,L14,P14,T14,X14,AB14),"")</f>
        <v>79</v>
      </c>
      <c r="AF14" s="136">
        <v>71</v>
      </c>
      <c r="AG14" s="135">
        <v>8</v>
      </c>
      <c r="AH14" s="136">
        <v>85</v>
      </c>
      <c r="AI14" s="135">
        <v>6</v>
      </c>
      <c r="AJ14" s="134">
        <f>IF(AD14="","",IF(ISBLANK(AF14),"En cours",AD14+AF14))</f>
        <v>136</v>
      </c>
      <c r="AK14" s="134">
        <f>IF(AE14="","",IF(ISBLANK(AH14),"En cours",AE14+AH14))</f>
        <v>164</v>
      </c>
    </row>
    <row r="15" spans="2:37" ht="21" x14ac:dyDescent="0.35">
      <c r="B15" s="135" t="s">
        <v>301</v>
      </c>
      <c r="C15" s="135" t="s">
        <v>102</v>
      </c>
      <c r="D15" s="135">
        <v>7</v>
      </c>
      <c r="E15" s="135" t="s">
        <v>103</v>
      </c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>
        <v>71</v>
      </c>
      <c r="AA15" s="135">
        <v>2</v>
      </c>
      <c r="AB15" s="135">
        <v>80</v>
      </c>
      <c r="AC15" s="135">
        <v>2</v>
      </c>
      <c r="AD15" s="136">
        <f>IF(MIN(F15,J15,N15,R15,V15,Z15)&lt;&gt;0,MIN(F15,J15,N15,R15,V15,Z15),"")</f>
        <v>71</v>
      </c>
      <c r="AE15" s="136">
        <f>IF(MIN(H15,L15,P15,T15,X15,AB15)&lt;&gt;0,MIN(H15,L15,P15,T15,X15,AB15),"")</f>
        <v>80</v>
      </c>
      <c r="AF15" s="136">
        <v>76</v>
      </c>
      <c r="AG15" s="135">
        <v>8</v>
      </c>
      <c r="AH15" s="136">
        <v>85</v>
      </c>
      <c r="AI15" s="135">
        <v>9</v>
      </c>
      <c r="AJ15" s="134">
        <f>IF(AD15="","",IF(ISBLANK(AF15),"En cours",AD15+AF15))</f>
        <v>147</v>
      </c>
      <c r="AK15" s="134">
        <f>IF(AE15="","",IF(ISBLANK(AH15),"En cours",AE15+AH15))</f>
        <v>165</v>
      </c>
    </row>
    <row r="16" spans="2:37" ht="21" x14ac:dyDescent="0.35">
      <c r="B16" s="135" t="s">
        <v>101</v>
      </c>
      <c r="C16" s="135" t="s">
        <v>102</v>
      </c>
      <c r="D16" s="135">
        <v>5.3</v>
      </c>
      <c r="E16" s="135" t="s">
        <v>103</v>
      </c>
      <c r="F16" s="135">
        <v>69</v>
      </c>
      <c r="G16" s="135">
        <v>1</v>
      </c>
      <c r="H16" s="135">
        <v>76</v>
      </c>
      <c r="I16" s="135">
        <v>1</v>
      </c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6">
        <f>IF(MIN(F16,J16,N16,R16,V16,Z16)&lt;&gt;0,MIN(F16,J16,N16,R16,V16,Z16),"")</f>
        <v>69</v>
      </c>
      <c r="AE16" s="136">
        <f>IF(MIN(H16,L16,P16,T16,X16,AB16)&lt;&gt;0,MIN(H16,L16,P16,T16,X16,AB16),"")</f>
        <v>76</v>
      </c>
      <c r="AF16" s="136">
        <v>83</v>
      </c>
      <c r="AG16" s="135">
        <v>14</v>
      </c>
      <c r="AH16" s="136">
        <v>90</v>
      </c>
      <c r="AI16" s="135">
        <v>13</v>
      </c>
      <c r="AJ16" s="134">
        <f>IF(AD16="","",IF(ISBLANK(AF16),"En cours",AD16+AF16))</f>
        <v>152</v>
      </c>
      <c r="AK16" s="134">
        <f>IF(AE16="","",IF(ISBLANK(AH16),"En cours",AE16+AH16))</f>
        <v>166</v>
      </c>
    </row>
    <row r="17" spans="2:37" ht="21" x14ac:dyDescent="0.35">
      <c r="B17" s="135" t="s">
        <v>118</v>
      </c>
      <c r="C17" s="135" t="s">
        <v>102</v>
      </c>
      <c r="D17" s="135">
        <v>7.6</v>
      </c>
      <c r="E17" s="135" t="s">
        <v>103</v>
      </c>
      <c r="F17" s="135">
        <v>80</v>
      </c>
      <c r="G17" s="135">
        <v>16</v>
      </c>
      <c r="H17" s="135">
        <v>89</v>
      </c>
      <c r="I17" s="135">
        <v>15</v>
      </c>
      <c r="J17" s="135">
        <v>72</v>
      </c>
      <c r="K17" s="135">
        <v>4</v>
      </c>
      <c r="L17" s="135">
        <v>81</v>
      </c>
      <c r="M17" s="135">
        <v>4</v>
      </c>
      <c r="N17" s="135">
        <v>70</v>
      </c>
      <c r="O17" s="135">
        <v>2</v>
      </c>
      <c r="P17" s="135">
        <v>79</v>
      </c>
      <c r="Q17" s="135">
        <v>2</v>
      </c>
      <c r="R17" s="135"/>
      <c r="S17" s="135"/>
      <c r="T17" s="135"/>
      <c r="U17" s="135"/>
      <c r="V17" s="135"/>
      <c r="W17" s="135"/>
      <c r="X17" s="135"/>
      <c r="Y17" s="135"/>
      <c r="Z17" s="135">
        <v>74</v>
      </c>
      <c r="AA17" s="135">
        <v>8</v>
      </c>
      <c r="AB17" s="135">
        <v>83</v>
      </c>
      <c r="AC17" s="135">
        <v>7</v>
      </c>
      <c r="AD17" s="136">
        <f>IF(MIN(F17,J17,N17,R17,V17,Z17)&lt;&gt;0,MIN(F17,J17,N17,R17,V17,Z17),"")</f>
        <v>70</v>
      </c>
      <c r="AE17" s="136">
        <f>IF(MIN(H17,L17,P17,T17,X17,AB17)&lt;&gt;0,MIN(H17,L17,P17,T17,X17,AB17),"")</f>
        <v>79</v>
      </c>
      <c r="AF17" s="136">
        <v>78</v>
      </c>
      <c r="AG17" s="135">
        <v>10</v>
      </c>
      <c r="AH17" s="136">
        <v>87</v>
      </c>
      <c r="AI17" s="135">
        <v>12</v>
      </c>
      <c r="AJ17" s="134">
        <f>IF(AD17="","",IF(ISBLANK(AF17),"En cours",AD17+AF17))</f>
        <v>148</v>
      </c>
      <c r="AK17" s="134">
        <f>IF(AE17="","",IF(ISBLANK(AH17),"En cours",AE17+AH17))</f>
        <v>166</v>
      </c>
    </row>
    <row r="18" spans="2:37" ht="21" x14ac:dyDescent="0.35">
      <c r="B18" s="135" t="s">
        <v>291</v>
      </c>
      <c r="C18" s="135" t="s">
        <v>102</v>
      </c>
      <c r="D18" s="135">
        <v>7.7</v>
      </c>
      <c r="E18" s="135" t="s">
        <v>103</v>
      </c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>
        <v>73</v>
      </c>
      <c r="W18" s="135">
        <v>4</v>
      </c>
      <c r="X18" s="135">
        <v>83</v>
      </c>
      <c r="Y18" s="135">
        <v>4</v>
      </c>
      <c r="Z18" s="135"/>
      <c r="AA18" s="135"/>
      <c r="AB18" s="135"/>
      <c r="AC18" s="135"/>
      <c r="AD18" s="136">
        <f>IF(MIN(F18,J18,N18,R18,V18,Z18)&lt;&gt;0,MIN(F18,J18,N18,R18,V18,Z18),"")</f>
        <v>73</v>
      </c>
      <c r="AE18" s="136">
        <f>IF(MIN(H18,L18,P18,T18,X18,AB18)&lt;&gt;0,MIN(H18,L18,P18,T18,X18,AB18),"")</f>
        <v>83</v>
      </c>
      <c r="AF18" s="136">
        <v>73</v>
      </c>
      <c r="AG18" s="135">
        <v>6</v>
      </c>
      <c r="AH18" s="136">
        <v>83</v>
      </c>
      <c r="AI18" s="135">
        <v>8</v>
      </c>
      <c r="AJ18" s="134">
        <f>IF(AD18="","",IF(ISBLANK(AF18),"En cours",AD18+AF18))</f>
        <v>146</v>
      </c>
      <c r="AK18" s="134">
        <f>IF(AE18="","",IF(ISBLANK(AH18),"En cours",AE18+AH18))</f>
        <v>166</v>
      </c>
    </row>
    <row r="19" spans="2:37" ht="21" x14ac:dyDescent="0.35">
      <c r="B19" s="135" t="s">
        <v>130</v>
      </c>
      <c r="C19" s="135" t="s">
        <v>102</v>
      </c>
      <c r="D19" s="135">
        <v>11.8</v>
      </c>
      <c r="E19" s="135" t="s">
        <v>123</v>
      </c>
      <c r="F19" s="135">
        <v>74</v>
      </c>
      <c r="G19" s="135">
        <v>14</v>
      </c>
      <c r="H19" s="135">
        <v>85</v>
      </c>
      <c r="I19" s="135">
        <v>7</v>
      </c>
      <c r="J19" s="135"/>
      <c r="K19" s="135"/>
      <c r="L19" s="135"/>
      <c r="M19" s="135"/>
      <c r="N19" s="135">
        <v>78</v>
      </c>
      <c r="O19" s="135">
        <v>22</v>
      </c>
      <c r="P19" s="135">
        <v>89</v>
      </c>
      <c r="Q19" s="135">
        <v>14</v>
      </c>
      <c r="R19" s="135"/>
      <c r="S19" s="135"/>
      <c r="T19" s="135"/>
      <c r="U19" s="135"/>
      <c r="V19" s="135"/>
      <c r="W19" s="135"/>
      <c r="X19" s="135"/>
      <c r="Y19" s="135"/>
      <c r="Z19" s="135">
        <v>69</v>
      </c>
      <c r="AA19" s="135">
        <v>2</v>
      </c>
      <c r="AB19" s="135">
        <v>80</v>
      </c>
      <c r="AC19" s="135">
        <v>2</v>
      </c>
      <c r="AD19" s="136">
        <f>IF(MIN(F19,J19,N19,R19,V19,Z19)&lt;&gt;0,MIN(F19,J19,N19,R19,V19,Z19),"")</f>
        <v>69</v>
      </c>
      <c r="AE19" s="136">
        <f>IF(MIN(H19,L19,P19,T19,X19,AB19)&lt;&gt;0,MIN(H19,L19,P19,T19,X19,AB19),"")</f>
        <v>80</v>
      </c>
      <c r="AF19" s="136">
        <v>76</v>
      </c>
      <c r="AG19" s="135">
        <v>19</v>
      </c>
      <c r="AH19" s="136">
        <v>87</v>
      </c>
      <c r="AI19" s="135">
        <v>11</v>
      </c>
      <c r="AJ19" s="134">
        <f>IF(AD19="","",IF(ISBLANK(AF19),"En cours",AD19+AF19))</f>
        <v>145</v>
      </c>
      <c r="AK19" s="134">
        <f>IF(AE19="","",IF(ISBLANK(AH19),"En cours",AE19+AH19))</f>
        <v>167</v>
      </c>
    </row>
    <row r="20" spans="2:37" ht="21" x14ac:dyDescent="0.35">
      <c r="B20" s="135" t="s">
        <v>115</v>
      </c>
      <c r="C20" s="135" t="s">
        <v>102</v>
      </c>
      <c r="D20" s="135">
        <v>8.5</v>
      </c>
      <c r="E20" s="135" t="s">
        <v>103</v>
      </c>
      <c r="F20" s="135">
        <v>77</v>
      </c>
      <c r="G20" s="135">
        <v>12</v>
      </c>
      <c r="H20" s="135">
        <v>87</v>
      </c>
      <c r="I20" s="135">
        <v>12</v>
      </c>
      <c r="J20" s="135"/>
      <c r="K20" s="135"/>
      <c r="L20" s="135"/>
      <c r="M20" s="135"/>
      <c r="N20" s="135">
        <v>72</v>
      </c>
      <c r="O20" s="135">
        <v>5</v>
      </c>
      <c r="P20" s="135">
        <v>82</v>
      </c>
      <c r="Q20" s="135">
        <v>3</v>
      </c>
      <c r="R20" s="135"/>
      <c r="S20" s="135"/>
      <c r="T20" s="135"/>
      <c r="U20" s="135"/>
      <c r="V20" s="135">
        <v>81</v>
      </c>
      <c r="W20" s="135">
        <v>8</v>
      </c>
      <c r="X20" s="135">
        <v>91</v>
      </c>
      <c r="Y20" s="135">
        <v>8</v>
      </c>
      <c r="Z20" s="135"/>
      <c r="AA20" s="135"/>
      <c r="AB20" s="135"/>
      <c r="AC20" s="135"/>
      <c r="AD20" s="136">
        <f>IF(MIN(F20,J20,N20,R20,V20,Z20)&lt;&gt;0,MIN(F20,J20,N20,R20,V20,Z20),"")</f>
        <v>72</v>
      </c>
      <c r="AE20" s="136">
        <f>IF(MIN(H20,L20,P20,T20,X20,AB20)&lt;&gt;0,MIN(H20,L20,P20,T20,X20,AB20),"")</f>
        <v>82</v>
      </c>
      <c r="AF20" s="136">
        <v>76</v>
      </c>
      <c r="AG20" s="135">
        <v>9</v>
      </c>
      <c r="AH20" s="136">
        <v>86</v>
      </c>
      <c r="AI20" s="135">
        <v>11</v>
      </c>
      <c r="AJ20" s="134">
        <f>IF(AD20="","",IF(ISBLANK(AF20),"En cours",AD20+AF20))</f>
        <v>148</v>
      </c>
      <c r="AK20" s="134">
        <f>IF(AE20="","",IF(ISBLANK(AH20),"En cours",AE20+AH20))</f>
        <v>168</v>
      </c>
    </row>
    <row r="21" spans="2:37" ht="21" x14ac:dyDescent="0.35">
      <c r="B21" s="135" t="s">
        <v>293</v>
      </c>
      <c r="C21" s="135" t="s">
        <v>102</v>
      </c>
      <c r="D21" s="135">
        <v>16.600000000000001</v>
      </c>
      <c r="E21" s="135" t="s">
        <v>123</v>
      </c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>
        <v>66</v>
      </c>
      <c r="W21" s="135">
        <v>1</v>
      </c>
      <c r="X21" s="135">
        <v>82</v>
      </c>
      <c r="Y21" s="135">
        <v>1</v>
      </c>
      <c r="Z21" s="135"/>
      <c r="AA21" s="135"/>
      <c r="AB21" s="135"/>
      <c r="AC21" s="135"/>
      <c r="AD21" s="136">
        <f>IF(MIN(F21,J21,N21,R21,V21,Z21)&lt;&gt;0,MIN(F21,J21,N21,R21,V21,Z21),"")</f>
        <v>66</v>
      </c>
      <c r="AE21" s="136">
        <f>IF(MIN(H21,L21,P21,T21,X21,AB21)&lt;&gt;0,MIN(H21,L21,P21,T21,X21,AB21),"")</f>
        <v>82</v>
      </c>
      <c r="AF21" s="136">
        <v>70</v>
      </c>
      <c r="AG21" s="135">
        <v>6</v>
      </c>
      <c r="AH21" s="136">
        <v>86</v>
      </c>
      <c r="AI21" s="135">
        <v>9</v>
      </c>
      <c r="AJ21" s="134">
        <f>IF(AD21="","",IF(ISBLANK(AF21),"En cours",AD21+AF21))</f>
        <v>136</v>
      </c>
      <c r="AK21" s="134">
        <f>IF(AE21="","",IF(ISBLANK(AH21),"En cours",AE21+AH21))</f>
        <v>168</v>
      </c>
    </row>
    <row r="22" spans="2:37" ht="21" x14ac:dyDescent="0.35">
      <c r="B22" s="135" t="s">
        <v>197</v>
      </c>
      <c r="C22" s="135" t="s">
        <v>102</v>
      </c>
      <c r="D22" s="135">
        <v>13.9</v>
      </c>
      <c r="E22" s="135" t="s">
        <v>123</v>
      </c>
      <c r="F22" s="135"/>
      <c r="G22" s="135"/>
      <c r="H22" s="135"/>
      <c r="I22" s="135"/>
      <c r="J22" s="135">
        <v>75</v>
      </c>
      <c r="K22" s="135">
        <v>13</v>
      </c>
      <c r="L22" s="135">
        <v>88</v>
      </c>
      <c r="M22" s="135">
        <v>12</v>
      </c>
      <c r="N22" s="135"/>
      <c r="O22" s="135"/>
      <c r="P22" s="135"/>
      <c r="Q22" s="135"/>
      <c r="R22" s="135">
        <v>71</v>
      </c>
      <c r="S22" s="135">
        <v>8</v>
      </c>
      <c r="T22" s="135">
        <v>84</v>
      </c>
      <c r="U22" s="135">
        <v>7</v>
      </c>
      <c r="V22" s="135">
        <v>74</v>
      </c>
      <c r="W22" s="135">
        <v>11</v>
      </c>
      <c r="X22" s="135">
        <v>87</v>
      </c>
      <c r="Y22" s="135">
        <v>10</v>
      </c>
      <c r="Z22" s="135"/>
      <c r="AA22" s="135"/>
      <c r="AB22" s="135"/>
      <c r="AC22" s="135"/>
      <c r="AD22" s="136">
        <f>IF(MIN(F22,J22,N22,R22,V22,Z22)&lt;&gt;0,MIN(F22,J22,N22,R22,V22,Z22),"")</f>
        <v>71</v>
      </c>
      <c r="AE22" s="136">
        <f>IF(MIN(H22,L22,P22,T22,X22,AB22)&lt;&gt;0,MIN(H22,L22,P22,T22,X22,AB22),"")</f>
        <v>84</v>
      </c>
      <c r="AF22" s="136">
        <v>72</v>
      </c>
      <c r="AG22" s="135">
        <v>9</v>
      </c>
      <c r="AH22" s="136">
        <v>85</v>
      </c>
      <c r="AI22" s="135">
        <v>7</v>
      </c>
      <c r="AJ22" s="134">
        <f>IF(AD22="","",IF(ISBLANK(AF22),"En cours",AD22+AF22))</f>
        <v>143</v>
      </c>
      <c r="AK22" s="134">
        <f>IF(AE22="","",IF(ISBLANK(AH22),"En cours",AE22+AH22))</f>
        <v>169</v>
      </c>
    </row>
    <row r="23" spans="2:37" ht="21" x14ac:dyDescent="0.35">
      <c r="B23" s="135" t="s">
        <v>302</v>
      </c>
      <c r="C23" s="135" t="s">
        <v>102</v>
      </c>
      <c r="D23" s="135">
        <v>7.8</v>
      </c>
      <c r="E23" s="135" t="s">
        <v>103</v>
      </c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>
        <v>73</v>
      </c>
      <c r="AA23" s="135">
        <v>5</v>
      </c>
      <c r="AB23" s="135">
        <v>83</v>
      </c>
      <c r="AC23" s="135">
        <v>4</v>
      </c>
      <c r="AD23" s="136">
        <f>IF(MIN(F23,J23,N23,R23,V23,Z23)&lt;&gt;0,MIN(F23,J23,N23,R23,V23,Z23),"")</f>
        <v>73</v>
      </c>
      <c r="AE23" s="136">
        <f>IF(MIN(H23,L23,P23,T23,X23,AB23)&lt;&gt;0,MIN(H23,L23,P23,T23,X23,AB23),"")</f>
        <v>83</v>
      </c>
      <c r="AF23" s="136">
        <v>76</v>
      </c>
      <c r="AG23" s="135">
        <v>7</v>
      </c>
      <c r="AH23" s="136">
        <v>86</v>
      </c>
      <c r="AI23" s="135">
        <v>10</v>
      </c>
      <c r="AJ23" s="134">
        <f>IF(AD23="","",IF(ISBLANK(AF23),"En cours",AD23+AF23))</f>
        <v>149</v>
      </c>
      <c r="AK23" s="134">
        <f>IF(AE23="","",IF(ISBLANK(AH23),"En cours",AE23+AH23))</f>
        <v>169</v>
      </c>
    </row>
    <row r="24" spans="2:37" ht="21" x14ac:dyDescent="0.35">
      <c r="B24" s="135" t="s">
        <v>139</v>
      </c>
      <c r="C24" s="135" t="s">
        <v>102</v>
      </c>
      <c r="D24" s="135">
        <v>12.9</v>
      </c>
      <c r="E24" s="135" t="s">
        <v>123</v>
      </c>
      <c r="F24" s="135">
        <v>76</v>
      </c>
      <c r="G24" s="135">
        <v>19</v>
      </c>
      <c r="H24" s="135">
        <v>88</v>
      </c>
      <c r="I24" s="135">
        <v>16</v>
      </c>
      <c r="J24" s="135">
        <v>72</v>
      </c>
      <c r="K24" s="135">
        <v>9</v>
      </c>
      <c r="L24" s="135">
        <v>84</v>
      </c>
      <c r="M24" s="135">
        <v>3</v>
      </c>
      <c r="N24" s="135">
        <v>67</v>
      </c>
      <c r="O24" s="135">
        <v>3</v>
      </c>
      <c r="P24" s="135">
        <v>79</v>
      </c>
      <c r="Q24" s="135">
        <v>4</v>
      </c>
      <c r="R24" s="135">
        <v>67</v>
      </c>
      <c r="S24" s="135">
        <v>2</v>
      </c>
      <c r="T24" s="135">
        <v>79</v>
      </c>
      <c r="U24" s="135">
        <v>2</v>
      </c>
      <c r="V24" s="135">
        <v>71</v>
      </c>
      <c r="W24" s="135">
        <v>5</v>
      </c>
      <c r="X24" s="135">
        <v>83</v>
      </c>
      <c r="Y24" s="135">
        <v>3</v>
      </c>
      <c r="Z24" s="135">
        <v>75</v>
      </c>
      <c r="AA24" s="135">
        <v>13</v>
      </c>
      <c r="AB24" s="135">
        <v>87</v>
      </c>
      <c r="AC24" s="135">
        <v>9</v>
      </c>
      <c r="AD24" s="136">
        <f>IF(MIN(F24,J24,N24,R24,V24,Z24)&lt;&gt;0,MIN(F24,J24,N24,R24,V24,Z24),"")</f>
        <v>67</v>
      </c>
      <c r="AE24" s="136">
        <f>IF(MIN(H24,L24,P24,T24,X24,AB24)&lt;&gt;0,MIN(H24,L24,P24,T24,X24,AB24),"")</f>
        <v>79</v>
      </c>
      <c r="AF24" s="136">
        <v>79</v>
      </c>
      <c r="AG24" s="135">
        <v>29</v>
      </c>
      <c r="AH24" s="136">
        <v>91</v>
      </c>
      <c r="AI24" s="135">
        <v>19</v>
      </c>
      <c r="AJ24" s="134">
        <f>IF(AD24="","",IF(ISBLANK(AF24),"En cours",AD24+AF24))</f>
        <v>146</v>
      </c>
      <c r="AK24" s="134">
        <f>IF(AE24="","",IF(ISBLANK(AH24),"En cours",AE24+AH24))</f>
        <v>170</v>
      </c>
    </row>
    <row r="25" spans="2:37" ht="21" x14ac:dyDescent="0.35">
      <c r="B25" s="135" t="s">
        <v>266</v>
      </c>
      <c r="C25" s="135" t="s">
        <v>102</v>
      </c>
      <c r="D25" s="135">
        <v>15.7</v>
      </c>
      <c r="E25" s="135" t="s">
        <v>123</v>
      </c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>
        <v>75</v>
      </c>
      <c r="S25" s="135">
        <v>18</v>
      </c>
      <c r="T25" s="135">
        <v>90</v>
      </c>
      <c r="U25" s="135">
        <v>20</v>
      </c>
      <c r="V25" s="135"/>
      <c r="W25" s="135"/>
      <c r="X25" s="135"/>
      <c r="Y25" s="135"/>
      <c r="Z25" s="135">
        <v>71</v>
      </c>
      <c r="AA25" s="135">
        <v>5</v>
      </c>
      <c r="AB25" s="135">
        <v>86</v>
      </c>
      <c r="AC25" s="135">
        <v>6</v>
      </c>
      <c r="AD25" s="136">
        <f>IF(MIN(F25,J25,N25,R25,V25,Z25)&lt;&gt;0,MIN(F25,J25,N25,R25,V25,Z25),"")</f>
        <v>71</v>
      </c>
      <c r="AE25" s="136">
        <f>IF(MIN(H25,L25,P25,T25,X25,AB25)&lt;&gt;0,MIN(H25,L25,P25,T25,X25,AB25),"")</f>
        <v>86</v>
      </c>
      <c r="AF25" s="136">
        <v>69</v>
      </c>
      <c r="AG25" s="135">
        <v>5</v>
      </c>
      <c r="AH25" s="136">
        <v>84</v>
      </c>
      <c r="AI25" s="135">
        <v>5</v>
      </c>
      <c r="AJ25" s="134">
        <f>IF(AD25="","",IF(ISBLANK(AF25),"En cours",AD25+AF25))</f>
        <v>140</v>
      </c>
      <c r="AK25" s="134">
        <f>IF(AE25="","",IF(ISBLANK(AH25),"En cours",AE25+AH25))</f>
        <v>170</v>
      </c>
    </row>
    <row r="26" spans="2:37" ht="21" x14ac:dyDescent="0.35">
      <c r="B26" s="135" t="s">
        <v>199</v>
      </c>
      <c r="C26" s="135" t="s">
        <v>102</v>
      </c>
      <c r="D26" s="135">
        <v>15.4</v>
      </c>
      <c r="E26" s="135" t="s">
        <v>123</v>
      </c>
      <c r="F26" s="135"/>
      <c r="G26" s="135"/>
      <c r="H26" s="135"/>
      <c r="I26" s="135"/>
      <c r="J26" s="135">
        <v>74</v>
      </c>
      <c r="K26" s="135">
        <v>12</v>
      </c>
      <c r="L26" s="135">
        <v>89</v>
      </c>
      <c r="M26" s="135">
        <v>15</v>
      </c>
      <c r="N26" s="135"/>
      <c r="O26" s="135"/>
      <c r="P26" s="135"/>
      <c r="Q26" s="135"/>
      <c r="R26" s="135">
        <v>72</v>
      </c>
      <c r="S26" s="135">
        <v>10</v>
      </c>
      <c r="T26" s="135">
        <v>87</v>
      </c>
      <c r="U26" s="135">
        <v>14</v>
      </c>
      <c r="V26" s="135"/>
      <c r="W26" s="135"/>
      <c r="X26" s="135"/>
      <c r="Y26" s="135"/>
      <c r="Z26" s="135"/>
      <c r="AA26" s="135"/>
      <c r="AB26" s="135"/>
      <c r="AC26" s="135"/>
      <c r="AD26" s="136">
        <f>IF(MIN(F26,J26,N26,R26,V26,Z26)&lt;&gt;0,MIN(F26,J26,N26,R26,V26,Z26),"")</f>
        <v>72</v>
      </c>
      <c r="AE26" s="136">
        <f>IF(MIN(H26,L26,P26,T26,X26,AB26)&lt;&gt;0,MIN(H26,L26,P26,T26,X26,AB26),"")</f>
        <v>87</v>
      </c>
      <c r="AF26" s="136">
        <v>69</v>
      </c>
      <c r="AG26" s="135">
        <v>3</v>
      </c>
      <c r="AH26" s="136">
        <v>84</v>
      </c>
      <c r="AI26" s="135">
        <v>4</v>
      </c>
      <c r="AJ26" s="134">
        <f>IF(AD26="","",IF(ISBLANK(AF26),"En cours",AD26+AF26))</f>
        <v>141</v>
      </c>
      <c r="AK26" s="134">
        <f>IF(AE26="","",IF(ISBLANK(AH26),"En cours",AE26+AH26))</f>
        <v>171</v>
      </c>
    </row>
    <row r="27" spans="2:37" ht="21" x14ac:dyDescent="0.35">
      <c r="B27" s="135" t="s">
        <v>261</v>
      </c>
      <c r="C27" s="135" t="s">
        <v>102</v>
      </c>
      <c r="D27" s="135">
        <v>13</v>
      </c>
      <c r="E27" s="135" t="s">
        <v>123</v>
      </c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>
        <v>72</v>
      </c>
      <c r="S27" s="135">
        <v>11</v>
      </c>
      <c r="T27" s="135">
        <v>84</v>
      </c>
      <c r="U27" s="135">
        <v>6</v>
      </c>
      <c r="V27" s="135"/>
      <c r="W27" s="135"/>
      <c r="X27" s="135"/>
      <c r="Y27" s="135"/>
      <c r="Z27" s="135"/>
      <c r="AA27" s="135"/>
      <c r="AB27" s="135"/>
      <c r="AC27" s="135"/>
      <c r="AD27" s="136">
        <f>IF(MIN(F27,J27,N27,R27,V27,Z27)&lt;&gt;0,MIN(F27,J27,N27,R27,V27,Z27),"")</f>
        <v>72</v>
      </c>
      <c r="AE27" s="136">
        <f>IF(MIN(H27,L27,P27,T27,X27,AB27)&lt;&gt;0,MIN(H27,L27,P27,T27,X27,AB27),"")</f>
        <v>84</v>
      </c>
      <c r="AF27" s="136">
        <v>76</v>
      </c>
      <c r="AG27" s="135">
        <v>16</v>
      </c>
      <c r="AH27" s="136">
        <v>88</v>
      </c>
      <c r="AI27" s="135">
        <v>12</v>
      </c>
      <c r="AJ27" s="134">
        <f>IF(AD27="","",IF(ISBLANK(AF27),"En cours",AD27+AF27))</f>
        <v>148</v>
      </c>
      <c r="AK27" s="134">
        <f>IF(AE27="","",IF(ISBLANK(AH27),"En cours",AE27+AH27))</f>
        <v>172</v>
      </c>
    </row>
    <row r="28" spans="2:37" ht="21" x14ac:dyDescent="0.35">
      <c r="B28" s="135" t="s">
        <v>134</v>
      </c>
      <c r="C28" s="135" t="s">
        <v>102</v>
      </c>
      <c r="D28" s="135">
        <v>18.2</v>
      </c>
      <c r="E28" s="135" t="s">
        <v>123</v>
      </c>
      <c r="F28" s="135">
        <v>68</v>
      </c>
      <c r="G28" s="135">
        <v>2</v>
      </c>
      <c r="H28" s="135">
        <v>86</v>
      </c>
      <c r="I28" s="135">
        <v>11</v>
      </c>
      <c r="J28" s="135">
        <v>81</v>
      </c>
      <c r="K28" s="135">
        <v>28</v>
      </c>
      <c r="L28" s="135">
        <v>99</v>
      </c>
      <c r="M28" s="135">
        <v>32</v>
      </c>
      <c r="N28" s="135">
        <v>83</v>
      </c>
      <c r="O28" s="135">
        <v>32</v>
      </c>
      <c r="P28" s="135">
        <v>101</v>
      </c>
      <c r="Q28" s="135">
        <v>34</v>
      </c>
      <c r="R28" s="135">
        <v>79</v>
      </c>
      <c r="S28" s="135">
        <v>26</v>
      </c>
      <c r="T28" s="135">
        <v>97</v>
      </c>
      <c r="U28" s="135">
        <v>33</v>
      </c>
      <c r="V28" s="135">
        <v>85</v>
      </c>
      <c r="W28" s="135">
        <v>30</v>
      </c>
      <c r="X28" s="135">
        <v>103</v>
      </c>
      <c r="Y28" s="135">
        <v>30</v>
      </c>
      <c r="Z28" s="135"/>
      <c r="AA28" s="135"/>
      <c r="AB28" s="135"/>
      <c r="AC28" s="135"/>
      <c r="AD28" s="136">
        <f>IF(MIN(F28,J28,N28,R28,V28,Z28)&lt;&gt;0,MIN(F28,J28,N28,R28,V28,Z28),"")</f>
        <v>68</v>
      </c>
      <c r="AE28" s="136">
        <f>IF(MIN(H28,L28,P28,T28,X28,AB28)&lt;&gt;0,MIN(H28,L28,P28,T28,X28,AB28),"")</f>
        <v>86</v>
      </c>
      <c r="AF28" s="136">
        <v>69</v>
      </c>
      <c r="AG28" s="135">
        <v>4</v>
      </c>
      <c r="AH28" s="136">
        <v>87</v>
      </c>
      <c r="AI28" s="135">
        <v>10</v>
      </c>
      <c r="AJ28" s="134">
        <f>IF(AD28="","",IF(ISBLANK(AF28),"En cours",AD28+AF28))</f>
        <v>137</v>
      </c>
      <c r="AK28" s="134">
        <f>IF(AE28="","",IF(ISBLANK(AH28),"En cours",AE28+AH28))</f>
        <v>173</v>
      </c>
    </row>
    <row r="29" spans="2:37" ht="21" x14ac:dyDescent="0.35">
      <c r="B29" s="135" t="s">
        <v>135</v>
      </c>
      <c r="C29" s="135" t="s">
        <v>102</v>
      </c>
      <c r="D29" s="135">
        <v>11.8</v>
      </c>
      <c r="E29" s="135" t="s">
        <v>123</v>
      </c>
      <c r="F29" s="135">
        <v>76</v>
      </c>
      <c r="G29" s="135">
        <v>17</v>
      </c>
      <c r="H29" s="135">
        <v>87</v>
      </c>
      <c r="I29" s="135">
        <v>12</v>
      </c>
      <c r="J29" s="135">
        <v>76</v>
      </c>
      <c r="K29" s="135">
        <v>16</v>
      </c>
      <c r="L29" s="135">
        <v>87</v>
      </c>
      <c r="M29" s="135">
        <v>11</v>
      </c>
      <c r="N29" s="135">
        <v>84</v>
      </c>
      <c r="O29" s="135">
        <v>33</v>
      </c>
      <c r="P29" s="135">
        <v>95</v>
      </c>
      <c r="Q29" s="135">
        <v>26</v>
      </c>
      <c r="R29" s="135">
        <v>80</v>
      </c>
      <c r="S29" s="135">
        <v>30</v>
      </c>
      <c r="T29" s="135">
        <v>91</v>
      </c>
      <c r="U29" s="135">
        <v>23</v>
      </c>
      <c r="V29" s="135"/>
      <c r="W29" s="135"/>
      <c r="X29" s="135"/>
      <c r="Y29" s="135"/>
      <c r="Z29" s="135">
        <v>74</v>
      </c>
      <c r="AA29" s="135">
        <v>8</v>
      </c>
      <c r="AB29" s="135">
        <v>85</v>
      </c>
      <c r="AC29" s="135">
        <v>5</v>
      </c>
      <c r="AD29" s="136">
        <f>IF(MIN(F29,J29,N29,R29,V29,Z29)&lt;&gt;0,MIN(F29,J29,N29,R29,V29,Z29),"")</f>
        <v>74</v>
      </c>
      <c r="AE29" s="136">
        <f>IF(MIN(H29,L29,P29,T29,X29,AB29)&lt;&gt;0,MIN(H29,L29,P29,T29,X29,AB29),"")</f>
        <v>85</v>
      </c>
      <c r="AF29" s="136">
        <v>77</v>
      </c>
      <c r="AG29" s="135">
        <v>22</v>
      </c>
      <c r="AH29" s="136">
        <v>88</v>
      </c>
      <c r="AI29" s="135">
        <v>13</v>
      </c>
      <c r="AJ29" s="134">
        <f>IF(AD29="","",IF(ISBLANK(AF29),"En cours",AD29+AF29))</f>
        <v>151</v>
      </c>
      <c r="AK29" s="134">
        <f>IF(AE29="","",IF(ISBLANK(AH29),"En cours",AE29+AH29))</f>
        <v>173</v>
      </c>
    </row>
    <row r="30" spans="2:37" ht="21" x14ac:dyDescent="0.35">
      <c r="B30" s="135" t="s">
        <v>262</v>
      </c>
      <c r="C30" s="135" t="s">
        <v>102</v>
      </c>
      <c r="D30" s="135">
        <v>16.3</v>
      </c>
      <c r="E30" s="135" t="s">
        <v>123</v>
      </c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>
        <v>69</v>
      </c>
      <c r="S30" s="135">
        <v>3</v>
      </c>
      <c r="T30" s="135">
        <v>85</v>
      </c>
      <c r="U30" s="135">
        <v>8</v>
      </c>
      <c r="V30" s="135">
        <v>67</v>
      </c>
      <c r="W30" s="135">
        <v>2</v>
      </c>
      <c r="X30" s="135">
        <v>83</v>
      </c>
      <c r="Y30" s="135">
        <v>2</v>
      </c>
      <c r="Z30" s="135">
        <v>74</v>
      </c>
      <c r="AA30" s="135">
        <v>9</v>
      </c>
      <c r="AB30" s="135">
        <v>90</v>
      </c>
      <c r="AC30" s="135">
        <v>17</v>
      </c>
      <c r="AD30" s="136">
        <f>IF(MIN(F30,J30,N30,R30,V30,Z30)&lt;&gt;0,MIN(F30,J30,N30,R30,V30,Z30),"")</f>
        <v>67</v>
      </c>
      <c r="AE30" s="136">
        <f>IF(MIN(H30,L30,P30,T30,X30,AB30)&lt;&gt;0,MIN(H30,L30,P30,T30,X30,AB30),"")</f>
        <v>83</v>
      </c>
      <c r="AF30" s="136">
        <v>74</v>
      </c>
      <c r="AG30" s="135">
        <v>11</v>
      </c>
      <c r="AH30" s="136">
        <v>90</v>
      </c>
      <c r="AI30" s="135">
        <v>16</v>
      </c>
      <c r="AJ30" s="134">
        <f>IF(AD30="","",IF(ISBLANK(AF30),"En cours",AD30+AF30))</f>
        <v>141</v>
      </c>
      <c r="AK30" s="134">
        <f>IF(AE30="","",IF(ISBLANK(AH30),"En cours",AE30+AH30))</f>
        <v>173</v>
      </c>
    </row>
    <row r="31" spans="2:37" ht="21" x14ac:dyDescent="0.35">
      <c r="B31" s="135" t="s">
        <v>180</v>
      </c>
      <c r="C31" s="135" t="s">
        <v>102</v>
      </c>
      <c r="D31" s="135">
        <v>20.100000000000001</v>
      </c>
      <c r="E31" s="135" t="s">
        <v>161</v>
      </c>
      <c r="F31" s="135">
        <v>83</v>
      </c>
      <c r="G31" s="135">
        <v>21</v>
      </c>
      <c r="H31" s="135">
        <v>99</v>
      </c>
      <c r="I31" s="135">
        <v>19</v>
      </c>
      <c r="J31" s="135">
        <v>78</v>
      </c>
      <c r="K31" s="135">
        <v>26</v>
      </c>
      <c r="L31" s="135">
        <v>94</v>
      </c>
      <c r="M31" s="135">
        <v>18</v>
      </c>
      <c r="N31" s="135">
        <v>71</v>
      </c>
      <c r="O31" s="135">
        <v>8</v>
      </c>
      <c r="P31" s="135">
        <v>87</v>
      </c>
      <c r="Q31" s="135">
        <v>3</v>
      </c>
      <c r="R31" s="135">
        <v>76</v>
      </c>
      <c r="S31" s="135">
        <v>18</v>
      </c>
      <c r="T31" s="135">
        <v>92</v>
      </c>
      <c r="U31" s="135">
        <v>10</v>
      </c>
      <c r="V31" s="135">
        <v>84</v>
      </c>
      <c r="W31" s="135">
        <v>20</v>
      </c>
      <c r="X31" s="135">
        <v>100</v>
      </c>
      <c r="Y31" s="135">
        <v>17</v>
      </c>
      <c r="Z31" s="135">
        <v>78</v>
      </c>
      <c r="AA31" s="135">
        <v>16</v>
      </c>
      <c r="AB31" s="135">
        <v>94</v>
      </c>
      <c r="AC31" s="135">
        <v>12</v>
      </c>
      <c r="AD31" s="136">
        <f>IF(MIN(F31,J31,N31,R31,V31,Z31)&lt;&gt;0,MIN(F31,J31,N31,R31,V31,Z31),"")</f>
        <v>71</v>
      </c>
      <c r="AE31" s="136">
        <f>IF(MIN(H31,L31,P31,T31,X31,AB31)&lt;&gt;0,MIN(H31,L31,P31,T31,X31,AB31),"")</f>
        <v>87</v>
      </c>
      <c r="AF31" s="136">
        <v>71</v>
      </c>
      <c r="AG31" s="135">
        <v>7</v>
      </c>
      <c r="AH31" s="136">
        <v>87</v>
      </c>
      <c r="AI31" s="135">
        <v>3</v>
      </c>
      <c r="AJ31" s="134">
        <f>IF(AD31="","",IF(ISBLANK(AF31),"En cours",AD31+AF31))</f>
        <v>142</v>
      </c>
      <c r="AK31" s="134">
        <f>IF(AE31="","",IF(ISBLANK(AH31),"En cours",AE31+AH31))</f>
        <v>174</v>
      </c>
    </row>
    <row r="32" spans="2:37" ht="21" x14ac:dyDescent="0.35">
      <c r="B32" s="135" t="s">
        <v>170</v>
      </c>
      <c r="C32" s="135" t="s">
        <v>102</v>
      </c>
      <c r="D32" s="135">
        <v>21.5</v>
      </c>
      <c r="E32" s="135" t="s">
        <v>161</v>
      </c>
      <c r="F32" s="135">
        <v>72</v>
      </c>
      <c r="G32" s="135">
        <v>10</v>
      </c>
      <c r="H32" s="135">
        <v>90</v>
      </c>
      <c r="I32" s="135">
        <v>9</v>
      </c>
      <c r="J32" s="135">
        <v>74</v>
      </c>
      <c r="K32" s="135">
        <v>12</v>
      </c>
      <c r="L32" s="135">
        <v>92</v>
      </c>
      <c r="M32" s="135">
        <v>10</v>
      </c>
      <c r="N32" s="135">
        <v>73</v>
      </c>
      <c r="O32" s="135">
        <v>11</v>
      </c>
      <c r="P32" s="135">
        <v>91</v>
      </c>
      <c r="Q32" s="135">
        <v>5</v>
      </c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6">
        <f>IF(MIN(F32,J32,N32,R32,V32,Z32)&lt;&gt;0,MIN(F32,J32,N32,R32,V32,Z32),"")</f>
        <v>72</v>
      </c>
      <c r="AE32" s="136">
        <f>IF(MIN(H32,L32,P32,T32,X32,AB32)&lt;&gt;0,MIN(H32,L32,P32,T32,X32,AB32),"")</f>
        <v>90</v>
      </c>
      <c r="AF32" s="136">
        <v>67</v>
      </c>
      <c r="AG32" s="135">
        <v>2</v>
      </c>
      <c r="AH32" s="136">
        <v>85</v>
      </c>
      <c r="AI32" s="135">
        <v>2</v>
      </c>
      <c r="AJ32" s="134">
        <f>IF(AD32="","",IF(ISBLANK(AF32),"En cours",AD32+AF32))</f>
        <v>139</v>
      </c>
      <c r="AK32" s="134">
        <f>IF(AE32="","",IF(ISBLANK(AH32),"En cours",AE32+AH32))</f>
        <v>175</v>
      </c>
    </row>
    <row r="33" spans="2:37" ht="21" x14ac:dyDescent="0.35">
      <c r="B33" s="135" t="s">
        <v>150</v>
      </c>
      <c r="C33" s="135" t="s">
        <v>102</v>
      </c>
      <c r="D33" s="135">
        <v>16.100000000000001</v>
      </c>
      <c r="E33" s="135" t="s">
        <v>123</v>
      </c>
      <c r="F33" s="135">
        <v>78</v>
      </c>
      <c r="G33" s="135">
        <v>25</v>
      </c>
      <c r="H33" s="135">
        <v>93</v>
      </c>
      <c r="I33" s="135">
        <v>26</v>
      </c>
      <c r="J33" s="135">
        <v>87</v>
      </c>
      <c r="K33" s="135">
        <v>36</v>
      </c>
      <c r="L33" s="135">
        <v>102</v>
      </c>
      <c r="M33" s="135">
        <v>35</v>
      </c>
      <c r="N33" s="135"/>
      <c r="O33" s="135"/>
      <c r="P33" s="135"/>
      <c r="Q33" s="135"/>
      <c r="R33" s="135"/>
      <c r="S33" s="135"/>
      <c r="T33" s="135"/>
      <c r="U33" s="135"/>
      <c r="V33" s="135">
        <v>80</v>
      </c>
      <c r="W33" s="135">
        <v>25</v>
      </c>
      <c r="X33" s="135">
        <v>95</v>
      </c>
      <c r="Y33" s="135">
        <v>25</v>
      </c>
      <c r="Z33" s="135">
        <v>74</v>
      </c>
      <c r="AA33" s="135">
        <v>10</v>
      </c>
      <c r="AB33" s="135">
        <v>89</v>
      </c>
      <c r="AC33" s="135">
        <v>15</v>
      </c>
      <c r="AD33" s="136">
        <f>IF(MIN(F33,J33,N33,R33,V33,Z33)&lt;&gt;0,MIN(F33,J33,N33,R33,V33,Z33),"")</f>
        <v>74</v>
      </c>
      <c r="AE33" s="136">
        <f>IF(MIN(H33,L33,P33,T33,X33,AB33)&lt;&gt;0,MIN(H33,L33,P33,T33,X33,AB33),"")</f>
        <v>89</v>
      </c>
      <c r="AF33" s="136">
        <v>71</v>
      </c>
      <c r="AG33" s="135">
        <v>7</v>
      </c>
      <c r="AH33" s="136">
        <v>86</v>
      </c>
      <c r="AI33" s="135">
        <v>8</v>
      </c>
      <c r="AJ33" s="134">
        <f>IF(AD33="","",IF(ISBLANK(AF33),"En cours",AD33+AF33))</f>
        <v>145</v>
      </c>
      <c r="AK33" s="134">
        <f>IF(AE33="","",IF(ISBLANK(AH33),"En cours",AE33+AH33))</f>
        <v>175</v>
      </c>
    </row>
    <row r="34" spans="2:37" ht="21" x14ac:dyDescent="0.35">
      <c r="B34" s="135" t="s">
        <v>193</v>
      </c>
      <c r="C34" s="135" t="s">
        <v>102</v>
      </c>
      <c r="D34" s="135">
        <v>14.1</v>
      </c>
      <c r="E34" s="135" t="s">
        <v>123</v>
      </c>
      <c r="F34" s="135"/>
      <c r="G34" s="135"/>
      <c r="H34" s="135"/>
      <c r="I34" s="135"/>
      <c r="J34" s="135">
        <v>72</v>
      </c>
      <c r="K34" s="135">
        <v>8</v>
      </c>
      <c r="L34" s="135">
        <v>85</v>
      </c>
      <c r="M34" s="135">
        <v>6</v>
      </c>
      <c r="N34" s="135">
        <v>73</v>
      </c>
      <c r="O34" s="135">
        <v>10</v>
      </c>
      <c r="P34" s="135">
        <v>86</v>
      </c>
      <c r="Q34" s="135">
        <v>7</v>
      </c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6">
        <f>IF(MIN(F34,J34,N34,R34,V34,Z34)&lt;&gt;0,MIN(F34,J34,N34,R34,V34,Z34),"")</f>
        <v>72</v>
      </c>
      <c r="AE34" s="136">
        <f>IF(MIN(H34,L34,P34,T34,X34,AB34)&lt;&gt;0,MIN(H34,L34,P34,T34,X34,AB34),"")</f>
        <v>85</v>
      </c>
      <c r="AF34" s="136">
        <v>77</v>
      </c>
      <c r="AG34" s="135">
        <v>23</v>
      </c>
      <c r="AH34" s="136">
        <v>90</v>
      </c>
      <c r="AI34" s="135">
        <v>17</v>
      </c>
      <c r="AJ34" s="134">
        <f>IF(AD34="","",IF(ISBLANK(AF34),"En cours",AD34+AF34))</f>
        <v>149</v>
      </c>
      <c r="AK34" s="134">
        <f>IF(AE34="","",IF(ISBLANK(AH34),"En cours",AE34+AH34))</f>
        <v>175</v>
      </c>
    </row>
    <row r="35" spans="2:37" ht="21" x14ac:dyDescent="0.35">
      <c r="B35" s="135" t="s">
        <v>241</v>
      </c>
      <c r="C35" s="135" t="s">
        <v>102</v>
      </c>
      <c r="D35" s="135">
        <v>21.7</v>
      </c>
      <c r="E35" s="135" t="s">
        <v>161</v>
      </c>
      <c r="F35" s="135"/>
      <c r="G35" s="135"/>
      <c r="H35" s="135"/>
      <c r="I35" s="135"/>
      <c r="J35" s="135"/>
      <c r="K35" s="135"/>
      <c r="L35" s="135"/>
      <c r="M35" s="135"/>
      <c r="N35" s="135">
        <v>76</v>
      </c>
      <c r="O35" s="135">
        <v>24</v>
      </c>
      <c r="P35" s="135">
        <v>94</v>
      </c>
      <c r="Q35" s="135">
        <v>14</v>
      </c>
      <c r="R35" s="135"/>
      <c r="S35" s="135"/>
      <c r="T35" s="135"/>
      <c r="U35" s="135"/>
      <c r="V35" s="135">
        <v>68</v>
      </c>
      <c r="W35" s="135">
        <v>3</v>
      </c>
      <c r="X35" s="135">
        <v>86</v>
      </c>
      <c r="Y35" s="135">
        <v>3</v>
      </c>
      <c r="Z35" s="135">
        <v>76</v>
      </c>
      <c r="AA35" s="135">
        <v>11</v>
      </c>
      <c r="AB35" s="135">
        <v>94</v>
      </c>
      <c r="AC35" s="135">
        <v>8</v>
      </c>
      <c r="AD35" s="136">
        <f>IF(MIN(F35,J35,N35,R35,V35,Z35)&lt;&gt;0,MIN(F35,J35,N35,R35,V35,Z35),"")</f>
        <v>68</v>
      </c>
      <c r="AE35" s="136">
        <f>IF(MIN(H35,L35,P35,T35,X35,AB35)&lt;&gt;0,MIN(H35,L35,P35,T35,X35,AB35),"")</f>
        <v>86</v>
      </c>
      <c r="AF35" s="136">
        <v>71</v>
      </c>
      <c r="AG35" s="135">
        <v>9</v>
      </c>
      <c r="AH35" s="136">
        <v>89</v>
      </c>
      <c r="AI35" s="135">
        <v>7</v>
      </c>
      <c r="AJ35" s="134">
        <f>IF(AD35="","",IF(ISBLANK(AF35),"En cours",AD35+AF35))</f>
        <v>139</v>
      </c>
      <c r="AK35" s="134">
        <f>IF(AE35="","",IF(ISBLANK(AH35),"En cours",AE35+AH35))</f>
        <v>175</v>
      </c>
    </row>
    <row r="36" spans="2:37" ht="21" x14ac:dyDescent="0.35">
      <c r="B36" s="135" t="s">
        <v>169</v>
      </c>
      <c r="C36" s="135" t="s">
        <v>102</v>
      </c>
      <c r="D36" s="135">
        <v>18.899999999999999</v>
      </c>
      <c r="E36" s="135" t="s">
        <v>161</v>
      </c>
      <c r="F36" s="135">
        <v>74</v>
      </c>
      <c r="G36" s="135">
        <v>15</v>
      </c>
      <c r="H36" s="135">
        <v>89</v>
      </c>
      <c r="I36" s="135">
        <v>8</v>
      </c>
      <c r="J36" s="135">
        <v>75</v>
      </c>
      <c r="K36" s="135">
        <v>14</v>
      </c>
      <c r="L36" s="135">
        <v>90</v>
      </c>
      <c r="M36" s="135">
        <v>4</v>
      </c>
      <c r="N36" s="135">
        <v>78</v>
      </c>
      <c r="O36" s="135">
        <v>26</v>
      </c>
      <c r="P36" s="135">
        <v>93</v>
      </c>
      <c r="Q36" s="135">
        <v>11</v>
      </c>
      <c r="R36" s="135">
        <v>76</v>
      </c>
      <c r="S36" s="135">
        <v>16</v>
      </c>
      <c r="T36" s="135">
        <v>91</v>
      </c>
      <c r="U36" s="135">
        <v>8</v>
      </c>
      <c r="V36" s="135">
        <v>71</v>
      </c>
      <c r="W36" s="135">
        <v>7</v>
      </c>
      <c r="X36" s="135">
        <v>86</v>
      </c>
      <c r="Y36" s="135">
        <v>2</v>
      </c>
      <c r="Z36" s="135">
        <v>71</v>
      </c>
      <c r="AA36" s="135">
        <v>5</v>
      </c>
      <c r="AB36" s="135">
        <v>86</v>
      </c>
      <c r="AC36" s="135">
        <v>1</v>
      </c>
      <c r="AD36" s="136">
        <f>IF(MIN(F36,J36,N36,R36,V36,Z36)&lt;&gt;0,MIN(F36,J36,N36,R36,V36,Z36),"")</f>
        <v>71</v>
      </c>
      <c r="AE36" s="136">
        <f>IF(MIN(H36,L36,P36,T36,X36,AB36)&lt;&gt;0,MIN(H36,L36,P36,T36,X36,AB36),"")</f>
        <v>86</v>
      </c>
      <c r="AF36" s="136">
        <v>75</v>
      </c>
      <c r="AG36" s="135">
        <v>18</v>
      </c>
      <c r="AH36" s="136">
        <v>90</v>
      </c>
      <c r="AI36" s="135">
        <v>10</v>
      </c>
      <c r="AJ36" s="134">
        <f>IF(AD36="","",IF(ISBLANK(AF36),"En cours",AD36+AF36))</f>
        <v>146</v>
      </c>
      <c r="AK36" s="134">
        <f>IF(AE36="","",IF(ISBLANK(AH36),"En cours",AE36+AH36))</f>
        <v>176</v>
      </c>
    </row>
    <row r="37" spans="2:37" ht="21" x14ac:dyDescent="0.35">
      <c r="B37" s="135" t="s">
        <v>152</v>
      </c>
      <c r="C37" s="135" t="s">
        <v>102</v>
      </c>
      <c r="D37" s="135">
        <v>13.9</v>
      </c>
      <c r="E37" s="135" t="s">
        <v>123</v>
      </c>
      <c r="F37" s="135">
        <v>80</v>
      </c>
      <c r="G37" s="135">
        <v>30</v>
      </c>
      <c r="H37" s="135">
        <v>93</v>
      </c>
      <c r="I37" s="135">
        <v>28</v>
      </c>
      <c r="J37" s="135">
        <v>82</v>
      </c>
      <c r="K37" s="135">
        <v>30</v>
      </c>
      <c r="L37" s="135">
        <v>95</v>
      </c>
      <c r="M37" s="135">
        <v>30</v>
      </c>
      <c r="N37" s="135"/>
      <c r="O37" s="135"/>
      <c r="P37" s="135"/>
      <c r="Q37" s="135"/>
      <c r="R37" s="135">
        <v>70</v>
      </c>
      <c r="S37" s="135">
        <v>4</v>
      </c>
      <c r="T37" s="135">
        <v>83</v>
      </c>
      <c r="U37" s="135">
        <v>3</v>
      </c>
      <c r="V37" s="135">
        <v>78</v>
      </c>
      <c r="W37" s="135">
        <v>20</v>
      </c>
      <c r="X37" s="135">
        <v>91</v>
      </c>
      <c r="Y37" s="135">
        <v>19</v>
      </c>
      <c r="Z37" s="135">
        <v>78</v>
      </c>
      <c r="AA37" s="135">
        <v>22</v>
      </c>
      <c r="AB37" s="135">
        <v>91</v>
      </c>
      <c r="AC37" s="135">
        <v>19</v>
      </c>
      <c r="AD37" s="136">
        <f>IF(MIN(F37,J37,N37,R37,V37,Z37)&lt;&gt;0,MIN(F37,J37,N37,R37,V37,Z37),"")</f>
        <v>70</v>
      </c>
      <c r="AE37" s="136">
        <f>IF(MIN(H37,L37,P37,T37,X37,AB37)&lt;&gt;0,MIN(H37,L37,P37,T37,X37,AB37),"")</f>
        <v>83</v>
      </c>
      <c r="AF37" s="136">
        <v>80</v>
      </c>
      <c r="AG37" s="135">
        <v>32</v>
      </c>
      <c r="AH37" s="136">
        <v>93</v>
      </c>
      <c r="AI37" s="135">
        <v>25</v>
      </c>
      <c r="AJ37" s="134">
        <f>IF(AD37="","",IF(ISBLANK(AF37),"En cours",AD37+AF37))</f>
        <v>150</v>
      </c>
      <c r="AK37" s="134">
        <f>IF(AE37="","",IF(ISBLANK(AH37),"En cours",AE37+AH37))</f>
        <v>176</v>
      </c>
    </row>
    <row r="38" spans="2:37" ht="21" x14ac:dyDescent="0.35">
      <c r="B38" s="135" t="s">
        <v>164</v>
      </c>
      <c r="C38" s="135" t="s">
        <v>102</v>
      </c>
      <c r="D38" s="135">
        <v>22.7</v>
      </c>
      <c r="E38" s="135" t="s">
        <v>161</v>
      </c>
      <c r="F38" s="135">
        <v>68</v>
      </c>
      <c r="G38" s="135">
        <v>5</v>
      </c>
      <c r="H38" s="135">
        <v>87</v>
      </c>
      <c r="I38" s="135">
        <v>4</v>
      </c>
      <c r="J38" s="135">
        <v>79</v>
      </c>
      <c r="K38" s="135">
        <v>27</v>
      </c>
      <c r="L38" s="135">
        <v>98</v>
      </c>
      <c r="M38" s="135">
        <v>26</v>
      </c>
      <c r="N38" s="135">
        <v>76</v>
      </c>
      <c r="O38" s="135">
        <v>21</v>
      </c>
      <c r="P38" s="135">
        <v>95</v>
      </c>
      <c r="Q38" s="135">
        <v>18</v>
      </c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6">
        <f>IF(MIN(F38,J38,N38,R38,V38,Z38)&lt;&gt;0,MIN(F38,J38,N38,R38,V38,Z38),"")</f>
        <v>68</v>
      </c>
      <c r="AE38" s="136">
        <f>IF(MIN(H38,L38,P38,T38,X38,AB38)&lt;&gt;0,MIN(H38,L38,P38,T38,X38,AB38),"")</f>
        <v>87</v>
      </c>
      <c r="AF38" s="136">
        <v>72</v>
      </c>
      <c r="AG38" s="135">
        <v>11</v>
      </c>
      <c r="AH38" s="136">
        <v>91</v>
      </c>
      <c r="AI38" s="135">
        <v>13</v>
      </c>
      <c r="AJ38" s="134">
        <f>IF(AD38="","",IF(ISBLANK(AF38),"En cours",AD38+AF38))</f>
        <v>140</v>
      </c>
      <c r="AK38" s="134">
        <f>IF(AE38="","",IF(ISBLANK(AH38),"En cours",AE38+AH38))</f>
        <v>178</v>
      </c>
    </row>
    <row r="39" spans="2:37" ht="21" x14ac:dyDescent="0.35">
      <c r="B39" s="135" t="s">
        <v>196</v>
      </c>
      <c r="C39" s="135" t="s">
        <v>102</v>
      </c>
      <c r="D39" s="135">
        <v>11.7</v>
      </c>
      <c r="E39" s="135" t="s">
        <v>123</v>
      </c>
      <c r="F39" s="135"/>
      <c r="G39" s="135"/>
      <c r="H39" s="135"/>
      <c r="I39" s="135"/>
      <c r="J39" s="135">
        <v>77</v>
      </c>
      <c r="K39" s="135">
        <v>19</v>
      </c>
      <c r="L39" s="135">
        <v>87</v>
      </c>
      <c r="M39" s="135">
        <v>9</v>
      </c>
      <c r="N39" s="135">
        <v>77</v>
      </c>
      <c r="O39" s="135">
        <v>17</v>
      </c>
      <c r="P39" s="135">
        <v>87</v>
      </c>
      <c r="Q39" s="135">
        <v>10</v>
      </c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6">
        <f>IF(MIN(F39,J39,N39,R39,V39,Z39)&lt;&gt;0,MIN(F39,J39,N39,R39,V39,Z39),"")</f>
        <v>77</v>
      </c>
      <c r="AE39" s="136">
        <f>IF(MIN(H39,L39,P39,T39,X39,AB39)&lt;&gt;0,MIN(H39,L39,P39,T39,X39,AB39),"")</f>
        <v>87</v>
      </c>
      <c r="AF39" s="136">
        <v>81</v>
      </c>
      <c r="AG39" s="135">
        <v>36</v>
      </c>
      <c r="AH39" s="136">
        <v>91</v>
      </c>
      <c r="AI39" s="135">
        <v>21</v>
      </c>
      <c r="AJ39" s="134">
        <f>IF(AD39="","",IF(ISBLANK(AF39),"En cours",AD39+AF39))</f>
        <v>158</v>
      </c>
      <c r="AK39" s="134">
        <f>IF(AE39="","",IF(ISBLANK(AH39),"En cours",AE39+AH39))</f>
        <v>178</v>
      </c>
    </row>
    <row r="40" spans="2:37" ht="21" x14ac:dyDescent="0.35">
      <c r="B40" s="135" t="s">
        <v>203</v>
      </c>
      <c r="C40" s="135" t="s">
        <v>102</v>
      </c>
      <c r="D40" s="135">
        <v>16.100000000000001</v>
      </c>
      <c r="E40" s="135" t="s">
        <v>123</v>
      </c>
      <c r="F40" s="135"/>
      <c r="G40" s="135"/>
      <c r="H40" s="135"/>
      <c r="I40" s="135"/>
      <c r="J40" s="135">
        <v>78</v>
      </c>
      <c r="K40" s="135">
        <v>21</v>
      </c>
      <c r="L40" s="135">
        <v>93</v>
      </c>
      <c r="M40" s="135">
        <v>24</v>
      </c>
      <c r="N40" s="135"/>
      <c r="O40" s="135"/>
      <c r="P40" s="135"/>
      <c r="Q40" s="135"/>
      <c r="R40" s="135">
        <v>72</v>
      </c>
      <c r="S40" s="135">
        <v>13</v>
      </c>
      <c r="T40" s="135">
        <v>87</v>
      </c>
      <c r="U40" s="135">
        <v>15</v>
      </c>
      <c r="V40" s="135"/>
      <c r="W40" s="135"/>
      <c r="X40" s="135"/>
      <c r="Y40" s="135"/>
      <c r="Z40" s="135">
        <v>76</v>
      </c>
      <c r="AA40" s="135">
        <v>15</v>
      </c>
      <c r="AB40" s="135">
        <v>91</v>
      </c>
      <c r="AC40" s="135">
        <v>18</v>
      </c>
      <c r="AD40" s="136">
        <f>IF(MIN(F40,J40,N40,R40,V40,Z40)&lt;&gt;0,MIN(F40,J40,N40,R40,V40,Z40),"")</f>
        <v>72</v>
      </c>
      <c r="AE40" s="136">
        <f>IF(MIN(H40,L40,P40,T40,X40,AB40)&lt;&gt;0,MIN(H40,L40,P40,T40,X40,AB40),"")</f>
        <v>87</v>
      </c>
      <c r="AF40" s="136">
        <v>76</v>
      </c>
      <c r="AG40" s="135">
        <v>17</v>
      </c>
      <c r="AH40" s="136">
        <v>91</v>
      </c>
      <c r="AI40" s="135">
        <v>23</v>
      </c>
      <c r="AJ40" s="134">
        <f>IF(AD40="","",IF(ISBLANK(AF40),"En cours",AD40+AF40))</f>
        <v>148</v>
      </c>
      <c r="AK40" s="134">
        <f>IF(AE40="","",IF(ISBLANK(AH40),"En cours",AE40+AH40))</f>
        <v>178</v>
      </c>
    </row>
    <row r="41" spans="2:37" ht="21" x14ac:dyDescent="0.35">
      <c r="B41" s="135" t="s">
        <v>274</v>
      </c>
      <c r="C41" s="135" t="s">
        <v>102</v>
      </c>
      <c r="D41" s="135">
        <v>22.4</v>
      </c>
      <c r="E41" s="135" t="s">
        <v>161</v>
      </c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>
        <v>74</v>
      </c>
      <c r="S41" s="135">
        <v>12</v>
      </c>
      <c r="T41" s="135">
        <v>93</v>
      </c>
      <c r="U41" s="135">
        <v>11</v>
      </c>
      <c r="V41" s="135">
        <v>79</v>
      </c>
      <c r="W41" s="135">
        <v>16</v>
      </c>
      <c r="X41" s="135">
        <v>98</v>
      </c>
      <c r="Y41" s="135">
        <v>15</v>
      </c>
      <c r="Z41" s="135"/>
      <c r="AA41" s="135"/>
      <c r="AB41" s="135"/>
      <c r="AC41" s="135"/>
      <c r="AD41" s="136">
        <f>IF(MIN(F41,J41,N41,R41,V41,Z41)&lt;&gt;0,MIN(F41,J41,N41,R41,V41,Z41),"")</f>
        <v>74</v>
      </c>
      <c r="AE41" s="136">
        <f>IF(MIN(H41,L41,P41,T41,X41,AB41)&lt;&gt;0,MIN(H41,L41,P41,T41,X41,AB41),"")</f>
        <v>93</v>
      </c>
      <c r="AF41" s="136">
        <v>66</v>
      </c>
      <c r="AG41" s="135">
        <v>1</v>
      </c>
      <c r="AH41" s="136">
        <v>85</v>
      </c>
      <c r="AI41" s="135">
        <v>1</v>
      </c>
      <c r="AJ41" s="134">
        <f>IF(AD41="","",IF(ISBLANK(AF41),"En cours",AD41+AF41))</f>
        <v>140</v>
      </c>
      <c r="AK41" s="134">
        <f>IF(AE41="","",IF(ISBLANK(AH41),"En cours",AE41+AH41))</f>
        <v>178</v>
      </c>
    </row>
    <row r="42" spans="2:37" ht="21" x14ac:dyDescent="0.35">
      <c r="B42" s="135" t="s">
        <v>138</v>
      </c>
      <c r="C42" s="135" t="s">
        <v>102</v>
      </c>
      <c r="D42" s="135">
        <v>14.2</v>
      </c>
      <c r="E42" s="135" t="s">
        <v>123</v>
      </c>
      <c r="F42" s="135">
        <v>75</v>
      </c>
      <c r="G42" s="135">
        <v>15</v>
      </c>
      <c r="H42" s="135">
        <v>88</v>
      </c>
      <c r="I42" s="135">
        <v>15</v>
      </c>
      <c r="J42" s="135">
        <v>76</v>
      </c>
      <c r="K42" s="135">
        <v>17</v>
      </c>
      <c r="L42" s="135">
        <v>89</v>
      </c>
      <c r="M42" s="135">
        <v>14</v>
      </c>
      <c r="N42" s="135">
        <v>79</v>
      </c>
      <c r="O42" s="135">
        <v>25</v>
      </c>
      <c r="P42" s="135">
        <v>92</v>
      </c>
      <c r="Q42" s="135">
        <v>20</v>
      </c>
      <c r="R42" s="135">
        <v>78</v>
      </c>
      <c r="S42" s="135">
        <v>25</v>
      </c>
      <c r="T42" s="135">
        <v>91</v>
      </c>
      <c r="U42" s="135">
        <v>24</v>
      </c>
      <c r="V42" s="135">
        <v>76</v>
      </c>
      <c r="W42" s="135">
        <v>15</v>
      </c>
      <c r="X42" s="135">
        <v>89</v>
      </c>
      <c r="Y42" s="135">
        <v>14</v>
      </c>
      <c r="Z42" s="135"/>
      <c r="AA42" s="135"/>
      <c r="AB42" s="135"/>
      <c r="AC42" s="135"/>
      <c r="AD42" s="136">
        <f>IF(MIN(F42,J42,N42,R42,V42,Z42)&lt;&gt;0,MIN(F42,J42,N42,R42,V42,Z42),"")</f>
        <v>75</v>
      </c>
      <c r="AE42" s="136">
        <f>IF(MIN(H42,L42,P42,T42,X42,AB42)&lt;&gt;0,MIN(H42,L42,P42,T42,X42,AB42),"")</f>
        <v>88</v>
      </c>
      <c r="AF42" s="136">
        <v>78</v>
      </c>
      <c r="AG42" s="135">
        <v>26</v>
      </c>
      <c r="AH42" s="136">
        <v>91</v>
      </c>
      <c r="AI42" s="135">
        <v>22</v>
      </c>
      <c r="AJ42" s="134">
        <f>IF(AD42="","",IF(ISBLANK(AF42),"En cours",AD42+AF42))</f>
        <v>153</v>
      </c>
      <c r="AK42" s="134">
        <f>IF(AE42="","",IF(ISBLANK(AH42),"En cours",AE42+AH42))</f>
        <v>179</v>
      </c>
    </row>
    <row r="43" spans="2:37" ht="21" x14ac:dyDescent="0.35">
      <c r="B43" s="135" t="s">
        <v>141</v>
      </c>
      <c r="C43" s="135" t="s">
        <v>102</v>
      </c>
      <c r="D43" s="135">
        <v>16.3</v>
      </c>
      <c r="E43" s="135" t="s">
        <v>123</v>
      </c>
      <c r="F43" s="135">
        <v>72</v>
      </c>
      <c r="G43" s="135">
        <v>11</v>
      </c>
      <c r="H43" s="135">
        <v>88</v>
      </c>
      <c r="I43" s="135">
        <v>18</v>
      </c>
      <c r="J43" s="135"/>
      <c r="K43" s="135"/>
      <c r="L43" s="135"/>
      <c r="M43" s="135"/>
      <c r="N43" s="135">
        <v>74</v>
      </c>
      <c r="O43" s="135">
        <v>12</v>
      </c>
      <c r="P43" s="135">
        <v>90</v>
      </c>
      <c r="Q43" s="135">
        <v>16</v>
      </c>
      <c r="R43" s="135"/>
      <c r="S43" s="135"/>
      <c r="T43" s="135"/>
      <c r="U43" s="135"/>
      <c r="V43" s="135">
        <v>80</v>
      </c>
      <c r="W43" s="135">
        <v>26</v>
      </c>
      <c r="X43" s="135">
        <v>96</v>
      </c>
      <c r="Y43" s="135">
        <v>27</v>
      </c>
      <c r="Z43" s="135"/>
      <c r="AA43" s="135"/>
      <c r="AB43" s="135"/>
      <c r="AC43" s="135"/>
      <c r="AD43" s="136">
        <f>IF(MIN(F43,J43,N43,R43,V43,Z43)&lt;&gt;0,MIN(F43,J43,N43,R43,V43,Z43),"")</f>
        <v>72</v>
      </c>
      <c r="AE43" s="136">
        <f>IF(MIN(H43,L43,P43,T43,X43,AB43)&lt;&gt;0,MIN(H43,L43,P43,T43,X43,AB43),"")</f>
        <v>88</v>
      </c>
      <c r="AF43" s="136">
        <v>75</v>
      </c>
      <c r="AG43" s="135">
        <v>15</v>
      </c>
      <c r="AH43" s="136">
        <v>91</v>
      </c>
      <c r="AI43" s="135">
        <v>24</v>
      </c>
      <c r="AJ43" s="134">
        <f>IF(AD43="","",IF(ISBLANK(AF43),"En cours",AD43+AF43))</f>
        <v>147</v>
      </c>
      <c r="AK43" s="134">
        <f>IF(AE43="","",IF(ISBLANK(AH43),"En cours",AE43+AH43))</f>
        <v>179</v>
      </c>
    </row>
    <row r="44" spans="2:37" ht="21" x14ac:dyDescent="0.35">
      <c r="B44" s="135" t="s">
        <v>201</v>
      </c>
      <c r="C44" s="135" t="s">
        <v>102</v>
      </c>
      <c r="D44" s="135">
        <v>16.2</v>
      </c>
      <c r="E44" s="135" t="s">
        <v>123</v>
      </c>
      <c r="F44" s="135"/>
      <c r="G44" s="135"/>
      <c r="H44" s="135"/>
      <c r="I44" s="135"/>
      <c r="J44" s="135">
        <v>76</v>
      </c>
      <c r="K44" s="135">
        <v>18</v>
      </c>
      <c r="L44" s="135">
        <v>91</v>
      </c>
      <c r="M44" s="135">
        <v>19</v>
      </c>
      <c r="N44" s="135">
        <v>77</v>
      </c>
      <c r="O44" s="135">
        <v>20</v>
      </c>
      <c r="P44" s="135">
        <v>92</v>
      </c>
      <c r="Q44" s="135">
        <v>21</v>
      </c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6">
        <f>IF(MIN(F44,J44,N44,R44,V44,Z44)&lt;&gt;0,MIN(F44,J44,N44,R44,V44,Z44),"")</f>
        <v>76</v>
      </c>
      <c r="AE44" s="136">
        <f>IF(MIN(H44,L44,P44,T44,X44,AB44)&lt;&gt;0,MIN(H44,L44,P44,T44,X44,AB44),"")</f>
        <v>91</v>
      </c>
      <c r="AF44" s="136">
        <v>74</v>
      </c>
      <c r="AG44" s="135">
        <v>14</v>
      </c>
      <c r="AH44" s="136">
        <v>89</v>
      </c>
      <c r="AI44" s="135">
        <v>15</v>
      </c>
      <c r="AJ44" s="134">
        <f>IF(AD44="","",IF(ISBLANK(AF44),"En cours",AD44+AF44))</f>
        <v>150</v>
      </c>
      <c r="AK44" s="134">
        <f>IF(AE44="","",IF(ISBLANK(AH44),"En cours",AE44+AH44))</f>
        <v>180</v>
      </c>
    </row>
    <row r="45" spans="2:37" ht="21" x14ac:dyDescent="0.35">
      <c r="B45" s="135" t="s">
        <v>236</v>
      </c>
      <c r="C45" s="135" t="s">
        <v>102</v>
      </c>
      <c r="D45" s="135">
        <v>14.3</v>
      </c>
      <c r="E45" s="135" t="s">
        <v>123</v>
      </c>
      <c r="F45" s="135"/>
      <c r="G45" s="135"/>
      <c r="H45" s="135"/>
      <c r="I45" s="135"/>
      <c r="J45" s="135"/>
      <c r="K45" s="135"/>
      <c r="L45" s="135"/>
      <c r="M45" s="135"/>
      <c r="N45" s="135">
        <v>74</v>
      </c>
      <c r="O45" s="135">
        <v>13</v>
      </c>
      <c r="P45" s="135">
        <v>87</v>
      </c>
      <c r="Q45" s="135">
        <v>11</v>
      </c>
      <c r="R45" s="135">
        <v>74</v>
      </c>
      <c r="S45" s="135">
        <v>15</v>
      </c>
      <c r="T45" s="135">
        <v>87</v>
      </c>
      <c r="U45" s="135">
        <v>13</v>
      </c>
      <c r="V45" s="135">
        <v>77</v>
      </c>
      <c r="W45" s="135">
        <v>17</v>
      </c>
      <c r="X45" s="135">
        <v>90</v>
      </c>
      <c r="Y45" s="135">
        <v>16</v>
      </c>
      <c r="Z45" s="135">
        <v>81</v>
      </c>
      <c r="AA45" s="135">
        <v>26</v>
      </c>
      <c r="AB45" s="135">
        <v>94</v>
      </c>
      <c r="AC45" s="135">
        <v>24</v>
      </c>
      <c r="AD45" s="136">
        <f>IF(MIN(F45,J45,N45,R45,V45,Z45)&lt;&gt;0,MIN(F45,J45,N45,R45,V45,Z45),"")</f>
        <v>74</v>
      </c>
      <c r="AE45" s="136">
        <f>IF(MIN(H45,L45,P45,T45,X45,AB45)&lt;&gt;0,MIN(H45,L45,P45,T45,X45,AB45),"")</f>
        <v>87</v>
      </c>
      <c r="AF45" s="136">
        <v>80</v>
      </c>
      <c r="AG45" s="135">
        <v>34</v>
      </c>
      <c r="AH45" s="136">
        <v>93</v>
      </c>
      <c r="AI45" s="135">
        <v>28</v>
      </c>
      <c r="AJ45" s="134">
        <f>IF(AD45="","",IF(ISBLANK(AF45),"En cours",AD45+AF45))</f>
        <v>154</v>
      </c>
      <c r="AK45" s="134">
        <f>IF(AE45="","",IF(ISBLANK(AH45),"En cours",AE45+AH45))</f>
        <v>180</v>
      </c>
    </row>
    <row r="46" spans="2:37" ht="21" x14ac:dyDescent="0.35">
      <c r="B46" s="135" t="s">
        <v>131</v>
      </c>
      <c r="C46" s="135" t="s">
        <v>102</v>
      </c>
      <c r="D46" s="135">
        <v>13.7</v>
      </c>
      <c r="E46" s="135" t="s">
        <v>123</v>
      </c>
      <c r="F46" s="135">
        <v>72</v>
      </c>
      <c r="G46" s="135">
        <v>9</v>
      </c>
      <c r="H46" s="135">
        <v>85</v>
      </c>
      <c r="I46" s="135">
        <v>8</v>
      </c>
      <c r="J46" s="135">
        <v>71</v>
      </c>
      <c r="K46" s="135">
        <v>5</v>
      </c>
      <c r="L46" s="135">
        <v>84</v>
      </c>
      <c r="M46" s="135">
        <v>4</v>
      </c>
      <c r="N46" s="135"/>
      <c r="O46" s="135"/>
      <c r="P46" s="135"/>
      <c r="Q46" s="135"/>
      <c r="R46" s="135">
        <v>72</v>
      </c>
      <c r="S46" s="135">
        <v>12</v>
      </c>
      <c r="T46" s="135">
        <v>85</v>
      </c>
      <c r="U46" s="135">
        <v>9</v>
      </c>
      <c r="V46" s="135">
        <v>82</v>
      </c>
      <c r="W46" s="135">
        <v>28</v>
      </c>
      <c r="X46" s="135">
        <v>95</v>
      </c>
      <c r="Y46" s="135">
        <v>23</v>
      </c>
      <c r="Z46" s="135">
        <v>74</v>
      </c>
      <c r="AA46" s="135">
        <v>6</v>
      </c>
      <c r="AB46" s="135">
        <v>87</v>
      </c>
      <c r="AC46" s="135">
        <v>8</v>
      </c>
      <c r="AD46" s="136">
        <f>IF(MIN(F46,J46,N46,R46,V46,Z46)&lt;&gt;0,MIN(F46,J46,N46,R46,V46,Z46),"")</f>
        <v>71</v>
      </c>
      <c r="AE46" s="136">
        <f>IF(MIN(H46,L46,P46,T46,X46,AB46)&lt;&gt;0,MIN(H46,L46,P46,T46,X46,AB46),"")</f>
        <v>84</v>
      </c>
      <c r="AF46" s="136">
        <v>84</v>
      </c>
      <c r="AG46" s="135">
        <v>39</v>
      </c>
      <c r="AH46" s="136">
        <v>97</v>
      </c>
      <c r="AI46" s="135">
        <v>38</v>
      </c>
      <c r="AJ46" s="134">
        <f>IF(AD46="","",IF(ISBLANK(AF46),"En cours",AD46+AF46))</f>
        <v>155</v>
      </c>
      <c r="AK46" s="134">
        <f>IF(AE46="","",IF(ISBLANK(AH46),"En cours",AE46+AH46))</f>
        <v>181</v>
      </c>
    </row>
    <row r="47" spans="2:37" ht="21" x14ac:dyDescent="0.35">
      <c r="B47" s="135" t="s">
        <v>137</v>
      </c>
      <c r="C47" s="135" t="s">
        <v>102</v>
      </c>
      <c r="D47" s="135">
        <v>16.3</v>
      </c>
      <c r="E47" s="135" t="s">
        <v>123</v>
      </c>
      <c r="F47" s="135">
        <v>71</v>
      </c>
      <c r="G47" s="135">
        <v>7</v>
      </c>
      <c r="H47" s="135">
        <v>87</v>
      </c>
      <c r="I47" s="135">
        <v>14</v>
      </c>
      <c r="J47" s="135">
        <v>71</v>
      </c>
      <c r="K47" s="135">
        <v>4</v>
      </c>
      <c r="L47" s="135">
        <v>87</v>
      </c>
      <c r="M47" s="135">
        <v>10</v>
      </c>
      <c r="N47" s="135">
        <v>72</v>
      </c>
      <c r="O47" s="135">
        <v>7</v>
      </c>
      <c r="P47" s="135">
        <v>88</v>
      </c>
      <c r="Q47" s="135">
        <v>13</v>
      </c>
      <c r="R47" s="135"/>
      <c r="S47" s="135"/>
      <c r="T47" s="135"/>
      <c r="U47" s="135"/>
      <c r="V47" s="135">
        <v>71</v>
      </c>
      <c r="W47" s="135">
        <v>7</v>
      </c>
      <c r="X47" s="135">
        <v>87</v>
      </c>
      <c r="Y47" s="135">
        <v>11</v>
      </c>
      <c r="Z47" s="135"/>
      <c r="AA47" s="135"/>
      <c r="AB47" s="135"/>
      <c r="AC47" s="135"/>
      <c r="AD47" s="136">
        <f>IF(MIN(F47,J47,N47,R47,V47,Z47)&lt;&gt;0,MIN(F47,J47,N47,R47,V47,Z47),"")</f>
        <v>71</v>
      </c>
      <c r="AE47" s="136">
        <f>IF(MIN(H47,L47,P47,T47,X47,AB47)&lt;&gt;0,MIN(H47,L47,P47,T47,X47,AB47),"")</f>
        <v>87</v>
      </c>
      <c r="AF47" s="136">
        <v>78</v>
      </c>
      <c r="AG47" s="135">
        <v>24</v>
      </c>
      <c r="AH47" s="136">
        <v>94</v>
      </c>
      <c r="AI47" s="135">
        <v>29</v>
      </c>
      <c r="AJ47" s="134">
        <f>IF(AD47="","",IF(ISBLANK(AF47),"En cours",AD47+AF47))</f>
        <v>149</v>
      </c>
      <c r="AK47" s="134">
        <f>IF(AE47="","",IF(ISBLANK(AH47),"En cours",AE47+AH47))</f>
        <v>181</v>
      </c>
    </row>
    <row r="48" spans="2:37" ht="21" x14ac:dyDescent="0.35">
      <c r="B48" s="135" t="s">
        <v>220</v>
      </c>
      <c r="C48" s="135" t="s">
        <v>102</v>
      </c>
      <c r="D48" s="135">
        <v>22</v>
      </c>
      <c r="E48" s="135" t="s">
        <v>161</v>
      </c>
      <c r="F48" s="135"/>
      <c r="G48" s="135"/>
      <c r="H48" s="135"/>
      <c r="I48" s="135"/>
      <c r="J48" s="135">
        <v>76</v>
      </c>
      <c r="K48" s="135">
        <v>18</v>
      </c>
      <c r="L48" s="135">
        <v>94</v>
      </c>
      <c r="M48" s="135">
        <v>16</v>
      </c>
      <c r="N48" s="135"/>
      <c r="O48" s="135"/>
      <c r="P48" s="135"/>
      <c r="Q48" s="135"/>
      <c r="R48" s="135">
        <v>68</v>
      </c>
      <c r="S48" s="135">
        <v>4</v>
      </c>
      <c r="T48" s="135">
        <v>86</v>
      </c>
      <c r="U48" s="135">
        <v>2</v>
      </c>
      <c r="V48" s="135"/>
      <c r="W48" s="135"/>
      <c r="X48" s="135"/>
      <c r="Y48" s="135"/>
      <c r="Z48" s="135">
        <v>73</v>
      </c>
      <c r="AA48" s="135">
        <v>7</v>
      </c>
      <c r="AB48" s="135">
        <v>91</v>
      </c>
      <c r="AC48" s="135">
        <v>6</v>
      </c>
      <c r="AD48" s="136">
        <f>IF(MIN(F48,J48,N48,R48,V48,Z48)&lt;&gt;0,MIN(F48,J48,N48,R48,V48,Z48),"")</f>
        <v>68</v>
      </c>
      <c r="AE48" s="136">
        <f>IF(MIN(H48,L48,P48,T48,X48,AB48)&lt;&gt;0,MIN(H48,L48,P48,T48,X48,AB48),"")</f>
        <v>86</v>
      </c>
      <c r="AF48" s="136">
        <v>77</v>
      </c>
      <c r="AG48" s="135">
        <v>22</v>
      </c>
      <c r="AH48" s="136">
        <v>95</v>
      </c>
      <c r="AI48" s="135">
        <v>20</v>
      </c>
      <c r="AJ48" s="134">
        <f>IF(AD48="","",IF(ISBLANK(AF48),"En cours",AD48+AF48))</f>
        <v>145</v>
      </c>
      <c r="AK48" s="134">
        <f>IF(AE48="","",IF(ISBLANK(AH48),"En cours",AE48+AH48))</f>
        <v>181</v>
      </c>
    </row>
    <row r="49" spans="2:37" ht="21" x14ac:dyDescent="0.35">
      <c r="B49" s="135" t="s">
        <v>245</v>
      </c>
      <c r="C49" s="135" t="s">
        <v>102</v>
      </c>
      <c r="D49" s="135">
        <v>22.9</v>
      </c>
      <c r="E49" s="135" t="s">
        <v>161</v>
      </c>
      <c r="F49" s="135"/>
      <c r="G49" s="135"/>
      <c r="H49" s="135"/>
      <c r="I49" s="135"/>
      <c r="J49" s="135"/>
      <c r="K49" s="135"/>
      <c r="L49" s="135"/>
      <c r="M49" s="135"/>
      <c r="N49" s="135">
        <v>76</v>
      </c>
      <c r="O49" s="135">
        <v>23</v>
      </c>
      <c r="P49" s="135">
        <v>95</v>
      </c>
      <c r="Q49" s="135">
        <v>20</v>
      </c>
      <c r="R49" s="135"/>
      <c r="S49" s="135"/>
      <c r="T49" s="135"/>
      <c r="U49" s="135"/>
      <c r="V49" s="135">
        <v>70</v>
      </c>
      <c r="W49" s="135">
        <v>5</v>
      </c>
      <c r="X49" s="135">
        <v>89</v>
      </c>
      <c r="Y49" s="135">
        <v>7</v>
      </c>
      <c r="Z49" s="135">
        <v>69</v>
      </c>
      <c r="AA49" s="135">
        <v>2</v>
      </c>
      <c r="AB49" s="135">
        <v>88</v>
      </c>
      <c r="AC49" s="135">
        <v>4</v>
      </c>
      <c r="AD49" s="136">
        <f>IF(MIN(F49,J49,N49,R49,V49,Z49)&lt;&gt;0,MIN(F49,J49,N49,R49,V49,Z49),"")</f>
        <v>69</v>
      </c>
      <c r="AE49" s="136">
        <f>IF(MIN(H49,L49,P49,T49,X49,AB49)&lt;&gt;0,MIN(H49,L49,P49,T49,X49,AB49),"")</f>
        <v>88</v>
      </c>
      <c r="AF49" s="136">
        <v>74</v>
      </c>
      <c r="AG49" s="135">
        <v>15</v>
      </c>
      <c r="AH49" s="136">
        <v>93</v>
      </c>
      <c r="AI49" s="135">
        <v>16</v>
      </c>
      <c r="AJ49" s="134">
        <f>IF(AD49="","",IF(ISBLANK(AF49),"En cours",AD49+AF49))</f>
        <v>143</v>
      </c>
      <c r="AK49" s="134">
        <f>IF(AE49="","",IF(ISBLANK(AH49),"En cours",AE49+AH49))</f>
        <v>181</v>
      </c>
    </row>
    <row r="50" spans="2:37" ht="21" x14ac:dyDescent="0.35">
      <c r="B50" s="135" t="s">
        <v>304</v>
      </c>
      <c r="C50" s="135" t="s">
        <v>102</v>
      </c>
      <c r="D50" s="135">
        <v>19.399999999999999</v>
      </c>
      <c r="E50" s="135" t="s">
        <v>161</v>
      </c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>
        <v>78</v>
      </c>
      <c r="AA50" s="135">
        <v>15</v>
      </c>
      <c r="AB50" s="135">
        <v>94</v>
      </c>
      <c r="AC50" s="135">
        <v>11</v>
      </c>
      <c r="AD50" s="136">
        <f>IF(MIN(F50,J50,N50,R50,V50,Z50)&lt;&gt;0,MIN(F50,J50,N50,R50,V50,Z50),"")</f>
        <v>78</v>
      </c>
      <c r="AE50" s="136">
        <f>IF(MIN(H50,L50,P50,T50,X50,AB50)&lt;&gt;0,MIN(H50,L50,P50,T50,X50,AB50),"")</f>
        <v>94</v>
      </c>
      <c r="AF50" s="136">
        <v>71</v>
      </c>
      <c r="AG50" s="135">
        <v>8</v>
      </c>
      <c r="AH50" s="136">
        <v>87</v>
      </c>
      <c r="AI50" s="135">
        <v>4</v>
      </c>
      <c r="AJ50" s="134">
        <f>IF(AD50="","",IF(ISBLANK(AF50),"En cours",AD50+AF50))</f>
        <v>149</v>
      </c>
      <c r="AK50" s="134">
        <f>IF(AE50="","",IF(ISBLANK(AH50),"En cours",AE50+AH50))</f>
        <v>181</v>
      </c>
    </row>
    <row r="51" spans="2:37" ht="21" x14ac:dyDescent="0.35">
      <c r="B51" s="135" t="s">
        <v>128</v>
      </c>
      <c r="C51" s="135" t="s">
        <v>102</v>
      </c>
      <c r="D51" s="135">
        <v>17.8</v>
      </c>
      <c r="E51" s="135" t="s">
        <v>123</v>
      </c>
      <c r="F51" s="135">
        <v>67</v>
      </c>
      <c r="G51" s="135">
        <v>1</v>
      </c>
      <c r="H51" s="135">
        <v>84</v>
      </c>
      <c r="I51" s="135">
        <v>5</v>
      </c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6">
        <f>IF(MIN(F51,J51,N51,R51,V51,Z51)&lt;&gt;0,MIN(F51,J51,N51,R51,V51,Z51),"")</f>
        <v>67</v>
      </c>
      <c r="AE51" s="136">
        <f>IF(MIN(H51,L51,P51,T51,X51,AB51)&lt;&gt;0,MIN(H51,L51,P51,T51,X51,AB51),"")</f>
        <v>84</v>
      </c>
      <c r="AF51" s="136">
        <v>81</v>
      </c>
      <c r="AG51" s="135">
        <v>35</v>
      </c>
      <c r="AH51" s="136">
        <v>98</v>
      </c>
      <c r="AI51" s="135">
        <v>39</v>
      </c>
      <c r="AJ51" s="134">
        <f>IF(AD51="","",IF(ISBLANK(AF51),"En cours",AD51+AF51))</f>
        <v>148</v>
      </c>
      <c r="AK51" s="134">
        <f>IF(AE51="","",IF(ISBLANK(AH51),"En cours",AE51+AH51))</f>
        <v>182</v>
      </c>
    </row>
    <row r="52" spans="2:37" ht="21" x14ac:dyDescent="0.35">
      <c r="B52" s="135" t="s">
        <v>174</v>
      </c>
      <c r="C52" s="135" t="s">
        <v>102</v>
      </c>
      <c r="D52" s="135">
        <v>25.9</v>
      </c>
      <c r="E52" s="135" t="s">
        <v>161</v>
      </c>
      <c r="F52" s="135">
        <v>68</v>
      </c>
      <c r="G52" s="135">
        <v>6</v>
      </c>
      <c r="H52" s="135">
        <v>91</v>
      </c>
      <c r="I52" s="135">
        <v>13</v>
      </c>
      <c r="J52" s="135"/>
      <c r="K52" s="135"/>
      <c r="L52" s="135"/>
      <c r="M52" s="135"/>
      <c r="N52" s="135">
        <v>85</v>
      </c>
      <c r="O52" s="135">
        <v>31</v>
      </c>
      <c r="P52" s="135">
        <v>108</v>
      </c>
      <c r="Q52" s="135">
        <v>31</v>
      </c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6">
        <f>IF(MIN(F52,J52,N52,R52,V52,Z52)&lt;&gt;0,MIN(F52,J52,N52,R52,V52,Z52),"")</f>
        <v>68</v>
      </c>
      <c r="AE52" s="136">
        <f>IF(MIN(H52,L52,P52,T52,X52,AB52)&lt;&gt;0,MIN(H52,L52,P52,T52,X52,AB52),"")</f>
        <v>91</v>
      </c>
      <c r="AF52" s="136">
        <v>68</v>
      </c>
      <c r="AG52" s="135">
        <v>3</v>
      </c>
      <c r="AH52" s="136">
        <v>91</v>
      </c>
      <c r="AI52" s="135">
        <v>11</v>
      </c>
      <c r="AJ52" s="134">
        <f>IF(AD52="","",IF(ISBLANK(AF52),"En cours",AD52+AF52))</f>
        <v>136</v>
      </c>
      <c r="AK52" s="134">
        <f>IF(AE52="","",IF(ISBLANK(AH52),"En cours",AE52+AH52))</f>
        <v>182</v>
      </c>
    </row>
    <row r="53" spans="2:37" ht="21" x14ac:dyDescent="0.35">
      <c r="B53" s="135" t="s">
        <v>140</v>
      </c>
      <c r="C53" s="135" t="s">
        <v>102</v>
      </c>
      <c r="D53" s="135">
        <v>11.5</v>
      </c>
      <c r="E53" s="135" t="s">
        <v>123</v>
      </c>
      <c r="F53" s="135">
        <v>78</v>
      </c>
      <c r="G53" s="135">
        <v>26</v>
      </c>
      <c r="H53" s="135">
        <v>88</v>
      </c>
      <c r="I53" s="135">
        <v>17</v>
      </c>
      <c r="J53" s="135">
        <v>82</v>
      </c>
      <c r="K53" s="135">
        <v>31</v>
      </c>
      <c r="L53" s="135">
        <v>92</v>
      </c>
      <c r="M53" s="135">
        <v>22</v>
      </c>
      <c r="N53" s="135"/>
      <c r="O53" s="135"/>
      <c r="P53" s="135"/>
      <c r="Q53" s="135"/>
      <c r="R53" s="135">
        <v>80</v>
      </c>
      <c r="S53" s="135">
        <v>28</v>
      </c>
      <c r="T53" s="135">
        <v>90</v>
      </c>
      <c r="U53" s="135">
        <v>17</v>
      </c>
      <c r="V53" s="135">
        <v>77</v>
      </c>
      <c r="W53" s="135">
        <v>16</v>
      </c>
      <c r="X53" s="135">
        <v>87</v>
      </c>
      <c r="Y53" s="135">
        <v>9</v>
      </c>
      <c r="Z53" s="135">
        <v>77</v>
      </c>
      <c r="AA53" s="135">
        <v>17</v>
      </c>
      <c r="AB53" s="135">
        <v>87</v>
      </c>
      <c r="AC53" s="135">
        <v>7</v>
      </c>
      <c r="AD53" s="136">
        <f>IF(MIN(F53,J53,N53,R53,V53,Z53)&lt;&gt;0,MIN(F53,J53,N53,R53,V53,Z53),"")</f>
        <v>77</v>
      </c>
      <c r="AE53" s="136">
        <f>IF(MIN(H53,L53,P53,T53,X53,AB53)&lt;&gt;0,MIN(H53,L53,P53,T53,X53,AB53),"")</f>
        <v>87</v>
      </c>
      <c r="AF53" s="136">
        <v>85</v>
      </c>
      <c r="AG53" s="135">
        <v>41</v>
      </c>
      <c r="AH53" s="136">
        <v>95</v>
      </c>
      <c r="AI53" s="135">
        <v>33</v>
      </c>
      <c r="AJ53" s="134">
        <f>IF(AD53="","",IF(ISBLANK(AF53),"En cours",AD53+AF53))</f>
        <v>162</v>
      </c>
      <c r="AK53" s="134">
        <f>IF(AE53="","",IF(ISBLANK(AH53),"En cours",AE53+AH53))</f>
        <v>182</v>
      </c>
    </row>
    <row r="54" spans="2:37" ht="21" x14ac:dyDescent="0.35">
      <c r="B54" s="135" t="s">
        <v>182</v>
      </c>
      <c r="C54" s="135" t="s">
        <v>102</v>
      </c>
      <c r="D54" s="135">
        <v>27.6</v>
      </c>
      <c r="E54" s="135" t="s">
        <v>166</v>
      </c>
      <c r="F54" s="135">
        <v>80</v>
      </c>
      <c r="G54" s="135">
        <v>20</v>
      </c>
      <c r="H54" s="135">
        <v>101</v>
      </c>
      <c r="I54" s="135">
        <v>21</v>
      </c>
      <c r="J54" s="135"/>
      <c r="K54" s="135"/>
      <c r="L54" s="135"/>
      <c r="M54" s="135"/>
      <c r="N54" s="135">
        <v>72</v>
      </c>
      <c r="O54" s="135">
        <v>10</v>
      </c>
      <c r="P54" s="135">
        <v>93</v>
      </c>
      <c r="Q54" s="135">
        <v>10</v>
      </c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6">
        <f>IF(MIN(F54,J54,N54,R54,V54,Z54)&lt;&gt;0,MIN(F54,J54,N54,R54,V54,Z54),"")</f>
        <v>72</v>
      </c>
      <c r="AE54" s="136">
        <f>IF(MIN(H54,L54,P54,T54,X54,AB54)&lt;&gt;0,MIN(H54,L54,P54,T54,X54,AB54),"")</f>
        <v>93</v>
      </c>
      <c r="AF54" s="136">
        <v>68</v>
      </c>
      <c r="AG54" s="135">
        <v>4</v>
      </c>
      <c r="AH54" s="136">
        <v>89</v>
      </c>
      <c r="AI54" s="135">
        <v>6</v>
      </c>
      <c r="AJ54" s="134">
        <f>IF(AD54="","",IF(ISBLANK(AF54),"En cours",AD54+AF54))</f>
        <v>140</v>
      </c>
      <c r="AK54" s="134">
        <f>IF(AE54="","",IF(ISBLANK(AH54),"En cours",AE54+AH54))</f>
        <v>182</v>
      </c>
    </row>
    <row r="55" spans="2:37" ht="21" x14ac:dyDescent="0.35">
      <c r="B55" s="135" t="s">
        <v>216</v>
      </c>
      <c r="C55" s="135" t="s">
        <v>102</v>
      </c>
      <c r="D55" s="135">
        <v>20.399999999999999</v>
      </c>
      <c r="E55" s="135" t="s">
        <v>161</v>
      </c>
      <c r="F55" s="135"/>
      <c r="G55" s="135"/>
      <c r="H55" s="135"/>
      <c r="I55" s="135"/>
      <c r="J55" s="135">
        <v>75</v>
      </c>
      <c r="K55" s="135">
        <v>17</v>
      </c>
      <c r="L55" s="135">
        <v>92</v>
      </c>
      <c r="M55" s="135">
        <v>9</v>
      </c>
      <c r="N55" s="135"/>
      <c r="O55" s="135"/>
      <c r="P55" s="135"/>
      <c r="Q55" s="135"/>
      <c r="R55" s="135">
        <v>69</v>
      </c>
      <c r="S55" s="135">
        <v>5</v>
      </c>
      <c r="T55" s="135">
        <v>86</v>
      </c>
      <c r="U55" s="135">
        <v>3</v>
      </c>
      <c r="V55" s="135"/>
      <c r="W55" s="135"/>
      <c r="X55" s="135"/>
      <c r="Y55" s="135"/>
      <c r="Z55" s="135">
        <v>70</v>
      </c>
      <c r="AA55" s="135">
        <v>4</v>
      </c>
      <c r="AB55" s="135">
        <v>87</v>
      </c>
      <c r="AC55" s="135">
        <v>3</v>
      </c>
      <c r="AD55" s="136">
        <f>IF(MIN(F55,J55,N55,R55,V55,Z55)&lt;&gt;0,MIN(F55,J55,N55,R55,V55,Z55),"")</f>
        <v>69</v>
      </c>
      <c r="AE55" s="136">
        <f>IF(MIN(H55,L55,P55,T55,X55,AB55)&lt;&gt;0,MIN(H55,L55,P55,T55,X55,AB55),"")</f>
        <v>86</v>
      </c>
      <c r="AF55" s="136">
        <v>79</v>
      </c>
      <c r="AG55" s="135">
        <v>24</v>
      </c>
      <c r="AH55" s="136">
        <v>96</v>
      </c>
      <c r="AI55" s="135">
        <v>22</v>
      </c>
      <c r="AJ55" s="134">
        <f>IF(AD55="","",IF(ISBLANK(AF55),"En cours",AD55+AF55))</f>
        <v>148</v>
      </c>
      <c r="AK55" s="134">
        <f>IF(AE55="","",IF(ISBLANK(AH55),"En cours",AE55+AH55))</f>
        <v>182</v>
      </c>
    </row>
    <row r="56" spans="2:37" ht="21" x14ac:dyDescent="0.35">
      <c r="B56" s="135" t="s">
        <v>275</v>
      </c>
      <c r="C56" s="135" t="s">
        <v>102</v>
      </c>
      <c r="D56" s="135">
        <v>19.399999999999999</v>
      </c>
      <c r="E56" s="135" t="s">
        <v>161</v>
      </c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>
        <v>77</v>
      </c>
      <c r="S56" s="135">
        <v>21</v>
      </c>
      <c r="T56" s="135">
        <v>93</v>
      </c>
      <c r="U56" s="135">
        <v>12</v>
      </c>
      <c r="V56" s="135"/>
      <c r="W56" s="135"/>
      <c r="X56" s="135"/>
      <c r="Y56" s="135"/>
      <c r="Z56" s="135"/>
      <c r="AA56" s="135"/>
      <c r="AB56" s="135"/>
      <c r="AC56" s="135"/>
      <c r="AD56" s="136">
        <f>IF(MIN(F56,J56,N56,R56,V56,Z56)&lt;&gt;0,MIN(F56,J56,N56,R56,V56,Z56),"")</f>
        <v>77</v>
      </c>
      <c r="AE56" s="136">
        <f>IF(MIN(H56,L56,P56,T56,X56,AB56)&lt;&gt;0,MIN(H56,L56,P56,T56,X56,AB56),"")</f>
        <v>93</v>
      </c>
      <c r="AF56" s="136">
        <v>73</v>
      </c>
      <c r="AG56" s="135">
        <v>14</v>
      </c>
      <c r="AH56" s="136">
        <v>89</v>
      </c>
      <c r="AI56" s="135">
        <v>8</v>
      </c>
      <c r="AJ56" s="134">
        <f>IF(AD56="","",IF(ISBLANK(AF56),"En cours",AD56+AF56))</f>
        <v>150</v>
      </c>
      <c r="AK56" s="134">
        <f>IF(AE56="","",IF(ISBLANK(AH56),"En cours",AE56+AH56))</f>
        <v>182</v>
      </c>
    </row>
    <row r="57" spans="2:37" ht="21" x14ac:dyDescent="0.35">
      <c r="B57" s="135" t="s">
        <v>112</v>
      </c>
      <c r="C57" s="135" t="s">
        <v>102</v>
      </c>
      <c r="D57" s="135">
        <v>9.6999999999999993</v>
      </c>
      <c r="E57" s="135" t="s">
        <v>103</v>
      </c>
      <c r="F57" s="135">
        <v>72</v>
      </c>
      <c r="G57" s="135">
        <v>6</v>
      </c>
      <c r="H57" s="135">
        <v>84</v>
      </c>
      <c r="I57" s="135">
        <v>9</v>
      </c>
      <c r="J57" s="135"/>
      <c r="K57" s="135"/>
      <c r="L57" s="135"/>
      <c r="M57" s="135"/>
      <c r="N57" s="135"/>
      <c r="O57" s="135"/>
      <c r="P57" s="135"/>
      <c r="Q57" s="135"/>
      <c r="R57" s="135">
        <v>76</v>
      </c>
      <c r="S57" s="135">
        <v>10</v>
      </c>
      <c r="T57" s="135">
        <v>88</v>
      </c>
      <c r="U57" s="135">
        <v>12</v>
      </c>
      <c r="V57" s="135"/>
      <c r="W57" s="135"/>
      <c r="X57" s="135"/>
      <c r="Y57" s="135"/>
      <c r="Z57" s="135"/>
      <c r="AA57" s="135"/>
      <c r="AB57" s="135"/>
      <c r="AC57" s="135"/>
      <c r="AD57" s="136">
        <f>IF(MIN(F57,J57,N57,R57,V57,Z57)&lt;&gt;0,MIN(F57,J57,N57,R57,V57,Z57),"")</f>
        <v>72</v>
      </c>
      <c r="AE57" s="136">
        <f>IF(MIN(H57,L57,P57,T57,X57,AB57)&lt;&gt;0,MIN(H57,L57,P57,T57,X57,AB57),"")</f>
        <v>84</v>
      </c>
      <c r="AF57" s="136">
        <v>87</v>
      </c>
      <c r="AG57" s="135">
        <v>15</v>
      </c>
      <c r="AH57" s="136">
        <v>99</v>
      </c>
      <c r="AI57" s="135">
        <v>15</v>
      </c>
      <c r="AJ57" s="134">
        <f>IF(AD57="","",IF(ISBLANK(AF57),"En cours",AD57+AF57))</f>
        <v>159</v>
      </c>
      <c r="AK57" s="134">
        <f>IF(AE57="","",IF(ISBLANK(AH57),"En cours",AE57+AH57))</f>
        <v>183</v>
      </c>
    </row>
    <row r="58" spans="2:37" ht="21" x14ac:dyDescent="0.35">
      <c r="B58" s="135" t="s">
        <v>173</v>
      </c>
      <c r="C58" s="135" t="s">
        <v>102</v>
      </c>
      <c r="D58" s="135">
        <v>20.6</v>
      </c>
      <c r="E58" s="135" t="s">
        <v>161</v>
      </c>
      <c r="F58" s="135">
        <v>74</v>
      </c>
      <c r="G58" s="135">
        <v>17</v>
      </c>
      <c r="H58" s="135">
        <v>91</v>
      </c>
      <c r="I58" s="135">
        <v>12</v>
      </c>
      <c r="J58" s="135">
        <v>81</v>
      </c>
      <c r="K58" s="135">
        <v>28</v>
      </c>
      <c r="L58" s="135">
        <v>98</v>
      </c>
      <c r="M58" s="135">
        <v>24</v>
      </c>
      <c r="N58" s="135"/>
      <c r="O58" s="135"/>
      <c r="P58" s="135"/>
      <c r="Q58" s="135"/>
      <c r="R58" s="135">
        <v>73</v>
      </c>
      <c r="S58" s="135">
        <v>9</v>
      </c>
      <c r="T58" s="135">
        <v>90</v>
      </c>
      <c r="U58" s="135">
        <v>6</v>
      </c>
      <c r="V58" s="135">
        <v>71</v>
      </c>
      <c r="W58" s="135">
        <v>8</v>
      </c>
      <c r="X58" s="135">
        <v>88</v>
      </c>
      <c r="Y58" s="135">
        <v>5</v>
      </c>
      <c r="Z58" s="135"/>
      <c r="AA58" s="135"/>
      <c r="AB58" s="135"/>
      <c r="AC58" s="135"/>
      <c r="AD58" s="136">
        <f>IF(MIN(F58,J58,N58,R58,V58,Z58)&lt;&gt;0,MIN(F58,J58,N58,R58,V58,Z58),"")</f>
        <v>71</v>
      </c>
      <c r="AE58" s="136">
        <f>IF(MIN(H58,L58,P58,T58,X58,AB58)&lt;&gt;0,MIN(H58,L58,P58,T58,X58,AB58),"")</f>
        <v>88</v>
      </c>
      <c r="AF58" s="136">
        <v>78</v>
      </c>
      <c r="AG58" s="135">
        <v>23</v>
      </c>
      <c r="AH58" s="136">
        <v>95</v>
      </c>
      <c r="AI58" s="135">
        <v>19</v>
      </c>
      <c r="AJ58" s="134">
        <f>IF(AD58="","",IF(ISBLANK(AF58),"En cours",AD58+AF58))</f>
        <v>149</v>
      </c>
      <c r="AK58" s="134">
        <f>IF(AE58="","",IF(ISBLANK(AH58),"En cours",AE58+AH58))</f>
        <v>183</v>
      </c>
    </row>
    <row r="59" spans="2:37" ht="21" x14ac:dyDescent="0.35">
      <c r="B59" s="135" t="s">
        <v>147</v>
      </c>
      <c r="C59" s="135" t="s">
        <v>148</v>
      </c>
      <c r="D59" s="135">
        <v>17.8</v>
      </c>
      <c r="E59" s="135" t="s">
        <v>123</v>
      </c>
      <c r="F59" s="135">
        <v>75</v>
      </c>
      <c r="G59" s="135">
        <v>16</v>
      </c>
      <c r="H59" s="135">
        <v>92</v>
      </c>
      <c r="I59" s="135">
        <v>24</v>
      </c>
      <c r="J59" s="135"/>
      <c r="K59" s="135"/>
      <c r="L59" s="135"/>
      <c r="M59" s="135"/>
      <c r="N59" s="135">
        <v>76</v>
      </c>
      <c r="O59" s="135">
        <v>15</v>
      </c>
      <c r="P59" s="135">
        <v>93</v>
      </c>
      <c r="Q59" s="135">
        <v>23</v>
      </c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6">
        <f>IF(MIN(F59,J59,N59,R59,V59,Z59)&lt;&gt;0,MIN(F59,J59,N59,R59,V59,Z59),"")</f>
        <v>75</v>
      </c>
      <c r="AE59" s="136">
        <f>IF(MIN(H59,L59,P59,T59,X59,AB59)&lt;&gt;0,MIN(H59,L59,P59,T59,X59,AB59),"")</f>
        <v>92</v>
      </c>
      <c r="AF59" s="136">
        <v>74</v>
      </c>
      <c r="AG59" s="135">
        <v>12</v>
      </c>
      <c r="AH59" s="136">
        <v>91</v>
      </c>
      <c r="AI59" s="135">
        <v>18</v>
      </c>
      <c r="AJ59" s="134">
        <f>IF(AD59="","",IF(ISBLANK(AF59),"En cours",AD59+AF59))</f>
        <v>149</v>
      </c>
      <c r="AK59" s="134">
        <f>IF(AE59="","",IF(ISBLANK(AH59),"En cours",AE59+AH59))</f>
        <v>183</v>
      </c>
    </row>
    <row r="60" spans="2:37" ht="21" x14ac:dyDescent="0.35">
      <c r="B60" s="135" t="s">
        <v>239</v>
      </c>
      <c r="C60" s="135" t="s">
        <v>102</v>
      </c>
      <c r="D60" s="135">
        <v>19.8</v>
      </c>
      <c r="E60" s="135" t="s">
        <v>161</v>
      </c>
      <c r="F60" s="135"/>
      <c r="G60" s="135"/>
      <c r="H60" s="135"/>
      <c r="I60" s="135"/>
      <c r="J60" s="135"/>
      <c r="K60" s="135"/>
      <c r="L60" s="135"/>
      <c r="M60" s="135"/>
      <c r="N60" s="135">
        <v>74</v>
      </c>
      <c r="O60" s="135">
        <v>13</v>
      </c>
      <c r="P60" s="135">
        <v>90</v>
      </c>
      <c r="Q60" s="135">
        <v>4</v>
      </c>
      <c r="R60" s="135"/>
      <c r="S60" s="135"/>
      <c r="T60" s="135"/>
      <c r="U60" s="135"/>
      <c r="V60" s="135"/>
      <c r="W60" s="135"/>
      <c r="X60" s="135"/>
      <c r="Y60" s="135"/>
      <c r="Z60" s="135">
        <v>78</v>
      </c>
      <c r="AA60" s="135">
        <v>14</v>
      </c>
      <c r="AB60" s="135">
        <v>94</v>
      </c>
      <c r="AC60" s="135">
        <v>9</v>
      </c>
      <c r="AD60" s="136">
        <f>IF(MIN(F60,J60,N60,R60,V60,Z60)&lt;&gt;0,MIN(F60,J60,N60,R60,V60,Z60),"")</f>
        <v>74</v>
      </c>
      <c r="AE60" s="136">
        <f>IF(MIN(H60,L60,P60,T60,X60,AB60)&lt;&gt;0,MIN(H60,L60,P60,T60,X60,AB60),"")</f>
        <v>90</v>
      </c>
      <c r="AF60" s="136">
        <v>77</v>
      </c>
      <c r="AG60" s="135">
        <v>21</v>
      </c>
      <c r="AH60" s="136">
        <v>93</v>
      </c>
      <c r="AI60" s="135">
        <v>17</v>
      </c>
      <c r="AJ60" s="134">
        <f>IF(AD60="","",IF(ISBLANK(AF60),"En cours",AD60+AF60))</f>
        <v>151</v>
      </c>
      <c r="AK60" s="134">
        <f>IF(AE60="","",IF(ISBLANK(AH60),"En cours",AE60+AH60))</f>
        <v>183</v>
      </c>
    </row>
    <row r="61" spans="2:37" ht="21" x14ac:dyDescent="0.35">
      <c r="B61" s="135" t="s">
        <v>154</v>
      </c>
      <c r="C61" s="135" t="s">
        <v>102</v>
      </c>
      <c r="D61" s="135">
        <v>18.2</v>
      </c>
      <c r="E61" s="135" t="s">
        <v>123</v>
      </c>
      <c r="F61" s="135">
        <v>79</v>
      </c>
      <c r="G61" s="135">
        <v>27</v>
      </c>
      <c r="H61" s="135">
        <v>97</v>
      </c>
      <c r="I61" s="135">
        <v>30</v>
      </c>
      <c r="J61" s="135">
        <v>74</v>
      </c>
      <c r="K61" s="135">
        <v>11</v>
      </c>
      <c r="L61" s="135">
        <v>92</v>
      </c>
      <c r="M61" s="135">
        <v>21</v>
      </c>
      <c r="N61" s="135">
        <v>72</v>
      </c>
      <c r="O61" s="135">
        <v>8</v>
      </c>
      <c r="P61" s="135">
        <v>90</v>
      </c>
      <c r="Q61" s="135">
        <v>18</v>
      </c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6">
        <f>IF(MIN(F61,J61,N61,R61,V61,Z61)&lt;&gt;0,MIN(F61,J61,N61,R61,V61,Z61),"")</f>
        <v>72</v>
      </c>
      <c r="AE61" s="136">
        <f>IF(MIN(H61,L61,P61,T61,X61,AB61)&lt;&gt;0,MIN(H61,L61,P61,T61,X61,AB61),"")</f>
        <v>90</v>
      </c>
      <c r="AF61" s="136">
        <v>76</v>
      </c>
      <c r="AG61" s="135">
        <v>18</v>
      </c>
      <c r="AH61" s="136">
        <v>94</v>
      </c>
      <c r="AI61" s="135">
        <v>31</v>
      </c>
      <c r="AJ61" s="134">
        <f>IF(AD61="","",IF(ISBLANK(AF61),"En cours",AD61+AF61))</f>
        <v>148</v>
      </c>
      <c r="AK61" s="134">
        <f>IF(AE61="","",IF(ISBLANK(AH61),"En cours",AE61+AH61))</f>
        <v>184</v>
      </c>
    </row>
    <row r="62" spans="2:37" ht="21" x14ac:dyDescent="0.35">
      <c r="B62" s="135" t="s">
        <v>155</v>
      </c>
      <c r="C62" s="135" t="s">
        <v>102</v>
      </c>
      <c r="D62" s="135">
        <v>17.100000000000001</v>
      </c>
      <c r="E62" s="135" t="s">
        <v>123</v>
      </c>
      <c r="F62" s="135">
        <v>82</v>
      </c>
      <c r="G62" s="135">
        <v>31</v>
      </c>
      <c r="H62" s="135">
        <v>98</v>
      </c>
      <c r="I62" s="135">
        <v>31</v>
      </c>
      <c r="J62" s="135">
        <v>83</v>
      </c>
      <c r="K62" s="135">
        <v>34</v>
      </c>
      <c r="L62" s="135">
        <v>99</v>
      </c>
      <c r="M62" s="135">
        <v>33</v>
      </c>
      <c r="N62" s="135">
        <v>82</v>
      </c>
      <c r="O62" s="135">
        <v>31</v>
      </c>
      <c r="P62" s="135">
        <v>98</v>
      </c>
      <c r="Q62" s="135">
        <v>31</v>
      </c>
      <c r="R62" s="135">
        <v>86</v>
      </c>
      <c r="S62" s="135">
        <v>37</v>
      </c>
      <c r="T62" s="135">
        <v>102</v>
      </c>
      <c r="U62" s="135">
        <v>36</v>
      </c>
      <c r="V62" s="135">
        <v>79</v>
      </c>
      <c r="W62" s="135">
        <v>22</v>
      </c>
      <c r="X62" s="135">
        <v>95</v>
      </c>
      <c r="Y62" s="135">
        <v>24</v>
      </c>
      <c r="Z62" s="135">
        <v>74</v>
      </c>
      <c r="AA62" s="135">
        <v>7</v>
      </c>
      <c r="AB62" s="135">
        <v>90</v>
      </c>
      <c r="AC62" s="135">
        <v>16</v>
      </c>
      <c r="AD62" s="136">
        <f>IF(MIN(F62,J62,N62,R62,V62,Z62)&lt;&gt;0,MIN(F62,J62,N62,R62,V62,Z62),"")</f>
        <v>74</v>
      </c>
      <c r="AE62" s="136">
        <f>IF(MIN(H62,L62,P62,T62,X62,AB62)&lt;&gt;0,MIN(H62,L62,P62,T62,X62,AB62),"")</f>
        <v>90</v>
      </c>
      <c r="AF62" s="136">
        <v>78</v>
      </c>
      <c r="AG62" s="135">
        <v>28</v>
      </c>
      <c r="AH62" s="136">
        <v>94</v>
      </c>
      <c r="AI62" s="135">
        <v>32</v>
      </c>
      <c r="AJ62" s="134">
        <f>IF(AD62="","",IF(ISBLANK(AF62),"En cours",AD62+AF62))</f>
        <v>152</v>
      </c>
      <c r="AK62" s="134">
        <f>IF(AE62="","",IF(ISBLANK(AH62),"En cours",AE62+AH62))</f>
        <v>184</v>
      </c>
    </row>
    <row r="63" spans="2:37" ht="21" x14ac:dyDescent="0.35">
      <c r="B63" s="135" t="s">
        <v>218</v>
      </c>
      <c r="C63" s="135" t="s">
        <v>102</v>
      </c>
      <c r="D63" s="135">
        <v>19.899999999999999</v>
      </c>
      <c r="E63" s="135" t="s">
        <v>161</v>
      </c>
      <c r="F63" s="135"/>
      <c r="G63" s="135"/>
      <c r="H63" s="135"/>
      <c r="I63" s="135"/>
      <c r="J63" s="135">
        <v>77</v>
      </c>
      <c r="K63" s="135">
        <v>22</v>
      </c>
      <c r="L63" s="135">
        <v>93</v>
      </c>
      <c r="M63" s="135">
        <v>13</v>
      </c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6">
        <f>IF(MIN(F63,J63,N63,R63,V63,Z63)&lt;&gt;0,MIN(F63,J63,N63,R63,V63,Z63),"")</f>
        <v>77</v>
      </c>
      <c r="AE63" s="136">
        <f>IF(MIN(H63,L63,P63,T63,X63,AB63)&lt;&gt;0,MIN(H63,L63,P63,T63,X63,AB63),"")</f>
        <v>93</v>
      </c>
      <c r="AF63" s="136">
        <v>75</v>
      </c>
      <c r="AG63" s="135">
        <v>16</v>
      </c>
      <c r="AH63" s="136">
        <v>91</v>
      </c>
      <c r="AI63" s="135">
        <v>12</v>
      </c>
      <c r="AJ63" s="134">
        <f>IF(AD63="","",IF(ISBLANK(AF63),"En cours",AD63+AF63))</f>
        <v>152</v>
      </c>
      <c r="AK63" s="134">
        <f>IF(AE63="","",IF(ISBLANK(AH63),"En cours",AE63+AH63))</f>
        <v>184</v>
      </c>
    </row>
    <row r="64" spans="2:37" ht="21" x14ac:dyDescent="0.35">
      <c r="B64" s="135" t="s">
        <v>247</v>
      </c>
      <c r="C64" s="135" t="s">
        <v>102</v>
      </c>
      <c r="D64" s="135">
        <v>27.7</v>
      </c>
      <c r="E64" s="135" t="s">
        <v>166</v>
      </c>
      <c r="F64" s="135"/>
      <c r="G64" s="135"/>
      <c r="H64" s="135"/>
      <c r="I64" s="135"/>
      <c r="J64" s="135"/>
      <c r="K64" s="135"/>
      <c r="L64" s="135"/>
      <c r="M64" s="135"/>
      <c r="N64" s="135">
        <v>75</v>
      </c>
      <c r="O64" s="135">
        <v>19</v>
      </c>
      <c r="P64" s="135">
        <v>96</v>
      </c>
      <c r="Q64" s="135">
        <v>23</v>
      </c>
      <c r="R64" s="135"/>
      <c r="S64" s="135"/>
      <c r="T64" s="135"/>
      <c r="U64" s="135"/>
      <c r="V64" s="135">
        <v>70</v>
      </c>
      <c r="W64" s="135">
        <v>6</v>
      </c>
      <c r="X64" s="135">
        <v>91</v>
      </c>
      <c r="Y64" s="135">
        <v>8</v>
      </c>
      <c r="Z64" s="135"/>
      <c r="AA64" s="135"/>
      <c r="AB64" s="135"/>
      <c r="AC64" s="135"/>
      <c r="AD64" s="136">
        <f>IF(MIN(F64,J64,N64,R64,V64,Z64)&lt;&gt;0,MIN(F64,J64,N64,R64,V64,Z64),"")</f>
        <v>70</v>
      </c>
      <c r="AE64" s="136">
        <f>IF(MIN(H64,L64,P64,T64,X64,AB64)&lt;&gt;0,MIN(H64,L64,P64,T64,X64,AB64),"")</f>
        <v>91</v>
      </c>
      <c r="AF64" s="136">
        <v>72</v>
      </c>
      <c r="AG64" s="135">
        <v>12</v>
      </c>
      <c r="AH64" s="136">
        <v>93</v>
      </c>
      <c r="AI64" s="135">
        <v>18</v>
      </c>
      <c r="AJ64" s="134">
        <f>IF(AD64="","",IF(ISBLANK(AF64),"En cours",AD64+AF64))</f>
        <v>142</v>
      </c>
      <c r="AK64" s="134">
        <f>IF(AE64="","",IF(ISBLANK(AH64),"En cours",AE64+AH64))</f>
        <v>184</v>
      </c>
    </row>
    <row r="65" spans="2:37" ht="21" x14ac:dyDescent="0.35">
      <c r="B65" s="135" t="s">
        <v>167</v>
      </c>
      <c r="C65" s="135" t="s">
        <v>102</v>
      </c>
      <c r="D65" s="135">
        <v>19.899999999999999</v>
      </c>
      <c r="E65" s="135" t="s">
        <v>161</v>
      </c>
      <c r="F65" s="135">
        <v>72</v>
      </c>
      <c r="G65" s="135">
        <v>12</v>
      </c>
      <c r="H65" s="135">
        <v>88</v>
      </c>
      <c r="I65" s="135">
        <v>6</v>
      </c>
      <c r="J65" s="135"/>
      <c r="K65" s="135"/>
      <c r="L65" s="135"/>
      <c r="M65" s="135"/>
      <c r="N65" s="135">
        <v>76</v>
      </c>
      <c r="O65" s="135">
        <v>20</v>
      </c>
      <c r="P65" s="135">
        <v>92</v>
      </c>
      <c r="Q65" s="135">
        <v>7</v>
      </c>
      <c r="R65" s="135"/>
      <c r="S65" s="135"/>
      <c r="T65" s="135"/>
      <c r="U65" s="135"/>
      <c r="V65" s="135">
        <v>79</v>
      </c>
      <c r="W65" s="135">
        <v>15</v>
      </c>
      <c r="X65" s="135">
        <v>95</v>
      </c>
      <c r="Y65" s="135">
        <v>12</v>
      </c>
      <c r="Z65" s="135"/>
      <c r="AA65" s="135"/>
      <c r="AB65" s="135"/>
      <c r="AC65" s="135"/>
      <c r="AD65" s="136">
        <f>IF(MIN(F65,J65,N65,R65,V65,Z65)&lt;&gt;0,MIN(F65,J65,N65,R65,V65,Z65),"")</f>
        <v>72</v>
      </c>
      <c r="AE65" s="136">
        <f>IF(MIN(H65,L65,P65,T65,X65,AB65)&lt;&gt;0,MIN(H65,L65,P65,T65,X65,AB65),"")</f>
        <v>88</v>
      </c>
      <c r="AF65" s="136">
        <v>81</v>
      </c>
      <c r="AG65" s="135">
        <v>26</v>
      </c>
      <c r="AH65" s="136">
        <v>97</v>
      </c>
      <c r="AI65" s="135">
        <v>24</v>
      </c>
      <c r="AJ65" s="134">
        <f>IF(AD65="","",IF(ISBLANK(AF65),"En cours",AD65+AF65))</f>
        <v>153</v>
      </c>
      <c r="AK65" s="134">
        <f>IF(AE65="","",IF(ISBLANK(AH65),"En cours",AE65+AH65))</f>
        <v>185</v>
      </c>
    </row>
    <row r="66" spans="2:37" ht="21" x14ac:dyDescent="0.35">
      <c r="B66" s="135" t="s">
        <v>172</v>
      </c>
      <c r="C66" s="135" t="s">
        <v>102</v>
      </c>
      <c r="D66" s="135">
        <v>23.1</v>
      </c>
      <c r="E66" s="135" t="s">
        <v>161</v>
      </c>
      <c r="F66" s="135">
        <v>70</v>
      </c>
      <c r="G66" s="135">
        <v>9</v>
      </c>
      <c r="H66" s="135">
        <v>90</v>
      </c>
      <c r="I66" s="135">
        <v>11</v>
      </c>
      <c r="J66" s="135"/>
      <c r="K66" s="135"/>
      <c r="L66" s="135"/>
      <c r="M66" s="135"/>
      <c r="N66" s="135">
        <v>77</v>
      </c>
      <c r="O66" s="135">
        <v>25</v>
      </c>
      <c r="P66" s="135">
        <v>97</v>
      </c>
      <c r="Q66" s="135">
        <v>24</v>
      </c>
      <c r="R66" s="135">
        <v>74</v>
      </c>
      <c r="S66" s="135">
        <v>13</v>
      </c>
      <c r="T66" s="135">
        <v>94</v>
      </c>
      <c r="U66" s="135">
        <v>17</v>
      </c>
      <c r="V66" s="135">
        <v>79</v>
      </c>
      <c r="W66" s="135">
        <v>17</v>
      </c>
      <c r="X66" s="135">
        <v>99</v>
      </c>
      <c r="Y66" s="135">
        <v>16</v>
      </c>
      <c r="Z66" s="135">
        <v>80</v>
      </c>
      <c r="AA66" s="135">
        <v>19</v>
      </c>
      <c r="AB66" s="135">
        <v>100</v>
      </c>
      <c r="AC66" s="135">
        <v>19</v>
      </c>
      <c r="AD66" s="136">
        <f>IF(MIN(F66,J66,N66,R66,V66,Z66)&lt;&gt;0,MIN(F66,J66,N66,R66,V66,Z66),"")</f>
        <v>70</v>
      </c>
      <c r="AE66" s="136">
        <f>IF(MIN(H66,L66,P66,T66,X66,AB66)&lt;&gt;0,MIN(H66,L66,P66,T66,X66,AB66),"")</f>
        <v>90</v>
      </c>
      <c r="AF66" s="136">
        <v>75</v>
      </c>
      <c r="AG66" s="135">
        <v>17</v>
      </c>
      <c r="AH66" s="136">
        <v>95</v>
      </c>
      <c r="AI66" s="135">
        <v>21</v>
      </c>
      <c r="AJ66" s="134">
        <f>IF(AD66="","",IF(ISBLANK(AF66),"En cours",AD66+AF66))</f>
        <v>145</v>
      </c>
      <c r="AK66" s="134">
        <f>IF(AE66="","",IF(ISBLANK(AH66),"En cours",AE66+AH66))</f>
        <v>185</v>
      </c>
    </row>
    <row r="67" spans="2:37" ht="21" x14ac:dyDescent="0.35">
      <c r="B67" s="135" t="s">
        <v>151</v>
      </c>
      <c r="C67" s="135" t="s">
        <v>102</v>
      </c>
      <c r="D67" s="135">
        <v>16.7</v>
      </c>
      <c r="E67" s="135" t="s">
        <v>123</v>
      </c>
      <c r="F67" s="135">
        <v>77</v>
      </c>
      <c r="G67" s="135">
        <v>24</v>
      </c>
      <c r="H67" s="135">
        <v>93</v>
      </c>
      <c r="I67" s="135">
        <v>27</v>
      </c>
      <c r="J67" s="135"/>
      <c r="K67" s="135"/>
      <c r="L67" s="135"/>
      <c r="M67" s="135"/>
      <c r="N67" s="135">
        <v>80</v>
      </c>
      <c r="O67" s="135">
        <v>27</v>
      </c>
      <c r="P67" s="135">
        <v>96</v>
      </c>
      <c r="Q67" s="135">
        <v>29</v>
      </c>
      <c r="R67" s="135"/>
      <c r="S67" s="135"/>
      <c r="T67" s="135"/>
      <c r="U67" s="135"/>
      <c r="V67" s="135">
        <v>74</v>
      </c>
      <c r="W67" s="135">
        <v>12</v>
      </c>
      <c r="X67" s="135">
        <v>90</v>
      </c>
      <c r="Y67" s="135">
        <v>17</v>
      </c>
      <c r="Z67" s="135"/>
      <c r="AA67" s="135"/>
      <c r="AB67" s="135"/>
      <c r="AC67" s="135"/>
      <c r="AD67" s="136">
        <f>IF(MIN(F67,J67,N67,R67,V67,Z67)&lt;&gt;0,MIN(F67,J67,N67,R67,V67,Z67),"")</f>
        <v>74</v>
      </c>
      <c r="AE67" s="136">
        <f>IF(MIN(H67,L67,P67,T67,X67,AB67)&lt;&gt;0,MIN(H67,L67,P67,T67,X67,AB67),"")</f>
        <v>90</v>
      </c>
      <c r="AF67" s="136">
        <v>79</v>
      </c>
      <c r="AG67" s="135">
        <v>30</v>
      </c>
      <c r="AH67" s="136">
        <v>95</v>
      </c>
      <c r="AI67" s="135">
        <v>34</v>
      </c>
      <c r="AJ67" s="134">
        <f>IF(AD67="","",IF(ISBLANK(AF67),"En cours",AD67+AF67))</f>
        <v>153</v>
      </c>
      <c r="AK67" s="134">
        <f>IF(AE67="","",IF(ISBLANK(AH67),"En cours",AE67+AH67))</f>
        <v>185</v>
      </c>
    </row>
    <row r="68" spans="2:37" ht="21" x14ac:dyDescent="0.35">
      <c r="B68" s="135" t="s">
        <v>209</v>
      </c>
      <c r="C68" s="135" t="s">
        <v>102</v>
      </c>
      <c r="D68" s="135">
        <v>15.5</v>
      </c>
      <c r="E68" s="135" t="s">
        <v>123</v>
      </c>
      <c r="F68" s="135"/>
      <c r="G68" s="135"/>
      <c r="H68" s="135"/>
      <c r="I68" s="135"/>
      <c r="J68" s="135">
        <v>95</v>
      </c>
      <c r="K68" s="135">
        <v>39</v>
      </c>
      <c r="L68" s="135">
        <v>110</v>
      </c>
      <c r="M68" s="135">
        <v>39</v>
      </c>
      <c r="N68" s="135"/>
      <c r="O68" s="135"/>
      <c r="P68" s="135"/>
      <c r="Q68" s="135"/>
      <c r="R68" s="135">
        <v>81</v>
      </c>
      <c r="S68" s="135">
        <v>33</v>
      </c>
      <c r="T68" s="135">
        <v>96</v>
      </c>
      <c r="U68" s="135">
        <v>31</v>
      </c>
      <c r="V68" s="135"/>
      <c r="W68" s="135"/>
      <c r="X68" s="135"/>
      <c r="Y68" s="135"/>
      <c r="Z68" s="135"/>
      <c r="AA68" s="135"/>
      <c r="AB68" s="135"/>
      <c r="AC68" s="135"/>
      <c r="AD68" s="136">
        <f>IF(MIN(F68,J68,N68,R68,V68,Z68)&lt;&gt;0,MIN(F68,J68,N68,R68,V68,Z68),"")</f>
        <v>81</v>
      </c>
      <c r="AE68" s="136">
        <f>IF(MIN(H68,L68,P68,T68,X68,AB68)&lt;&gt;0,MIN(H68,L68,P68,T68,X68,AB68),"")</f>
        <v>96</v>
      </c>
      <c r="AF68" s="136">
        <v>74</v>
      </c>
      <c r="AG68" s="135">
        <v>13</v>
      </c>
      <c r="AH68" s="136">
        <v>89</v>
      </c>
      <c r="AI68" s="135">
        <v>14</v>
      </c>
      <c r="AJ68" s="134">
        <f>IF(AD68="","",IF(ISBLANK(AF68),"En cours",AD68+AF68))</f>
        <v>155</v>
      </c>
      <c r="AK68" s="134">
        <f>IF(AE68="","",IF(ISBLANK(AH68),"En cours",AE68+AH68))</f>
        <v>185</v>
      </c>
    </row>
    <row r="69" spans="2:37" ht="21" x14ac:dyDescent="0.35">
      <c r="B69" s="135" t="s">
        <v>214</v>
      </c>
      <c r="C69" s="135" t="s">
        <v>102</v>
      </c>
      <c r="D69" s="135">
        <v>21.4</v>
      </c>
      <c r="E69" s="135" t="s">
        <v>161</v>
      </c>
      <c r="F69" s="135"/>
      <c r="G69" s="135"/>
      <c r="H69" s="135"/>
      <c r="I69" s="135"/>
      <c r="J69" s="135">
        <v>74</v>
      </c>
      <c r="K69" s="135">
        <v>11</v>
      </c>
      <c r="L69" s="135">
        <v>92</v>
      </c>
      <c r="M69" s="135">
        <v>6</v>
      </c>
      <c r="N69" s="135"/>
      <c r="O69" s="135"/>
      <c r="P69" s="135"/>
      <c r="Q69" s="135"/>
      <c r="R69" s="135">
        <v>83</v>
      </c>
      <c r="S69" s="135">
        <v>29</v>
      </c>
      <c r="T69" s="135">
        <v>101</v>
      </c>
      <c r="U69" s="135">
        <v>28</v>
      </c>
      <c r="V69" s="135">
        <v>68</v>
      </c>
      <c r="W69" s="135">
        <v>4</v>
      </c>
      <c r="X69" s="135">
        <v>86</v>
      </c>
      <c r="Y69" s="135">
        <v>4</v>
      </c>
      <c r="Z69" s="135"/>
      <c r="AA69" s="135"/>
      <c r="AB69" s="135"/>
      <c r="AC69" s="135"/>
      <c r="AD69" s="136">
        <f>IF(MIN(F69,J69,N69,R69,V69,Z69)&lt;&gt;0,MIN(F69,J69,N69,R69,V69,Z69),"")</f>
        <v>68</v>
      </c>
      <c r="AE69" s="136">
        <f>IF(MIN(H69,L69,P69,T69,X69,AB69)&lt;&gt;0,MIN(H69,L69,P69,T69,X69,AB69),"")</f>
        <v>86</v>
      </c>
      <c r="AF69" s="136">
        <v>82</v>
      </c>
      <c r="AG69" s="135">
        <v>27</v>
      </c>
      <c r="AH69" s="136">
        <v>100</v>
      </c>
      <c r="AI69" s="135">
        <v>27</v>
      </c>
      <c r="AJ69" s="134">
        <f>IF(AD69="","",IF(ISBLANK(AF69),"En cours",AD69+AF69))</f>
        <v>150</v>
      </c>
      <c r="AK69" s="134">
        <f>IF(AE69="","",IF(ISBLANK(AH69),"En cours",AE69+AH69))</f>
        <v>186</v>
      </c>
    </row>
    <row r="70" spans="2:37" ht="21" x14ac:dyDescent="0.35">
      <c r="B70" s="135" t="s">
        <v>219</v>
      </c>
      <c r="C70" s="135" t="s">
        <v>102</v>
      </c>
      <c r="D70" s="135">
        <v>22.2</v>
      </c>
      <c r="E70" s="135" t="s">
        <v>161</v>
      </c>
      <c r="F70" s="135"/>
      <c r="G70" s="135"/>
      <c r="H70" s="135"/>
      <c r="I70" s="135"/>
      <c r="J70" s="135">
        <v>75</v>
      </c>
      <c r="K70" s="135">
        <v>15</v>
      </c>
      <c r="L70" s="135">
        <v>94</v>
      </c>
      <c r="M70" s="135">
        <v>15</v>
      </c>
      <c r="N70" s="135">
        <v>80</v>
      </c>
      <c r="O70" s="135">
        <v>28</v>
      </c>
      <c r="P70" s="135">
        <v>99</v>
      </c>
      <c r="Q70" s="135">
        <v>28</v>
      </c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6">
        <f>IF(MIN(F70,J70,N70,R70,V70,Z70)&lt;&gt;0,MIN(F70,J70,N70,R70,V70,Z70),"")</f>
        <v>75</v>
      </c>
      <c r="AE70" s="136">
        <f>IF(MIN(H70,L70,P70,T70,X70,AB70)&lt;&gt;0,MIN(H70,L70,P70,T70,X70,AB70),"")</f>
        <v>94</v>
      </c>
      <c r="AF70" s="136">
        <v>73</v>
      </c>
      <c r="AG70" s="135">
        <v>13</v>
      </c>
      <c r="AH70" s="136">
        <v>92</v>
      </c>
      <c r="AI70" s="135">
        <v>14</v>
      </c>
      <c r="AJ70" s="134">
        <f>IF(AD70="","",IF(ISBLANK(AF70),"En cours",AD70+AF70))</f>
        <v>148</v>
      </c>
      <c r="AK70" s="134">
        <f>IF(AE70="","",IF(ISBLANK(AH70),"En cours",AE70+AH70))</f>
        <v>186</v>
      </c>
    </row>
    <row r="71" spans="2:37" ht="21" x14ac:dyDescent="0.35">
      <c r="B71" s="135" t="s">
        <v>269</v>
      </c>
      <c r="C71" s="135" t="s">
        <v>102</v>
      </c>
      <c r="D71" s="135">
        <v>18</v>
      </c>
      <c r="E71" s="135" t="s">
        <v>123</v>
      </c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>
        <v>77</v>
      </c>
      <c r="S71" s="135">
        <v>19</v>
      </c>
      <c r="T71" s="135">
        <v>94</v>
      </c>
      <c r="U71" s="135">
        <v>28</v>
      </c>
      <c r="V71" s="135">
        <v>79</v>
      </c>
      <c r="W71" s="135">
        <v>24</v>
      </c>
      <c r="X71" s="135">
        <v>96</v>
      </c>
      <c r="Y71" s="135">
        <v>28</v>
      </c>
      <c r="Z71" s="135">
        <v>75</v>
      </c>
      <c r="AA71" s="135">
        <v>12</v>
      </c>
      <c r="AB71" s="135">
        <v>92</v>
      </c>
      <c r="AC71" s="135">
        <v>21</v>
      </c>
      <c r="AD71" s="136">
        <f>IF(MIN(F71,J71,N71,R71,V71,Z71)&lt;&gt;0,MIN(F71,J71,N71,R71,V71,Z71),"")</f>
        <v>75</v>
      </c>
      <c r="AE71" s="136">
        <f>IF(MIN(H71,L71,P71,T71,X71,AB71)&lt;&gt;0,MIN(H71,L71,P71,T71,X71,AB71),"")</f>
        <v>92</v>
      </c>
      <c r="AF71" s="136">
        <v>77</v>
      </c>
      <c r="AG71" s="135">
        <v>20</v>
      </c>
      <c r="AH71" s="136">
        <v>94</v>
      </c>
      <c r="AI71" s="135">
        <v>30</v>
      </c>
      <c r="AJ71" s="134">
        <f>IF(AD71="","",IF(ISBLANK(AF71),"En cours",AD71+AF71))</f>
        <v>152</v>
      </c>
      <c r="AK71" s="134">
        <f>IF(AE71="","",IF(ISBLANK(AH71),"En cours",AE71+AH71))</f>
        <v>186</v>
      </c>
    </row>
    <row r="72" spans="2:37" ht="21" x14ac:dyDescent="0.35">
      <c r="B72" s="135" t="s">
        <v>276</v>
      </c>
      <c r="C72" s="135" t="s">
        <v>102</v>
      </c>
      <c r="D72" s="135">
        <v>25.1</v>
      </c>
      <c r="E72" s="135" t="s">
        <v>161</v>
      </c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>
        <v>72</v>
      </c>
      <c r="S72" s="135">
        <v>6</v>
      </c>
      <c r="T72" s="135">
        <v>94</v>
      </c>
      <c r="U72" s="135">
        <v>14</v>
      </c>
      <c r="V72" s="135"/>
      <c r="W72" s="135"/>
      <c r="X72" s="135"/>
      <c r="Y72" s="135"/>
      <c r="Z72" s="135">
        <v>76</v>
      </c>
      <c r="AA72" s="135">
        <v>12</v>
      </c>
      <c r="AB72" s="135">
        <v>98</v>
      </c>
      <c r="AC72" s="135">
        <v>18</v>
      </c>
      <c r="AD72" s="136">
        <f>IF(MIN(F72,J72,N72,R72,V72,Z72)&lt;&gt;0,MIN(F72,J72,N72,R72,V72,Z72),"")</f>
        <v>72</v>
      </c>
      <c r="AE72" s="136">
        <f>IF(MIN(H72,L72,P72,T72,X72,AB72)&lt;&gt;0,MIN(H72,L72,P72,T72,X72,AB72),"")</f>
        <v>94</v>
      </c>
      <c r="AF72" s="136">
        <v>70</v>
      </c>
      <c r="AG72" s="135">
        <v>6</v>
      </c>
      <c r="AH72" s="136">
        <v>92</v>
      </c>
      <c r="AI72" s="135">
        <v>15</v>
      </c>
      <c r="AJ72" s="134">
        <f>IF(AD72="","",IF(ISBLANK(AF72),"En cours",AD72+AF72))</f>
        <v>142</v>
      </c>
      <c r="AK72" s="134">
        <f>IF(AE72="","",IF(ISBLANK(AH72),"En cours",AE72+AH72))</f>
        <v>186</v>
      </c>
    </row>
    <row r="73" spans="2:37" ht="21" x14ac:dyDescent="0.35">
      <c r="B73" s="135" t="s">
        <v>153</v>
      </c>
      <c r="C73" s="135" t="s">
        <v>102</v>
      </c>
      <c r="D73" s="135">
        <v>18.2</v>
      </c>
      <c r="E73" s="135" t="s">
        <v>123</v>
      </c>
      <c r="F73" s="135">
        <v>77</v>
      </c>
      <c r="G73" s="135">
        <v>23</v>
      </c>
      <c r="H73" s="135">
        <v>95</v>
      </c>
      <c r="I73" s="135">
        <v>29</v>
      </c>
      <c r="J73" s="135">
        <v>83</v>
      </c>
      <c r="K73" s="135">
        <v>33</v>
      </c>
      <c r="L73" s="135">
        <v>101</v>
      </c>
      <c r="M73" s="135">
        <v>34</v>
      </c>
      <c r="N73" s="135">
        <v>76</v>
      </c>
      <c r="O73" s="135">
        <v>16</v>
      </c>
      <c r="P73" s="135">
        <v>94</v>
      </c>
      <c r="Q73" s="135">
        <v>25</v>
      </c>
      <c r="R73" s="135">
        <v>73</v>
      </c>
      <c r="S73" s="135">
        <v>14</v>
      </c>
      <c r="T73" s="135">
        <v>91</v>
      </c>
      <c r="U73" s="135">
        <v>22</v>
      </c>
      <c r="V73" s="135">
        <v>70</v>
      </c>
      <c r="W73" s="135">
        <v>4</v>
      </c>
      <c r="X73" s="135">
        <v>88</v>
      </c>
      <c r="Y73" s="135">
        <v>12</v>
      </c>
      <c r="Z73" s="135"/>
      <c r="AA73" s="135"/>
      <c r="AB73" s="135"/>
      <c r="AC73" s="135"/>
      <c r="AD73" s="136">
        <f>IF(MIN(F73,J73,N73,R73,V73,Z73)&lt;&gt;0,MIN(F73,J73,N73,R73,V73,Z73),"")</f>
        <v>70</v>
      </c>
      <c r="AE73" s="136">
        <f>IF(MIN(H73,L73,P73,T73,X73,AB73)&lt;&gt;0,MIN(H73,L73,P73,T73,X73,AB73),"")</f>
        <v>88</v>
      </c>
      <c r="AF73" s="136">
        <v>81</v>
      </c>
      <c r="AG73" s="135">
        <v>37</v>
      </c>
      <c r="AH73" s="136">
        <v>99</v>
      </c>
      <c r="AI73" s="135">
        <v>41</v>
      </c>
      <c r="AJ73" s="134">
        <f>IF(AD73="","",IF(ISBLANK(AF73),"En cours",AD73+AF73))</f>
        <v>151</v>
      </c>
      <c r="AK73" s="134">
        <f>IF(AE73="","",IF(ISBLANK(AH73),"En cours",AE73+AH73))</f>
        <v>187</v>
      </c>
    </row>
    <row r="74" spans="2:37" ht="21" x14ac:dyDescent="0.35">
      <c r="B74" s="135" t="s">
        <v>156</v>
      </c>
      <c r="C74" s="135" t="s">
        <v>102</v>
      </c>
      <c r="D74" s="135">
        <v>14.8</v>
      </c>
      <c r="E74" s="135" t="s">
        <v>123</v>
      </c>
      <c r="F74" s="135">
        <v>85</v>
      </c>
      <c r="G74" s="135">
        <v>34</v>
      </c>
      <c r="H74" s="135">
        <v>99</v>
      </c>
      <c r="I74" s="135">
        <v>32</v>
      </c>
      <c r="J74" s="135">
        <v>82</v>
      </c>
      <c r="K74" s="135">
        <v>29</v>
      </c>
      <c r="L74" s="135">
        <v>96</v>
      </c>
      <c r="M74" s="135">
        <v>31</v>
      </c>
      <c r="N74" s="135">
        <v>81</v>
      </c>
      <c r="O74" s="135">
        <v>29</v>
      </c>
      <c r="P74" s="135">
        <v>95</v>
      </c>
      <c r="Q74" s="135">
        <v>27</v>
      </c>
      <c r="R74" s="135">
        <v>77</v>
      </c>
      <c r="S74" s="135">
        <v>20</v>
      </c>
      <c r="T74" s="135">
        <v>91</v>
      </c>
      <c r="U74" s="135">
        <v>21</v>
      </c>
      <c r="V74" s="135">
        <v>81</v>
      </c>
      <c r="W74" s="135">
        <v>27</v>
      </c>
      <c r="X74" s="135">
        <v>95</v>
      </c>
      <c r="Y74" s="135">
        <v>26</v>
      </c>
      <c r="Z74" s="135">
        <v>78</v>
      </c>
      <c r="AA74" s="135">
        <v>21</v>
      </c>
      <c r="AB74" s="135">
        <v>92</v>
      </c>
      <c r="AC74" s="135">
        <v>22</v>
      </c>
      <c r="AD74" s="136">
        <f>IF(MIN(F74,J74,N74,R74,V74,Z74)&lt;&gt;0,MIN(F74,J74,N74,R74,V74,Z74),"")</f>
        <v>77</v>
      </c>
      <c r="AE74" s="136">
        <f>IF(MIN(H74,L74,P74,T74,X74,AB74)&lt;&gt;0,MIN(H74,L74,P74,T74,X74,AB74),"")</f>
        <v>91</v>
      </c>
      <c r="AF74" s="136">
        <v>82</v>
      </c>
      <c r="AG74" s="135">
        <v>38</v>
      </c>
      <c r="AH74" s="136">
        <v>96</v>
      </c>
      <c r="AI74" s="135">
        <v>36</v>
      </c>
      <c r="AJ74" s="134">
        <f>IF(AD74="","",IF(ISBLANK(AF74),"En cours",AD74+AF74))</f>
        <v>159</v>
      </c>
      <c r="AK74" s="134">
        <f>IF(AE74="","",IF(ISBLANK(AH74),"En cours",AE74+AH74))</f>
        <v>187</v>
      </c>
    </row>
    <row r="75" spans="2:37" ht="21" x14ac:dyDescent="0.35">
      <c r="B75" s="135" t="s">
        <v>305</v>
      </c>
      <c r="C75" s="135" t="s">
        <v>102</v>
      </c>
      <c r="D75" s="135">
        <v>20.3</v>
      </c>
      <c r="E75" s="135" t="s">
        <v>161</v>
      </c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>
        <v>81</v>
      </c>
      <c r="AA75" s="135">
        <v>21</v>
      </c>
      <c r="AB75" s="135">
        <v>98</v>
      </c>
      <c r="AC75" s="135">
        <v>17</v>
      </c>
      <c r="AD75" s="136">
        <f>IF(MIN(F75,J75,N75,R75,V75,Z75)&lt;&gt;0,MIN(F75,J75,N75,R75,V75,Z75),"")</f>
        <v>81</v>
      </c>
      <c r="AE75" s="136">
        <f>IF(MIN(H75,L75,P75,T75,X75,AB75)&lt;&gt;0,MIN(H75,L75,P75,T75,X75,AB75),"")</f>
        <v>98</v>
      </c>
      <c r="AF75" s="136">
        <v>72</v>
      </c>
      <c r="AG75" s="135">
        <v>10</v>
      </c>
      <c r="AH75" s="136">
        <v>89</v>
      </c>
      <c r="AI75" s="135">
        <v>5</v>
      </c>
      <c r="AJ75" s="134">
        <f>IF(AD75="","",IF(ISBLANK(AF75),"En cours",AD75+AF75))</f>
        <v>153</v>
      </c>
      <c r="AK75" s="134">
        <f>IF(AE75="","",IF(ISBLANK(AH75),"En cours",AE75+AH75))</f>
        <v>187</v>
      </c>
    </row>
    <row r="76" spans="2:37" ht="21" x14ac:dyDescent="0.35">
      <c r="B76" s="135" t="s">
        <v>157</v>
      </c>
      <c r="C76" s="135" t="s">
        <v>102</v>
      </c>
      <c r="D76" s="135">
        <v>16.5</v>
      </c>
      <c r="E76" s="135" t="s">
        <v>123</v>
      </c>
      <c r="F76" s="135">
        <v>83</v>
      </c>
      <c r="G76" s="135">
        <v>32</v>
      </c>
      <c r="H76" s="135">
        <v>99</v>
      </c>
      <c r="I76" s="135">
        <v>33</v>
      </c>
      <c r="J76" s="135">
        <v>86</v>
      </c>
      <c r="K76" s="135">
        <v>35</v>
      </c>
      <c r="L76" s="135">
        <v>102</v>
      </c>
      <c r="M76" s="135">
        <v>36</v>
      </c>
      <c r="N76" s="135"/>
      <c r="O76" s="135"/>
      <c r="P76" s="135"/>
      <c r="Q76" s="135"/>
      <c r="R76" s="135">
        <v>77</v>
      </c>
      <c r="S76" s="135">
        <v>23</v>
      </c>
      <c r="T76" s="135">
        <v>93</v>
      </c>
      <c r="U76" s="135">
        <v>27</v>
      </c>
      <c r="V76" s="135">
        <v>87</v>
      </c>
      <c r="W76" s="135">
        <v>31</v>
      </c>
      <c r="X76" s="135">
        <v>103</v>
      </c>
      <c r="Y76" s="135">
        <v>31</v>
      </c>
      <c r="Z76" s="135">
        <v>81</v>
      </c>
      <c r="AA76" s="135">
        <v>25</v>
      </c>
      <c r="AB76" s="135">
        <v>97</v>
      </c>
      <c r="AC76" s="135">
        <v>26</v>
      </c>
      <c r="AD76" s="136">
        <f>IF(MIN(F76,J76,N76,R76,V76,Z76)&lt;&gt;0,MIN(F76,J76,N76,R76,V76,Z76),"")</f>
        <v>77</v>
      </c>
      <c r="AE76" s="136">
        <f>IF(MIN(H76,L76,P76,T76,X76,AB76)&lt;&gt;0,MIN(H76,L76,P76,T76,X76,AB76),"")</f>
        <v>93</v>
      </c>
      <c r="AF76" s="136">
        <v>79</v>
      </c>
      <c r="AG76" s="135">
        <v>31</v>
      </c>
      <c r="AH76" s="136">
        <v>95</v>
      </c>
      <c r="AI76" s="135">
        <v>35</v>
      </c>
      <c r="AJ76" s="134">
        <f>IF(AD76="","",IF(ISBLANK(AF76),"En cours",AD76+AF76))</f>
        <v>156</v>
      </c>
      <c r="AK76" s="134">
        <f>IF(AE76="","",IF(ISBLANK(AH76),"En cours",AE76+AH76))</f>
        <v>188</v>
      </c>
    </row>
    <row r="77" spans="2:37" ht="21" x14ac:dyDescent="0.35">
      <c r="B77" s="135" t="s">
        <v>206</v>
      </c>
      <c r="C77" s="135" t="s">
        <v>102</v>
      </c>
      <c r="D77" s="135">
        <v>16.399999999999999</v>
      </c>
      <c r="E77" s="135" t="s">
        <v>123</v>
      </c>
      <c r="F77" s="135"/>
      <c r="G77" s="135"/>
      <c r="H77" s="135"/>
      <c r="I77" s="135"/>
      <c r="J77" s="135">
        <v>79</v>
      </c>
      <c r="K77" s="135">
        <v>24</v>
      </c>
      <c r="L77" s="135">
        <v>95</v>
      </c>
      <c r="M77" s="135">
        <v>29</v>
      </c>
      <c r="N77" s="135"/>
      <c r="O77" s="135"/>
      <c r="P77" s="135"/>
      <c r="Q77" s="135"/>
      <c r="R77" s="135">
        <v>80</v>
      </c>
      <c r="S77" s="135">
        <v>32</v>
      </c>
      <c r="T77" s="135">
        <v>96</v>
      </c>
      <c r="U77" s="135">
        <v>32</v>
      </c>
      <c r="V77" s="135"/>
      <c r="W77" s="135"/>
      <c r="X77" s="135"/>
      <c r="Y77" s="135"/>
      <c r="Z77" s="135"/>
      <c r="AA77" s="135"/>
      <c r="AB77" s="135"/>
      <c r="AC77" s="135"/>
      <c r="AD77" s="136">
        <f>IF(MIN(F77,J77,N77,R77,V77,Z77)&lt;&gt;0,MIN(F77,J77,N77,R77,V77,Z77),"")</f>
        <v>79</v>
      </c>
      <c r="AE77" s="136">
        <f>IF(MIN(H77,L77,P77,T77,X77,AB77)&lt;&gt;0,MIN(H77,L77,P77,T77,X77,AB77),"")</f>
        <v>95</v>
      </c>
      <c r="AF77" s="136">
        <v>77</v>
      </c>
      <c r="AG77" s="135">
        <v>21</v>
      </c>
      <c r="AH77" s="136">
        <v>93</v>
      </c>
      <c r="AI77" s="135">
        <v>26</v>
      </c>
      <c r="AJ77" s="134">
        <f>IF(AD77="","",IF(ISBLANK(AF77),"En cours",AD77+AF77))</f>
        <v>156</v>
      </c>
      <c r="AK77" s="134">
        <f>IF(AE77="","",IF(ISBLANK(AH77),"En cours",AE77+AH77))</f>
        <v>188</v>
      </c>
    </row>
    <row r="78" spans="2:37" ht="21" x14ac:dyDescent="0.35">
      <c r="B78" s="135" t="s">
        <v>205</v>
      </c>
      <c r="C78" s="135" t="s">
        <v>102</v>
      </c>
      <c r="D78" s="135">
        <v>16.7</v>
      </c>
      <c r="E78" s="135" t="s">
        <v>123</v>
      </c>
      <c r="F78" s="135"/>
      <c r="G78" s="135"/>
      <c r="H78" s="135"/>
      <c r="I78" s="135"/>
      <c r="J78" s="135">
        <v>78</v>
      </c>
      <c r="K78" s="135">
        <v>23</v>
      </c>
      <c r="L78" s="135">
        <v>94</v>
      </c>
      <c r="M78" s="135">
        <v>28</v>
      </c>
      <c r="N78" s="135"/>
      <c r="O78" s="135"/>
      <c r="P78" s="135"/>
      <c r="Q78" s="135"/>
      <c r="R78" s="135">
        <v>84</v>
      </c>
      <c r="S78" s="135">
        <v>34</v>
      </c>
      <c r="T78" s="135">
        <v>100</v>
      </c>
      <c r="U78" s="135">
        <v>35</v>
      </c>
      <c r="V78" s="135"/>
      <c r="W78" s="135"/>
      <c r="X78" s="135"/>
      <c r="Y78" s="135"/>
      <c r="Z78" s="135">
        <v>83</v>
      </c>
      <c r="AA78" s="135">
        <v>27</v>
      </c>
      <c r="AB78" s="135">
        <v>99</v>
      </c>
      <c r="AC78" s="135">
        <v>27</v>
      </c>
      <c r="AD78" s="136">
        <f>IF(MIN(F78,J78,N78,R78,V78,Z78)&lt;&gt;0,MIN(F78,J78,N78,R78,V78,Z78),"")</f>
        <v>78</v>
      </c>
      <c r="AE78" s="136">
        <f>IF(MIN(H78,L78,P78,T78,X78,AB78)&lt;&gt;0,MIN(H78,L78,P78,T78,X78,AB78),"")</f>
        <v>94</v>
      </c>
      <c r="AF78" s="136">
        <v>80</v>
      </c>
      <c r="AG78" s="135">
        <v>33</v>
      </c>
      <c r="AH78" s="136">
        <v>96</v>
      </c>
      <c r="AI78" s="135">
        <v>37</v>
      </c>
      <c r="AJ78" s="134">
        <f>IF(AD78="","",IF(ISBLANK(AF78),"En cours",AD78+AF78))</f>
        <v>158</v>
      </c>
      <c r="AK78" s="134">
        <f>IF(AE78="","",IF(ISBLANK(AH78),"En cours",AE78+AH78))</f>
        <v>190</v>
      </c>
    </row>
    <row r="79" spans="2:37" ht="21" x14ac:dyDescent="0.35">
      <c r="B79" s="135" t="s">
        <v>283</v>
      </c>
      <c r="C79" s="135" t="s">
        <v>102</v>
      </c>
      <c r="D79" s="135">
        <v>26.5</v>
      </c>
      <c r="E79" s="135" t="s">
        <v>166</v>
      </c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>
        <v>80</v>
      </c>
      <c r="S79" s="135">
        <v>26</v>
      </c>
      <c r="T79" s="135">
        <v>100</v>
      </c>
      <c r="U79" s="135">
        <v>26</v>
      </c>
      <c r="V79" s="135"/>
      <c r="W79" s="135"/>
      <c r="X79" s="135"/>
      <c r="Y79" s="135"/>
      <c r="Z79" s="135"/>
      <c r="AA79" s="135"/>
      <c r="AB79" s="135"/>
      <c r="AC79" s="135"/>
      <c r="AD79" s="136">
        <f>IF(MIN(F79,J79,N79,R79,V79,Z79)&lt;&gt;0,MIN(F79,J79,N79,R79,V79,Z79),"")</f>
        <v>80</v>
      </c>
      <c r="AE79" s="136">
        <f>IF(MIN(H79,L79,P79,T79,X79,AB79)&lt;&gt;0,MIN(H79,L79,P79,T79,X79,AB79),"")</f>
        <v>100</v>
      </c>
      <c r="AF79" s="136">
        <v>70</v>
      </c>
      <c r="AG79" s="135">
        <v>5</v>
      </c>
      <c r="AH79" s="136">
        <v>90</v>
      </c>
      <c r="AI79" s="135">
        <v>9</v>
      </c>
      <c r="AJ79" s="134">
        <f>IF(AD79="","",IF(ISBLANK(AF79),"En cours",AD79+AF79))</f>
        <v>150</v>
      </c>
      <c r="AK79" s="134">
        <f>IF(AE79="","",IF(ISBLANK(AH79),"En cours",AE79+AH79))</f>
        <v>190</v>
      </c>
    </row>
    <row r="80" spans="2:37" ht="21" x14ac:dyDescent="0.35">
      <c r="B80" s="135" t="s">
        <v>179</v>
      </c>
      <c r="C80" s="135" t="s">
        <v>102</v>
      </c>
      <c r="D80" s="135">
        <v>29.1</v>
      </c>
      <c r="E80" s="135" t="s">
        <v>166</v>
      </c>
      <c r="F80" s="135">
        <v>75</v>
      </c>
      <c r="G80" s="135">
        <v>18</v>
      </c>
      <c r="H80" s="135">
        <v>98</v>
      </c>
      <c r="I80" s="135">
        <v>18</v>
      </c>
      <c r="J80" s="135"/>
      <c r="K80" s="135"/>
      <c r="L80" s="135"/>
      <c r="M80" s="135"/>
      <c r="N80" s="135">
        <v>69</v>
      </c>
      <c r="O80" s="135">
        <v>4</v>
      </c>
      <c r="P80" s="135">
        <v>92</v>
      </c>
      <c r="Q80" s="135">
        <v>8</v>
      </c>
      <c r="R80" s="135"/>
      <c r="S80" s="135"/>
      <c r="T80" s="135"/>
      <c r="U80" s="135"/>
      <c r="V80" s="135"/>
      <c r="W80" s="135"/>
      <c r="X80" s="135"/>
      <c r="Y80" s="135"/>
      <c r="Z80" s="135">
        <v>81</v>
      </c>
      <c r="AA80" s="135">
        <v>20</v>
      </c>
      <c r="AB80" s="135">
        <v>104</v>
      </c>
      <c r="AC80" s="135">
        <v>22</v>
      </c>
      <c r="AD80" s="136">
        <f>IF(MIN(F80,J80,N80,R80,V80,Z80)&lt;&gt;0,MIN(F80,J80,N80,R80,V80,Z80),"")</f>
        <v>69</v>
      </c>
      <c r="AE80" s="136">
        <f>IF(MIN(H80,L80,P80,T80,X80,AB80)&lt;&gt;0,MIN(H80,L80,P80,T80,X80,AB80),"")</f>
        <v>92</v>
      </c>
      <c r="AF80" s="136">
        <v>76</v>
      </c>
      <c r="AG80" s="135">
        <v>19</v>
      </c>
      <c r="AH80" s="136">
        <v>99</v>
      </c>
      <c r="AI80" s="135">
        <v>25</v>
      </c>
      <c r="AJ80" s="134">
        <f>IF(AD80="","",IF(ISBLANK(AF80),"En cours",AD80+AF80))</f>
        <v>145</v>
      </c>
      <c r="AK80" s="134">
        <f>IF(AE80="","",IF(ISBLANK(AH80),"En cours",AE80+AH80))</f>
        <v>191</v>
      </c>
    </row>
    <row r="81" spans="2:37" ht="21" x14ac:dyDescent="0.35">
      <c r="B81" s="135" t="s">
        <v>227</v>
      </c>
      <c r="C81" s="135" t="s">
        <v>102</v>
      </c>
      <c r="D81" s="135">
        <v>23</v>
      </c>
      <c r="E81" s="135" t="s">
        <v>161</v>
      </c>
      <c r="F81" s="135"/>
      <c r="G81" s="135"/>
      <c r="H81" s="135"/>
      <c r="I81" s="135"/>
      <c r="J81" s="135">
        <v>78</v>
      </c>
      <c r="K81" s="135">
        <v>23</v>
      </c>
      <c r="L81" s="135">
        <v>98</v>
      </c>
      <c r="M81" s="135">
        <v>25</v>
      </c>
      <c r="N81" s="135"/>
      <c r="O81" s="135"/>
      <c r="P81" s="135"/>
      <c r="Q81" s="135"/>
      <c r="R81" s="135">
        <v>74</v>
      </c>
      <c r="S81" s="135">
        <v>11</v>
      </c>
      <c r="T81" s="135">
        <v>94</v>
      </c>
      <c r="U81" s="135">
        <v>15</v>
      </c>
      <c r="V81" s="135"/>
      <c r="W81" s="135"/>
      <c r="X81" s="135"/>
      <c r="Y81" s="135"/>
      <c r="Z81" s="135"/>
      <c r="AA81" s="135"/>
      <c r="AB81" s="135"/>
      <c r="AC81" s="135"/>
      <c r="AD81" s="136">
        <f>IF(MIN(F81,J81,N81,R81,V81,Z81)&lt;&gt;0,MIN(F81,J81,N81,R81,V81,Z81),"")</f>
        <v>74</v>
      </c>
      <c r="AE81" s="136">
        <f>IF(MIN(H81,L81,P81,T81,X81,AB81)&lt;&gt;0,MIN(H81,L81,P81,T81,X81,AB81),"")</f>
        <v>94</v>
      </c>
      <c r="AF81" s="136">
        <v>77</v>
      </c>
      <c r="AG81" s="135">
        <v>20</v>
      </c>
      <c r="AH81" s="136">
        <v>97</v>
      </c>
      <c r="AI81" s="135">
        <v>23</v>
      </c>
      <c r="AJ81" s="134">
        <f>IF(AD81="","",IF(ISBLANK(AF81),"En cours",AD81+AF81))</f>
        <v>151</v>
      </c>
      <c r="AK81" s="134">
        <f>IF(AE81="","",IF(ISBLANK(AH81),"En cours",AE81+AH81))</f>
        <v>191</v>
      </c>
    </row>
    <row r="82" spans="2:37" ht="21" x14ac:dyDescent="0.35">
      <c r="B82" s="135" t="s">
        <v>158</v>
      </c>
      <c r="C82" s="135" t="s">
        <v>102</v>
      </c>
      <c r="D82" s="135">
        <v>14.3</v>
      </c>
      <c r="E82" s="135" t="s">
        <v>123</v>
      </c>
      <c r="F82" s="135">
        <v>89</v>
      </c>
      <c r="G82" s="135">
        <v>35</v>
      </c>
      <c r="H82" s="135">
        <v>102</v>
      </c>
      <c r="I82" s="135">
        <v>34</v>
      </c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6">
        <f>IF(MIN(F82,J82,N82,R82,V82,Z82)&lt;&gt;0,MIN(F82,J82,N82,R82,V82,Z82),"")</f>
        <v>89</v>
      </c>
      <c r="AE82" s="136">
        <f>IF(MIN(H82,L82,P82,T82,X82,AB82)&lt;&gt;0,MIN(H82,L82,P82,T82,X82,AB82),"")</f>
        <v>102</v>
      </c>
      <c r="AF82" s="136">
        <v>78</v>
      </c>
      <c r="AG82" s="135">
        <v>25</v>
      </c>
      <c r="AH82" s="136">
        <v>91</v>
      </c>
      <c r="AI82" s="135">
        <v>20</v>
      </c>
      <c r="AJ82" s="134">
        <f>IF(AD82="","",IF(ISBLANK(AF82),"En cours",AD82+AF82))</f>
        <v>167</v>
      </c>
      <c r="AK82" s="134">
        <f>IF(AE82="","",IF(ISBLANK(AH82),"En cours",AE82+AH82))</f>
        <v>193</v>
      </c>
    </row>
    <row r="83" spans="2:37" ht="21" x14ac:dyDescent="0.35">
      <c r="B83" s="135" t="s">
        <v>159</v>
      </c>
      <c r="C83" s="135" t="s">
        <v>102</v>
      </c>
      <c r="D83" s="135">
        <v>18.3</v>
      </c>
      <c r="E83" s="135" t="s">
        <v>123</v>
      </c>
      <c r="F83" s="135">
        <v>85</v>
      </c>
      <c r="G83" s="135">
        <v>33</v>
      </c>
      <c r="H83" s="135">
        <v>103</v>
      </c>
      <c r="I83" s="135">
        <v>35</v>
      </c>
      <c r="J83" s="135">
        <v>73</v>
      </c>
      <c r="K83" s="135">
        <v>10</v>
      </c>
      <c r="L83" s="135">
        <v>91</v>
      </c>
      <c r="M83" s="135">
        <v>17</v>
      </c>
      <c r="N83" s="135"/>
      <c r="O83" s="135"/>
      <c r="P83" s="135"/>
      <c r="Q83" s="135"/>
      <c r="R83" s="135">
        <v>86</v>
      </c>
      <c r="S83" s="135">
        <v>36</v>
      </c>
      <c r="T83" s="135">
        <v>104</v>
      </c>
      <c r="U83" s="135">
        <v>38</v>
      </c>
      <c r="V83" s="135"/>
      <c r="W83" s="135"/>
      <c r="X83" s="135"/>
      <c r="Y83" s="135"/>
      <c r="Z83" s="135"/>
      <c r="AA83" s="135"/>
      <c r="AB83" s="135"/>
      <c r="AC83" s="135"/>
      <c r="AD83" s="136">
        <f>IF(MIN(F83,J83,N83,R83,V83,Z83)&lt;&gt;0,MIN(F83,J83,N83,R83,V83,Z83),"")</f>
        <v>73</v>
      </c>
      <c r="AE83" s="136">
        <f>IF(MIN(H83,L83,P83,T83,X83,AB83)&lt;&gt;0,MIN(H83,L83,P83,T83,X83,AB83),"")</f>
        <v>91</v>
      </c>
      <c r="AF83" s="136">
        <v>87</v>
      </c>
      <c r="AG83" s="135">
        <v>42</v>
      </c>
      <c r="AH83" s="136">
        <v>105</v>
      </c>
      <c r="AI83" s="135">
        <v>42</v>
      </c>
      <c r="AJ83" s="134">
        <f>IF(AD83="","",IF(ISBLANK(AF83),"En cours",AD83+AF83))</f>
        <v>160</v>
      </c>
      <c r="AK83" s="134">
        <f>IF(AE83="","",IF(ISBLANK(AH83),"En cours",AE83+AH83))</f>
        <v>196</v>
      </c>
    </row>
    <row r="84" spans="2:37" ht="21" x14ac:dyDescent="0.35">
      <c r="B84" s="135" t="s">
        <v>243</v>
      </c>
      <c r="C84" s="135" t="s">
        <v>102</v>
      </c>
      <c r="D84" s="135">
        <v>23.3</v>
      </c>
      <c r="E84" s="135" t="s">
        <v>161</v>
      </c>
      <c r="F84" s="135"/>
      <c r="G84" s="135"/>
      <c r="H84" s="135"/>
      <c r="I84" s="135"/>
      <c r="J84" s="135"/>
      <c r="K84" s="135"/>
      <c r="L84" s="135"/>
      <c r="M84" s="135"/>
      <c r="N84" s="135">
        <v>75</v>
      </c>
      <c r="O84" s="135">
        <v>16</v>
      </c>
      <c r="P84" s="135">
        <v>95</v>
      </c>
      <c r="Q84" s="135">
        <v>16</v>
      </c>
      <c r="R84" s="135"/>
      <c r="S84" s="135"/>
      <c r="T84" s="135"/>
      <c r="U84" s="135"/>
      <c r="V84" s="135">
        <v>76</v>
      </c>
      <c r="W84" s="135">
        <v>12</v>
      </c>
      <c r="X84" s="135">
        <v>96</v>
      </c>
      <c r="Y84" s="135">
        <v>13</v>
      </c>
      <c r="Z84" s="135"/>
      <c r="AA84" s="135"/>
      <c r="AB84" s="135"/>
      <c r="AC84" s="135"/>
      <c r="AD84" s="136">
        <f>IF(MIN(F84,J84,N84,R84,V84,Z84)&lt;&gt;0,MIN(F84,J84,N84,R84,V84,Z84),"")</f>
        <v>75</v>
      </c>
      <c r="AE84" s="136">
        <f>IF(MIN(H84,L84,P84,T84,X84,AB84)&lt;&gt;0,MIN(H84,L84,P84,T84,X84,AB84),"")</f>
        <v>95</v>
      </c>
      <c r="AF84" s="136">
        <v>81</v>
      </c>
      <c r="AG84" s="135">
        <v>25</v>
      </c>
      <c r="AH84" s="136">
        <v>101</v>
      </c>
      <c r="AI84" s="135">
        <v>28</v>
      </c>
      <c r="AJ84" s="134">
        <f>IF(AD84="","",IF(ISBLANK(AF84),"En cours",AD84+AF84))</f>
        <v>156</v>
      </c>
      <c r="AK84" s="134">
        <f>IF(AE84="","",IF(ISBLANK(AH84),"En cours",AE84+AH84))</f>
        <v>196</v>
      </c>
    </row>
    <row r="85" spans="2:37" ht="21" x14ac:dyDescent="0.35">
      <c r="B85" s="135" t="s">
        <v>250</v>
      </c>
      <c r="C85" s="135" t="s">
        <v>102</v>
      </c>
      <c r="D85" s="135">
        <v>27.7</v>
      </c>
      <c r="E85" s="135" t="s">
        <v>166</v>
      </c>
      <c r="F85" s="135"/>
      <c r="G85" s="135"/>
      <c r="H85" s="135"/>
      <c r="I85" s="135"/>
      <c r="J85" s="135"/>
      <c r="K85" s="135"/>
      <c r="L85" s="135"/>
      <c r="M85" s="135"/>
      <c r="N85" s="135">
        <v>82</v>
      </c>
      <c r="O85" s="135">
        <v>30</v>
      </c>
      <c r="P85" s="135">
        <v>103</v>
      </c>
      <c r="Q85" s="135">
        <v>30</v>
      </c>
      <c r="R85" s="135"/>
      <c r="S85" s="135"/>
      <c r="T85" s="135"/>
      <c r="U85" s="135"/>
      <c r="V85" s="135">
        <v>81</v>
      </c>
      <c r="W85" s="135">
        <v>19</v>
      </c>
      <c r="X85" s="135">
        <v>102</v>
      </c>
      <c r="Y85" s="135">
        <v>18</v>
      </c>
      <c r="Z85" s="135"/>
      <c r="AA85" s="135"/>
      <c r="AB85" s="135"/>
      <c r="AC85" s="135"/>
      <c r="AD85" s="136">
        <f>IF(MIN(F85,J85,N85,R85,V85,Z85)&lt;&gt;0,MIN(F85,J85,N85,R85,V85,Z85),"")</f>
        <v>81</v>
      </c>
      <c r="AE85" s="136">
        <f>IF(MIN(H85,L85,P85,T85,X85,AB85)&lt;&gt;0,MIN(H85,L85,P85,T85,X85,AB85),"")</f>
        <v>102</v>
      </c>
      <c r="AF85" s="136">
        <v>85</v>
      </c>
      <c r="AG85" s="135">
        <v>29</v>
      </c>
      <c r="AH85" s="136">
        <v>106</v>
      </c>
      <c r="AI85" s="135">
        <v>29</v>
      </c>
      <c r="AJ85" s="134">
        <f>IF(AD85="","",IF(ISBLANK(AF85),"En cours",AD85+AF85))</f>
        <v>166</v>
      </c>
      <c r="AK85" s="134">
        <f>IF(AE85="","",IF(ISBLANK(AH85),"En cours",AE85+AH85))</f>
        <v>208</v>
      </c>
    </row>
    <row r="86" spans="2:37" ht="21" x14ac:dyDescent="0.35">
      <c r="B86" s="135" t="s">
        <v>310</v>
      </c>
      <c r="C86" s="135" t="s">
        <v>107</v>
      </c>
      <c r="D86" s="135">
        <v>10.4</v>
      </c>
      <c r="E86" s="135" t="s">
        <v>103</v>
      </c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5"/>
      <c r="AD86" s="136" t="str">
        <f>IF(MIN(F86,J86,N86,R86,V86,Z86)&lt;&gt;0,MIN(F86,J86,N86,R86,V86,Z86),"")</f>
        <v/>
      </c>
      <c r="AE86" s="136" t="str">
        <f>IF(MIN(H86,L86,P86,T86,X86,AB86)&lt;&gt;0,MIN(H86,L86,P86,T86,X86,AB86),"")</f>
        <v/>
      </c>
      <c r="AF86" s="136">
        <v>78</v>
      </c>
      <c r="AG86" s="135">
        <v>11</v>
      </c>
      <c r="AH86" s="136">
        <v>91</v>
      </c>
      <c r="AI86" s="135">
        <v>14</v>
      </c>
      <c r="AJ86" s="134" t="str">
        <f>IF(AD86="","",IF(ISBLANK(AF86),"En cours",AD86+AF86))</f>
        <v/>
      </c>
      <c r="AK86" s="134" t="str">
        <f>IF(AE86="","",IF(ISBLANK(AH86),"En cours",AE86+AH86))</f>
        <v/>
      </c>
    </row>
    <row r="87" spans="2:37" ht="21" x14ac:dyDescent="0.35">
      <c r="B87" s="135" t="s">
        <v>311</v>
      </c>
      <c r="C87" s="135" t="s">
        <v>102</v>
      </c>
      <c r="D87" s="135">
        <v>15.4</v>
      </c>
      <c r="E87" s="135" t="s">
        <v>123</v>
      </c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6" t="str">
        <f>IF(MIN(F87,J87,N87,R87,V87,Z87)&lt;&gt;0,MIN(F87,J87,N87,R87,V87,Z87),"")</f>
        <v/>
      </c>
      <c r="AE87" s="136" t="str">
        <f>IF(MIN(H87,L87,P87,T87,X87,AB87)&lt;&gt;0,MIN(H87,L87,P87,T87,X87,AB87),"")</f>
        <v/>
      </c>
      <c r="AF87" s="136">
        <v>78</v>
      </c>
      <c r="AG87" s="135">
        <v>27</v>
      </c>
      <c r="AH87" s="136">
        <v>93</v>
      </c>
      <c r="AI87" s="135">
        <v>27</v>
      </c>
      <c r="AJ87" s="134" t="str">
        <f>IF(AD87="","",IF(ISBLANK(AF87),"En cours",AD87+AF87))</f>
        <v/>
      </c>
      <c r="AK87" s="134" t="str">
        <f>IF(AE87="","",IF(ISBLANK(AH87),"En cours",AE87+AH87))</f>
        <v/>
      </c>
    </row>
    <row r="88" spans="2:37" ht="21" x14ac:dyDescent="0.35">
      <c r="B88" s="135" t="s">
        <v>312</v>
      </c>
      <c r="C88" s="135" t="s">
        <v>102</v>
      </c>
      <c r="D88" s="135">
        <v>14.5</v>
      </c>
      <c r="E88" s="135" t="s">
        <v>123</v>
      </c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6" t="str">
        <f>IF(MIN(F88,J88,N88,R88,V88,Z88)&lt;&gt;0,MIN(F88,J88,N88,R88,V88,Z88),"")</f>
        <v/>
      </c>
      <c r="AE88" s="136" t="str">
        <f>IF(MIN(H88,L88,P88,T88,X88,AB88)&lt;&gt;0,MIN(H88,L88,P88,T88,X88,AB88),"")</f>
        <v/>
      </c>
      <c r="AF88" s="136">
        <v>84</v>
      </c>
      <c r="AG88" s="135">
        <v>40</v>
      </c>
      <c r="AH88" s="136">
        <v>98</v>
      </c>
      <c r="AI88" s="135">
        <v>40</v>
      </c>
      <c r="AJ88" s="134" t="str">
        <f>IF(AD88="","",IF(ISBLANK(AF88),"En cours",AD88+AF88))</f>
        <v/>
      </c>
      <c r="AK88" s="134" t="str">
        <f>IF(AE88="","",IF(ISBLANK(AH88),"En cours",AE88+AH88))</f>
        <v/>
      </c>
    </row>
    <row r="89" spans="2:37" ht="21" x14ac:dyDescent="0.35">
      <c r="B89" s="135" t="s">
        <v>313</v>
      </c>
      <c r="C89" s="135" t="s">
        <v>102</v>
      </c>
      <c r="D89" s="135">
        <v>19.3</v>
      </c>
      <c r="E89" s="135" t="s">
        <v>161</v>
      </c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6" t="str">
        <f>IF(MIN(F89,J89,N89,R89,V89,Z89)&lt;&gt;0,MIN(F89,J89,N89,R89,V89,Z89),"")</f>
        <v/>
      </c>
      <c r="AE89" s="136" t="str">
        <f>IF(MIN(H89,L89,P89,T89,X89,AB89)&lt;&gt;0,MIN(H89,L89,P89,T89,X89,AB89),"")</f>
        <v/>
      </c>
      <c r="AF89" s="136">
        <v>83</v>
      </c>
      <c r="AG89" s="135">
        <v>28</v>
      </c>
      <c r="AH89" s="136">
        <v>99</v>
      </c>
      <c r="AI89" s="135">
        <v>26</v>
      </c>
      <c r="AJ89" s="134" t="str">
        <f>IF(AD89="","",IF(ISBLANK(AF89),"En cours",AD89+AF89))</f>
        <v/>
      </c>
      <c r="AK89" s="134" t="str">
        <f>IF(AE89="","",IF(ISBLANK(AH89),"En cours",AE89+AH89))</f>
        <v/>
      </c>
    </row>
    <row r="90" spans="2:37" ht="21" x14ac:dyDescent="0.35"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6" t="str">
        <f>IF(MIN(F90,J90,N90,R90,V90,Z90)&lt;&gt;0,MIN(F90,J90,N90,R90,V90,Z90),"")</f>
        <v/>
      </c>
      <c r="AE90" s="136" t="str">
        <f>IF(MIN(H90,L90,P90,T90,X90,AB90)&lt;&gt;0,MIN(H90,L90,P90,T90,X90,AB90),"")</f>
        <v/>
      </c>
      <c r="AF90" s="136"/>
      <c r="AG90" s="135"/>
      <c r="AH90" s="136"/>
      <c r="AI90" s="135"/>
      <c r="AJ90" s="134" t="str">
        <f>IF(AD90="","",IF(ISBLANK(AF90),"En cours",AD90+AF90))</f>
        <v/>
      </c>
      <c r="AK90" s="134" t="str">
        <f>IF(AE90="","",IF(ISBLANK(AH90),"En cours",AE90+AH90))</f>
        <v/>
      </c>
    </row>
    <row r="91" spans="2:37" ht="21" x14ac:dyDescent="0.35"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  <c r="U91" s="135"/>
      <c r="V91" s="135"/>
      <c r="W91" s="135"/>
      <c r="X91" s="135"/>
      <c r="Y91" s="135"/>
      <c r="Z91" s="135"/>
      <c r="AA91" s="135"/>
      <c r="AB91" s="135"/>
      <c r="AC91" s="135"/>
      <c r="AD91" s="136" t="str">
        <f>IF(MIN(F91,J91,N91,R91,V91,Z91)&lt;&gt;0,MIN(F91,J91,N91,R91,V91,Z91),"")</f>
        <v/>
      </c>
      <c r="AE91" s="136" t="str">
        <f>IF(MIN(H91,L91,P91,T91,X91,AB91)&lt;&gt;0,MIN(H91,L91,P91,T91,X91,AB91),"")</f>
        <v/>
      </c>
      <c r="AF91" s="136"/>
      <c r="AG91" s="135"/>
      <c r="AH91" s="136"/>
      <c r="AI91" s="135"/>
      <c r="AJ91" s="134" t="str">
        <f>IF(AD91="","",IF(ISBLANK(AF91),"En cours",AD91+AF91))</f>
        <v/>
      </c>
      <c r="AK91" s="134" t="str">
        <f>IF(AE91="","",IF(ISBLANK(AH91),"En cours",AE91+AH91))</f>
        <v/>
      </c>
    </row>
    <row r="92" spans="2:37" ht="21" x14ac:dyDescent="0.35"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6" t="str">
        <f>IF(MIN(F92,J92,N92,R92,V92,Z92)&lt;&gt;0,MIN(F92,J92,N92,R92,V92,Z92),"")</f>
        <v/>
      </c>
      <c r="AE92" s="136" t="str">
        <f>IF(MIN(H92,L92,P92,T92,X92,AB92)&lt;&gt;0,MIN(H92,L92,P92,T92,X92,AB92),"")</f>
        <v/>
      </c>
      <c r="AF92" s="136"/>
      <c r="AG92" s="135"/>
      <c r="AH92" s="136"/>
      <c r="AI92" s="135"/>
      <c r="AJ92" s="134" t="str">
        <f>IF(AD92="","",IF(ISBLANK(AF92),"En cours",AD92+AF92))</f>
        <v/>
      </c>
      <c r="AK92" s="134" t="str">
        <f>IF(AE92="","",IF(ISBLANK(AH92),"En cours",AE92+AH92))</f>
        <v/>
      </c>
    </row>
    <row r="93" spans="2:37" ht="21" x14ac:dyDescent="0.35"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  <c r="U93" s="135"/>
      <c r="V93" s="135"/>
      <c r="W93" s="135"/>
      <c r="X93" s="135"/>
      <c r="Y93" s="135"/>
      <c r="Z93" s="135"/>
      <c r="AA93" s="135"/>
      <c r="AB93" s="135"/>
      <c r="AC93" s="135"/>
      <c r="AD93" s="136" t="str">
        <f>IF(MIN(F93,J93,N93,R93,V93,Z93)&lt;&gt;0,MIN(F93,J93,N93,R93,V93,Z93),"")</f>
        <v/>
      </c>
      <c r="AE93" s="136" t="str">
        <f>IF(MIN(H93,L93,P93,T93,X93,AB93)&lt;&gt;0,MIN(H93,L93,P93,T93,X93,AB93),"")</f>
        <v/>
      </c>
      <c r="AF93" s="136"/>
      <c r="AG93" s="135"/>
      <c r="AH93" s="136"/>
      <c r="AI93" s="135"/>
      <c r="AJ93" s="134" t="str">
        <f>IF(AD93="","",IF(ISBLANK(AF93),"En cours",AD93+AF93))</f>
        <v/>
      </c>
      <c r="AK93" s="134" t="str">
        <f>IF(AE93="","",IF(ISBLANK(AH93),"En cours",AE93+AH93))</f>
        <v/>
      </c>
    </row>
    <row r="94" spans="2:37" ht="21" x14ac:dyDescent="0.35"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  <c r="U94" s="135"/>
      <c r="V94" s="135"/>
      <c r="W94" s="135"/>
      <c r="X94" s="135"/>
      <c r="Y94" s="135"/>
      <c r="Z94" s="135"/>
      <c r="AA94" s="135"/>
      <c r="AB94" s="135"/>
      <c r="AC94" s="135"/>
      <c r="AD94" s="136" t="str">
        <f>IF(MIN(F94,J94,N94,R94,V94,Z94)&lt;&gt;0,MIN(F94,J94,N94,R94,V94,Z94),"")</f>
        <v/>
      </c>
      <c r="AE94" s="136" t="str">
        <f>IF(MIN(H94,L94,P94,T94,X94,AB94)&lt;&gt;0,MIN(H94,L94,P94,T94,X94,AB94),"")</f>
        <v/>
      </c>
      <c r="AF94" s="136"/>
      <c r="AG94" s="135"/>
      <c r="AH94" s="136"/>
      <c r="AI94" s="135"/>
      <c r="AJ94" s="134" t="str">
        <f>IF(AD94="","",IF(ISBLANK(AF94),"En cours",AD94+AF94))</f>
        <v/>
      </c>
      <c r="AK94" s="134" t="str">
        <f>IF(AE94="","",IF(ISBLANK(AH94),"En cours",AE94+AH94))</f>
        <v/>
      </c>
    </row>
    <row r="95" spans="2:37" ht="21" x14ac:dyDescent="0.35"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  <c r="U95" s="135"/>
      <c r="V95" s="135"/>
      <c r="W95" s="135"/>
      <c r="X95" s="135"/>
      <c r="Y95" s="135"/>
      <c r="Z95" s="135"/>
      <c r="AA95" s="135"/>
      <c r="AB95" s="135"/>
      <c r="AC95" s="135"/>
      <c r="AD95" s="136" t="str">
        <f>IF(MIN(F95,J95,N95,R95,V95,Z95)&lt;&gt;0,MIN(F95,J95,N95,R95,V95,Z95),"")</f>
        <v/>
      </c>
      <c r="AE95" s="136" t="str">
        <f>IF(MIN(H95,L95,P95,T95,X95,AB95)&lt;&gt;0,MIN(H95,L95,P95,T95,X95,AB95),"")</f>
        <v/>
      </c>
      <c r="AF95" s="136"/>
      <c r="AG95" s="135"/>
      <c r="AH95" s="136"/>
      <c r="AI95" s="135"/>
      <c r="AJ95" s="134" t="str">
        <f>IF(AD95="","",IF(ISBLANK(AF95),"En cours",AD95+AF95))</f>
        <v/>
      </c>
      <c r="AK95" s="134" t="str">
        <f>IF(AE95="","",IF(ISBLANK(AH95),"En cours",AE95+AH95))</f>
        <v/>
      </c>
    </row>
    <row r="96" spans="2:37" ht="21" x14ac:dyDescent="0.35"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135"/>
      <c r="AC96" s="135"/>
      <c r="AD96" s="136" t="str">
        <f>IF(MIN(F96,J96,N96,R96,V96,Z96)&lt;&gt;0,MIN(F96,J96,N96,R96,V96,Z96),"")</f>
        <v/>
      </c>
      <c r="AE96" s="136" t="str">
        <f>IF(MIN(H96,L96,P96,T96,X96,AB96)&lt;&gt;0,MIN(H96,L96,P96,T96,X96,AB96),"")</f>
        <v/>
      </c>
      <c r="AF96" s="136"/>
      <c r="AG96" s="135"/>
      <c r="AH96" s="136"/>
      <c r="AI96" s="135"/>
      <c r="AJ96" s="134" t="str">
        <f>IF(AD96="","",IF(ISBLANK(AF96),"En cours",AD96+AF96))</f>
        <v/>
      </c>
      <c r="AK96" s="134" t="str">
        <f>IF(AE96="","",IF(ISBLANK(AH96),"En cours",AE96+AH96))</f>
        <v/>
      </c>
    </row>
    <row r="97" spans="2:37" ht="21" x14ac:dyDescent="0.35"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135"/>
      <c r="AD97" s="136" t="str">
        <f>IF(MIN(F97,J97,N97,R97,V97,Z97)&lt;&gt;0,MIN(F97,J97,N97,R97,V97,Z97),"")</f>
        <v/>
      </c>
      <c r="AE97" s="136" t="str">
        <f>IF(MIN(H97,L97,P97,T97,X97,AB97)&lt;&gt;0,MIN(H97,L97,P97,T97,X97,AB97),"")</f>
        <v/>
      </c>
      <c r="AF97" s="136"/>
      <c r="AG97" s="135"/>
      <c r="AH97" s="136"/>
      <c r="AI97" s="135"/>
      <c r="AJ97" s="134" t="str">
        <f>IF(AD97="","",IF(ISBLANK(AF97),"En cours",AD97+AF97))</f>
        <v/>
      </c>
      <c r="AK97" s="134" t="str">
        <f>IF(AE97="","",IF(ISBLANK(AH97),"En cours",AE97+AH97))</f>
        <v/>
      </c>
    </row>
    <row r="98" spans="2:37" ht="21" x14ac:dyDescent="0.35"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6" t="str">
        <f>IF(MIN(F98,J98,N98,R98,V98,Z98)&lt;&gt;0,MIN(F98,J98,N98,R98,V98,Z98),"")</f>
        <v/>
      </c>
      <c r="AE98" s="136" t="str">
        <f>IF(MIN(H98,L98,P98,T98,X98,AB98)&lt;&gt;0,MIN(H98,L98,P98,T98,X98,AB98),"")</f>
        <v/>
      </c>
      <c r="AF98" s="136"/>
      <c r="AG98" s="135"/>
      <c r="AH98" s="136"/>
      <c r="AI98" s="135"/>
      <c r="AJ98" s="134" t="str">
        <f>IF(AD98="","",IF(ISBLANK(AF98),"En cours",AD98+AF98))</f>
        <v/>
      </c>
      <c r="AK98" s="134" t="str">
        <f>IF(AE98="","",IF(ISBLANK(AH98),"En cours",AE98+AH98))</f>
        <v/>
      </c>
    </row>
    <row r="99" spans="2:37" ht="21" x14ac:dyDescent="0.35"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6" t="str">
        <f>IF(MIN(F99,J99,N99,R99,V99,Z99)&lt;&gt;0,MIN(F99,J99,N99,R99,V99,Z99),"")</f>
        <v/>
      </c>
      <c r="AE99" s="136" t="str">
        <f>IF(MIN(H99,L99,P99,T99,X99,AB99)&lt;&gt;0,MIN(H99,L99,P99,T99,X99,AB99),"")</f>
        <v/>
      </c>
      <c r="AF99" s="136"/>
      <c r="AG99" s="135"/>
      <c r="AH99" s="136"/>
      <c r="AI99" s="135"/>
      <c r="AJ99" s="134" t="str">
        <f>IF(AD99="","",IF(ISBLANK(AF99),"En cours",AD99+AF99))</f>
        <v/>
      </c>
      <c r="AK99" s="134" t="str">
        <f>IF(AE99="","",IF(ISBLANK(AH99),"En cours",AE99+AH99))</f>
        <v/>
      </c>
    </row>
    <row r="100" spans="2:37" ht="21" x14ac:dyDescent="0.35"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35"/>
      <c r="Z100" s="135"/>
      <c r="AA100" s="135"/>
      <c r="AB100" s="135"/>
      <c r="AC100" s="135"/>
      <c r="AD100" s="136" t="str">
        <f>IF(MIN(F100,J100,N100,R100,V100,Z100)&lt;&gt;0,MIN(F100,J100,N100,R100,V100,Z100),"")</f>
        <v/>
      </c>
      <c r="AE100" s="136" t="str">
        <f>IF(MIN(H100,L100,P100,T100,X100,AB100)&lt;&gt;0,MIN(H100,L100,P100,T100,X100,AB100),"")</f>
        <v/>
      </c>
      <c r="AF100" s="136"/>
      <c r="AG100" s="135"/>
      <c r="AH100" s="136"/>
      <c r="AI100" s="135"/>
      <c r="AJ100" s="134" t="str">
        <f>IF(AD100="","",IF(ISBLANK(AF100),"En cours",AD100+AF100))</f>
        <v/>
      </c>
      <c r="AK100" s="134" t="str">
        <f>IF(AE100="","",IF(ISBLANK(AH100),"En cours",AE100+AH100))</f>
        <v/>
      </c>
    </row>
    <row r="101" spans="2:37" ht="21" x14ac:dyDescent="0.35">
      <c r="B101" s="135"/>
      <c r="C101" s="135"/>
      <c r="D101" s="135"/>
      <c r="E101" s="135"/>
      <c r="F101" s="135"/>
      <c r="G101" s="135"/>
      <c r="H101" s="135"/>
      <c r="I101" s="135"/>
      <c r="J101" s="135"/>
      <c r="K101" s="135"/>
      <c r="L101" s="135"/>
      <c r="M101" s="135"/>
      <c r="N101" s="135"/>
      <c r="O101" s="135"/>
      <c r="P101" s="135"/>
      <c r="Q101" s="135"/>
      <c r="R101" s="135"/>
      <c r="S101" s="135"/>
      <c r="T101" s="135"/>
      <c r="U101" s="135"/>
      <c r="V101" s="135"/>
      <c r="W101" s="135"/>
      <c r="X101" s="135"/>
      <c r="Y101" s="135"/>
      <c r="Z101" s="135"/>
      <c r="AA101" s="135"/>
      <c r="AB101" s="135"/>
      <c r="AC101" s="135"/>
      <c r="AD101" s="136" t="str">
        <f>IF(MIN(F101,J101,N101,R101,V101,Z101)&lt;&gt;0,MIN(F101,J101,N101,R101,V101,Z101),"")</f>
        <v/>
      </c>
      <c r="AE101" s="136" t="str">
        <f>IF(MIN(H101,L101,P101,T101,X101,AB101)&lt;&gt;0,MIN(H101,L101,P101,T101,X101,AB101),"")</f>
        <v/>
      </c>
      <c r="AF101" s="136"/>
      <c r="AG101" s="135"/>
      <c r="AH101" s="136"/>
      <c r="AI101" s="135"/>
      <c r="AJ101" s="134" t="str">
        <f>IF(AD101="","",IF(ISBLANK(AF101),"En cours",AD101+AF101))</f>
        <v/>
      </c>
      <c r="AK101" s="134" t="str">
        <f>IF(AE101="","",IF(ISBLANK(AH101),"En cours",AE101+AH101))</f>
        <v/>
      </c>
    </row>
    <row r="102" spans="2:37" ht="21" x14ac:dyDescent="0.35">
      <c r="B102" s="135"/>
      <c r="C102" s="135"/>
      <c r="D102" s="135"/>
      <c r="E102" s="135"/>
      <c r="F102" s="135"/>
      <c r="G102" s="135"/>
      <c r="H102" s="135"/>
      <c r="I102" s="135"/>
      <c r="J102" s="135"/>
      <c r="K102" s="135"/>
      <c r="L102" s="135"/>
      <c r="M102" s="135"/>
      <c r="N102" s="135"/>
      <c r="O102" s="135"/>
      <c r="P102" s="135"/>
      <c r="Q102" s="135"/>
      <c r="R102" s="135"/>
      <c r="S102" s="135"/>
      <c r="T102" s="135"/>
      <c r="U102" s="135"/>
      <c r="V102" s="135"/>
      <c r="W102" s="135"/>
      <c r="X102" s="135"/>
      <c r="Y102" s="135"/>
      <c r="Z102" s="135"/>
      <c r="AA102" s="135"/>
      <c r="AB102" s="135"/>
      <c r="AC102" s="135"/>
      <c r="AD102" s="136" t="str">
        <f>IF(MIN(F102,J102,N102,R102,V102,Z102)&lt;&gt;0,MIN(F102,J102,N102,R102,V102,Z102),"")</f>
        <v/>
      </c>
      <c r="AE102" s="136" t="str">
        <f>IF(MIN(H102,L102,P102,T102,X102,AB102)&lt;&gt;0,MIN(H102,L102,P102,T102,X102,AB102),"")</f>
        <v/>
      </c>
      <c r="AF102" s="136"/>
      <c r="AG102" s="135"/>
      <c r="AH102" s="136"/>
      <c r="AI102" s="135"/>
      <c r="AJ102" s="134" t="str">
        <f>IF(AD102="","",IF(ISBLANK(AF102),"En cours",AD102+AF102))</f>
        <v/>
      </c>
      <c r="AK102" s="134" t="str">
        <f>IF(AE102="","",IF(ISBLANK(AH102),"En cours",AE102+AH102))</f>
        <v/>
      </c>
    </row>
    <row r="103" spans="2:37" ht="21" x14ac:dyDescent="0.35">
      <c r="B103" s="135"/>
      <c r="C103" s="135"/>
      <c r="D103" s="135"/>
      <c r="E103" s="135"/>
      <c r="F103" s="135"/>
      <c r="G103" s="135"/>
      <c r="H103" s="135"/>
      <c r="I103" s="135"/>
      <c r="J103" s="135"/>
      <c r="K103" s="135"/>
      <c r="L103" s="135"/>
      <c r="M103" s="135"/>
      <c r="N103" s="135"/>
      <c r="O103" s="135"/>
      <c r="P103" s="135"/>
      <c r="Q103" s="135"/>
      <c r="R103" s="135"/>
      <c r="S103" s="135"/>
      <c r="T103" s="135"/>
      <c r="U103" s="135"/>
      <c r="V103" s="135"/>
      <c r="W103" s="135"/>
      <c r="X103" s="135"/>
      <c r="Y103" s="135"/>
      <c r="Z103" s="135"/>
      <c r="AA103" s="135"/>
      <c r="AB103" s="135"/>
      <c r="AC103" s="135"/>
      <c r="AD103" s="136" t="str">
        <f>IF(MIN(F103,J103,N103,R103,V103,Z103)&lt;&gt;0,MIN(F103,J103,N103,R103,V103,Z103),"")</f>
        <v/>
      </c>
      <c r="AE103" s="136" t="str">
        <f>IF(MIN(H103,L103,P103,T103,X103,AB103)&lt;&gt;0,MIN(H103,L103,P103,T103,X103,AB103),"")</f>
        <v/>
      </c>
      <c r="AF103" s="136"/>
      <c r="AG103" s="135"/>
      <c r="AH103" s="136"/>
      <c r="AI103" s="135"/>
      <c r="AJ103" s="134" t="str">
        <f>IF(AD103="","",IF(ISBLANK(AF103),"En cours",AD103+AF103))</f>
        <v/>
      </c>
      <c r="AK103" s="134" t="str">
        <f>IF(AE103="","",IF(ISBLANK(AH103),"En cours",AE103+AH103))</f>
        <v/>
      </c>
    </row>
    <row r="104" spans="2:37" ht="21" x14ac:dyDescent="0.35">
      <c r="B104" s="135"/>
      <c r="C104" s="135"/>
      <c r="D104" s="135"/>
      <c r="E104" s="135"/>
      <c r="F104" s="135"/>
      <c r="G104" s="135"/>
      <c r="H104" s="135"/>
      <c r="I104" s="135"/>
      <c r="J104" s="135"/>
      <c r="K104" s="135"/>
      <c r="L104" s="135"/>
      <c r="M104" s="135"/>
      <c r="N104" s="135"/>
      <c r="O104" s="135"/>
      <c r="P104" s="135"/>
      <c r="Q104" s="135"/>
      <c r="R104" s="135"/>
      <c r="S104" s="135"/>
      <c r="T104" s="135"/>
      <c r="U104" s="135"/>
      <c r="V104" s="135"/>
      <c r="W104" s="135"/>
      <c r="X104" s="135"/>
      <c r="Y104" s="135"/>
      <c r="Z104" s="135"/>
      <c r="AA104" s="135"/>
      <c r="AB104" s="135"/>
      <c r="AC104" s="135"/>
      <c r="AD104" s="136" t="str">
        <f>IF(MIN(F104,J104,N104,R104,V104,Z104)&lt;&gt;0,MIN(F104,J104,N104,R104,V104,Z104),"")</f>
        <v/>
      </c>
      <c r="AE104" s="136" t="str">
        <f>IF(MIN(H104,L104,P104,T104,X104,AB104)&lt;&gt;0,MIN(H104,L104,P104,T104,X104,AB104),"")</f>
        <v/>
      </c>
      <c r="AF104" s="136"/>
      <c r="AG104" s="135"/>
      <c r="AH104" s="136"/>
      <c r="AI104" s="135"/>
      <c r="AJ104" s="134" t="str">
        <f>IF(AD104="","",IF(ISBLANK(AF104),"En cours",AD104+AF104))</f>
        <v/>
      </c>
      <c r="AK104" s="134" t="str">
        <f>IF(AE104="","",IF(ISBLANK(AH104),"En cours",AE104+AH104))</f>
        <v/>
      </c>
    </row>
    <row r="105" spans="2:37" ht="21" x14ac:dyDescent="0.35">
      <c r="B105" s="135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6" t="str">
        <f>IF(MIN(F105,J105,N105,R105,V105,Z105)&lt;&gt;0,MIN(F105,J105,N105,R105,V105,Z105),"")</f>
        <v/>
      </c>
      <c r="AE105" s="136" t="str">
        <f>IF(MIN(H105,L105,P105,T105,X105,AB105)&lt;&gt;0,MIN(H105,L105,P105,T105,X105,AB105),"")</f>
        <v/>
      </c>
      <c r="AF105" s="136"/>
      <c r="AG105" s="135"/>
      <c r="AH105" s="136"/>
      <c r="AI105" s="135"/>
      <c r="AJ105" s="134" t="str">
        <f>IF(AD105="","",IF(ISBLANK(AF105),"En cours",AD105+AF105))</f>
        <v/>
      </c>
      <c r="AK105" s="134" t="str">
        <f>IF(AE105="","",IF(ISBLANK(AH105),"En cours",AE105+AH105))</f>
        <v/>
      </c>
    </row>
    <row r="106" spans="2:37" ht="21" x14ac:dyDescent="0.35"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  <c r="U106" s="135"/>
      <c r="V106" s="135"/>
      <c r="W106" s="135"/>
      <c r="X106" s="135"/>
      <c r="Y106" s="135"/>
      <c r="Z106" s="135"/>
      <c r="AA106" s="135"/>
      <c r="AB106" s="135"/>
      <c r="AC106" s="135"/>
      <c r="AD106" s="136" t="str">
        <f>IF(MIN(F106,J106,N106,R106,V106,Z106)&lt;&gt;0,MIN(F106,J106,N106,R106,V106,Z106),"")</f>
        <v/>
      </c>
      <c r="AE106" s="136" t="str">
        <f>IF(MIN(H106,L106,P106,T106,X106,AB106)&lt;&gt;0,MIN(H106,L106,P106,T106,X106,AB106),"")</f>
        <v/>
      </c>
      <c r="AF106" s="136"/>
      <c r="AG106" s="135"/>
      <c r="AH106" s="136"/>
      <c r="AI106" s="135"/>
      <c r="AJ106" s="134" t="str">
        <f>IF(AD106="","",IF(ISBLANK(AF106),"En cours",AD106+AF106))</f>
        <v/>
      </c>
      <c r="AK106" s="134" t="str">
        <f>IF(AE106="","",IF(ISBLANK(AH106),"En cours",AE106+AH106))</f>
        <v/>
      </c>
    </row>
    <row r="107" spans="2:37" ht="21" x14ac:dyDescent="0.35">
      <c r="B107" s="135"/>
      <c r="C107" s="135"/>
      <c r="D107" s="135"/>
      <c r="E107" s="135"/>
      <c r="F107" s="135"/>
      <c r="G107" s="135"/>
      <c r="H107" s="135"/>
      <c r="I107" s="135"/>
      <c r="J107" s="135"/>
      <c r="K107" s="135"/>
      <c r="L107" s="135"/>
      <c r="M107" s="135"/>
      <c r="N107" s="135"/>
      <c r="O107" s="135"/>
      <c r="P107" s="135"/>
      <c r="Q107" s="135"/>
      <c r="R107" s="135"/>
      <c r="S107" s="135"/>
      <c r="T107" s="135"/>
      <c r="U107" s="135"/>
      <c r="V107" s="135"/>
      <c r="W107" s="135"/>
      <c r="X107" s="135"/>
      <c r="Y107" s="135"/>
      <c r="Z107" s="135"/>
      <c r="AA107" s="135"/>
      <c r="AB107" s="135"/>
      <c r="AC107" s="135"/>
      <c r="AD107" s="136" t="str">
        <f>IF(MIN(F107,J107,N107,R107,V107,Z107)&lt;&gt;0,MIN(F107,J107,N107,R107,V107,Z107),"")</f>
        <v/>
      </c>
      <c r="AE107" s="136" t="str">
        <f>IF(MIN(H107,L107,P107,T107,X107,AB107)&lt;&gt;0,MIN(H107,L107,P107,T107,X107,AB107),"")</f>
        <v/>
      </c>
      <c r="AF107" s="136"/>
      <c r="AG107" s="135"/>
      <c r="AH107" s="136"/>
      <c r="AI107" s="135"/>
      <c r="AJ107" s="134" t="str">
        <f>IF(AD107="","",IF(ISBLANK(AF107),"En cours",AD107+AF107))</f>
        <v/>
      </c>
      <c r="AK107" s="134" t="str">
        <f>IF(AE107="","",IF(ISBLANK(AH107),"En cours",AE107+AH107))</f>
        <v/>
      </c>
    </row>
    <row r="108" spans="2:37" ht="21" x14ac:dyDescent="0.35">
      <c r="B108" s="135"/>
      <c r="C108" s="135"/>
      <c r="D108" s="135"/>
      <c r="E108" s="135"/>
      <c r="F108" s="135"/>
      <c r="G108" s="135"/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35"/>
      <c r="T108" s="135"/>
      <c r="U108" s="135"/>
      <c r="V108" s="135"/>
      <c r="W108" s="135"/>
      <c r="X108" s="135"/>
      <c r="Y108" s="135"/>
      <c r="Z108" s="135"/>
      <c r="AA108" s="135"/>
      <c r="AB108" s="135"/>
      <c r="AC108" s="135"/>
      <c r="AD108" s="136" t="str">
        <f>IF(MIN(F108,J108,N108,R108,V108,Z108)&lt;&gt;0,MIN(F108,J108,N108,R108,V108,Z108),"")</f>
        <v/>
      </c>
      <c r="AE108" s="136" t="str">
        <f>IF(MIN(H108,L108,P108,T108,X108,AB108)&lt;&gt;0,MIN(H108,L108,P108,T108,X108,AB108),"")</f>
        <v/>
      </c>
      <c r="AF108" s="136"/>
      <c r="AG108" s="135"/>
      <c r="AH108" s="136"/>
      <c r="AI108" s="135"/>
      <c r="AJ108" s="134" t="str">
        <f>IF(AD108="","",IF(ISBLANK(AF108),"En cours",AD108+AF108))</f>
        <v/>
      </c>
      <c r="AK108" s="134" t="str">
        <f>IF(AE108="","",IF(ISBLANK(AH108),"En cours",AE108+AH108))</f>
        <v/>
      </c>
    </row>
    <row r="109" spans="2:37" ht="21" x14ac:dyDescent="0.35"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135"/>
      <c r="AD109" s="136" t="str">
        <f>IF(MIN(F109,J109,N109,R109,V109,Z109)&lt;&gt;0,MIN(F109,J109,N109,R109,V109,Z109),"")</f>
        <v/>
      </c>
      <c r="AE109" s="136" t="str">
        <f>IF(MIN(H109,L109,P109,T109,X109,AB109)&lt;&gt;0,MIN(H109,L109,P109,T109,X109,AB109),"")</f>
        <v/>
      </c>
      <c r="AF109" s="136"/>
      <c r="AG109" s="135"/>
      <c r="AH109" s="136"/>
      <c r="AI109" s="135"/>
      <c r="AJ109" s="134" t="str">
        <f>IF(AD109="","",IF(ISBLANK(AF109),"En cours",AD109+AF109))</f>
        <v/>
      </c>
      <c r="AK109" s="134" t="str">
        <f>IF(AE109="","",IF(ISBLANK(AH109),"En cours",AE109+AH109))</f>
        <v/>
      </c>
    </row>
    <row r="110" spans="2:37" ht="21" x14ac:dyDescent="0.35"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  <c r="U110" s="135"/>
      <c r="V110" s="135"/>
      <c r="W110" s="135"/>
      <c r="X110" s="135"/>
      <c r="Y110" s="135"/>
      <c r="Z110" s="135"/>
      <c r="AA110" s="135"/>
      <c r="AB110" s="135"/>
      <c r="AC110" s="135"/>
      <c r="AD110" s="136" t="str">
        <f>IF(MIN(F110,J110,N110,R110,V110,Z110)&lt;&gt;0,MIN(F110,J110,N110,R110,V110,Z110),"")</f>
        <v/>
      </c>
      <c r="AE110" s="136" t="str">
        <f>IF(MIN(H110,L110,P110,T110,X110,AB110)&lt;&gt;0,MIN(H110,L110,P110,T110,X110,AB110),"")</f>
        <v/>
      </c>
      <c r="AF110" s="136"/>
      <c r="AG110" s="135"/>
      <c r="AH110" s="136"/>
      <c r="AI110" s="135"/>
      <c r="AJ110" s="134" t="str">
        <f>IF(AD110="","",IF(ISBLANK(AF110),"En cours",AD110+AF110))</f>
        <v/>
      </c>
      <c r="AK110" s="134" t="str">
        <f>IF(AE110="","",IF(ISBLANK(AH110),"En cours",AE110+AH110))</f>
        <v/>
      </c>
    </row>
    <row r="111" spans="2:37" ht="21" x14ac:dyDescent="0.35"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6" t="str">
        <f>IF(MIN(F111,J111,N111,R111,V111,Z111)&lt;&gt;0,MIN(F111,J111,N111,R111,V111,Z111),"")</f>
        <v/>
      </c>
      <c r="AE111" s="136" t="str">
        <f>IF(MIN(H111,L111,P111,T111,X111,AB111)&lt;&gt;0,MIN(H111,L111,P111,T111,X111,AB111),"")</f>
        <v/>
      </c>
      <c r="AF111" s="136"/>
      <c r="AG111" s="135"/>
      <c r="AH111" s="136"/>
      <c r="AI111" s="135"/>
      <c r="AJ111" s="134" t="str">
        <f>IF(AD111="","",IF(ISBLANK(AF111),"En cours",AD111+AF111))</f>
        <v/>
      </c>
      <c r="AK111" s="134" t="str">
        <f>IF(AE111="","",IF(ISBLANK(AH111),"En cours",AE111+AH111))</f>
        <v/>
      </c>
    </row>
    <row r="112" spans="2:37" ht="21" x14ac:dyDescent="0.35">
      <c r="B112" s="135"/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135"/>
      <c r="N112" s="135"/>
      <c r="O112" s="135"/>
      <c r="P112" s="135"/>
      <c r="Q112" s="135"/>
      <c r="R112" s="135"/>
      <c r="S112" s="135"/>
      <c r="T112" s="135"/>
      <c r="U112" s="135"/>
      <c r="V112" s="135"/>
      <c r="W112" s="135"/>
      <c r="X112" s="135"/>
      <c r="Y112" s="135"/>
      <c r="Z112" s="135"/>
      <c r="AA112" s="135"/>
      <c r="AB112" s="135"/>
      <c r="AC112" s="135"/>
      <c r="AD112" s="136" t="str">
        <f>IF(MIN(F112,J112,N112,R112,V112,Z112)&lt;&gt;0,MIN(F112,J112,N112,R112,V112,Z112),"")</f>
        <v/>
      </c>
      <c r="AE112" s="136" t="str">
        <f>IF(MIN(H112,L112,P112,T112,X112,AB112)&lt;&gt;0,MIN(H112,L112,P112,T112,X112,AB112),"")</f>
        <v/>
      </c>
      <c r="AF112" s="136"/>
      <c r="AG112" s="135"/>
      <c r="AH112" s="136"/>
      <c r="AI112" s="135"/>
      <c r="AJ112" s="134" t="str">
        <f>IF(AD112="","",IF(ISBLANK(AF112),"En cours",AD112+AF112))</f>
        <v/>
      </c>
      <c r="AK112" s="134" t="str">
        <f>IF(AE112="","",IF(ISBLANK(AH112),"En cours",AE112+AH112))</f>
        <v/>
      </c>
    </row>
    <row r="113" spans="2:37" ht="21" x14ac:dyDescent="0.35"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  <c r="U113" s="135"/>
      <c r="V113" s="135"/>
      <c r="W113" s="135"/>
      <c r="X113" s="135"/>
      <c r="Y113" s="135"/>
      <c r="Z113" s="135"/>
      <c r="AA113" s="135"/>
      <c r="AB113" s="135"/>
      <c r="AC113" s="135"/>
      <c r="AD113" s="136" t="str">
        <f>IF(MIN(F113,J113,N113,R113,V113,Z113)&lt;&gt;0,MIN(F113,J113,N113,R113,V113,Z113),"")</f>
        <v/>
      </c>
      <c r="AE113" s="136" t="str">
        <f>IF(MIN(H113,L113,P113,T113,X113,AB113)&lt;&gt;0,MIN(H113,L113,P113,T113,X113,AB113),"")</f>
        <v/>
      </c>
      <c r="AF113" s="136"/>
      <c r="AG113" s="135"/>
      <c r="AH113" s="136"/>
      <c r="AI113" s="135"/>
      <c r="AJ113" s="134" t="str">
        <f>IF(AD113="","",IF(ISBLANK(AF113),"En cours",AD113+AF113))</f>
        <v/>
      </c>
      <c r="AK113" s="134" t="str">
        <f>IF(AE113="","",IF(ISBLANK(AH113),"En cours",AE113+AH113))</f>
        <v/>
      </c>
    </row>
    <row r="114" spans="2:37" ht="21" x14ac:dyDescent="0.35"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6" t="str">
        <f>IF(MIN(F114,J114,N114,R114,V114,Z114)&lt;&gt;0,MIN(F114,J114,N114,R114,V114,Z114),"")</f>
        <v/>
      </c>
      <c r="AE114" s="136" t="str">
        <f>IF(MIN(H114,L114,P114,T114,X114,AB114)&lt;&gt;0,MIN(H114,L114,P114,T114,X114,AB114),"")</f>
        <v/>
      </c>
      <c r="AF114" s="136"/>
      <c r="AG114" s="135"/>
      <c r="AH114" s="136"/>
      <c r="AI114" s="135"/>
      <c r="AJ114" s="134" t="str">
        <f>IF(AD114="","",IF(ISBLANK(AF114),"En cours",AD114+AF114))</f>
        <v/>
      </c>
      <c r="AK114" s="134" t="str">
        <f>IF(AE114="","",IF(ISBLANK(AH114),"En cours",AE114+AH114))</f>
        <v/>
      </c>
    </row>
    <row r="115" spans="2:37" ht="21" x14ac:dyDescent="0.35">
      <c r="B115" s="135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6" t="str">
        <f>IF(MIN(F115,J115,N115,R115,V115,Z115)&lt;&gt;0,MIN(F115,J115,N115,R115,V115,Z115),"")</f>
        <v/>
      </c>
      <c r="AE115" s="136" t="str">
        <f>IF(MIN(H115,L115,P115,T115,X115,AB115)&lt;&gt;0,MIN(H115,L115,P115,T115,X115,AB115),"")</f>
        <v/>
      </c>
      <c r="AF115" s="136"/>
      <c r="AG115" s="135"/>
      <c r="AH115" s="136"/>
      <c r="AI115" s="135"/>
      <c r="AJ115" s="134" t="str">
        <f>IF(AD115="","",IF(ISBLANK(AF115),"En cours",AD115+AF115))</f>
        <v/>
      </c>
      <c r="AK115" s="134" t="str">
        <f>IF(AE115="","",IF(ISBLANK(AH115),"En cours",AE115+AH115))</f>
        <v/>
      </c>
    </row>
    <row r="116" spans="2:37" ht="21" x14ac:dyDescent="0.35">
      <c r="B116" s="135"/>
      <c r="C116" s="135"/>
      <c r="D116" s="135"/>
      <c r="E116" s="135"/>
      <c r="F116" s="135"/>
      <c r="G116" s="135"/>
      <c r="H116" s="135"/>
      <c r="I116" s="135"/>
      <c r="J116" s="135"/>
      <c r="K116" s="135"/>
      <c r="L116" s="135"/>
      <c r="M116" s="135"/>
      <c r="N116" s="135"/>
      <c r="O116" s="135"/>
      <c r="P116" s="135"/>
      <c r="Q116" s="135"/>
      <c r="R116" s="135"/>
      <c r="S116" s="135"/>
      <c r="T116" s="135"/>
      <c r="U116" s="135"/>
      <c r="V116" s="135"/>
      <c r="W116" s="135"/>
      <c r="X116" s="135"/>
      <c r="Y116" s="135"/>
      <c r="Z116" s="135"/>
      <c r="AA116" s="135"/>
      <c r="AB116" s="135"/>
      <c r="AC116" s="135"/>
      <c r="AD116" s="136" t="str">
        <f>IF(MIN(F116,J116,N116,R116,V116,Z116)&lt;&gt;0,MIN(F116,J116,N116,R116,V116,Z116),"")</f>
        <v/>
      </c>
      <c r="AE116" s="136" t="str">
        <f>IF(MIN(H116,L116,P116,T116,X116,AB116)&lt;&gt;0,MIN(H116,L116,P116,T116,X116,AB116),"")</f>
        <v/>
      </c>
      <c r="AF116" s="136"/>
      <c r="AG116" s="135"/>
      <c r="AH116" s="136"/>
      <c r="AI116" s="135"/>
      <c r="AJ116" s="134" t="str">
        <f>IF(AD116="","",IF(ISBLANK(AF116),"En cours",AD116+AF116))</f>
        <v/>
      </c>
      <c r="AK116" s="134" t="str">
        <f>IF(AE116="","",IF(ISBLANK(AH116),"En cours",AE116+AH116))</f>
        <v/>
      </c>
    </row>
    <row r="117" spans="2:37" ht="21" x14ac:dyDescent="0.35">
      <c r="B117" s="135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6" t="str">
        <f>IF(MIN(F117,J117,N117,R117,V117,Z117)&lt;&gt;0,MIN(F117,J117,N117,R117,V117,Z117),"")</f>
        <v/>
      </c>
      <c r="AE117" s="136" t="str">
        <f>IF(MIN(H117,L117,P117,T117,X117,AB117)&lt;&gt;0,MIN(H117,L117,P117,T117,X117,AB117),"")</f>
        <v/>
      </c>
      <c r="AF117" s="136"/>
      <c r="AG117" s="135"/>
      <c r="AH117" s="136"/>
      <c r="AI117" s="135"/>
      <c r="AJ117" s="134" t="str">
        <f>IF(AD117="","",IF(ISBLANK(AF117),"En cours",AD117+AF117))</f>
        <v/>
      </c>
      <c r="AK117" s="134" t="str">
        <f>IF(AE117="","",IF(ISBLANK(AH117),"En cours",AE117+AH117))</f>
        <v/>
      </c>
    </row>
    <row r="118" spans="2:37" ht="21" x14ac:dyDescent="0.35"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5"/>
      <c r="U118" s="135"/>
      <c r="V118" s="135"/>
      <c r="W118" s="135"/>
      <c r="X118" s="135"/>
      <c r="Y118" s="135"/>
      <c r="Z118" s="135"/>
      <c r="AA118" s="135"/>
      <c r="AB118" s="135"/>
      <c r="AC118" s="135"/>
      <c r="AD118" s="136" t="str">
        <f>IF(MIN(F118,J118,N118,R118,V118,Z118)&lt;&gt;0,MIN(F118,J118,N118,R118,V118,Z118),"")</f>
        <v/>
      </c>
      <c r="AE118" s="136" t="str">
        <f>IF(MIN(H118,L118,P118,T118,X118,AB118)&lt;&gt;0,MIN(H118,L118,P118,T118,X118,AB118),"")</f>
        <v/>
      </c>
      <c r="AF118" s="136"/>
      <c r="AG118" s="135"/>
      <c r="AH118" s="136"/>
      <c r="AI118" s="135"/>
      <c r="AJ118" s="134" t="str">
        <f>IF(AD118="","",IF(ISBLANK(AF118),"En cours",AD118+AF118))</f>
        <v/>
      </c>
      <c r="AK118" s="134" t="str">
        <f>IF(AE118="","",IF(ISBLANK(AH118),"En cours",AE118+AH118))</f>
        <v/>
      </c>
    </row>
    <row r="119" spans="2:37" ht="21" x14ac:dyDescent="0.35">
      <c r="B119" s="135"/>
      <c r="C119" s="135"/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6" t="str">
        <f>IF(MIN(F119,J119,N119,R119,V119,Z119)&lt;&gt;0,MIN(F119,J119,N119,R119,V119,Z119),"")</f>
        <v/>
      </c>
      <c r="AE119" s="136" t="str">
        <f>IF(MIN(H119,L119,P119,T119,X119,AB119)&lt;&gt;0,MIN(H119,L119,P119,T119,X119,AB119),"")</f>
        <v/>
      </c>
      <c r="AF119" s="136"/>
      <c r="AG119" s="135"/>
      <c r="AH119" s="136"/>
      <c r="AI119" s="135"/>
      <c r="AJ119" s="134" t="str">
        <f>IF(AD119="","",IF(ISBLANK(AF119),"En cours",AD119+AF119))</f>
        <v/>
      </c>
      <c r="AK119" s="134" t="str">
        <f>IF(AE119="","",IF(ISBLANK(AH119),"En cours",AE119+AH119))</f>
        <v/>
      </c>
    </row>
    <row r="120" spans="2:37" ht="21" x14ac:dyDescent="0.35">
      <c r="B120" s="135"/>
      <c r="C120" s="135"/>
      <c r="D120" s="135"/>
      <c r="E120" s="135"/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  <c r="U120" s="135"/>
      <c r="V120" s="135"/>
      <c r="W120" s="135"/>
      <c r="X120" s="135"/>
      <c r="Y120" s="135"/>
      <c r="Z120" s="135"/>
      <c r="AA120" s="135"/>
      <c r="AB120" s="135"/>
      <c r="AC120" s="135"/>
      <c r="AD120" s="136" t="str">
        <f>IF(MIN(F120,J120,N120,R120,V120,Z120)&lt;&gt;0,MIN(F120,J120,N120,R120,V120,Z120),"")</f>
        <v/>
      </c>
      <c r="AE120" s="136" t="str">
        <f>IF(MIN(H120,L120,P120,T120,X120,AB120)&lt;&gt;0,MIN(H120,L120,P120,T120,X120,AB120),"")</f>
        <v/>
      </c>
      <c r="AF120" s="136"/>
      <c r="AG120" s="135"/>
      <c r="AH120" s="136"/>
      <c r="AI120" s="135"/>
      <c r="AJ120" s="134" t="str">
        <f>IF(AD120="","",IF(ISBLANK(AF120),"En cours",AD120+AF120))</f>
        <v/>
      </c>
      <c r="AK120" s="134" t="str">
        <f>IF(AE120="","",IF(ISBLANK(AH120),"En cours",AE120+AH120))</f>
        <v/>
      </c>
    </row>
    <row r="121" spans="2:37" ht="21" x14ac:dyDescent="0.35">
      <c r="B121" s="135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6" t="str">
        <f>IF(MIN(F121,J121,N121,R121,V121,Z121)&lt;&gt;0,MIN(F121,J121,N121,R121,V121,Z121),"")</f>
        <v/>
      </c>
      <c r="AE121" s="136" t="str">
        <f>IF(MIN(H121,L121,P121,T121,X121,AB121)&lt;&gt;0,MIN(H121,L121,P121,T121,X121,AB121),"")</f>
        <v/>
      </c>
      <c r="AF121" s="136"/>
      <c r="AG121" s="135"/>
      <c r="AH121" s="136"/>
      <c r="AI121" s="135"/>
      <c r="AJ121" s="134" t="str">
        <f>IF(AD121="","",IF(ISBLANK(AF121),"En cours",AD121+AF121))</f>
        <v/>
      </c>
      <c r="AK121" s="134" t="str">
        <f>IF(AE121="","",IF(ISBLANK(AH121),"En cours",AE121+AH121))</f>
        <v/>
      </c>
    </row>
    <row r="122" spans="2:37" ht="21" x14ac:dyDescent="0.35"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6" t="str">
        <f>IF(MIN(F122,J122,N122,R122,V122,Z122)&lt;&gt;0,MIN(F122,J122,N122,R122,V122,Z122),"")</f>
        <v/>
      </c>
      <c r="AE122" s="136" t="str">
        <f>IF(MIN(H122,L122,P122,T122,X122,AB122)&lt;&gt;0,MIN(H122,L122,P122,T122,X122,AB122),"")</f>
        <v/>
      </c>
      <c r="AF122" s="136"/>
      <c r="AG122" s="135"/>
      <c r="AH122" s="136"/>
      <c r="AI122" s="135"/>
      <c r="AJ122" s="134" t="str">
        <f>IF(AD122="","",IF(ISBLANK(AF122),"En cours",AD122+AF122))</f>
        <v/>
      </c>
      <c r="AK122" s="134" t="str">
        <f>IF(AE122="","",IF(ISBLANK(AH122),"En cours",AE122+AH122))</f>
        <v/>
      </c>
    </row>
    <row r="123" spans="2:37" ht="21" x14ac:dyDescent="0.35">
      <c r="B123" s="135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  <c r="U123" s="135"/>
      <c r="V123" s="135"/>
      <c r="W123" s="135"/>
      <c r="X123" s="135"/>
      <c r="Y123" s="135"/>
      <c r="Z123" s="135"/>
      <c r="AA123" s="135"/>
      <c r="AB123" s="135"/>
      <c r="AC123" s="135"/>
      <c r="AD123" s="136" t="str">
        <f>IF(MIN(F123,J123,N123,R123,V123,Z123)&lt;&gt;0,MIN(F123,J123,N123,R123,V123,Z123),"")</f>
        <v/>
      </c>
      <c r="AE123" s="136" t="str">
        <f>IF(MIN(H123,L123,P123,T123,X123,AB123)&lt;&gt;0,MIN(H123,L123,P123,T123,X123,AB123),"")</f>
        <v/>
      </c>
      <c r="AF123" s="136"/>
      <c r="AG123" s="135"/>
      <c r="AH123" s="136"/>
      <c r="AI123" s="135"/>
      <c r="AJ123" s="134" t="str">
        <f>IF(AD123="","",IF(ISBLANK(AF123),"En cours",AD123+AF123))</f>
        <v/>
      </c>
      <c r="AK123" s="134" t="str">
        <f>IF(AE123="","",IF(ISBLANK(AH123),"En cours",AE123+AH123))</f>
        <v/>
      </c>
    </row>
    <row r="124" spans="2:37" ht="21" x14ac:dyDescent="0.35">
      <c r="B124" s="135"/>
      <c r="C124" s="135"/>
      <c r="D124" s="135"/>
      <c r="E124" s="135"/>
      <c r="F124" s="135"/>
      <c r="G124" s="135"/>
      <c r="H124" s="135"/>
      <c r="I124" s="135"/>
      <c r="J124" s="135"/>
      <c r="K124" s="135"/>
      <c r="L124" s="135"/>
      <c r="M124" s="135"/>
      <c r="N124" s="135"/>
      <c r="O124" s="135"/>
      <c r="P124" s="135"/>
      <c r="Q124" s="135"/>
      <c r="R124" s="135"/>
      <c r="S124" s="135"/>
      <c r="T124" s="135"/>
      <c r="U124" s="135"/>
      <c r="V124" s="135"/>
      <c r="W124" s="135"/>
      <c r="X124" s="135"/>
      <c r="Y124" s="135"/>
      <c r="Z124" s="135"/>
      <c r="AA124" s="135"/>
      <c r="AB124" s="135"/>
      <c r="AC124" s="135"/>
      <c r="AD124" s="136" t="str">
        <f>IF(MIN(F124,J124,N124,R124,V124,Z124)&lt;&gt;0,MIN(F124,J124,N124,R124,V124,Z124),"")</f>
        <v/>
      </c>
      <c r="AE124" s="136" t="str">
        <f>IF(MIN(H124,L124,P124,T124,X124,AB124)&lt;&gt;0,MIN(H124,L124,P124,T124,X124,AB124),"")</f>
        <v/>
      </c>
      <c r="AF124" s="136"/>
      <c r="AG124" s="135"/>
      <c r="AH124" s="136"/>
      <c r="AI124" s="135"/>
      <c r="AJ124" s="134" t="str">
        <f>IF(AD124="","",IF(ISBLANK(AF124),"En cours",AD124+AF124))</f>
        <v/>
      </c>
      <c r="AK124" s="134" t="str">
        <f>IF(AE124="","",IF(ISBLANK(AH124),"En cours",AE124+AH124))</f>
        <v/>
      </c>
    </row>
    <row r="125" spans="2:37" ht="21" x14ac:dyDescent="0.35"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135"/>
      <c r="AC125" s="135"/>
      <c r="AD125" s="136" t="str">
        <f>IF(MIN(F125,J125,N125,R125,V125,Z125)&lt;&gt;0,MIN(F125,J125,N125,R125,V125,Z125),"")</f>
        <v/>
      </c>
      <c r="AE125" s="136" t="str">
        <f>IF(MIN(H125,L125,P125,T125,X125,AB125)&lt;&gt;0,MIN(H125,L125,P125,T125,X125,AB125),"")</f>
        <v/>
      </c>
      <c r="AF125" s="136"/>
      <c r="AG125" s="135"/>
      <c r="AH125" s="136"/>
      <c r="AI125" s="135"/>
      <c r="AJ125" s="134" t="str">
        <f>IF(AD125="","",IF(ISBLANK(AF125),"En cours",AD125+AF125))</f>
        <v/>
      </c>
      <c r="AK125" s="134" t="str">
        <f>IF(AE125="","",IF(ISBLANK(AH125),"En cours",AE125+AH125))</f>
        <v/>
      </c>
    </row>
    <row r="126" spans="2:37" ht="21" x14ac:dyDescent="0.35">
      <c r="B126" s="135"/>
      <c r="C126" s="135"/>
      <c r="D126" s="135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6" t="str">
        <f>IF(MIN(F126,J126,N126,R126,V126,Z126)&lt;&gt;0,MIN(F126,J126,N126,R126,V126,Z126),"")</f>
        <v/>
      </c>
      <c r="AE126" s="136" t="str">
        <f>IF(MIN(H126,L126,P126,T126,X126,AB126)&lt;&gt;0,MIN(H126,L126,P126,T126,X126,AB126),"")</f>
        <v/>
      </c>
      <c r="AF126" s="136"/>
      <c r="AG126" s="135"/>
      <c r="AH126" s="136"/>
      <c r="AI126" s="135"/>
      <c r="AJ126" s="134" t="str">
        <f>IF(AD126="","",IF(ISBLANK(AF126),"En cours",AD126+AF126))</f>
        <v/>
      </c>
      <c r="AK126" s="134" t="str">
        <f>IF(AE126="","",IF(ISBLANK(AH126),"En cours",AE126+AH126))</f>
        <v/>
      </c>
    </row>
    <row r="127" spans="2:37" ht="21" x14ac:dyDescent="0.35">
      <c r="B127" s="135"/>
      <c r="C127" s="135"/>
      <c r="D127" s="135"/>
      <c r="E127" s="135"/>
      <c r="F127" s="135"/>
      <c r="G127" s="135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35"/>
      <c r="S127" s="135"/>
      <c r="T127" s="135"/>
      <c r="U127" s="135"/>
      <c r="V127" s="135"/>
      <c r="W127" s="135"/>
      <c r="X127" s="135"/>
      <c r="Y127" s="135"/>
      <c r="Z127" s="135"/>
      <c r="AA127" s="135"/>
      <c r="AB127" s="135"/>
      <c r="AC127" s="135"/>
      <c r="AD127" s="136" t="str">
        <f>IF(MIN(F127,J127,N127,R127,V127,Z127)&lt;&gt;0,MIN(F127,J127,N127,R127,V127,Z127),"")</f>
        <v/>
      </c>
      <c r="AE127" s="136" t="str">
        <f>IF(MIN(H127,L127,P127,T127,X127,AB127)&lt;&gt;0,MIN(H127,L127,P127,T127,X127,AB127),"")</f>
        <v/>
      </c>
      <c r="AF127" s="136"/>
      <c r="AG127" s="135"/>
      <c r="AH127" s="136"/>
      <c r="AI127" s="135"/>
      <c r="AJ127" s="134" t="str">
        <f>IF(AD127="","",IF(ISBLANK(AF127),"En cours",AD127+AF127))</f>
        <v/>
      </c>
      <c r="AK127" s="134" t="str">
        <f>IF(AE127="","",IF(ISBLANK(AH127),"En cours",AE127+AH127))</f>
        <v/>
      </c>
    </row>
    <row r="128" spans="2:37" ht="21" x14ac:dyDescent="0.35">
      <c r="B128" s="135"/>
      <c r="C128" s="135"/>
      <c r="D128" s="135"/>
      <c r="E128" s="135"/>
      <c r="F128" s="135"/>
      <c r="G128" s="135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  <c r="U128" s="135"/>
      <c r="V128" s="135"/>
      <c r="W128" s="135"/>
      <c r="X128" s="135"/>
      <c r="Y128" s="135"/>
      <c r="Z128" s="135"/>
      <c r="AA128" s="135"/>
      <c r="AB128" s="135"/>
      <c r="AC128" s="135"/>
      <c r="AD128" s="136" t="str">
        <f>IF(MIN(F128,J128,N128,R128,V128,Z128)&lt;&gt;0,MIN(F128,J128,N128,R128,V128,Z128),"")</f>
        <v/>
      </c>
      <c r="AE128" s="136" t="str">
        <f>IF(MIN(H128,L128,P128,T128,X128,AB128)&lt;&gt;0,MIN(H128,L128,P128,T128,X128,AB128),"")</f>
        <v/>
      </c>
      <c r="AF128" s="136"/>
      <c r="AG128" s="135"/>
      <c r="AH128" s="136"/>
      <c r="AI128" s="135"/>
      <c r="AJ128" s="134" t="str">
        <f>IF(AD128="","",IF(ISBLANK(AF128),"En cours",AD128+AF128))</f>
        <v/>
      </c>
      <c r="AK128" s="134" t="str">
        <f>IF(AE128="","",IF(ISBLANK(AH128),"En cours",AE128+AH128))</f>
        <v/>
      </c>
    </row>
    <row r="129" spans="2:37" ht="21" x14ac:dyDescent="0.35">
      <c r="B129" s="135"/>
      <c r="C129" s="135"/>
      <c r="D129" s="135"/>
      <c r="E129" s="135"/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35"/>
      <c r="S129" s="135"/>
      <c r="T129" s="135"/>
      <c r="U129" s="135"/>
      <c r="V129" s="135"/>
      <c r="W129" s="135"/>
      <c r="X129" s="135"/>
      <c r="Y129" s="135"/>
      <c r="Z129" s="135"/>
      <c r="AA129" s="135"/>
      <c r="AB129" s="135"/>
      <c r="AC129" s="135"/>
      <c r="AD129" s="136" t="str">
        <f>IF(MIN(F129,J129,N129,R129,V129,Z129)&lt;&gt;0,MIN(F129,J129,N129,R129,V129,Z129),"")</f>
        <v/>
      </c>
      <c r="AE129" s="136" t="str">
        <f>IF(MIN(H129,L129,P129,T129,X129,AB129)&lt;&gt;0,MIN(H129,L129,P129,T129,X129,AB129),"")</f>
        <v/>
      </c>
      <c r="AF129" s="136"/>
      <c r="AG129" s="135"/>
      <c r="AH129" s="136"/>
      <c r="AI129" s="135"/>
      <c r="AJ129" s="134" t="str">
        <f>IF(AD129="","",IF(ISBLANK(AF129),"En cours",AD129+AF129))</f>
        <v/>
      </c>
      <c r="AK129" s="134" t="str">
        <f>IF(AE129="","",IF(ISBLANK(AH129),"En cours",AE129+AH129))</f>
        <v/>
      </c>
    </row>
    <row r="130" spans="2:37" ht="21" x14ac:dyDescent="0.35">
      <c r="B130" s="135"/>
      <c r="C130" s="135"/>
      <c r="D130" s="135"/>
      <c r="E130" s="135"/>
      <c r="F130" s="135"/>
      <c r="G130" s="135"/>
      <c r="H130" s="135"/>
      <c r="I130" s="135"/>
      <c r="J130" s="135"/>
      <c r="K130" s="135"/>
      <c r="L130" s="135"/>
      <c r="M130" s="135"/>
      <c r="N130" s="135"/>
      <c r="O130" s="135"/>
      <c r="P130" s="135"/>
      <c r="Q130" s="135"/>
      <c r="R130" s="135"/>
      <c r="S130" s="135"/>
      <c r="T130" s="135"/>
      <c r="U130" s="135"/>
      <c r="V130" s="135"/>
      <c r="W130" s="135"/>
      <c r="X130" s="135"/>
      <c r="Y130" s="135"/>
      <c r="Z130" s="135"/>
      <c r="AA130" s="135"/>
      <c r="AB130" s="135"/>
      <c r="AC130" s="135"/>
      <c r="AD130" s="136" t="str">
        <f>IF(MIN(F130,J130,N130,R130,V130,Z130)&lt;&gt;0,MIN(F130,J130,N130,R130,V130,Z130),"")</f>
        <v/>
      </c>
      <c r="AE130" s="136" t="str">
        <f>IF(MIN(H130,L130,P130,T130,X130,AB130)&lt;&gt;0,MIN(H130,L130,P130,T130,X130,AB130),"")</f>
        <v/>
      </c>
      <c r="AF130" s="136"/>
      <c r="AG130" s="135"/>
      <c r="AH130" s="136"/>
      <c r="AI130" s="135"/>
      <c r="AJ130" s="134" t="str">
        <f>IF(AD130="","",IF(ISBLANK(AF130),"En cours",AD130+AF130))</f>
        <v/>
      </c>
      <c r="AK130" s="134" t="str">
        <f>IF(AE130="","",IF(ISBLANK(AH130),"En cours",AE130+AH130))</f>
        <v/>
      </c>
    </row>
    <row r="131" spans="2:37" ht="21" x14ac:dyDescent="0.35">
      <c r="B131" s="135"/>
      <c r="C131" s="135"/>
      <c r="D131" s="135"/>
      <c r="E131" s="135"/>
      <c r="F131" s="135"/>
      <c r="G131" s="135"/>
      <c r="H131" s="135"/>
      <c r="I131" s="135"/>
      <c r="J131" s="135"/>
      <c r="K131" s="135"/>
      <c r="L131" s="135"/>
      <c r="M131" s="135"/>
      <c r="N131" s="135"/>
      <c r="O131" s="135"/>
      <c r="P131" s="135"/>
      <c r="Q131" s="135"/>
      <c r="R131" s="135"/>
      <c r="S131" s="135"/>
      <c r="T131" s="135"/>
      <c r="U131" s="135"/>
      <c r="V131" s="135"/>
      <c r="W131" s="135"/>
      <c r="X131" s="135"/>
      <c r="Y131" s="135"/>
      <c r="Z131" s="135"/>
      <c r="AA131" s="135"/>
      <c r="AB131" s="135"/>
      <c r="AC131" s="135"/>
      <c r="AD131" s="136" t="str">
        <f>IF(MIN(F131,J131,N131,R131,V131,Z131)&lt;&gt;0,MIN(F131,J131,N131,R131,V131,Z131),"")</f>
        <v/>
      </c>
      <c r="AE131" s="136" t="str">
        <f>IF(MIN(H131,L131,P131,T131,X131,AB131)&lt;&gt;0,MIN(H131,L131,P131,T131,X131,AB131),"")</f>
        <v/>
      </c>
      <c r="AF131" s="136"/>
      <c r="AG131" s="135"/>
      <c r="AH131" s="136"/>
      <c r="AI131" s="135"/>
      <c r="AJ131" s="134" t="str">
        <f>IF(AD131="","",IF(ISBLANK(AF131),"En cours",AD131+AF131))</f>
        <v/>
      </c>
      <c r="AK131" s="134" t="str">
        <f>IF(AE131="","",IF(ISBLANK(AH131),"En cours",AE131+AH131))</f>
        <v/>
      </c>
    </row>
    <row r="132" spans="2:37" ht="21" x14ac:dyDescent="0.35">
      <c r="B132" s="135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5"/>
      <c r="S132" s="135"/>
      <c r="T132" s="135"/>
      <c r="U132" s="135"/>
      <c r="V132" s="135"/>
      <c r="W132" s="135"/>
      <c r="X132" s="135"/>
      <c r="Y132" s="135"/>
      <c r="Z132" s="135"/>
      <c r="AA132" s="135"/>
      <c r="AB132" s="135"/>
      <c r="AC132" s="135"/>
      <c r="AD132" s="136" t="str">
        <f>IF(MIN(F132,J132,N132,R132,V132,Z132)&lt;&gt;0,MIN(F132,J132,N132,R132,V132,Z132),"")</f>
        <v/>
      </c>
      <c r="AE132" s="136" t="str">
        <f>IF(MIN(H132,L132,P132,T132,X132,AB132)&lt;&gt;0,MIN(H132,L132,P132,T132,X132,AB132),"")</f>
        <v/>
      </c>
      <c r="AF132" s="136"/>
      <c r="AG132" s="135"/>
      <c r="AH132" s="136"/>
      <c r="AI132" s="135"/>
      <c r="AJ132" s="134" t="str">
        <f>IF(AD132="","",IF(ISBLANK(AF132),"En cours",AD132+AF132))</f>
        <v/>
      </c>
      <c r="AK132" s="134" t="str">
        <f>IF(AE132="","",IF(ISBLANK(AH132),"En cours",AE132+AH132))</f>
        <v/>
      </c>
    </row>
    <row r="133" spans="2:37" ht="21" x14ac:dyDescent="0.35">
      <c r="B133" s="135"/>
      <c r="C133" s="135"/>
      <c r="D133" s="135"/>
      <c r="E133" s="135"/>
      <c r="F133" s="135"/>
      <c r="G133" s="135"/>
      <c r="H133" s="135"/>
      <c r="I133" s="135"/>
      <c r="J133" s="135"/>
      <c r="K133" s="135"/>
      <c r="L133" s="135"/>
      <c r="M133" s="135"/>
      <c r="N133" s="135"/>
      <c r="O133" s="135"/>
      <c r="P133" s="135"/>
      <c r="Q133" s="135"/>
      <c r="R133" s="135"/>
      <c r="S133" s="135"/>
      <c r="T133" s="135"/>
      <c r="U133" s="135"/>
      <c r="V133" s="135"/>
      <c r="W133" s="135"/>
      <c r="X133" s="135"/>
      <c r="Y133" s="135"/>
      <c r="Z133" s="135"/>
      <c r="AA133" s="135"/>
      <c r="AB133" s="135"/>
      <c r="AC133" s="135"/>
      <c r="AD133" s="136" t="str">
        <f>IF(MIN(F133,J133,N133,R133,V133,Z133)&lt;&gt;0,MIN(F133,J133,N133,R133,V133,Z133),"")</f>
        <v/>
      </c>
      <c r="AE133" s="136" t="str">
        <f>IF(MIN(H133,L133,P133,T133,X133,AB133)&lt;&gt;0,MIN(H133,L133,P133,T133,X133,AB133),"")</f>
        <v/>
      </c>
      <c r="AF133" s="136"/>
      <c r="AG133" s="135"/>
      <c r="AH133" s="136"/>
      <c r="AI133" s="135"/>
      <c r="AJ133" s="134" t="str">
        <f>IF(AD133="","",IF(ISBLANK(AF133),"En cours",AD133+AF133))</f>
        <v/>
      </c>
      <c r="AK133" s="134" t="str">
        <f>IF(AE133="","",IF(ISBLANK(AH133),"En cours",AE133+AH133))</f>
        <v/>
      </c>
    </row>
    <row r="134" spans="2:37" ht="21" x14ac:dyDescent="0.35">
      <c r="B134" s="135"/>
      <c r="C134" s="135"/>
      <c r="D134" s="135"/>
      <c r="E134" s="135"/>
      <c r="F134" s="135"/>
      <c r="G134" s="135"/>
      <c r="H134" s="135"/>
      <c r="I134" s="135"/>
      <c r="J134" s="135"/>
      <c r="K134" s="135"/>
      <c r="L134" s="135"/>
      <c r="M134" s="135"/>
      <c r="N134" s="135"/>
      <c r="O134" s="135"/>
      <c r="P134" s="135"/>
      <c r="Q134" s="135"/>
      <c r="R134" s="135"/>
      <c r="S134" s="135"/>
      <c r="T134" s="135"/>
      <c r="U134" s="135"/>
      <c r="V134" s="135"/>
      <c r="W134" s="135"/>
      <c r="X134" s="135"/>
      <c r="Y134" s="135"/>
      <c r="Z134" s="135"/>
      <c r="AA134" s="135"/>
      <c r="AB134" s="135"/>
      <c r="AC134" s="135"/>
      <c r="AD134" s="136" t="str">
        <f>IF(MIN(F134,J134,N134,R134,V134,Z134)&lt;&gt;0,MIN(F134,J134,N134,R134,V134,Z134),"")</f>
        <v/>
      </c>
      <c r="AE134" s="136" t="str">
        <f>IF(MIN(H134,L134,P134,T134,X134,AB134)&lt;&gt;0,MIN(H134,L134,P134,T134,X134,AB134),"")</f>
        <v/>
      </c>
      <c r="AF134" s="136"/>
      <c r="AG134" s="135"/>
      <c r="AH134" s="136"/>
      <c r="AI134" s="135"/>
      <c r="AJ134" s="134" t="str">
        <f>IF(AD134="","",IF(ISBLANK(AF134),"En cours",AD134+AF134))</f>
        <v/>
      </c>
      <c r="AK134" s="134" t="str">
        <f>IF(AE134="","",IF(ISBLANK(AH134),"En cours",AE134+AH134))</f>
        <v/>
      </c>
    </row>
    <row r="135" spans="2:37" ht="21" x14ac:dyDescent="0.35">
      <c r="B135" s="135"/>
      <c r="C135" s="135"/>
      <c r="D135" s="135"/>
      <c r="E135" s="135"/>
      <c r="F135" s="135"/>
      <c r="G135" s="135"/>
      <c r="H135" s="135"/>
      <c r="I135" s="135"/>
      <c r="J135" s="135"/>
      <c r="K135" s="135"/>
      <c r="L135" s="135"/>
      <c r="M135" s="135"/>
      <c r="N135" s="135"/>
      <c r="O135" s="135"/>
      <c r="P135" s="135"/>
      <c r="Q135" s="135"/>
      <c r="R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6" t="str">
        <f>IF(MIN(F135,J135,N135,R135,V135,Z135)&lt;&gt;0,MIN(F135,J135,N135,R135,V135,Z135),"")</f>
        <v/>
      </c>
      <c r="AE135" s="136" t="str">
        <f>IF(MIN(H135,L135,P135,T135,X135,AB135)&lt;&gt;0,MIN(H135,L135,P135,T135,X135,AB135),"")</f>
        <v/>
      </c>
      <c r="AF135" s="136"/>
      <c r="AG135" s="135"/>
      <c r="AH135" s="136"/>
      <c r="AI135" s="135"/>
      <c r="AJ135" s="134" t="str">
        <f>IF(AD135="","",IF(ISBLANK(AF135),"En cours",AD135+AF135))</f>
        <v/>
      </c>
      <c r="AK135" s="134" t="str">
        <f>IF(AE135="","",IF(ISBLANK(AH135),"En cours",AE135+AH135))</f>
        <v/>
      </c>
    </row>
    <row r="136" spans="2:37" ht="21" x14ac:dyDescent="0.35">
      <c r="B136" s="135"/>
      <c r="C136" s="135"/>
      <c r="D136" s="135"/>
      <c r="E136" s="135"/>
      <c r="F136" s="135"/>
      <c r="G136" s="135"/>
      <c r="H136" s="135"/>
      <c r="I136" s="135"/>
      <c r="J136" s="135"/>
      <c r="K136" s="135"/>
      <c r="L136" s="135"/>
      <c r="M136" s="135"/>
      <c r="N136" s="135"/>
      <c r="O136" s="135"/>
      <c r="P136" s="135"/>
      <c r="Q136" s="135"/>
      <c r="R136" s="135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6" t="str">
        <f>IF(MIN(F136,J136,N136,R136,V136,Z136)&lt;&gt;0,MIN(F136,J136,N136,R136,V136,Z136),"")</f>
        <v/>
      </c>
      <c r="AE136" s="136" t="str">
        <f>IF(MIN(H136,L136,P136,T136,X136,AB136)&lt;&gt;0,MIN(H136,L136,P136,T136,X136,AB136),"")</f>
        <v/>
      </c>
      <c r="AF136" s="136"/>
      <c r="AG136" s="135"/>
      <c r="AH136" s="136"/>
      <c r="AI136" s="135"/>
      <c r="AJ136" s="134" t="str">
        <f>IF(AD136="","",IF(ISBLANK(AF136),"En cours",AD136+AF136))</f>
        <v/>
      </c>
      <c r="AK136" s="134" t="str">
        <f>IF(AE136="","",IF(ISBLANK(AH136),"En cours",AE136+AH136))</f>
        <v/>
      </c>
    </row>
    <row r="137" spans="2:37" ht="21" x14ac:dyDescent="0.35">
      <c r="B137" s="135"/>
      <c r="C137" s="135"/>
      <c r="D137" s="135"/>
      <c r="E137" s="135"/>
      <c r="F137" s="135"/>
      <c r="G137" s="135"/>
      <c r="H137" s="135"/>
      <c r="I137" s="135"/>
      <c r="J137" s="135"/>
      <c r="K137" s="135"/>
      <c r="L137" s="135"/>
      <c r="M137" s="135"/>
      <c r="N137" s="135"/>
      <c r="O137" s="135"/>
      <c r="P137" s="135"/>
      <c r="Q137" s="135"/>
      <c r="R137" s="135"/>
      <c r="S137" s="135"/>
      <c r="T137" s="135"/>
      <c r="U137" s="135"/>
      <c r="V137" s="135"/>
      <c r="W137" s="135"/>
      <c r="X137" s="135"/>
      <c r="Y137" s="135"/>
      <c r="Z137" s="135"/>
      <c r="AA137" s="135"/>
      <c r="AB137" s="135"/>
      <c r="AC137" s="135"/>
      <c r="AD137" s="136" t="str">
        <f>IF(MIN(F137,J137,N137,R137,V137,Z137)&lt;&gt;0,MIN(F137,J137,N137,R137,V137,Z137),"")</f>
        <v/>
      </c>
      <c r="AE137" s="136" t="str">
        <f>IF(MIN(H137,L137,P137,T137,X137,AB137)&lt;&gt;0,MIN(H137,L137,P137,T137,X137,AB137),"")</f>
        <v/>
      </c>
      <c r="AF137" s="136"/>
      <c r="AG137" s="135"/>
      <c r="AH137" s="136"/>
      <c r="AI137" s="135"/>
      <c r="AJ137" s="134" t="str">
        <f>IF(AD137="","",IF(ISBLANK(AF137),"En cours",AD137+AF137))</f>
        <v/>
      </c>
      <c r="AK137" s="134" t="str">
        <f>IF(AE137="","",IF(ISBLANK(AH137),"En cours",AE137+AH137))</f>
        <v/>
      </c>
    </row>
    <row r="138" spans="2:37" ht="21" x14ac:dyDescent="0.35">
      <c r="B138" s="135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  <c r="U138" s="135"/>
      <c r="V138" s="135"/>
      <c r="W138" s="135"/>
      <c r="X138" s="135"/>
      <c r="Y138" s="135"/>
      <c r="Z138" s="135"/>
      <c r="AA138" s="135"/>
      <c r="AB138" s="135"/>
      <c r="AC138" s="135"/>
      <c r="AD138" s="136" t="str">
        <f>IF(MIN(F138,J138,N138,R138,V138,Z138)&lt;&gt;0,MIN(F138,J138,N138,R138,V138,Z138),"")</f>
        <v/>
      </c>
      <c r="AE138" s="136" t="str">
        <f>IF(MIN(H138,L138,P138,T138,X138,AB138)&lt;&gt;0,MIN(H138,L138,P138,T138,X138,AB138),"")</f>
        <v/>
      </c>
      <c r="AF138" s="136"/>
      <c r="AG138" s="135"/>
      <c r="AH138" s="136"/>
      <c r="AI138" s="135"/>
      <c r="AJ138" s="134" t="str">
        <f>IF(AD138="","",IF(ISBLANK(AF138),"En cours",AD138+AF138))</f>
        <v/>
      </c>
      <c r="AK138" s="134" t="str">
        <f>IF(AE138="","",IF(ISBLANK(AH138),"En cours",AE138+AH138))</f>
        <v/>
      </c>
    </row>
    <row r="139" spans="2:37" ht="21" x14ac:dyDescent="0.35">
      <c r="B139" s="135"/>
      <c r="C139" s="135"/>
      <c r="D139" s="135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6" t="str">
        <f>IF(MIN(F139,J139,N139,R139,V139,Z139)&lt;&gt;0,MIN(F139,J139,N139,R139,V139,Z139),"")</f>
        <v/>
      </c>
      <c r="AE139" s="136" t="str">
        <f>IF(MIN(H139,L139,P139,T139,X139,AB139)&lt;&gt;0,MIN(H139,L139,P139,T139,X139,AB139),"")</f>
        <v/>
      </c>
      <c r="AF139" s="136"/>
      <c r="AG139" s="135"/>
      <c r="AH139" s="136"/>
      <c r="AI139" s="135"/>
      <c r="AJ139" s="134" t="str">
        <f>IF(AD139="","",IF(ISBLANK(AF139),"En cours",AD139+AF139))</f>
        <v/>
      </c>
      <c r="AK139" s="134" t="str">
        <f>IF(AE139="","",IF(ISBLANK(AH139),"En cours",AE139+AH139))</f>
        <v/>
      </c>
    </row>
    <row r="140" spans="2:37" ht="21" x14ac:dyDescent="0.35">
      <c r="B140" s="135"/>
      <c r="C140" s="135"/>
      <c r="D140" s="135"/>
      <c r="E140" s="135"/>
      <c r="F140" s="135"/>
      <c r="G140" s="135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  <c r="U140" s="135"/>
      <c r="V140" s="135"/>
      <c r="W140" s="135"/>
      <c r="X140" s="135"/>
      <c r="Y140" s="135"/>
      <c r="Z140" s="135"/>
      <c r="AA140" s="135"/>
      <c r="AB140" s="135"/>
      <c r="AC140" s="135"/>
      <c r="AD140" s="136" t="str">
        <f>IF(MIN(F140,J140,N140,R140,V140,Z140)&lt;&gt;0,MIN(F140,J140,N140,R140,V140,Z140),"")</f>
        <v/>
      </c>
      <c r="AE140" s="136" t="str">
        <f>IF(MIN(H140,L140,P140,T140,X140,AB140)&lt;&gt;0,MIN(H140,L140,P140,T140,X140,AB140),"")</f>
        <v/>
      </c>
      <c r="AF140" s="136"/>
      <c r="AG140" s="135"/>
      <c r="AH140" s="136"/>
      <c r="AI140" s="135"/>
      <c r="AJ140" s="134" t="str">
        <f>IF(AD140="","",IF(ISBLANK(AF140),"En cours",AD140+AF140))</f>
        <v/>
      </c>
      <c r="AK140" s="134" t="str">
        <f>IF(AE140="","",IF(ISBLANK(AH140),"En cours",AE140+AH140))</f>
        <v/>
      </c>
    </row>
    <row r="141" spans="2:37" ht="21" x14ac:dyDescent="0.35">
      <c r="B141" s="135"/>
      <c r="C141" s="135"/>
      <c r="D141" s="135"/>
      <c r="E141" s="135"/>
      <c r="F141" s="135"/>
      <c r="G141" s="135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6" t="str">
        <f>IF(MIN(F141,J141,N141,R141,V141,Z141)&lt;&gt;0,MIN(F141,J141,N141,R141,V141,Z141),"")</f>
        <v/>
      </c>
      <c r="AE141" s="136" t="str">
        <f>IF(MIN(H141,L141,P141,T141,X141,AB141)&lt;&gt;0,MIN(H141,L141,P141,T141,X141,AB141),"")</f>
        <v/>
      </c>
      <c r="AF141" s="136"/>
      <c r="AG141" s="135"/>
      <c r="AH141" s="136"/>
      <c r="AI141" s="135"/>
      <c r="AJ141" s="134" t="str">
        <f>IF(AD141="","",IF(ISBLANK(AF141),"En cours",AD141+AF141))</f>
        <v/>
      </c>
      <c r="AK141" s="134" t="str">
        <f>IF(AE141="","",IF(ISBLANK(AH141),"En cours",AE141+AH141))</f>
        <v/>
      </c>
    </row>
    <row r="142" spans="2:37" ht="21" x14ac:dyDescent="0.35">
      <c r="B142" s="135"/>
      <c r="C142" s="135"/>
      <c r="D142" s="135"/>
      <c r="E142" s="135"/>
      <c r="F142" s="135"/>
      <c r="G142" s="135"/>
      <c r="H142" s="135"/>
      <c r="I142" s="135"/>
      <c r="J142" s="135"/>
      <c r="K142" s="135"/>
      <c r="L142" s="135"/>
      <c r="M142" s="135"/>
      <c r="N142" s="135"/>
      <c r="O142" s="135"/>
      <c r="P142" s="135"/>
      <c r="Q142" s="135"/>
      <c r="R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6" t="str">
        <f>IF(MIN(F142,J142,N142,R142,V142,Z142)&lt;&gt;0,MIN(F142,J142,N142,R142,V142,Z142),"")</f>
        <v/>
      </c>
      <c r="AE142" s="136" t="str">
        <f>IF(MIN(H142,L142,P142,T142,X142,AB142)&lt;&gt;0,MIN(H142,L142,P142,T142,X142,AB142),"")</f>
        <v/>
      </c>
      <c r="AF142" s="136"/>
      <c r="AG142" s="135"/>
      <c r="AH142" s="136"/>
      <c r="AI142" s="135"/>
      <c r="AJ142" s="134" t="str">
        <f>IF(AD142="","",IF(ISBLANK(AF142),"En cours",AD142+AF142))</f>
        <v/>
      </c>
      <c r="AK142" s="134" t="str">
        <f>IF(AE142="","",IF(ISBLANK(AH142),"En cours",AE142+AH142))</f>
        <v/>
      </c>
    </row>
    <row r="143" spans="2:37" ht="21" x14ac:dyDescent="0.35">
      <c r="B143" s="135"/>
      <c r="C143" s="135"/>
      <c r="D143" s="135"/>
      <c r="E143" s="135"/>
      <c r="F143" s="135"/>
      <c r="G143" s="135"/>
      <c r="H143" s="135"/>
      <c r="I143" s="135"/>
      <c r="J143" s="135"/>
      <c r="K143" s="135"/>
      <c r="L143" s="135"/>
      <c r="M143" s="135"/>
      <c r="N143" s="135"/>
      <c r="O143" s="135"/>
      <c r="P143" s="135"/>
      <c r="Q143" s="135"/>
      <c r="R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6" t="str">
        <f>IF(MIN(F143,J143,N143,R143,V143,Z143)&lt;&gt;0,MIN(F143,J143,N143,R143,V143,Z143),"")</f>
        <v/>
      </c>
      <c r="AE143" s="136" t="str">
        <f>IF(MIN(H143,L143,P143,T143,X143,AB143)&lt;&gt;0,MIN(H143,L143,P143,T143,X143,AB143),"")</f>
        <v/>
      </c>
      <c r="AF143" s="136"/>
      <c r="AG143" s="135"/>
      <c r="AH143" s="136"/>
      <c r="AI143" s="135"/>
      <c r="AJ143" s="134" t="str">
        <f>IF(AD143="","",IF(ISBLANK(AF143),"En cours",AD143+AF143))</f>
        <v/>
      </c>
      <c r="AK143" s="134" t="str">
        <f>IF(AE143="","",IF(ISBLANK(AH143),"En cours",AE143+AH143))</f>
        <v/>
      </c>
    </row>
    <row r="144" spans="2:37" ht="21" x14ac:dyDescent="0.35">
      <c r="B144" s="135"/>
      <c r="C144" s="135"/>
      <c r="D144" s="135"/>
      <c r="E144" s="135"/>
      <c r="F144" s="135"/>
      <c r="G144" s="135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6" t="str">
        <f>IF(MIN(F144,J144,N144,R144,V144,Z144)&lt;&gt;0,MIN(F144,J144,N144,R144,V144,Z144),"")</f>
        <v/>
      </c>
      <c r="AE144" s="136" t="str">
        <f>IF(MIN(H144,L144,P144,T144,X144,AB144)&lt;&gt;0,MIN(H144,L144,P144,T144,X144,AB144),"")</f>
        <v/>
      </c>
      <c r="AF144" s="136"/>
      <c r="AG144" s="135"/>
      <c r="AH144" s="136"/>
      <c r="AI144" s="135"/>
      <c r="AJ144" s="134" t="str">
        <f>IF(AD144="","",IF(ISBLANK(AF144),"En cours",AD144+AF144))</f>
        <v/>
      </c>
      <c r="AK144" s="134" t="str">
        <f>IF(AE144="","",IF(ISBLANK(AH144),"En cours",AE144+AH144))</f>
        <v/>
      </c>
    </row>
    <row r="145" spans="2:37" ht="21" x14ac:dyDescent="0.35">
      <c r="B145" s="135"/>
      <c r="C145" s="135"/>
      <c r="D145" s="135"/>
      <c r="E145" s="135"/>
      <c r="F145" s="135"/>
      <c r="G145" s="135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5"/>
      <c r="S145" s="135"/>
      <c r="T145" s="135"/>
      <c r="U145" s="135"/>
      <c r="V145" s="135"/>
      <c r="W145" s="135"/>
      <c r="X145" s="135"/>
      <c r="Y145" s="135"/>
      <c r="Z145" s="135"/>
      <c r="AA145" s="135"/>
      <c r="AB145" s="135"/>
      <c r="AC145" s="135"/>
      <c r="AD145" s="136" t="str">
        <f>IF(MIN(F145,J145,N145,R145,V145,Z145)&lt;&gt;0,MIN(F145,J145,N145,R145,V145,Z145),"")</f>
        <v/>
      </c>
      <c r="AE145" s="136" t="str">
        <f>IF(MIN(H145,L145,P145,T145,X145,AB145)&lt;&gt;0,MIN(H145,L145,P145,T145,X145,AB145),"")</f>
        <v/>
      </c>
      <c r="AF145" s="136"/>
      <c r="AG145" s="135"/>
      <c r="AH145" s="136"/>
      <c r="AI145" s="135"/>
      <c r="AJ145" s="134" t="str">
        <f>IF(AD145="","",IF(ISBLANK(AF145),"En cours",AD145+AF145))</f>
        <v/>
      </c>
      <c r="AK145" s="134" t="str">
        <f>IF(AE145="","",IF(ISBLANK(AH145),"En cours",AE145+AH145))</f>
        <v/>
      </c>
    </row>
    <row r="146" spans="2:37" ht="21" x14ac:dyDescent="0.35"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  <c r="U146" s="135"/>
      <c r="V146" s="135"/>
      <c r="W146" s="135"/>
      <c r="X146" s="135"/>
      <c r="Y146" s="135"/>
      <c r="Z146" s="135"/>
      <c r="AA146" s="135"/>
      <c r="AB146" s="135"/>
      <c r="AC146" s="135"/>
      <c r="AD146" s="136" t="str">
        <f>IF(MIN(F146,J146,N146,R146,V146,Z146)&lt;&gt;0,MIN(F146,J146,N146,R146,V146,Z146),"")</f>
        <v/>
      </c>
      <c r="AE146" s="136" t="str">
        <f>IF(MIN(H146,L146,P146,T146,X146,AB146)&lt;&gt;0,MIN(H146,L146,P146,T146,X146,AB146),"")</f>
        <v/>
      </c>
      <c r="AF146" s="136"/>
      <c r="AG146" s="135"/>
      <c r="AH146" s="136"/>
      <c r="AI146" s="135"/>
      <c r="AJ146" s="134" t="str">
        <f>IF(AD146="","",IF(ISBLANK(AF146),"En cours",AD146+AF146))</f>
        <v/>
      </c>
      <c r="AK146" s="134" t="str">
        <f>IF(AE146="","",IF(ISBLANK(AH146),"En cours",AE146+AH146))</f>
        <v/>
      </c>
    </row>
    <row r="147" spans="2:37" ht="21" x14ac:dyDescent="0.35"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  <c r="U147" s="135"/>
      <c r="V147" s="135"/>
      <c r="W147" s="135"/>
      <c r="X147" s="135"/>
      <c r="Y147" s="135"/>
      <c r="Z147" s="135"/>
      <c r="AA147" s="135"/>
      <c r="AB147" s="135"/>
      <c r="AC147" s="135"/>
      <c r="AD147" s="136" t="str">
        <f>IF(MIN(F147,J147,N147,R147,V147,Z147)&lt;&gt;0,MIN(F147,J147,N147,R147,V147,Z147),"")</f>
        <v/>
      </c>
      <c r="AE147" s="136" t="str">
        <f>IF(MIN(H147,L147,P147,T147,X147,AB147)&lt;&gt;0,MIN(H147,L147,P147,T147,X147,AB147),"")</f>
        <v/>
      </c>
      <c r="AF147" s="136"/>
      <c r="AG147" s="135"/>
      <c r="AH147" s="136"/>
      <c r="AI147" s="135"/>
      <c r="AJ147" s="134" t="str">
        <f>IF(AD147="","",IF(ISBLANK(AF147),"En cours",AD147+AF147))</f>
        <v/>
      </c>
      <c r="AK147" s="134" t="str">
        <f>IF(AE147="","",IF(ISBLANK(AH147),"En cours",AE147+AH147))</f>
        <v/>
      </c>
    </row>
    <row r="148" spans="2:37" ht="21" x14ac:dyDescent="0.35">
      <c r="B148" s="135"/>
      <c r="C148" s="135"/>
      <c r="D148" s="135"/>
      <c r="E148" s="135"/>
      <c r="F148" s="135"/>
      <c r="G148" s="135"/>
      <c r="H148" s="135"/>
      <c r="I148" s="135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  <c r="U148" s="135"/>
      <c r="V148" s="135"/>
      <c r="W148" s="135"/>
      <c r="X148" s="135"/>
      <c r="Y148" s="135"/>
      <c r="Z148" s="135"/>
      <c r="AA148" s="135"/>
      <c r="AB148" s="135"/>
      <c r="AC148" s="135"/>
      <c r="AD148" s="136" t="str">
        <f>IF(MIN(F148,J148,N148,R148,V148,Z148)&lt;&gt;0,MIN(F148,J148,N148,R148,V148,Z148),"")</f>
        <v/>
      </c>
      <c r="AE148" s="136" t="str">
        <f>IF(MIN(H148,L148,P148,T148,X148,AB148)&lt;&gt;0,MIN(H148,L148,P148,T148,X148,AB148),"")</f>
        <v/>
      </c>
      <c r="AF148" s="136"/>
      <c r="AG148" s="135"/>
      <c r="AH148" s="136"/>
      <c r="AI148" s="135"/>
      <c r="AJ148" s="134" t="str">
        <f>IF(AD148="","",IF(ISBLANK(AF148),"En cours",AD148+AF148))</f>
        <v/>
      </c>
      <c r="AK148" s="134" t="str">
        <f>IF(AE148="","",IF(ISBLANK(AH148),"En cours",AE148+AH148))</f>
        <v/>
      </c>
    </row>
    <row r="149" spans="2:37" ht="21" x14ac:dyDescent="0.35">
      <c r="B149" s="135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6" t="str">
        <f>IF(MIN(F149,J149,N149,R149,V149,Z149)&lt;&gt;0,MIN(F149,J149,N149,R149,V149,Z149),"")</f>
        <v/>
      </c>
      <c r="AE149" s="136" t="str">
        <f>IF(MIN(H149,L149,P149,T149,X149,AB149)&lt;&gt;0,MIN(H149,L149,P149,T149,X149,AB149),"")</f>
        <v/>
      </c>
      <c r="AF149" s="136"/>
      <c r="AG149" s="135"/>
      <c r="AH149" s="136"/>
      <c r="AI149" s="135"/>
      <c r="AJ149" s="134" t="str">
        <f>IF(AD149="","",IF(ISBLANK(AF149),"En cours",AD149+AF149))</f>
        <v/>
      </c>
      <c r="AK149" s="134" t="str">
        <f>IF(AE149="","",IF(ISBLANK(AH149),"En cours",AE149+AH149))</f>
        <v/>
      </c>
    </row>
    <row r="150" spans="2:37" ht="21" x14ac:dyDescent="0.35">
      <c r="B150" s="135"/>
      <c r="C150" s="135"/>
      <c r="D150" s="135"/>
      <c r="E150" s="135"/>
      <c r="F150" s="135"/>
      <c r="G150" s="135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6" t="str">
        <f>IF(MIN(F150,J150,N150,R150,V150,Z150)&lt;&gt;0,MIN(F150,J150,N150,R150,V150,Z150),"")</f>
        <v/>
      </c>
      <c r="AE150" s="136" t="str">
        <f>IF(MIN(H150,L150,P150,T150,X150,AB150)&lt;&gt;0,MIN(H150,L150,P150,T150,X150,AB150),"")</f>
        <v/>
      </c>
      <c r="AF150" s="136"/>
      <c r="AG150" s="135"/>
      <c r="AH150" s="136"/>
      <c r="AI150" s="135"/>
      <c r="AJ150" s="134" t="str">
        <f>IF(AD150="","",IF(ISBLANK(AF150),"En cours",AD150+AF150))</f>
        <v/>
      </c>
      <c r="AK150" s="134" t="str">
        <f>IF(AE150="","",IF(ISBLANK(AH150),"En cours",AE150+AH150))</f>
        <v/>
      </c>
    </row>
    <row r="151" spans="2:37" ht="21" x14ac:dyDescent="0.35">
      <c r="B151" s="135"/>
      <c r="C151" s="135"/>
      <c r="D151" s="135"/>
      <c r="E151" s="135"/>
      <c r="F151" s="135"/>
      <c r="G151" s="135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6" t="str">
        <f>IF(MIN(F151,J151,N151,R151,V151,Z151)&lt;&gt;0,MIN(F151,J151,N151,R151,V151,Z151),"")</f>
        <v/>
      </c>
      <c r="AE151" s="136" t="str">
        <f>IF(MIN(H151,L151,P151,T151,X151,AB151)&lt;&gt;0,MIN(H151,L151,P151,T151,X151,AB151),"")</f>
        <v/>
      </c>
      <c r="AF151" s="136"/>
      <c r="AG151" s="135"/>
      <c r="AH151" s="136"/>
      <c r="AI151" s="135"/>
      <c r="AJ151" s="134" t="str">
        <f>IF(AD151="","",IF(ISBLANK(AF151),"En cours",AD151+AF151))</f>
        <v/>
      </c>
      <c r="AK151" s="134" t="str">
        <f>IF(AE151="","",IF(ISBLANK(AH151),"En cours",AE151+AH151))</f>
        <v/>
      </c>
    </row>
    <row r="152" spans="2:37" ht="21" x14ac:dyDescent="0.35"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6" t="str">
        <f>IF(MIN(F152,J152,N152,R152,V152,Z152)&lt;&gt;0,MIN(F152,J152,N152,R152,V152,Z152),"")</f>
        <v/>
      </c>
      <c r="AE152" s="136" t="str">
        <f>IF(MIN(H152,L152,P152,T152,X152,AB152)&lt;&gt;0,MIN(H152,L152,P152,T152,X152,AB152),"")</f>
        <v/>
      </c>
      <c r="AF152" s="136"/>
      <c r="AG152" s="135"/>
      <c r="AH152" s="136"/>
      <c r="AI152" s="135"/>
      <c r="AJ152" s="134" t="str">
        <f>IF(AD152="","",IF(ISBLANK(AF152),"En cours",AD152+AF152))</f>
        <v/>
      </c>
      <c r="AK152" s="134" t="str">
        <f>IF(AE152="","",IF(ISBLANK(AH152),"En cours",AE152+AH152))</f>
        <v/>
      </c>
    </row>
    <row r="153" spans="2:37" ht="21" x14ac:dyDescent="0.35">
      <c r="B153" s="135"/>
      <c r="C153" s="135"/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6" t="str">
        <f>IF(MIN(F153,J153,N153,R153,V153,Z153)&lt;&gt;0,MIN(F153,J153,N153,R153,V153,Z153),"")</f>
        <v/>
      </c>
      <c r="AE153" s="136" t="str">
        <f>IF(MIN(H153,L153,P153,T153,X153,AB153)&lt;&gt;0,MIN(H153,L153,P153,T153,X153,AB153),"")</f>
        <v/>
      </c>
      <c r="AF153" s="136"/>
      <c r="AG153" s="135"/>
      <c r="AH153" s="136"/>
      <c r="AI153" s="135"/>
      <c r="AJ153" s="134" t="str">
        <f>IF(AD153="","",IF(ISBLANK(AF153),"En cours",AD153+AF153))</f>
        <v/>
      </c>
      <c r="AK153" s="134" t="str">
        <f>IF(AE153="","",IF(ISBLANK(AH153),"En cours",AE153+AH153))</f>
        <v/>
      </c>
    </row>
    <row r="154" spans="2:37" ht="21" x14ac:dyDescent="0.35"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6" t="str">
        <f>IF(MIN(F154,J154,N154,R154,V154,Z154)&lt;&gt;0,MIN(F154,J154,N154,R154,V154,Z154),"")</f>
        <v/>
      </c>
      <c r="AE154" s="136" t="str">
        <f>IF(MIN(H154,L154,P154,T154,X154,AB154)&lt;&gt;0,MIN(H154,L154,P154,T154,X154,AB154),"")</f>
        <v/>
      </c>
      <c r="AF154" s="136"/>
      <c r="AG154" s="135"/>
      <c r="AH154" s="136"/>
      <c r="AI154" s="135"/>
      <c r="AJ154" s="134" t="str">
        <f>IF(AD154="","",IF(ISBLANK(AF154),"En cours",AD154+AF154))</f>
        <v/>
      </c>
      <c r="AK154" s="134" t="str">
        <f>IF(AE154="","",IF(ISBLANK(AH154),"En cours",AE154+AH154))</f>
        <v/>
      </c>
    </row>
    <row r="155" spans="2:37" ht="21" x14ac:dyDescent="0.35"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6" t="str">
        <f>IF(MIN(F155,J155,N155,R155,V155,Z155)&lt;&gt;0,MIN(F155,J155,N155,R155,V155,Z155),"")</f>
        <v/>
      </c>
      <c r="AE155" s="136" t="str">
        <f>IF(MIN(H155,L155,P155,T155,X155,AB155)&lt;&gt;0,MIN(H155,L155,P155,T155,X155,AB155),"")</f>
        <v/>
      </c>
      <c r="AF155" s="136"/>
      <c r="AG155" s="135"/>
      <c r="AH155" s="136"/>
      <c r="AI155" s="135"/>
      <c r="AJ155" s="134" t="str">
        <f>IF(AD155="","",IF(ISBLANK(AF155),"En cours",AD155+AF155))</f>
        <v/>
      </c>
      <c r="AK155" s="134" t="str">
        <f>IF(AE155="","",IF(ISBLANK(AH155),"En cours",AE155+AH155))</f>
        <v/>
      </c>
    </row>
    <row r="156" spans="2:37" ht="21" x14ac:dyDescent="0.35"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6" t="str">
        <f>IF(MIN(F156,J156,N156,R156,V156,Z156)&lt;&gt;0,MIN(F156,J156,N156,R156,V156,Z156),"")</f>
        <v/>
      </c>
      <c r="AE156" s="136" t="str">
        <f>IF(MIN(H156,L156,P156,T156,X156,AB156)&lt;&gt;0,MIN(H156,L156,P156,T156,X156,AB156),"")</f>
        <v/>
      </c>
      <c r="AF156" s="136"/>
      <c r="AG156" s="135"/>
      <c r="AH156" s="136"/>
      <c r="AI156" s="135"/>
      <c r="AJ156" s="134" t="str">
        <f>IF(AD156="","",IF(ISBLANK(AF156),"En cours",AD156+AF156))</f>
        <v/>
      </c>
      <c r="AK156" s="134" t="str">
        <f>IF(AE156="","",IF(ISBLANK(AH156),"En cours",AE156+AH156))</f>
        <v/>
      </c>
    </row>
    <row r="157" spans="2:37" ht="21" x14ac:dyDescent="0.35">
      <c r="B157" s="135"/>
      <c r="C157" s="135"/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135"/>
      <c r="W157" s="135"/>
      <c r="X157" s="135"/>
      <c r="Y157" s="135"/>
      <c r="Z157" s="135"/>
      <c r="AA157" s="135"/>
      <c r="AB157" s="135"/>
      <c r="AC157" s="135"/>
      <c r="AD157" s="136" t="str">
        <f>IF(MIN(F157,J157,N157,R157,V157,Z157)&lt;&gt;0,MIN(F157,J157,N157,R157,V157,Z157),"")</f>
        <v/>
      </c>
      <c r="AE157" s="136" t="str">
        <f>IF(MIN(H157,L157,P157,T157,X157,AB157)&lt;&gt;0,MIN(H157,L157,P157,T157,X157,AB157),"")</f>
        <v/>
      </c>
      <c r="AF157" s="136"/>
      <c r="AG157" s="135"/>
      <c r="AH157" s="136"/>
      <c r="AI157" s="135"/>
      <c r="AJ157" s="134" t="str">
        <f>IF(AD157="","",IF(ISBLANK(AF157),"En cours",AD157+AF157))</f>
        <v/>
      </c>
      <c r="AK157" s="134" t="str">
        <f>IF(AE157="","",IF(ISBLANK(AH157),"En cours",AE157+AH157))</f>
        <v/>
      </c>
    </row>
    <row r="158" spans="2:37" ht="21" x14ac:dyDescent="0.35">
      <c r="B158" s="135"/>
      <c r="C158" s="135"/>
      <c r="D158" s="13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  <c r="Z158" s="135"/>
      <c r="AA158" s="135"/>
      <c r="AB158" s="135"/>
      <c r="AC158" s="135"/>
      <c r="AD158" s="136" t="str">
        <f>IF(MIN(F158,J158,N158,R158,V158,Z158)&lt;&gt;0,MIN(F158,J158,N158,R158,V158,Z158),"")</f>
        <v/>
      </c>
      <c r="AE158" s="136" t="str">
        <f>IF(MIN(H158,L158,P158,T158,X158,AB158)&lt;&gt;0,MIN(H158,L158,P158,T158,X158,AB158),"")</f>
        <v/>
      </c>
      <c r="AF158" s="136"/>
      <c r="AG158" s="135"/>
      <c r="AH158" s="136"/>
      <c r="AI158" s="135"/>
      <c r="AJ158" s="134" t="str">
        <f>IF(AD158="","",IF(ISBLANK(AF158),"En cours",AD158+AF158))</f>
        <v/>
      </c>
      <c r="AK158" s="134" t="str">
        <f>IF(AE158="","",IF(ISBLANK(AH158),"En cours",AE158+AH158))</f>
        <v/>
      </c>
    </row>
    <row r="159" spans="2:37" ht="21" x14ac:dyDescent="0.35">
      <c r="B159" s="135"/>
      <c r="C159" s="135"/>
      <c r="D159" s="135"/>
      <c r="E159" s="135"/>
      <c r="F159" s="135"/>
      <c r="G159" s="135"/>
      <c r="H159" s="135"/>
      <c r="I159" s="135"/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  <c r="U159" s="135"/>
      <c r="V159" s="135"/>
      <c r="W159" s="135"/>
      <c r="X159" s="135"/>
      <c r="Y159" s="135"/>
      <c r="Z159" s="135"/>
      <c r="AA159" s="135"/>
      <c r="AB159" s="135"/>
      <c r="AC159" s="135"/>
      <c r="AD159" s="136" t="str">
        <f>IF(MIN(F159,J159,N159,R159,V159,Z159)&lt;&gt;0,MIN(F159,J159,N159,R159,V159,Z159),"")</f>
        <v/>
      </c>
      <c r="AE159" s="136" t="str">
        <f>IF(MIN(H159,L159,P159,T159,X159,AB159)&lt;&gt;0,MIN(H159,L159,P159,T159,X159,AB159),"")</f>
        <v/>
      </c>
      <c r="AF159" s="136"/>
      <c r="AG159" s="135"/>
      <c r="AH159" s="136"/>
      <c r="AI159" s="135"/>
      <c r="AJ159" s="134" t="str">
        <f>IF(AD159="","",IF(ISBLANK(AF159),"En cours",AD159+AF159))</f>
        <v/>
      </c>
      <c r="AK159" s="134" t="str">
        <f>IF(AE159="","",IF(ISBLANK(AH159),"En cours",AE159+AH159))</f>
        <v/>
      </c>
    </row>
    <row r="160" spans="2:37" ht="21" x14ac:dyDescent="0.35">
      <c r="B160" s="135"/>
      <c r="C160" s="135"/>
      <c r="D160" s="135"/>
      <c r="E160" s="135"/>
      <c r="F160" s="135"/>
      <c r="G160" s="135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  <c r="U160" s="135"/>
      <c r="V160" s="135"/>
      <c r="W160" s="135"/>
      <c r="X160" s="135"/>
      <c r="Y160" s="135"/>
      <c r="Z160" s="135"/>
      <c r="AA160" s="135"/>
      <c r="AB160" s="135"/>
      <c r="AC160" s="135"/>
      <c r="AD160" s="136" t="str">
        <f>IF(MIN(F160,J160,N160,R160,V160,Z160)&lt;&gt;0,MIN(F160,J160,N160,R160,V160,Z160),"")</f>
        <v/>
      </c>
      <c r="AE160" s="136" t="str">
        <f>IF(MIN(H160,L160,P160,T160,X160,AB160)&lt;&gt;0,MIN(H160,L160,P160,T160,X160,AB160),"")</f>
        <v/>
      </c>
      <c r="AF160" s="136"/>
      <c r="AG160" s="135"/>
      <c r="AH160" s="136"/>
      <c r="AI160" s="135"/>
      <c r="AJ160" s="134" t="str">
        <f>IF(AD160="","",IF(ISBLANK(AF160),"En cours",AD160+AF160))</f>
        <v/>
      </c>
      <c r="AK160" s="134" t="str">
        <f>IF(AE160="","",IF(ISBLANK(AH160),"En cours",AE160+AH160))</f>
        <v/>
      </c>
    </row>
    <row r="161" spans="2:37" ht="21" x14ac:dyDescent="0.35">
      <c r="B161" s="135"/>
      <c r="C161" s="135"/>
      <c r="D161" s="135"/>
      <c r="E161" s="135"/>
      <c r="F161" s="135"/>
      <c r="G161" s="135"/>
      <c r="H161" s="135"/>
      <c r="I161" s="135"/>
      <c r="J161" s="135"/>
      <c r="K161" s="135"/>
      <c r="L161" s="135"/>
      <c r="M161" s="135"/>
      <c r="N161" s="135"/>
      <c r="O161" s="135"/>
      <c r="P161" s="135"/>
      <c r="Q161" s="135"/>
      <c r="R161" s="135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6" t="str">
        <f>IF(MIN(F161,J161,N161,R161,V161,Z161)&lt;&gt;0,MIN(F161,J161,N161,R161,V161,Z161),"")</f>
        <v/>
      </c>
      <c r="AE161" s="136" t="str">
        <f>IF(MIN(H161,L161,P161,T161,X161,AB161)&lt;&gt;0,MIN(H161,L161,P161,T161,X161,AB161),"")</f>
        <v/>
      </c>
      <c r="AF161" s="136"/>
      <c r="AG161" s="135"/>
      <c r="AH161" s="136"/>
      <c r="AI161" s="135"/>
      <c r="AJ161" s="134" t="str">
        <f>IF(AD161="","",IF(ISBLANK(AF161),"En cours",AD161+AF161))</f>
        <v/>
      </c>
      <c r="AK161" s="134" t="str">
        <f>IF(AE161="","",IF(ISBLANK(AH161),"En cours",AE161+AH161))</f>
        <v/>
      </c>
    </row>
    <row r="162" spans="2:37" ht="21" x14ac:dyDescent="0.35">
      <c r="B162" s="135"/>
      <c r="C162" s="135"/>
      <c r="D162" s="135"/>
      <c r="E162" s="135"/>
      <c r="F162" s="135"/>
      <c r="G162" s="135"/>
      <c r="H162" s="135"/>
      <c r="I162" s="135"/>
      <c r="J162" s="135"/>
      <c r="K162" s="135"/>
      <c r="L162" s="135"/>
      <c r="M162" s="135"/>
      <c r="N162" s="135"/>
      <c r="O162" s="135"/>
      <c r="P162" s="135"/>
      <c r="Q162" s="135"/>
      <c r="R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6" t="str">
        <f>IF(MIN(F162,J162,N162,R162,V162,Z162)&lt;&gt;0,MIN(F162,J162,N162,R162,V162,Z162),"")</f>
        <v/>
      </c>
      <c r="AE162" s="136" t="str">
        <f>IF(MIN(H162,L162,P162,T162,X162,AB162)&lt;&gt;0,MIN(H162,L162,P162,T162,X162,AB162),"")</f>
        <v/>
      </c>
      <c r="AF162" s="136"/>
      <c r="AG162" s="135"/>
      <c r="AH162" s="136"/>
      <c r="AI162" s="135"/>
      <c r="AJ162" s="134" t="str">
        <f>IF(AD162="","",IF(ISBLANK(AF162),"En cours",AD162+AF162))</f>
        <v/>
      </c>
      <c r="AK162" s="134" t="str">
        <f>IF(AE162="","",IF(ISBLANK(AH162),"En cours",AE162+AH162))</f>
        <v/>
      </c>
    </row>
    <row r="163" spans="2:37" ht="21" x14ac:dyDescent="0.35">
      <c r="B163" s="135"/>
      <c r="C163" s="135"/>
      <c r="D163" s="135"/>
      <c r="E163" s="135"/>
      <c r="F163" s="135"/>
      <c r="G163" s="135"/>
      <c r="H163" s="135"/>
      <c r="I163" s="135"/>
      <c r="J163" s="135"/>
      <c r="K163" s="135"/>
      <c r="L163" s="135"/>
      <c r="M163" s="135"/>
      <c r="N163" s="135"/>
      <c r="O163" s="135"/>
      <c r="P163" s="135"/>
      <c r="Q163" s="135"/>
      <c r="R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6" t="str">
        <f>IF(MIN(F163,J163,N163,R163,V163,Z163)&lt;&gt;0,MIN(F163,J163,N163,R163,V163,Z163),"")</f>
        <v/>
      </c>
      <c r="AE163" s="136" t="str">
        <f>IF(MIN(H163,L163,P163,T163,X163,AB163)&lt;&gt;0,MIN(H163,L163,P163,T163,X163,AB163),"")</f>
        <v/>
      </c>
      <c r="AF163" s="136"/>
      <c r="AG163" s="135"/>
      <c r="AH163" s="136"/>
      <c r="AI163" s="135"/>
      <c r="AJ163" s="134" t="str">
        <f>IF(AD163="","",IF(ISBLANK(AF163),"En cours",AD163+AF163))</f>
        <v/>
      </c>
      <c r="AK163" s="134" t="str">
        <f>IF(AE163="","",IF(ISBLANK(AH163),"En cours",AE163+AH163))</f>
        <v/>
      </c>
    </row>
    <row r="164" spans="2:37" ht="21" x14ac:dyDescent="0.35">
      <c r="B164" s="135"/>
      <c r="C164" s="135"/>
      <c r="D164" s="135"/>
      <c r="E164" s="135"/>
      <c r="F164" s="135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6" t="str">
        <f>IF(MIN(F164,J164,N164,R164,V164,Z164)&lt;&gt;0,MIN(F164,J164,N164,R164,V164,Z164),"")</f>
        <v/>
      </c>
      <c r="AE164" s="136" t="str">
        <f>IF(MIN(H164,L164,P164,T164,X164,AB164)&lt;&gt;0,MIN(H164,L164,P164,T164,X164,AB164),"")</f>
        <v/>
      </c>
      <c r="AF164" s="136"/>
      <c r="AG164" s="135"/>
      <c r="AH164" s="136"/>
      <c r="AI164" s="135"/>
      <c r="AJ164" s="134" t="str">
        <f>IF(AD164="","",IF(ISBLANK(AF164),"En cours",AD164+AF164))</f>
        <v/>
      </c>
      <c r="AK164" s="134" t="str">
        <f>IF(AE164="","",IF(ISBLANK(AH164),"En cours",AE164+AH164))</f>
        <v/>
      </c>
    </row>
    <row r="165" spans="2:37" ht="21" x14ac:dyDescent="0.35">
      <c r="B165" s="135"/>
      <c r="C165" s="135"/>
      <c r="D165" s="135"/>
      <c r="E165" s="135"/>
      <c r="F165" s="135"/>
      <c r="G165" s="135"/>
      <c r="H165" s="135"/>
      <c r="I165" s="135"/>
      <c r="J165" s="135"/>
      <c r="K165" s="135"/>
      <c r="L165" s="135"/>
      <c r="M165" s="135"/>
      <c r="N165" s="135"/>
      <c r="O165" s="135"/>
      <c r="P165" s="135"/>
      <c r="Q165" s="135"/>
      <c r="R165" s="135"/>
      <c r="S165" s="135"/>
      <c r="T165" s="135"/>
      <c r="U165" s="135"/>
      <c r="V165" s="135"/>
      <c r="W165" s="135"/>
      <c r="X165" s="135"/>
      <c r="Y165" s="135"/>
      <c r="Z165" s="135"/>
      <c r="AA165" s="135"/>
      <c r="AB165" s="135"/>
      <c r="AC165" s="135"/>
      <c r="AD165" s="136" t="str">
        <f>IF(MIN(F165,J165,N165,R165,V165,Z165)&lt;&gt;0,MIN(F165,J165,N165,R165,V165,Z165),"")</f>
        <v/>
      </c>
      <c r="AE165" s="136" t="str">
        <f>IF(MIN(H165,L165,P165,T165,X165,AB165)&lt;&gt;0,MIN(H165,L165,P165,T165,X165,AB165),"")</f>
        <v/>
      </c>
      <c r="AF165" s="136"/>
      <c r="AG165" s="135"/>
      <c r="AH165" s="136"/>
      <c r="AI165" s="135"/>
      <c r="AJ165" s="134" t="str">
        <f>IF(AD165="","",IF(ISBLANK(AF165),"En cours",AD165+AF165))</f>
        <v/>
      </c>
      <c r="AK165" s="134" t="str">
        <f>IF(AE165="","",IF(ISBLANK(AH165),"En cours",AE165+AH165))</f>
        <v/>
      </c>
    </row>
    <row r="166" spans="2:37" ht="21" x14ac:dyDescent="0.35">
      <c r="B166" s="135"/>
      <c r="C166" s="135"/>
      <c r="D166" s="135"/>
      <c r="E166" s="135"/>
      <c r="F166" s="135"/>
      <c r="G166" s="135"/>
      <c r="H166" s="135"/>
      <c r="I166" s="135"/>
      <c r="J166" s="135"/>
      <c r="K166" s="135"/>
      <c r="L166" s="135"/>
      <c r="M166" s="135"/>
      <c r="N166" s="135"/>
      <c r="O166" s="135"/>
      <c r="P166" s="135"/>
      <c r="Q166" s="135"/>
      <c r="R166" s="135"/>
      <c r="S166" s="135"/>
      <c r="T166" s="135"/>
      <c r="U166" s="135"/>
      <c r="V166" s="135"/>
      <c r="W166" s="135"/>
      <c r="X166" s="135"/>
      <c r="Y166" s="135"/>
      <c r="Z166" s="135"/>
      <c r="AA166" s="135"/>
      <c r="AB166" s="135"/>
      <c r="AC166" s="135"/>
      <c r="AD166" s="136" t="str">
        <f>IF(MIN(F166,J166,N166,R166,V166,Z166)&lt;&gt;0,MIN(F166,J166,N166,R166,V166,Z166),"")</f>
        <v/>
      </c>
      <c r="AE166" s="136" t="str">
        <f>IF(MIN(H166,L166,P166,T166,X166,AB166)&lt;&gt;0,MIN(H166,L166,P166,T166,X166,AB166),"")</f>
        <v/>
      </c>
      <c r="AF166" s="136"/>
      <c r="AG166" s="135"/>
      <c r="AH166" s="136"/>
      <c r="AI166" s="135"/>
      <c r="AJ166" s="134" t="str">
        <f>IF(AD166="","",IF(ISBLANK(AF166),"En cours",AD166+AF166))</f>
        <v/>
      </c>
      <c r="AK166" s="134" t="str">
        <f>IF(AE166="","",IF(ISBLANK(AH166),"En cours",AE166+AH166))</f>
        <v/>
      </c>
    </row>
    <row r="167" spans="2:37" ht="21" x14ac:dyDescent="0.35">
      <c r="B167" s="135"/>
      <c r="C167" s="135"/>
      <c r="D167" s="135"/>
      <c r="E167" s="135"/>
      <c r="F167" s="135"/>
      <c r="G167" s="135"/>
      <c r="H167" s="135"/>
      <c r="I167" s="135"/>
      <c r="J167" s="135"/>
      <c r="K167" s="135"/>
      <c r="L167" s="135"/>
      <c r="M167" s="135"/>
      <c r="N167" s="135"/>
      <c r="O167" s="135"/>
      <c r="P167" s="135"/>
      <c r="Q167" s="135"/>
      <c r="R167" s="135"/>
      <c r="S167" s="135"/>
      <c r="T167" s="135"/>
      <c r="U167" s="135"/>
      <c r="V167" s="135"/>
      <c r="W167" s="135"/>
      <c r="X167" s="135"/>
      <c r="Y167" s="135"/>
      <c r="Z167" s="135"/>
      <c r="AA167" s="135"/>
      <c r="AB167" s="135"/>
      <c r="AC167" s="135"/>
      <c r="AD167" s="136" t="str">
        <f>IF(MIN(F167,J167,N167,R167,V167,Z167)&lt;&gt;0,MIN(F167,J167,N167,R167,V167,Z167),"")</f>
        <v/>
      </c>
      <c r="AE167" s="136" t="str">
        <f>IF(MIN(H167,L167,P167,T167,X167,AB167)&lt;&gt;0,MIN(H167,L167,P167,T167,X167,AB167),"")</f>
        <v/>
      </c>
      <c r="AF167" s="136"/>
      <c r="AG167" s="135"/>
      <c r="AH167" s="136"/>
      <c r="AI167" s="135"/>
      <c r="AJ167" s="134" t="str">
        <f>IF(AD167="","",IF(ISBLANK(AF167),"En cours",AD167+AF167))</f>
        <v/>
      </c>
      <c r="AK167" s="134" t="str">
        <f>IF(AE167="","",IF(ISBLANK(AH167),"En cours",AE167+AH167))</f>
        <v/>
      </c>
    </row>
    <row r="168" spans="2:37" ht="21" x14ac:dyDescent="0.35">
      <c r="B168" s="135"/>
      <c r="C168" s="135"/>
      <c r="D168" s="135"/>
      <c r="E168" s="135"/>
      <c r="F168" s="135"/>
      <c r="G168" s="135"/>
      <c r="H168" s="135"/>
      <c r="I168" s="135"/>
      <c r="J168" s="135"/>
      <c r="K168" s="135"/>
      <c r="L168" s="135"/>
      <c r="M168" s="135"/>
      <c r="N168" s="135"/>
      <c r="O168" s="135"/>
      <c r="P168" s="135"/>
      <c r="Q168" s="135"/>
      <c r="R168" s="135"/>
      <c r="S168" s="135"/>
      <c r="T168" s="135"/>
      <c r="U168" s="135"/>
      <c r="V168" s="135"/>
      <c r="W168" s="135"/>
      <c r="X168" s="135"/>
      <c r="Y168" s="135"/>
      <c r="Z168" s="135"/>
      <c r="AA168" s="135"/>
      <c r="AB168" s="135"/>
      <c r="AC168" s="135"/>
      <c r="AD168" s="136" t="str">
        <f>IF(MIN(F168,J168,N168,R168,V168,Z168)&lt;&gt;0,MIN(F168,J168,N168,R168,V168,Z168),"")</f>
        <v/>
      </c>
      <c r="AE168" s="136" t="str">
        <f>IF(MIN(H168,L168,P168,T168,X168,AB168)&lt;&gt;0,MIN(H168,L168,P168,T168,X168,AB168),"")</f>
        <v/>
      </c>
      <c r="AF168" s="136"/>
      <c r="AG168" s="135"/>
      <c r="AH168" s="136"/>
      <c r="AI168" s="135"/>
      <c r="AJ168" s="134" t="str">
        <f>IF(AD168="","",IF(ISBLANK(AF168),"En cours",AD168+AF168))</f>
        <v/>
      </c>
      <c r="AK168" s="134" t="str">
        <f>IF(AE168="","",IF(ISBLANK(AH168),"En cours",AE168+AH168))</f>
        <v/>
      </c>
    </row>
    <row r="169" spans="2:37" ht="21" x14ac:dyDescent="0.35">
      <c r="B169" s="135"/>
      <c r="C169" s="135"/>
      <c r="D169" s="135"/>
      <c r="E169" s="135"/>
      <c r="F169" s="135"/>
      <c r="G169" s="135"/>
      <c r="H169" s="135"/>
      <c r="I169" s="135"/>
      <c r="J169" s="135"/>
      <c r="K169" s="135"/>
      <c r="L169" s="135"/>
      <c r="M169" s="135"/>
      <c r="N169" s="135"/>
      <c r="O169" s="135"/>
      <c r="P169" s="135"/>
      <c r="Q169" s="135"/>
      <c r="R169" s="135"/>
      <c r="S169" s="135"/>
      <c r="T169" s="135"/>
      <c r="U169" s="135"/>
      <c r="V169" s="135"/>
      <c r="W169" s="135"/>
      <c r="X169" s="135"/>
      <c r="Y169" s="135"/>
      <c r="Z169" s="135"/>
      <c r="AA169" s="135"/>
      <c r="AB169" s="135"/>
      <c r="AC169" s="135"/>
      <c r="AD169" s="136" t="str">
        <f>IF(MIN(F169,J169,N169,R169,V169,Z169)&lt;&gt;0,MIN(F169,J169,N169,R169,V169,Z169),"")</f>
        <v/>
      </c>
      <c r="AE169" s="136" t="str">
        <f>IF(MIN(H169,L169,P169,T169,X169,AB169)&lt;&gt;0,MIN(H169,L169,P169,T169,X169,AB169),"")</f>
        <v/>
      </c>
      <c r="AF169" s="136"/>
      <c r="AG169" s="135"/>
      <c r="AH169" s="136"/>
      <c r="AI169" s="135"/>
      <c r="AJ169" s="134" t="str">
        <f>IF(AD169="","",IF(ISBLANK(AF169),"En cours",AD169+AF169))</f>
        <v/>
      </c>
      <c r="AK169" s="134" t="str">
        <f>IF(AE169="","",IF(ISBLANK(AH169),"En cours",AE169+AH169))</f>
        <v/>
      </c>
    </row>
    <row r="170" spans="2:37" ht="21" x14ac:dyDescent="0.35">
      <c r="B170" s="135"/>
      <c r="C170" s="135"/>
      <c r="D170" s="135"/>
      <c r="E170" s="135"/>
      <c r="F170" s="135"/>
      <c r="G170" s="135"/>
      <c r="H170" s="135"/>
      <c r="I170" s="135"/>
      <c r="J170" s="135"/>
      <c r="K170" s="135"/>
      <c r="L170" s="135"/>
      <c r="M170" s="135"/>
      <c r="N170" s="135"/>
      <c r="O170" s="135"/>
      <c r="P170" s="135"/>
      <c r="Q170" s="135"/>
      <c r="R170" s="135"/>
      <c r="S170" s="135"/>
      <c r="T170" s="135"/>
      <c r="U170" s="135"/>
      <c r="V170" s="135"/>
      <c r="W170" s="135"/>
      <c r="X170" s="135"/>
      <c r="Y170" s="135"/>
      <c r="Z170" s="135"/>
      <c r="AA170" s="135"/>
      <c r="AB170" s="135"/>
      <c r="AC170" s="135"/>
      <c r="AD170" s="136" t="str">
        <f>IF(MIN(F170,J170,N170,R170,V170,Z170)&lt;&gt;0,MIN(F170,J170,N170,R170,V170,Z170),"")</f>
        <v/>
      </c>
      <c r="AE170" s="136" t="str">
        <f>IF(MIN(H170,L170,P170,T170,X170,AB170)&lt;&gt;0,MIN(H170,L170,P170,T170,X170,AB170),"")</f>
        <v/>
      </c>
      <c r="AF170" s="136"/>
      <c r="AG170" s="135"/>
      <c r="AH170" s="136"/>
      <c r="AI170" s="135"/>
      <c r="AJ170" s="134" t="str">
        <f>IF(AD170="","",IF(ISBLANK(AF170),"En cours",AD170+AF170))</f>
        <v/>
      </c>
      <c r="AK170" s="134" t="str">
        <f>IF(AE170="","",IF(ISBLANK(AH170),"En cours",AE170+AH170))</f>
        <v/>
      </c>
    </row>
    <row r="171" spans="2:37" ht="21" x14ac:dyDescent="0.35">
      <c r="B171" s="135"/>
      <c r="C171" s="135"/>
      <c r="D171" s="135"/>
      <c r="E171" s="135"/>
      <c r="F171" s="135"/>
      <c r="G171" s="135"/>
      <c r="H171" s="135"/>
      <c r="I171" s="135"/>
      <c r="J171" s="135"/>
      <c r="K171" s="135"/>
      <c r="L171" s="135"/>
      <c r="M171" s="135"/>
      <c r="N171" s="135"/>
      <c r="O171" s="135"/>
      <c r="P171" s="135"/>
      <c r="Q171" s="135"/>
      <c r="R171" s="135"/>
      <c r="S171" s="135"/>
      <c r="T171" s="135"/>
      <c r="U171" s="135"/>
      <c r="V171" s="135"/>
      <c r="W171" s="135"/>
      <c r="X171" s="135"/>
      <c r="Y171" s="135"/>
      <c r="Z171" s="135"/>
      <c r="AA171" s="135"/>
      <c r="AB171" s="135"/>
      <c r="AC171" s="135"/>
      <c r="AD171" s="136" t="str">
        <f>IF(MIN(F171,J171,N171,R171,V171,Z171)&lt;&gt;0,MIN(F171,J171,N171,R171,V171,Z171),"")</f>
        <v/>
      </c>
      <c r="AE171" s="136" t="str">
        <f>IF(MIN(H171,L171,P171,T171,X171,AB171)&lt;&gt;0,MIN(H171,L171,P171,T171,X171,AB171),"")</f>
        <v/>
      </c>
      <c r="AF171" s="136"/>
      <c r="AG171" s="135"/>
      <c r="AH171" s="136"/>
      <c r="AI171" s="135"/>
      <c r="AJ171" s="134" t="str">
        <f>IF(AD171="","",IF(ISBLANK(AF171),"En cours",AD171+AF171))</f>
        <v/>
      </c>
      <c r="AK171" s="134" t="str">
        <f>IF(AE171="","",IF(ISBLANK(AH171),"En cours",AE171+AH171))</f>
        <v/>
      </c>
    </row>
    <row r="172" spans="2:37" ht="21" x14ac:dyDescent="0.35">
      <c r="B172" s="135"/>
      <c r="C172" s="135"/>
      <c r="D172" s="135"/>
      <c r="E172" s="135"/>
      <c r="F172" s="135"/>
      <c r="G172" s="135"/>
      <c r="H172" s="135"/>
      <c r="I172" s="135"/>
      <c r="J172" s="135"/>
      <c r="K172" s="135"/>
      <c r="L172" s="135"/>
      <c r="M172" s="135"/>
      <c r="N172" s="135"/>
      <c r="O172" s="135"/>
      <c r="P172" s="135"/>
      <c r="Q172" s="135"/>
      <c r="R172" s="135"/>
      <c r="S172" s="135"/>
      <c r="T172" s="135"/>
      <c r="U172" s="135"/>
      <c r="V172" s="135"/>
      <c r="W172" s="135"/>
      <c r="X172" s="135"/>
      <c r="Y172" s="135"/>
      <c r="Z172" s="135"/>
      <c r="AA172" s="135"/>
      <c r="AB172" s="135"/>
      <c r="AC172" s="135"/>
      <c r="AD172" s="136" t="str">
        <f>IF(MIN(F172,J172,N172,R172,V172,Z172)&lt;&gt;0,MIN(F172,J172,N172,R172,V172,Z172),"")</f>
        <v/>
      </c>
      <c r="AE172" s="136" t="str">
        <f>IF(MIN(H172,L172,P172,T172,X172,AB172)&lt;&gt;0,MIN(H172,L172,P172,T172,X172,AB172),"")</f>
        <v/>
      </c>
      <c r="AF172" s="136"/>
      <c r="AG172" s="135"/>
      <c r="AH172" s="136"/>
      <c r="AI172" s="135"/>
      <c r="AJ172" s="134" t="str">
        <f>IF(AD172="","",IF(ISBLANK(AF172),"En cours",AD172+AF172))</f>
        <v/>
      </c>
      <c r="AK172" s="134" t="str">
        <f>IF(AE172="","",IF(ISBLANK(AH172),"En cours",AE172+AH172))</f>
        <v/>
      </c>
    </row>
    <row r="173" spans="2:37" ht="21" x14ac:dyDescent="0.35">
      <c r="B173" s="135"/>
      <c r="C173" s="135"/>
      <c r="D173" s="135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6" t="str">
        <f>IF(MIN(F173,J173,N173,R173,V173,Z173)&lt;&gt;0,MIN(F173,J173,N173,R173,V173,Z173),"")</f>
        <v/>
      </c>
      <c r="AE173" s="136" t="str">
        <f>IF(MIN(H173,L173,P173,T173,X173,AB173)&lt;&gt;0,MIN(H173,L173,P173,T173,X173,AB173),"")</f>
        <v/>
      </c>
      <c r="AF173" s="136"/>
      <c r="AG173" s="135"/>
      <c r="AH173" s="136"/>
      <c r="AI173" s="135"/>
      <c r="AJ173" s="134" t="str">
        <f>IF(AD173="","",IF(ISBLANK(AF173),"En cours",AD173+AF173))</f>
        <v/>
      </c>
      <c r="AK173" s="134" t="str">
        <f>IF(AE173="","",IF(ISBLANK(AH173),"En cours",AE173+AH173))</f>
        <v/>
      </c>
    </row>
    <row r="174" spans="2:37" ht="21" x14ac:dyDescent="0.35">
      <c r="B174" s="135"/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  <c r="U174" s="135"/>
      <c r="V174" s="135"/>
      <c r="W174" s="135"/>
      <c r="X174" s="135"/>
      <c r="Y174" s="135"/>
      <c r="Z174" s="135"/>
      <c r="AA174" s="135"/>
      <c r="AB174" s="135"/>
      <c r="AC174" s="135"/>
      <c r="AD174" s="136" t="str">
        <f>IF(MIN(F174,J174,N174,R174,V174,Z174)&lt;&gt;0,MIN(F174,J174,N174,R174,V174,Z174),"")</f>
        <v/>
      </c>
      <c r="AE174" s="136" t="str">
        <f>IF(MIN(H174,L174,P174,T174,X174,AB174)&lt;&gt;0,MIN(H174,L174,P174,T174,X174,AB174),"")</f>
        <v/>
      </c>
      <c r="AF174" s="136"/>
      <c r="AG174" s="135"/>
      <c r="AH174" s="136"/>
      <c r="AI174" s="135"/>
      <c r="AJ174" s="134" t="str">
        <f>IF(AD174="","",IF(ISBLANK(AF174),"En cours",AD174+AF174))</f>
        <v/>
      </c>
      <c r="AK174" s="134" t="str">
        <f>IF(AE174="","",IF(ISBLANK(AH174),"En cours",AE174+AH174))</f>
        <v/>
      </c>
    </row>
    <row r="175" spans="2:37" ht="21" x14ac:dyDescent="0.35">
      <c r="B175" s="135"/>
      <c r="C175" s="135"/>
      <c r="D175" s="135"/>
      <c r="E175" s="135"/>
      <c r="F175" s="135"/>
      <c r="G175" s="135"/>
      <c r="H175" s="135"/>
      <c r="I175" s="135"/>
      <c r="J175" s="135"/>
      <c r="K175" s="135"/>
      <c r="L175" s="135"/>
      <c r="M175" s="135"/>
      <c r="N175" s="135"/>
      <c r="O175" s="135"/>
      <c r="P175" s="135"/>
      <c r="Q175" s="135"/>
      <c r="R175" s="135"/>
      <c r="S175" s="135"/>
      <c r="T175" s="135"/>
      <c r="U175" s="135"/>
      <c r="V175" s="135"/>
      <c r="W175" s="135"/>
      <c r="X175" s="135"/>
      <c r="Y175" s="135"/>
      <c r="Z175" s="135"/>
      <c r="AA175" s="135"/>
      <c r="AB175" s="135"/>
      <c r="AC175" s="135"/>
      <c r="AD175" s="136" t="str">
        <f>IF(MIN(F175,J175,N175,R175,V175,Z175)&lt;&gt;0,MIN(F175,J175,N175,R175,V175,Z175),"")</f>
        <v/>
      </c>
      <c r="AE175" s="136" t="str">
        <f>IF(MIN(H175,L175,P175,T175,X175,AB175)&lt;&gt;0,MIN(H175,L175,P175,T175,X175,AB175),"")</f>
        <v/>
      </c>
      <c r="AF175" s="136"/>
      <c r="AG175" s="135"/>
      <c r="AH175" s="136"/>
      <c r="AI175" s="135"/>
      <c r="AJ175" s="134" t="str">
        <f>IF(AD175="","",IF(ISBLANK(AF175),"En cours",AD175+AF175))</f>
        <v/>
      </c>
      <c r="AK175" s="134" t="str">
        <f>IF(AE175="","",IF(ISBLANK(AH175),"En cours",AE175+AH175))</f>
        <v/>
      </c>
    </row>
    <row r="176" spans="2:37" ht="21" x14ac:dyDescent="0.35">
      <c r="B176" s="135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>IF(MIN(F176,J176,N176,R176,V176,Z176)&lt;&gt;0,MIN(F176,J176,N176,R176,V176,Z176),"")</f>
        <v/>
      </c>
      <c r="AE176" s="136" t="str">
        <f>IF(MIN(H176,L176,P176,T176,X176,AB176)&lt;&gt;0,MIN(H176,L176,P176,T176,X176,AB176),"")</f>
        <v/>
      </c>
      <c r="AF176" s="136"/>
      <c r="AG176" s="135"/>
      <c r="AH176" s="136"/>
      <c r="AI176" s="135"/>
      <c r="AJ176" s="134" t="str">
        <f>IF(AD176="","",IF(ISBLANK(AF176),"En cours",AD176+AF176))</f>
        <v/>
      </c>
      <c r="AK176" s="134" t="str">
        <f>IF(AE176="","",IF(ISBLANK(AH176),"En cours",AE176+AH176))</f>
        <v/>
      </c>
    </row>
    <row r="177" spans="2:37" ht="21" x14ac:dyDescent="0.35">
      <c r="B177" s="135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>IF(MIN(F177,J177,N177,R177,V177,Z177)&lt;&gt;0,MIN(F177,J177,N177,R177,V177,Z177),"")</f>
        <v/>
      </c>
      <c r="AE177" s="136" t="str">
        <f>IF(MIN(H177,L177,P177,T177,X177,AB177)&lt;&gt;0,MIN(H177,L177,P177,T177,X177,AB177),"")</f>
        <v/>
      </c>
      <c r="AF177" s="136"/>
      <c r="AG177" s="135"/>
      <c r="AH177" s="136"/>
      <c r="AI177" s="135"/>
      <c r="AJ177" s="134" t="str">
        <f>IF(AD177="","",IF(ISBLANK(AF177),"En cours",AD177+AF177))</f>
        <v/>
      </c>
      <c r="AK177" s="134" t="str">
        <f>IF(AE177="","",IF(ISBLANK(AH177),"En cours",AE177+AH177))</f>
        <v/>
      </c>
    </row>
    <row r="178" spans="2:37" ht="21" x14ac:dyDescent="0.35">
      <c r="B178" s="135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>IF(MIN(F178,J178,N178,R178,V178,Z178)&lt;&gt;0,MIN(F178,J178,N178,R178,V178,Z178),"")</f>
        <v/>
      </c>
      <c r="AE178" s="136" t="str">
        <f>IF(MIN(H178,L178,P178,T178,X178,AB178)&lt;&gt;0,MIN(H178,L178,P178,T178,X178,AB178),"")</f>
        <v/>
      </c>
      <c r="AF178" s="136"/>
      <c r="AG178" s="135"/>
      <c r="AH178" s="136"/>
      <c r="AI178" s="135"/>
      <c r="AJ178" s="134" t="str">
        <f>IF(AD178="","",IF(ISBLANK(AF178),"En cours",AD178+AF178))</f>
        <v/>
      </c>
      <c r="AK178" s="134" t="str">
        <f>IF(AE178="","",IF(ISBLANK(AH178),"En cours",AE178+AH178))</f>
        <v/>
      </c>
    </row>
    <row r="179" spans="2:37" ht="21" x14ac:dyDescent="0.35">
      <c r="B179" s="135"/>
      <c r="C179" s="135"/>
      <c r="D179" s="135"/>
      <c r="E179" s="135"/>
      <c r="F179" s="135"/>
      <c r="G179" s="135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  <c r="U179" s="135"/>
      <c r="V179" s="135"/>
      <c r="W179" s="135"/>
      <c r="X179" s="135"/>
      <c r="Y179" s="135"/>
      <c r="Z179" s="135"/>
      <c r="AA179" s="135"/>
      <c r="AB179" s="135"/>
      <c r="AC179" s="135"/>
      <c r="AD179" s="136" t="str">
        <f>IF(MIN(F179,J179,N179,R179,V179,Z179)&lt;&gt;0,MIN(F179,J179,N179,R179,V179,Z179),"")</f>
        <v/>
      </c>
      <c r="AE179" s="136" t="str">
        <f>IF(MIN(H179,L179,P179,T179,X179,AB179)&lt;&gt;0,MIN(H179,L179,P179,T179,X179,AB179),"")</f>
        <v/>
      </c>
      <c r="AF179" s="136"/>
      <c r="AG179" s="135"/>
      <c r="AH179" s="136"/>
      <c r="AI179" s="135"/>
      <c r="AJ179" s="134" t="str">
        <f>IF(AD179="","",IF(ISBLANK(AF179),"En cours",AD179+AF179))</f>
        <v/>
      </c>
      <c r="AK179" s="134" t="str">
        <f>IF(AE179="","",IF(ISBLANK(AH179),"En cours",AE179+AH179))</f>
        <v/>
      </c>
    </row>
    <row r="180" spans="2:37" ht="21" x14ac:dyDescent="0.35">
      <c r="B180" s="171"/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3" t="str">
        <f>IF(MIN(F180,J180,N180,R180,V180,Z180)&lt;&gt;0,MIN(F180,J180,N180,R180,V180,Z180),"")</f>
        <v/>
      </c>
      <c r="AE180" s="173" t="str">
        <f>IF(MIN(H180,L180,P180,T180,X180,AB180)&lt;&gt;0,MIN(H180,L180,P180,T180,X180,AB180),"")</f>
        <v/>
      </c>
      <c r="AF180" s="173"/>
      <c r="AG180" s="172"/>
      <c r="AH180" s="173"/>
      <c r="AI180" s="172"/>
      <c r="AJ180" s="174" t="str">
        <f>IF(AD180="","",IF(ISBLANK(AF180),"En cours",AD180+AF180))</f>
        <v/>
      </c>
      <c r="AK180" s="175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176" t="s">
        <v>122</v>
      </c>
      <c r="C260" s="176" t="s">
        <v>102</v>
      </c>
      <c r="D260" s="176">
        <v>13</v>
      </c>
      <c r="E260" s="176" t="s">
        <v>123</v>
      </c>
      <c r="F260" s="176">
        <v>69</v>
      </c>
      <c r="G260" s="176">
        <v>3</v>
      </c>
      <c r="H260" s="176">
        <v>81</v>
      </c>
      <c r="I260" s="78">
        <v>1</v>
      </c>
      <c r="J260" s="176"/>
      <c r="K260" s="176"/>
      <c r="L260" s="176"/>
      <c r="M260" s="78"/>
      <c r="N260" s="176">
        <v>74</v>
      </c>
      <c r="O260" s="176">
        <v>14</v>
      </c>
      <c r="P260" s="176">
        <v>86</v>
      </c>
      <c r="Q260" s="78">
        <v>9</v>
      </c>
      <c r="R260" s="176"/>
      <c r="S260" s="176"/>
      <c r="T260" s="176"/>
      <c r="U260" s="78"/>
      <c r="V260" s="176"/>
      <c r="W260" s="176"/>
      <c r="X260" s="176"/>
      <c r="Y260" s="78"/>
      <c r="Z260" s="176"/>
      <c r="AA260" s="176"/>
      <c r="AB260" s="176"/>
      <c r="AC260" s="176"/>
      <c r="AD260" s="79">
        <f>IF(MIN(F260,J260,N260,R260,V260,Z260)&lt;&gt;0,MIN(F260,J260,N260,R260,V260,Z260),"")</f>
        <v>69</v>
      </c>
      <c r="AE260" s="80">
        <f>IF(MIN(H260,L260,P260,T260,X260,AB260)&lt;&gt;0,MIN(H260,L260,P260,T260,X260,AB260),"")</f>
        <v>81</v>
      </c>
      <c r="AF260" s="177"/>
      <c r="AG260" s="176"/>
      <c r="AH260" s="177"/>
      <c r="AI260" s="176"/>
      <c r="AJ260" s="82" t="str">
        <f>IF(AD260="","",IF(ISBLANK(AF260),"En cours",AD260+AF260))</f>
        <v>En cours</v>
      </c>
      <c r="AK260" s="178" t="str">
        <f>IF(AE260="","",IF(ISBLANK(AH260),"En cours",AE260+AH260))</f>
        <v>En cours</v>
      </c>
    </row>
    <row r="261" spans="2:37" ht="21" x14ac:dyDescent="0.35">
      <c r="B261" s="176" t="s">
        <v>160</v>
      </c>
      <c r="C261" s="176" t="s">
        <v>102</v>
      </c>
      <c r="D261" s="176">
        <v>20.2</v>
      </c>
      <c r="E261" s="176" t="s">
        <v>161</v>
      </c>
      <c r="F261" s="176">
        <v>66</v>
      </c>
      <c r="G261" s="176">
        <v>2</v>
      </c>
      <c r="H261" s="176">
        <v>83</v>
      </c>
      <c r="I261" s="78">
        <v>1</v>
      </c>
      <c r="J261" s="176"/>
      <c r="K261" s="176"/>
      <c r="L261" s="176"/>
      <c r="M261" s="78"/>
      <c r="N261" s="176"/>
      <c r="O261" s="176"/>
      <c r="P261" s="176"/>
      <c r="Q261" s="78"/>
      <c r="R261" s="176">
        <v>78</v>
      </c>
      <c r="S261" s="176">
        <v>23</v>
      </c>
      <c r="T261" s="176">
        <v>95</v>
      </c>
      <c r="U261" s="78">
        <v>18</v>
      </c>
      <c r="V261" s="176"/>
      <c r="W261" s="176"/>
      <c r="X261" s="176"/>
      <c r="Y261" s="78"/>
      <c r="Z261" s="176">
        <v>70</v>
      </c>
      <c r="AA261" s="176">
        <v>3</v>
      </c>
      <c r="AB261" s="176">
        <v>87</v>
      </c>
      <c r="AC261" s="176">
        <v>2</v>
      </c>
      <c r="AD261" s="79">
        <f>IF(MIN(F261,J261,N261,R261,V261,Z261)&lt;&gt;0,MIN(F261,J261,N261,R261,V261,Z261),"")</f>
        <v>66</v>
      </c>
      <c r="AE261" s="80">
        <f>IF(MIN(H261,L261,P261,T261,X261,AB261)&lt;&gt;0,MIN(H261,L261,P261,T261,X261,AB261),"")</f>
        <v>83</v>
      </c>
      <c r="AF261" s="177"/>
      <c r="AG261" s="176"/>
      <c r="AH261" s="177"/>
      <c r="AI261" s="176"/>
      <c r="AJ261" s="82" t="str">
        <f>IF(AD261="","",IF(ISBLANK(AF261),"En cours",AD261+AF261))</f>
        <v>En cours</v>
      </c>
      <c r="AK261" s="178" t="str">
        <f>IF(AE261="","",IF(ISBLANK(AH261),"En cours",AE261+AH261))</f>
        <v>En cours</v>
      </c>
    </row>
    <row r="262" spans="2:37" ht="21" x14ac:dyDescent="0.35">
      <c r="B262" s="176" t="s">
        <v>104</v>
      </c>
      <c r="C262" s="176" t="s">
        <v>102</v>
      </c>
      <c r="D262" s="176">
        <v>5.6</v>
      </c>
      <c r="E262" s="176" t="s">
        <v>103</v>
      </c>
      <c r="F262" s="176">
        <v>70</v>
      </c>
      <c r="G262" s="176">
        <v>4</v>
      </c>
      <c r="H262" s="176">
        <v>77</v>
      </c>
      <c r="I262" s="78">
        <v>2</v>
      </c>
      <c r="J262" s="176"/>
      <c r="K262" s="176"/>
      <c r="L262" s="176"/>
      <c r="M262" s="78"/>
      <c r="N262" s="176"/>
      <c r="O262" s="176"/>
      <c r="P262" s="176"/>
      <c r="Q262" s="78"/>
      <c r="R262" s="176"/>
      <c r="S262" s="176"/>
      <c r="T262" s="176"/>
      <c r="U262" s="78"/>
      <c r="V262" s="176"/>
      <c r="W262" s="176"/>
      <c r="X262" s="176"/>
      <c r="Y262" s="78"/>
      <c r="Z262" s="176"/>
      <c r="AA262" s="176"/>
      <c r="AB262" s="176"/>
      <c r="AC262" s="176"/>
      <c r="AD262" s="79">
        <f>IF(MIN(F262,J262,N262,R262,V262,Z262)&lt;&gt;0,MIN(F262,J262,N262,R262,V262,Z262),"")</f>
        <v>70</v>
      </c>
      <c r="AE262" s="80">
        <f>IF(MIN(H262,L262,P262,T262,X262,AB262)&lt;&gt;0,MIN(H262,L262,P262,T262,X262,AB262),"")</f>
        <v>77</v>
      </c>
      <c r="AF262" s="177"/>
      <c r="AG262" s="176"/>
      <c r="AH262" s="177"/>
      <c r="AI262" s="176"/>
      <c r="AJ262" s="82" t="str">
        <f>IF(AD262="","",IF(ISBLANK(AF262),"En cours",AD262+AF262))</f>
        <v>En cours</v>
      </c>
      <c r="AK262" s="178" t="str">
        <f>IF(AE262="","",IF(ISBLANK(AH262),"En cours",AE262+AH262))</f>
        <v>En cours</v>
      </c>
    </row>
    <row r="263" spans="2:37" ht="21" x14ac:dyDescent="0.35">
      <c r="B263" s="176" t="s">
        <v>162</v>
      </c>
      <c r="C263" s="176" t="s">
        <v>102</v>
      </c>
      <c r="D263" s="176">
        <v>23.9</v>
      </c>
      <c r="E263" s="176" t="s">
        <v>161</v>
      </c>
      <c r="F263" s="176">
        <v>66</v>
      </c>
      <c r="G263" s="176">
        <v>3</v>
      </c>
      <c r="H263" s="176">
        <v>86</v>
      </c>
      <c r="I263" s="78">
        <v>2</v>
      </c>
      <c r="J263" s="176"/>
      <c r="K263" s="176"/>
      <c r="L263" s="176"/>
      <c r="M263" s="78"/>
      <c r="N263" s="176">
        <v>75</v>
      </c>
      <c r="O263" s="176">
        <v>17</v>
      </c>
      <c r="P263" s="176">
        <v>95</v>
      </c>
      <c r="Q263" s="78">
        <v>17</v>
      </c>
      <c r="R263" s="176"/>
      <c r="S263" s="176"/>
      <c r="T263" s="176"/>
      <c r="U263" s="78"/>
      <c r="V263" s="176"/>
      <c r="W263" s="176"/>
      <c r="X263" s="176"/>
      <c r="Y263" s="78"/>
      <c r="Z263" s="176"/>
      <c r="AA263" s="176"/>
      <c r="AB263" s="176"/>
      <c r="AC263" s="176"/>
      <c r="AD263" s="79">
        <f>IF(MIN(F263,J263,N263,R263,V263,Z263)&lt;&gt;0,MIN(F263,J263,N263,R263,V263,Z263),"")</f>
        <v>66</v>
      </c>
      <c r="AE263" s="80">
        <f>IF(MIN(H263,L263,P263,T263,X263,AB263)&lt;&gt;0,MIN(H263,L263,P263,T263,X263,AB263),"")</f>
        <v>86</v>
      </c>
      <c r="AF263" s="177"/>
      <c r="AG263" s="176"/>
      <c r="AH263" s="177"/>
      <c r="AI263" s="176"/>
      <c r="AJ263" s="82" t="str">
        <f>IF(AD263="","",IF(ISBLANK(AF263),"En cours",AD263+AF263))</f>
        <v>En cours</v>
      </c>
      <c r="AK263" s="178" t="str">
        <f>IF(AE263="","",IF(ISBLANK(AH263),"En cours",AE263+AH263))</f>
        <v>En cours</v>
      </c>
    </row>
    <row r="264" spans="2:37" ht="21" x14ac:dyDescent="0.35">
      <c r="B264" s="176" t="s">
        <v>105</v>
      </c>
      <c r="C264" s="176" t="s">
        <v>102</v>
      </c>
      <c r="D264" s="176">
        <v>2.7</v>
      </c>
      <c r="E264" s="176" t="s">
        <v>103</v>
      </c>
      <c r="F264" s="176">
        <v>74</v>
      </c>
      <c r="G264" s="176">
        <v>7</v>
      </c>
      <c r="H264" s="176">
        <v>78</v>
      </c>
      <c r="I264" s="78">
        <v>3</v>
      </c>
      <c r="J264" s="176"/>
      <c r="K264" s="176"/>
      <c r="L264" s="176"/>
      <c r="M264" s="78"/>
      <c r="N264" s="176"/>
      <c r="O264" s="176"/>
      <c r="P264" s="176"/>
      <c r="Q264" s="78"/>
      <c r="R264" s="176"/>
      <c r="S264" s="176"/>
      <c r="T264" s="176"/>
      <c r="U264" s="78"/>
      <c r="V264" s="176"/>
      <c r="W264" s="176"/>
      <c r="X264" s="176"/>
      <c r="Y264" s="78"/>
      <c r="Z264" s="176"/>
      <c r="AA264" s="176"/>
      <c r="AB264" s="176"/>
      <c r="AC264" s="176"/>
      <c r="AD264" s="79">
        <f>IF(MIN(F264,J264,N264,R264,V264,Z264)&lt;&gt;0,MIN(F264,J264,N264,R264,V264,Z264),"")</f>
        <v>74</v>
      </c>
      <c r="AE264" s="80">
        <f>IF(MIN(H264,L264,P264,T264,X264,AB264)&lt;&gt;0,MIN(H264,L264,P264,T264,X264,AB264),"")</f>
        <v>78</v>
      </c>
      <c r="AF264" s="177"/>
      <c r="AG264" s="176"/>
      <c r="AH264" s="177"/>
      <c r="AI264" s="176"/>
      <c r="AJ264" s="82" t="str">
        <f>IF(AD264="","",IF(ISBLANK(AF264),"En cours",AD264+AF264))</f>
        <v>En cours</v>
      </c>
      <c r="AK264" s="178" t="str">
        <f>IF(AE264="","",IF(ISBLANK(AH264),"En cours",AE264+AH264))</f>
        <v>En cours</v>
      </c>
    </row>
    <row r="265" spans="2:37" ht="21" x14ac:dyDescent="0.35">
      <c r="B265" s="176" t="s">
        <v>125</v>
      </c>
      <c r="C265" s="176" t="s">
        <v>126</v>
      </c>
      <c r="D265" s="176">
        <v>14.2</v>
      </c>
      <c r="E265" s="176" t="s">
        <v>123</v>
      </c>
      <c r="F265" s="176">
        <v>69</v>
      </c>
      <c r="G265" s="176">
        <v>4</v>
      </c>
      <c r="H265" s="176">
        <v>82</v>
      </c>
      <c r="I265" s="78">
        <v>3</v>
      </c>
      <c r="J265" s="176">
        <v>70</v>
      </c>
      <c r="K265" s="176">
        <v>2</v>
      </c>
      <c r="L265" s="176">
        <v>83</v>
      </c>
      <c r="M265" s="78">
        <v>1</v>
      </c>
      <c r="N265" s="176"/>
      <c r="O265" s="176"/>
      <c r="P265" s="176"/>
      <c r="Q265" s="78"/>
      <c r="R265" s="176"/>
      <c r="S265" s="176"/>
      <c r="T265" s="176"/>
      <c r="U265" s="78"/>
      <c r="V265" s="176"/>
      <c r="W265" s="176"/>
      <c r="X265" s="176"/>
      <c r="Y265" s="78"/>
      <c r="Z265" s="176"/>
      <c r="AA265" s="176"/>
      <c r="AB265" s="176"/>
      <c r="AC265" s="176"/>
      <c r="AD265" s="79">
        <f>IF(MIN(F265,J265,N265,R265,V265,Z265)&lt;&gt;0,MIN(F265,J265,N265,R265,V265,Z265),"")</f>
        <v>69</v>
      </c>
      <c r="AE265" s="80">
        <f>IF(MIN(H265,L265,P265,T265,X265,AB265)&lt;&gt;0,MIN(H265,L265,P265,T265,X265,AB265),"")</f>
        <v>82</v>
      </c>
      <c r="AF265" s="177"/>
      <c r="AG265" s="176"/>
      <c r="AH265" s="177"/>
      <c r="AI265" s="176"/>
      <c r="AJ265" s="82" t="str">
        <f>IF(AD265="","",IF(ISBLANK(AF265),"En cours",AD265+AF265))</f>
        <v>En cours</v>
      </c>
      <c r="AK265" s="178" t="str">
        <f>IF(AE265="","",IF(ISBLANK(AH265),"En cours",AE265+AH265))</f>
        <v>En cours</v>
      </c>
    </row>
    <row r="266" spans="2:37" ht="21" x14ac:dyDescent="0.35">
      <c r="B266" s="176" t="s">
        <v>163</v>
      </c>
      <c r="C266" s="176" t="s">
        <v>102</v>
      </c>
      <c r="D266" s="176">
        <v>18.8</v>
      </c>
      <c r="E266" s="176" t="s">
        <v>161</v>
      </c>
      <c r="F266" s="176">
        <v>72</v>
      </c>
      <c r="G266" s="176">
        <v>11</v>
      </c>
      <c r="H266" s="176">
        <v>87</v>
      </c>
      <c r="I266" s="78">
        <v>3</v>
      </c>
      <c r="J266" s="176">
        <v>78</v>
      </c>
      <c r="K266" s="176">
        <v>24</v>
      </c>
      <c r="L266" s="176">
        <v>93</v>
      </c>
      <c r="M266" s="78">
        <v>12</v>
      </c>
      <c r="N266" s="176">
        <v>67</v>
      </c>
      <c r="O266" s="176">
        <v>2</v>
      </c>
      <c r="P266" s="176">
        <v>82</v>
      </c>
      <c r="Q266" s="78">
        <v>1</v>
      </c>
      <c r="R266" s="176"/>
      <c r="S266" s="176"/>
      <c r="T266" s="176"/>
      <c r="U266" s="78"/>
      <c r="V266" s="176">
        <v>74</v>
      </c>
      <c r="W266" s="176">
        <v>9</v>
      </c>
      <c r="X266" s="176">
        <v>89</v>
      </c>
      <c r="Y266" s="78">
        <v>6</v>
      </c>
      <c r="Z266" s="176"/>
      <c r="AA266" s="176"/>
      <c r="AB266" s="176"/>
      <c r="AC266" s="176"/>
      <c r="AD266" s="79">
        <f>IF(MIN(F266,J266,N266,R266,V266,Z266)&lt;&gt;0,MIN(F266,J266,N266,R266,V266,Z266),"")</f>
        <v>67</v>
      </c>
      <c r="AE266" s="80">
        <f>IF(MIN(H266,L266,P266,T266,X266,AB266)&lt;&gt;0,MIN(H266,L266,P266,T266,X266,AB266),"")</f>
        <v>82</v>
      </c>
      <c r="AF266" s="177"/>
      <c r="AG266" s="176"/>
      <c r="AH266" s="177"/>
      <c r="AI266" s="176"/>
      <c r="AJ266" s="82" t="str">
        <f>IF(AD266="","",IF(ISBLANK(AF266),"En cours",AD266+AF266))</f>
        <v>En cours</v>
      </c>
      <c r="AK266" s="178" t="str">
        <f>IF(AE266="","",IF(ISBLANK(AH266),"En cours",AE266+AH266))</f>
        <v>En cours</v>
      </c>
    </row>
    <row r="267" spans="2:37" ht="21" x14ac:dyDescent="0.35">
      <c r="B267" s="176" t="s">
        <v>106</v>
      </c>
      <c r="C267" s="176" t="s">
        <v>107</v>
      </c>
      <c r="D267" s="176">
        <v>5.4</v>
      </c>
      <c r="E267" s="176" t="s">
        <v>103</v>
      </c>
      <c r="F267" s="176">
        <v>71</v>
      </c>
      <c r="G267" s="176">
        <v>5</v>
      </c>
      <c r="H267" s="176">
        <v>78</v>
      </c>
      <c r="I267" s="78">
        <v>4</v>
      </c>
      <c r="J267" s="176"/>
      <c r="K267" s="176"/>
      <c r="L267" s="176"/>
      <c r="M267" s="78"/>
      <c r="N267" s="176"/>
      <c r="O267" s="176"/>
      <c r="P267" s="176"/>
      <c r="Q267" s="78"/>
      <c r="R267" s="176"/>
      <c r="S267" s="176"/>
      <c r="T267" s="176"/>
      <c r="U267" s="78"/>
      <c r="V267" s="176"/>
      <c r="W267" s="176"/>
      <c r="X267" s="176"/>
      <c r="Y267" s="78"/>
      <c r="Z267" s="176"/>
      <c r="AA267" s="176"/>
      <c r="AB267" s="176"/>
      <c r="AC267" s="176"/>
      <c r="AD267" s="79">
        <f>IF(MIN(F267,J267,N267,R267,V267,Z267)&lt;&gt;0,MIN(F267,J267,N267,R267,V267,Z267),"")</f>
        <v>71</v>
      </c>
      <c r="AE267" s="80">
        <f>IF(MIN(H267,L267,P267,T267,X267,AB267)&lt;&gt;0,MIN(H267,L267,P267,T267,X267,AB267),"")</f>
        <v>78</v>
      </c>
      <c r="AF267" s="177"/>
      <c r="AG267" s="176"/>
      <c r="AH267" s="177"/>
      <c r="AI267" s="176"/>
      <c r="AJ267" s="82" t="str">
        <f>IF(AD267="","",IF(ISBLANK(AF267),"En cours",AD267+AF267))</f>
        <v>En cours</v>
      </c>
      <c r="AK267" s="178" t="str">
        <f>IF(AE267="","",IF(ISBLANK(AH267),"En cours",AE267+AH267))</f>
        <v>En cours</v>
      </c>
    </row>
    <row r="268" spans="2:37" ht="21" x14ac:dyDescent="0.35">
      <c r="B268" s="176" t="s">
        <v>127</v>
      </c>
      <c r="C268" s="176" t="s">
        <v>102</v>
      </c>
      <c r="D268" s="176">
        <v>14.4</v>
      </c>
      <c r="E268" s="176" t="s">
        <v>123</v>
      </c>
      <c r="F268" s="176">
        <v>71</v>
      </c>
      <c r="G268" s="176">
        <v>6</v>
      </c>
      <c r="H268" s="176">
        <v>84</v>
      </c>
      <c r="I268" s="78">
        <v>4</v>
      </c>
      <c r="J268" s="176">
        <v>79</v>
      </c>
      <c r="K268" s="176">
        <v>25</v>
      </c>
      <c r="L268" s="176">
        <v>92</v>
      </c>
      <c r="M268" s="78">
        <v>20</v>
      </c>
      <c r="N268" s="176">
        <v>71</v>
      </c>
      <c r="O268" s="176">
        <v>5</v>
      </c>
      <c r="P268" s="176">
        <v>84</v>
      </c>
      <c r="Q268" s="78">
        <v>6</v>
      </c>
      <c r="R268" s="176"/>
      <c r="S268" s="176"/>
      <c r="T268" s="176"/>
      <c r="U268" s="78"/>
      <c r="V268" s="176"/>
      <c r="W268" s="176"/>
      <c r="X268" s="176"/>
      <c r="Y268" s="78"/>
      <c r="Z268" s="176">
        <v>75</v>
      </c>
      <c r="AA268" s="176">
        <v>14</v>
      </c>
      <c r="AB268" s="176">
        <v>88</v>
      </c>
      <c r="AC268" s="176">
        <v>12</v>
      </c>
      <c r="AD268" s="79">
        <f>IF(MIN(F268,J268,N268,R268,V268,Z268)&lt;&gt;0,MIN(F268,J268,N268,R268,V268,Z268),"")</f>
        <v>71</v>
      </c>
      <c r="AE268" s="80">
        <f>IF(MIN(H268,L268,P268,T268,X268,AB268)&lt;&gt;0,MIN(H268,L268,P268,T268,X268,AB268),"")</f>
        <v>84</v>
      </c>
      <c r="AF268" s="177"/>
      <c r="AG268" s="176"/>
      <c r="AH268" s="177"/>
      <c r="AI268" s="176"/>
      <c r="AJ268" s="82" t="str">
        <f>IF(AD268="","",IF(ISBLANK(AF268),"En cours",AD268+AF268))</f>
        <v>En cours</v>
      </c>
      <c r="AK268" s="178" t="str">
        <f>IF(AE268="","",IF(ISBLANK(AH268),"En cours",AE268+AH268))</f>
        <v>En cours</v>
      </c>
    </row>
    <row r="269" spans="2:37" ht="21" x14ac:dyDescent="0.35">
      <c r="B269" s="176" t="s">
        <v>165</v>
      </c>
      <c r="C269" s="176" t="s">
        <v>102</v>
      </c>
      <c r="D269" s="176">
        <v>28.6</v>
      </c>
      <c r="E269" s="176" t="s">
        <v>166</v>
      </c>
      <c r="F269" s="176">
        <v>66</v>
      </c>
      <c r="G269" s="176">
        <v>1</v>
      </c>
      <c r="H269" s="176">
        <v>88</v>
      </c>
      <c r="I269" s="78">
        <v>5</v>
      </c>
      <c r="J269" s="176"/>
      <c r="K269" s="176"/>
      <c r="L269" s="176"/>
      <c r="M269" s="78"/>
      <c r="N269" s="176">
        <v>72</v>
      </c>
      <c r="O269" s="176">
        <v>9</v>
      </c>
      <c r="P269" s="176">
        <v>94</v>
      </c>
      <c r="Q269" s="78">
        <v>12</v>
      </c>
      <c r="R269" s="176"/>
      <c r="S269" s="176"/>
      <c r="T269" s="176"/>
      <c r="U269" s="78"/>
      <c r="V269" s="176"/>
      <c r="W269" s="176"/>
      <c r="X269" s="176"/>
      <c r="Y269" s="78"/>
      <c r="Z269" s="176"/>
      <c r="AA269" s="176"/>
      <c r="AB269" s="176"/>
      <c r="AC269" s="176"/>
      <c r="AD269" s="79">
        <f>IF(MIN(F269,J269,N269,R269,V269,Z269)&lt;&gt;0,MIN(F269,J269,N269,R269,V269,Z269),"")</f>
        <v>66</v>
      </c>
      <c r="AE269" s="80">
        <f>IF(MIN(H269,L269,P269,T269,X269,AB269)&lt;&gt;0,MIN(H269,L269,P269,T269,X269,AB269),"")</f>
        <v>88</v>
      </c>
      <c r="AF269" s="177"/>
      <c r="AG269" s="176"/>
      <c r="AH269" s="177"/>
      <c r="AI269" s="176"/>
      <c r="AJ269" s="82" t="str">
        <f>IF(AD269="","",IF(ISBLANK(AF269),"En cours",AD269+AF269))</f>
        <v>En cours</v>
      </c>
      <c r="AK269" s="178" t="str">
        <f>IF(AE269="","",IF(ISBLANK(AH269),"En cours",AE269+AH269))</f>
        <v>En cours</v>
      </c>
    </row>
    <row r="270" spans="2:37" ht="21" x14ac:dyDescent="0.35">
      <c r="B270" s="176" t="s">
        <v>129</v>
      </c>
      <c r="C270" s="176" t="s">
        <v>102</v>
      </c>
      <c r="D270" s="176">
        <v>14.1</v>
      </c>
      <c r="E270" s="176" t="s">
        <v>123</v>
      </c>
      <c r="F270" s="176">
        <v>71</v>
      </c>
      <c r="G270" s="176">
        <v>8</v>
      </c>
      <c r="H270" s="176">
        <v>84</v>
      </c>
      <c r="I270" s="78">
        <v>6</v>
      </c>
      <c r="J270" s="176"/>
      <c r="K270" s="176"/>
      <c r="L270" s="176"/>
      <c r="M270" s="78"/>
      <c r="N270" s="176"/>
      <c r="O270" s="176"/>
      <c r="P270" s="176"/>
      <c r="Q270" s="78"/>
      <c r="R270" s="176">
        <v>77</v>
      </c>
      <c r="S270" s="176">
        <v>22</v>
      </c>
      <c r="T270" s="176">
        <v>90</v>
      </c>
      <c r="U270" s="78">
        <v>18</v>
      </c>
      <c r="V270" s="176">
        <v>77</v>
      </c>
      <c r="W270" s="176">
        <v>19</v>
      </c>
      <c r="X270" s="176">
        <v>90</v>
      </c>
      <c r="Y270" s="78">
        <v>18</v>
      </c>
      <c r="Z270" s="176"/>
      <c r="AA270" s="176"/>
      <c r="AB270" s="176"/>
      <c r="AC270" s="176"/>
      <c r="AD270" s="79">
        <f>IF(MIN(F270,J270,N270,R270,V270,Z270)&lt;&gt;0,MIN(F270,J270,N270,R270,V270,Z270),"")</f>
        <v>71</v>
      </c>
      <c r="AE270" s="80">
        <f>IF(MIN(H270,L270,P270,T270,X270,AB270)&lt;&gt;0,MIN(H270,L270,P270,T270,X270,AB270),"")</f>
        <v>84</v>
      </c>
      <c r="AF270" s="177"/>
      <c r="AG270" s="176"/>
      <c r="AH270" s="177"/>
      <c r="AI270" s="176"/>
      <c r="AJ270" s="82" t="str">
        <f>IF(AD270="","",IF(ISBLANK(AF270),"En cours",AD270+AF270))</f>
        <v>En cours</v>
      </c>
      <c r="AK270" s="178" t="str">
        <f>IF(AE270="","",IF(ISBLANK(AH270),"En cours",AE270+AH270))</f>
        <v>En cours</v>
      </c>
    </row>
    <row r="271" spans="2:37" ht="21" x14ac:dyDescent="0.35">
      <c r="B271" s="176" t="s">
        <v>168</v>
      </c>
      <c r="C271" s="176" t="s">
        <v>102</v>
      </c>
      <c r="D271" s="176">
        <v>25.1</v>
      </c>
      <c r="E271" s="176" t="s">
        <v>161</v>
      </c>
      <c r="F271" s="176">
        <v>66</v>
      </c>
      <c r="G271" s="176">
        <v>4</v>
      </c>
      <c r="H271" s="176">
        <v>88</v>
      </c>
      <c r="I271" s="78">
        <v>7</v>
      </c>
      <c r="J271" s="176">
        <v>70</v>
      </c>
      <c r="K271" s="176">
        <v>4</v>
      </c>
      <c r="L271" s="176">
        <v>92</v>
      </c>
      <c r="M271" s="78">
        <v>7</v>
      </c>
      <c r="N271" s="176">
        <v>75</v>
      </c>
      <c r="O271" s="176">
        <v>18</v>
      </c>
      <c r="P271" s="176">
        <v>97</v>
      </c>
      <c r="Q271" s="78">
        <v>25</v>
      </c>
      <c r="R271" s="176">
        <v>77</v>
      </c>
      <c r="S271" s="176">
        <v>19</v>
      </c>
      <c r="T271" s="176">
        <v>99</v>
      </c>
      <c r="U271" s="78">
        <v>24</v>
      </c>
      <c r="V271" s="176">
        <v>75</v>
      </c>
      <c r="W271" s="176">
        <v>11</v>
      </c>
      <c r="X271" s="176">
        <v>97</v>
      </c>
      <c r="Y271" s="78">
        <v>14</v>
      </c>
      <c r="Z271" s="176">
        <v>79</v>
      </c>
      <c r="AA271" s="176">
        <v>17</v>
      </c>
      <c r="AB271" s="176">
        <v>101</v>
      </c>
      <c r="AC271" s="176">
        <v>20</v>
      </c>
      <c r="AD271" s="79">
        <f>IF(MIN(F271,J271,N271,R271,V271,Z271)&lt;&gt;0,MIN(F271,J271,N271,R271,V271,Z271),"")</f>
        <v>66</v>
      </c>
      <c r="AE271" s="80">
        <f>IF(MIN(H271,L271,P271,T271,X271,AB271)&lt;&gt;0,MIN(H271,L271,P271,T271,X271,AB271),"")</f>
        <v>88</v>
      </c>
      <c r="AF271" s="177"/>
      <c r="AG271" s="176"/>
      <c r="AH271" s="177"/>
      <c r="AI271" s="176"/>
      <c r="AJ271" s="82" t="str">
        <f>IF(AD271="","",IF(ISBLANK(AF271),"En cours",AD271+AF271))</f>
        <v>En cours</v>
      </c>
      <c r="AK271" s="178" t="str">
        <f>IF(AE271="","",IF(ISBLANK(AH271),"En cours",AE271+AH271))</f>
        <v>En cours</v>
      </c>
    </row>
    <row r="272" spans="2:37" ht="21" x14ac:dyDescent="0.35">
      <c r="B272" s="176" t="s">
        <v>113</v>
      </c>
      <c r="C272" s="176" t="s">
        <v>102</v>
      </c>
      <c r="D272" s="176">
        <v>6.6</v>
      </c>
      <c r="E272" s="176" t="s">
        <v>103</v>
      </c>
      <c r="F272" s="176">
        <v>78</v>
      </c>
      <c r="G272" s="176">
        <v>13</v>
      </c>
      <c r="H272" s="176">
        <v>86</v>
      </c>
      <c r="I272" s="78">
        <v>10</v>
      </c>
      <c r="J272" s="176">
        <v>72</v>
      </c>
      <c r="K272" s="176">
        <v>5</v>
      </c>
      <c r="L272" s="176">
        <v>80</v>
      </c>
      <c r="M272" s="78">
        <v>2</v>
      </c>
      <c r="N272" s="176">
        <v>77</v>
      </c>
      <c r="O272" s="176">
        <v>10</v>
      </c>
      <c r="P272" s="176">
        <v>85</v>
      </c>
      <c r="Q272" s="78">
        <v>8</v>
      </c>
      <c r="R272" s="176"/>
      <c r="S272" s="176"/>
      <c r="T272" s="176"/>
      <c r="U272" s="78"/>
      <c r="V272" s="176"/>
      <c r="W272" s="176"/>
      <c r="X272" s="176"/>
      <c r="Y272" s="78"/>
      <c r="Z272" s="176"/>
      <c r="AA272" s="176"/>
      <c r="AB272" s="176"/>
      <c r="AC272" s="176"/>
      <c r="AD272" s="79">
        <f>IF(MIN(F272,J272,N272,R272,V272,Z272)&lt;&gt;0,MIN(F272,J272,N272,R272,V272,Z272),"")</f>
        <v>72</v>
      </c>
      <c r="AE272" s="80">
        <f>IF(MIN(H272,L272,P272,T272,X272,AB272)&lt;&gt;0,MIN(H272,L272,P272,T272,X272,AB272),"")</f>
        <v>80</v>
      </c>
      <c r="AF272" s="177"/>
      <c r="AG272" s="176"/>
      <c r="AH272" s="177"/>
      <c r="AI272" s="176"/>
      <c r="AJ272" s="82" t="str">
        <f>IF(AD272="","",IF(ISBLANK(AF272),"En cours",AD272+AF272))</f>
        <v>En cours</v>
      </c>
      <c r="AK272" s="178" t="str">
        <f>IF(AE272="","",IF(ISBLANK(AH272),"En cours",AE272+AH272))</f>
        <v>En cours</v>
      </c>
    </row>
    <row r="273" spans="2:37" ht="21" x14ac:dyDescent="0.35">
      <c r="B273" s="176" t="s">
        <v>171</v>
      </c>
      <c r="C273" s="176" t="s">
        <v>102</v>
      </c>
      <c r="D273" s="176">
        <v>27.2</v>
      </c>
      <c r="E273" s="176" t="s">
        <v>166</v>
      </c>
      <c r="F273" s="176">
        <v>69</v>
      </c>
      <c r="G273" s="176">
        <v>7</v>
      </c>
      <c r="H273" s="176">
        <v>90</v>
      </c>
      <c r="I273" s="78">
        <v>10</v>
      </c>
      <c r="J273" s="176"/>
      <c r="K273" s="176"/>
      <c r="L273" s="176"/>
      <c r="M273" s="78"/>
      <c r="N273" s="176">
        <v>73</v>
      </c>
      <c r="O273" s="176">
        <v>12</v>
      </c>
      <c r="P273" s="176">
        <v>94</v>
      </c>
      <c r="Q273" s="78">
        <v>13</v>
      </c>
      <c r="R273" s="176"/>
      <c r="S273" s="176"/>
      <c r="T273" s="176"/>
      <c r="U273" s="78"/>
      <c r="V273" s="176"/>
      <c r="W273" s="176"/>
      <c r="X273" s="176"/>
      <c r="Y273" s="78"/>
      <c r="Z273" s="176"/>
      <c r="AA273" s="176"/>
      <c r="AB273" s="176"/>
      <c r="AC273" s="176"/>
      <c r="AD273" s="79">
        <f>IF(MIN(F273,J273,N273,R273,V273,Z273)&lt;&gt;0,MIN(F273,J273,N273,R273,V273,Z273),"")</f>
        <v>69</v>
      </c>
      <c r="AE273" s="80">
        <f>IF(MIN(H273,L273,P273,T273,X273,AB273)&lt;&gt;0,MIN(H273,L273,P273,T273,X273,AB273),"")</f>
        <v>90</v>
      </c>
      <c r="AF273" s="177"/>
      <c r="AG273" s="176"/>
      <c r="AH273" s="177"/>
      <c r="AI273" s="176"/>
      <c r="AJ273" s="82" t="str">
        <f>IF(AD273="","",IF(ISBLANK(AF273),"En cours",AD273+AF273))</f>
        <v>En cours</v>
      </c>
      <c r="AK273" s="178" t="str">
        <f>IF(AE273="","",IF(ISBLANK(AH273),"En cours",AE273+AH273))</f>
        <v>En cours</v>
      </c>
    </row>
    <row r="274" spans="2:37" ht="21" x14ac:dyDescent="0.35">
      <c r="B274" s="176" t="s">
        <v>114</v>
      </c>
      <c r="C274" s="176" t="s">
        <v>102</v>
      </c>
      <c r="D274" s="176">
        <v>10.5</v>
      </c>
      <c r="E274" s="176" t="s">
        <v>103</v>
      </c>
      <c r="F274" s="176">
        <v>74</v>
      </c>
      <c r="G274" s="176">
        <v>8</v>
      </c>
      <c r="H274" s="176">
        <v>87</v>
      </c>
      <c r="I274" s="78">
        <v>11</v>
      </c>
      <c r="J274" s="176">
        <v>76</v>
      </c>
      <c r="K274" s="176">
        <v>7</v>
      </c>
      <c r="L274" s="176">
        <v>89</v>
      </c>
      <c r="M274" s="78">
        <v>8</v>
      </c>
      <c r="N274" s="176"/>
      <c r="O274" s="176"/>
      <c r="P274" s="176"/>
      <c r="Q274" s="78"/>
      <c r="R274" s="176">
        <v>74</v>
      </c>
      <c r="S274" s="176">
        <v>7</v>
      </c>
      <c r="T274" s="176">
        <v>87</v>
      </c>
      <c r="U274" s="78">
        <v>11</v>
      </c>
      <c r="V274" s="176">
        <v>81</v>
      </c>
      <c r="W274" s="176">
        <v>7</v>
      </c>
      <c r="X274" s="176">
        <v>94</v>
      </c>
      <c r="Y274" s="78">
        <v>10</v>
      </c>
      <c r="Z274" s="176"/>
      <c r="AA274" s="176"/>
      <c r="AB274" s="176"/>
      <c r="AC274" s="176"/>
      <c r="AD274" s="79">
        <f>IF(MIN(F274,J274,N274,R274,V274,Z274)&lt;&gt;0,MIN(F274,J274,N274,R274,V274,Z274),"")</f>
        <v>74</v>
      </c>
      <c r="AE274" s="80">
        <f>IF(MIN(H274,L274,P274,T274,X274,AB274)&lt;&gt;0,MIN(H274,L274,P274,T274,X274,AB274),"")</f>
        <v>87</v>
      </c>
      <c r="AF274" s="177"/>
      <c r="AG274" s="176"/>
      <c r="AH274" s="177"/>
      <c r="AI274" s="176"/>
      <c r="AJ274" s="82" t="str">
        <f>IF(AD274="","",IF(ISBLANK(AF274),"En cours",AD274+AF274))</f>
        <v>En cours</v>
      </c>
      <c r="AK274" s="178" t="str">
        <f>IF(AE274="","",IF(ISBLANK(AH274),"En cours",AE274+AH274))</f>
        <v>En cours</v>
      </c>
    </row>
    <row r="275" spans="2:37" ht="21" x14ac:dyDescent="0.35">
      <c r="B275" s="176" t="s">
        <v>136</v>
      </c>
      <c r="C275" s="176" t="s">
        <v>102</v>
      </c>
      <c r="D275" s="176">
        <v>11.9</v>
      </c>
      <c r="E275" s="176" t="s">
        <v>123</v>
      </c>
      <c r="F275" s="176">
        <v>76</v>
      </c>
      <c r="G275" s="176">
        <v>18</v>
      </c>
      <c r="H275" s="176">
        <v>87</v>
      </c>
      <c r="I275" s="78">
        <v>13</v>
      </c>
      <c r="J275" s="176">
        <v>82</v>
      </c>
      <c r="K275" s="176">
        <v>32</v>
      </c>
      <c r="L275" s="176">
        <v>93</v>
      </c>
      <c r="M275" s="78">
        <v>25</v>
      </c>
      <c r="N275" s="176">
        <v>71</v>
      </c>
      <c r="O275" s="176">
        <v>6</v>
      </c>
      <c r="P275" s="176">
        <v>82</v>
      </c>
      <c r="Q275" s="78">
        <v>5</v>
      </c>
      <c r="R275" s="176"/>
      <c r="S275" s="176"/>
      <c r="T275" s="176"/>
      <c r="U275" s="78"/>
      <c r="V275" s="176"/>
      <c r="W275" s="176"/>
      <c r="X275" s="176"/>
      <c r="Y275" s="78"/>
      <c r="Z275" s="176"/>
      <c r="AA275" s="176"/>
      <c r="AB275" s="176"/>
      <c r="AC275" s="176"/>
      <c r="AD275" s="79">
        <f>IF(MIN(F275,J275,N275,R275,V275,Z275)&lt;&gt;0,MIN(F275,J275,N275,R275,V275,Z275),"")</f>
        <v>71</v>
      </c>
      <c r="AE275" s="80">
        <f>IF(MIN(H275,L275,P275,T275,X275,AB275)&lt;&gt;0,MIN(H275,L275,P275,T275,X275,AB275),"")</f>
        <v>82</v>
      </c>
      <c r="AF275" s="177"/>
      <c r="AG275" s="176"/>
      <c r="AH275" s="177"/>
      <c r="AI275" s="176"/>
      <c r="AJ275" s="82" t="str">
        <f>IF(AD275="","",IF(ISBLANK(AF275),"En cours",AD275+AF275))</f>
        <v>En cours</v>
      </c>
      <c r="AK275" s="178" t="str">
        <f>IF(AE275="","",IF(ISBLANK(AH275),"En cours",AE275+AH275))</f>
        <v>En cours</v>
      </c>
    </row>
    <row r="276" spans="2:37" ht="21" x14ac:dyDescent="0.35">
      <c r="B276" s="176" t="s">
        <v>117</v>
      </c>
      <c r="C276" s="176" t="s">
        <v>102</v>
      </c>
      <c r="D276" s="176">
        <v>8.4</v>
      </c>
      <c r="E276" s="176" t="s">
        <v>103</v>
      </c>
      <c r="F276" s="176">
        <v>79</v>
      </c>
      <c r="G276" s="176">
        <v>15</v>
      </c>
      <c r="H276" s="176">
        <v>89</v>
      </c>
      <c r="I276" s="78">
        <v>14</v>
      </c>
      <c r="J276" s="176"/>
      <c r="K276" s="176"/>
      <c r="L276" s="176"/>
      <c r="M276" s="78"/>
      <c r="N276" s="176"/>
      <c r="O276" s="176"/>
      <c r="P276" s="176"/>
      <c r="Q276" s="78"/>
      <c r="R276" s="176"/>
      <c r="S276" s="176"/>
      <c r="T276" s="176"/>
      <c r="U276" s="78"/>
      <c r="V276" s="176"/>
      <c r="W276" s="176"/>
      <c r="X276" s="176"/>
      <c r="Y276" s="78"/>
      <c r="Z276" s="176"/>
      <c r="AA276" s="176"/>
      <c r="AB276" s="176"/>
      <c r="AC276" s="176"/>
      <c r="AD276" s="79">
        <f>IF(MIN(F276,J276,N276,R276,V276,Z276)&lt;&gt;0,MIN(F276,J276,N276,R276,V276,Z276),"")</f>
        <v>79</v>
      </c>
      <c r="AE276" s="80">
        <f>IF(MIN(H276,L276,P276,T276,X276,AB276)&lt;&gt;0,MIN(H276,L276,P276,T276,X276,AB276),"")</f>
        <v>89</v>
      </c>
      <c r="AF276" s="177"/>
      <c r="AG276" s="176"/>
      <c r="AH276" s="177"/>
      <c r="AI276" s="176"/>
      <c r="AJ276" s="82" t="str">
        <f>IF(AD276="","",IF(ISBLANK(AF276),"En cours",AD276+AF276))</f>
        <v>En cours</v>
      </c>
      <c r="AK276" s="178" t="str">
        <f>IF(AE276="","",IF(ISBLANK(AH276),"En cours",AE276+AH276))</f>
        <v>En cours</v>
      </c>
    </row>
    <row r="277" spans="2:37" ht="21" x14ac:dyDescent="0.35">
      <c r="B277" s="176" t="s">
        <v>175</v>
      </c>
      <c r="C277" s="176" t="s">
        <v>102</v>
      </c>
      <c r="D277" s="176">
        <v>23.1</v>
      </c>
      <c r="E277" s="176" t="s">
        <v>161</v>
      </c>
      <c r="F277" s="176">
        <v>73</v>
      </c>
      <c r="G277" s="176">
        <v>13</v>
      </c>
      <c r="H277" s="176">
        <v>93</v>
      </c>
      <c r="I277" s="78">
        <v>14</v>
      </c>
      <c r="J277" s="176"/>
      <c r="K277" s="176"/>
      <c r="L277" s="176"/>
      <c r="M277" s="78"/>
      <c r="N277" s="176"/>
      <c r="O277" s="176"/>
      <c r="P277" s="176"/>
      <c r="Q277" s="78"/>
      <c r="R277" s="176">
        <v>76</v>
      </c>
      <c r="S277" s="176">
        <v>15</v>
      </c>
      <c r="T277" s="176">
        <v>96</v>
      </c>
      <c r="U277" s="78">
        <v>19</v>
      </c>
      <c r="V277" s="176"/>
      <c r="W277" s="176"/>
      <c r="X277" s="176"/>
      <c r="Y277" s="78"/>
      <c r="Z277" s="176">
        <v>77</v>
      </c>
      <c r="AA277" s="176">
        <v>13</v>
      </c>
      <c r="AB277" s="176">
        <v>97</v>
      </c>
      <c r="AC277" s="176">
        <v>16</v>
      </c>
      <c r="AD277" s="79">
        <f>IF(MIN(F277,J277,N277,R277,V277,Z277)&lt;&gt;0,MIN(F277,J277,N277,R277,V277,Z277),"")</f>
        <v>73</v>
      </c>
      <c r="AE277" s="80">
        <f>IF(MIN(H277,L277,P277,T277,X277,AB277)&lt;&gt;0,MIN(H277,L277,P277,T277,X277,AB277),"")</f>
        <v>93</v>
      </c>
      <c r="AF277" s="177"/>
      <c r="AG277" s="176"/>
      <c r="AH277" s="177"/>
      <c r="AI277" s="176"/>
      <c r="AJ277" s="82" t="str">
        <f>IF(AD277="","",IF(ISBLANK(AF277),"En cours",AD277+AF277))</f>
        <v>En cours</v>
      </c>
      <c r="AK277" s="178" t="str">
        <f>IF(AE277="","",IF(ISBLANK(AH277),"En cours",AE277+AH277))</f>
        <v>En cours</v>
      </c>
    </row>
    <row r="278" spans="2:37" ht="21" x14ac:dyDescent="0.35">
      <c r="B278" s="176" t="s">
        <v>176</v>
      </c>
      <c r="C278" s="176" t="s">
        <v>102</v>
      </c>
      <c r="D278" s="176">
        <v>25.2</v>
      </c>
      <c r="E278" s="176" t="s">
        <v>161</v>
      </c>
      <c r="F278" s="176">
        <v>73</v>
      </c>
      <c r="G278" s="176">
        <v>14</v>
      </c>
      <c r="H278" s="176">
        <v>95</v>
      </c>
      <c r="I278" s="78">
        <v>15</v>
      </c>
      <c r="J278" s="176">
        <v>72</v>
      </c>
      <c r="K278" s="176">
        <v>6</v>
      </c>
      <c r="L278" s="176">
        <v>94</v>
      </c>
      <c r="M278" s="78">
        <v>14</v>
      </c>
      <c r="N278" s="176">
        <v>70</v>
      </c>
      <c r="O278" s="176">
        <v>5</v>
      </c>
      <c r="P278" s="176">
        <v>92</v>
      </c>
      <c r="Q278" s="78">
        <v>9</v>
      </c>
      <c r="R278" s="176"/>
      <c r="S278" s="176"/>
      <c r="T278" s="176"/>
      <c r="U278" s="78"/>
      <c r="V278" s="176"/>
      <c r="W278" s="176"/>
      <c r="X278" s="176"/>
      <c r="Y278" s="78"/>
      <c r="Z278" s="176"/>
      <c r="AA278" s="176"/>
      <c r="AB278" s="176"/>
      <c r="AC278" s="176"/>
      <c r="AD278" s="79">
        <f>IF(MIN(F278,J278,N278,R278,V278,Z278)&lt;&gt;0,MIN(F278,J278,N278,R278,V278,Z278),"")</f>
        <v>70</v>
      </c>
      <c r="AE278" s="80">
        <f>IF(MIN(H278,L278,P278,T278,X278,AB278)&lt;&gt;0,MIN(H278,L278,P278,T278,X278,AB278),"")</f>
        <v>92</v>
      </c>
      <c r="AF278" s="177"/>
      <c r="AG278" s="176"/>
      <c r="AH278" s="177"/>
      <c r="AI278" s="176"/>
      <c r="AJ278" s="82" t="str">
        <f>IF(AD278="","",IF(ISBLANK(AF278),"En cours",AD278+AF278))</f>
        <v>En cours</v>
      </c>
      <c r="AK278" s="178" t="str">
        <f>IF(AE278="","",IF(ISBLANK(AH278),"En cours",AE278+AH278))</f>
        <v>En cours</v>
      </c>
    </row>
    <row r="279" spans="2:37" ht="21" x14ac:dyDescent="0.35">
      <c r="B279" s="176" t="s">
        <v>119</v>
      </c>
      <c r="C279" s="176" t="s">
        <v>120</v>
      </c>
      <c r="D279" s="176">
        <v>11</v>
      </c>
      <c r="E279" s="176" t="s">
        <v>103</v>
      </c>
      <c r="F279" s="176">
        <v>77</v>
      </c>
      <c r="G279" s="176">
        <v>11</v>
      </c>
      <c r="H279" s="176">
        <v>90</v>
      </c>
      <c r="I279" s="78">
        <v>16</v>
      </c>
      <c r="J279" s="176">
        <v>77</v>
      </c>
      <c r="K279" s="176">
        <v>8</v>
      </c>
      <c r="L279" s="176">
        <v>90</v>
      </c>
      <c r="M279" s="78">
        <v>9</v>
      </c>
      <c r="N279" s="176"/>
      <c r="O279" s="176"/>
      <c r="P279" s="176"/>
      <c r="Q279" s="78"/>
      <c r="R279" s="176"/>
      <c r="S279" s="176"/>
      <c r="T279" s="176"/>
      <c r="U279" s="78"/>
      <c r="V279" s="176"/>
      <c r="W279" s="176"/>
      <c r="X279" s="176"/>
      <c r="Y279" s="78"/>
      <c r="Z279" s="176"/>
      <c r="AA279" s="176"/>
      <c r="AB279" s="176"/>
      <c r="AC279" s="176"/>
      <c r="AD279" s="79">
        <f>IF(MIN(F279,J279,N279,R279,V279,Z279)&lt;&gt;0,MIN(F279,J279,N279,R279,V279,Z279),"")</f>
        <v>77</v>
      </c>
      <c r="AE279" s="80">
        <f>IF(MIN(H279,L279,P279,T279,X279,AB279)&lt;&gt;0,MIN(H279,L279,P279,T279,X279,AB279),"")</f>
        <v>90</v>
      </c>
      <c r="AF279" s="177"/>
      <c r="AG279" s="176"/>
      <c r="AH279" s="177"/>
      <c r="AI279" s="176"/>
      <c r="AJ279" s="82" t="str">
        <f>IF(AD279="","",IF(ISBLANK(AF279),"En cours",AD279+AF279))</f>
        <v>En cours</v>
      </c>
      <c r="AK279" s="178" t="str">
        <f>IF(AE279="","",IF(ISBLANK(AH279),"En cours",AE279+AH279))</f>
        <v>En cours</v>
      </c>
    </row>
    <row r="280" spans="2:37" ht="21" x14ac:dyDescent="0.35">
      <c r="B280" s="176" t="s">
        <v>177</v>
      </c>
      <c r="C280" s="176" t="s">
        <v>102</v>
      </c>
      <c r="D280" s="176">
        <v>32</v>
      </c>
      <c r="E280" s="176" t="s">
        <v>166</v>
      </c>
      <c r="F280" s="176">
        <v>70</v>
      </c>
      <c r="G280" s="176">
        <v>8</v>
      </c>
      <c r="H280" s="176">
        <v>96</v>
      </c>
      <c r="I280" s="78">
        <v>16</v>
      </c>
      <c r="J280" s="176"/>
      <c r="K280" s="176"/>
      <c r="L280" s="176"/>
      <c r="M280" s="78"/>
      <c r="N280" s="176">
        <v>60</v>
      </c>
      <c r="O280" s="176">
        <v>1</v>
      </c>
      <c r="P280" s="176">
        <v>86</v>
      </c>
      <c r="Q280" s="78">
        <v>2</v>
      </c>
      <c r="R280" s="176"/>
      <c r="S280" s="176"/>
      <c r="T280" s="176"/>
      <c r="U280" s="78"/>
      <c r="V280" s="176"/>
      <c r="W280" s="176"/>
      <c r="X280" s="176"/>
      <c r="Y280" s="78"/>
      <c r="Z280" s="176"/>
      <c r="AA280" s="176"/>
      <c r="AB280" s="176"/>
      <c r="AC280" s="176"/>
      <c r="AD280" s="79">
        <f>IF(MIN(F280,J280,N280,R280,V280,Z280)&lt;&gt;0,MIN(F280,J280,N280,R280,V280,Z280),"")</f>
        <v>60</v>
      </c>
      <c r="AE280" s="80">
        <f>IF(MIN(H280,L280,P280,T280,X280,AB280)&lt;&gt;0,MIN(H280,L280,P280,T280,X280,AB280),"")</f>
        <v>86</v>
      </c>
      <c r="AF280" s="177"/>
      <c r="AG280" s="176"/>
      <c r="AH280" s="177"/>
      <c r="AI280" s="176"/>
      <c r="AJ280" s="82" t="str">
        <f>IF(AD280="","",IF(ISBLANK(AF280),"En cours",AD280+AF280))</f>
        <v>En cours</v>
      </c>
      <c r="AK280" s="178" t="str">
        <f>IF(AE280="","",IF(ISBLANK(AH280),"En cours",AE280+AH280))</f>
        <v>En cours</v>
      </c>
    </row>
    <row r="281" spans="2:37" ht="21" x14ac:dyDescent="0.35">
      <c r="B281" s="176" t="s">
        <v>178</v>
      </c>
      <c r="C281" s="176" t="s">
        <v>102</v>
      </c>
      <c r="D281" s="176">
        <v>25</v>
      </c>
      <c r="E281" s="176" t="s">
        <v>161</v>
      </c>
      <c r="F281" s="176">
        <v>74</v>
      </c>
      <c r="G281" s="176">
        <v>16</v>
      </c>
      <c r="H281" s="176">
        <v>96</v>
      </c>
      <c r="I281" s="78">
        <v>17</v>
      </c>
      <c r="J281" s="176"/>
      <c r="K281" s="176"/>
      <c r="L281" s="176"/>
      <c r="M281" s="78"/>
      <c r="N281" s="176"/>
      <c r="O281" s="176"/>
      <c r="P281" s="176"/>
      <c r="Q281" s="78"/>
      <c r="R281" s="176">
        <v>65</v>
      </c>
      <c r="S281" s="176">
        <v>2</v>
      </c>
      <c r="T281" s="176">
        <v>87</v>
      </c>
      <c r="U281" s="78">
        <v>4</v>
      </c>
      <c r="V281" s="176"/>
      <c r="W281" s="176"/>
      <c r="X281" s="176"/>
      <c r="Y281" s="78"/>
      <c r="Z281" s="176">
        <v>73</v>
      </c>
      <c r="AA281" s="176">
        <v>6</v>
      </c>
      <c r="AB281" s="176">
        <v>95</v>
      </c>
      <c r="AC281" s="176">
        <v>14</v>
      </c>
      <c r="AD281" s="79">
        <f>IF(MIN(F281,J281,N281,R281,V281,Z281)&lt;&gt;0,MIN(F281,J281,N281,R281,V281,Z281),"")</f>
        <v>65</v>
      </c>
      <c r="AE281" s="80">
        <f>IF(MIN(H281,L281,P281,T281,X281,AB281)&lt;&gt;0,MIN(H281,L281,P281,T281,X281,AB281),"")</f>
        <v>87</v>
      </c>
      <c r="AF281" s="177"/>
      <c r="AG281" s="176"/>
      <c r="AH281" s="177"/>
      <c r="AI281" s="176"/>
      <c r="AJ281" s="82" t="str">
        <f>IF(AD281="","",IF(ISBLANK(AF281),"En cours",AD281+AF281))</f>
        <v>En cours</v>
      </c>
      <c r="AK281" s="178" t="str">
        <f>IF(AE281="","",IF(ISBLANK(AH281),"En cours",AE281+AH281))</f>
        <v>En cours</v>
      </c>
    </row>
    <row r="282" spans="2:37" ht="21" x14ac:dyDescent="0.35">
      <c r="B282" s="176" t="s">
        <v>142</v>
      </c>
      <c r="C282" s="176" t="s">
        <v>102</v>
      </c>
      <c r="D282" s="176">
        <v>16.3</v>
      </c>
      <c r="E282" s="176" t="s">
        <v>123</v>
      </c>
      <c r="F282" s="176">
        <v>73</v>
      </c>
      <c r="G282" s="176">
        <v>12</v>
      </c>
      <c r="H282" s="176">
        <v>89</v>
      </c>
      <c r="I282" s="78">
        <v>19</v>
      </c>
      <c r="J282" s="176">
        <v>78</v>
      </c>
      <c r="K282" s="176">
        <v>20</v>
      </c>
      <c r="L282" s="176">
        <v>94</v>
      </c>
      <c r="M282" s="78">
        <v>26</v>
      </c>
      <c r="N282" s="176">
        <v>77</v>
      </c>
      <c r="O282" s="176">
        <v>21</v>
      </c>
      <c r="P282" s="176">
        <v>93</v>
      </c>
      <c r="Q282" s="78">
        <v>24</v>
      </c>
      <c r="R282" s="176"/>
      <c r="S282" s="176"/>
      <c r="T282" s="176"/>
      <c r="U282" s="78"/>
      <c r="V282" s="176"/>
      <c r="W282" s="176"/>
      <c r="X282" s="176"/>
      <c r="Y282" s="78"/>
      <c r="Z282" s="176"/>
      <c r="AA282" s="176"/>
      <c r="AB282" s="176"/>
      <c r="AC282" s="176"/>
      <c r="AD282" s="79">
        <f>IF(MIN(F282,J282,N282,R282,V282,Z282)&lt;&gt;0,MIN(F282,J282,N282,R282,V282,Z282),"")</f>
        <v>73</v>
      </c>
      <c r="AE282" s="80">
        <f>IF(MIN(H282,L282,P282,T282,X282,AB282)&lt;&gt;0,MIN(H282,L282,P282,T282,X282,AB282),"")</f>
        <v>89</v>
      </c>
      <c r="AF282" s="177"/>
      <c r="AG282" s="176"/>
      <c r="AH282" s="177"/>
      <c r="AI282" s="176"/>
      <c r="AJ282" s="82" t="str">
        <f>IF(AD282="","",IF(ISBLANK(AF282),"En cours",AD282+AF282))</f>
        <v>En cours</v>
      </c>
      <c r="AK282" s="178" t="str">
        <f>IF(AE282="","",IF(ISBLANK(AH282),"En cours",AE282+AH282))</f>
        <v>En cours</v>
      </c>
    </row>
    <row r="283" spans="2:37" ht="21" x14ac:dyDescent="0.35">
      <c r="B283" s="176" t="s">
        <v>143</v>
      </c>
      <c r="C283" s="176" t="s">
        <v>102</v>
      </c>
      <c r="D283" s="176">
        <v>17.399999999999999</v>
      </c>
      <c r="E283" s="176" t="s">
        <v>123</v>
      </c>
      <c r="F283" s="176">
        <v>73</v>
      </c>
      <c r="G283" s="176">
        <v>13</v>
      </c>
      <c r="H283" s="176">
        <v>90</v>
      </c>
      <c r="I283" s="78">
        <v>20</v>
      </c>
      <c r="J283" s="176"/>
      <c r="K283" s="176"/>
      <c r="L283" s="176"/>
      <c r="M283" s="78"/>
      <c r="N283" s="176">
        <v>81</v>
      </c>
      <c r="O283" s="176">
        <v>30</v>
      </c>
      <c r="P283" s="176">
        <v>98</v>
      </c>
      <c r="Q283" s="78">
        <v>32</v>
      </c>
      <c r="R283" s="176"/>
      <c r="S283" s="176"/>
      <c r="T283" s="176"/>
      <c r="U283" s="78"/>
      <c r="V283" s="176">
        <v>76</v>
      </c>
      <c r="W283" s="176">
        <v>14</v>
      </c>
      <c r="X283" s="176">
        <v>93</v>
      </c>
      <c r="Y283" s="78">
        <v>21</v>
      </c>
      <c r="Z283" s="176"/>
      <c r="AA283" s="176"/>
      <c r="AB283" s="176"/>
      <c r="AC283" s="176"/>
      <c r="AD283" s="79">
        <f>IF(MIN(F283,J283,N283,R283,V283,Z283)&lt;&gt;0,MIN(F283,J283,N283,R283,V283,Z283),"")</f>
        <v>73</v>
      </c>
      <c r="AE283" s="80">
        <f>IF(MIN(H283,L283,P283,T283,X283,AB283)&lt;&gt;0,MIN(H283,L283,P283,T283,X283,AB283),"")</f>
        <v>90</v>
      </c>
      <c r="AF283" s="177"/>
      <c r="AG283" s="176"/>
      <c r="AH283" s="177"/>
      <c r="AI283" s="176"/>
      <c r="AJ283" s="82" t="str">
        <f>IF(AD283="","",IF(ISBLANK(AF283),"En cours",AD283+AF283))</f>
        <v>En cours</v>
      </c>
      <c r="AK283" s="178" t="str">
        <f>IF(AE283="","",IF(ISBLANK(AH283),"En cours",AE283+AH283))</f>
        <v>En cours</v>
      </c>
    </row>
    <row r="284" spans="2:37" ht="21" x14ac:dyDescent="0.35">
      <c r="B284" s="176" t="s">
        <v>181</v>
      </c>
      <c r="C284" s="176" t="s">
        <v>102</v>
      </c>
      <c r="D284" s="176">
        <v>26.4</v>
      </c>
      <c r="E284" s="176" t="s">
        <v>161</v>
      </c>
      <c r="F284" s="176">
        <v>76</v>
      </c>
      <c r="G284" s="176">
        <v>19</v>
      </c>
      <c r="H284" s="176">
        <v>99</v>
      </c>
      <c r="I284" s="78">
        <v>20</v>
      </c>
      <c r="J284" s="176">
        <v>84</v>
      </c>
      <c r="K284" s="176">
        <v>29</v>
      </c>
      <c r="L284" s="176">
        <v>107</v>
      </c>
      <c r="M284" s="78">
        <v>29</v>
      </c>
      <c r="N284" s="176"/>
      <c r="O284" s="176"/>
      <c r="P284" s="176"/>
      <c r="Q284" s="78"/>
      <c r="R284" s="176"/>
      <c r="S284" s="176"/>
      <c r="T284" s="176"/>
      <c r="U284" s="78"/>
      <c r="V284" s="176"/>
      <c r="W284" s="176"/>
      <c r="X284" s="176"/>
      <c r="Y284" s="78"/>
      <c r="Z284" s="176"/>
      <c r="AA284" s="176"/>
      <c r="AB284" s="176"/>
      <c r="AC284" s="176"/>
      <c r="AD284" s="79">
        <f>IF(MIN(F284,J284,N284,R284,V284,Z284)&lt;&gt;0,MIN(F284,J284,N284,R284,V284,Z284),"")</f>
        <v>76</v>
      </c>
      <c r="AE284" s="80">
        <f>IF(MIN(H284,L284,P284,T284,X284,AB284)&lt;&gt;0,MIN(H284,L284,P284,T284,X284,AB284),"")</f>
        <v>99</v>
      </c>
      <c r="AF284" s="177"/>
      <c r="AG284" s="176"/>
      <c r="AH284" s="177"/>
      <c r="AI284" s="176"/>
      <c r="AJ284" s="82" t="str">
        <f>IF(AD284="","",IF(ISBLANK(AF284),"En cours",AD284+AF284))</f>
        <v>En cours</v>
      </c>
      <c r="AK284" s="178" t="str">
        <f>IF(AE284="","",IF(ISBLANK(AH284),"En cours",AE284+AH284))</f>
        <v>En cours</v>
      </c>
    </row>
    <row r="285" spans="2:37" ht="21" x14ac:dyDescent="0.35">
      <c r="B285" s="176" t="s">
        <v>145</v>
      </c>
      <c r="C285" s="176" t="s">
        <v>102</v>
      </c>
      <c r="D285" s="176">
        <v>16</v>
      </c>
      <c r="E285" s="176" t="s">
        <v>123</v>
      </c>
      <c r="F285" s="176">
        <v>77</v>
      </c>
      <c r="G285" s="176">
        <v>22</v>
      </c>
      <c r="H285" s="176">
        <v>92</v>
      </c>
      <c r="I285" s="78">
        <v>22</v>
      </c>
      <c r="J285" s="176"/>
      <c r="K285" s="176"/>
      <c r="L285" s="176"/>
      <c r="M285" s="78"/>
      <c r="N285" s="176">
        <v>81</v>
      </c>
      <c r="O285" s="176">
        <v>28</v>
      </c>
      <c r="P285" s="176">
        <v>96</v>
      </c>
      <c r="Q285" s="78">
        <v>30</v>
      </c>
      <c r="R285" s="176"/>
      <c r="S285" s="176"/>
      <c r="T285" s="176"/>
      <c r="U285" s="78"/>
      <c r="V285" s="176"/>
      <c r="W285" s="176"/>
      <c r="X285" s="176"/>
      <c r="Y285" s="78"/>
      <c r="Z285" s="176"/>
      <c r="AA285" s="176"/>
      <c r="AB285" s="176"/>
      <c r="AC285" s="176"/>
      <c r="AD285" s="79">
        <f>IF(MIN(F285,J285,N285,R285,V285,Z285)&lt;&gt;0,MIN(F285,J285,N285,R285,V285,Z285),"")</f>
        <v>77</v>
      </c>
      <c r="AE285" s="80">
        <f>IF(MIN(H285,L285,P285,T285,X285,AB285)&lt;&gt;0,MIN(H285,L285,P285,T285,X285,AB285),"")</f>
        <v>92</v>
      </c>
      <c r="AF285" s="177"/>
      <c r="AG285" s="176"/>
      <c r="AH285" s="177"/>
      <c r="AI285" s="176"/>
      <c r="AJ285" s="82" t="str">
        <f>IF(AD285="","",IF(ISBLANK(AF285),"En cours",AD285+AF285))</f>
        <v>En cours</v>
      </c>
      <c r="AK285" s="178" t="str">
        <f>IF(AE285="","",IF(ISBLANK(AH285),"En cours",AE285+AH285))</f>
        <v>En cours</v>
      </c>
    </row>
    <row r="286" spans="2:37" ht="21" x14ac:dyDescent="0.35">
      <c r="B286" s="176" t="s">
        <v>183</v>
      </c>
      <c r="C286" s="176" t="s">
        <v>102</v>
      </c>
      <c r="D286" s="176">
        <v>20.6</v>
      </c>
      <c r="E286" s="176" t="s">
        <v>161</v>
      </c>
      <c r="F286" s="176">
        <v>84</v>
      </c>
      <c r="G286" s="176">
        <v>22</v>
      </c>
      <c r="H286" s="176">
        <v>101</v>
      </c>
      <c r="I286" s="78">
        <v>22</v>
      </c>
      <c r="J286" s="176"/>
      <c r="K286" s="176"/>
      <c r="L286" s="176"/>
      <c r="M286" s="78"/>
      <c r="N286" s="176">
        <v>81</v>
      </c>
      <c r="O286" s="176">
        <v>29</v>
      </c>
      <c r="P286" s="176">
        <v>98</v>
      </c>
      <c r="Q286" s="78">
        <v>26</v>
      </c>
      <c r="R286" s="176"/>
      <c r="S286" s="176"/>
      <c r="T286" s="176"/>
      <c r="U286" s="78"/>
      <c r="V286" s="176">
        <v>76</v>
      </c>
      <c r="W286" s="176">
        <v>13</v>
      </c>
      <c r="X286" s="176">
        <v>93</v>
      </c>
      <c r="Y286" s="78">
        <v>10</v>
      </c>
      <c r="Z286" s="176">
        <v>79</v>
      </c>
      <c r="AA286" s="176">
        <v>18</v>
      </c>
      <c r="AB286" s="176">
        <v>96</v>
      </c>
      <c r="AC286" s="176">
        <v>15</v>
      </c>
      <c r="AD286" s="79">
        <f>IF(MIN(F286,J286,N286,R286,V286,Z286)&lt;&gt;0,MIN(F286,J286,N286,R286,V286,Z286),"")</f>
        <v>76</v>
      </c>
      <c r="AE286" s="80">
        <f>IF(MIN(H286,L286,P286,T286,X286,AB286)&lt;&gt;0,MIN(H286,L286,P286,T286,X286,AB286),"")</f>
        <v>93</v>
      </c>
      <c r="AF286" s="177"/>
      <c r="AG286" s="176"/>
      <c r="AH286" s="177"/>
      <c r="AI286" s="176"/>
      <c r="AJ286" s="82" t="str">
        <f>IF(AD286="","",IF(ISBLANK(AF286),"En cours",AD286+AF286))</f>
        <v>En cours</v>
      </c>
      <c r="AK286" s="178" t="str">
        <f>IF(AE286="","",IF(ISBLANK(AH286),"En cours",AE286+AH286))</f>
        <v>En cours</v>
      </c>
    </row>
    <row r="287" spans="2:37" ht="21" x14ac:dyDescent="0.35">
      <c r="B287" s="176" t="s">
        <v>146</v>
      </c>
      <c r="C287" s="176" t="s">
        <v>102</v>
      </c>
      <c r="D287" s="176">
        <v>13.1</v>
      </c>
      <c r="E287" s="176" t="s">
        <v>123</v>
      </c>
      <c r="F287" s="176">
        <v>80</v>
      </c>
      <c r="G287" s="176">
        <v>29</v>
      </c>
      <c r="H287" s="176">
        <v>92</v>
      </c>
      <c r="I287" s="78">
        <v>23</v>
      </c>
      <c r="J287" s="176"/>
      <c r="K287" s="176"/>
      <c r="L287" s="176"/>
      <c r="M287" s="78"/>
      <c r="N287" s="176">
        <v>77</v>
      </c>
      <c r="O287" s="176">
        <v>18</v>
      </c>
      <c r="P287" s="176">
        <v>89</v>
      </c>
      <c r="Q287" s="78">
        <v>15</v>
      </c>
      <c r="R287" s="176"/>
      <c r="S287" s="176"/>
      <c r="T287" s="176"/>
      <c r="U287" s="78"/>
      <c r="V287" s="176"/>
      <c r="W287" s="176"/>
      <c r="X287" s="176"/>
      <c r="Y287" s="78"/>
      <c r="Z287" s="176"/>
      <c r="AA287" s="176"/>
      <c r="AB287" s="176"/>
      <c r="AC287" s="176"/>
      <c r="AD287" s="79">
        <f>IF(MIN(F287,J287,N287,R287,V287,Z287)&lt;&gt;0,MIN(F287,J287,N287,R287,V287,Z287),"")</f>
        <v>77</v>
      </c>
      <c r="AE287" s="80">
        <f>IF(MIN(H287,L287,P287,T287,X287,AB287)&lt;&gt;0,MIN(H287,L287,P287,T287,X287,AB287),"")</f>
        <v>89</v>
      </c>
      <c r="AF287" s="177"/>
      <c r="AG287" s="176"/>
      <c r="AH287" s="177"/>
      <c r="AI287" s="176"/>
      <c r="AJ287" s="82" t="str">
        <f>IF(AD287="","",IF(ISBLANK(AF287),"En cours",AD287+AF287))</f>
        <v>En cours</v>
      </c>
      <c r="AK287" s="178" t="str">
        <f>IF(AE287="","",IF(ISBLANK(AH287),"En cours",AE287+AH287))</f>
        <v>En cours</v>
      </c>
    </row>
    <row r="288" spans="2:37" ht="21" x14ac:dyDescent="0.35">
      <c r="B288" s="176" t="s">
        <v>149</v>
      </c>
      <c r="C288" s="176" t="s">
        <v>102</v>
      </c>
      <c r="D288" s="176">
        <v>13.7</v>
      </c>
      <c r="E288" s="176" t="s">
        <v>123</v>
      </c>
      <c r="F288" s="176">
        <v>79</v>
      </c>
      <c r="G288" s="176">
        <v>28</v>
      </c>
      <c r="H288" s="176">
        <v>92</v>
      </c>
      <c r="I288" s="78">
        <v>25</v>
      </c>
      <c r="J288" s="176"/>
      <c r="K288" s="176"/>
      <c r="L288" s="176"/>
      <c r="M288" s="78"/>
      <c r="N288" s="176">
        <v>80</v>
      </c>
      <c r="O288" s="176">
        <v>26</v>
      </c>
      <c r="P288" s="176">
        <v>93</v>
      </c>
      <c r="Q288" s="78">
        <v>22</v>
      </c>
      <c r="R288" s="176">
        <v>66</v>
      </c>
      <c r="S288" s="176">
        <v>1</v>
      </c>
      <c r="T288" s="176">
        <v>79</v>
      </c>
      <c r="U288" s="78">
        <v>1</v>
      </c>
      <c r="V288" s="176"/>
      <c r="W288" s="176"/>
      <c r="X288" s="176"/>
      <c r="Y288" s="78"/>
      <c r="Z288" s="176"/>
      <c r="AA288" s="176"/>
      <c r="AB288" s="176"/>
      <c r="AC288" s="176"/>
      <c r="AD288" s="79">
        <f>IF(MIN(F288,J288,N288,R288,V288,Z288)&lt;&gt;0,MIN(F288,J288,N288,R288,V288,Z288),"")</f>
        <v>66</v>
      </c>
      <c r="AE288" s="80">
        <f>IF(MIN(H288,L288,P288,T288,X288,AB288)&lt;&gt;0,MIN(H288,L288,P288,T288,X288,AB288),"")</f>
        <v>79</v>
      </c>
      <c r="AF288" s="177"/>
      <c r="AG288" s="176"/>
      <c r="AH288" s="177"/>
      <c r="AI288" s="176"/>
      <c r="AJ288" s="82" t="str">
        <f>IF(AD288="","",IF(ISBLANK(AF288),"En cours",AD288+AF288))</f>
        <v>En cours</v>
      </c>
      <c r="AK288" s="178" t="str">
        <f>IF(AE288="","",IF(ISBLANK(AH288),"En cours",AE288+AH288))</f>
        <v>En cours</v>
      </c>
    </row>
    <row r="289" spans="2:37" ht="21" x14ac:dyDescent="0.35">
      <c r="B289" s="176" t="s">
        <v>189</v>
      </c>
      <c r="C289" s="176" t="s">
        <v>102</v>
      </c>
      <c r="D289" s="176">
        <v>11.2</v>
      </c>
      <c r="E289" s="176" t="s">
        <v>103</v>
      </c>
      <c r="F289" s="176"/>
      <c r="G289" s="176"/>
      <c r="H289" s="176"/>
      <c r="I289" s="78"/>
      <c r="J289" s="176">
        <v>71</v>
      </c>
      <c r="K289" s="176">
        <v>3</v>
      </c>
      <c r="L289" s="176">
        <v>85</v>
      </c>
      <c r="M289" s="78">
        <v>6</v>
      </c>
      <c r="N289" s="176">
        <v>77</v>
      </c>
      <c r="O289" s="176">
        <v>11</v>
      </c>
      <c r="P289" s="176">
        <v>91</v>
      </c>
      <c r="Q289" s="78">
        <v>11</v>
      </c>
      <c r="R289" s="176">
        <v>74</v>
      </c>
      <c r="S289" s="176">
        <v>8</v>
      </c>
      <c r="T289" s="176">
        <v>88</v>
      </c>
      <c r="U289" s="78">
        <v>13</v>
      </c>
      <c r="V289" s="176">
        <v>75</v>
      </c>
      <c r="W289" s="176">
        <v>5</v>
      </c>
      <c r="X289" s="176">
        <v>89</v>
      </c>
      <c r="Y289" s="78">
        <v>7</v>
      </c>
      <c r="Z289" s="176"/>
      <c r="AA289" s="176"/>
      <c r="AB289" s="176"/>
      <c r="AC289" s="176"/>
      <c r="AD289" s="79">
        <f>IF(MIN(F289,J289,N289,R289,V289,Z289)&lt;&gt;0,MIN(F289,J289,N289,R289,V289,Z289),"")</f>
        <v>71</v>
      </c>
      <c r="AE289" s="80">
        <f>IF(MIN(H289,L289,P289,T289,X289,AB289)&lt;&gt;0,MIN(H289,L289,P289,T289,X289,AB289),"")</f>
        <v>85</v>
      </c>
      <c r="AF289" s="177"/>
      <c r="AG289" s="176"/>
      <c r="AH289" s="177"/>
      <c r="AI289" s="176"/>
      <c r="AJ289" s="82" t="str">
        <f>IF(AD289="","",IF(ISBLANK(AF289),"En cours",AD289+AF289))</f>
        <v>En cours</v>
      </c>
      <c r="AK289" s="178" t="str">
        <f>IF(AE289="","",IF(ISBLANK(AH289),"En cours",AE289+AH289))</f>
        <v>En cours</v>
      </c>
    </row>
    <row r="290" spans="2:37" ht="21" x14ac:dyDescent="0.35">
      <c r="B290" s="176" t="s">
        <v>188</v>
      </c>
      <c r="C290" s="176" t="s">
        <v>102</v>
      </c>
      <c r="D290" s="176">
        <v>6.4</v>
      </c>
      <c r="E290" s="176" t="s">
        <v>103</v>
      </c>
      <c r="F290" s="176"/>
      <c r="G290" s="176"/>
      <c r="H290" s="176"/>
      <c r="I290" s="78"/>
      <c r="J290" s="176">
        <v>72</v>
      </c>
      <c r="K290" s="176">
        <v>6</v>
      </c>
      <c r="L290" s="176">
        <v>80</v>
      </c>
      <c r="M290" s="78">
        <v>3</v>
      </c>
      <c r="N290" s="176">
        <v>76</v>
      </c>
      <c r="O290" s="176">
        <v>9</v>
      </c>
      <c r="P290" s="176">
        <v>84</v>
      </c>
      <c r="Q290" s="78">
        <v>6</v>
      </c>
      <c r="R290" s="176"/>
      <c r="S290" s="176"/>
      <c r="T290" s="176"/>
      <c r="U290" s="78"/>
      <c r="V290" s="176"/>
      <c r="W290" s="176"/>
      <c r="X290" s="176"/>
      <c r="Y290" s="78"/>
      <c r="Z290" s="176"/>
      <c r="AA290" s="176"/>
      <c r="AB290" s="176"/>
      <c r="AC290" s="176"/>
      <c r="AD290" s="79">
        <f>IF(MIN(F290,J290,N290,R290,V290,Z290)&lt;&gt;0,MIN(F290,J290,N290,R290,V290,Z290),"")</f>
        <v>72</v>
      </c>
      <c r="AE290" s="80">
        <f>IF(MIN(H290,L290,P290,T290,X290,AB290)&lt;&gt;0,MIN(H290,L290,P290,T290,X290,AB290),"")</f>
        <v>80</v>
      </c>
      <c r="AF290" s="177"/>
      <c r="AG290" s="176"/>
      <c r="AH290" s="177"/>
      <c r="AI290" s="176"/>
      <c r="AJ290" s="82" t="str">
        <f>IF(AD290="","",IF(ISBLANK(AF290),"En cours",AD290+AF290))</f>
        <v>En cours</v>
      </c>
      <c r="AK290" s="178" t="str">
        <f>IF(AE290="","",IF(ISBLANK(AH290),"En cours",AE290+AH290))</f>
        <v>En cours</v>
      </c>
    </row>
    <row r="291" spans="2:37" ht="21" x14ac:dyDescent="0.35">
      <c r="B291" s="176" t="s">
        <v>190</v>
      </c>
      <c r="C291" s="176" t="s">
        <v>102</v>
      </c>
      <c r="D291" s="176">
        <v>6.7</v>
      </c>
      <c r="E291" s="176" t="s">
        <v>103</v>
      </c>
      <c r="F291" s="176"/>
      <c r="G291" s="176"/>
      <c r="H291" s="176"/>
      <c r="I291" s="78"/>
      <c r="J291" s="176">
        <v>79</v>
      </c>
      <c r="K291" s="176">
        <v>9</v>
      </c>
      <c r="L291" s="176">
        <v>87</v>
      </c>
      <c r="M291" s="78">
        <v>7</v>
      </c>
      <c r="N291" s="176">
        <v>75</v>
      </c>
      <c r="O291" s="176">
        <v>7</v>
      </c>
      <c r="P291" s="176">
        <v>83</v>
      </c>
      <c r="Q291" s="78">
        <v>4</v>
      </c>
      <c r="R291" s="176"/>
      <c r="S291" s="176"/>
      <c r="T291" s="176"/>
      <c r="U291" s="78"/>
      <c r="V291" s="176">
        <v>86</v>
      </c>
      <c r="W291" s="176">
        <v>11</v>
      </c>
      <c r="X291" s="176">
        <v>94</v>
      </c>
      <c r="Y291" s="78">
        <v>9</v>
      </c>
      <c r="Z291" s="176">
        <v>75</v>
      </c>
      <c r="AA291" s="176">
        <v>10</v>
      </c>
      <c r="AB291" s="176">
        <v>83</v>
      </c>
      <c r="AC291" s="176">
        <v>5</v>
      </c>
      <c r="AD291" s="79">
        <f>IF(MIN(F291,J291,N291,R291,V291,Z291)&lt;&gt;0,MIN(F291,J291,N291,R291,V291,Z291),"")</f>
        <v>75</v>
      </c>
      <c r="AE291" s="80">
        <f>IF(MIN(H291,L291,P291,T291,X291,AB291)&lt;&gt;0,MIN(H291,L291,P291,T291,X291,AB291),"")</f>
        <v>83</v>
      </c>
      <c r="AF291" s="177"/>
      <c r="AG291" s="176"/>
      <c r="AH291" s="177"/>
      <c r="AI291" s="176"/>
      <c r="AJ291" s="82" t="str">
        <f>IF(AD291="","",IF(ISBLANK(AF291),"En cours",AD291+AF291))</f>
        <v>En cours</v>
      </c>
      <c r="AK291" s="178" t="str">
        <f>IF(AE291="","",IF(ISBLANK(AH291),"En cours",AE291+AH291))</f>
        <v>En cours</v>
      </c>
    </row>
    <row r="292" spans="2:37" ht="21" x14ac:dyDescent="0.35">
      <c r="B292" s="176" t="s">
        <v>191</v>
      </c>
      <c r="C292" s="176" t="s">
        <v>107</v>
      </c>
      <c r="D292" s="176">
        <v>7.2</v>
      </c>
      <c r="E292" s="176" t="s">
        <v>103</v>
      </c>
      <c r="F292" s="176"/>
      <c r="G292" s="176"/>
      <c r="H292" s="176"/>
      <c r="I292" s="78"/>
      <c r="J292" s="176">
        <v>85</v>
      </c>
      <c r="K292" s="176">
        <v>10</v>
      </c>
      <c r="L292" s="176">
        <v>94</v>
      </c>
      <c r="M292" s="78">
        <v>10</v>
      </c>
      <c r="N292" s="176"/>
      <c r="O292" s="176"/>
      <c r="P292" s="176"/>
      <c r="Q292" s="78"/>
      <c r="R292" s="176">
        <v>78</v>
      </c>
      <c r="S292" s="176">
        <v>12</v>
      </c>
      <c r="T292" s="176">
        <v>87</v>
      </c>
      <c r="U292" s="78">
        <v>10</v>
      </c>
      <c r="V292" s="176"/>
      <c r="W292" s="176"/>
      <c r="X292" s="176"/>
      <c r="Y292" s="78"/>
      <c r="Z292" s="176"/>
      <c r="AA292" s="176"/>
      <c r="AB292" s="176"/>
      <c r="AC292" s="176"/>
      <c r="AD292" s="79">
        <f>IF(MIN(F292,J292,N292,R292,V292,Z292)&lt;&gt;0,MIN(F292,J292,N292,R292,V292,Z292),"")</f>
        <v>78</v>
      </c>
      <c r="AE292" s="80">
        <f>IF(MIN(H292,L292,P292,T292,X292,AB292)&lt;&gt;0,MIN(H292,L292,P292,T292,X292,AB292),"")</f>
        <v>87</v>
      </c>
      <c r="AF292" s="177"/>
      <c r="AG292" s="176"/>
      <c r="AH292" s="177"/>
      <c r="AI292" s="176"/>
      <c r="AJ292" s="82" t="str">
        <f>IF(AD292="","",IF(ISBLANK(AF292),"En cours",AD292+AF292))</f>
        <v>En cours</v>
      </c>
      <c r="AK292" s="178" t="str">
        <f>IF(AE292="","",IF(ISBLANK(AH292),"En cours",AE292+AH292))</f>
        <v>En cours</v>
      </c>
    </row>
    <row r="293" spans="2:37" ht="21" x14ac:dyDescent="0.35">
      <c r="B293" s="176" t="s">
        <v>195</v>
      </c>
      <c r="C293" s="176" t="s">
        <v>102</v>
      </c>
      <c r="D293" s="176">
        <v>18</v>
      </c>
      <c r="E293" s="176" t="s">
        <v>123</v>
      </c>
      <c r="F293" s="176"/>
      <c r="G293" s="176"/>
      <c r="H293" s="176"/>
      <c r="I293" s="78"/>
      <c r="J293" s="176">
        <v>70</v>
      </c>
      <c r="K293" s="176">
        <v>1</v>
      </c>
      <c r="L293" s="176">
        <v>87</v>
      </c>
      <c r="M293" s="78">
        <v>8</v>
      </c>
      <c r="N293" s="176">
        <v>79</v>
      </c>
      <c r="O293" s="176">
        <v>24</v>
      </c>
      <c r="P293" s="176">
        <v>96</v>
      </c>
      <c r="Q293" s="78">
        <v>28</v>
      </c>
      <c r="R293" s="176"/>
      <c r="S293" s="176"/>
      <c r="T293" s="176"/>
      <c r="U293" s="78"/>
      <c r="V293" s="176"/>
      <c r="W293" s="176"/>
      <c r="X293" s="176"/>
      <c r="Y293" s="78"/>
      <c r="Z293" s="176"/>
      <c r="AA293" s="176"/>
      <c r="AB293" s="176"/>
      <c r="AC293" s="176"/>
      <c r="AD293" s="79">
        <f>IF(MIN(F293,J293,N293,R293,V293,Z293)&lt;&gt;0,MIN(F293,J293,N293,R293,V293,Z293),"")</f>
        <v>70</v>
      </c>
      <c r="AE293" s="80">
        <f>IF(MIN(H293,L293,P293,T293,X293,AB293)&lt;&gt;0,MIN(H293,L293,P293,T293,X293,AB293),"")</f>
        <v>87</v>
      </c>
      <c r="AF293" s="177"/>
      <c r="AG293" s="176"/>
      <c r="AH293" s="177"/>
      <c r="AI293" s="176"/>
      <c r="AJ293" s="82" t="str">
        <f>IF(AD293="","",IF(ISBLANK(AF293),"En cours",AD293+AF293))</f>
        <v>En cours</v>
      </c>
      <c r="AK293" s="178" t="str">
        <f>IF(AE293="","",IF(ISBLANK(AH293),"En cours",AE293+AH293))</f>
        <v>En cours</v>
      </c>
    </row>
    <row r="294" spans="2:37" ht="21" x14ac:dyDescent="0.35">
      <c r="B294" s="176" t="s">
        <v>194</v>
      </c>
      <c r="C294" s="176" t="s">
        <v>102</v>
      </c>
      <c r="D294" s="176">
        <v>15.8</v>
      </c>
      <c r="E294" s="176" t="s">
        <v>123</v>
      </c>
      <c r="F294" s="176"/>
      <c r="G294" s="176"/>
      <c r="H294" s="176"/>
      <c r="I294" s="78"/>
      <c r="J294" s="176">
        <v>72</v>
      </c>
      <c r="K294" s="176">
        <v>6</v>
      </c>
      <c r="L294" s="176">
        <v>87</v>
      </c>
      <c r="M294" s="78">
        <v>7</v>
      </c>
      <c r="N294" s="176">
        <v>73</v>
      </c>
      <c r="O294" s="176">
        <v>9</v>
      </c>
      <c r="P294" s="176">
        <v>88</v>
      </c>
      <c r="Q294" s="78">
        <v>12</v>
      </c>
      <c r="R294" s="176">
        <v>71</v>
      </c>
      <c r="S294" s="176">
        <v>6</v>
      </c>
      <c r="T294" s="176">
        <v>86</v>
      </c>
      <c r="U294" s="78">
        <v>10</v>
      </c>
      <c r="V294" s="176">
        <v>71</v>
      </c>
      <c r="W294" s="176">
        <v>6</v>
      </c>
      <c r="X294" s="176">
        <v>86</v>
      </c>
      <c r="Y294" s="78">
        <v>8</v>
      </c>
      <c r="Z294" s="176">
        <v>69</v>
      </c>
      <c r="AA294" s="176">
        <v>3</v>
      </c>
      <c r="AB294" s="176">
        <v>84</v>
      </c>
      <c r="AC294" s="176">
        <v>4</v>
      </c>
      <c r="AD294" s="79">
        <f>IF(MIN(F294,J294,N294,R294,V294,Z294)&lt;&gt;0,MIN(F294,J294,N294,R294,V294,Z294),"")</f>
        <v>69</v>
      </c>
      <c r="AE294" s="80">
        <f>IF(MIN(H294,L294,P294,T294,X294,AB294)&lt;&gt;0,MIN(H294,L294,P294,T294,X294,AB294),"")</f>
        <v>84</v>
      </c>
      <c r="AF294" s="177"/>
      <c r="AG294" s="176"/>
      <c r="AH294" s="177"/>
      <c r="AI294" s="176"/>
      <c r="AJ294" s="82" t="str">
        <f>IF(AD294="","",IF(ISBLANK(AF294),"En cours",AD294+AF294))</f>
        <v>En cours</v>
      </c>
      <c r="AK294" s="178" t="str">
        <f>IF(AE294="","",IF(ISBLANK(AH294),"En cours",AE294+AH294))</f>
        <v>En cours</v>
      </c>
    </row>
    <row r="295" spans="2:37" ht="21" x14ac:dyDescent="0.35">
      <c r="B295" s="176" t="s">
        <v>192</v>
      </c>
      <c r="C295" s="176" t="s">
        <v>102</v>
      </c>
      <c r="D295" s="176">
        <v>13.4</v>
      </c>
      <c r="E295" s="176" t="s">
        <v>123</v>
      </c>
      <c r="F295" s="176"/>
      <c r="G295" s="176"/>
      <c r="H295" s="176"/>
      <c r="I295" s="78"/>
      <c r="J295" s="176">
        <v>72</v>
      </c>
      <c r="K295" s="176">
        <v>7</v>
      </c>
      <c r="L295" s="176">
        <v>84</v>
      </c>
      <c r="M295" s="78">
        <v>2</v>
      </c>
      <c r="N295" s="176"/>
      <c r="O295" s="176"/>
      <c r="P295" s="176"/>
      <c r="Q295" s="78"/>
      <c r="R295" s="176">
        <v>75</v>
      </c>
      <c r="S295" s="176">
        <v>16</v>
      </c>
      <c r="T295" s="176">
        <v>87</v>
      </c>
      <c r="U295" s="78">
        <v>11</v>
      </c>
      <c r="V295" s="176"/>
      <c r="W295" s="176"/>
      <c r="X295" s="176"/>
      <c r="Y295" s="78"/>
      <c r="Z295" s="176">
        <v>77</v>
      </c>
      <c r="AA295" s="176">
        <v>19</v>
      </c>
      <c r="AB295" s="176">
        <v>89</v>
      </c>
      <c r="AC295" s="176">
        <v>14</v>
      </c>
      <c r="AD295" s="79">
        <f>IF(MIN(F295,J295,N295,R295,V295,Z295)&lt;&gt;0,MIN(F295,J295,N295,R295,V295,Z295),"")</f>
        <v>72</v>
      </c>
      <c r="AE295" s="80">
        <f>IF(MIN(H295,L295,P295,T295,X295,AB295)&lt;&gt;0,MIN(H295,L295,P295,T295,X295,AB295),"")</f>
        <v>84</v>
      </c>
      <c r="AF295" s="177"/>
      <c r="AG295" s="176"/>
      <c r="AH295" s="177"/>
      <c r="AI295" s="176"/>
      <c r="AJ295" s="82" t="str">
        <f>IF(AD295="","",IF(ISBLANK(AF295),"En cours",AD295+AF295))</f>
        <v>En cours</v>
      </c>
      <c r="AK295" s="178" t="str">
        <f>IF(AE295="","",IF(ISBLANK(AH295),"En cours",AE295+AH295))</f>
        <v>En cours</v>
      </c>
    </row>
    <row r="296" spans="2:37" ht="21" x14ac:dyDescent="0.35">
      <c r="B296" s="176" t="s">
        <v>202</v>
      </c>
      <c r="C296" s="176" t="s">
        <v>102</v>
      </c>
      <c r="D296" s="176">
        <v>17.2</v>
      </c>
      <c r="E296" s="176" t="s">
        <v>123</v>
      </c>
      <c r="F296" s="176"/>
      <c r="G296" s="176"/>
      <c r="H296" s="176"/>
      <c r="I296" s="78"/>
      <c r="J296" s="176">
        <v>75</v>
      </c>
      <c r="K296" s="176">
        <v>14</v>
      </c>
      <c r="L296" s="176">
        <v>92</v>
      </c>
      <c r="M296" s="78">
        <v>23</v>
      </c>
      <c r="N296" s="176"/>
      <c r="O296" s="176"/>
      <c r="P296" s="176"/>
      <c r="Q296" s="78"/>
      <c r="R296" s="176"/>
      <c r="S296" s="176"/>
      <c r="T296" s="176"/>
      <c r="U296" s="78"/>
      <c r="V296" s="176">
        <v>77</v>
      </c>
      <c r="W296" s="176">
        <v>18</v>
      </c>
      <c r="X296" s="176">
        <v>94</v>
      </c>
      <c r="Y296" s="78">
        <v>22</v>
      </c>
      <c r="Z296" s="176"/>
      <c r="AA296" s="176"/>
      <c r="AB296" s="176"/>
      <c r="AC296" s="176"/>
      <c r="AD296" s="79">
        <f>IF(MIN(F296,J296,N296,R296,V296,Z296)&lt;&gt;0,MIN(F296,J296,N296,R296,V296,Z296),"")</f>
        <v>75</v>
      </c>
      <c r="AE296" s="80">
        <f>IF(MIN(H296,L296,P296,T296,X296,AB296)&lt;&gt;0,MIN(H296,L296,P296,T296,X296,AB296),"")</f>
        <v>92</v>
      </c>
      <c r="AF296" s="177"/>
      <c r="AG296" s="176"/>
      <c r="AH296" s="177"/>
      <c r="AI296" s="176"/>
      <c r="AJ296" s="82" t="str">
        <f>IF(AD296="","",IF(ISBLANK(AF296),"En cours",AD296+AF296))</f>
        <v>En cours</v>
      </c>
      <c r="AK296" s="178" t="str">
        <f>IF(AE296="","",IF(ISBLANK(AH296),"En cours",AE296+AH296))</f>
        <v>En cours</v>
      </c>
    </row>
    <row r="297" spans="2:37" ht="21" x14ac:dyDescent="0.35">
      <c r="B297" s="176" t="s">
        <v>200</v>
      </c>
      <c r="C297" s="176" t="s">
        <v>102</v>
      </c>
      <c r="D297" s="176">
        <v>15.9</v>
      </c>
      <c r="E297" s="176" t="s">
        <v>123</v>
      </c>
      <c r="F297" s="176"/>
      <c r="G297" s="176"/>
      <c r="H297" s="176"/>
      <c r="I297" s="78"/>
      <c r="J297" s="176">
        <v>76</v>
      </c>
      <c r="K297" s="176">
        <v>15</v>
      </c>
      <c r="L297" s="176">
        <v>91</v>
      </c>
      <c r="M297" s="78">
        <v>18</v>
      </c>
      <c r="N297" s="176"/>
      <c r="O297" s="176"/>
      <c r="P297" s="176"/>
      <c r="Q297" s="78"/>
      <c r="R297" s="176">
        <v>84</v>
      </c>
      <c r="S297" s="176">
        <v>35</v>
      </c>
      <c r="T297" s="176">
        <v>99</v>
      </c>
      <c r="U297" s="78">
        <v>34</v>
      </c>
      <c r="V297" s="176"/>
      <c r="W297" s="176"/>
      <c r="X297" s="176"/>
      <c r="Y297" s="78"/>
      <c r="Z297" s="176">
        <v>77</v>
      </c>
      <c r="AA297" s="176">
        <v>18</v>
      </c>
      <c r="AB297" s="176">
        <v>92</v>
      </c>
      <c r="AC297" s="176">
        <v>20</v>
      </c>
      <c r="AD297" s="79">
        <f>IF(MIN(F297,J297,N297,R297,V297,Z297)&lt;&gt;0,MIN(F297,J297,N297,R297,V297,Z297),"")</f>
        <v>76</v>
      </c>
      <c r="AE297" s="80">
        <f>IF(MIN(H297,L297,P297,T297,X297,AB297)&lt;&gt;0,MIN(H297,L297,P297,T297,X297,AB297),"")</f>
        <v>91</v>
      </c>
      <c r="AF297" s="177"/>
      <c r="AG297" s="176"/>
      <c r="AH297" s="177"/>
      <c r="AI297" s="176"/>
      <c r="AJ297" s="82" t="str">
        <f>IF(AD297="","",IF(ISBLANK(AF297),"En cours",AD297+AF297))</f>
        <v>En cours</v>
      </c>
      <c r="AK297" s="178" t="str">
        <f>IF(AE297="","",IF(ISBLANK(AH297),"En cours",AE297+AH297))</f>
        <v>En cours</v>
      </c>
    </row>
    <row r="298" spans="2:37" ht="21" x14ac:dyDescent="0.35">
      <c r="B298" s="176" t="s">
        <v>198</v>
      </c>
      <c r="C298" s="176" t="s">
        <v>102</v>
      </c>
      <c r="D298" s="176">
        <v>11.5</v>
      </c>
      <c r="E298" s="176" t="s">
        <v>123</v>
      </c>
      <c r="F298" s="176"/>
      <c r="G298" s="176"/>
      <c r="H298" s="176"/>
      <c r="I298" s="78"/>
      <c r="J298" s="176">
        <v>78</v>
      </c>
      <c r="K298" s="176">
        <v>22</v>
      </c>
      <c r="L298" s="176">
        <v>88</v>
      </c>
      <c r="M298" s="78">
        <v>13</v>
      </c>
      <c r="N298" s="176"/>
      <c r="O298" s="176"/>
      <c r="P298" s="176"/>
      <c r="Q298" s="78"/>
      <c r="R298" s="176">
        <v>80</v>
      </c>
      <c r="S298" s="176">
        <v>31</v>
      </c>
      <c r="T298" s="176">
        <v>90</v>
      </c>
      <c r="U298" s="78">
        <v>19</v>
      </c>
      <c r="V298" s="176"/>
      <c r="W298" s="176"/>
      <c r="X298" s="176"/>
      <c r="Y298" s="78"/>
      <c r="Z298" s="176">
        <v>79</v>
      </c>
      <c r="AA298" s="176">
        <v>23</v>
      </c>
      <c r="AB298" s="176">
        <v>89</v>
      </c>
      <c r="AC298" s="176">
        <v>13</v>
      </c>
      <c r="AD298" s="79">
        <f>IF(MIN(F298,J298,N298,R298,V298,Z298)&lt;&gt;0,MIN(F298,J298,N298,R298,V298,Z298),"")</f>
        <v>78</v>
      </c>
      <c r="AE298" s="80">
        <f>IF(MIN(H298,L298,P298,T298,X298,AB298)&lt;&gt;0,MIN(H298,L298,P298,T298,X298,AB298),"")</f>
        <v>88</v>
      </c>
      <c r="AF298" s="177"/>
      <c r="AG298" s="176"/>
      <c r="AH298" s="177"/>
      <c r="AI298" s="176"/>
      <c r="AJ298" s="82" t="str">
        <f>IF(AD298="","",IF(ISBLANK(AF298),"En cours",AD298+AF298))</f>
        <v>En cours</v>
      </c>
      <c r="AK298" s="178" t="str">
        <f>IF(AE298="","",IF(ISBLANK(AH298),"En cours",AE298+AH298))</f>
        <v>En cours</v>
      </c>
    </row>
    <row r="299" spans="2:37" ht="21" x14ac:dyDescent="0.35">
      <c r="B299" s="176" t="s">
        <v>204</v>
      </c>
      <c r="C299" s="176" t="s">
        <v>102</v>
      </c>
      <c r="D299" s="176">
        <v>14.6</v>
      </c>
      <c r="E299" s="176" t="s">
        <v>123</v>
      </c>
      <c r="F299" s="176"/>
      <c r="G299" s="176"/>
      <c r="H299" s="176"/>
      <c r="I299" s="78"/>
      <c r="J299" s="176">
        <v>80</v>
      </c>
      <c r="K299" s="176">
        <v>26</v>
      </c>
      <c r="L299" s="176">
        <v>94</v>
      </c>
      <c r="M299" s="78">
        <v>27</v>
      </c>
      <c r="N299" s="176">
        <v>87</v>
      </c>
      <c r="O299" s="176">
        <v>34</v>
      </c>
      <c r="P299" s="176">
        <v>101</v>
      </c>
      <c r="Q299" s="78">
        <v>33</v>
      </c>
      <c r="R299" s="176"/>
      <c r="S299" s="176"/>
      <c r="T299" s="176"/>
      <c r="U299" s="78"/>
      <c r="V299" s="176"/>
      <c r="W299" s="176"/>
      <c r="X299" s="176"/>
      <c r="Y299" s="78"/>
      <c r="Z299" s="176">
        <v>88</v>
      </c>
      <c r="AA299" s="176">
        <v>28</v>
      </c>
      <c r="AB299" s="176">
        <v>102</v>
      </c>
      <c r="AC299" s="176">
        <v>28</v>
      </c>
      <c r="AD299" s="79">
        <f>IF(MIN(F299,J299,N299,R299,V299,Z299)&lt;&gt;0,MIN(F299,J299,N299,R299,V299,Z299),"")</f>
        <v>80</v>
      </c>
      <c r="AE299" s="80">
        <f>IF(MIN(H299,L299,P299,T299,X299,AB299)&lt;&gt;0,MIN(H299,L299,P299,T299,X299,AB299),"")</f>
        <v>94</v>
      </c>
      <c r="AF299" s="177"/>
      <c r="AG299" s="176"/>
      <c r="AH299" s="177"/>
      <c r="AI299" s="176"/>
      <c r="AJ299" s="82" t="str">
        <f>IF(AD299="","",IF(ISBLANK(AF299),"En cours",AD299+AF299))</f>
        <v>En cours</v>
      </c>
      <c r="AK299" s="178" t="str">
        <f>IF(AE299="","",IF(ISBLANK(AH299),"En cours",AE299+AH299))</f>
        <v>En cours</v>
      </c>
    </row>
    <row r="300" spans="2:37" ht="21" x14ac:dyDescent="0.35">
      <c r="B300" s="176" t="s">
        <v>207</v>
      </c>
      <c r="C300" s="176" t="s">
        <v>102</v>
      </c>
      <c r="D300" s="176">
        <v>17.5</v>
      </c>
      <c r="E300" s="176" t="s">
        <v>123</v>
      </c>
      <c r="F300" s="176"/>
      <c r="G300" s="176"/>
      <c r="H300" s="176"/>
      <c r="I300" s="78"/>
      <c r="J300" s="176">
        <v>89</v>
      </c>
      <c r="K300" s="176">
        <v>37</v>
      </c>
      <c r="L300" s="176">
        <v>106</v>
      </c>
      <c r="M300" s="78">
        <v>37</v>
      </c>
      <c r="N300" s="176"/>
      <c r="O300" s="176"/>
      <c r="P300" s="176"/>
      <c r="Q300" s="78"/>
      <c r="R300" s="176">
        <v>87</v>
      </c>
      <c r="S300" s="176">
        <v>38</v>
      </c>
      <c r="T300" s="176">
        <v>104</v>
      </c>
      <c r="U300" s="78">
        <v>37</v>
      </c>
      <c r="V300" s="176"/>
      <c r="W300" s="176"/>
      <c r="X300" s="176"/>
      <c r="Y300" s="78"/>
      <c r="Z300" s="176"/>
      <c r="AA300" s="176"/>
      <c r="AB300" s="176"/>
      <c r="AC300" s="176"/>
      <c r="AD300" s="79">
        <f>IF(MIN(F300,J300,N300,R300,V300,Z300)&lt;&gt;0,MIN(F300,J300,N300,R300,V300,Z300),"")</f>
        <v>87</v>
      </c>
      <c r="AE300" s="80">
        <f>IF(MIN(H300,L300,P300,T300,X300,AB300)&lt;&gt;0,MIN(H300,L300,P300,T300,X300,AB300),"")</f>
        <v>104</v>
      </c>
      <c r="AF300" s="177"/>
      <c r="AG300" s="176"/>
      <c r="AH300" s="177"/>
      <c r="AI300" s="176"/>
      <c r="AJ300" s="82" t="str">
        <f>IF(AD300="","",IF(ISBLANK(AF300),"En cours",AD300+AF300))</f>
        <v>En cours</v>
      </c>
      <c r="AK300" s="178" t="str">
        <f>IF(AE300="","",IF(ISBLANK(AH300),"En cours",AE300+AH300))</f>
        <v>En cours</v>
      </c>
    </row>
    <row r="301" spans="2:37" ht="21" x14ac:dyDescent="0.35">
      <c r="B301" s="176" t="s">
        <v>208</v>
      </c>
      <c r="C301" s="176" t="s">
        <v>102</v>
      </c>
      <c r="D301" s="176">
        <v>17.899999999999999</v>
      </c>
      <c r="E301" s="176" t="s">
        <v>123</v>
      </c>
      <c r="F301" s="176"/>
      <c r="G301" s="176"/>
      <c r="H301" s="176"/>
      <c r="I301" s="78"/>
      <c r="J301" s="176">
        <v>89</v>
      </c>
      <c r="K301" s="176">
        <v>38</v>
      </c>
      <c r="L301" s="176">
        <v>106</v>
      </c>
      <c r="M301" s="78">
        <v>38</v>
      </c>
      <c r="N301" s="176"/>
      <c r="O301" s="176"/>
      <c r="P301" s="176"/>
      <c r="Q301" s="78"/>
      <c r="R301" s="176"/>
      <c r="S301" s="176"/>
      <c r="T301" s="176"/>
      <c r="U301" s="78"/>
      <c r="V301" s="176"/>
      <c r="W301" s="176"/>
      <c r="X301" s="176"/>
      <c r="Y301" s="78"/>
      <c r="Z301" s="176"/>
      <c r="AA301" s="176"/>
      <c r="AB301" s="176"/>
      <c r="AC301" s="176"/>
      <c r="AD301" s="79">
        <f>IF(MIN(F301,J301,N301,R301,V301,Z301)&lt;&gt;0,MIN(F301,J301,N301,R301,V301,Z301),"")</f>
        <v>89</v>
      </c>
      <c r="AE301" s="80">
        <f>IF(MIN(H301,L301,P301,T301,X301,AB301)&lt;&gt;0,MIN(H301,L301,P301,T301,X301,AB301),"")</f>
        <v>106</v>
      </c>
      <c r="AF301" s="177"/>
      <c r="AG301" s="176"/>
      <c r="AH301" s="177"/>
      <c r="AI301" s="176"/>
      <c r="AJ301" s="82" t="str">
        <f>IF(AD301="","",IF(ISBLANK(AF301),"En cours",AD301+AF301))</f>
        <v>En cours</v>
      </c>
      <c r="AK301" s="178" t="str">
        <f>IF(AE301="","",IF(ISBLANK(AH301),"En cours",AE301+AH301))</f>
        <v>En cours</v>
      </c>
    </row>
    <row r="302" spans="2:37" ht="21" x14ac:dyDescent="0.35">
      <c r="B302" s="176" t="s">
        <v>210</v>
      </c>
      <c r="C302" s="176" t="s">
        <v>102</v>
      </c>
      <c r="D302" s="176">
        <v>21.6</v>
      </c>
      <c r="E302" s="176" t="s">
        <v>161</v>
      </c>
      <c r="F302" s="176"/>
      <c r="G302" s="176"/>
      <c r="H302" s="176"/>
      <c r="I302" s="78"/>
      <c r="J302" s="176">
        <v>62</v>
      </c>
      <c r="K302" s="176">
        <v>1</v>
      </c>
      <c r="L302" s="176">
        <v>80</v>
      </c>
      <c r="M302" s="78">
        <v>1</v>
      </c>
      <c r="N302" s="176"/>
      <c r="O302" s="176"/>
      <c r="P302" s="176"/>
      <c r="Q302" s="78"/>
      <c r="R302" s="176"/>
      <c r="S302" s="176"/>
      <c r="T302" s="176"/>
      <c r="U302" s="78"/>
      <c r="V302" s="176"/>
      <c r="W302" s="176"/>
      <c r="X302" s="176"/>
      <c r="Y302" s="78"/>
      <c r="Z302" s="176"/>
      <c r="AA302" s="176"/>
      <c r="AB302" s="176"/>
      <c r="AC302" s="176"/>
      <c r="AD302" s="79">
        <f>IF(MIN(F302,J302,N302,R302,V302,Z302)&lt;&gt;0,MIN(F302,J302,N302,R302,V302,Z302),"")</f>
        <v>62</v>
      </c>
      <c r="AE302" s="80">
        <f>IF(MIN(H302,L302,P302,T302,X302,AB302)&lt;&gt;0,MIN(H302,L302,P302,T302,X302,AB302),"")</f>
        <v>80</v>
      </c>
      <c r="AF302" s="177"/>
      <c r="AG302" s="176"/>
      <c r="AH302" s="177"/>
      <c r="AI302" s="176"/>
      <c r="AJ302" s="82" t="str">
        <f>IF(AD302="","",IF(ISBLANK(AF302),"En cours",AD302+AF302))</f>
        <v>En cours</v>
      </c>
      <c r="AK302" s="178" t="str">
        <f>IF(AE302="","",IF(ISBLANK(AH302),"En cours",AE302+AH302))</f>
        <v>En cours</v>
      </c>
    </row>
    <row r="303" spans="2:37" ht="21" x14ac:dyDescent="0.35">
      <c r="B303" s="176" t="s">
        <v>211</v>
      </c>
      <c r="C303" s="176" t="s">
        <v>102</v>
      </c>
      <c r="D303" s="176">
        <v>24.7</v>
      </c>
      <c r="E303" s="176" t="s">
        <v>161</v>
      </c>
      <c r="F303" s="176"/>
      <c r="G303" s="176"/>
      <c r="H303" s="176"/>
      <c r="I303" s="78"/>
      <c r="J303" s="176">
        <v>67</v>
      </c>
      <c r="K303" s="176">
        <v>2</v>
      </c>
      <c r="L303" s="176">
        <v>88</v>
      </c>
      <c r="M303" s="78">
        <v>2</v>
      </c>
      <c r="N303" s="176"/>
      <c r="O303" s="176"/>
      <c r="P303" s="176"/>
      <c r="Q303" s="78"/>
      <c r="R303" s="176">
        <v>72</v>
      </c>
      <c r="S303" s="176">
        <v>7</v>
      </c>
      <c r="T303" s="176">
        <v>93</v>
      </c>
      <c r="U303" s="78">
        <v>13</v>
      </c>
      <c r="V303" s="176"/>
      <c r="W303" s="176"/>
      <c r="X303" s="176"/>
      <c r="Y303" s="78"/>
      <c r="Z303" s="176">
        <v>69</v>
      </c>
      <c r="AA303" s="176">
        <v>1</v>
      </c>
      <c r="AB303" s="176">
        <v>90</v>
      </c>
      <c r="AC303" s="176">
        <v>5</v>
      </c>
      <c r="AD303" s="79">
        <f>IF(MIN(F303,J303,N303,R303,V303,Z303)&lt;&gt;0,MIN(F303,J303,N303,R303,V303,Z303),"")</f>
        <v>67</v>
      </c>
      <c r="AE303" s="80">
        <f>IF(MIN(H303,L303,P303,T303,X303,AB303)&lt;&gt;0,MIN(H303,L303,P303,T303,X303,AB303),"")</f>
        <v>88</v>
      </c>
      <c r="AF303" s="177"/>
      <c r="AG303" s="176"/>
      <c r="AH303" s="177"/>
      <c r="AI303" s="176"/>
      <c r="AJ303" s="82" t="str">
        <f>IF(AD303="","",IF(ISBLANK(AF303),"En cours",AD303+AF303))</f>
        <v>En cours</v>
      </c>
      <c r="AK303" s="178" t="str">
        <f>IF(AE303="","",IF(ISBLANK(AH303),"En cours",AE303+AH303))</f>
        <v>En cours</v>
      </c>
    </row>
    <row r="304" spans="2:37" ht="21" x14ac:dyDescent="0.35">
      <c r="B304" s="176" t="s">
        <v>213</v>
      </c>
      <c r="C304" s="176" t="s">
        <v>102</v>
      </c>
      <c r="D304" s="176">
        <v>25.6</v>
      </c>
      <c r="E304" s="176" t="s">
        <v>161</v>
      </c>
      <c r="F304" s="176"/>
      <c r="G304" s="176"/>
      <c r="H304" s="176"/>
      <c r="I304" s="78"/>
      <c r="J304" s="176">
        <v>68</v>
      </c>
      <c r="K304" s="176">
        <v>3</v>
      </c>
      <c r="L304" s="176">
        <v>90</v>
      </c>
      <c r="M304" s="78">
        <v>5</v>
      </c>
      <c r="N304" s="176"/>
      <c r="O304" s="176"/>
      <c r="P304" s="176"/>
      <c r="Q304" s="78"/>
      <c r="R304" s="176">
        <v>67</v>
      </c>
      <c r="S304" s="176">
        <v>3</v>
      </c>
      <c r="T304" s="176">
        <v>89</v>
      </c>
      <c r="U304" s="78">
        <v>5</v>
      </c>
      <c r="V304" s="176"/>
      <c r="W304" s="176"/>
      <c r="X304" s="176"/>
      <c r="Y304" s="78"/>
      <c r="Z304" s="176"/>
      <c r="AA304" s="176"/>
      <c r="AB304" s="176"/>
      <c r="AC304" s="176"/>
      <c r="AD304" s="79">
        <f>IF(MIN(F304,J304,N304,R304,V304,Z304)&lt;&gt;0,MIN(F304,J304,N304,R304,V304,Z304),"")</f>
        <v>67</v>
      </c>
      <c r="AE304" s="80">
        <f>IF(MIN(H304,L304,P304,T304,X304,AB304)&lt;&gt;0,MIN(H304,L304,P304,T304,X304,AB304),"")</f>
        <v>89</v>
      </c>
      <c r="AF304" s="177"/>
      <c r="AG304" s="176"/>
      <c r="AH304" s="177"/>
      <c r="AI304" s="176"/>
      <c r="AJ304" s="82" t="str">
        <f>IF(AD304="","",IF(ISBLANK(AF304),"En cours",AD304+AF304))</f>
        <v>En cours</v>
      </c>
      <c r="AK304" s="178" t="str">
        <f>IF(AE304="","",IF(ISBLANK(AH304),"En cours",AE304+AH304))</f>
        <v>En cours</v>
      </c>
    </row>
    <row r="305" spans="2:37" ht="21" x14ac:dyDescent="0.35">
      <c r="B305" s="176" t="s">
        <v>215</v>
      </c>
      <c r="C305" s="176" t="s">
        <v>102</v>
      </c>
      <c r="D305" s="176">
        <v>28.9</v>
      </c>
      <c r="E305" s="176" t="s">
        <v>166</v>
      </c>
      <c r="F305" s="176"/>
      <c r="G305" s="176"/>
      <c r="H305" s="176"/>
      <c r="I305" s="78"/>
      <c r="J305" s="176">
        <v>70</v>
      </c>
      <c r="K305" s="176">
        <v>5</v>
      </c>
      <c r="L305" s="176">
        <v>92</v>
      </c>
      <c r="M305" s="78">
        <v>8</v>
      </c>
      <c r="N305" s="176"/>
      <c r="O305" s="176"/>
      <c r="P305" s="176"/>
      <c r="Q305" s="78"/>
      <c r="R305" s="176"/>
      <c r="S305" s="176"/>
      <c r="T305" s="176"/>
      <c r="U305" s="78"/>
      <c r="V305" s="176"/>
      <c r="W305" s="176"/>
      <c r="X305" s="176"/>
      <c r="Y305" s="78"/>
      <c r="Z305" s="176"/>
      <c r="AA305" s="176"/>
      <c r="AB305" s="176"/>
      <c r="AC305" s="176"/>
      <c r="AD305" s="79">
        <f>IF(MIN(F305,J305,N305,R305,V305,Z305)&lt;&gt;0,MIN(F305,J305,N305,R305,V305,Z305),"")</f>
        <v>70</v>
      </c>
      <c r="AE305" s="80">
        <f>IF(MIN(H305,L305,P305,T305,X305,AB305)&lt;&gt;0,MIN(H305,L305,P305,T305,X305,AB305),"")</f>
        <v>92</v>
      </c>
      <c r="AF305" s="177"/>
      <c r="AG305" s="176"/>
      <c r="AH305" s="177"/>
      <c r="AI305" s="176"/>
      <c r="AJ305" s="82" t="str">
        <f>IF(AD305="","",IF(ISBLANK(AF305),"En cours",AD305+AF305))</f>
        <v>En cours</v>
      </c>
      <c r="AK305" s="178" t="str">
        <f>IF(AE305="","",IF(ISBLANK(AH305),"En cours",AE305+AH305))</f>
        <v>En cours</v>
      </c>
    </row>
    <row r="306" spans="2:37" ht="21" x14ac:dyDescent="0.35">
      <c r="B306" s="176" t="s">
        <v>212</v>
      </c>
      <c r="C306" s="176" t="s">
        <v>102</v>
      </c>
      <c r="D306" s="176">
        <v>19.399999999999999</v>
      </c>
      <c r="E306" s="176" t="s">
        <v>161</v>
      </c>
      <c r="F306" s="176"/>
      <c r="G306" s="176"/>
      <c r="H306" s="176"/>
      <c r="I306" s="78"/>
      <c r="J306" s="176">
        <v>72</v>
      </c>
      <c r="K306" s="176">
        <v>7</v>
      </c>
      <c r="L306" s="176">
        <v>88</v>
      </c>
      <c r="M306" s="78">
        <v>3</v>
      </c>
      <c r="N306" s="176"/>
      <c r="O306" s="176"/>
      <c r="P306" s="176"/>
      <c r="Q306" s="78"/>
      <c r="R306" s="176">
        <v>76</v>
      </c>
      <c r="S306" s="176">
        <v>14</v>
      </c>
      <c r="T306" s="176">
        <v>92</v>
      </c>
      <c r="U306" s="78">
        <v>9</v>
      </c>
      <c r="V306" s="176"/>
      <c r="W306" s="176"/>
      <c r="X306" s="176"/>
      <c r="Y306" s="78"/>
      <c r="Z306" s="176"/>
      <c r="AA306" s="176"/>
      <c r="AB306" s="176"/>
      <c r="AC306" s="176"/>
      <c r="AD306" s="79">
        <f>IF(MIN(F306,J306,N306,R306,V306,Z306)&lt;&gt;0,MIN(F306,J306,N306,R306,V306,Z306),"")</f>
        <v>72</v>
      </c>
      <c r="AE306" s="80">
        <f>IF(MIN(H306,L306,P306,T306,X306,AB306)&lt;&gt;0,MIN(H306,L306,P306,T306,X306,AB306),"")</f>
        <v>88</v>
      </c>
      <c r="AF306" s="177"/>
      <c r="AG306" s="176"/>
      <c r="AH306" s="177"/>
      <c r="AI306" s="176"/>
      <c r="AJ306" s="82" t="str">
        <f>IF(AD306="","",IF(ISBLANK(AF306),"En cours",AD306+AF306))</f>
        <v>En cours</v>
      </c>
      <c r="AK306" s="178" t="str">
        <f>IF(AE306="","",IF(ISBLANK(AH306),"En cours",AE306+AH306))</f>
        <v>En cours</v>
      </c>
    </row>
    <row r="307" spans="2:37" ht="21" x14ac:dyDescent="0.35">
      <c r="B307" s="176" t="s">
        <v>229</v>
      </c>
      <c r="C307" s="176" t="s">
        <v>148</v>
      </c>
      <c r="D307" s="176">
        <v>35</v>
      </c>
      <c r="E307" s="176" t="s">
        <v>166</v>
      </c>
      <c r="F307" s="176"/>
      <c r="G307" s="176"/>
      <c r="H307" s="176"/>
      <c r="I307" s="78"/>
      <c r="J307" s="176">
        <v>72</v>
      </c>
      <c r="K307" s="176">
        <v>8</v>
      </c>
      <c r="L307" s="176">
        <v>101</v>
      </c>
      <c r="M307" s="78">
        <v>28</v>
      </c>
      <c r="N307" s="176"/>
      <c r="O307" s="176"/>
      <c r="P307" s="176"/>
      <c r="Q307" s="78"/>
      <c r="R307" s="176"/>
      <c r="S307" s="176"/>
      <c r="T307" s="176"/>
      <c r="U307" s="78"/>
      <c r="V307" s="176"/>
      <c r="W307" s="176"/>
      <c r="X307" s="176"/>
      <c r="Y307" s="78"/>
      <c r="Z307" s="176"/>
      <c r="AA307" s="176"/>
      <c r="AB307" s="176"/>
      <c r="AC307" s="176"/>
      <c r="AD307" s="79">
        <f>IF(MIN(F307,J307,N307,R307,V307,Z307)&lt;&gt;0,MIN(F307,J307,N307,R307,V307,Z307),"")</f>
        <v>72</v>
      </c>
      <c r="AE307" s="80">
        <f>IF(MIN(H307,L307,P307,T307,X307,AB307)&lt;&gt;0,MIN(H307,L307,P307,T307,X307,AB307),"")</f>
        <v>101</v>
      </c>
      <c r="AF307" s="177"/>
      <c r="AG307" s="176"/>
      <c r="AH307" s="177"/>
      <c r="AI307" s="176"/>
      <c r="AJ307" s="82" t="str">
        <f>IF(AD307="","",IF(ISBLANK(AF307),"En cours",AD307+AF307))</f>
        <v>En cours</v>
      </c>
      <c r="AK307" s="178" t="str">
        <f>IF(AE307="","",IF(ISBLANK(AH307),"En cours",AE307+AH307))</f>
        <v>En cours</v>
      </c>
    </row>
    <row r="308" spans="2:37" ht="21" x14ac:dyDescent="0.35">
      <c r="B308" s="176" t="s">
        <v>226</v>
      </c>
      <c r="C308" s="176" t="s">
        <v>102</v>
      </c>
      <c r="D308" s="176">
        <v>31.8</v>
      </c>
      <c r="E308" s="176" t="s">
        <v>166</v>
      </c>
      <c r="F308" s="176"/>
      <c r="G308" s="176"/>
      <c r="H308" s="176"/>
      <c r="I308" s="78"/>
      <c r="J308" s="176">
        <v>72</v>
      </c>
      <c r="K308" s="176">
        <v>9</v>
      </c>
      <c r="L308" s="176">
        <v>97</v>
      </c>
      <c r="M308" s="78">
        <v>23</v>
      </c>
      <c r="N308" s="176"/>
      <c r="O308" s="176"/>
      <c r="P308" s="176"/>
      <c r="Q308" s="78"/>
      <c r="R308" s="176"/>
      <c r="S308" s="176"/>
      <c r="T308" s="176"/>
      <c r="U308" s="78"/>
      <c r="V308" s="176"/>
      <c r="W308" s="176"/>
      <c r="X308" s="176"/>
      <c r="Y308" s="78"/>
      <c r="Z308" s="176"/>
      <c r="AA308" s="176"/>
      <c r="AB308" s="176"/>
      <c r="AC308" s="176"/>
      <c r="AD308" s="79">
        <f>IF(MIN(F308,J308,N308,R308,V308,Z308)&lt;&gt;0,MIN(F308,J308,N308,R308,V308,Z308),"")</f>
        <v>72</v>
      </c>
      <c r="AE308" s="80">
        <f>IF(MIN(H308,L308,P308,T308,X308,AB308)&lt;&gt;0,MIN(H308,L308,P308,T308,X308,AB308),"")</f>
        <v>97</v>
      </c>
      <c r="AF308" s="177"/>
      <c r="AG308" s="176"/>
      <c r="AH308" s="177"/>
      <c r="AI308" s="176"/>
      <c r="AJ308" s="82" t="str">
        <f>IF(AD308="","",IF(ISBLANK(AF308),"En cours",AD308+AF308))</f>
        <v>En cours</v>
      </c>
      <c r="AK308" s="178" t="str">
        <f>IF(AE308="","",IF(ISBLANK(AH308),"En cours",AE308+AH308))</f>
        <v>En cours</v>
      </c>
    </row>
    <row r="309" spans="2:37" ht="21" x14ac:dyDescent="0.35">
      <c r="B309" s="176" t="s">
        <v>217</v>
      </c>
      <c r="C309" s="176" t="s">
        <v>102</v>
      </c>
      <c r="D309" s="176">
        <v>23.2</v>
      </c>
      <c r="E309" s="176" t="s">
        <v>161</v>
      </c>
      <c r="F309" s="176"/>
      <c r="G309" s="176"/>
      <c r="H309" s="176"/>
      <c r="I309" s="78"/>
      <c r="J309" s="176">
        <v>73</v>
      </c>
      <c r="K309" s="176">
        <v>10</v>
      </c>
      <c r="L309" s="176">
        <v>93</v>
      </c>
      <c r="M309" s="78">
        <v>11</v>
      </c>
      <c r="N309" s="176">
        <v>76</v>
      </c>
      <c r="O309" s="176">
        <v>22</v>
      </c>
      <c r="P309" s="176">
        <v>96</v>
      </c>
      <c r="Q309" s="78">
        <v>22</v>
      </c>
      <c r="R309" s="176"/>
      <c r="S309" s="176"/>
      <c r="T309" s="176"/>
      <c r="U309" s="78"/>
      <c r="V309" s="176"/>
      <c r="W309" s="176"/>
      <c r="X309" s="176"/>
      <c r="Y309" s="78"/>
      <c r="Z309" s="176"/>
      <c r="AA309" s="176"/>
      <c r="AB309" s="176"/>
      <c r="AC309" s="176"/>
      <c r="AD309" s="79">
        <f>IF(MIN(F309,J309,N309,R309,V309,Z309)&lt;&gt;0,MIN(F309,J309,N309,R309,V309,Z309),"")</f>
        <v>73</v>
      </c>
      <c r="AE309" s="80">
        <f>IF(MIN(H309,L309,P309,T309,X309,AB309)&lt;&gt;0,MIN(H309,L309,P309,T309,X309,AB309),"")</f>
        <v>93</v>
      </c>
      <c r="AF309" s="177"/>
      <c r="AG309" s="176"/>
      <c r="AH309" s="177"/>
      <c r="AI309" s="176"/>
      <c r="AJ309" s="82" t="str">
        <f>IF(AD309="","",IF(ISBLANK(AF309),"En cours",AD309+AF309))</f>
        <v>En cours</v>
      </c>
      <c r="AK309" s="178" t="str">
        <f>IF(AE309="","",IF(ISBLANK(AH309),"En cours",AE309+AH309))</f>
        <v>En cours</v>
      </c>
    </row>
    <row r="310" spans="2:37" ht="21" x14ac:dyDescent="0.35">
      <c r="B310" s="176" t="s">
        <v>225</v>
      </c>
      <c r="C310" s="176" t="s">
        <v>102</v>
      </c>
      <c r="D310" s="176">
        <v>25.8</v>
      </c>
      <c r="E310" s="176" t="s">
        <v>161</v>
      </c>
      <c r="F310" s="176"/>
      <c r="G310" s="176"/>
      <c r="H310" s="176"/>
      <c r="I310" s="78"/>
      <c r="J310" s="176">
        <v>75</v>
      </c>
      <c r="K310" s="176">
        <v>13</v>
      </c>
      <c r="L310" s="176">
        <v>97</v>
      </c>
      <c r="M310" s="78">
        <v>22</v>
      </c>
      <c r="N310" s="176"/>
      <c r="O310" s="176"/>
      <c r="P310" s="176"/>
      <c r="Q310" s="78"/>
      <c r="R310" s="176"/>
      <c r="S310" s="176"/>
      <c r="T310" s="176"/>
      <c r="U310" s="78"/>
      <c r="V310" s="176"/>
      <c r="W310" s="176"/>
      <c r="X310" s="176"/>
      <c r="Y310" s="78"/>
      <c r="Z310" s="176"/>
      <c r="AA310" s="176"/>
      <c r="AB310" s="176"/>
      <c r="AC310" s="176"/>
      <c r="AD310" s="79">
        <f>IF(MIN(F310,J310,N310,R310,V310,Z310)&lt;&gt;0,MIN(F310,J310,N310,R310,V310,Z310),"")</f>
        <v>75</v>
      </c>
      <c r="AE310" s="80">
        <f>IF(MIN(H310,L310,P310,T310,X310,AB310)&lt;&gt;0,MIN(H310,L310,P310,T310,X310,AB310),"")</f>
        <v>97</v>
      </c>
      <c r="AF310" s="177"/>
      <c r="AG310" s="176"/>
      <c r="AH310" s="177"/>
      <c r="AI310" s="176"/>
      <c r="AJ310" s="82" t="str">
        <f>IF(AD310="","",IF(ISBLANK(AF310),"En cours",AD310+AF310))</f>
        <v>En cours</v>
      </c>
      <c r="AK310" s="178" t="str">
        <f>IF(AE310="","",IF(ISBLANK(AH310),"En cours",AE310+AH310))</f>
        <v>En cours</v>
      </c>
    </row>
    <row r="311" spans="2:37" ht="21" x14ac:dyDescent="0.35">
      <c r="B311" s="176" t="s">
        <v>223</v>
      </c>
      <c r="C311" s="176" t="s">
        <v>107</v>
      </c>
      <c r="D311" s="176">
        <v>23.5</v>
      </c>
      <c r="E311" s="176" t="s">
        <v>161</v>
      </c>
      <c r="F311" s="176"/>
      <c r="G311" s="176"/>
      <c r="H311" s="176"/>
      <c r="I311" s="78"/>
      <c r="J311" s="176">
        <v>75</v>
      </c>
      <c r="K311" s="176">
        <v>16</v>
      </c>
      <c r="L311" s="176">
        <v>95</v>
      </c>
      <c r="M311" s="78">
        <v>20</v>
      </c>
      <c r="N311" s="176"/>
      <c r="O311" s="176"/>
      <c r="P311" s="176"/>
      <c r="Q311" s="78"/>
      <c r="R311" s="176"/>
      <c r="S311" s="176"/>
      <c r="T311" s="176"/>
      <c r="U311" s="78"/>
      <c r="V311" s="176"/>
      <c r="W311" s="176"/>
      <c r="X311" s="176"/>
      <c r="Y311" s="78"/>
      <c r="Z311" s="176"/>
      <c r="AA311" s="176"/>
      <c r="AB311" s="176"/>
      <c r="AC311" s="176"/>
      <c r="AD311" s="79">
        <f>IF(MIN(F311,J311,N311,R311,V311,Z311)&lt;&gt;0,MIN(F311,J311,N311,R311,V311,Z311),"")</f>
        <v>75</v>
      </c>
      <c r="AE311" s="80">
        <f>IF(MIN(H311,L311,P311,T311,X311,AB311)&lt;&gt;0,MIN(H311,L311,P311,T311,X311,AB311),"")</f>
        <v>95</v>
      </c>
      <c r="AF311" s="177"/>
      <c r="AG311" s="176"/>
      <c r="AH311" s="177"/>
      <c r="AI311" s="176"/>
      <c r="AJ311" s="82" t="str">
        <f>IF(AD311="","",IF(ISBLANK(AF311),"En cours",AD311+AF311))</f>
        <v>En cours</v>
      </c>
      <c r="AK311" s="178" t="str">
        <f>IF(AE311="","",IF(ISBLANK(AH311),"En cours",AE311+AH311))</f>
        <v>En cours</v>
      </c>
    </row>
    <row r="312" spans="2:37" ht="21" x14ac:dyDescent="0.35">
      <c r="B312" s="176" t="s">
        <v>221</v>
      </c>
      <c r="C312" s="176" t="s">
        <v>102</v>
      </c>
      <c r="D312" s="176">
        <v>20.7</v>
      </c>
      <c r="E312" s="176" t="s">
        <v>161</v>
      </c>
      <c r="F312" s="176"/>
      <c r="G312" s="176"/>
      <c r="H312" s="176"/>
      <c r="I312" s="78"/>
      <c r="J312" s="176">
        <v>77</v>
      </c>
      <c r="K312" s="176">
        <v>19</v>
      </c>
      <c r="L312" s="176">
        <v>94</v>
      </c>
      <c r="M312" s="78">
        <v>17</v>
      </c>
      <c r="N312" s="176"/>
      <c r="O312" s="176"/>
      <c r="P312" s="176"/>
      <c r="Q312" s="78"/>
      <c r="R312" s="176"/>
      <c r="S312" s="176"/>
      <c r="T312" s="176"/>
      <c r="U312" s="78"/>
      <c r="V312" s="176"/>
      <c r="W312" s="176"/>
      <c r="X312" s="176"/>
      <c r="Y312" s="78"/>
      <c r="Z312" s="176">
        <v>75</v>
      </c>
      <c r="AA312" s="176">
        <v>10</v>
      </c>
      <c r="AB312" s="176">
        <v>92</v>
      </c>
      <c r="AC312" s="176">
        <v>7</v>
      </c>
      <c r="AD312" s="79">
        <f>IF(MIN(F312,J312,N312,R312,V312,Z312)&lt;&gt;0,MIN(F312,J312,N312,R312,V312,Z312),"")</f>
        <v>75</v>
      </c>
      <c r="AE312" s="80">
        <f>IF(MIN(H312,L312,P312,T312,X312,AB312)&lt;&gt;0,MIN(H312,L312,P312,T312,X312,AB312),"")</f>
        <v>92</v>
      </c>
      <c r="AF312" s="177"/>
      <c r="AG312" s="176"/>
      <c r="AH312" s="177"/>
      <c r="AI312" s="176"/>
      <c r="AJ312" s="82" t="str">
        <f>IF(AD312="","",IF(ISBLANK(AF312),"En cours",AD312+AF312))</f>
        <v>En cours</v>
      </c>
      <c r="AK312" s="178" t="str">
        <f>IF(AE312="","",IF(ISBLANK(AH312),"En cours",AE312+AH312))</f>
        <v>En cours</v>
      </c>
    </row>
    <row r="313" spans="2:37" ht="21" x14ac:dyDescent="0.35">
      <c r="B313" s="176" t="s">
        <v>222</v>
      </c>
      <c r="C313" s="176" t="s">
        <v>102</v>
      </c>
      <c r="D313" s="176">
        <v>21.3</v>
      </c>
      <c r="E313" s="176" t="s">
        <v>161</v>
      </c>
      <c r="F313" s="176"/>
      <c r="G313" s="176"/>
      <c r="H313" s="176"/>
      <c r="I313" s="78"/>
      <c r="J313" s="176">
        <v>77</v>
      </c>
      <c r="K313" s="176">
        <v>20</v>
      </c>
      <c r="L313" s="176">
        <v>95</v>
      </c>
      <c r="M313" s="78">
        <v>19</v>
      </c>
      <c r="N313" s="176"/>
      <c r="O313" s="176"/>
      <c r="P313" s="176"/>
      <c r="Q313" s="78"/>
      <c r="R313" s="176">
        <v>73</v>
      </c>
      <c r="S313" s="176">
        <v>8</v>
      </c>
      <c r="T313" s="176">
        <v>91</v>
      </c>
      <c r="U313" s="78">
        <v>7</v>
      </c>
      <c r="V313" s="176"/>
      <c r="W313" s="176"/>
      <c r="X313" s="176"/>
      <c r="Y313" s="78"/>
      <c r="Z313" s="176"/>
      <c r="AA313" s="176"/>
      <c r="AB313" s="176"/>
      <c r="AC313" s="176"/>
      <c r="AD313" s="79">
        <f>IF(MIN(F313,J313,N313,R313,V313,Z313)&lt;&gt;0,MIN(F313,J313,N313,R313,V313,Z313),"")</f>
        <v>73</v>
      </c>
      <c r="AE313" s="80">
        <f>IF(MIN(H313,L313,P313,T313,X313,AB313)&lt;&gt;0,MIN(H313,L313,P313,T313,X313,AB313),"")</f>
        <v>91</v>
      </c>
      <c r="AF313" s="177"/>
      <c r="AG313" s="176"/>
      <c r="AH313" s="177"/>
      <c r="AI313" s="176"/>
      <c r="AJ313" s="82" t="str">
        <f>IF(AD313="","",IF(ISBLANK(AF313),"En cours",AD313+AF313))</f>
        <v>En cours</v>
      </c>
      <c r="AK313" s="178" t="str">
        <f>IF(AE313="","",IF(ISBLANK(AH313),"En cours",AE313+AH313))</f>
        <v>En cours</v>
      </c>
    </row>
    <row r="314" spans="2:37" ht="21" x14ac:dyDescent="0.35">
      <c r="B314" s="176" t="s">
        <v>224</v>
      </c>
      <c r="C314" s="176" t="s">
        <v>102</v>
      </c>
      <c r="D314" s="176">
        <v>22.6</v>
      </c>
      <c r="E314" s="176" t="s">
        <v>161</v>
      </c>
      <c r="F314" s="176"/>
      <c r="G314" s="176"/>
      <c r="H314" s="176"/>
      <c r="I314" s="78"/>
      <c r="J314" s="176">
        <v>77</v>
      </c>
      <c r="K314" s="176">
        <v>21</v>
      </c>
      <c r="L314" s="176">
        <v>96</v>
      </c>
      <c r="M314" s="78">
        <v>21</v>
      </c>
      <c r="N314" s="176"/>
      <c r="O314" s="176"/>
      <c r="P314" s="176"/>
      <c r="Q314" s="78"/>
      <c r="R314" s="176"/>
      <c r="S314" s="176"/>
      <c r="T314" s="176"/>
      <c r="U314" s="78"/>
      <c r="V314" s="176"/>
      <c r="W314" s="176"/>
      <c r="X314" s="176"/>
      <c r="Y314" s="78"/>
      <c r="Z314" s="176">
        <v>75</v>
      </c>
      <c r="AA314" s="176">
        <v>9</v>
      </c>
      <c r="AB314" s="176">
        <v>94</v>
      </c>
      <c r="AC314" s="176">
        <v>10</v>
      </c>
      <c r="AD314" s="79">
        <f>IF(MIN(F314,J314,N314,R314,V314,Z314)&lt;&gt;0,MIN(F314,J314,N314,R314,V314,Z314),"")</f>
        <v>75</v>
      </c>
      <c r="AE314" s="80">
        <f>IF(MIN(H314,L314,P314,T314,X314,AB314)&lt;&gt;0,MIN(H314,L314,P314,T314,X314,AB314),"")</f>
        <v>94</v>
      </c>
      <c r="AF314" s="177"/>
      <c r="AG314" s="176"/>
      <c r="AH314" s="177"/>
      <c r="AI314" s="176"/>
      <c r="AJ314" s="82" t="str">
        <f>IF(AD314="","",IF(ISBLANK(AF314),"En cours",AD314+AF314))</f>
        <v>En cours</v>
      </c>
      <c r="AK314" s="178" t="str">
        <f>IF(AE314="","",IF(ISBLANK(AH314),"En cours",AE314+AH314))</f>
        <v>En cours</v>
      </c>
    </row>
    <row r="315" spans="2:37" ht="21" x14ac:dyDescent="0.35">
      <c r="B315" s="176" t="s">
        <v>228</v>
      </c>
      <c r="C315" s="176" t="s">
        <v>102</v>
      </c>
      <c r="D315" s="176">
        <v>25.5</v>
      </c>
      <c r="E315" s="176" t="s">
        <v>161</v>
      </c>
      <c r="F315" s="176"/>
      <c r="G315" s="176"/>
      <c r="H315" s="176"/>
      <c r="I315" s="78"/>
      <c r="J315" s="176">
        <v>78</v>
      </c>
      <c r="K315" s="176">
        <v>25</v>
      </c>
      <c r="L315" s="176">
        <v>100</v>
      </c>
      <c r="M315" s="78">
        <v>27</v>
      </c>
      <c r="N315" s="176"/>
      <c r="O315" s="176"/>
      <c r="P315" s="176"/>
      <c r="Q315" s="78"/>
      <c r="R315" s="176"/>
      <c r="S315" s="176"/>
      <c r="T315" s="176"/>
      <c r="U315" s="78"/>
      <c r="V315" s="176"/>
      <c r="W315" s="176"/>
      <c r="X315" s="176"/>
      <c r="Y315" s="78"/>
      <c r="Z315" s="176"/>
      <c r="AA315" s="176"/>
      <c r="AB315" s="176"/>
      <c r="AC315" s="176"/>
      <c r="AD315" s="79">
        <f>IF(MIN(F315,J315,N315,R315,V315,Z315)&lt;&gt;0,MIN(F315,J315,N315,R315,V315,Z315),"")</f>
        <v>78</v>
      </c>
      <c r="AE315" s="80">
        <f>IF(MIN(H315,L315,P315,T315,X315,AB315)&lt;&gt;0,MIN(H315,L315,P315,T315,X315,AB315),"")</f>
        <v>100</v>
      </c>
      <c r="AF315" s="177"/>
      <c r="AG315" s="176"/>
      <c r="AH315" s="177"/>
      <c r="AI315" s="176"/>
      <c r="AJ315" s="82" t="str">
        <f>IF(AD315="","",IF(ISBLANK(AF315),"En cours",AD315+AF315))</f>
        <v>En cours</v>
      </c>
      <c r="AK315" s="178" t="str">
        <f>IF(AE315="","",IF(ISBLANK(AH315),"En cours",AE315+AH315))</f>
        <v>En cours</v>
      </c>
    </row>
    <row r="316" spans="2:37" ht="21" x14ac:dyDescent="0.35">
      <c r="B316" s="176" t="s">
        <v>234</v>
      </c>
      <c r="C316" s="176" t="s">
        <v>102</v>
      </c>
      <c r="D316" s="176">
        <v>11.4</v>
      </c>
      <c r="E316" s="176" t="s">
        <v>103</v>
      </c>
      <c r="F316" s="176"/>
      <c r="G316" s="176"/>
      <c r="H316" s="176"/>
      <c r="I316" s="78"/>
      <c r="J316" s="176"/>
      <c r="K316" s="176"/>
      <c r="L316" s="176"/>
      <c r="M316" s="78"/>
      <c r="N316" s="176">
        <v>72</v>
      </c>
      <c r="O316" s="176">
        <v>4</v>
      </c>
      <c r="P316" s="176">
        <v>86</v>
      </c>
      <c r="Q316" s="78">
        <v>9</v>
      </c>
      <c r="R316" s="176">
        <v>67</v>
      </c>
      <c r="S316" s="176">
        <v>1</v>
      </c>
      <c r="T316" s="176">
        <v>81</v>
      </c>
      <c r="U316" s="78">
        <v>3</v>
      </c>
      <c r="V316" s="176">
        <v>66</v>
      </c>
      <c r="W316" s="176">
        <v>1</v>
      </c>
      <c r="X316" s="176">
        <v>80</v>
      </c>
      <c r="Y316" s="78">
        <v>3</v>
      </c>
      <c r="Z316" s="176">
        <v>68</v>
      </c>
      <c r="AA316" s="176">
        <v>1</v>
      </c>
      <c r="AB316" s="176">
        <v>82</v>
      </c>
      <c r="AC316" s="176">
        <v>3</v>
      </c>
      <c r="AD316" s="79">
        <f>IF(MIN(F316,J316,N316,R316,V316,Z316)&lt;&gt;0,MIN(F316,J316,N316,R316,V316,Z316),"")</f>
        <v>66</v>
      </c>
      <c r="AE316" s="80">
        <f>IF(MIN(H316,L316,P316,T316,X316,AB316)&lt;&gt;0,MIN(H316,L316,P316,T316,X316,AB316),"")</f>
        <v>80</v>
      </c>
      <c r="AF316" s="177"/>
      <c r="AG316" s="176"/>
      <c r="AH316" s="177"/>
      <c r="AI316" s="176"/>
      <c r="AJ316" s="82" t="str">
        <f>IF(AD316="","",IF(ISBLANK(AF316),"En cours",AD316+AF316))</f>
        <v>En cours</v>
      </c>
      <c r="AK316" s="178" t="str">
        <f>IF(AE316="","",IF(ISBLANK(AH316),"En cours",AE316+AH316))</f>
        <v>En cours</v>
      </c>
    </row>
    <row r="317" spans="2:37" ht="21" x14ac:dyDescent="0.35">
      <c r="B317" s="176" t="s">
        <v>235</v>
      </c>
      <c r="C317" s="176" t="s">
        <v>102</v>
      </c>
      <c r="D317" s="176">
        <v>13.7</v>
      </c>
      <c r="E317" s="176" t="s">
        <v>123</v>
      </c>
      <c r="F317" s="176"/>
      <c r="G317" s="176"/>
      <c r="H317" s="176"/>
      <c r="I317" s="78"/>
      <c r="J317" s="176"/>
      <c r="K317" s="176"/>
      <c r="L317" s="176"/>
      <c r="M317" s="78"/>
      <c r="N317" s="176">
        <v>73</v>
      </c>
      <c r="O317" s="176">
        <v>11</v>
      </c>
      <c r="P317" s="176">
        <v>86</v>
      </c>
      <c r="Q317" s="78">
        <v>8</v>
      </c>
      <c r="R317" s="176"/>
      <c r="S317" s="176"/>
      <c r="T317" s="176"/>
      <c r="U317" s="78"/>
      <c r="V317" s="176"/>
      <c r="W317" s="176"/>
      <c r="X317" s="176"/>
      <c r="Y317" s="78"/>
      <c r="Z317" s="176">
        <v>70</v>
      </c>
      <c r="AA317" s="176">
        <v>4</v>
      </c>
      <c r="AB317" s="176">
        <v>83</v>
      </c>
      <c r="AC317" s="176">
        <v>3</v>
      </c>
      <c r="AD317" s="79">
        <f>IF(MIN(F317,J317,N317,R317,V317,Z317)&lt;&gt;0,MIN(F317,J317,N317,R317,V317,Z317),"")</f>
        <v>70</v>
      </c>
      <c r="AE317" s="80">
        <f>IF(MIN(H317,L317,P317,T317,X317,AB317)&lt;&gt;0,MIN(H317,L317,P317,T317,X317,AB317),"")</f>
        <v>83</v>
      </c>
      <c r="AF317" s="177"/>
      <c r="AG317" s="176"/>
      <c r="AH317" s="177"/>
      <c r="AI317" s="176"/>
      <c r="AJ317" s="82" t="str">
        <f>IF(AD317="","",IF(ISBLANK(AF317),"En cours",AD317+AF317))</f>
        <v>En cours</v>
      </c>
      <c r="AK317" s="178" t="str">
        <f>IF(AE317="","",IF(ISBLANK(AH317),"En cours",AE317+AH317))</f>
        <v>En cours</v>
      </c>
    </row>
    <row r="318" spans="2:37" ht="21" x14ac:dyDescent="0.35">
      <c r="B318" s="176" t="s">
        <v>237</v>
      </c>
      <c r="C318" s="176" t="s">
        <v>238</v>
      </c>
      <c r="D318" s="176">
        <v>14.2</v>
      </c>
      <c r="E318" s="176" t="s">
        <v>123</v>
      </c>
      <c r="F318" s="176"/>
      <c r="G318" s="176"/>
      <c r="H318" s="176"/>
      <c r="I318" s="78"/>
      <c r="J318" s="176"/>
      <c r="K318" s="176"/>
      <c r="L318" s="176"/>
      <c r="M318" s="78"/>
      <c r="N318" s="176">
        <v>78</v>
      </c>
      <c r="O318" s="176">
        <v>23</v>
      </c>
      <c r="P318" s="176">
        <v>91</v>
      </c>
      <c r="Q318" s="78">
        <v>19</v>
      </c>
      <c r="R318" s="176"/>
      <c r="S318" s="176"/>
      <c r="T318" s="176"/>
      <c r="U318" s="78"/>
      <c r="V318" s="176">
        <v>79</v>
      </c>
      <c r="W318" s="176">
        <v>23</v>
      </c>
      <c r="X318" s="176">
        <v>92</v>
      </c>
      <c r="Y318" s="78">
        <v>20</v>
      </c>
      <c r="Z318" s="176"/>
      <c r="AA318" s="176"/>
      <c r="AB318" s="176"/>
      <c r="AC318" s="176"/>
      <c r="AD318" s="79">
        <f>IF(MIN(F318,J318,N318,R318,V318,Z318)&lt;&gt;0,MIN(F318,J318,N318,R318,V318,Z318),"")</f>
        <v>78</v>
      </c>
      <c r="AE318" s="80">
        <f>IF(MIN(H318,L318,P318,T318,X318,AB318)&lt;&gt;0,MIN(H318,L318,P318,T318,X318,AB318),"")</f>
        <v>91</v>
      </c>
      <c r="AF318" s="177"/>
      <c r="AG318" s="176"/>
      <c r="AH318" s="177"/>
      <c r="AI318" s="176"/>
      <c r="AJ318" s="82" t="str">
        <f>IF(AD318="","",IF(ISBLANK(AF318),"En cours",AD318+AF318))</f>
        <v>En cours</v>
      </c>
      <c r="AK318" s="178" t="str">
        <f>IF(AE318="","",IF(ISBLANK(AH318),"En cours",AE318+AH318))</f>
        <v>En cours</v>
      </c>
    </row>
    <row r="319" spans="2:37" ht="21" x14ac:dyDescent="0.35">
      <c r="B319" s="176" t="s">
        <v>242</v>
      </c>
      <c r="C319" s="176" t="s">
        <v>102</v>
      </c>
      <c r="D319" s="176">
        <v>33</v>
      </c>
      <c r="E319" s="176" t="s">
        <v>166</v>
      </c>
      <c r="F319" s="176"/>
      <c r="G319" s="176"/>
      <c r="H319" s="176"/>
      <c r="I319" s="78"/>
      <c r="J319" s="176"/>
      <c r="K319" s="176"/>
      <c r="L319" s="176"/>
      <c r="M319" s="78"/>
      <c r="N319" s="176">
        <v>67</v>
      </c>
      <c r="O319" s="176">
        <v>3</v>
      </c>
      <c r="P319" s="176">
        <v>94</v>
      </c>
      <c r="Q319" s="78">
        <v>15</v>
      </c>
      <c r="R319" s="176"/>
      <c r="S319" s="176"/>
      <c r="T319" s="176"/>
      <c r="U319" s="78"/>
      <c r="V319" s="176"/>
      <c r="W319" s="176"/>
      <c r="X319" s="176"/>
      <c r="Y319" s="78"/>
      <c r="Z319" s="176"/>
      <c r="AA319" s="176"/>
      <c r="AB319" s="176"/>
      <c r="AC319" s="176"/>
      <c r="AD319" s="79">
        <f>IF(MIN(F319,J319,N319,R319,V319,Z319)&lt;&gt;0,MIN(F319,J319,N319,R319,V319,Z319),"")</f>
        <v>67</v>
      </c>
      <c r="AE319" s="80">
        <f>IF(MIN(H319,L319,P319,T319,X319,AB319)&lt;&gt;0,MIN(H319,L319,P319,T319,X319,AB319),"")</f>
        <v>94</v>
      </c>
      <c r="AF319" s="177"/>
      <c r="AG319" s="176"/>
      <c r="AH319" s="177"/>
      <c r="AI319" s="176"/>
      <c r="AJ319" s="82" t="str">
        <f>IF(AD319="","",IF(ISBLANK(AF319),"En cours",AD319+AF319))</f>
        <v>En cours</v>
      </c>
      <c r="AK319" s="178" t="str">
        <f>IF(AE319="","",IF(ISBLANK(AH319),"En cours",AE319+AH319))</f>
        <v>En cours</v>
      </c>
    </row>
    <row r="320" spans="2:37" ht="21" x14ac:dyDescent="0.35">
      <c r="B320" s="176" t="s">
        <v>240</v>
      </c>
      <c r="C320" s="176" t="s">
        <v>102</v>
      </c>
      <c r="D320" s="176">
        <v>24.6</v>
      </c>
      <c r="E320" s="176" t="s">
        <v>161</v>
      </c>
      <c r="F320" s="176"/>
      <c r="G320" s="176"/>
      <c r="H320" s="176"/>
      <c r="I320" s="78"/>
      <c r="J320" s="176"/>
      <c r="K320" s="176"/>
      <c r="L320" s="176"/>
      <c r="M320" s="78"/>
      <c r="N320" s="176">
        <v>70</v>
      </c>
      <c r="O320" s="176">
        <v>6</v>
      </c>
      <c r="P320" s="176">
        <v>91</v>
      </c>
      <c r="Q320" s="78">
        <v>6</v>
      </c>
      <c r="R320" s="176"/>
      <c r="S320" s="176"/>
      <c r="T320" s="176"/>
      <c r="U320" s="78"/>
      <c r="V320" s="176"/>
      <c r="W320" s="176"/>
      <c r="X320" s="176"/>
      <c r="Y320" s="78"/>
      <c r="Z320" s="176"/>
      <c r="AA320" s="176"/>
      <c r="AB320" s="176"/>
      <c r="AC320" s="176"/>
      <c r="AD320" s="79">
        <f>IF(MIN(F320,J320,N320,R320,V320,Z320)&lt;&gt;0,MIN(F320,J320,N320,R320,V320,Z320),"")</f>
        <v>70</v>
      </c>
      <c r="AE320" s="80">
        <f>IF(MIN(H320,L320,P320,T320,X320,AB320)&lt;&gt;0,MIN(H320,L320,P320,T320,X320,AB320),"")</f>
        <v>91</v>
      </c>
      <c r="AF320" s="177"/>
      <c r="AG320" s="176"/>
      <c r="AH320" s="177"/>
      <c r="AI320" s="176"/>
      <c r="AJ320" s="82" t="str">
        <f>IF(AD320="","",IF(ISBLANK(AF320),"En cours",AD320+AF320))</f>
        <v>En cours</v>
      </c>
      <c r="AK320" s="178" t="str">
        <f>IF(AE320="","",IF(ISBLANK(AH320),"En cours",AE320+AH320))</f>
        <v>En cours</v>
      </c>
    </row>
    <row r="321" spans="2:37" ht="21" x14ac:dyDescent="0.35">
      <c r="B321" s="176" t="s">
        <v>246</v>
      </c>
      <c r="C321" s="176" t="s">
        <v>102</v>
      </c>
      <c r="D321" s="176">
        <v>31.9</v>
      </c>
      <c r="E321" s="176" t="s">
        <v>166</v>
      </c>
      <c r="F321" s="176"/>
      <c r="G321" s="176"/>
      <c r="H321" s="176"/>
      <c r="I321" s="78"/>
      <c r="J321" s="176"/>
      <c r="K321" s="176"/>
      <c r="L321" s="176"/>
      <c r="M321" s="78"/>
      <c r="N321" s="176">
        <v>71</v>
      </c>
      <c r="O321" s="176">
        <v>7</v>
      </c>
      <c r="P321" s="176">
        <v>96</v>
      </c>
      <c r="Q321" s="78">
        <v>21</v>
      </c>
      <c r="R321" s="176"/>
      <c r="S321" s="176"/>
      <c r="T321" s="176"/>
      <c r="U321" s="78"/>
      <c r="V321" s="176"/>
      <c r="W321" s="176"/>
      <c r="X321" s="176"/>
      <c r="Y321" s="78"/>
      <c r="Z321" s="176"/>
      <c r="AA321" s="176"/>
      <c r="AB321" s="176"/>
      <c r="AC321" s="176"/>
      <c r="AD321" s="79">
        <f>IF(MIN(F321,J321,N321,R321,V321,Z321)&lt;&gt;0,MIN(F321,J321,N321,R321,V321,Z321),"")</f>
        <v>71</v>
      </c>
      <c r="AE321" s="80">
        <f>IF(MIN(H321,L321,P321,T321,X321,AB321)&lt;&gt;0,MIN(H321,L321,P321,T321,X321,AB321),"")</f>
        <v>96</v>
      </c>
      <c r="AF321" s="177"/>
      <c r="AG321" s="176"/>
      <c r="AH321" s="177"/>
      <c r="AI321" s="176"/>
      <c r="AJ321" s="82" t="str">
        <f>IF(AD321="","",IF(ISBLANK(AF321),"En cours",AD321+AF321))</f>
        <v>En cours</v>
      </c>
      <c r="AK321" s="178" t="str">
        <f>IF(AE321="","",IF(ISBLANK(AH321),"En cours",AE321+AH321))</f>
        <v>En cours</v>
      </c>
    </row>
    <row r="322" spans="2:37" ht="21" x14ac:dyDescent="0.35">
      <c r="B322" s="176" t="s">
        <v>244</v>
      </c>
      <c r="C322" s="176" t="s">
        <v>102</v>
      </c>
      <c r="D322" s="176">
        <v>24</v>
      </c>
      <c r="E322" s="176" t="s">
        <v>161</v>
      </c>
      <c r="F322" s="176"/>
      <c r="G322" s="176"/>
      <c r="H322" s="176"/>
      <c r="I322" s="78"/>
      <c r="J322" s="176"/>
      <c r="K322" s="176"/>
      <c r="L322" s="176"/>
      <c r="M322" s="78"/>
      <c r="N322" s="176">
        <v>74</v>
      </c>
      <c r="O322" s="176">
        <v>14</v>
      </c>
      <c r="P322" s="176">
        <v>95</v>
      </c>
      <c r="Q322" s="78">
        <v>19</v>
      </c>
      <c r="R322" s="176"/>
      <c r="S322" s="176"/>
      <c r="T322" s="176"/>
      <c r="U322" s="78"/>
      <c r="V322" s="176"/>
      <c r="W322" s="176"/>
      <c r="X322" s="176"/>
      <c r="Y322" s="78"/>
      <c r="Z322" s="176"/>
      <c r="AA322" s="176"/>
      <c r="AB322" s="176"/>
      <c r="AC322" s="176"/>
      <c r="AD322" s="79">
        <f>IF(MIN(F322,J322,N322,R322,V322,Z322)&lt;&gt;0,MIN(F322,J322,N322,R322,V322,Z322),"")</f>
        <v>74</v>
      </c>
      <c r="AE322" s="80">
        <f>IF(MIN(H322,L322,P322,T322,X322,AB322)&lt;&gt;0,MIN(H322,L322,P322,T322,X322,AB322),"")</f>
        <v>95</v>
      </c>
      <c r="AF322" s="177"/>
      <c r="AG322" s="176"/>
      <c r="AH322" s="177"/>
      <c r="AI322" s="176"/>
      <c r="AJ322" s="82" t="str">
        <f>IF(AD322="","",IF(ISBLANK(AF322),"En cours",AD322+AF322))</f>
        <v>En cours</v>
      </c>
      <c r="AK322" s="178" t="str">
        <f>IF(AE322="","",IF(ISBLANK(AH322),"En cours",AE322+AH322))</f>
        <v>En cours</v>
      </c>
    </row>
    <row r="323" spans="2:37" ht="21" x14ac:dyDescent="0.35">
      <c r="B323" s="176" t="s">
        <v>249</v>
      </c>
      <c r="C323" s="176" t="s">
        <v>102</v>
      </c>
      <c r="D323" s="176">
        <v>33.299999999999997</v>
      </c>
      <c r="E323" s="176" t="s">
        <v>166</v>
      </c>
      <c r="F323" s="176"/>
      <c r="G323" s="176"/>
      <c r="H323" s="176"/>
      <c r="I323" s="78"/>
      <c r="J323" s="176"/>
      <c r="K323" s="176"/>
      <c r="L323" s="176"/>
      <c r="M323" s="78"/>
      <c r="N323" s="176">
        <v>74</v>
      </c>
      <c r="O323" s="176">
        <v>15</v>
      </c>
      <c r="P323" s="176">
        <v>101</v>
      </c>
      <c r="Q323" s="78">
        <v>29</v>
      </c>
      <c r="R323" s="176"/>
      <c r="S323" s="176"/>
      <c r="T323" s="176"/>
      <c r="U323" s="78"/>
      <c r="V323" s="176">
        <v>65</v>
      </c>
      <c r="W323" s="176">
        <v>2</v>
      </c>
      <c r="X323" s="176">
        <v>92</v>
      </c>
      <c r="Y323" s="78">
        <v>9</v>
      </c>
      <c r="Z323" s="176"/>
      <c r="AA323" s="176"/>
      <c r="AB323" s="176"/>
      <c r="AC323" s="176"/>
      <c r="AD323" s="79">
        <f>IF(MIN(F323,J323,N323,R323,V323,Z323)&lt;&gt;0,MIN(F323,J323,N323,R323,V323,Z323),"")</f>
        <v>65</v>
      </c>
      <c r="AE323" s="80">
        <f>IF(MIN(H323,L323,P323,T323,X323,AB323)&lt;&gt;0,MIN(H323,L323,P323,T323,X323,AB323),"")</f>
        <v>92</v>
      </c>
      <c r="AF323" s="177"/>
      <c r="AG323" s="176"/>
      <c r="AH323" s="177"/>
      <c r="AI323" s="176"/>
      <c r="AJ323" s="82" t="str">
        <f>IF(AD323="","",IF(ISBLANK(AF323),"En cours",AD323+AF323))</f>
        <v>En cours</v>
      </c>
      <c r="AK323" s="178" t="str">
        <f>IF(AE323="","",IF(ISBLANK(AH323),"En cours",AE323+AH323))</f>
        <v>En cours</v>
      </c>
    </row>
    <row r="324" spans="2:37" ht="21" x14ac:dyDescent="0.35">
      <c r="B324" s="176" t="s">
        <v>248</v>
      </c>
      <c r="C324" s="176" t="s">
        <v>102</v>
      </c>
      <c r="D324" s="176">
        <v>22.2</v>
      </c>
      <c r="E324" s="176" t="s">
        <v>161</v>
      </c>
      <c r="F324" s="176"/>
      <c r="G324" s="176"/>
      <c r="H324" s="176"/>
      <c r="I324" s="78"/>
      <c r="J324" s="176"/>
      <c r="K324" s="176"/>
      <c r="L324" s="176"/>
      <c r="M324" s="78"/>
      <c r="N324" s="176">
        <v>79</v>
      </c>
      <c r="O324" s="176">
        <v>27</v>
      </c>
      <c r="P324" s="176">
        <v>98</v>
      </c>
      <c r="Q324" s="78">
        <v>27</v>
      </c>
      <c r="R324" s="176"/>
      <c r="S324" s="176"/>
      <c r="T324" s="176"/>
      <c r="U324" s="78"/>
      <c r="V324" s="176"/>
      <c r="W324" s="176"/>
      <c r="X324" s="176"/>
      <c r="Y324" s="78"/>
      <c r="Z324" s="176"/>
      <c r="AA324" s="176"/>
      <c r="AB324" s="176"/>
      <c r="AC324" s="176"/>
      <c r="AD324" s="79">
        <f>IF(MIN(F324,J324,N324,R324,V324,Z324)&lt;&gt;0,MIN(F324,J324,N324,R324,V324,Z324),"")</f>
        <v>79</v>
      </c>
      <c r="AE324" s="80">
        <f>IF(MIN(H324,L324,P324,T324,X324,AB324)&lt;&gt;0,MIN(H324,L324,P324,T324,X324,AB324),"")</f>
        <v>98</v>
      </c>
      <c r="AF324" s="177"/>
      <c r="AG324" s="176"/>
      <c r="AH324" s="177"/>
      <c r="AI324" s="176"/>
      <c r="AJ324" s="82" t="str">
        <f>IF(AD324="","",IF(ISBLANK(AF324),"En cours",AD324+AF324))</f>
        <v>En cours</v>
      </c>
      <c r="AK324" s="178" t="str">
        <f>IF(AE324="","",IF(ISBLANK(AH324),"En cours",AE324+AH324))</f>
        <v>En cours</v>
      </c>
    </row>
    <row r="325" spans="2:37" ht="21" x14ac:dyDescent="0.35">
      <c r="B325" s="176" t="s">
        <v>256</v>
      </c>
      <c r="C325" s="176" t="s">
        <v>102</v>
      </c>
      <c r="D325" s="176">
        <v>11.2</v>
      </c>
      <c r="E325" s="176" t="s">
        <v>103</v>
      </c>
      <c r="F325" s="176"/>
      <c r="G325" s="176"/>
      <c r="H325" s="176"/>
      <c r="I325" s="78"/>
      <c r="J325" s="176"/>
      <c r="K325" s="176"/>
      <c r="L325" s="176"/>
      <c r="M325" s="78"/>
      <c r="N325" s="176"/>
      <c r="O325" s="176"/>
      <c r="P325" s="176"/>
      <c r="Q325" s="78"/>
      <c r="R325" s="176">
        <v>69</v>
      </c>
      <c r="S325" s="176">
        <v>3</v>
      </c>
      <c r="T325" s="176">
        <v>83</v>
      </c>
      <c r="U325" s="78">
        <v>5</v>
      </c>
      <c r="V325" s="176">
        <v>82</v>
      </c>
      <c r="W325" s="176">
        <v>9</v>
      </c>
      <c r="X325" s="176">
        <v>96</v>
      </c>
      <c r="Y325" s="78">
        <v>11</v>
      </c>
      <c r="Z325" s="176"/>
      <c r="AA325" s="176"/>
      <c r="AB325" s="176"/>
      <c r="AC325" s="176"/>
      <c r="AD325" s="79">
        <f>IF(MIN(F325,J325,N325,R325,V325,Z325)&lt;&gt;0,MIN(F325,J325,N325,R325,V325,Z325),"")</f>
        <v>69</v>
      </c>
      <c r="AE325" s="80">
        <f>IF(MIN(H325,L325,P325,T325,X325,AB325)&lt;&gt;0,MIN(H325,L325,P325,T325,X325,AB325),"")</f>
        <v>83</v>
      </c>
      <c r="AF325" s="177"/>
      <c r="AG325" s="176"/>
      <c r="AH325" s="177"/>
      <c r="AI325" s="176"/>
      <c r="AJ325" s="82" t="str">
        <f>IF(AD325="","",IF(ISBLANK(AF325),"En cours",AD325+AF325))</f>
        <v>En cours</v>
      </c>
      <c r="AK325" s="178" t="str">
        <f>IF(AE325="","",IF(ISBLANK(AH325),"En cours",AE325+AH325))</f>
        <v>En cours</v>
      </c>
    </row>
    <row r="326" spans="2:37" ht="21" x14ac:dyDescent="0.35">
      <c r="B326" s="176" t="s">
        <v>255</v>
      </c>
      <c r="C326" s="176" t="s">
        <v>102</v>
      </c>
      <c r="D326" s="176">
        <v>7</v>
      </c>
      <c r="E326" s="176" t="s">
        <v>103</v>
      </c>
      <c r="F326" s="176"/>
      <c r="G326" s="176"/>
      <c r="H326" s="176"/>
      <c r="I326" s="78"/>
      <c r="J326" s="176"/>
      <c r="K326" s="176"/>
      <c r="L326" s="176"/>
      <c r="M326" s="78"/>
      <c r="N326" s="176"/>
      <c r="O326" s="176"/>
      <c r="P326" s="176"/>
      <c r="Q326" s="78"/>
      <c r="R326" s="176">
        <v>72</v>
      </c>
      <c r="S326" s="176">
        <v>4</v>
      </c>
      <c r="T326" s="176">
        <v>81</v>
      </c>
      <c r="U326" s="78">
        <v>4</v>
      </c>
      <c r="V326" s="176"/>
      <c r="W326" s="176"/>
      <c r="X326" s="176"/>
      <c r="Y326" s="78"/>
      <c r="Z326" s="176"/>
      <c r="AA326" s="176"/>
      <c r="AB326" s="176"/>
      <c r="AC326" s="176"/>
      <c r="AD326" s="79">
        <f>IF(MIN(F326,J326,N326,R326,V326,Z326)&lt;&gt;0,MIN(F326,J326,N326,R326,V326,Z326),"")</f>
        <v>72</v>
      </c>
      <c r="AE326" s="80">
        <f>IF(MIN(H326,L326,P326,T326,X326,AB326)&lt;&gt;0,MIN(H326,L326,P326,T326,X326,AB326),"")</f>
        <v>81</v>
      </c>
      <c r="AF326" s="177"/>
      <c r="AG326" s="176"/>
      <c r="AH326" s="177"/>
      <c r="AI326" s="176"/>
      <c r="AJ326" s="82" t="str">
        <f>IF(AD326="","",IF(ISBLANK(AF326),"En cours",AD326+AF326))</f>
        <v>En cours</v>
      </c>
      <c r="AK326" s="178" t="str">
        <f>IF(AE326="","",IF(ISBLANK(AH326),"En cours",AE326+AH326))</f>
        <v>En cours</v>
      </c>
    </row>
    <row r="327" spans="2:37" ht="21" x14ac:dyDescent="0.35">
      <c r="B327" s="176" t="s">
        <v>259</v>
      </c>
      <c r="C327" s="176" t="s">
        <v>238</v>
      </c>
      <c r="D327" s="176">
        <v>11.3</v>
      </c>
      <c r="E327" s="176" t="s">
        <v>103</v>
      </c>
      <c r="F327" s="176"/>
      <c r="G327" s="176"/>
      <c r="H327" s="176"/>
      <c r="I327" s="78"/>
      <c r="J327" s="176"/>
      <c r="K327" s="176"/>
      <c r="L327" s="176"/>
      <c r="M327" s="78"/>
      <c r="N327" s="176"/>
      <c r="O327" s="176"/>
      <c r="P327" s="176"/>
      <c r="Q327" s="78"/>
      <c r="R327" s="176">
        <v>73</v>
      </c>
      <c r="S327" s="176">
        <v>5</v>
      </c>
      <c r="T327" s="176">
        <v>87</v>
      </c>
      <c r="U327" s="78">
        <v>9</v>
      </c>
      <c r="V327" s="176"/>
      <c r="W327" s="176"/>
      <c r="X327" s="176"/>
      <c r="Y327" s="78"/>
      <c r="Z327" s="176">
        <v>75</v>
      </c>
      <c r="AA327" s="176">
        <v>9</v>
      </c>
      <c r="AB327" s="176">
        <v>89</v>
      </c>
      <c r="AC327" s="176">
        <v>10</v>
      </c>
      <c r="AD327" s="79">
        <f>IF(MIN(F327,J327,N327,R327,V327,Z327)&lt;&gt;0,MIN(F327,J327,N327,R327,V327,Z327),"")</f>
        <v>73</v>
      </c>
      <c r="AE327" s="80">
        <f>IF(MIN(H327,L327,P327,T327,X327,AB327)&lt;&gt;0,MIN(H327,L327,P327,T327,X327,AB327),"")</f>
        <v>87</v>
      </c>
      <c r="AF327" s="177"/>
      <c r="AG327" s="176"/>
      <c r="AH327" s="177"/>
      <c r="AI327" s="176"/>
      <c r="AJ327" s="82" t="str">
        <f>IF(AD327="","",IF(ISBLANK(AF327),"En cours",AD327+AF327))</f>
        <v>En cours</v>
      </c>
      <c r="AK327" s="178" t="str">
        <f>IF(AE327="","",IF(ISBLANK(AH327),"En cours",AE327+AH327))</f>
        <v>En cours</v>
      </c>
    </row>
    <row r="328" spans="2:37" ht="21" x14ac:dyDescent="0.35">
      <c r="B328" s="176" t="s">
        <v>258</v>
      </c>
      <c r="C328" s="176" t="s">
        <v>238</v>
      </c>
      <c r="D328" s="176">
        <v>7.9</v>
      </c>
      <c r="E328" s="176" t="s">
        <v>103</v>
      </c>
      <c r="F328" s="176"/>
      <c r="G328" s="176"/>
      <c r="H328" s="176"/>
      <c r="I328" s="78"/>
      <c r="J328" s="176"/>
      <c r="K328" s="176"/>
      <c r="L328" s="176"/>
      <c r="M328" s="78"/>
      <c r="N328" s="176"/>
      <c r="O328" s="176"/>
      <c r="P328" s="176"/>
      <c r="Q328" s="78"/>
      <c r="R328" s="176">
        <v>73</v>
      </c>
      <c r="S328" s="176">
        <v>6</v>
      </c>
      <c r="T328" s="176">
        <v>83</v>
      </c>
      <c r="U328" s="78">
        <v>7</v>
      </c>
      <c r="V328" s="176"/>
      <c r="W328" s="176"/>
      <c r="X328" s="176"/>
      <c r="Y328" s="78"/>
      <c r="Z328" s="176"/>
      <c r="AA328" s="176"/>
      <c r="AB328" s="176"/>
      <c r="AC328" s="176"/>
      <c r="AD328" s="79">
        <f>IF(MIN(F328,J328,N328,R328,V328,Z328)&lt;&gt;0,MIN(F328,J328,N328,R328,V328,Z328),"")</f>
        <v>73</v>
      </c>
      <c r="AE328" s="80">
        <f>IF(MIN(H328,L328,P328,T328,X328,AB328)&lt;&gt;0,MIN(H328,L328,P328,T328,X328,AB328),"")</f>
        <v>83</v>
      </c>
      <c r="AF328" s="177"/>
      <c r="AG328" s="176"/>
      <c r="AH328" s="177"/>
      <c r="AI328" s="176"/>
      <c r="AJ328" s="82" t="str">
        <f>IF(AD328="","",IF(ISBLANK(AF328),"En cours",AD328+AF328))</f>
        <v>En cours</v>
      </c>
      <c r="AK328" s="178" t="str">
        <f>IF(AE328="","",IF(ISBLANK(AH328),"En cours",AE328+AH328))</f>
        <v>En cours</v>
      </c>
    </row>
    <row r="329" spans="2:37" ht="21" x14ac:dyDescent="0.35">
      <c r="B329" s="176" t="s">
        <v>257</v>
      </c>
      <c r="C329" s="176" t="s">
        <v>102</v>
      </c>
      <c r="D329" s="176">
        <v>3.4</v>
      </c>
      <c r="E329" s="176" t="s">
        <v>103</v>
      </c>
      <c r="F329" s="176"/>
      <c r="G329" s="176"/>
      <c r="H329" s="176"/>
      <c r="I329" s="78"/>
      <c r="J329" s="176"/>
      <c r="K329" s="176"/>
      <c r="L329" s="176"/>
      <c r="M329" s="78"/>
      <c r="N329" s="176"/>
      <c r="O329" s="176"/>
      <c r="P329" s="176"/>
      <c r="Q329" s="78"/>
      <c r="R329" s="176">
        <v>79</v>
      </c>
      <c r="S329" s="176">
        <v>13</v>
      </c>
      <c r="T329" s="176">
        <v>83</v>
      </c>
      <c r="U329" s="78">
        <v>6</v>
      </c>
      <c r="V329" s="176"/>
      <c r="W329" s="176"/>
      <c r="X329" s="176"/>
      <c r="Y329" s="78"/>
      <c r="Z329" s="176"/>
      <c r="AA329" s="176"/>
      <c r="AB329" s="176"/>
      <c r="AC329" s="176"/>
      <c r="AD329" s="79">
        <f>IF(MIN(F329,J329,N329,R329,V329,Z329)&lt;&gt;0,MIN(F329,J329,N329,R329,V329,Z329),"")</f>
        <v>79</v>
      </c>
      <c r="AE329" s="80">
        <f>IF(MIN(H329,L329,P329,T329,X329,AB329)&lt;&gt;0,MIN(H329,L329,P329,T329,X329,AB329),"")</f>
        <v>83</v>
      </c>
      <c r="AF329" s="177"/>
      <c r="AG329" s="176"/>
      <c r="AH329" s="177"/>
      <c r="AI329" s="176"/>
      <c r="AJ329" s="82" t="str">
        <f>IF(AD329="","",IF(ISBLANK(AF329),"En cours",AD329+AF329))</f>
        <v>En cours</v>
      </c>
      <c r="AK329" s="178" t="str">
        <f>IF(AE329="","",IF(ISBLANK(AH329),"En cours",AE329+AH329))</f>
        <v>En cours</v>
      </c>
    </row>
    <row r="330" spans="2:37" ht="21" x14ac:dyDescent="0.35">
      <c r="B330" s="176" t="s">
        <v>260</v>
      </c>
      <c r="C330" s="176" t="s">
        <v>102</v>
      </c>
      <c r="D330" s="176">
        <v>12.9</v>
      </c>
      <c r="E330" s="176" t="s">
        <v>123</v>
      </c>
      <c r="F330" s="176"/>
      <c r="G330" s="176"/>
      <c r="H330" s="176"/>
      <c r="I330" s="78"/>
      <c r="J330" s="176"/>
      <c r="K330" s="176"/>
      <c r="L330" s="176"/>
      <c r="M330" s="78"/>
      <c r="N330" s="176"/>
      <c r="O330" s="176"/>
      <c r="P330" s="176"/>
      <c r="Q330" s="78"/>
      <c r="R330" s="176">
        <v>71</v>
      </c>
      <c r="S330" s="176">
        <v>7</v>
      </c>
      <c r="T330" s="176">
        <v>83</v>
      </c>
      <c r="U330" s="78">
        <v>4</v>
      </c>
      <c r="V330" s="176">
        <v>73</v>
      </c>
      <c r="W330" s="176">
        <v>9</v>
      </c>
      <c r="X330" s="176">
        <v>85</v>
      </c>
      <c r="Y330" s="78">
        <v>5</v>
      </c>
      <c r="Z330" s="176"/>
      <c r="AA330" s="176"/>
      <c r="AB330" s="176"/>
      <c r="AC330" s="176"/>
      <c r="AD330" s="79">
        <f>IF(MIN(F330,J330,N330,R330,V330,Z330)&lt;&gt;0,MIN(F330,J330,N330,R330,V330,Z330),"")</f>
        <v>71</v>
      </c>
      <c r="AE330" s="80">
        <f>IF(MIN(H330,L330,P330,T330,X330,AB330)&lt;&gt;0,MIN(H330,L330,P330,T330,X330,AB330),"")</f>
        <v>83</v>
      </c>
      <c r="AF330" s="177"/>
      <c r="AG330" s="176"/>
      <c r="AH330" s="177"/>
      <c r="AI330" s="176"/>
      <c r="AJ330" s="82" t="str">
        <f>IF(AD330="","",IF(ISBLANK(AF330),"En cours",AD330+AF330))</f>
        <v>En cours</v>
      </c>
      <c r="AK330" s="178" t="str">
        <f>IF(AE330="","",IF(ISBLANK(AH330),"En cours",AE330+AH330))</f>
        <v>En cours</v>
      </c>
    </row>
    <row r="331" spans="2:37" ht="21" x14ac:dyDescent="0.35">
      <c r="B331" s="176" t="s">
        <v>264</v>
      </c>
      <c r="C331" s="176" t="s">
        <v>265</v>
      </c>
      <c r="D331" s="176">
        <v>17.3</v>
      </c>
      <c r="E331" s="176" t="s">
        <v>123</v>
      </c>
      <c r="F331" s="176"/>
      <c r="G331" s="176"/>
      <c r="H331" s="176"/>
      <c r="I331" s="78"/>
      <c r="J331" s="176"/>
      <c r="K331" s="176"/>
      <c r="L331" s="176"/>
      <c r="M331" s="78"/>
      <c r="N331" s="176"/>
      <c r="O331" s="176"/>
      <c r="P331" s="176"/>
      <c r="Q331" s="78"/>
      <c r="R331" s="176">
        <v>72</v>
      </c>
      <c r="S331" s="176">
        <v>9</v>
      </c>
      <c r="T331" s="176">
        <v>89</v>
      </c>
      <c r="U331" s="78">
        <v>16</v>
      </c>
      <c r="V331" s="176"/>
      <c r="W331" s="176"/>
      <c r="X331" s="176"/>
      <c r="Y331" s="78"/>
      <c r="Z331" s="176"/>
      <c r="AA331" s="176"/>
      <c r="AB331" s="176"/>
      <c r="AC331" s="176"/>
      <c r="AD331" s="79">
        <f>IF(MIN(F331,J331,N331,R331,V331,Z331)&lt;&gt;0,MIN(F331,J331,N331,R331,V331,Z331),"")</f>
        <v>72</v>
      </c>
      <c r="AE331" s="80">
        <f>IF(MIN(H331,L331,P331,T331,X331,AB331)&lt;&gt;0,MIN(H331,L331,P331,T331,X331,AB331),"")</f>
        <v>89</v>
      </c>
      <c r="AF331" s="177"/>
      <c r="AG331" s="176"/>
      <c r="AH331" s="177"/>
      <c r="AI331" s="176"/>
      <c r="AJ331" s="82" t="str">
        <f>IF(AD331="","",IF(ISBLANK(AF331),"En cours",AD331+AF331))</f>
        <v>En cours</v>
      </c>
      <c r="AK331" s="178" t="str">
        <f>IF(AE331="","",IF(ISBLANK(AH331),"En cours",AE331+AH331))</f>
        <v>En cours</v>
      </c>
    </row>
    <row r="332" spans="2:37" ht="21" x14ac:dyDescent="0.35">
      <c r="B332" s="176" t="s">
        <v>263</v>
      </c>
      <c r="C332" s="176" t="s">
        <v>102</v>
      </c>
      <c r="D332" s="176">
        <v>13.5</v>
      </c>
      <c r="E332" s="176" t="s">
        <v>123</v>
      </c>
      <c r="F332" s="176"/>
      <c r="G332" s="176"/>
      <c r="H332" s="176"/>
      <c r="I332" s="78"/>
      <c r="J332" s="176"/>
      <c r="K332" s="176"/>
      <c r="L332" s="176"/>
      <c r="M332" s="78"/>
      <c r="N332" s="176"/>
      <c r="O332" s="176"/>
      <c r="P332" s="176"/>
      <c r="Q332" s="78"/>
      <c r="R332" s="176">
        <v>75</v>
      </c>
      <c r="S332" s="176">
        <v>17</v>
      </c>
      <c r="T332" s="176">
        <v>87</v>
      </c>
      <c r="U332" s="78">
        <v>12</v>
      </c>
      <c r="V332" s="176">
        <v>74</v>
      </c>
      <c r="W332" s="176">
        <v>10</v>
      </c>
      <c r="X332" s="176">
        <v>86</v>
      </c>
      <c r="Y332" s="78">
        <v>7</v>
      </c>
      <c r="Z332" s="176"/>
      <c r="AA332" s="176"/>
      <c r="AB332" s="176"/>
      <c r="AC332" s="176"/>
      <c r="AD332" s="79">
        <f>IF(MIN(F332,J332,N332,R332,V332,Z332)&lt;&gt;0,MIN(F332,J332,N332,R332,V332,Z332),"")</f>
        <v>74</v>
      </c>
      <c r="AE332" s="80">
        <f>IF(MIN(H332,L332,P332,T332,X332,AB332)&lt;&gt;0,MIN(H332,L332,P332,T332,X332,AB332),"")</f>
        <v>86</v>
      </c>
      <c r="AF332" s="177"/>
      <c r="AG332" s="176"/>
      <c r="AH332" s="177"/>
      <c r="AI332" s="176"/>
      <c r="AJ332" s="82" t="str">
        <f>IF(AD332="","",IF(ISBLANK(AF332),"En cours",AD332+AF332))</f>
        <v>En cours</v>
      </c>
      <c r="AK332" s="178" t="str">
        <f>IF(AE332="","",IF(ISBLANK(AH332),"En cours",AE332+AH332))</f>
        <v>En cours</v>
      </c>
    </row>
    <row r="333" spans="2:37" ht="21" x14ac:dyDescent="0.35">
      <c r="B333" s="176" t="s">
        <v>270</v>
      </c>
      <c r="C333" s="176" t="s">
        <v>102</v>
      </c>
      <c r="D333" s="176">
        <v>17.399999999999999</v>
      </c>
      <c r="E333" s="176" t="s">
        <v>123</v>
      </c>
      <c r="F333" s="176"/>
      <c r="G333" s="176"/>
      <c r="H333" s="176"/>
      <c r="I333" s="78"/>
      <c r="J333" s="176"/>
      <c r="K333" s="176"/>
      <c r="L333" s="176"/>
      <c r="M333" s="78"/>
      <c r="N333" s="176"/>
      <c r="O333" s="176"/>
      <c r="P333" s="176"/>
      <c r="Q333" s="78"/>
      <c r="R333" s="176">
        <v>77</v>
      </c>
      <c r="S333" s="176">
        <v>21</v>
      </c>
      <c r="T333" s="176">
        <v>94</v>
      </c>
      <c r="U333" s="78">
        <v>29</v>
      </c>
      <c r="V333" s="176"/>
      <c r="W333" s="176"/>
      <c r="X333" s="176"/>
      <c r="Y333" s="78"/>
      <c r="Z333" s="176">
        <v>76</v>
      </c>
      <c r="AA333" s="176">
        <v>16</v>
      </c>
      <c r="AB333" s="176">
        <v>93</v>
      </c>
      <c r="AC333" s="176">
        <v>23</v>
      </c>
      <c r="AD333" s="79">
        <f>IF(MIN(F333,J333,N333,R333,V333,Z333)&lt;&gt;0,MIN(F333,J333,N333,R333,V333,Z333),"")</f>
        <v>76</v>
      </c>
      <c r="AE333" s="80">
        <f>IF(MIN(H333,L333,P333,T333,X333,AB333)&lt;&gt;0,MIN(H333,L333,P333,T333,X333,AB333),"")</f>
        <v>93</v>
      </c>
      <c r="AF333" s="177"/>
      <c r="AG333" s="176"/>
      <c r="AH333" s="177"/>
      <c r="AI333" s="176"/>
      <c r="AJ333" s="82" t="str">
        <f>IF(AD333="","",IF(ISBLANK(AF333),"En cours",AD333+AF333))</f>
        <v>En cours</v>
      </c>
      <c r="AK333" s="178" t="str">
        <f>IF(AE333="","",IF(ISBLANK(AH333),"En cours",AE333+AH333))</f>
        <v>En cours</v>
      </c>
    </row>
    <row r="334" spans="2:37" ht="21" x14ac:dyDescent="0.35">
      <c r="B334" s="176" t="s">
        <v>271</v>
      </c>
      <c r="C334" s="176" t="s">
        <v>102</v>
      </c>
      <c r="D334" s="176">
        <v>17.600000000000001</v>
      </c>
      <c r="E334" s="176" t="s">
        <v>123</v>
      </c>
      <c r="F334" s="176"/>
      <c r="G334" s="176"/>
      <c r="H334" s="176"/>
      <c r="I334" s="78"/>
      <c r="J334" s="176"/>
      <c r="K334" s="176"/>
      <c r="L334" s="176"/>
      <c r="M334" s="78"/>
      <c r="N334" s="176"/>
      <c r="O334" s="176"/>
      <c r="P334" s="176"/>
      <c r="Q334" s="78"/>
      <c r="R334" s="176">
        <v>78</v>
      </c>
      <c r="S334" s="176">
        <v>24</v>
      </c>
      <c r="T334" s="176">
        <v>95</v>
      </c>
      <c r="U334" s="78">
        <v>30</v>
      </c>
      <c r="V334" s="176"/>
      <c r="W334" s="176"/>
      <c r="X334" s="176"/>
      <c r="Y334" s="78"/>
      <c r="Z334" s="176"/>
      <c r="AA334" s="176"/>
      <c r="AB334" s="176"/>
      <c r="AC334" s="176"/>
      <c r="AD334" s="79">
        <f>IF(MIN(F334,J334,N334,R334,V334,Z334)&lt;&gt;0,MIN(F334,J334,N334,R334,V334,Z334),"")</f>
        <v>78</v>
      </c>
      <c r="AE334" s="80">
        <f>IF(MIN(H334,L334,P334,T334,X334,AB334)&lt;&gt;0,MIN(H334,L334,P334,T334,X334,AB334),"")</f>
        <v>95</v>
      </c>
      <c r="AF334" s="177"/>
      <c r="AG334" s="176"/>
      <c r="AH334" s="177"/>
      <c r="AI334" s="176"/>
      <c r="AJ334" s="82" t="str">
        <f>IF(AD334="","",IF(ISBLANK(AF334),"En cours",AD334+AF334))</f>
        <v>En cours</v>
      </c>
      <c r="AK334" s="178" t="str">
        <f>IF(AE334="","",IF(ISBLANK(AH334),"En cours",AE334+AH334))</f>
        <v>En cours</v>
      </c>
    </row>
    <row r="335" spans="2:37" ht="21" x14ac:dyDescent="0.35">
      <c r="B335" s="176" t="s">
        <v>267</v>
      </c>
      <c r="C335" s="176" t="s">
        <v>102</v>
      </c>
      <c r="D335" s="176">
        <v>15.2</v>
      </c>
      <c r="E335" s="176" t="s">
        <v>123</v>
      </c>
      <c r="F335" s="176"/>
      <c r="G335" s="176"/>
      <c r="H335" s="176"/>
      <c r="I335" s="78"/>
      <c r="J335" s="176"/>
      <c r="K335" s="176"/>
      <c r="L335" s="176"/>
      <c r="M335" s="78"/>
      <c r="N335" s="176"/>
      <c r="O335" s="176"/>
      <c r="P335" s="176"/>
      <c r="Q335" s="78"/>
      <c r="R335" s="176">
        <v>79</v>
      </c>
      <c r="S335" s="176">
        <v>27</v>
      </c>
      <c r="T335" s="176">
        <v>93</v>
      </c>
      <c r="U335" s="78">
        <v>25</v>
      </c>
      <c r="V335" s="176"/>
      <c r="W335" s="176"/>
      <c r="X335" s="176"/>
      <c r="Y335" s="78"/>
      <c r="Z335" s="176"/>
      <c r="AA335" s="176"/>
      <c r="AB335" s="176"/>
      <c r="AC335" s="176"/>
      <c r="AD335" s="79">
        <f>IF(MIN(F335,J335,N335,R335,V335,Z335)&lt;&gt;0,MIN(F335,J335,N335,R335,V335,Z335),"")</f>
        <v>79</v>
      </c>
      <c r="AE335" s="80">
        <f>IF(MIN(H335,L335,P335,T335,X335,AB335)&lt;&gt;0,MIN(H335,L335,P335,T335,X335,AB335),"")</f>
        <v>93</v>
      </c>
      <c r="AF335" s="177"/>
      <c r="AG335" s="176"/>
      <c r="AH335" s="177"/>
      <c r="AI335" s="176"/>
      <c r="AJ335" s="82" t="str">
        <f>IF(AD335="","",IF(ISBLANK(AF335),"En cours",AD335+AF335))</f>
        <v>En cours</v>
      </c>
      <c r="AK335" s="178" t="str">
        <f>IF(AE335="","",IF(ISBLANK(AH335),"En cours",AE335+AH335))</f>
        <v>En cours</v>
      </c>
    </row>
    <row r="336" spans="2:37" ht="21" x14ac:dyDescent="0.35">
      <c r="B336" s="176" t="s">
        <v>268</v>
      </c>
      <c r="C336" s="176" t="s">
        <v>238</v>
      </c>
      <c r="D336" s="176">
        <v>13.7</v>
      </c>
      <c r="E336" s="176" t="s">
        <v>123</v>
      </c>
      <c r="F336" s="176"/>
      <c r="G336" s="176"/>
      <c r="H336" s="176"/>
      <c r="I336" s="78"/>
      <c r="J336" s="176"/>
      <c r="K336" s="176"/>
      <c r="L336" s="176"/>
      <c r="M336" s="78"/>
      <c r="N336" s="176"/>
      <c r="O336" s="176"/>
      <c r="P336" s="176"/>
      <c r="Q336" s="78"/>
      <c r="R336" s="176">
        <v>80</v>
      </c>
      <c r="S336" s="176">
        <v>29</v>
      </c>
      <c r="T336" s="176">
        <v>93</v>
      </c>
      <c r="U336" s="78">
        <v>26</v>
      </c>
      <c r="V336" s="176"/>
      <c r="W336" s="176"/>
      <c r="X336" s="176"/>
      <c r="Y336" s="78"/>
      <c r="Z336" s="176"/>
      <c r="AA336" s="176"/>
      <c r="AB336" s="176"/>
      <c r="AC336" s="176"/>
      <c r="AD336" s="79">
        <f>IF(MIN(F336,J336,N336,R336,V336,Z336)&lt;&gt;0,MIN(F336,J336,N336,R336,V336,Z336),"")</f>
        <v>80</v>
      </c>
      <c r="AE336" s="80">
        <f>IF(MIN(H336,L336,P336,T336,X336,AB336)&lt;&gt;0,MIN(H336,L336,P336,T336,X336,AB336),"")</f>
        <v>93</v>
      </c>
      <c r="AF336" s="177"/>
      <c r="AG336" s="176"/>
      <c r="AH336" s="177"/>
      <c r="AI336" s="176"/>
      <c r="AJ336" s="82" t="str">
        <f>IF(AD336="","",IF(ISBLANK(AF336),"En cours",AD336+AF336))</f>
        <v>En cours</v>
      </c>
      <c r="AK336" s="178" t="str">
        <f>IF(AE336="","",IF(ISBLANK(AH336),"En cours",AE336+AH336))</f>
        <v>En cours</v>
      </c>
    </row>
    <row r="337" spans="2:37" ht="21" x14ac:dyDescent="0.35">
      <c r="B337" s="176" t="s">
        <v>272</v>
      </c>
      <c r="C337" s="176" t="s">
        <v>273</v>
      </c>
      <c r="D337" s="176">
        <v>24.5</v>
      </c>
      <c r="E337" s="176" t="s">
        <v>161</v>
      </c>
      <c r="F337" s="176"/>
      <c r="G337" s="176"/>
      <c r="H337" s="176"/>
      <c r="I337" s="78"/>
      <c r="J337" s="176"/>
      <c r="K337" s="176"/>
      <c r="L337" s="176"/>
      <c r="M337" s="78"/>
      <c r="N337" s="176"/>
      <c r="O337" s="176"/>
      <c r="P337" s="176"/>
      <c r="Q337" s="78"/>
      <c r="R337" s="176">
        <v>64</v>
      </c>
      <c r="S337" s="176">
        <v>1</v>
      </c>
      <c r="T337" s="176">
        <v>85</v>
      </c>
      <c r="U337" s="78">
        <v>1</v>
      </c>
      <c r="V337" s="176"/>
      <c r="W337" s="176"/>
      <c r="X337" s="176"/>
      <c r="Y337" s="78"/>
      <c r="Z337" s="176"/>
      <c r="AA337" s="176"/>
      <c r="AB337" s="176"/>
      <c r="AC337" s="176"/>
      <c r="AD337" s="79">
        <f>IF(MIN(F337,J337,N337,R337,V337,Z337)&lt;&gt;0,MIN(F337,J337,N337,R337,V337,Z337),"")</f>
        <v>64</v>
      </c>
      <c r="AE337" s="80">
        <f>IF(MIN(H337,L337,P337,T337,X337,AB337)&lt;&gt;0,MIN(H337,L337,P337,T337,X337,AB337),"")</f>
        <v>85</v>
      </c>
      <c r="AF337" s="177"/>
      <c r="AG337" s="176"/>
      <c r="AH337" s="177"/>
      <c r="AI337" s="176"/>
      <c r="AJ337" s="82" t="str">
        <f>IF(AD337="","",IF(ISBLANK(AF337),"En cours",AD337+AF337))</f>
        <v>En cours</v>
      </c>
      <c r="AK337" s="178" t="str">
        <f>IF(AE337="","",IF(ISBLANK(AH337),"En cours",AE337+AH337))</f>
        <v>En cours</v>
      </c>
    </row>
    <row r="338" spans="2:37" ht="21" x14ac:dyDescent="0.35">
      <c r="B338" s="176" t="s">
        <v>279</v>
      </c>
      <c r="C338" s="176" t="s">
        <v>273</v>
      </c>
      <c r="D338" s="176">
        <v>30.7</v>
      </c>
      <c r="E338" s="176" t="s">
        <v>166</v>
      </c>
      <c r="F338" s="176"/>
      <c r="G338" s="176"/>
      <c r="H338" s="176"/>
      <c r="I338" s="78"/>
      <c r="J338" s="176"/>
      <c r="K338" s="176"/>
      <c r="L338" s="176"/>
      <c r="M338" s="78"/>
      <c r="N338" s="176"/>
      <c r="O338" s="176"/>
      <c r="P338" s="176"/>
      <c r="Q338" s="78"/>
      <c r="R338" s="176">
        <v>74</v>
      </c>
      <c r="S338" s="176">
        <v>10</v>
      </c>
      <c r="T338" s="176">
        <v>98</v>
      </c>
      <c r="U338" s="78">
        <v>21</v>
      </c>
      <c r="V338" s="176">
        <v>80</v>
      </c>
      <c r="W338" s="176">
        <v>18</v>
      </c>
      <c r="X338" s="176">
        <v>104</v>
      </c>
      <c r="Y338" s="78">
        <v>20</v>
      </c>
      <c r="Z338" s="176"/>
      <c r="AA338" s="176"/>
      <c r="AB338" s="176"/>
      <c r="AC338" s="176"/>
      <c r="AD338" s="79">
        <f>IF(MIN(F338,J338,N338,R338,V338,Z338)&lt;&gt;0,MIN(F338,J338,N338,R338,V338,Z338),"")</f>
        <v>74</v>
      </c>
      <c r="AE338" s="80">
        <f>IF(MIN(H338,L338,P338,T338,X338,AB338)&lt;&gt;0,MIN(H338,L338,P338,T338,X338,AB338),"")</f>
        <v>98</v>
      </c>
      <c r="AF338" s="177"/>
      <c r="AG338" s="176"/>
      <c r="AH338" s="177"/>
      <c r="AI338" s="176"/>
      <c r="AJ338" s="82" t="str">
        <f>IF(AD338="","",IF(ISBLANK(AF338),"En cours",AD338+AF338))</f>
        <v>En cours</v>
      </c>
      <c r="AK338" s="178" t="str">
        <f>IF(AE338="","",IF(ISBLANK(AH338),"En cours",AE338+AH338))</f>
        <v>En cours</v>
      </c>
    </row>
    <row r="339" spans="2:37" ht="21" x14ac:dyDescent="0.35">
      <c r="B339" s="176" t="s">
        <v>281</v>
      </c>
      <c r="C339" s="176" t="s">
        <v>102</v>
      </c>
      <c r="D339" s="176">
        <v>25.6</v>
      </c>
      <c r="E339" s="176" t="s">
        <v>161</v>
      </c>
      <c r="F339" s="176"/>
      <c r="G339" s="176"/>
      <c r="H339" s="176"/>
      <c r="I339" s="78"/>
      <c r="J339" s="176"/>
      <c r="K339" s="176"/>
      <c r="L339" s="176"/>
      <c r="M339" s="78"/>
      <c r="N339" s="176"/>
      <c r="O339" s="176"/>
      <c r="P339" s="176"/>
      <c r="Q339" s="78"/>
      <c r="R339" s="176">
        <v>76</v>
      </c>
      <c r="S339" s="176">
        <v>17</v>
      </c>
      <c r="T339" s="176">
        <v>98</v>
      </c>
      <c r="U339" s="78">
        <v>23</v>
      </c>
      <c r="V339" s="176">
        <v>63</v>
      </c>
      <c r="W339" s="176">
        <v>1</v>
      </c>
      <c r="X339" s="176">
        <v>85</v>
      </c>
      <c r="Y339" s="78">
        <v>1</v>
      </c>
      <c r="Z339" s="176"/>
      <c r="AA339" s="176"/>
      <c r="AB339" s="176"/>
      <c r="AC339" s="176"/>
      <c r="AD339" s="79">
        <f>IF(MIN(F339,J339,N339,R339,V339,Z339)&lt;&gt;0,MIN(F339,J339,N339,R339,V339,Z339),"")</f>
        <v>63</v>
      </c>
      <c r="AE339" s="80">
        <f>IF(MIN(H339,L339,P339,T339,X339,AB339)&lt;&gt;0,MIN(H339,L339,P339,T339,X339,AB339),"")</f>
        <v>85</v>
      </c>
      <c r="AF339" s="177"/>
      <c r="AG339" s="176"/>
      <c r="AH339" s="177"/>
      <c r="AI339" s="176"/>
      <c r="AJ339" s="82" t="str">
        <f>IF(AD339="","",IF(ISBLANK(AF339),"En cours",AD339+AF339))</f>
        <v>En cours</v>
      </c>
      <c r="AK339" s="178" t="str">
        <f>IF(AE339="","",IF(ISBLANK(AH339),"En cours",AE339+AH339))</f>
        <v>En cours</v>
      </c>
    </row>
    <row r="340" spans="2:37" ht="21" x14ac:dyDescent="0.35">
      <c r="B340" s="176" t="s">
        <v>277</v>
      </c>
      <c r="C340" s="176" t="s">
        <v>102</v>
      </c>
      <c r="D340" s="176">
        <v>20.3</v>
      </c>
      <c r="E340" s="176" t="s">
        <v>161</v>
      </c>
      <c r="F340" s="176"/>
      <c r="G340" s="176"/>
      <c r="H340" s="176"/>
      <c r="I340" s="78"/>
      <c r="J340" s="176"/>
      <c r="K340" s="176"/>
      <c r="L340" s="176"/>
      <c r="M340" s="78"/>
      <c r="N340" s="176"/>
      <c r="O340" s="176"/>
      <c r="P340" s="176"/>
      <c r="Q340" s="78"/>
      <c r="R340" s="176">
        <v>77</v>
      </c>
      <c r="S340" s="176">
        <v>20</v>
      </c>
      <c r="T340" s="176">
        <v>94</v>
      </c>
      <c r="U340" s="78">
        <v>16</v>
      </c>
      <c r="V340" s="176"/>
      <c r="W340" s="176"/>
      <c r="X340" s="176"/>
      <c r="Y340" s="78"/>
      <c r="Z340" s="176"/>
      <c r="AA340" s="176"/>
      <c r="AB340" s="176"/>
      <c r="AC340" s="176"/>
      <c r="AD340" s="79">
        <f>IF(MIN(F340,J340,N340,R340,V340,Z340)&lt;&gt;0,MIN(F340,J340,N340,R340,V340,Z340),"")</f>
        <v>77</v>
      </c>
      <c r="AE340" s="80">
        <f>IF(MIN(H340,L340,P340,T340,X340,AB340)&lt;&gt;0,MIN(H340,L340,P340,T340,X340,AB340),"")</f>
        <v>94</v>
      </c>
      <c r="AF340" s="177"/>
      <c r="AG340" s="176"/>
      <c r="AH340" s="177"/>
      <c r="AI340" s="176"/>
      <c r="AJ340" s="82" t="str">
        <f>IF(AD340="","",IF(ISBLANK(AF340),"En cours",AD340+AF340))</f>
        <v>En cours</v>
      </c>
      <c r="AK340" s="178" t="str">
        <f>IF(AE340="","",IF(ISBLANK(AH340),"En cours",AE340+AH340))</f>
        <v>En cours</v>
      </c>
    </row>
    <row r="341" spans="2:37" ht="21" x14ac:dyDescent="0.35">
      <c r="B341" s="176" t="s">
        <v>280</v>
      </c>
      <c r="C341" s="176" t="s">
        <v>102</v>
      </c>
      <c r="D341" s="176">
        <v>23.7</v>
      </c>
      <c r="E341" s="176" t="s">
        <v>161</v>
      </c>
      <c r="F341" s="176"/>
      <c r="G341" s="176"/>
      <c r="H341" s="176"/>
      <c r="I341" s="78"/>
      <c r="J341" s="176"/>
      <c r="K341" s="176"/>
      <c r="L341" s="176"/>
      <c r="M341" s="78"/>
      <c r="N341" s="176"/>
      <c r="O341" s="176"/>
      <c r="P341" s="176"/>
      <c r="Q341" s="78"/>
      <c r="R341" s="176">
        <v>78</v>
      </c>
      <c r="S341" s="176">
        <v>22</v>
      </c>
      <c r="T341" s="176">
        <v>98</v>
      </c>
      <c r="U341" s="78">
        <v>22</v>
      </c>
      <c r="V341" s="176"/>
      <c r="W341" s="176"/>
      <c r="X341" s="176"/>
      <c r="Y341" s="78"/>
      <c r="Z341" s="176">
        <v>75</v>
      </c>
      <c r="AA341" s="176">
        <v>8</v>
      </c>
      <c r="AB341" s="176">
        <v>95</v>
      </c>
      <c r="AC341" s="176">
        <v>13</v>
      </c>
      <c r="AD341" s="79">
        <f>IF(MIN(F341,J341,N341,R341,V341,Z341)&lt;&gt;0,MIN(F341,J341,N341,R341,V341,Z341),"")</f>
        <v>75</v>
      </c>
      <c r="AE341" s="80">
        <f>IF(MIN(H341,L341,P341,T341,X341,AB341)&lt;&gt;0,MIN(H341,L341,P341,T341,X341,AB341),"")</f>
        <v>95</v>
      </c>
      <c r="AF341" s="177"/>
      <c r="AG341" s="176"/>
      <c r="AH341" s="177"/>
      <c r="AI341" s="176"/>
      <c r="AJ341" s="82" t="str">
        <f>IF(AD341="","",IF(ISBLANK(AF341),"En cours",AD341+AF341))</f>
        <v>En cours</v>
      </c>
      <c r="AK341" s="178" t="str">
        <f>IF(AE341="","",IF(ISBLANK(AH341),"En cours",AE341+AH341))</f>
        <v>En cours</v>
      </c>
    </row>
    <row r="342" spans="2:37" ht="21" x14ac:dyDescent="0.35">
      <c r="B342" s="176" t="s">
        <v>278</v>
      </c>
      <c r="C342" s="176" t="s">
        <v>102</v>
      </c>
      <c r="D342" s="176">
        <v>22</v>
      </c>
      <c r="E342" s="176" t="s">
        <v>161</v>
      </c>
      <c r="F342" s="176"/>
      <c r="G342" s="176"/>
      <c r="H342" s="176"/>
      <c r="I342" s="78"/>
      <c r="J342" s="176"/>
      <c r="K342" s="176"/>
      <c r="L342" s="176"/>
      <c r="M342" s="78"/>
      <c r="N342" s="176"/>
      <c r="O342" s="176"/>
      <c r="P342" s="176"/>
      <c r="Q342" s="78"/>
      <c r="R342" s="176">
        <v>79</v>
      </c>
      <c r="S342" s="176">
        <v>24</v>
      </c>
      <c r="T342" s="176">
        <v>97</v>
      </c>
      <c r="U342" s="78">
        <v>20</v>
      </c>
      <c r="V342" s="176"/>
      <c r="W342" s="176"/>
      <c r="X342" s="176"/>
      <c r="Y342" s="78"/>
      <c r="Z342" s="176">
        <v>83</v>
      </c>
      <c r="AA342" s="176">
        <v>22</v>
      </c>
      <c r="AB342" s="176">
        <v>101</v>
      </c>
      <c r="AC342" s="176">
        <v>21</v>
      </c>
      <c r="AD342" s="79">
        <f>IF(MIN(F342,J342,N342,R342,V342,Z342)&lt;&gt;0,MIN(F342,J342,N342,R342,V342,Z342),"")</f>
        <v>79</v>
      </c>
      <c r="AE342" s="80">
        <f>IF(MIN(H342,L342,P342,T342,X342,AB342)&lt;&gt;0,MIN(H342,L342,P342,T342,X342,AB342),"")</f>
        <v>97</v>
      </c>
      <c r="AF342" s="177"/>
      <c r="AG342" s="176"/>
      <c r="AH342" s="177"/>
      <c r="AI342" s="176"/>
      <c r="AJ342" s="82" t="str">
        <f>IF(AD342="","",IF(ISBLANK(AF342),"En cours",AD342+AF342))</f>
        <v>En cours</v>
      </c>
      <c r="AK342" s="178" t="str">
        <f>IF(AE342="","",IF(ISBLANK(AH342),"En cours",AE342+AH342))</f>
        <v>En cours</v>
      </c>
    </row>
    <row r="343" spans="2:37" ht="21" x14ac:dyDescent="0.35">
      <c r="B343" s="176" t="s">
        <v>282</v>
      </c>
      <c r="C343" s="176" t="s">
        <v>102</v>
      </c>
      <c r="D343" s="176">
        <v>23.1</v>
      </c>
      <c r="E343" s="176" t="s">
        <v>161</v>
      </c>
      <c r="F343" s="176"/>
      <c r="G343" s="176"/>
      <c r="H343" s="176"/>
      <c r="I343" s="78"/>
      <c r="J343" s="176"/>
      <c r="K343" s="176"/>
      <c r="L343" s="176"/>
      <c r="M343" s="78"/>
      <c r="N343" s="176"/>
      <c r="O343" s="176"/>
      <c r="P343" s="176"/>
      <c r="Q343" s="78"/>
      <c r="R343" s="176">
        <v>80</v>
      </c>
      <c r="S343" s="176">
        <v>25</v>
      </c>
      <c r="T343" s="176">
        <v>100</v>
      </c>
      <c r="U343" s="78">
        <v>25</v>
      </c>
      <c r="V343" s="176"/>
      <c r="W343" s="176"/>
      <c r="X343" s="176"/>
      <c r="Y343" s="78"/>
      <c r="Z343" s="176"/>
      <c r="AA343" s="176"/>
      <c r="AB343" s="176"/>
      <c r="AC343" s="176"/>
      <c r="AD343" s="79">
        <f>IF(MIN(F343,J343,N343,R343,V343,Z343)&lt;&gt;0,MIN(F343,J343,N343,R343,V343,Z343),"")</f>
        <v>80</v>
      </c>
      <c r="AE343" s="80">
        <f>IF(MIN(H343,L343,P343,T343,X343,AB343)&lt;&gt;0,MIN(H343,L343,P343,T343,X343,AB343),"")</f>
        <v>100</v>
      </c>
      <c r="AF343" s="177"/>
      <c r="AG343" s="176"/>
      <c r="AH343" s="177"/>
      <c r="AI343" s="176"/>
      <c r="AJ343" s="82" t="str">
        <f>IF(AD343="","",IF(ISBLANK(AF343),"En cours",AD343+AF343))</f>
        <v>En cours</v>
      </c>
      <c r="AK343" s="178" t="str">
        <f>IF(AE343="","",IF(ISBLANK(AH343),"En cours",AE343+AH343))</f>
        <v>En cours</v>
      </c>
    </row>
    <row r="344" spans="2:37" ht="21" x14ac:dyDescent="0.35">
      <c r="B344" s="176" t="s">
        <v>284</v>
      </c>
      <c r="C344" s="176" t="s">
        <v>102</v>
      </c>
      <c r="D344" s="176">
        <v>23.2</v>
      </c>
      <c r="E344" s="176" t="s">
        <v>161</v>
      </c>
      <c r="F344" s="176"/>
      <c r="G344" s="176"/>
      <c r="H344" s="176"/>
      <c r="I344" s="78"/>
      <c r="J344" s="176"/>
      <c r="K344" s="176"/>
      <c r="L344" s="176"/>
      <c r="M344" s="78"/>
      <c r="N344" s="176"/>
      <c r="O344" s="176"/>
      <c r="P344" s="176"/>
      <c r="Q344" s="78"/>
      <c r="R344" s="176">
        <v>81</v>
      </c>
      <c r="S344" s="176">
        <v>27</v>
      </c>
      <c r="T344" s="176">
        <v>101</v>
      </c>
      <c r="U344" s="78">
        <v>27</v>
      </c>
      <c r="V344" s="176">
        <v>74</v>
      </c>
      <c r="W344" s="176">
        <v>10</v>
      </c>
      <c r="X344" s="176">
        <v>94</v>
      </c>
      <c r="Y344" s="78">
        <v>11</v>
      </c>
      <c r="Z344" s="176"/>
      <c r="AA344" s="176"/>
      <c r="AB344" s="176"/>
      <c r="AC344" s="176"/>
      <c r="AD344" s="79">
        <f>IF(MIN(F344,J344,N344,R344,V344,Z344)&lt;&gt;0,MIN(F344,J344,N344,R344,V344,Z344),"")</f>
        <v>74</v>
      </c>
      <c r="AE344" s="80">
        <f>IF(MIN(H344,L344,P344,T344,X344,AB344)&lt;&gt;0,MIN(H344,L344,P344,T344,X344,AB344),"")</f>
        <v>94</v>
      </c>
      <c r="AF344" s="177"/>
      <c r="AG344" s="176"/>
      <c r="AH344" s="177"/>
      <c r="AI344" s="176"/>
      <c r="AJ344" s="82" t="str">
        <f>IF(AD344="","",IF(ISBLANK(AF344),"En cours",AD344+AF344))</f>
        <v>En cours</v>
      </c>
      <c r="AK344" s="178" t="str">
        <f>IF(AE344="","",IF(ISBLANK(AH344),"En cours",AE344+AH344))</f>
        <v>En cours</v>
      </c>
    </row>
    <row r="345" spans="2:37" ht="21" x14ac:dyDescent="0.35">
      <c r="B345" s="176" t="s">
        <v>285</v>
      </c>
      <c r="C345" s="176" t="s">
        <v>102</v>
      </c>
      <c r="D345" s="176">
        <v>25.8</v>
      </c>
      <c r="E345" s="176" t="s">
        <v>161</v>
      </c>
      <c r="F345" s="176"/>
      <c r="G345" s="176"/>
      <c r="H345" s="176"/>
      <c r="I345" s="78"/>
      <c r="J345" s="176"/>
      <c r="K345" s="176"/>
      <c r="L345" s="176"/>
      <c r="M345" s="78"/>
      <c r="N345" s="176"/>
      <c r="O345" s="176"/>
      <c r="P345" s="176"/>
      <c r="Q345" s="78"/>
      <c r="R345" s="176">
        <v>82</v>
      </c>
      <c r="S345" s="176">
        <v>28</v>
      </c>
      <c r="T345" s="176">
        <v>104</v>
      </c>
      <c r="U345" s="78">
        <v>29</v>
      </c>
      <c r="V345" s="176"/>
      <c r="W345" s="176"/>
      <c r="X345" s="176"/>
      <c r="Y345" s="78"/>
      <c r="Z345" s="176"/>
      <c r="AA345" s="176"/>
      <c r="AB345" s="176"/>
      <c r="AC345" s="176"/>
      <c r="AD345" s="79">
        <f>IF(MIN(F345,J345,N345,R345,V345,Z345)&lt;&gt;0,MIN(F345,J345,N345,R345,V345,Z345),"")</f>
        <v>82</v>
      </c>
      <c r="AE345" s="80">
        <f>IF(MIN(H345,L345,P345,T345,X345,AB345)&lt;&gt;0,MIN(H345,L345,P345,T345,X345,AB345),"")</f>
        <v>104</v>
      </c>
      <c r="AF345" s="177"/>
      <c r="AG345" s="176"/>
      <c r="AH345" s="177"/>
      <c r="AI345" s="176"/>
      <c r="AJ345" s="82" t="str">
        <f>IF(AD345="","",IF(ISBLANK(AF345),"En cours",AD345+AF345))</f>
        <v>En cours</v>
      </c>
      <c r="AK345" s="178" t="str">
        <f>IF(AE345="","",IF(ISBLANK(AH345),"En cours",AE345+AH345))</f>
        <v>En cours</v>
      </c>
    </row>
    <row r="346" spans="2:37" ht="21" x14ac:dyDescent="0.35">
      <c r="B346" s="176" t="s">
        <v>292</v>
      </c>
      <c r="C346" s="176" t="s">
        <v>102</v>
      </c>
      <c r="D346" s="176">
        <v>1.2</v>
      </c>
      <c r="E346" s="176" t="s">
        <v>103</v>
      </c>
      <c r="F346" s="176"/>
      <c r="G346" s="176"/>
      <c r="H346" s="176"/>
      <c r="I346" s="78"/>
      <c r="J346" s="176"/>
      <c r="K346" s="176"/>
      <c r="L346" s="176"/>
      <c r="M346" s="78"/>
      <c r="N346" s="176"/>
      <c r="O346" s="176"/>
      <c r="P346" s="176"/>
      <c r="Q346" s="78"/>
      <c r="R346" s="176"/>
      <c r="S346" s="176"/>
      <c r="T346" s="176"/>
      <c r="U346" s="78"/>
      <c r="V346" s="176">
        <v>83</v>
      </c>
      <c r="W346" s="176">
        <v>10</v>
      </c>
      <c r="X346" s="176">
        <v>85</v>
      </c>
      <c r="Y346" s="78">
        <v>5</v>
      </c>
      <c r="Z346" s="176"/>
      <c r="AA346" s="176"/>
      <c r="AB346" s="176"/>
      <c r="AC346" s="176"/>
      <c r="AD346" s="79">
        <f>IF(MIN(F346,J346,N346,R346,V346,Z346)&lt;&gt;0,MIN(F346,J346,N346,R346,V346,Z346),"")</f>
        <v>83</v>
      </c>
      <c r="AE346" s="80">
        <f>IF(MIN(H346,L346,P346,T346,X346,AB346)&lt;&gt;0,MIN(H346,L346,P346,T346,X346,AB346),"")</f>
        <v>85</v>
      </c>
      <c r="AF346" s="177"/>
      <c r="AG346" s="176"/>
      <c r="AH346" s="177"/>
      <c r="AI346" s="176"/>
      <c r="AJ346" s="82" t="str">
        <f>IF(AD346="","",IF(ISBLANK(AF346),"En cours",AD346+AF346))</f>
        <v>En cours</v>
      </c>
      <c r="AK346" s="178" t="str">
        <f>IF(AE346="","",IF(ISBLANK(AH346),"En cours",AE346+AH346))</f>
        <v>En cours</v>
      </c>
    </row>
    <row r="347" spans="2:37" ht="21" x14ac:dyDescent="0.35">
      <c r="B347" s="176" t="s">
        <v>294</v>
      </c>
      <c r="C347" s="176" t="s">
        <v>102</v>
      </c>
      <c r="D347" s="176">
        <v>16.600000000000001</v>
      </c>
      <c r="E347" s="176" t="s">
        <v>123</v>
      </c>
      <c r="F347" s="176"/>
      <c r="G347" s="176"/>
      <c r="H347" s="176"/>
      <c r="I347" s="78"/>
      <c r="J347" s="176"/>
      <c r="K347" s="176"/>
      <c r="L347" s="176"/>
      <c r="M347" s="78"/>
      <c r="N347" s="176"/>
      <c r="O347" s="176"/>
      <c r="P347" s="176"/>
      <c r="Q347" s="78"/>
      <c r="R347" s="176"/>
      <c r="S347" s="176"/>
      <c r="T347" s="176"/>
      <c r="U347" s="78"/>
      <c r="V347" s="176">
        <v>69</v>
      </c>
      <c r="W347" s="176">
        <v>3</v>
      </c>
      <c r="X347" s="176">
        <v>85</v>
      </c>
      <c r="Y347" s="78">
        <v>4</v>
      </c>
      <c r="Z347" s="176"/>
      <c r="AA347" s="176"/>
      <c r="AB347" s="176"/>
      <c r="AC347" s="176"/>
      <c r="AD347" s="79">
        <f>IF(MIN(F347,J347,N347,R347,V347,Z347)&lt;&gt;0,MIN(F347,J347,N347,R347,V347,Z347),"")</f>
        <v>69</v>
      </c>
      <c r="AE347" s="80">
        <f>IF(MIN(H347,L347,P347,T347,X347,AB347)&lt;&gt;0,MIN(H347,L347,P347,T347,X347,AB347),"")</f>
        <v>85</v>
      </c>
      <c r="AF347" s="177"/>
      <c r="AG347" s="176"/>
      <c r="AH347" s="177"/>
      <c r="AI347" s="176"/>
      <c r="AJ347" s="82" t="str">
        <f>IF(AD347="","",IF(ISBLANK(AF347),"En cours",AD347+AF347))</f>
        <v>En cours</v>
      </c>
      <c r="AK347" s="178" t="str">
        <f>IF(AE347="","",IF(ISBLANK(AH347),"En cours",AE347+AH347))</f>
        <v>En cours</v>
      </c>
    </row>
    <row r="348" spans="2:37" ht="21" x14ac:dyDescent="0.35">
      <c r="B348" s="176" t="s">
        <v>295</v>
      </c>
      <c r="C348" s="176" t="s">
        <v>102</v>
      </c>
      <c r="D348" s="176">
        <v>14</v>
      </c>
      <c r="E348" s="176" t="s">
        <v>123</v>
      </c>
      <c r="F348" s="176"/>
      <c r="G348" s="176"/>
      <c r="H348" s="176"/>
      <c r="I348" s="78"/>
      <c r="J348" s="176"/>
      <c r="K348" s="176"/>
      <c r="L348" s="176"/>
      <c r="M348" s="78"/>
      <c r="N348" s="176"/>
      <c r="O348" s="176"/>
      <c r="P348" s="176"/>
      <c r="Q348" s="78"/>
      <c r="R348" s="176"/>
      <c r="S348" s="176"/>
      <c r="T348" s="176"/>
      <c r="U348" s="78"/>
      <c r="V348" s="176">
        <v>84</v>
      </c>
      <c r="W348" s="176">
        <v>29</v>
      </c>
      <c r="X348" s="176">
        <v>97</v>
      </c>
      <c r="Y348" s="78">
        <v>29</v>
      </c>
      <c r="Z348" s="176">
        <v>74</v>
      </c>
      <c r="AA348" s="176">
        <v>11</v>
      </c>
      <c r="AB348" s="176">
        <v>87</v>
      </c>
      <c r="AC348" s="176">
        <v>10</v>
      </c>
      <c r="AD348" s="79">
        <f>IF(MIN(F348,J348,N348,R348,V348,Z348)&lt;&gt;0,MIN(F348,J348,N348,R348,V348,Z348),"")</f>
        <v>74</v>
      </c>
      <c r="AE348" s="80">
        <f>IF(MIN(H348,L348,P348,T348,X348,AB348)&lt;&gt;0,MIN(H348,L348,P348,T348,X348,AB348),"")</f>
        <v>87</v>
      </c>
      <c r="AF348" s="177"/>
      <c r="AG348" s="176"/>
      <c r="AH348" s="177"/>
      <c r="AI348" s="176"/>
      <c r="AJ348" s="82" t="str">
        <f>IF(AD348="","",IF(ISBLANK(AF348),"En cours",AD348+AF348))</f>
        <v>En cours</v>
      </c>
      <c r="AK348" s="178" t="str">
        <f>IF(AE348="","",IF(ISBLANK(AH348),"En cours",AE348+AH348))</f>
        <v>En cours</v>
      </c>
    </row>
    <row r="349" spans="2:37" ht="21" x14ac:dyDescent="0.35">
      <c r="B349" s="176" t="s">
        <v>296</v>
      </c>
      <c r="C349" s="176" t="s">
        <v>102</v>
      </c>
      <c r="D349" s="176">
        <v>32.1</v>
      </c>
      <c r="E349" s="176" t="s">
        <v>166</v>
      </c>
      <c r="F349" s="176"/>
      <c r="G349" s="176"/>
      <c r="H349" s="176"/>
      <c r="I349" s="78"/>
      <c r="J349" s="176"/>
      <c r="K349" s="176"/>
      <c r="L349" s="176"/>
      <c r="M349" s="78"/>
      <c r="N349" s="176"/>
      <c r="O349" s="176"/>
      <c r="P349" s="176"/>
      <c r="Q349" s="78"/>
      <c r="R349" s="176"/>
      <c r="S349" s="176"/>
      <c r="T349" s="176"/>
      <c r="U349" s="78"/>
      <c r="V349" s="176">
        <v>77</v>
      </c>
      <c r="W349" s="176">
        <v>14</v>
      </c>
      <c r="X349" s="176">
        <v>103</v>
      </c>
      <c r="Y349" s="78">
        <v>19</v>
      </c>
      <c r="Z349" s="176"/>
      <c r="AA349" s="176"/>
      <c r="AB349" s="176"/>
      <c r="AC349" s="176"/>
      <c r="AD349" s="79">
        <f>IF(MIN(F349,J349,N349,R349,V349,Z349)&lt;&gt;0,MIN(F349,J349,N349,R349,V349,Z349),"")</f>
        <v>77</v>
      </c>
      <c r="AE349" s="80">
        <f>IF(MIN(H349,L349,P349,T349,X349,AB349)&lt;&gt;0,MIN(H349,L349,P349,T349,X349,AB349),"")</f>
        <v>103</v>
      </c>
      <c r="AF349" s="177"/>
      <c r="AG349" s="176"/>
      <c r="AH349" s="177"/>
      <c r="AI349" s="176"/>
      <c r="AJ349" s="82" t="str">
        <f>IF(AD349="","",IF(ISBLANK(AF349),"En cours",AD349+AF349))</f>
        <v>En cours</v>
      </c>
      <c r="AK349" s="178" t="str">
        <f>IF(AE349="","",IF(ISBLANK(AH349),"En cours",AE349+AH349))</f>
        <v>En cours</v>
      </c>
    </row>
    <row r="350" spans="2:37" ht="21" x14ac:dyDescent="0.35">
      <c r="B350" s="176" t="s">
        <v>303</v>
      </c>
      <c r="C350" s="176" t="s">
        <v>102</v>
      </c>
      <c r="D350" s="176">
        <v>12.6</v>
      </c>
      <c r="E350" s="176" t="s">
        <v>123</v>
      </c>
      <c r="F350" s="176"/>
      <c r="G350" s="176"/>
      <c r="H350" s="176"/>
      <c r="I350" s="78"/>
      <c r="J350" s="176"/>
      <c r="K350" s="176"/>
      <c r="L350" s="176"/>
      <c r="M350" s="78"/>
      <c r="N350" s="176"/>
      <c r="O350" s="176"/>
      <c r="P350" s="176"/>
      <c r="Q350" s="78"/>
      <c r="R350" s="176"/>
      <c r="S350" s="176"/>
      <c r="T350" s="176"/>
      <c r="U350" s="78"/>
      <c r="V350" s="176"/>
      <c r="W350" s="176"/>
      <c r="X350" s="176"/>
      <c r="Y350" s="78"/>
      <c r="Z350" s="176">
        <v>64</v>
      </c>
      <c r="AA350" s="176">
        <v>1</v>
      </c>
      <c r="AB350" s="176">
        <v>75</v>
      </c>
      <c r="AC350" s="176">
        <v>1</v>
      </c>
      <c r="AD350" s="79">
        <f>IF(MIN(F350,J350,N350,R350,V350,Z350)&lt;&gt;0,MIN(F350,J350,N350,R350,V350,Z350),"")</f>
        <v>64</v>
      </c>
      <c r="AE350" s="80">
        <f>IF(MIN(H350,L350,P350,T350,X350,AB350)&lt;&gt;0,MIN(H350,L350,P350,T350,X350,AB350),"")</f>
        <v>75</v>
      </c>
      <c r="AF350" s="177"/>
      <c r="AG350" s="176"/>
      <c r="AH350" s="177"/>
      <c r="AI350" s="176"/>
      <c r="AJ350" s="82" t="str">
        <f>IF(AD350="","",IF(ISBLANK(AF350),"En cours",AD350+AF350))</f>
        <v>En cours</v>
      </c>
      <c r="AK350" s="178" t="str">
        <f>IF(AE350="","",IF(ISBLANK(AH350),"En cours",AE350+AH350))</f>
        <v>En cours</v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7">
    <cfRule type="cellIs" dxfId="4543" priority="55537" stopIfTrue="1" operator="equal">
      <formula>"En cours"</formula>
    </cfRule>
  </conditionalFormatting>
  <conditionalFormatting sqref="AJ7">
    <cfRule type="cellIs" dxfId="4542" priority="55538" stopIfTrue="1" operator="notEqual">
      <formula>"En cours"</formula>
    </cfRule>
  </conditionalFormatting>
  <conditionalFormatting sqref="AK7">
    <cfRule type="cellIs" dxfId="4541" priority="55539" stopIfTrue="1" operator="equal">
      <formula>"En cours"</formula>
    </cfRule>
  </conditionalFormatting>
  <conditionalFormatting sqref="AK7">
    <cfRule type="cellIs" dxfId="4540" priority="55540" stopIfTrue="1" operator="notEqual">
      <formula>"En cours"</formula>
    </cfRule>
  </conditionalFormatting>
  <conditionalFormatting sqref="AJ10">
    <cfRule type="cellIs" dxfId="4539" priority="55541" stopIfTrue="1" operator="equal">
      <formula>"En cours"</formula>
    </cfRule>
  </conditionalFormatting>
  <conditionalFormatting sqref="AJ10">
    <cfRule type="cellIs" dxfId="4538" priority="55542" stopIfTrue="1" operator="notEqual">
      <formula>"En cours"</formula>
    </cfRule>
  </conditionalFormatting>
  <conditionalFormatting sqref="AK10">
    <cfRule type="cellIs" dxfId="4537" priority="55543" stopIfTrue="1" operator="equal">
      <formula>"En cours"</formula>
    </cfRule>
  </conditionalFormatting>
  <conditionalFormatting sqref="AK10">
    <cfRule type="cellIs" dxfId="4536" priority="55544" stopIfTrue="1" operator="notEqual">
      <formula>"En cours"</formula>
    </cfRule>
  </conditionalFormatting>
  <conditionalFormatting sqref="AJ8">
    <cfRule type="cellIs" dxfId="4535" priority="55545" stopIfTrue="1" operator="equal">
      <formula>"En cours"</formula>
    </cfRule>
  </conditionalFormatting>
  <conditionalFormatting sqref="AJ8">
    <cfRule type="cellIs" dxfId="4534" priority="55546" stopIfTrue="1" operator="notEqual">
      <formula>"En cours"</formula>
    </cfRule>
  </conditionalFormatting>
  <conditionalFormatting sqref="AK8">
    <cfRule type="cellIs" dxfId="4533" priority="55547" stopIfTrue="1" operator="equal">
      <formula>"En cours"</formula>
    </cfRule>
  </conditionalFormatting>
  <conditionalFormatting sqref="AK8">
    <cfRule type="cellIs" dxfId="4532" priority="55548" stopIfTrue="1" operator="notEqual">
      <formula>"En cours"</formula>
    </cfRule>
  </conditionalFormatting>
  <conditionalFormatting sqref="AJ18">
    <cfRule type="cellIs" dxfId="4495" priority="55585" stopIfTrue="1" operator="equal">
      <formula>"En cours"</formula>
    </cfRule>
  </conditionalFormatting>
  <conditionalFormatting sqref="AJ18">
    <cfRule type="cellIs" dxfId="4494" priority="55586" stopIfTrue="1" operator="notEqual">
      <formula>"En cours"</formula>
    </cfRule>
  </conditionalFormatting>
  <conditionalFormatting sqref="AK18">
    <cfRule type="cellIs" dxfId="4493" priority="55587" stopIfTrue="1" operator="equal">
      <formula>"En cours"</formula>
    </cfRule>
  </conditionalFormatting>
  <conditionalFormatting sqref="AK18">
    <cfRule type="cellIs" dxfId="4492" priority="55588" stopIfTrue="1" operator="notEqual">
      <formula>"En cours"</formula>
    </cfRule>
  </conditionalFormatting>
  <conditionalFormatting sqref="AJ14">
    <cfRule type="cellIs" dxfId="3907" priority="56173" stopIfTrue="1" operator="equal">
      <formula>"En cours"</formula>
    </cfRule>
  </conditionalFormatting>
  <conditionalFormatting sqref="AJ14">
    <cfRule type="cellIs" dxfId="3906" priority="56174" stopIfTrue="1" operator="notEqual">
      <formula>"En cours"</formula>
    </cfRule>
  </conditionalFormatting>
  <conditionalFormatting sqref="AK14">
    <cfRule type="cellIs" dxfId="3905" priority="56175" stopIfTrue="1" operator="equal">
      <formula>"En cours"</formula>
    </cfRule>
  </conditionalFormatting>
  <conditionalFormatting sqref="AK14">
    <cfRule type="cellIs" dxfId="3904" priority="56176" stopIfTrue="1" operator="notEqual">
      <formula>"En cours"</formula>
    </cfRule>
  </conditionalFormatting>
  <conditionalFormatting sqref="AJ24">
    <cfRule type="cellIs" dxfId="3899" priority="56181" stopIfTrue="1" operator="equal">
      <formula>"En cours"</formula>
    </cfRule>
  </conditionalFormatting>
  <conditionalFormatting sqref="AJ24">
    <cfRule type="cellIs" dxfId="3898" priority="56182" stopIfTrue="1" operator="notEqual">
      <formula>"En cours"</formula>
    </cfRule>
  </conditionalFormatting>
  <conditionalFormatting sqref="AK24">
    <cfRule type="cellIs" dxfId="3897" priority="56183" stopIfTrue="1" operator="equal">
      <formula>"En cours"</formula>
    </cfRule>
  </conditionalFormatting>
  <conditionalFormatting sqref="AK24">
    <cfRule type="cellIs" dxfId="3896" priority="56184" stopIfTrue="1" operator="notEqual">
      <formula>"En cours"</formula>
    </cfRule>
  </conditionalFormatting>
  <conditionalFormatting sqref="AJ98">
    <cfRule type="cellIs" dxfId="3751" priority="56329" stopIfTrue="1" operator="equal">
      <formula>"En cours"</formula>
    </cfRule>
  </conditionalFormatting>
  <conditionalFormatting sqref="AJ98">
    <cfRule type="cellIs" dxfId="3750" priority="56330" stopIfTrue="1" operator="notEqual">
      <formula>"En cours"</formula>
    </cfRule>
  </conditionalFormatting>
  <conditionalFormatting sqref="AK98">
    <cfRule type="cellIs" dxfId="3749" priority="56331" stopIfTrue="1" operator="equal">
      <formula>"En cours"</formula>
    </cfRule>
  </conditionalFormatting>
  <conditionalFormatting sqref="AK98">
    <cfRule type="cellIs" dxfId="3748" priority="56332" stopIfTrue="1" operator="notEqual">
      <formula>"En cours"</formula>
    </cfRule>
  </conditionalFormatting>
  <conditionalFormatting sqref="AJ100">
    <cfRule type="cellIs" dxfId="3743" priority="56337" stopIfTrue="1" operator="equal">
      <formula>"En cours"</formula>
    </cfRule>
  </conditionalFormatting>
  <conditionalFormatting sqref="AJ100">
    <cfRule type="cellIs" dxfId="3742" priority="56338" stopIfTrue="1" operator="notEqual">
      <formula>"En cours"</formula>
    </cfRule>
  </conditionalFormatting>
  <conditionalFormatting sqref="AK100">
    <cfRule type="cellIs" dxfId="3741" priority="56339" stopIfTrue="1" operator="equal">
      <formula>"En cours"</formula>
    </cfRule>
  </conditionalFormatting>
  <conditionalFormatting sqref="AK100">
    <cfRule type="cellIs" dxfId="3740" priority="56340" stopIfTrue="1" operator="notEqual">
      <formula>"En cours"</formula>
    </cfRule>
  </conditionalFormatting>
  <conditionalFormatting sqref="AJ103">
    <cfRule type="cellIs" dxfId="3715" priority="56365" stopIfTrue="1" operator="equal">
      <formula>"En cours"</formula>
    </cfRule>
  </conditionalFormatting>
  <conditionalFormatting sqref="AJ103">
    <cfRule type="cellIs" dxfId="3714" priority="56366" stopIfTrue="1" operator="notEqual">
      <formula>"En cours"</formula>
    </cfRule>
  </conditionalFormatting>
  <conditionalFormatting sqref="AK103">
    <cfRule type="cellIs" dxfId="3713" priority="56367" stopIfTrue="1" operator="equal">
      <formula>"En cours"</formula>
    </cfRule>
  </conditionalFormatting>
  <conditionalFormatting sqref="AK103">
    <cfRule type="cellIs" dxfId="3712" priority="56368" stopIfTrue="1" operator="notEqual">
      <formula>"En cours"</formula>
    </cfRule>
  </conditionalFormatting>
  <conditionalFormatting sqref="AJ111">
    <cfRule type="cellIs" dxfId="3667" priority="56413" stopIfTrue="1" operator="equal">
      <formula>"En cours"</formula>
    </cfRule>
  </conditionalFormatting>
  <conditionalFormatting sqref="AJ111">
    <cfRule type="cellIs" dxfId="3666" priority="56414" stopIfTrue="1" operator="notEqual">
      <formula>"En cours"</formula>
    </cfRule>
  </conditionalFormatting>
  <conditionalFormatting sqref="AK111">
    <cfRule type="cellIs" dxfId="3665" priority="56415" stopIfTrue="1" operator="equal">
      <formula>"En cours"</formula>
    </cfRule>
  </conditionalFormatting>
  <conditionalFormatting sqref="AK111">
    <cfRule type="cellIs" dxfId="3664" priority="56416" stopIfTrue="1" operator="notEqual">
      <formula>"En cours"</formula>
    </cfRule>
  </conditionalFormatting>
  <conditionalFormatting sqref="AJ109">
    <cfRule type="cellIs" dxfId="3659" priority="56421" stopIfTrue="1" operator="equal">
      <formula>"En cours"</formula>
    </cfRule>
  </conditionalFormatting>
  <conditionalFormatting sqref="AJ109">
    <cfRule type="cellIs" dxfId="3658" priority="56422" stopIfTrue="1" operator="notEqual">
      <formula>"En cours"</formula>
    </cfRule>
  </conditionalFormatting>
  <conditionalFormatting sqref="AK109">
    <cfRule type="cellIs" dxfId="3657" priority="56423" stopIfTrue="1" operator="equal">
      <formula>"En cours"</formula>
    </cfRule>
  </conditionalFormatting>
  <conditionalFormatting sqref="AK109">
    <cfRule type="cellIs" dxfId="3656" priority="56424" stopIfTrue="1" operator="notEqual">
      <formula>"En cours"</formula>
    </cfRule>
  </conditionalFormatting>
  <conditionalFormatting sqref="AJ106">
    <cfRule type="cellIs" dxfId="3655" priority="56425" stopIfTrue="1" operator="equal">
      <formula>"En cours"</formula>
    </cfRule>
  </conditionalFormatting>
  <conditionalFormatting sqref="AJ106">
    <cfRule type="cellIs" dxfId="3654" priority="56426" stopIfTrue="1" operator="notEqual">
      <formula>"En cours"</formula>
    </cfRule>
  </conditionalFormatting>
  <conditionalFormatting sqref="AK106">
    <cfRule type="cellIs" dxfId="3653" priority="56427" stopIfTrue="1" operator="equal">
      <formula>"En cours"</formula>
    </cfRule>
  </conditionalFormatting>
  <conditionalFormatting sqref="AK106">
    <cfRule type="cellIs" dxfId="3652" priority="56428" stopIfTrue="1" operator="notEqual">
      <formula>"En cours"</formula>
    </cfRule>
  </conditionalFormatting>
  <conditionalFormatting sqref="AJ119">
    <cfRule type="cellIs" dxfId="3639" priority="56441" stopIfTrue="1" operator="equal">
      <formula>"En cours"</formula>
    </cfRule>
  </conditionalFormatting>
  <conditionalFormatting sqref="AJ119">
    <cfRule type="cellIs" dxfId="3638" priority="56442" stopIfTrue="1" operator="notEqual">
      <formula>"En cours"</formula>
    </cfRule>
  </conditionalFormatting>
  <conditionalFormatting sqref="AK119">
    <cfRule type="cellIs" dxfId="3637" priority="56443" stopIfTrue="1" operator="equal">
      <formula>"En cours"</formula>
    </cfRule>
  </conditionalFormatting>
  <conditionalFormatting sqref="AK119">
    <cfRule type="cellIs" dxfId="3636" priority="56444" stopIfTrue="1" operator="notEqual">
      <formula>"En cours"</formula>
    </cfRule>
  </conditionalFormatting>
  <conditionalFormatting sqref="AJ105">
    <cfRule type="cellIs" dxfId="3635" priority="56445" stopIfTrue="1" operator="equal">
      <formula>"En cours"</formula>
    </cfRule>
  </conditionalFormatting>
  <conditionalFormatting sqref="AJ105">
    <cfRule type="cellIs" dxfId="3634" priority="56446" stopIfTrue="1" operator="notEqual">
      <formula>"En cours"</formula>
    </cfRule>
  </conditionalFormatting>
  <conditionalFormatting sqref="AK105">
    <cfRule type="cellIs" dxfId="3633" priority="56447" stopIfTrue="1" operator="equal">
      <formula>"En cours"</formula>
    </cfRule>
  </conditionalFormatting>
  <conditionalFormatting sqref="AK105">
    <cfRule type="cellIs" dxfId="3632" priority="56448" stopIfTrue="1" operator="notEqual">
      <formula>"En cours"</formula>
    </cfRule>
  </conditionalFormatting>
  <conditionalFormatting sqref="AJ74">
    <cfRule type="cellIs" dxfId="3631" priority="56449" stopIfTrue="1" operator="equal">
      <formula>"En cours"</formula>
    </cfRule>
  </conditionalFormatting>
  <conditionalFormatting sqref="AJ74">
    <cfRule type="cellIs" dxfId="3630" priority="56450" stopIfTrue="1" operator="notEqual">
      <formula>"En cours"</formula>
    </cfRule>
  </conditionalFormatting>
  <conditionalFormatting sqref="AK74">
    <cfRule type="cellIs" dxfId="3629" priority="56451" stopIfTrue="1" operator="equal">
      <formula>"En cours"</formula>
    </cfRule>
  </conditionalFormatting>
  <conditionalFormatting sqref="AK74">
    <cfRule type="cellIs" dxfId="3628" priority="56452" stopIfTrue="1" operator="notEqual">
      <formula>"En cours"</formula>
    </cfRule>
  </conditionalFormatting>
  <conditionalFormatting sqref="AJ79">
    <cfRule type="cellIs" dxfId="3303" priority="56777" stopIfTrue="1" operator="equal">
      <formula>"En cours"</formula>
    </cfRule>
  </conditionalFormatting>
  <conditionalFormatting sqref="AJ79">
    <cfRule type="cellIs" dxfId="3302" priority="56778" stopIfTrue="1" operator="notEqual">
      <formula>"En cours"</formula>
    </cfRule>
  </conditionalFormatting>
  <conditionalFormatting sqref="AK79">
    <cfRule type="cellIs" dxfId="3301" priority="56779" stopIfTrue="1" operator="equal">
      <formula>"En cours"</formula>
    </cfRule>
  </conditionalFormatting>
  <conditionalFormatting sqref="AK79">
    <cfRule type="cellIs" dxfId="3300" priority="56780" stopIfTrue="1" operator="notEqual">
      <formula>"En cours"</formula>
    </cfRule>
  </conditionalFormatting>
  <conditionalFormatting sqref="AJ16">
    <cfRule type="cellIs" dxfId="3295" priority="56785" stopIfTrue="1" operator="equal">
      <formula>"En cours"</formula>
    </cfRule>
    <cfRule type="cellIs" dxfId="3294" priority="56786" stopIfTrue="1" operator="notEqual">
      <formula>"En cours"</formula>
    </cfRule>
  </conditionalFormatting>
  <conditionalFormatting sqref="AK16">
    <cfRule type="cellIs" dxfId="3293" priority="56787" stopIfTrue="1" operator="equal">
      <formula>"En cours"</formula>
    </cfRule>
    <cfRule type="cellIs" dxfId="3292" priority="56788" stopIfTrue="1" operator="notEqual">
      <formula>"En cours"</formula>
    </cfRule>
  </conditionalFormatting>
  <conditionalFormatting sqref="AJ38">
    <cfRule type="cellIs" dxfId="3263" priority="56817" stopIfTrue="1" operator="equal">
      <formula>"En cours"</formula>
    </cfRule>
  </conditionalFormatting>
  <conditionalFormatting sqref="AJ38">
    <cfRule type="cellIs" dxfId="3262" priority="56818" stopIfTrue="1" operator="notEqual">
      <formula>"En cours"</formula>
    </cfRule>
  </conditionalFormatting>
  <conditionalFormatting sqref="AK38">
    <cfRule type="cellIs" dxfId="3261" priority="56819" stopIfTrue="1" operator="equal">
      <formula>"En cours"</formula>
    </cfRule>
  </conditionalFormatting>
  <conditionalFormatting sqref="AK38">
    <cfRule type="cellIs" dxfId="3260" priority="56820" stopIfTrue="1" operator="notEqual">
      <formula>"En cours"</formula>
    </cfRule>
  </conditionalFormatting>
  <conditionalFormatting sqref="AJ23">
    <cfRule type="cellIs" dxfId="3247" priority="56833" stopIfTrue="1" operator="equal">
      <formula>"En cours"</formula>
    </cfRule>
  </conditionalFormatting>
  <conditionalFormatting sqref="AJ23">
    <cfRule type="cellIs" dxfId="3246" priority="56834" stopIfTrue="1" operator="notEqual">
      <formula>"En cours"</formula>
    </cfRule>
  </conditionalFormatting>
  <conditionalFormatting sqref="AK23">
    <cfRule type="cellIs" dxfId="3245" priority="56835" stopIfTrue="1" operator="equal">
      <formula>"En cours"</formula>
    </cfRule>
  </conditionalFormatting>
  <conditionalFormatting sqref="AK23">
    <cfRule type="cellIs" dxfId="3244" priority="56836" stopIfTrue="1" operator="notEqual">
      <formula>"En cours"</formula>
    </cfRule>
  </conditionalFormatting>
  <conditionalFormatting sqref="AJ49">
    <cfRule type="cellIs" dxfId="3223" priority="56857" stopIfTrue="1" operator="equal">
      <formula>"En cours"</formula>
    </cfRule>
  </conditionalFormatting>
  <conditionalFormatting sqref="AJ49">
    <cfRule type="cellIs" dxfId="3222" priority="56858" stopIfTrue="1" operator="notEqual">
      <formula>"En cours"</formula>
    </cfRule>
  </conditionalFormatting>
  <conditionalFormatting sqref="AK49">
    <cfRule type="cellIs" dxfId="3221" priority="56859" stopIfTrue="1" operator="equal">
      <formula>"En cours"</formula>
    </cfRule>
  </conditionalFormatting>
  <conditionalFormatting sqref="AK49">
    <cfRule type="cellIs" dxfId="3220" priority="56860" stopIfTrue="1" operator="notEqual">
      <formula>"En cours"</formula>
    </cfRule>
  </conditionalFormatting>
  <conditionalFormatting sqref="AJ32">
    <cfRule type="cellIs" dxfId="3187" priority="56893" stopIfTrue="1" operator="equal">
      <formula>"En cours"</formula>
    </cfRule>
  </conditionalFormatting>
  <conditionalFormatting sqref="AJ32">
    <cfRule type="cellIs" dxfId="3186" priority="56894" stopIfTrue="1" operator="notEqual">
      <formula>"En cours"</formula>
    </cfRule>
  </conditionalFormatting>
  <conditionalFormatting sqref="AK32">
    <cfRule type="cellIs" dxfId="3185" priority="56895" stopIfTrue="1" operator="equal">
      <formula>"En cours"</formula>
    </cfRule>
  </conditionalFormatting>
  <conditionalFormatting sqref="AK32">
    <cfRule type="cellIs" dxfId="3184" priority="56896" stopIfTrue="1" operator="notEqual">
      <formula>"En cours"</formula>
    </cfRule>
  </conditionalFormatting>
  <conditionalFormatting sqref="AJ82">
    <cfRule type="cellIs" dxfId="3171" priority="56909" stopIfTrue="1" operator="equal">
      <formula>"En cours"</formula>
    </cfRule>
  </conditionalFormatting>
  <conditionalFormatting sqref="AJ82">
    <cfRule type="cellIs" dxfId="3170" priority="56910" stopIfTrue="1" operator="notEqual">
      <formula>"En cours"</formula>
    </cfRule>
  </conditionalFormatting>
  <conditionalFormatting sqref="AK82">
    <cfRule type="cellIs" dxfId="3169" priority="56911" stopIfTrue="1" operator="equal">
      <formula>"En cours"</formula>
    </cfRule>
  </conditionalFormatting>
  <conditionalFormatting sqref="AK82">
    <cfRule type="cellIs" dxfId="3168" priority="56912" stopIfTrue="1" operator="notEqual">
      <formula>"En cours"</formula>
    </cfRule>
  </conditionalFormatting>
  <conditionalFormatting sqref="AJ42">
    <cfRule type="cellIs" dxfId="3163" priority="56917" stopIfTrue="1" operator="equal">
      <formula>"En cours"</formula>
    </cfRule>
  </conditionalFormatting>
  <conditionalFormatting sqref="AJ42">
    <cfRule type="cellIs" dxfId="3162" priority="56918" stopIfTrue="1" operator="notEqual">
      <formula>"En cours"</formula>
    </cfRule>
  </conditionalFormatting>
  <conditionalFormatting sqref="AK42">
    <cfRule type="cellIs" dxfId="3161" priority="56919" stopIfTrue="1" operator="equal">
      <formula>"En cours"</formula>
    </cfRule>
  </conditionalFormatting>
  <conditionalFormatting sqref="AK42">
    <cfRule type="cellIs" dxfId="3160" priority="56920" stopIfTrue="1" operator="notEqual">
      <formula>"En cours"</formula>
    </cfRule>
  </conditionalFormatting>
  <conditionalFormatting sqref="AJ63">
    <cfRule type="cellIs" dxfId="3139" priority="56941" stopIfTrue="1" operator="equal">
      <formula>"En cours"</formula>
    </cfRule>
  </conditionalFormatting>
  <conditionalFormatting sqref="AJ63">
    <cfRule type="cellIs" dxfId="3138" priority="56942" stopIfTrue="1" operator="notEqual">
      <formula>"En cours"</formula>
    </cfRule>
  </conditionalFormatting>
  <conditionalFormatting sqref="AK63">
    <cfRule type="cellIs" dxfId="3137" priority="56943" stopIfTrue="1" operator="equal">
      <formula>"En cours"</formula>
    </cfRule>
  </conditionalFormatting>
  <conditionalFormatting sqref="AK63">
    <cfRule type="cellIs" dxfId="3136" priority="56944" stopIfTrue="1" operator="notEqual">
      <formula>"En cours"</formula>
    </cfRule>
  </conditionalFormatting>
  <conditionalFormatting sqref="AJ125">
    <cfRule type="cellIs" dxfId="3123" priority="56957" stopIfTrue="1" operator="equal">
      <formula>"En cours"</formula>
    </cfRule>
  </conditionalFormatting>
  <conditionalFormatting sqref="AJ125">
    <cfRule type="cellIs" dxfId="3122" priority="56958" stopIfTrue="1" operator="notEqual">
      <formula>"En cours"</formula>
    </cfRule>
  </conditionalFormatting>
  <conditionalFormatting sqref="AK125">
    <cfRule type="cellIs" dxfId="3121" priority="56959" stopIfTrue="1" operator="equal">
      <formula>"En cours"</formula>
    </cfRule>
  </conditionalFormatting>
  <conditionalFormatting sqref="AK125">
    <cfRule type="cellIs" dxfId="3120" priority="56960" stopIfTrue="1" operator="notEqual">
      <formula>"En cours"</formula>
    </cfRule>
  </conditionalFormatting>
  <conditionalFormatting sqref="AJ69">
    <cfRule type="cellIs" dxfId="3111" priority="56969" stopIfTrue="1" operator="equal">
      <formula>"En cours"</formula>
    </cfRule>
  </conditionalFormatting>
  <conditionalFormatting sqref="AJ69">
    <cfRule type="cellIs" dxfId="3110" priority="56970" stopIfTrue="1" operator="notEqual">
      <formula>"En cours"</formula>
    </cfRule>
  </conditionalFormatting>
  <conditionalFormatting sqref="AK69">
    <cfRule type="cellIs" dxfId="3109" priority="56971" stopIfTrue="1" operator="equal">
      <formula>"En cours"</formula>
    </cfRule>
  </conditionalFormatting>
  <conditionalFormatting sqref="AK69">
    <cfRule type="cellIs" dxfId="3108" priority="56972" stopIfTrue="1" operator="notEqual">
      <formula>"En cours"</formula>
    </cfRule>
  </conditionalFormatting>
  <conditionalFormatting sqref="AJ56">
    <cfRule type="cellIs" dxfId="3099" priority="56981" stopIfTrue="1" operator="equal">
      <formula>"En cours"</formula>
    </cfRule>
  </conditionalFormatting>
  <conditionalFormatting sqref="AJ56">
    <cfRule type="cellIs" dxfId="3098" priority="56982" stopIfTrue="1" operator="notEqual">
      <formula>"En cours"</formula>
    </cfRule>
  </conditionalFormatting>
  <conditionalFormatting sqref="AK56">
    <cfRule type="cellIs" dxfId="3097" priority="56983" stopIfTrue="1" operator="equal">
      <formula>"En cours"</formula>
    </cfRule>
  </conditionalFormatting>
  <conditionalFormatting sqref="AK56">
    <cfRule type="cellIs" dxfId="3096" priority="56984" stopIfTrue="1" operator="notEqual">
      <formula>"En cours"</formula>
    </cfRule>
  </conditionalFormatting>
  <conditionalFormatting sqref="AJ62">
    <cfRule type="cellIs" dxfId="3095" priority="56985" stopIfTrue="1" operator="equal">
      <formula>"En cours"</formula>
    </cfRule>
  </conditionalFormatting>
  <conditionalFormatting sqref="AJ62">
    <cfRule type="cellIs" dxfId="3094" priority="56986" stopIfTrue="1" operator="notEqual">
      <formula>"En cours"</formula>
    </cfRule>
  </conditionalFormatting>
  <conditionalFormatting sqref="AK62">
    <cfRule type="cellIs" dxfId="3093" priority="56987" stopIfTrue="1" operator="equal">
      <formula>"En cours"</formula>
    </cfRule>
  </conditionalFormatting>
  <conditionalFormatting sqref="AK62">
    <cfRule type="cellIs" dxfId="3092" priority="56988" stopIfTrue="1" operator="notEqual">
      <formula>"En cours"</formula>
    </cfRule>
  </conditionalFormatting>
  <conditionalFormatting sqref="AJ124">
    <cfRule type="cellIs" dxfId="3087" priority="56993" stopIfTrue="1" operator="equal">
      <formula>"En cours"</formula>
    </cfRule>
  </conditionalFormatting>
  <conditionalFormatting sqref="AJ124">
    <cfRule type="cellIs" dxfId="3086" priority="56994" stopIfTrue="1" operator="notEqual">
      <formula>"En cours"</formula>
    </cfRule>
  </conditionalFormatting>
  <conditionalFormatting sqref="AK124">
    <cfRule type="cellIs" dxfId="3085" priority="56995" stopIfTrue="1" operator="equal">
      <formula>"En cours"</formula>
    </cfRule>
  </conditionalFormatting>
  <conditionalFormatting sqref="AK124">
    <cfRule type="cellIs" dxfId="3084" priority="56996" stopIfTrue="1" operator="notEqual">
      <formula>"En cours"</formula>
    </cfRule>
  </conditionalFormatting>
  <conditionalFormatting sqref="AJ58">
    <cfRule type="cellIs" dxfId="3079" priority="57001" stopIfTrue="1" operator="equal">
      <formula>"En cours"</formula>
    </cfRule>
  </conditionalFormatting>
  <conditionalFormatting sqref="AJ58">
    <cfRule type="cellIs" dxfId="3078" priority="57002" stopIfTrue="1" operator="notEqual">
      <formula>"En cours"</formula>
    </cfRule>
  </conditionalFormatting>
  <conditionalFormatting sqref="AK58">
    <cfRule type="cellIs" dxfId="3077" priority="57003" stopIfTrue="1" operator="equal">
      <formula>"En cours"</formula>
    </cfRule>
  </conditionalFormatting>
  <conditionalFormatting sqref="AK58">
    <cfRule type="cellIs" dxfId="3076" priority="57004" stopIfTrue="1" operator="notEqual">
      <formula>"En cours"</formula>
    </cfRule>
  </conditionalFormatting>
  <conditionalFormatting sqref="AJ128">
    <cfRule type="cellIs" dxfId="3071" priority="57009" stopIfTrue="1" operator="equal">
      <formula>"En cours"</formula>
    </cfRule>
  </conditionalFormatting>
  <conditionalFormatting sqref="AJ128">
    <cfRule type="cellIs" dxfId="3070" priority="57010" stopIfTrue="1" operator="notEqual">
      <formula>"En cours"</formula>
    </cfRule>
  </conditionalFormatting>
  <conditionalFormatting sqref="AK128">
    <cfRule type="cellIs" dxfId="3069" priority="57011" stopIfTrue="1" operator="equal">
      <formula>"En cours"</formula>
    </cfRule>
  </conditionalFormatting>
  <conditionalFormatting sqref="AK128">
    <cfRule type="cellIs" dxfId="3068" priority="57012" stopIfTrue="1" operator="notEqual">
      <formula>"En cours"</formula>
    </cfRule>
  </conditionalFormatting>
  <conditionalFormatting sqref="AJ126">
    <cfRule type="cellIs" dxfId="3063" priority="57017" stopIfTrue="1" operator="equal">
      <formula>"En cours"</formula>
    </cfRule>
  </conditionalFormatting>
  <conditionalFormatting sqref="AJ126">
    <cfRule type="cellIs" dxfId="3062" priority="57018" stopIfTrue="1" operator="notEqual">
      <formula>"En cours"</formula>
    </cfRule>
  </conditionalFormatting>
  <conditionalFormatting sqref="AK126">
    <cfRule type="cellIs" dxfId="3061" priority="57019" stopIfTrue="1" operator="equal">
      <formula>"En cours"</formula>
    </cfRule>
  </conditionalFormatting>
  <conditionalFormatting sqref="AK126">
    <cfRule type="cellIs" dxfId="3060" priority="57020" stopIfTrue="1" operator="notEqual">
      <formula>"En cours"</formula>
    </cfRule>
  </conditionalFormatting>
  <conditionalFormatting sqref="AJ107">
    <cfRule type="cellIs" dxfId="3059" priority="57021" stopIfTrue="1" operator="equal">
      <formula>"En cours"</formula>
    </cfRule>
  </conditionalFormatting>
  <conditionalFormatting sqref="AJ107">
    <cfRule type="cellIs" dxfId="3058" priority="57022" stopIfTrue="1" operator="notEqual">
      <formula>"En cours"</formula>
    </cfRule>
  </conditionalFormatting>
  <conditionalFormatting sqref="AK107">
    <cfRule type="cellIs" dxfId="3057" priority="57023" stopIfTrue="1" operator="equal">
      <formula>"En cours"</formula>
    </cfRule>
  </conditionalFormatting>
  <conditionalFormatting sqref="AK107">
    <cfRule type="cellIs" dxfId="3056" priority="57024" stopIfTrue="1" operator="notEqual">
      <formula>"En cours"</formula>
    </cfRule>
  </conditionalFormatting>
  <conditionalFormatting sqref="AJ134">
    <cfRule type="cellIs" dxfId="3039" priority="57041" stopIfTrue="1" operator="equal">
      <formula>"En cours"</formula>
    </cfRule>
  </conditionalFormatting>
  <conditionalFormatting sqref="AJ134">
    <cfRule type="cellIs" dxfId="3038" priority="57042" stopIfTrue="1" operator="notEqual">
      <formula>"En cours"</formula>
    </cfRule>
  </conditionalFormatting>
  <conditionalFormatting sqref="AK134">
    <cfRule type="cellIs" dxfId="3037" priority="57043" stopIfTrue="1" operator="equal">
      <formula>"En cours"</formula>
    </cfRule>
  </conditionalFormatting>
  <conditionalFormatting sqref="AK134">
    <cfRule type="cellIs" dxfId="3036" priority="57044" stopIfTrue="1" operator="notEqual">
      <formula>"En cours"</formula>
    </cfRule>
  </conditionalFormatting>
  <conditionalFormatting sqref="AJ137">
    <cfRule type="cellIs" dxfId="2687" priority="57393" stopIfTrue="1" operator="equal">
      <formula>"En cours"</formula>
    </cfRule>
  </conditionalFormatting>
  <conditionalFormatting sqref="AJ137">
    <cfRule type="cellIs" dxfId="2686" priority="57394" stopIfTrue="1" operator="notEqual">
      <formula>"En cours"</formula>
    </cfRule>
  </conditionalFormatting>
  <conditionalFormatting sqref="AK137">
    <cfRule type="cellIs" dxfId="2685" priority="57395" stopIfTrue="1" operator="equal">
      <formula>"En cours"</formula>
    </cfRule>
  </conditionalFormatting>
  <conditionalFormatting sqref="AK137">
    <cfRule type="cellIs" dxfId="2684" priority="57396" stopIfTrue="1" operator="notEqual">
      <formula>"En cours"</formula>
    </cfRule>
  </conditionalFormatting>
  <conditionalFormatting sqref="AJ140">
    <cfRule type="cellIs" dxfId="2679" priority="57401" stopIfTrue="1" operator="equal">
      <formula>"En cours"</formula>
    </cfRule>
  </conditionalFormatting>
  <conditionalFormatting sqref="AJ140">
    <cfRule type="cellIs" dxfId="2678" priority="57402" stopIfTrue="1" operator="notEqual">
      <formula>"En cours"</formula>
    </cfRule>
  </conditionalFormatting>
  <conditionalFormatting sqref="AK140">
    <cfRule type="cellIs" dxfId="2677" priority="57403" stopIfTrue="1" operator="equal">
      <formula>"En cours"</formula>
    </cfRule>
  </conditionalFormatting>
  <conditionalFormatting sqref="AK140">
    <cfRule type="cellIs" dxfId="2676" priority="57404" stopIfTrue="1" operator="notEqual">
      <formula>"En cours"</formula>
    </cfRule>
  </conditionalFormatting>
  <conditionalFormatting sqref="AJ139">
    <cfRule type="cellIs" dxfId="2675" priority="57405" stopIfTrue="1" operator="equal">
      <formula>"En cours"</formula>
    </cfRule>
  </conditionalFormatting>
  <conditionalFormatting sqref="AJ139">
    <cfRule type="cellIs" dxfId="2674" priority="57406" stopIfTrue="1" operator="notEqual">
      <formula>"En cours"</formula>
    </cfRule>
  </conditionalFormatting>
  <conditionalFormatting sqref="AK139">
    <cfRule type="cellIs" dxfId="2673" priority="57407" stopIfTrue="1" operator="equal">
      <formula>"En cours"</formula>
    </cfRule>
  </conditionalFormatting>
  <conditionalFormatting sqref="AK139">
    <cfRule type="cellIs" dxfId="2672" priority="57408" stopIfTrue="1" operator="notEqual">
      <formula>"En cours"</formula>
    </cfRule>
  </conditionalFormatting>
  <conditionalFormatting sqref="AJ81">
    <cfRule type="cellIs" dxfId="2663" priority="57417" stopIfTrue="1" operator="equal">
      <formula>"En cours"</formula>
    </cfRule>
  </conditionalFormatting>
  <conditionalFormatting sqref="AJ81">
    <cfRule type="cellIs" dxfId="2662" priority="57418" stopIfTrue="1" operator="notEqual">
      <formula>"En cours"</formula>
    </cfRule>
  </conditionalFormatting>
  <conditionalFormatting sqref="AK81">
    <cfRule type="cellIs" dxfId="2661" priority="57419" stopIfTrue="1" operator="equal">
      <formula>"En cours"</formula>
    </cfRule>
  </conditionalFormatting>
  <conditionalFormatting sqref="AK81">
    <cfRule type="cellIs" dxfId="2660" priority="57420" stopIfTrue="1" operator="notEqual">
      <formula>"En cours"</formula>
    </cfRule>
  </conditionalFormatting>
  <conditionalFormatting sqref="AJ48">
    <cfRule type="cellIs" dxfId="2647" priority="57433" stopIfTrue="1" operator="equal">
      <formula>"En cours"</formula>
    </cfRule>
  </conditionalFormatting>
  <conditionalFormatting sqref="AJ48">
    <cfRule type="cellIs" dxfId="2646" priority="57434" stopIfTrue="1" operator="notEqual">
      <formula>"En cours"</formula>
    </cfRule>
  </conditionalFormatting>
  <conditionalFormatting sqref="AK48">
    <cfRule type="cellIs" dxfId="2645" priority="57435" stopIfTrue="1" operator="equal">
      <formula>"En cours"</formula>
    </cfRule>
  </conditionalFormatting>
  <conditionalFormatting sqref="AK48">
    <cfRule type="cellIs" dxfId="2644" priority="57436" stopIfTrue="1" operator="notEqual">
      <formula>"En cours"</formula>
    </cfRule>
  </conditionalFormatting>
  <conditionalFormatting sqref="AJ143">
    <cfRule type="cellIs" dxfId="2587" priority="57493" stopIfTrue="1" operator="equal">
      <formula>"En cours"</formula>
    </cfRule>
  </conditionalFormatting>
  <conditionalFormatting sqref="AJ143">
    <cfRule type="cellIs" dxfId="2586" priority="57494" stopIfTrue="1" operator="notEqual">
      <formula>"En cours"</formula>
    </cfRule>
  </conditionalFormatting>
  <conditionalFormatting sqref="AK143">
    <cfRule type="cellIs" dxfId="2585" priority="57495" stopIfTrue="1" operator="equal">
      <formula>"En cours"</formula>
    </cfRule>
  </conditionalFormatting>
  <conditionalFormatting sqref="AK143">
    <cfRule type="cellIs" dxfId="2584" priority="57496" stopIfTrue="1" operator="notEqual">
      <formula>"En cours"</formula>
    </cfRule>
  </conditionalFormatting>
  <conditionalFormatting sqref="AJ150">
    <cfRule type="cellIs" dxfId="2551" priority="57529" stopIfTrue="1" operator="equal">
      <formula>"En cours"</formula>
    </cfRule>
  </conditionalFormatting>
  <conditionalFormatting sqref="AJ150">
    <cfRule type="cellIs" dxfId="2550" priority="57530" stopIfTrue="1" operator="notEqual">
      <formula>"En cours"</formula>
    </cfRule>
  </conditionalFormatting>
  <conditionalFormatting sqref="AK150">
    <cfRule type="cellIs" dxfId="2549" priority="57531" stopIfTrue="1" operator="equal">
      <formula>"En cours"</formula>
    </cfRule>
  </conditionalFormatting>
  <conditionalFormatting sqref="AK150">
    <cfRule type="cellIs" dxfId="2548" priority="57532" stopIfTrue="1" operator="notEqual">
      <formula>"En cours"</formula>
    </cfRule>
  </conditionalFormatting>
  <conditionalFormatting sqref="AJ151">
    <cfRule type="cellIs" dxfId="2547" priority="57533" stopIfTrue="1" operator="equal">
      <formula>"En cours"</formula>
    </cfRule>
  </conditionalFormatting>
  <conditionalFormatting sqref="AJ151">
    <cfRule type="cellIs" dxfId="2546" priority="57534" stopIfTrue="1" operator="notEqual">
      <formula>"En cours"</formula>
    </cfRule>
  </conditionalFormatting>
  <conditionalFormatting sqref="AK151">
    <cfRule type="cellIs" dxfId="2545" priority="57535" stopIfTrue="1" operator="equal">
      <formula>"En cours"</formula>
    </cfRule>
  </conditionalFormatting>
  <conditionalFormatting sqref="AK151">
    <cfRule type="cellIs" dxfId="2544" priority="57536" stopIfTrue="1" operator="notEqual">
      <formula>"En cours"</formula>
    </cfRule>
  </conditionalFormatting>
  <conditionalFormatting sqref="AJ149">
    <cfRule type="cellIs" dxfId="2531" priority="57549" stopIfTrue="1" operator="equal">
      <formula>"En cours"</formula>
    </cfRule>
  </conditionalFormatting>
  <conditionalFormatting sqref="AJ149">
    <cfRule type="cellIs" dxfId="2530" priority="57550" stopIfTrue="1" operator="notEqual">
      <formula>"En cours"</formula>
    </cfRule>
  </conditionalFormatting>
  <conditionalFormatting sqref="AK149">
    <cfRule type="cellIs" dxfId="2529" priority="57551" stopIfTrue="1" operator="equal">
      <formula>"En cours"</formula>
    </cfRule>
  </conditionalFormatting>
  <conditionalFormatting sqref="AK149">
    <cfRule type="cellIs" dxfId="2528" priority="57552" stopIfTrue="1" operator="notEqual">
      <formula>"En cours"</formula>
    </cfRule>
  </conditionalFormatting>
  <conditionalFormatting sqref="AJ97">
    <cfRule type="cellIs" dxfId="2503" priority="57577" stopIfTrue="1" operator="equal">
      <formula>"En cours"</formula>
    </cfRule>
  </conditionalFormatting>
  <conditionalFormatting sqref="AJ97">
    <cfRule type="cellIs" dxfId="2502" priority="57578" stopIfTrue="1" operator="notEqual">
      <formula>"En cours"</formula>
    </cfRule>
  </conditionalFormatting>
  <conditionalFormatting sqref="AK97">
    <cfRule type="cellIs" dxfId="2501" priority="57579" stopIfTrue="1" operator="equal">
      <formula>"En cours"</formula>
    </cfRule>
  </conditionalFormatting>
  <conditionalFormatting sqref="AK97">
    <cfRule type="cellIs" dxfId="2500" priority="57580" stopIfTrue="1" operator="notEqual">
      <formula>"En cours"</formula>
    </cfRule>
  </conditionalFormatting>
  <conditionalFormatting sqref="AJ152">
    <cfRule type="cellIs" dxfId="2495" priority="57585" stopIfTrue="1" operator="equal">
      <formula>"En cours"</formula>
    </cfRule>
  </conditionalFormatting>
  <conditionalFormatting sqref="AJ152">
    <cfRule type="cellIs" dxfId="2494" priority="57586" stopIfTrue="1" operator="notEqual">
      <formula>"En cours"</formula>
    </cfRule>
  </conditionalFormatting>
  <conditionalFormatting sqref="AK152">
    <cfRule type="cellIs" dxfId="2493" priority="57587" stopIfTrue="1" operator="equal">
      <formula>"En cours"</formula>
    </cfRule>
  </conditionalFormatting>
  <conditionalFormatting sqref="AK152">
    <cfRule type="cellIs" dxfId="2492" priority="57588" stopIfTrue="1" operator="notEqual">
      <formula>"En cours"</formula>
    </cfRule>
  </conditionalFormatting>
  <conditionalFormatting sqref="AJ102">
    <cfRule type="cellIs" dxfId="2479" priority="57601" stopIfTrue="1" operator="equal">
      <formula>"En cours"</formula>
    </cfRule>
  </conditionalFormatting>
  <conditionalFormatting sqref="AJ102">
    <cfRule type="cellIs" dxfId="2478" priority="57602" stopIfTrue="1" operator="notEqual">
      <formula>"En cours"</formula>
    </cfRule>
  </conditionalFormatting>
  <conditionalFormatting sqref="AK102">
    <cfRule type="cellIs" dxfId="2477" priority="57603" stopIfTrue="1" operator="equal">
      <formula>"En cours"</formula>
    </cfRule>
  </conditionalFormatting>
  <conditionalFormatting sqref="AK102">
    <cfRule type="cellIs" dxfId="2476" priority="57604" stopIfTrue="1" operator="notEqual">
      <formula>"En cours"</formula>
    </cfRule>
  </conditionalFormatting>
  <conditionalFormatting sqref="AJ115">
    <cfRule type="cellIs" dxfId="2471" priority="57609" stopIfTrue="1" operator="equal">
      <formula>"En cours"</formula>
    </cfRule>
  </conditionalFormatting>
  <conditionalFormatting sqref="AJ115">
    <cfRule type="cellIs" dxfId="2470" priority="57610" stopIfTrue="1" operator="notEqual">
      <formula>"En cours"</formula>
    </cfRule>
  </conditionalFormatting>
  <conditionalFormatting sqref="AK115">
    <cfRule type="cellIs" dxfId="2469" priority="57611" stopIfTrue="1" operator="equal">
      <formula>"En cours"</formula>
    </cfRule>
  </conditionalFormatting>
  <conditionalFormatting sqref="AK115">
    <cfRule type="cellIs" dxfId="2468" priority="57612" stopIfTrue="1" operator="notEqual">
      <formula>"En cours"</formula>
    </cfRule>
  </conditionalFormatting>
  <conditionalFormatting sqref="AJ104">
    <cfRule type="cellIs" dxfId="2463" priority="57617" stopIfTrue="1" operator="equal">
      <formula>"En cours"</formula>
    </cfRule>
  </conditionalFormatting>
  <conditionalFormatting sqref="AJ104">
    <cfRule type="cellIs" dxfId="2462" priority="57618" stopIfTrue="1" operator="notEqual">
      <formula>"En cours"</formula>
    </cfRule>
  </conditionalFormatting>
  <conditionalFormatting sqref="AK104">
    <cfRule type="cellIs" dxfId="2461" priority="57619" stopIfTrue="1" operator="equal">
      <formula>"En cours"</formula>
    </cfRule>
  </conditionalFormatting>
  <conditionalFormatting sqref="AK104">
    <cfRule type="cellIs" dxfId="2460" priority="57620" stopIfTrue="1" operator="notEqual">
      <formula>"En cours"</formula>
    </cfRule>
  </conditionalFormatting>
  <conditionalFormatting sqref="AJ157">
    <cfRule type="cellIs" dxfId="2435" priority="57645" stopIfTrue="1" operator="equal">
      <formula>"En cours"</formula>
    </cfRule>
  </conditionalFormatting>
  <conditionalFormatting sqref="AJ157">
    <cfRule type="cellIs" dxfId="2434" priority="57646" stopIfTrue="1" operator="notEqual">
      <formula>"En cours"</formula>
    </cfRule>
  </conditionalFormatting>
  <conditionalFormatting sqref="AK157">
    <cfRule type="cellIs" dxfId="2433" priority="57647" stopIfTrue="1" operator="equal">
      <formula>"En cours"</formula>
    </cfRule>
  </conditionalFormatting>
  <conditionalFormatting sqref="AK157">
    <cfRule type="cellIs" dxfId="2432" priority="57648" stopIfTrue="1" operator="notEqual">
      <formula>"En cours"</formula>
    </cfRule>
  </conditionalFormatting>
  <conditionalFormatting sqref="AJ161">
    <cfRule type="cellIs" dxfId="2399" priority="57681" stopIfTrue="1" operator="equal">
      <formula>"En cours"</formula>
    </cfRule>
  </conditionalFormatting>
  <conditionalFormatting sqref="AJ161">
    <cfRule type="cellIs" dxfId="2398" priority="57682" stopIfTrue="1" operator="notEqual">
      <formula>"En cours"</formula>
    </cfRule>
  </conditionalFormatting>
  <conditionalFormatting sqref="AK161">
    <cfRule type="cellIs" dxfId="2397" priority="57683" stopIfTrue="1" operator="equal">
      <formula>"En cours"</formula>
    </cfRule>
  </conditionalFormatting>
  <conditionalFormatting sqref="AK161">
    <cfRule type="cellIs" dxfId="2396" priority="57684" stopIfTrue="1" operator="notEqual">
      <formula>"En cours"</formula>
    </cfRule>
  </conditionalFormatting>
  <conditionalFormatting sqref="AJ164">
    <cfRule type="cellIs" dxfId="2383" priority="57697" stopIfTrue="1" operator="equal">
      <formula>"En cours"</formula>
    </cfRule>
  </conditionalFormatting>
  <conditionalFormatting sqref="AJ164">
    <cfRule type="cellIs" dxfId="2382" priority="57698" stopIfTrue="1" operator="notEqual">
      <formula>"En cours"</formula>
    </cfRule>
  </conditionalFormatting>
  <conditionalFormatting sqref="AK164">
    <cfRule type="cellIs" dxfId="2381" priority="57699" stopIfTrue="1" operator="equal">
      <formula>"En cours"</formula>
    </cfRule>
  </conditionalFormatting>
  <conditionalFormatting sqref="AK164">
    <cfRule type="cellIs" dxfId="2380" priority="57700" stopIfTrue="1" operator="notEqual">
      <formula>"En cours"</formula>
    </cfRule>
  </conditionalFormatting>
  <conditionalFormatting sqref="AJ167">
    <cfRule type="cellIs" dxfId="2115" priority="57965" stopIfTrue="1" operator="equal">
      <formula>"En cours"</formula>
    </cfRule>
  </conditionalFormatting>
  <conditionalFormatting sqref="AJ167">
    <cfRule type="cellIs" dxfId="2114" priority="57966" stopIfTrue="1" operator="notEqual">
      <formula>"En cours"</formula>
    </cfRule>
  </conditionalFormatting>
  <conditionalFormatting sqref="AK167">
    <cfRule type="cellIs" dxfId="2113" priority="57967" stopIfTrue="1" operator="equal">
      <formula>"En cours"</formula>
    </cfRule>
  </conditionalFormatting>
  <conditionalFormatting sqref="AK167">
    <cfRule type="cellIs" dxfId="2112" priority="57968" stopIfTrue="1" operator="notEqual">
      <formula>"En cours"</formula>
    </cfRule>
  </conditionalFormatting>
  <conditionalFormatting sqref="AJ78">
    <cfRule type="cellIs" dxfId="2107" priority="57973" stopIfTrue="1" operator="equal">
      <formula>"En cours"</formula>
    </cfRule>
  </conditionalFormatting>
  <conditionalFormatting sqref="AJ78">
    <cfRule type="cellIs" dxfId="2106" priority="57974" stopIfTrue="1" operator="notEqual">
      <formula>"En cours"</formula>
    </cfRule>
  </conditionalFormatting>
  <conditionalFormatting sqref="AK78">
    <cfRule type="cellIs" dxfId="2105" priority="57975" stopIfTrue="1" operator="equal">
      <formula>"En cours"</formula>
    </cfRule>
  </conditionalFormatting>
  <conditionalFormatting sqref="AK78">
    <cfRule type="cellIs" dxfId="2104" priority="57976" stopIfTrue="1" operator="notEqual">
      <formula>"En cours"</formula>
    </cfRule>
  </conditionalFormatting>
  <conditionalFormatting sqref="AJ11">
    <cfRule type="cellIs" dxfId="2095" priority="57985" stopIfTrue="1" operator="equal">
      <formula>"En cours"</formula>
    </cfRule>
  </conditionalFormatting>
  <conditionalFormatting sqref="AJ11">
    <cfRule type="cellIs" dxfId="2094" priority="57986" stopIfTrue="1" operator="notEqual">
      <formula>"En cours"</formula>
    </cfRule>
  </conditionalFormatting>
  <conditionalFormatting sqref="AK11">
    <cfRule type="cellIs" dxfId="2093" priority="57987" stopIfTrue="1" operator="equal">
      <formula>"En cours"</formula>
    </cfRule>
  </conditionalFormatting>
  <conditionalFormatting sqref="AK11">
    <cfRule type="cellIs" dxfId="2092" priority="57988" stopIfTrue="1" operator="notEqual">
      <formula>"En cours"</formula>
    </cfRule>
  </conditionalFormatting>
  <conditionalFormatting sqref="AJ136">
    <cfRule type="cellIs" dxfId="2091" priority="57989" stopIfTrue="1" operator="equal">
      <formula>"En cours"</formula>
    </cfRule>
  </conditionalFormatting>
  <conditionalFormatting sqref="AJ136">
    <cfRule type="cellIs" dxfId="2090" priority="57990" stopIfTrue="1" operator="notEqual">
      <formula>"En cours"</formula>
    </cfRule>
  </conditionalFormatting>
  <conditionalFormatting sqref="AK136">
    <cfRule type="cellIs" dxfId="2089" priority="57991" stopIfTrue="1" operator="equal">
      <formula>"En cours"</formula>
    </cfRule>
  </conditionalFormatting>
  <conditionalFormatting sqref="AK136">
    <cfRule type="cellIs" dxfId="2088" priority="57992" stopIfTrue="1" operator="notEqual">
      <formula>"En cours"</formula>
    </cfRule>
  </conditionalFormatting>
  <conditionalFormatting sqref="AJ169">
    <cfRule type="cellIs" dxfId="2075" priority="58005" stopIfTrue="1" operator="equal">
      <formula>"En cours"</formula>
    </cfRule>
  </conditionalFormatting>
  <conditionalFormatting sqref="AJ169">
    <cfRule type="cellIs" dxfId="2074" priority="58006" stopIfTrue="1" operator="notEqual">
      <formula>"En cours"</formula>
    </cfRule>
  </conditionalFormatting>
  <conditionalFormatting sqref="AK169">
    <cfRule type="cellIs" dxfId="2073" priority="58007" stopIfTrue="1" operator="equal">
      <formula>"En cours"</formula>
    </cfRule>
  </conditionalFormatting>
  <conditionalFormatting sqref="AK169">
    <cfRule type="cellIs" dxfId="2072" priority="58008" stopIfTrue="1" operator="notEqual">
      <formula>"En cours"</formula>
    </cfRule>
  </conditionalFormatting>
  <conditionalFormatting sqref="AJ142">
    <cfRule type="cellIs" dxfId="2071" priority="58009" stopIfTrue="1" operator="equal">
      <formula>"En cours"</formula>
    </cfRule>
  </conditionalFormatting>
  <conditionalFormatting sqref="AJ142">
    <cfRule type="cellIs" dxfId="2070" priority="58010" stopIfTrue="1" operator="notEqual">
      <formula>"En cours"</formula>
    </cfRule>
  </conditionalFormatting>
  <conditionalFormatting sqref="AK142">
    <cfRule type="cellIs" dxfId="2069" priority="58011" stopIfTrue="1" operator="equal">
      <formula>"En cours"</formula>
    </cfRule>
  </conditionalFormatting>
  <conditionalFormatting sqref="AK142">
    <cfRule type="cellIs" dxfId="2068" priority="58012" stopIfTrue="1" operator="notEqual">
      <formula>"En cours"</formula>
    </cfRule>
  </conditionalFormatting>
  <conditionalFormatting sqref="AJ145">
    <cfRule type="cellIs" dxfId="2063" priority="58017" stopIfTrue="1" operator="equal">
      <formula>"En cours"</formula>
    </cfRule>
  </conditionalFormatting>
  <conditionalFormatting sqref="AJ145">
    <cfRule type="cellIs" dxfId="2062" priority="58018" stopIfTrue="1" operator="notEqual">
      <formula>"En cours"</formula>
    </cfRule>
  </conditionalFormatting>
  <conditionalFormatting sqref="AK145">
    <cfRule type="cellIs" dxfId="2061" priority="58019" stopIfTrue="1" operator="equal">
      <formula>"En cours"</formula>
    </cfRule>
  </conditionalFormatting>
  <conditionalFormatting sqref="AK145">
    <cfRule type="cellIs" dxfId="2060" priority="58020" stopIfTrue="1" operator="notEqual">
      <formula>"En cours"</formula>
    </cfRule>
  </conditionalFormatting>
  <conditionalFormatting sqref="AJ28">
    <cfRule type="cellIs" dxfId="2019" priority="58061" stopIfTrue="1" operator="equal">
      <formula>"En cours"</formula>
    </cfRule>
  </conditionalFormatting>
  <conditionalFormatting sqref="AJ28">
    <cfRule type="cellIs" dxfId="2018" priority="58062" stopIfTrue="1" operator="notEqual">
      <formula>"En cours"</formula>
    </cfRule>
  </conditionalFormatting>
  <conditionalFormatting sqref="AK28">
    <cfRule type="cellIs" dxfId="2017" priority="58063" stopIfTrue="1" operator="equal">
      <formula>"En cours"</formula>
    </cfRule>
  </conditionalFormatting>
  <conditionalFormatting sqref="AK28">
    <cfRule type="cellIs" dxfId="2016" priority="58064" stopIfTrue="1" operator="notEqual">
      <formula>"En cours"</formula>
    </cfRule>
  </conditionalFormatting>
  <conditionalFormatting sqref="AJ123">
    <cfRule type="cellIs" dxfId="2011" priority="58069" stopIfTrue="1" operator="equal">
      <formula>"En cours"</formula>
    </cfRule>
  </conditionalFormatting>
  <conditionalFormatting sqref="AJ123">
    <cfRule type="cellIs" dxfId="2010" priority="58070" stopIfTrue="1" operator="notEqual">
      <formula>"En cours"</formula>
    </cfRule>
  </conditionalFormatting>
  <conditionalFormatting sqref="AK123">
    <cfRule type="cellIs" dxfId="2009" priority="58071" stopIfTrue="1" operator="equal">
      <formula>"En cours"</formula>
    </cfRule>
  </conditionalFormatting>
  <conditionalFormatting sqref="AK123">
    <cfRule type="cellIs" dxfId="2008" priority="58072" stopIfTrue="1" operator="notEqual">
      <formula>"En cours"</formula>
    </cfRule>
  </conditionalFormatting>
  <conditionalFormatting sqref="AJ33">
    <cfRule type="cellIs" dxfId="2007" priority="58073" stopIfTrue="1" operator="equal">
      <formula>"En cours"</formula>
    </cfRule>
  </conditionalFormatting>
  <conditionalFormatting sqref="AJ33">
    <cfRule type="cellIs" dxfId="2006" priority="58074" stopIfTrue="1" operator="notEqual">
      <formula>"En cours"</formula>
    </cfRule>
  </conditionalFormatting>
  <conditionalFormatting sqref="AK33">
    <cfRule type="cellIs" dxfId="2005" priority="58075" stopIfTrue="1" operator="equal">
      <formula>"En cours"</formula>
    </cfRule>
  </conditionalFormatting>
  <conditionalFormatting sqref="AK33">
    <cfRule type="cellIs" dxfId="2004" priority="58076" stopIfTrue="1" operator="notEqual">
      <formula>"En cours"</formula>
    </cfRule>
  </conditionalFormatting>
  <conditionalFormatting sqref="AJ88">
    <cfRule type="cellIs" dxfId="2003" priority="58077" stopIfTrue="1" operator="equal">
      <formula>"En cours"</formula>
    </cfRule>
  </conditionalFormatting>
  <conditionalFormatting sqref="AJ88">
    <cfRule type="cellIs" dxfId="2002" priority="58078" stopIfTrue="1" operator="notEqual">
      <formula>"En cours"</formula>
    </cfRule>
  </conditionalFormatting>
  <conditionalFormatting sqref="AK88">
    <cfRule type="cellIs" dxfId="2001" priority="58079" stopIfTrue="1" operator="equal">
      <formula>"En cours"</formula>
    </cfRule>
  </conditionalFormatting>
  <conditionalFormatting sqref="AK88">
    <cfRule type="cellIs" dxfId="2000" priority="58080" stopIfTrue="1" operator="notEqual">
      <formula>"En cours"</formula>
    </cfRule>
  </conditionalFormatting>
  <conditionalFormatting sqref="AJ156">
    <cfRule type="cellIs" dxfId="1963" priority="58117" stopIfTrue="1" operator="equal">
      <formula>"En cours"</formula>
    </cfRule>
  </conditionalFormatting>
  <conditionalFormatting sqref="AJ156">
    <cfRule type="cellIs" dxfId="1962" priority="58118" stopIfTrue="1" operator="notEqual">
      <formula>"En cours"</formula>
    </cfRule>
  </conditionalFormatting>
  <conditionalFormatting sqref="AK156">
    <cfRule type="cellIs" dxfId="1961" priority="58119" stopIfTrue="1" operator="equal">
      <formula>"En cours"</formula>
    </cfRule>
  </conditionalFormatting>
  <conditionalFormatting sqref="AK156">
    <cfRule type="cellIs" dxfId="1960" priority="58120" stopIfTrue="1" operator="notEqual">
      <formula>"En cours"</formula>
    </cfRule>
  </conditionalFormatting>
  <conditionalFormatting sqref="AJ66">
    <cfRule type="cellIs" dxfId="1943" priority="58137" stopIfTrue="1" operator="equal">
      <formula>"En cours"</formula>
    </cfRule>
  </conditionalFormatting>
  <conditionalFormatting sqref="AJ66">
    <cfRule type="cellIs" dxfId="1942" priority="58138" stopIfTrue="1" operator="notEqual">
      <formula>"En cours"</formula>
    </cfRule>
  </conditionalFormatting>
  <conditionalFormatting sqref="AK66">
    <cfRule type="cellIs" dxfId="1941" priority="58139" stopIfTrue="1" operator="equal">
      <formula>"En cours"</formula>
    </cfRule>
  </conditionalFormatting>
  <conditionalFormatting sqref="AK66">
    <cfRule type="cellIs" dxfId="1940" priority="58140" stopIfTrue="1" operator="notEqual">
      <formula>"En cours"</formula>
    </cfRule>
  </conditionalFormatting>
  <conditionalFormatting sqref="AJ129">
    <cfRule type="cellIs" dxfId="1931" priority="58149" stopIfTrue="1" operator="equal">
      <formula>"En cours"</formula>
    </cfRule>
  </conditionalFormatting>
  <conditionalFormatting sqref="AJ129">
    <cfRule type="cellIs" dxfId="1930" priority="58150" stopIfTrue="1" operator="notEqual">
      <formula>"En cours"</formula>
    </cfRule>
  </conditionalFormatting>
  <conditionalFormatting sqref="AK129">
    <cfRule type="cellIs" dxfId="1929" priority="58151" stopIfTrue="1" operator="equal">
      <formula>"En cours"</formula>
    </cfRule>
  </conditionalFormatting>
  <conditionalFormatting sqref="AK129">
    <cfRule type="cellIs" dxfId="1928" priority="58152" stopIfTrue="1" operator="notEqual">
      <formula>"En cours"</formula>
    </cfRule>
  </conditionalFormatting>
  <conditionalFormatting sqref="AJ163">
    <cfRule type="cellIs" dxfId="1923" priority="58157" stopIfTrue="1" operator="equal">
      <formula>"En cours"</formula>
    </cfRule>
  </conditionalFormatting>
  <conditionalFormatting sqref="AJ163">
    <cfRule type="cellIs" dxfId="1922" priority="58158" stopIfTrue="1" operator="notEqual">
      <formula>"En cours"</formula>
    </cfRule>
  </conditionalFormatting>
  <conditionalFormatting sqref="AK163">
    <cfRule type="cellIs" dxfId="1921" priority="58159" stopIfTrue="1" operator="equal">
      <formula>"En cours"</formula>
    </cfRule>
  </conditionalFormatting>
  <conditionalFormatting sqref="AK163">
    <cfRule type="cellIs" dxfId="1920" priority="58160" stopIfTrue="1" operator="notEqual">
      <formula>"En cours"</formula>
    </cfRule>
  </conditionalFormatting>
  <conditionalFormatting sqref="AJ171">
    <cfRule type="cellIs" dxfId="1891" priority="58189" stopIfTrue="1" operator="equal">
      <formula>"En cours"</formula>
    </cfRule>
  </conditionalFormatting>
  <conditionalFormatting sqref="AJ171">
    <cfRule type="cellIs" dxfId="1890" priority="58190" stopIfTrue="1" operator="notEqual">
      <formula>"En cours"</formula>
    </cfRule>
  </conditionalFormatting>
  <conditionalFormatting sqref="AK171">
    <cfRule type="cellIs" dxfId="1889" priority="58191" stopIfTrue="1" operator="equal">
      <formula>"En cours"</formula>
    </cfRule>
  </conditionalFormatting>
  <conditionalFormatting sqref="AK171">
    <cfRule type="cellIs" dxfId="1888" priority="58192" stopIfTrue="1" operator="notEqual">
      <formula>"En cours"</formula>
    </cfRule>
  </conditionalFormatting>
  <conditionalFormatting sqref="AJ154">
    <cfRule type="cellIs" dxfId="1887" priority="58193" stopIfTrue="1" operator="equal">
      <formula>"En cours"</formula>
    </cfRule>
  </conditionalFormatting>
  <conditionalFormatting sqref="AJ154">
    <cfRule type="cellIs" dxfId="1886" priority="58194" stopIfTrue="1" operator="notEqual">
      <formula>"En cours"</formula>
    </cfRule>
  </conditionalFormatting>
  <conditionalFormatting sqref="AK154">
    <cfRule type="cellIs" dxfId="1885" priority="58195" stopIfTrue="1" operator="equal">
      <formula>"En cours"</formula>
    </cfRule>
  </conditionalFormatting>
  <conditionalFormatting sqref="AK154">
    <cfRule type="cellIs" dxfId="1884" priority="58196" stopIfTrue="1" operator="notEqual">
      <formula>"En cours"</formula>
    </cfRule>
  </conditionalFormatting>
  <conditionalFormatting sqref="AJ120">
    <cfRule type="cellIs" dxfId="1635" priority="58445" stopIfTrue="1" operator="equal">
      <formula>"En cours"</formula>
    </cfRule>
  </conditionalFormatting>
  <conditionalFormatting sqref="AJ120">
    <cfRule type="cellIs" dxfId="1634" priority="58446" stopIfTrue="1" operator="notEqual">
      <formula>"En cours"</formula>
    </cfRule>
  </conditionalFormatting>
  <conditionalFormatting sqref="AK120">
    <cfRule type="cellIs" dxfId="1633" priority="58447" stopIfTrue="1" operator="equal">
      <formula>"En cours"</formula>
    </cfRule>
  </conditionalFormatting>
  <conditionalFormatting sqref="AK120">
    <cfRule type="cellIs" dxfId="1632" priority="58448" stopIfTrue="1" operator="notEqual">
      <formula>"En cours"</formula>
    </cfRule>
  </conditionalFormatting>
  <conditionalFormatting sqref="AJ80">
    <cfRule type="cellIs" dxfId="1627" priority="58453" stopIfTrue="1" operator="equal">
      <formula>"En cours"</formula>
    </cfRule>
  </conditionalFormatting>
  <conditionalFormatting sqref="AJ80">
    <cfRule type="cellIs" dxfId="1626" priority="58454" stopIfTrue="1" operator="notEqual">
      <formula>"En cours"</formula>
    </cfRule>
  </conditionalFormatting>
  <conditionalFormatting sqref="AK80">
    <cfRule type="cellIs" dxfId="1625" priority="58455" stopIfTrue="1" operator="equal">
      <formula>"En cours"</formula>
    </cfRule>
  </conditionalFormatting>
  <conditionalFormatting sqref="AK80">
    <cfRule type="cellIs" dxfId="1624" priority="58456" stopIfTrue="1" operator="notEqual">
      <formula>"En cours"</formula>
    </cfRule>
  </conditionalFormatting>
  <conditionalFormatting sqref="AJ138">
    <cfRule type="cellIs" dxfId="1607" priority="58473" stopIfTrue="1" operator="equal">
      <formula>"En cours"</formula>
    </cfRule>
  </conditionalFormatting>
  <conditionalFormatting sqref="AJ138">
    <cfRule type="cellIs" dxfId="1606" priority="58474" stopIfTrue="1" operator="notEqual">
      <formula>"En cours"</formula>
    </cfRule>
  </conditionalFormatting>
  <conditionalFormatting sqref="AK138">
    <cfRule type="cellIs" dxfId="1605" priority="58475" stopIfTrue="1" operator="equal">
      <formula>"En cours"</formula>
    </cfRule>
  </conditionalFormatting>
  <conditionalFormatting sqref="AK138">
    <cfRule type="cellIs" dxfId="1604" priority="58476" stopIfTrue="1" operator="notEqual">
      <formula>"En cours"</formula>
    </cfRule>
  </conditionalFormatting>
  <conditionalFormatting sqref="AJ174">
    <cfRule type="cellIs" dxfId="1603" priority="58477" stopIfTrue="1" operator="equal">
      <formula>"En cours"</formula>
    </cfRule>
  </conditionalFormatting>
  <conditionalFormatting sqref="AJ174">
    <cfRule type="cellIs" dxfId="1602" priority="58478" stopIfTrue="1" operator="notEqual">
      <formula>"En cours"</formula>
    </cfRule>
  </conditionalFormatting>
  <conditionalFormatting sqref="AK174">
    <cfRule type="cellIs" dxfId="1601" priority="58479" stopIfTrue="1" operator="equal">
      <formula>"En cours"</formula>
    </cfRule>
  </conditionalFormatting>
  <conditionalFormatting sqref="AK174">
    <cfRule type="cellIs" dxfId="1600" priority="58480" stopIfTrue="1" operator="notEqual">
      <formula>"En cours"</formula>
    </cfRule>
  </conditionalFormatting>
  <conditionalFormatting sqref="AJ121">
    <cfRule type="cellIs" dxfId="1595" priority="58485" stopIfTrue="1" operator="equal">
      <formula>"En cours"</formula>
    </cfRule>
  </conditionalFormatting>
  <conditionalFormatting sqref="AJ121">
    <cfRule type="cellIs" dxfId="1594" priority="58486" stopIfTrue="1" operator="notEqual">
      <formula>"En cours"</formula>
    </cfRule>
  </conditionalFormatting>
  <conditionalFormatting sqref="AK121">
    <cfRule type="cellIs" dxfId="1593" priority="58487" stopIfTrue="1" operator="equal">
      <formula>"En cours"</formula>
    </cfRule>
  </conditionalFormatting>
  <conditionalFormatting sqref="AK121">
    <cfRule type="cellIs" dxfId="1592" priority="58488" stopIfTrue="1" operator="notEqual">
      <formula>"En cours"</formula>
    </cfRule>
  </conditionalFormatting>
  <conditionalFormatting sqref="AJ83">
    <cfRule type="cellIs" dxfId="1591" priority="58489" stopIfTrue="1" operator="equal">
      <formula>"En cours"</formula>
    </cfRule>
  </conditionalFormatting>
  <conditionalFormatting sqref="AJ83">
    <cfRule type="cellIs" dxfId="1590" priority="58490" stopIfTrue="1" operator="notEqual">
      <formula>"En cours"</formula>
    </cfRule>
  </conditionalFormatting>
  <conditionalFormatting sqref="AK83">
    <cfRule type="cellIs" dxfId="1589" priority="58491" stopIfTrue="1" operator="equal">
      <formula>"En cours"</formula>
    </cfRule>
  </conditionalFormatting>
  <conditionalFormatting sqref="AK83">
    <cfRule type="cellIs" dxfId="1588" priority="58492" stopIfTrue="1" operator="notEqual">
      <formula>"En cours"</formula>
    </cfRule>
  </conditionalFormatting>
  <conditionalFormatting sqref="AJ170">
    <cfRule type="cellIs" dxfId="1567" priority="58513" stopIfTrue="1" operator="equal">
      <formula>"En cours"</formula>
    </cfRule>
  </conditionalFormatting>
  <conditionalFormatting sqref="AJ170">
    <cfRule type="cellIs" dxfId="1566" priority="58514" stopIfTrue="1" operator="notEqual">
      <formula>"En cours"</formula>
    </cfRule>
  </conditionalFormatting>
  <conditionalFormatting sqref="AK170">
    <cfRule type="cellIs" dxfId="1565" priority="58515" stopIfTrue="1" operator="equal">
      <formula>"En cours"</formula>
    </cfRule>
  </conditionalFormatting>
  <conditionalFormatting sqref="AK170">
    <cfRule type="cellIs" dxfId="1564" priority="58516" stopIfTrue="1" operator="notEqual">
      <formula>"En cours"</formula>
    </cfRule>
  </conditionalFormatting>
  <conditionalFormatting sqref="AJ26">
    <cfRule type="cellIs" dxfId="1559" priority="58521" stopIfTrue="1" operator="equal">
      <formula>"En cours"</formula>
    </cfRule>
  </conditionalFormatting>
  <conditionalFormatting sqref="AJ26">
    <cfRule type="cellIs" dxfId="1558" priority="58522" stopIfTrue="1" operator="notEqual">
      <formula>"En cours"</formula>
    </cfRule>
  </conditionalFormatting>
  <conditionalFormatting sqref="AK26">
    <cfRule type="cellIs" dxfId="1557" priority="58523" stopIfTrue="1" operator="equal">
      <formula>"En cours"</formula>
    </cfRule>
  </conditionalFormatting>
  <conditionalFormatting sqref="AK26">
    <cfRule type="cellIs" dxfId="1556" priority="58524" stopIfTrue="1" operator="notEqual">
      <formula>"En cours"</formula>
    </cfRule>
  </conditionalFormatting>
  <conditionalFormatting sqref="AJ93">
    <cfRule type="cellIs" dxfId="1555" priority="58525" stopIfTrue="1" operator="equal">
      <formula>"En cours"</formula>
    </cfRule>
  </conditionalFormatting>
  <conditionalFormatting sqref="AJ93">
    <cfRule type="cellIs" dxfId="1554" priority="58526" stopIfTrue="1" operator="notEqual">
      <formula>"En cours"</formula>
    </cfRule>
  </conditionalFormatting>
  <conditionalFormatting sqref="AK93">
    <cfRule type="cellIs" dxfId="1553" priority="58527" stopIfTrue="1" operator="equal">
      <formula>"En cours"</formula>
    </cfRule>
  </conditionalFormatting>
  <conditionalFormatting sqref="AK93">
    <cfRule type="cellIs" dxfId="1552" priority="58528" stopIfTrue="1" operator="notEqual">
      <formula>"En cours"</formula>
    </cfRule>
  </conditionalFormatting>
  <conditionalFormatting sqref="AJ84">
    <cfRule type="cellIs" dxfId="1551" priority="58529" stopIfTrue="1" operator="equal">
      <formula>"En cours"</formula>
    </cfRule>
  </conditionalFormatting>
  <conditionalFormatting sqref="AJ84">
    <cfRule type="cellIs" dxfId="1550" priority="58530" stopIfTrue="1" operator="notEqual">
      <formula>"En cours"</formula>
    </cfRule>
  </conditionalFormatting>
  <conditionalFormatting sqref="AK84">
    <cfRule type="cellIs" dxfId="1549" priority="58531" stopIfTrue="1" operator="equal">
      <formula>"En cours"</formula>
    </cfRule>
  </conditionalFormatting>
  <conditionalFormatting sqref="AK84">
    <cfRule type="cellIs" dxfId="1548" priority="58532" stopIfTrue="1" operator="notEqual">
      <formula>"En cours"</formula>
    </cfRule>
  </conditionalFormatting>
  <conditionalFormatting sqref="AJ89">
    <cfRule type="cellIs" dxfId="1527" priority="58553" stopIfTrue="1" operator="equal">
      <formula>"En cours"</formula>
    </cfRule>
  </conditionalFormatting>
  <conditionalFormatting sqref="AJ89">
    <cfRule type="cellIs" dxfId="1526" priority="58554" stopIfTrue="1" operator="notEqual">
      <formula>"En cours"</formula>
    </cfRule>
  </conditionalFormatting>
  <conditionalFormatting sqref="AK89">
    <cfRule type="cellIs" dxfId="1525" priority="58555" stopIfTrue="1" operator="equal">
      <formula>"En cours"</formula>
    </cfRule>
  </conditionalFormatting>
  <conditionalFormatting sqref="AK89">
    <cfRule type="cellIs" dxfId="1524" priority="58556" stopIfTrue="1" operator="notEqual">
      <formula>"En cours"</formula>
    </cfRule>
  </conditionalFormatting>
  <conditionalFormatting sqref="AJ148">
    <cfRule type="cellIs" dxfId="1515" priority="58565" stopIfTrue="1" operator="equal">
      <formula>"En cours"</formula>
    </cfRule>
  </conditionalFormatting>
  <conditionalFormatting sqref="AJ148">
    <cfRule type="cellIs" dxfId="1514" priority="58566" stopIfTrue="1" operator="notEqual">
      <formula>"En cours"</formula>
    </cfRule>
  </conditionalFormatting>
  <conditionalFormatting sqref="AK148">
    <cfRule type="cellIs" dxfId="1513" priority="58567" stopIfTrue="1" operator="equal">
      <formula>"En cours"</formula>
    </cfRule>
  </conditionalFormatting>
  <conditionalFormatting sqref="AK148">
    <cfRule type="cellIs" dxfId="1512" priority="58568" stopIfTrue="1" operator="notEqual">
      <formula>"En cours"</formula>
    </cfRule>
  </conditionalFormatting>
  <conditionalFormatting sqref="AJ96">
    <cfRule type="cellIs" dxfId="1495" priority="58585" stopIfTrue="1" operator="equal">
      <formula>"En cours"</formula>
    </cfRule>
  </conditionalFormatting>
  <conditionalFormatting sqref="AJ96">
    <cfRule type="cellIs" dxfId="1494" priority="58586" stopIfTrue="1" operator="notEqual">
      <formula>"En cours"</formula>
    </cfRule>
  </conditionalFormatting>
  <conditionalFormatting sqref="AK96">
    <cfRule type="cellIs" dxfId="1493" priority="58587" stopIfTrue="1" operator="equal">
      <formula>"En cours"</formula>
    </cfRule>
  </conditionalFormatting>
  <conditionalFormatting sqref="AK96">
    <cfRule type="cellIs" dxfId="1492" priority="58588" stopIfTrue="1" operator="notEqual">
      <formula>"En cours"</formula>
    </cfRule>
  </conditionalFormatting>
  <conditionalFormatting sqref="AJ57">
    <cfRule type="cellIs" dxfId="1487" priority="58593" stopIfTrue="1" operator="equal">
      <formula>"En cours"</formula>
    </cfRule>
  </conditionalFormatting>
  <conditionalFormatting sqref="AJ57">
    <cfRule type="cellIs" dxfId="1486" priority="58594" stopIfTrue="1" operator="notEqual">
      <formula>"En cours"</formula>
    </cfRule>
  </conditionalFormatting>
  <conditionalFormatting sqref="AK57">
    <cfRule type="cellIs" dxfId="1485" priority="58595" stopIfTrue="1" operator="equal">
      <formula>"En cours"</formula>
    </cfRule>
  </conditionalFormatting>
  <conditionalFormatting sqref="AK57">
    <cfRule type="cellIs" dxfId="1484" priority="58596" stopIfTrue="1" operator="notEqual">
      <formula>"En cours"</formula>
    </cfRule>
  </conditionalFormatting>
  <conditionalFormatting sqref="AJ101">
    <cfRule type="cellIs" dxfId="1475" priority="58605" stopIfTrue="1" operator="equal">
      <formula>"En cours"</formula>
    </cfRule>
  </conditionalFormatting>
  <conditionalFormatting sqref="AJ101">
    <cfRule type="cellIs" dxfId="1474" priority="58606" stopIfTrue="1" operator="notEqual">
      <formula>"En cours"</formula>
    </cfRule>
  </conditionalFormatting>
  <conditionalFormatting sqref="AK101">
    <cfRule type="cellIs" dxfId="1473" priority="58607" stopIfTrue="1" operator="equal">
      <formula>"En cours"</formula>
    </cfRule>
  </conditionalFormatting>
  <conditionalFormatting sqref="AK101">
    <cfRule type="cellIs" dxfId="1472" priority="58608" stopIfTrue="1" operator="notEqual">
      <formula>"En cours"</formula>
    </cfRule>
  </conditionalFormatting>
  <conditionalFormatting sqref="AJ114">
    <cfRule type="cellIs" dxfId="1467" priority="58613" stopIfTrue="1" operator="equal">
      <formula>"En cours"</formula>
    </cfRule>
  </conditionalFormatting>
  <conditionalFormatting sqref="AJ114">
    <cfRule type="cellIs" dxfId="1466" priority="58614" stopIfTrue="1" operator="notEqual">
      <formula>"En cours"</formula>
    </cfRule>
  </conditionalFormatting>
  <conditionalFormatting sqref="AK114">
    <cfRule type="cellIs" dxfId="1465" priority="58615" stopIfTrue="1" operator="equal">
      <formula>"En cours"</formula>
    </cfRule>
  </conditionalFormatting>
  <conditionalFormatting sqref="AK114">
    <cfRule type="cellIs" dxfId="1464" priority="58616" stopIfTrue="1" operator="notEqual">
      <formula>"En cours"</formula>
    </cfRule>
  </conditionalFormatting>
  <conditionalFormatting sqref="AJ116">
    <cfRule type="cellIs" dxfId="1455" priority="58625" stopIfTrue="1" operator="equal">
      <formula>"En cours"</formula>
    </cfRule>
  </conditionalFormatting>
  <conditionalFormatting sqref="AJ116">
    <cfRule type="cellIs" dxfId="1454" priority="58626" stopIfTrue="1" operator="notEqual">
      <formula>"En cours"</formula>
    </cfRule>
  </conditionalFormatting>
  <conditionalFormatting sqref="AK116">
    <cfRule type="cellIs" dxfId="1453" priority="58627" stopIfTrue="1" operator="equal">
      <formula>"En cours"</formula>
    </cfRule>
  </conditionalFormatting>
  <conditionalFormatting sqref="AK116">
    <cfRule type="cellIs" dxfId="1452" priority="58628" stopIfTrue="1" operator="notEqual">
      <formula>"En cours"</formula>
    </cfRule>
  </conditionalFormatting>
  <conditionalFormatting sqref="AJ159">
    <cfRule type="cellIs" dxfId="1443" priority="58637" stopIfTrue="1" operator="equal">
      <formula>"En cours"</formula>
    </cfRule>
  </conditionalFormatting>
  <conditionalFormatting sqref="AJ159">
    <cfRule type="cellIs" dxfId="1442" priority="58638" stopIfTrue="1" operator="notEqual">
      <formula>"En cours"</formula>
    </cfRule>
  </conditionalFormatting>
  <conditionalFormatting sqref="AK159">
    <cfRule type="cellIs" dxfId="1441" priority="58639" stopIfTrue="1" operator="equal">
      <formula>"En cours"</formula>
    </cfRule>
  </conditionalFormatting>
  <conditionalFormatting sqref="AK159">
    <cfRule type="cellIs" dxfId="1440" priority="58640" stopIfTrue="1" operator="notEqual">
      <formula>"En cours"</formula>
    </cfRule>
  </conditionalFormatting>
  <conditionalFormatting sqref="AJ71">
    <cfRule type="cellIs" dxfId="1439" priority="58641" stopIfTrue="1" operator="equal">
      <formula>"En cours"</formula>
    </cfRule>
  </conditionalFormatting>
  <conditionalFormatting sqref="AJ71">
    <cfRule type="cellIs" dxfId="1438" priority="58642" stopIfTrue="1" operator="notEqual">
      <formula>"En cours"</formula>
    </cfRule>
  </conditionalFormatting>
  <conditionalFormatting sqref="AK71">
    <cfRule type="cellIs" dxfId="1437" priority="58643" stopIfTrue="1" operator="equal">
      <formula>"En cours"</formula>
    </cfRule>
  </conditionalFormatting>
  <conditionalFormatting sqref="AK71">
    <cfRule type="cellIs" dxfId="1436" priority="58644" stopIfTrue="1" operator="notEqual">
      <formula>"En cours"</formula>
    </cfRule>
  </conditionalFormatting>
  <conditionalFormatting sqref="AJ77">
    <cfRule type="cellIs" dxfId="1435" priority="58645" stopIfTrue="1" operator="equal">
      <formula>"En cours"</formula>
    </cfRule>
  </conditionalFormatting>
  <conditionalFormatting sqref="AJ77">
    <cfRule type="cellIs" dxfId="1434" priority="58646" stopIfTrue="1" operator="notEqual">
      <formula>"En cours"</formula>
    </cfRule>
  </conditionalFormatting>
  <conditionalFormatting sqref="AK77">
    <cfRule type="cellIs" dxfId="1433" priority="58647" stopIfTrue="1" operator="equal">
      <formula>"En cours"</formula>
    </cfRule>
  </conditionalFormatting>
  <conditionalFormatting sqref="AK77">
    <cfRule type="cellIs" dxfId="1432" priority="58648" stopIfTrue="1" operator="notEqual">
      <formula>"En cours"</formula>
    </cfRule>
  </conditionalFormatting>
  <conditionalFormatting sqref="AJ68">
    <cfRule type="cellIs" dxfId="1431" priority="58649" stopIfTrue="1" operator="equal">
      <formula>"En cours"</formula>
    </cfRule>
  </conditionalFormatting>
  <conditionalFormatting sqref="AJ68">
    <cfRule type="cellIs" dxfId="1430" priority="58650" stopIfTrue="1" operator="notEqual">
      <formula>"En cours"</formula>
    </cfRule>
  </conditionalFormatting>
  <conditionalFormatting sqref="AK68">
    <cfRule type="cellIs" dxfId="1429" priority="58651" stopIfTrue="1" operator="equal">
      <formula>"En cours"</formula>
    </cfRule>
  </conditionalFormatting>
  <conditionalFormatting sqref="AK68">
    <cfRule type="cellIs" dxfId="1428" priority="58652" stopIfTrue="1" operator="notEqual">
      <formula>"En cours"</formula>
    </cfRule>
  </conditionalFormatting>
  <conditionalFormatting sqref="AJ59">
    <cfRule type="cellIs" dxfId="1415" priority="58665" stopIfTrue="1" operator="equal">
      <formula>"En cours"</formula>
    </cfRule>
  </conditionalFormatting>
  <conditionalFormatting sqref="AJ59">
    <cfRule type="cellIs" dxfId="1414" priority="58666" stopIfTrue="1" operator="notEqual">
      <formula>"En cours"</formula>
    </cfRule>
  </conditionalFormatting>
  <conditionalFormatting sqref="AK59">
    <cfRule type="cellIs" dxfId="1413" priority="58667" stopIfTrue="1" operator="equal">
      <formula>"En cours"</formula>
    </cfRule>
  </conditionalFormatting>
  <conditionalFormatting sqref="AK59">
    <cfRule type="cellIs" dxfId="1412" priority="58668" stopIfTrue="1" operator="notEqual">
      <formula>"En cours"</formula>
    </cfRule>
  </conditionalFormatting>
  <conditionalFormatting sqref="AJ160">
    <cfRule type="cellIs" dxfId="1411" priority="58669" stopIfTrue="1" operator="equal">
      <formula>"En cours"</formula>
    </cfRule>
  </conditionalFormatting>
  <conditionalFormatting sqref="AJ160">
    <cfRule type="cellIs" dxfId="1410" priority="58670" stopIfTrue="1" operator="notEqual">
      <formula>"En cours"</formula>
    </cfRule>
  </conditionalFormatting>
  <conditionalFormatting sqref="AK160">
    <cfRule type="cellIs" dxfId="1409" priority="58671" stopIfTrue="1" operator="equal">
      <formula>"En cours"</formula>
    </cfRule>
  </conditionalFormatting>
  <conditionalFormatting sqref="AK160">
    <cfRule type="cellIs" dxfId="1408" priority="58672" stopIfTrue="1" operator="notEqual">
      <formula>"En cours"</formula>
    </cfRule>
  </conditionalFormatting>
  <conditionalFormatting sqref="AJ6">
    <cfRule type="cellIs" dxfId="1059" priority="59021" stopIfTrue="1" operator="equal">
      <formula>"En cours"</formula>
    </cfRule>
  </conditionalFormatting>
  <conditionalFormatting sqref="AJ6">
    <cfRule type="cellIs" dxfId="1058" priority="59022" stopIfTrue="1" operator="notEqual">
      <formula>"En cours"</formula>
    </cfRule>
  </conditionalFormatting>
  <conditionalFormatting sqref="AK6">
    <cfRule type="cellIs" dxfId="1057" priority="59023" stopIfTrue="1" operator="equal">
      <formula>"En cours"</formula>
    </cfRule>
  </conditionalFormatting>
  <conditionalFormatting sqref="AK6">
    <cfRule type="cellIs" dxfId="1056" priority="59024" stopIfTrue="1" operator="notEqual">
      <formula>"En cours"</formula>
    </cfRule>
  </conditionalFormatting>
  <conditionalFormatting sqref="AJ12">
    <cfRule type="cellIs" dxfId="1055" priority="59025" stopIfTrue="1" operator="equal">
      <formula>"En cours"</formula>
    </cfRule>
  </conditionalFormatting>
  <conditionalFormatting sqref="AJ12">
    <cfRule type="cellIs" dxfId="1054" priority="59026" stopIfTrue="1" operator="notEqual">
      <formula>"En cours"</formula>
    </cfRule>
  </conditionalFormatting>
  <conditionalFormatting sqref="AK12">
    <cfRule type="cellIs" dxfId="1053" priority="59027" stopIfTrue="1" operator="equal">
      <formula>"En cours"</formula>
    </cfRule>
  </conditionalFormatting>
  <conditionalFormatting sqref="AK12">
    <cfRule type="cellIs" dxfId="1052" priority="59028" stopIfTrue="1" operator="notEqual">
      <formula>"En cours"</formula>
    </cfRule>
  </conditionalFormatting>
  <conditionalFormatting sqref="AJ5">
    <cfRule type="cellIs" dxfId="1051" priority="59029" stopIfTrue="1" operator="equal">
      <formula>"En cours"</formula>
    </cfRule>
  </conditionalFormatting>
  <conditionalFormatting sqref="AJ5">
    <cfRule type="cellIs" dxfId="1050" priority="59030" stopIfTrue="1" operator="notEqual">
      <formula>"En cours"</formula>
    </cfRule>
  </conditionalFormatting>
  <conditionalFormatting sqref="AK5">
    <cfRule type="cellIs" dxfId="1049" priority="59031" stopIfTrue="1" operator="equal">
      <formula>"En cours"</formula>
    </cfRule>
  </conditionalFormatting>
  <conditionalFormatting sqref="AK5">
    <cfRule type="cellIs" dxfId="1048" priority="59032" stopIfTrue="1" operator="notEqual">
      <formula>"En cours"</formula>
    </cfRule>
  </conditionalFormatting>
  <conditionalFormatting sqref="AJ20">
    <cfRule type="cellIs" dxfId="1047" priority="59033" stopIfTrue="1" operator="equal">
      <formula>"En cours"</formula>
    </cfRule>
  </conditionalFormatting>
  <conditionalFormatting sqref="AJ20">
    <cfRule type="cellIs" dxfId="1046" priority="59034" stopIfTrue="1" operator="notEqual">
      <formula>"En cours"</formula>
    </cfRule>
  </conditionalFormatting>
  <conditionalFormatting sqref="AK20">
    <cfRule type="cellIs" dxfId="1045" priority="59035" stopIfTrue="1" operator="equal">
      <formula>"En cours"</formula>
    </cfRule>
  </conditionalFormatting>
  <conditionalFormatting sqref="AK20">
    <cfRule type="cellIs" dxfId="1044" priority="59036" stopIfTrue="1" operator="notEqual">
      <formula>"En cours"</formula>
    </cfRule>
  </conditionalFormatting>
  <conditionalFormatting sqref="AJ165">
    <cfRule type="cellIs" dxfId="1043" priority="59037" stopIfTrue="1" operator="equal">
      <formula>"En cours"</formula>
    </cfRule>
  </conditionalFormatting>
  <conditionalFormatting sqref="AJ165">
    <cfRule type="cellIs" dxfId="1042" priority="59038" stopIfTrue="1" operator="notEqual">
      <formula>"En cours"</formula>
    </cfRule>
  </conditionalFormatting>
  <conditionalFormatting sqref="AK165">
    <cfRule type="cellIs" dxfId="1041" priority="59039" stopIfTrue="1" operator="equal">
      <formula>"En cours"</formula>
    </cfRule>
  </conditionalFormatting>
  <conditionalFormatting sqref="AK165">
    <cfRule type="cellIs" dxfId="1040" priority="59040" stopIfTrue="1" operator="notEqual">
      <formula>"En cours"</formula>
    </cfRule>
  </conditionalFormatting>
  <conditionalFormatting sqref="AJ17">
    <cfRule type="cellIs" dxfId="1039" priority="59041" stopIfTrue="1" operator="equal">
      <formula>"En cours"</formula>
    </cfRule>
  </conditionalFormatting>
  <conditionalFormatting sqref="AJ17">
    <cfRule type="cellIs" dxfId="1038" priority="59042" stopIfTrue="1" operator="notEqual">
      <formula>"En cours"</formula>
    </cfRule>
  </conditionalFormatting>
  <conditionalFormatting sqref="AK17">
    <cfRule type="cellIs" dxfId="1037" priority="59043" stopIfTrue="1" operator="equal">
      <formula>"En cours"</formula>
    </cfRule>
  </conditionalFormatting>
  <conditionalFormatting sqref="AK17">
    <cfRule type="cellIs" dxfId="1036" priority="59044" stopIfTrue="1" operator="notEqual">
      <formula>"En cours"</formula>
    </cfRule>
  </conditionalFormatting>
  <conditionalFormatting sqref="AJ13">
    <cfRule type="cellIs" dxfId="1035" priority="59045" stopIfTrue="1" operator="equal">
      <formula>"En cours"</formula>
    </cfRule>
  </conditionalFormatting>
  <conditionalFormatting sqref="AJ13">
    <cfRule type="cellIs" dxfId="1034" priority="59046" stopIfTrue="1" operator="notEqual">
      <formula>"En cours"</formula>
    </cfRule>
  </conditionalFormatting>
  <conditionalFormatting sqref="AK13">
    <cfRule type="cellIs" dxfId="1033" priority="59047" stopIfTrue="1" operator="equal">
      <formula>"En cours"</formula>
    </cfRule>
  </conditionalFormatting>
  <conditionalFormatting sqref="AK13">
    <cfRule type="cellIs" dxfId="1032" priority="59048" stopIfTrue="1" operator="notEqual">
      <formula>"En cours"</formula>
    </cfRule>
  </conditionalFormatting>
  <conditionalFormatting sqref="AJ166">
    <cfRule type="cellIs" dxfId="1031" priority="59049" stopIfTrue="1" operator="equal">
      <formula>"En cours"</formula>
    </cfRule>
  </conditionalFormatting>
  <conditionalFormatting sqref="AJ166">
    <cfRule type="cellIs" dxfId="1030" priority="59050" stopIfTrue="1" operator="notEqual">
      <formula>"En cours"</formula>
    </cfRule>
  </conditionalFormatting>
  <conditionalFormatting sqref="AK166">
    <cfRule type="cellIs" dxfId="1029" priority="59051" stopIfTrue="1" operator="equal">
      <formula>"En cours"</formula>
    </cfRule>
  </conditionalFormatting>
  <conditionalFormatting sqref="AK166">
    <cfRule type="cellIs" dxfId="1028" priority="59052" stopIfTrue="1" operator="notEqual">
      <formula>"En cours"</formula>
    </cfRule>
  </conditionalFormatting>
  <conditionalFormatting sqref="AJ172">
    <cfRule type="cellIs" dxfId="1027" priority="59053" stopIfTrue="1" operator="equal">
      <formula>"En cours"</formula>
    </cfRule>
  </conditionalFormatting>
  <conditionalFormatting sqref="AJ172">
    <cfRule type="cellIs" dxfId="1026" priority="59054" stopIfTrue="1" operator="notEqual">
      <formula>"En cours"</formula>
    </cfRule>
  </conditionalFormatting>
  <conditionalFormatting sqref="AK172">
    <cfRule type="cellIs" dxfId="1025" priority="59055" stopIfTrue="1" operator="equal">
      <formula>"En cours"</formula>
    </cfRule>
  </conditionalFormatting>
  <conditionalFormatting sqref="AK172">
    <cfRule type="cellIs" dxfId="1024" priority="59056" stopIfTrue="1" operator="notEqual">
      <formula>"En cours"</formula>
    </cfRule>
  </conditionalFormatting>
  <conditionalFormatting sqref="AJ173">
    <cfRule type="cellIs" dxfId="1023" priority="59057" stopIfTrue="1" operator="equal">
      <formula>"En cours"</formula>
    </cfRule>
  </conditionalFormatting>
  <conditionalFormatting sqref="AJ173">
    <cfRule type="cellIs" dxfId="1022" priority="59058" stopIfTrue="1" operator="notEqual">
      <formula>"En cours"</formula>
    </cfRule>
  </conditionalFormatting>
  <conditionalFormatting sqref="AK173">
    <cfRule type="cellIs" dxfId="1021" priority="59059" stopIfTrue="1" operator="equal">
      <formula>"En cours"</formula>
    </cfRule>
  </conditionalFormatting>
  <conditionalFormatting sqref="AK173">
    <cfRule type="cellIs" dxfId="1020" priority="59060" stopIfTrue="1" operator="notEqual">
      <formula>"En cours"</formula>
    </cfRule>
  </conditionalFormatting>
  <conditionalFormatting sqref="AJ15">
    <cfRule type="cellIs" dxfId="1019" priority="59061" stopIfTrue="1" operator="equal">
      <formula>"En cours"</formula>
    </cfRule>
  </conditionalFormatting>
  <conditionalFormatting sqref="AJ15">
    <cfRule type="cellIs" dxfId="1018" priority="59062" stopIfTrue="1" operator="notEqual">
      <formula>"En cours"</formula>
    </cfRule>
  </conditionalFormatting>
  <conditionalFormatting sqref="AK15">
    <cfRule type="cellIs" dxfId="1017" priority="59063" stopIfTrue="1" operator="equal">
      <formula>"En cours"</formula>
    </cfRule>
  </conditionalFormatting>
  <conditionalFormatting sqref="AK15">
    <cfRule type="cellIs" dxfId="1016" priority="59064" stopIfTrue="1" operator="notEqual">
      <formula>"En cours"</formula>
    </cfRule>
  </conditionalFormatting>
  <conditionalFormatting sqref="AJ19">
    <cfRule type="cellIs" dxfId="1015" priority="59065" stopIfTrue="1" operator="equal">
      <formula>"En cours"</formula>
    </cfRule>
  </conditionalFormatting>
  <conditionalFormatting sqref="AJ19">
    <cfRule type="cellIs" dxfId="1014" priority="59066" stopIfTrue="1" operator="notEqual">
      <formula>"En cours"</formula>
    </cfRule>
  </conditionalFormatting>
  <conditionalFormatting sqref="AK19">
    <cfRule type="cellIs" dxfId="1013" priority="59067" stopIfTrue="1" operator="equal">
      <formula>"En cours"</formula>
    </cfRule>
  </conditionalFormatting>
  <conditionalFormatting sqref="AK19">
    <cfRule type="cellIs" dxfId="1012" priority="59068" stopIfTrue="1" operator="notEqual">
      <formula>"En cours"</formula>
    </cfRule>
  </conditionalFormatting>
  <conditionalFormatting sqref="AJ4">
    <cfRule type="cellIs" dxfId="1011" priority="59069" stopIfTrue="1" operator="equal">
      <formula>"En cours"</formula>
    </cfRule>
  </conditionalFormatting>
  <conditionalFormatting sqref="AJ4">
    <cfRule type="cellIs" dxfId="1010" priority="59070" stopIfTrue="1" operator="notEqual">
      <formula>"En cours"</formula>
    </cfRule>
  </conditionalFormatting>
  <conditionalFormatting sqref="AK4">
    <cfRule type="cellIs" dxfId="1009" priority="59071" stopIfTrue="1" operator="equal">
      <formula>"En cours"</formula>
    </cfRule>
  </conditionalFormatting>
  <conditionalFormatting sqref="AK4">
    <cfRule type="cellIs" dxfId="1008" priority="59072" stopIfTrue="1" operator="notEqual">
      <formula>"En cours"</formula>
    </cfRule>
  </conditionalFormatting>
  <conditionalFormatting sqref="AJ177">
    <cfRule type="cellIs" dxfId="1007" priority="59073" stopIfTrue="1" operator="equal">
      <formula>"En cours"</formula>
    </cfRule>
  </conditionalFormatting>
  <conditionalFormatting sqref="AJ177">
    <cfRule type="cellIs" dxfId="1006" priority="59074" stopIfTrue="1" operator="notEqual">
      <formula>"En cours"</formula>
    </cfRule>
  </conditionalFormatting>
  <conditionalFormatting sqref="AK177">
    <cfRule type="cellIs" dxfId="1005" priority="59075" stopIfTrue="1" operator="equal">
      <formula>"En cours"</formula>
    </cfRule>
  </conditionalFormatting>
  <conditionalFormatting sqref="AK177">
    <cfRule type="cellIs" dxfId="1004" priority="59076" stopIfTrue="1" operator="notEqual">
      <formula>"En cours"</formula>
    </cfRule>
  </conditionalFormatting>
  <conditionalFormatting sqref="AJ9">
    <cfRule type="cellIs" dxfId="1003" priority="59077" stopIfTrue="1" operator="equal">
      <formula>"En cours"</formula>
    </cfRule>
  </conditionalFormatting>
  <conditionalFormatting sqref="AJ9">
    <cfRule type="cellIs" dxfId="1002" priority="59078" stopIfTrue="1" operator="notEqual">
      <formula>"En cours"</formula>
    </cfRule>
  </conditionalFormatting>
  <conditionalFormatting sqref="AK9">
    <cfRule type="cellIs" dxfId="1001" priority="59079" stopIfTrue="1" operator="equal">
      <formula>"En cours"</formula>
    </cfRule>
  </conditionalFormatting>
  <conditionalFormatting sqref="AK9">
    <cfRule type="cellIs" dxfId="1000" priority="59080" stopIfTrue="1" operator="notEqual">
      <formula>"En cours"</formula>
    </cfRule>
  </conditionalFormatting>
  <conditionalFormatting sqref="AJ30">
    <cfRule type="cellIs" dxfId="999" priority="59081" stopIfTrue="1" operator="equal">
      <formula>"En cours"</formula>
    </cfRule>
  </conditionalFormatting>
  <conditionalFormatting sqref="AJ30">
    <cfRule type="cellIs" dxfId="998" priority="59082" stopIfTrue="1" operator="notEqual">
      <formula>"En cours"</formula>
    </cfRule>
  </conditionalFormatting>
  <conditionalFormatting sqref="AK30">
    <cfRule type="cellIs" dxfId="997" priority="59083" stopIfTrue="1" operator="equal">
      <formula>"En cours"</formula>
    </cfRule>
  </conditionalFormatting>
  <conditionalFormatting sqref="AK30">
    <cfRule type="cellIs" dxfId="996" priority="59084" stopIfTrue="1" operator="notEqual">
      <formula>"En cours"</formula>
    </cfRule>
  </conditionalFormatting>
  <conditionalFormatting sqref="AJ25">
    <cfRule type="cellIs" dxfId="995" priority="59085" stopIfTrue="1" operator="equal">
      <formula>"En cours"</formula>
    </cfRule>
  </conditionalFormatting>
  <conditionalFormatting sqref="AJ25">
    <cfRule type="cellIs" dxfId="994" priority="59086" stopIfTrue="1" operator="notEqual">
      <formula>"En cours"</formula>
    </cfRule>
  </conditionalFormatting>
  <conditionalFormatting sqref="AK25">
    <cfRule type="cellIs" dxfId="993" priority="59087" stopIfTrue="1" operator="equal">
      <formula>"En cours"</formula>
    </cfRule>
  </conditionalFormatting>
  <conditionalFormatting sqref="AK25">
    <cfRule type="cellIs" dxfId="992" priority="59088" stopIfTrue="1" operator="notEqual">
      <formula>"En cours"</formula>
    </cfRule>
  </conditionalFormatting>
  <conditionalFormatting sqref="AJ41">
    <cfRule type="cellIs" dxfId="991" priority="59089" stopIfTrue="1" operator="equal">
      <formula>"En cours"</formula>
    </cfRule>
    <cfRule type="cellIs" dxfId="990" priority="59090" stopIfTrue="1" operator="notEqual">
      <formula>"En cours"</formula>
    </cfRule>
  </conditionalFormatting>
  <conditionalFormatting sqref="AK41">
    <cfRule type="cellIs" dxfId="989" priority="59091" stopIfTrue="1" operator="equal">
      <formula>"En cours"</formula>
    </cfRule>
    <cfRule type="cellIs" dxfId="988" priority="59092" stopIfTrue="1" operator="notEqual">
      <formula>"En cours"</formula>
    </cfRule>
  </conditionalFormatting>
  <conditionalFormatting sqref="AJ86">
    <cfRule type="cellIs" dxfId="987" priority="59093" stopIfTrue="1" operator="equal">
      <formula>"En cours"</formula>
    </cfRule>
  </conditionalFormatting>
  <conditionalFormatting sqref="AJ86">
    <cfRule type="cellIs" dxfId="986" priority="59094" stopIfTrue="1" operator="notEqual">
      <formula>"En cours"</formula>
    </cfRule>
  </conditionalFormatting>
  <conditionalFormatting sqref="AK86">
    <cfRule type="cellIs" dxfId="985" priority="59095" stopIfTrue="1" operator="equal">
      <formula>"En cours"</formula>
    </cfRule>
  </conditionalFormatting>
  <conditionalFormatting sqref="AK86">
    <cfRule type="cellIs" dxfId="984" priority="59096" stopIfTrue="1" operator="notEqual">
      <formula>"En cours"</formula>
    </cfRule>
  </conditionalFormatting>
  <conditionalFormatting sqref="AJ146">
    <cfRule type="cellIs" dxfId="983" priority="59097" stopIfTrue="1" operator="equal">
      <formula>"En cours"</formula>
    </cfRule>
  </conditionalFormatting>
  <conditionalFormatting sqref="AJ146">
    <cfRule type="cellIs" dxfId="982" priority="59098" stopIfTrue="1" operator="notEqual">
      <formula>"En cours"</formula>
    </cfRule>
  </conditionalFormatting>
  <conditionalFormatting sqref="AK146">
    <cfRule type="cellIs" dxfId="981" priority="59099" stopIfTrue="1" operator="equal">
      <formula>"En cours"</formula>
    </cfRule>
  </conditionalFormatting>
  <conditionalFormatting sqref="AK146">
    <cfRule type="cellIs" dxfId="980" priority="59100" stopIfTrue="1" operator="notEqual">
      <formula>"En cours"</formula>
    </cfRule>
  </conditionalFormatting>
  <conditionalFormatting sqref="AJ40">
    <cfRule type="cellIs" dxfId="979" priority="59101" stopIfTrue="1" operator="equal">
      <formula>"En cours"</formula>
    </cfRule>
    <cfRule type="cellIs" dxfId="978" priority="59102" stopIfTrue="1" operator="notEqual">
      <formula>"En cours"</formula>
    </cfRule>
  </conditionalFormatting>
  <conditionalFormatting sqref="AK40">
    <cfRule type="cellIs" dxfId="977" priority="59103" stopIfTrue="1" operator="equal">
      <formula>"En cours"</formula>
    </cfRule>
    <cfRule type="cellIs" dxfId="976" priority="59104" stopIfTrue="1" operator="notEqual">
      <formula>"En cours"</formula>
    </cfRule>
  </conditionalFormatting>
  <conditionalFormatting sqref="AJ87">
    <cfRule type="cellIs" dxfId="975" priority="59105" stopIfTrue="1" operator="equal">
      <formula>"En cours"</formula>
    </cfRule>
  </conditionalFormatting>
  <conditionalFormatting sqref="AJ87">
    <cfRule type="cellIs" dxfId="974" priority="59106" stopIfTrue="1" operator="notEqual">
      <formula>"En cours"</formula>
    </cfRule>
  </conditionalFormatting>
  <conditionalFormatting sqref="AK87">
    <cfRule type="cellIs" dxfId="973" priority="59107" stopIfTrue="1" operator="equal">
      <formula>"En cours"</formula>
    </cfRule>
  </conditionalFormatting>
  <conditionalFormatting sqref="AK87">
    <cfRule type="cellIs" dxfId="972" priority="59108" stopIfTrue="1" operator="notEqual">
      <formula>"En cours"</formula>
    </cfRule>
  </conditionalFormatting>
  <conditionalFormatting sqref="AJ45">
    <cfRule type="cellIs" dxfId="971" priority="59109" stopIfTrue="1" operator="equal">
      <formula>"En cours"</formula>
    </cfRule>
  </conditionalFormatting>
  <conditionalFormatting sqref="AJ45">
    <cfRule type="cellIs" dxfId="970" priority="59110" stopIfTrue="1" operator="notEqual">
      <formula>"En cours"</formula>
    </cfRule>
  </conditionalFormatting>
  <conditionalFormatting sqref="AK45">
    <cfRule type="cellIs" dxfId="969" priority="59111" stopIfTrue="1" operator="equal">
      <formula>"En cours"</formula>
    </cfRule>
  </conditionalFormatting>
  <conditionalFormatting sqref="AK45">
    <cfRule type="cellIs" dxfId="968" priority="59112" stopIfTrue="1" operator="notEqual">
      <formula>"En cours"</formula>
    </cfRule>
  </conditionalFormatting>
  <conditionalFormatting sqref="AJ168">
    <cfRule type="cellIs" dxfId="967" priority="59113" stopIfTrue="1" operator="equal">
      <formula>"En cours"</formula>
    </cfRule>
  </conditionalFormatting>
  <conditionalFormatting sqref="AJ168">
    <cfRule type="cellIs" dxfId="966" priority="59114" stopIfTrue="1" operator="notEqual">
      <formula>"En cours"</formula>
    </cfRule>
  </conditionalFormatting>
  <conditionalFormatting sqref="AK168">
    <cfRule type="cellIs" dxfId="965" priority="59115" stopIfTrue="1" operator="equal">
      <formula>"En cours"</formula>
    </cfRule>
  </conditionalFormatting>
  <conditionalFormatting sqref="AK168">
    <cfRule type="cellIs" dxfId="964" priority="59116" stopIfTrue="1" operator="notEqual">
      <formula>"En cours"</formula>
    </cfRule>
  </conditionalFormatting>
  <conditionalFormatting sqref="AJ22">
    <cfRule type="cellIs" dxfId="963" priority="59117" stopIfTrue="1" operator="equal">
      <formula>"En cours"</formula>
    </cfRule>
  </conditionalFormatting>
  <conditionalFormatting sqref="AJ22">
    <cfRule type="cellIs" dxfId="962" priority="59118" stopIfTrue="1" operator="notEqual">
      <formula>"En cours"</formula>
    </cfRule>
  </conditionalFormatting>
  <conditionalFormatting sqref="AK22">
    <cfRule type="cellIs" dxfId="961" priority="59119" stopIfTrue="1" operator="equal">
      <formula>"En cours"</formula>
    </cfRule>
  </conditionalFormatting>
  <conditionalFormatting sqref="AK22">
    <cfRule type="cellIs" dxfId="960" priority="59120" stopIfTrue="1" operator="notEqual">
      <formula>"En cours"</formula>
    </cfRule>
  </conditionalFormatting>
  <conditionalFormatting sqref="AJ34">
    <cfRule type="cellIs" dxfId="959" priority="59121" stopIfTrue="1" operator="equal">
      <formula>"En cours"</formula>
    </cfRule>
  </conditionalFormatting>
  <conditionalFormatting sqref="AJ34">
    <cfRule type="cellIs" dxfId="958" priority="59122" stopIfTrue="1" operator="notEqual">
      <formula>"En cours"</formula>
    </cfRule>
  </conditionalFormatting>
  <conditionalFormatting sqref="AK34">
    <cfRule type="cellIs" dxfId="957" priority="59123" stopIfTrue="1" operator="equal">
      <formula>"En cours"</formula>
    </cfRule>
  </conditionalFormatting>
  <conditionalFormatting sqref="AK34">
    <cfRule type="cellIs" dxfId="956" priority="59124" stopIfTrue="1" operator="notEqual">
      <formula>"En cours"</formula>
    </cfRule>
  </conditionalFormatting>
  <conditionalFormatting sqref="AJ144">
    <cfRule type="cellIs" dxfId="955" priority="59125" stopIfTrue="1" operator="equal">
      <formula>"En cours"</formula>
    </cfRule>
  </conditionalFormatting>
  <conditionalFormatting sqref="AJ144">
    <cfRule type="cellIs" dxfId="954" priority="59126" stopIfTrue="1" operator="notEqual">
      <formula>"En cours"</formula>
    </cfRule>
  </conditionalFormatting>
  <conditionalFormatting sqref="AK144">
    <cfRule type="cellIs" dxfId="953" priority="59127" stopIfTrue="1" operator="equal">
      <formula>"En cours"</formula>
    </cfRule>
  </conditionalFormatting>
  <conditionalFormatting sqref="AK144">
    <cfRule type="cellIs" dxfId="952" priority="59128" stopIfTrue="1" operator="notEqual">
      <formula>"En cours"</formula>
    </cfRule>
  </conditionalFormatting>
  <conditionalFormatting sqref="AJ37">
    <cfRule type="cellIs" dxfId="951" priority="59129" stopIfTrue="1" operator="equal">
      <formula>"En cours"</formula>
    </cfRule>
    <cfRule type="cellIs" dxfId="950" priority="59130" stopIfTrue="1" operator="notEqual">
      <formula>"En cours"</formula>
    </cfRule>
  </conditionalFormatting>
  <conditionalFormatting sqref="AK37">
    <cfRule type="cellIs" dxfId="949" priority="59131" stopIfTrue="1" operator="equal">
      <formula>"En cours"</formula>
    </cfRule>
    <cfRule type="cellIs" dxfId="948" priority="59132" stopIfTrue="1" operator="notEqual">
      <formula>"En cours"</formula>
    </cfRule>
  </conditionalFormatting>
  <conditionalFormatting sqref="AJ99">
    <cfRule type="cellIs" dxfId="947" priority="59133" stopIfTrue="1" operator="equal">
      <formula>"En cours"</formula>
    </cfRule>
  </conditionalFormatting>
  <conditionalFormatting sqref="AJ99">
    <cfRule type="cellIs" dxfId="946" priority="59134" stopIfTrue="1" operator="notEqual">
      <formula>"En cours"</formula>
    </cfRule>
  </conditionalFormatting>
  <conditionalFormatting sqref="AK99">
    <cfRule type="cellIs" dxfId="945" priority="59135" stopIfTrue="1" operator="equal">
      <formula>"En cours"</formula>
    </cfRule>
  </conditionalFormatting>
  <conditionalFormatting sqref="AK99">
    <cfRule type="cellIs" dxfId="944" priority="59136" stopIfTrue="1" operator="notEqual">
      <formula>"En cours"</formula>
    </cfRule>
  </conditionalFormatting>
  <conditionalFormatting sqref="AJ90">
    <cfRule type="cellIs" dxfId="943" priority="59137" stopIfTrue="1" operator="equal">
      <formula>"En cours"</formula>
    </cfRule>
  </conditionalFormatting>
  <conditionalFormatting sqref="AJ90">
    <cfRule type="cellIs" dxfId="942" priority="59138" stopIfTrue="1" operator="notEqual">
      <formula>"En cours"</formula>
    </cfRule>
  </conditionalFormatting>
  <conditionalFormatting sqref="AK90">
    <cfRule type="cellIs" dxfId="941" priority="59139" stopIfTrue="1" operator="equal">
      <formula>"En cours"</formula>
    </cfRule>
  </conditionalFormatting>
  <conditionalFormatting sqref="AK90">
    <cfRule type="cellIs" dxfId="940" priority="59140" stopIfTrue="1" operator="notEqual">
      <formula>"En cours"</formula>
    </cfRule>
  </conditionalFormatting>
  <conditionalFormatting sqref="AJ141">
    <cfRule type="cellIs" dxfId="939" priority="59141" stopIfTrue="1" operator="equal">
      <formula>"En cours"</formula>
    </cfRule>
  </conditionalFormatting>
  <conditionalFormatting sqref="AJ141">
    <cfRule type="cellIs" dxfId="938" priority="59142" stopIfTrue="1" operator="notEqual">
      <formula>"En cours"</formula>
    </cfRule>
  </conditionalFormatting>
  <conditionalFormatting sqref="AK141">
    <cfRule type="cellIs" dxfId="937" priority="59143" stopIfTrue="1" operator="equal">
      <formula>"En cours"</formula>
    </cfRule>
  </conditionalFormatting>
  <conditionalFormatting sqref="AK141">
    <cfRule type="cellIs" dxfId="936" priority="59144" stopIfTrue="1" operator="notEqual">
      <formula>"En cours"</formula>
    </cfRule>
  </conditionalFormatting>
  <conditionalFormatting sqref="AJ85">
    <cfRule type="cellIs" dxfId="935" priority="59145" stopIfTrue="1" operator="equal">
      <formula>"En cours"</formula>
    </cfRule>
  </conditionalFormatting>
  <conditionalFormatting sqref="AJ85">
    <cfRule type="cellIs" dxfId="934" priority="59146" stopIfTrue="1" operator="notEqual">
      <formula>"En cours"</formula>
    </cfRule>
  </conditionalFormatting>
  <conditionalFormatting sqref="AK85">
    <cfRule type="cellIs" dxfId="933" priority="59147" stopIfTrue="1" operator="equal">
      <formula>"En cours"</formula>
    </cfRule>
  </conditionalFormatting>
  <conditionalFormatting sqref="AK85">
    <cfRule type="cellIs" dxfId="932" priority="59148" stopIfTrue="1" operator="notEqual">
      <formula>"En cours"</formula>
    </cfRule>
  </conditionalFormatting>
  <conditionalFormatting sqref="AJ36">
    <cfRule type="cellIs" dxfId="931" priority="59149" stopIfTrue="1" operator="equal">
      <formula>"En cours"</formula>
    </cfRule>
  </conditionalFormatting>
  <conditionalFormatting sqref="AJ36">
    <cfRule type="cellIs" dxfId="930" priority="59150" stopIfTrue="1" operator="notEqual">
      <formula>"En cours"</formula>
    </cfRule>
  </conditionalFormatting>
  <conditionalFormatting sqref="AK36">
    <cfRule type="cellIs" dxfId="929" priority="59151" stopIfTrue="1" operator="equal">
      <formula>"En cours"</formula>
    </cfRule>
  </conditionalFormatting>
  <conditionalFormatting sqref="AK36">
    <cfRule type="cellIs" dxfId="928" priority="59152" stopIfTrue="1" operator="notEqual">
      <formula>"En cours"</formula>
    </cfRule>
  </conditionalFormatting>
  <conditionalFormatting sqref="AJ39">
    <cfRule type="cellIs" dxfId="927" priority="59153" stopIfTrue="1" operator="equal">
      <formula>"En cours"</formula>
    </cfRule>
    <cfRule type="cellIs" dxfId="926" priority="59154" stopIfTrue="1" operator="notEqual">
      <formula>"En cours"</formula>
    </cfRule>
  </conditionalFormatting>
  <conditionalFormatting sqref="AK39">
    <cfRule type="cellIs" dxfId="925" priority="59155" stopIfTrue="1" operator="equal">
      <formula>"En cours"</formula>
    </cfRule>
    <cfRule type="cellIs" dxfId="924" priority="59156" stopIfTrue="1" operator="notEqual">
      <formula>"En cours"</formula>
    </cfRule>
  </conditionalFormatting>
  <conditionalFormatting sqref="AJ55">
    <cfRule type="cellIs" dxfId="923" priority="59157" stopIfTrue="1" operator="equal">
      <formula>"En cours"</formula>
    </cfRule>
  </conditionalFormatting>
  <conditionalFormatting sqref="AJ55">
    <cfRule type="cellIs" dxfId="922" priority="59158" stopIfTrue="1" operator="notEqual">
      <formula>"En cours"</formula>
    </cfRule>
  </conditionalFormatting>
  <conditionalFormatting sqref="AK55">
    <cfRule type="cellIs" dxfId="921" priority="59159" stopIfTrue="1" operator="equal">
      <formula>"En cours"</formula>
    </cfRule>
  </conditionalFormatting>
  <conditionalFormatting sqref="AK55">
    <cfRule type="cellIs" dxfId="920" priority="59160" stopIfTrue="1" operator="notEqual">
      <formula>"En cours"</formula>
    </cfRule>
  </conditionalFormatting>
  <conditionalFormatting sqref="AJ91">
    <cfRule type="cellIs" dxfId="919" priority="59161" stopIfTrue="1" operator="equal">
      <formula>"En cours"</formula>
    </cfRule>
  </conditionalFormatting>
  <conditionalFormatting sqref="AJ91">
    <cfRule type="cellIs" dxfId="918" priority="59162" stopIfTrue="1" operator="notEqual">
      <formula>"En cours"</formula>
    </cfRule>
  </conditionalFormatting>
  <conditionalFormatting sqref="AK91">
    <cfRule type="cellIs" dxfId="917" priority="59163" stopIfTrue="1" operator="equal">
      <formula>"En cours"</formula>
    </cfRule>
  </conditionalFormatting>
  <conditionalFormatting sqref="AK91">
    <cfRule type="cellIs" dxfId="916" priority="59164" stopIfTrue="1" operator="notEqual">
      <formula>"En cours"</formula>
    </cfRule>
  </conditionalFormatting>
  <conditionalFormatting sqref="AJ35">
    <cfRule type="cellIs" dxfId="915" priority="59165" stopIfTrue="1" operator="equal">
      <formula>"En cours"</formula>
    </cfRule>
  </conditionalFormatting>
  <conditionalFormatting sqref="AJ35">
    <cfRule type="cellIs" dxfId="914" priority="59166" stopIfTrue="1" operator="notEqual">
      <formula>"En cours"</formula>
    </cfRule>
  </conditionalFormatting>
  <conditionalFormatting sqref="AK35">
    <cfRule type="cellIs" dxfId="913" priority="59167" stopIfTrue="1" operator="equal">
      <formula>"En cours"</formula>
    </cfRule>
  </conditionalFormatting>
  <conditionalFormatting sqref="AK35">
    <cfRule type="cellIs" dxfId="912" priority="59168" stopIfTrue="1" operator="notEqual">
      <formula>"En cours"</formula>
    </cfRule>
  </conditionalFormatting>
  <conditionalFormatting sqref="AJ92">
    <cfRule type="cellIs" dxfId="911" priority="59169" stopIfTrue="1" operator="equal">
      <formula>"En cours"</formula>
    </cfRule>
  </conditionalFormatting>
  <conditionalFormatting sqref="AJ92">
    <cfRule type="cellIs" dxfId="910" priority="59170" stopIfTrue="1" operator="notEqual">
      <formula>"En cours"</formula>
    </cfRule>
  </conditionalFormatting>
  <conditionalFormatting sqref="AK92">
    <cfRule type="cellIs" dxfId="909" priority="59171" stopIfTrue="1" operator="equal">
      <formula>"En cours"</formula>
    </cfRule>
  </conditionalFormatting>
  <conditionalFormatting sqref="AK92">
    <cfRule type="cellIs" dxfId="908" priority="59172" stopIfTrue="1" operator="notEqual">
      <formula>"En cours"</formula>
    </cfRule>
  </conditionalFormatting>
  <conditionalFormatting sqref="AJ31">
    <cfRule type="cellIs" dxfId="907" priority="59173" stopIfTrue="1" operator="equal">
      <formula>"En cours"</formula>
    </cfRule>
  </conditionalFormatting>
  <conditionalFormatting sqref="AJ31">
    <cfRule type="cellIs" dxfId="906" priority="59174" stopIfTrue="1" operator="notEqual">
      <formula>"En cours"</formula>
    </cfRule>
  </conditionalFormatting>
  <conditionalFormatting sqref="AK31">
    <cfRule type="cellIs" dxfId="905" priority="59175" stopIfTrue="1" operator="equal">
      <formula>"En cours"</formula>
    </cfRule>
  </conditionalFormatting>
  <conditionalFormatting sqref="AK31">
    <cfRule type="cellIs" dxfId="904" priority="59176" stopIfTrue="1" operator="notEqual">
      <formula>"En cours"</formula>
    </cfRule>
  </conditionalFormatting>
  <conditionalFormatting sqref="AJ50">
    <cfRule type="cellIs" dxfId="903" priority="59177" stopIfTrue="1" operator="equal">
      <formula>"En cours"</formula>
    </cfRule>
  </conditionalFormatting>
  <conditionalFormatting sqref="AJ50">
    <cfRule type="cellIs" dxfId="902" priority="59178" stopIfTrue="1" operator="notEqual">
      <formula>"En cours"</formula>
    </cfRule>
  </conditionalFormatting>
  <conditionalFormatting sqref="AK50">
    <cfRule type="cellIs" dxfId="901" priority="59179" stopIfTrue="1" operator="equal">
      <formula>"En cours"</formula>
    </cfRule>
  </conditionalFormatting>
  <conditionalFormatting sqref="AK50">
    <cfRule type="cellIs" dxfId="900" priority="59180" stopIfTrue="1" operator="notEqual">
      <formula>"En cours"</formula>
    </cfRule>
  </conditionalFormatting>
  <conditionalFormatting sqref="AJ95">
    <cfRule type="cellIs" dxfId="899" priority="59181" stopIfTrue="1" operator="equal">
      <formula>"En cours"</formula>
    </cfRule>
  </conditionalFormatting>
  <conditionalFormatting sqref="AJ95">
    <cfRule type="cellIs" dxfId="898" priority="59182" stopIfTrue="1" operator="notEqual">
      <formula>"En cours"</formula>
    </cfRule>
  </conditionalFormatting>
  <conditionalFormatting sqref="AK95">
    <cfRule type="cellIs" dxfId="897" priority="59183" stopIfTrue="1" operator="equal">
      <formula>"En cours"</formula>
    </cfRule>
  </conditionalFormatting>
  <conditionalFormatting sqref="AK95">
    <cfRule type="cellIs" dxfId="896" priority="59184" stopIfTrue="1" operator="notEqual">
      <formula>"En cours"</formula>
    </cfRule>
  </conditionalFormatting>
  <conditionalFormatting sqref="AJ178">
    <cfRule type="cellIs" dxfId="895" priority="59185" stopIfTrue="1" operator="equal">
      <formula>"En cours"</formula>
    </cfRule>
  </conditionalFormatting>
  <conditionalFormatting sqref="AJ178">
    <cfRule type="cellIs" dxfId="894" priority="59186" stopIfTrue="1" operator="notEqual">
      <formula>"En cours"</formula>
    </cfRule>
  </conditionalFormatting>
  <conditionalFormatting sqref="AK178">
    <cfRule type="cellIs" dxfId="893" priority="59187" stopIfTrue="1" operator="equal">
      <formula>"En cours"</formula>
    </cfRule>
  </conditionalFormatting>
  <conditionalFormatting sqref="AK178">
    <cfRule type="cellIs" dxfId="892" priority="59188" stopIfTrue="1" operator="notEqual">
      <formula>"En cours"</formula>
    </cfRule>
  </conditionalFormatting>
  <conditionalFormatting sqref="AJ122">
    <cfRule type="cellIs" dxfId="891" priority="59189" stopIfTrue="1" operator="equal">
      <formula>"En cours"</formula>
    </cfRule>
  </conditionalFormatting>
  <conditionalFormatting sqref="AJ122">
    <cfRule type="cellIs" dxfId="890" priority="59190" stopIfTrue="1" operator="notEqual">
      <formula>"En cours"</formula>
    </cfRule>
  </conditionalFormatting>
  <conditionalFormatting sqref="AK122">
    <cfRule type="cellIs" dxfId="889" priority="59191" stopIfTrue="1" operator="equal">
      <formula>"En cours"</formula>
    </cfRule>
  </conditionalFormatting>
  <conditionalFormatting sqref="AK122">
    <cfRule type="cellIs" dxfId="888" priority="59192" stopIfTrue="1" operator="notEqual">
      <formula>"En cours"</formula>
    </cfRule>
  </conditionalFormatting>
  <conditionalFormatting sqref="AJ27">
    <cfRule type="cellIs" dxfId="887" priority="59193" stopIfTrue="1" operator="equal">
      <formula>"En cours"</formula>
    </cfRule>
  </conditionalFormatting>
  <conditionalFormatting sqref="AJ27">
    <cfRule type="cellIs" dxfId="886" priority="59194" stopIfTrue="1" operator="notEqual">
      <formula>"En cours"</formula>
    </cfRule>
  </conditionalFormatting>
  <conditionalFormatting sqref="AK27">
    <cfRule type="cellIs" dxfId="885" priority="59195" stopIfTrue="1" operator="equal">
      <formula>"En cours"</formula>
    </cfRule>
  </conditionalFormatting>
  <conditionalFormatting sqref="AK27">
    <cfRule type="cellIs" dxfId="884" priority="59196" stopIfTrue="1" operator="notEqual">
      <formula>"En cours"</formula>
    </cfRule>
  </conditionalFormatting>
  <conditionalFormatting sqref="AJ147">
    <cfRule type="cellIs" dxfId="883" priority="59197" stopIfTrue="1" operator="equal">
      <formula>"En cours"</formula>
    </cfRule>
  </conditionalFormatting>
  <conditionalFormatting sqref="AJ147">
    <cfRule type="cellIs" dxfId="882" priority="59198" stopIfTrue="1" operator="notEqual">
      <formula>"En cours"</formula>
    </cfRule>
  </conditionalFormatting>
  <conditionalFormatting sqref="AK147">
    <cfRule type="cellIs" dxfId="881" priority="59199" stopIfTrue="1" operator="equal">
      <formula>"En cours"</formula>
    </cfRule>
  </conditionalFormatting>
  <conditionalFormatting sqref="AK147">
    <cfRule type="cellIs" dxfId="880" priority="59200" stopIfTrue="1" operator="notEqual">
      <formula>"En cours"</formula>
    </cfRule>
  </conditionalFormatting>
  <conditionalFormatting sqref="AJ47">
    <cfRule type="cellIs" dxfId="879" priority="59201" stopIfTrue="1" operator="equal">
      <formula>"En cours"</formula>
    </cfRule>
  </conditionalFormatting>
  <conditionalFormatting sqref="AJ47">
    <cfRule type="cellIs" dxfId="878" priority="59202" stopIfTrue="1" operator="notEqual">
      <formula>"En cours"</formula>
    </cfRule>
  </conditionalFormatting>
  <conditionalFormatting sqref="AK47">
    <cfRule type="cellIs" dxfId="877" priority="59203" stopIfTrue="1" operator="equal">
      <formula>"En cours"</formula>
    </cfRule>
  </conditionalFormatting>
  <conditionalFormatting sqref="AK47">
    <cfRule type="cellIs" dxfId="876" priority="59204" stopIfTrue="1" operator="notEqual">
      <formula>"En cours"</formula>
    </cfRule>
  </conditionalFormatting>
  <conditionalFormatting sqref="AJ51">
    <cfRule type="cellIs" dxfId="875" priority="59205" stopIfTrue="1" operator="equal">
      <formula>"En cours"</formula>
    </cfRule>
  </conditionalFormatting>
  <conditionalFormatting sqref="AJ51">
    <cfRule type="cellIs" dxfId="874" priority="59206" stopIfTrue="1" operator="notEqual">
      <formula>"En cours"</formula>
    </cfRule>
  </conditionalFormatting>
  <conditionalFormatting sqref="AK51">
    <cfRule type="cellIs" dxfId="873" priority="59207" stopIfTrue="1" operator="equal">
      <formula>"En cours"</formula>
    </cfRule>
  </conditionalFormatting>
  <conditionalFormatting sqref="AK51">
    <cfRule type="cellIs" dxfId="872" priority="59208" stopIfTrue="1" operator="notEqual">
      <formula>"En cours"</formula>
    </cfRule>
  </conditionalFormatting>
  <conditionalFormatting sqref="AJ46">
    <cfRule type="cellIs" dxfId="871" priority="59209" stopIfTrue="1" operator="equal">
      <formula>"En cours"</formula>
    </cfRule>
  </conditionalFormatting>
  <conditionalFormatting sqref="AJ46">
    <cfRule type="cellIs" dxfId="870" priority="59210" stopIfTrue="1" operator="notEqual">
      <formula>"En cours"</formula>
    </cfRule>
  </conditionalFormatting>
  <conditionalFormatting sqref="AK46">
    <cfRule type="cellIs" dxfId="869" priority="59211" stopIfTrue="1" operator="equal">
      <formula>"En cours"</formula>
    </cfRule>
  </conditionalFormatting>
  <conditionalFormatting sqref="AK46">
    <cfRule type="cellIs" dxfId="868" priority="59212" stopIfTrue="1" operator="notEqual">
      <formula>"En cours"</formula>
    </cfRule>
  </conditionalFormatting>
  <conditionalFormatting sqref="AJ44">
    <cfRule type="cellIs" dxfId="867" priority="59213" stopIfTrue="1" operator="equal">
      <formula>"En cours"</formula>
    </cfRule>
  </conditionalFormatting>
  <conditionalFormatting sqref="AJ44">
    <cfRule type="cellIs" dxfId="866" priority="59214" stopIfTrue="1" operator="notEqual">
      <formula>"En cours"</formula>
    </cfRule>
  </conditionalFormatting>
  <conditionalFormatting sqref="AK44">
    <cfRule type="cellIs" dxfId="865" priority="59215" stopIfTrue="1" operator="equal">
      <formula>"En cours"</formula>
    </cfRule>
  </conditionalFormatting>
  <conditionalFormatting sqref="AK44">
    <cfRule type="cellIs" dxfId="864" priority="59216" stopIfTrue="1" operator="notEqual">
      <formula>"En cours"</formula>
    </cfRule>
  </conditionalFormatting>
  <conditionalFormatting sqref="AJ52">
    <cfRule type="cellIs" dxfId="863" priority="59217" stopIfTrue="1" operator="equal">
      <formula>"En cours"</formula>
    </cfRule>
  </conditionalFormatting>
  <conditionalFormatting sqref="AJ52">
    <cfRule type="cellIs" dxfId="862" priority="59218" stopIfTrue="1" operator="notEqual">
      <formula>"En cours"</formula>
    </cfRule>
  </conditionalFormatting>
  <conditionalFormatting sqref="AK52">
    <cfRule type="cellIs" dxfId="861" priority="59219" stopIfTrue="1" operator="equal">
      <formula>"En cours"</formula>
    </cfRule>
  </conditionalFormatting>
  <conditionalFormatting sqref="AK52">
    <cfRule type="cellIs" dxfId="860" priority="59220" stopIfTrue="1" operator="notEqual">
      <formula>"En cours"</formula>
    </cfRule>
  </conditionalFormatting>
  <conditionalFormatting sqref="AJ54">
    <cfRule type="cellIs" dxfId="859" priority="59221" stopIfTrue="1" operator="equal">
      <formula>"En cours"</formula>
    </cfRule>
  </conditionalFormatting>
  <conditionalFormatting sqref="AJ54">
    <cfRule type="cellIs" dxfId="858" priority="59222" stopIfTrue="1" operator="notEqual">
      <formula>"En cours"</formula>
    </cfRule>
  </conditionalFormatting>
  <conditionalFormatting sqref="AK54">
    <cfRule type="cellIs" dxfId="857" priority="59223" stopIfTrue="1" operator="equal">
      <formula>"En cours"</formula>
    </cfRule>
  </conditionalFormatting>
  <conditionalFormatting sqref="AK54">
    <cfRule type="cellIs" dxfId="856" priority="59224" stopIfTrue="1" operator="notEqual">
      <formula>"En cours"</formula>
    </cfRule>
  </conditionalFormatting>
  <conditionalFormatting sqref="AJ94">
    <cfRule type="cellIs" dxfId="855" priority="59225" stopIfTrue="1" operator="equal">
      <formula>"En cours"</formula>
    </cfRule>
  </conditionalFormatting>
  <conditionalFormatting sqref="AJ94">
    <cfRule type="cellIs" dxfId="854" priority="59226" stopIfTrue="1" operator="notEqual">
      <formula>"En cours"</formula>
    </cfRule>
  </conditionalFormatting>
  <conditionalFormatting sqref="AK94">
    <cfRule type="cellIs" dxfId="853" priority="59227" stopIfTrue="1" operator="equal">
      <formula>"En cours"</formula>
    </cfRule>
  </conditionalFormatting>
  <conditionalFormatting sqref="AK94">
    <cfRule type="cellIs" dxfId="852" priority="59228" stopIfTrue="1" operator="notEqual">
      <formula>"En cours"</formula>
    </cfRule>
  </conditionalFormatting>
  <conditionalFormatting sqref="AJ29">
    <cfRule type="cellIs" dxfId="851" priority="59229" stopIfTrue="1" operator="equal">
      <formula>"En cours"</formula>
    </cfRule>
  </conditionalFormatting>
  <conditionalFormatting sqref="AJ29">
    <cfRule type="cellIs" dxfId="850" priority="59230" stopIfTrue="1" operator="notEqual">
      <formula>"En cours"</formula>
    </cfRule>
  </conditionalFormatting>
  <conditionalFormatting sqref="AK29">
    <cfRule type="cellIs" dxfId="849" priority="59231" stopIfTrue="1" operator="equal">
      <formula>"En cours"</formula>
    </cfRule>
  </conditionalFormatting>
  <conditionalFormatting sqref="AK29">
    <cfRule type="cellIs" dxfId="848" priority="59232" stopIfTrue="1" operator="notEqual">
      <formula>"En cours"</formula>
    </cfRule>
  </conditionalFormatting>
  <conditionalFormatting sqref="AJ21">
    <cfRule type="cellIs" dxfId="847" priority="59233" stopIfTrue="1" operator="equal">
      <formula>"En cours"</formula>
    </cfRule>
  </conditionalFormatting>
  <conditionalFormatting sqref="AJ21">
    <cfRule type="cellIs" dxfId="846" priority="59234" stopIfTrue="1" operator="notEqual">
      <formula>"En cours"</formula>
    </cfRule>
  </conditionalFormatting>
  <conditionalFormatting sqref="AK21">
    <cfRule type="cellIs" dxfId="845" priority="59235" stopIfTrue="1" operator="equal">
      <formula>"En cours"</formula>
    </cfRule>
  </conditionalFormatting>
  <conditionalFormatting sqref="AK21">
    <cfRule type="cellIs" dxfId="844" priority="59236" stopIfTrue="1" operator="notEqual">
      <formula>"En cours"</formula>
    </cfRule>
  </conditionalFormatting>
  <conditionalFormatting sqref="AJ179">
    <cfRule type="cellIs" dxfId="843" priority="59237" stopIfTrue="1" operator="equal">
      <formula>"En cours"</formula>
    </cfRule>
  </conditionalFormatting>
  <conditionalFormatting sqref="AJ179">
    <cfRule type="cellIs" dxfId="842" priority="59238" stopIfTrue="1" operator="notEqual">
      <formula>"En cours"</formula>
    </cfRule>
  </conditionalFormatting>
  <conditionalFormatting sqref="AK179">
    <cfRule type="cellIs" dxfId="841" priority="59239" stopIfTrue="1" operator="equal">
      <formula>"En cours"</formula>
    </cfRule>
  </conditionalFormatting>
  <conditionalFormatting sqref="AK179">
    <cfRule type="cellIs" dxfId="840" priority="59240" stopIfTrue="1" operator="notEqual">
      <formula>"En cours"</formula>
    </cfRule>
  </conditionalFormatting>
  <conditionalFormatting sqref="AJ43">
    <cfRule type="cellIs" dxfId="839" priority="59241" stopIfTrue="1" operator="equal">
      <formula>"En cours"</formula>
    </cfRule>
  </conditionalFormatting>
  <conditionalFormatting sqref="AJ43">
    <cfRule type="cellIs" dxfId="838" priority="59242" stopIfTrue="1" operator="notEqual">
      <formula>"En cours"</formula>
    </cfRule>
  </conditionalFormatting>
  <conditionalFormatting sqref="AK43">
    <cfRule type="cellIs" dxfId="837" priority="59243" stopIfTrue="1" operator="equal">
      <formula>"En cours"</formula>
    </cfRule>
  </conditionalFormatting>
  <conditionalFormatting sqref="AK43">
    <cfRule type="cellIs" dxfId="836" priority="59244" stopIfTrue="1" operator="notEqual">
      <formula>"En cours"</formula>
    </cfRule>
  </conditionalFormatting>
  <conditionalFormatting sqref="AJ53">
    <cfRule type="cellIs" dxfId="835" priority="59245" stopIfTrue="1" operator="equal">
      <formula>"En cours"</formula>
    </cfRule>
  </conditionalFormatting>
  <conditionalFormatting sqref="AJ53">
    <cfRule type="cellIs" dxfId="834" priority="59246" stopIfTrue="1" operator="notEqual">
      <formula>"En cours"</formula>
    </cfRule>
  </conditionalFormatting>
  <conditionalFormatting sqref="AK53">
    <cfRule type="cellIs" dxfId="833" priority="59247" stopIfTrue="1" operator="equal">
      <formula>"En cours"</formula>
    </cfRule>
  </conditionalFormatting>
  <conditionalFormatting sqref="AK53">
    <cfRule type="cellIs" dxfId="832" priority="59248" stopIfTrue="1" operator="notEqual">
      <formula>"En cours"</formula>
    </cfRule>
  </conditionalFormatting>
  <conditionalFormatting sqref="AJ155">
    <cfRule type="cellIs" dxfId="831" priority="59249" stopIfTrue="1" operator="equal">
      <formula>"En cours"</formula>
    </cfRule>
  </conditionalFormatting>
  <conditionalFormatting sqref="AJ155">
    <cfRule type="cellIs" dxfId="830" priority="59250" stopIfTrue="1" operator="notEqual">
      <formula>"En cours"</formula>
    </cfRule>
  </conditionalFormatting>
  <conditionalFormatting sqref="AK155">
    <cfRule type="cellIs" dxfId="829" priority="59251" stopIfTrue="1" operator="equal">
      <formula>"En cours"</formula>
    </cfRule>
  </conditionalFormatting>
  <conditionalFormatting sqref="AK155">
    <cfRule type="cellIs" dxfId="828" priority="59252" stopIfTrue="1" operator="notEqual">
      <formula>"En cours"</formula>
    </cfRule>
  </conditionalFormatting>
  <conditionalFormatting sqref="AJ65">
    <cfRule type="cellIs" dxfId="827" priority="59253" stopIfTrue="1" operator="equal">
      <formula>"En cours"</formula>
    </cfRule>
  </conditionalFormatting>
  <conditionalFormatting sqref="AJ65">
    <cfRule type="cellIs" dxfId="826" priority="59254" stopIfTrue="1" operator="notEqual">
      <formula>"En cours"</formula>
    </cfRule>
  </conditionalFormatting>
  <conditionalFormatting sqref="AK65">
    <cfRule type="cellIs" dxfId="825" priority="59255" stopIfTrue="1" operator="equal">
      <formula>"En cours"</formula>
    </cfRule>
  </conditionalFormatting>
  <conditionalFormatting sqref="AK65">
    <cfRule type="cellIs" dxfId="824" priority="59256" stopIfTrue="1" operator="notEqual">
      <formula>"En cours"</formula>
    </cfRule>
  </conditionalFormatting>
  <conditionalFormatting sqref="AJ76">
    <cfRule type="cellIs" dxfId="823" priority="59257" stopIfTrue="1" operator="equal">
      <formula>"En cours"</formula>
    </cfRule>
  </conditionalFormatting>
  <conditionalFormatting sqref="AJ76">
    <cfRule type="cellIs" dxfId="822" priority="59258" stopIfTrue="1" operator="notEqual">
      <formula>"En cours"</formula>
    </cfRule>
  </conditionalFormatting>
  <conditionalFormatting sqref="AK76">
    <cfRule type="cellIs" dxfId="821" priority="59259" stopIfTrue="1" operator="equal">
      <formula>"En cours"</formula>
    </cfRule>
  </conditionalFormatting>
  <conditionalFormatting sqref="AK76">
    <cfRule type="cellIs" dxfId="820" priority="59260" stopIfTrue="1" operator="notEqual">
      <formula>"En cours"</formula>
    </cfRule>
  </conditionalFormatting>
  <conditionalFormatting sqref="AJ175">
    <cfRule type="cellIs" dxfId="819" priority="59261" stopIfTrue="1" operator="equal">
      <formula>"En cours"</formula>
    </cfRule>
  </conditionalFormatting>
  <conditionalFormatting sqref="AJ175">
    <cfRule type="cellIs" dxfId="818" priority="59262" stopIfTrue="1" operator="notEqual">
      <formula>"En cours"</formula>
    </cfRule>
  </conditionalFormatting>
  <conditionalFormatting sqref="AK175">
    <cfRule type="cellIs" dxfId="817" priority="59263" stopIfTrue="1" operator="equal">
      <formula>"En cours"</formula>
    </cfRule>
  </conditionalFormatting>
  <conditionalFormatting sqref="AK175">
    <cfRule type="cellIs" dxfId="816" priority="59264" stopIfTrue="1" operator="notEqual">
      <formula>"En cours"</formula>
    </cfRule>
  </conditionalFormatting>
  <conditionalFormatting sqref="AJ176">
    <cfRule type="cellIs" dxfId="815" priority="59265" stopIfTrue="1" operator="equal">
      <formula>"En cours"</formula>
    </cfRule>
  </conditionalFormatting>
  <conditionalFormatting sqref="AJ176">
    <cfRule type="cellIs" dxfId="814" priority="59266" stopIfTrue="1" operator="notEqual">
      <formula>"En cours"</formula>
    </cfRule>
  </conditionalFormatting>
  <conditionalFormatting sqref="AK176">
    <cfRule type="cellIs" dxfId="813" priority="59267" stopIfTrue="1" operator="equal">
      <formula>"En cours"</formula>
    </cfRule>
  </conditionalFormatting>
  <conditionalFormatting sqref="AK176">
    <cfRule type="cellIs" dxfId="812" priority="59268" stopIfTrue="1" operator="notEqual">
      <formula>"En cours"</formula>
    </cfRule>
  </conditionalFormatting>
  <conditionalFormatting sqref="AJ75">
    <cfRule type="cellIs" dxfId="811" priority="59269" stopIfTrue="1" operator="equal">
      <formula>"En cours"</formula>
    </cfRule>
  </conditionalFormatting>
  <conditionalFormatting sqref="AJ75">
    <cfRule type="cellIs" dxfId="810" priority="59270" stopIfTrue="1" operator="notEqual">
      <formula>"En cours"</formula>
    </cfRule>
  </conditionalFormatting>
  <conditionalFormatting sqref="AK75">
    <cfRule type="cellIs" dxfId="809" priority="59271" stopIfTrue="1" operator="equal">
      <formula>"En cours"</formula>
    </cfRule>
  </conditionalFormatting>
  <conditionalFormatting sqref="AK75">
    <cfRule type="cellIs" dxfId="808" priority="59272" stopIfTrue="1" operator="notEqual">
      <formula>"En cours"</formula>
    </cfRule>
  </conditionalFormatting>
  <conditionalFormatting sqref="AJ133">
    <cfRule type="cellIs" dxfId="807" priority="59273" stopIfTrue="1" operator="equal">
      <formula>"En cours"</formula>
    </cfRule>
  </conditionalFormatting>
  <conditionalFormatting sqref="AJ133">
    <cfRule type="cellIs" dxfId="806" priority="59274" stopIfTrue="1" operator="notEqual">
      <formula>"En cours"</formula>
    </cfRule>
  </conditionalFormatting>
  <conditionalFormatting sqref="AK133">
    <cfRule type="cellIs" dxfId="805" priority="59275" stopIfTrue="1" operator="equal">
      <formula>"En cours"</formula>
    </cfRule>
  </conditionalFormatting>
  <conditionalFormatting sqref="AK133">
    <cfRule type="cellIs" dxfId="804" priority="59276" stopIfTrue="1" operator="notEqual">
      <formula>"En cours"</formula>
    </cfRule>
  </conditionalFormatting>
  <conditionalFormatting sqref="AJ158">
    <cfRule type="cellIs" dxfId="803" priority="59277" stopIfTrue="1" operator="equal">
      <formula>"En cours"</formula>
    </cfRule>
  </conditionalFormatting>
  <conditionalFormatting sqref="AJ158">
    <cfRule type="cellIs" dxfId="802" priority="59278" stopIfTrue="1" operator="notEqual">
      <formula>"En cours"</formula>
    </cfRule>
  </conditionalFormatting>
  <conditionalFormatting sqref="AK158">
    <cfRule type="cellIs" dxfId="801" priority="59279" stopIfTrue="1" operator="equal">
      <formula>"En cours"</formula>
    </cfRule>
  </conditionalFormatting>
  <conditionalFormatting sqref="AK158">
    <cfRule type="cellIs" dxfId="800" priority="59280" stopIfTrue="1" operator="notEqual">
      <formula>"En cours"</formula>
    </cfRule>
  </conditionalFormatting>
  <conditionalFormatting sqref="AJ162">
    <cfRule type="cellIs" dxfId="799" priority="59281" stopIfTrue="1" operator="equal">
      <formula>"En cours"</formula>
    </cfRule>
  </conditionalFormatting>
  <conditionalFormatting sqref="AJ162">
    <cfRule type="cellIs" dxfId="798" priority="59282" stopIfTrue="1" operator="notEqual">
      <formula>"En cours"</formula>
    </cfRule>
  </conditionalFormatting>
  <conditionalFormatting sqref="AK162">
    <cfRule type="cellIs" dxfId="797" priority="59283" stopIfTrue="1" operator="equal">
      <formula>"En cours"</formula>
    </cfRule>
  </conditionalFormatting>
  <conditionalFormatting sqref="AK162">
    <cfRule type="cellIs" dxfId="796" priority="59284" stopIfTrue="1" operator="notEqual">
      <formula>"En cours"</formula>
    </cfRule>
  </conditionalFormatting>
  <conditionalFormatting sqref="AJ70">
    <cfRule type="cellIs" dxfId="795" priority="59285" stopIfTrue="1" operator="equal">
      <formula>"En cours"</formula>
    </cfRule>
  </conditionalFormatting>
  <conditionalFormatting sqref="AJ70">
    <cfRule type="cellIs" dxfId="794" priority="59286" stopIfTrue="1" operator="notEqual">
      <formula>"En cours"</formula>
    </cfRule>
  </conditionalFormatting>
  <conditionalFormatting sqref="AK70">
    <cfRule type="cellIs" dxfId="793" priority="59287" stopIfTrue="1" operator="equal">
      <formula>"En cours"</formula>
    </cfRule>
  </conditionalFormatting>
  <conditionalFormatting sqref="AK70">
    <cfRule type="cellIs" dxfId="792" priority="59288" stopIfTrue="1" operator="notEqual">
      <formula>"En cours"</formula>
    </cfRule>
  </conditionalFormatting>
  <conditionalFormatting sqref="AJ61">
    <cfRule type="cellIs" dxfId="791" priority="59289" stopIfTrue="1" operator="equal">
      <formula>"En cours"</formula>
    </cfRule>
  </conditionalFormatting>
  <conditionalFormatting sqref="AJ61">
    <cfRule type="cellIs" dxfId="790" priority="59290" stopIfTrue="1" operator="notEqual">
      <formula>"En cours"</formula>
    </cfRule>
  </conditionalFormatting>
  <conditionalFormatting sqref="AK61">
    <cfRule type="cellIs" dxfId="789" priority="59291" stopIfTrue="1" operator="equal">
      <formula>"En cours"</formula>
    </cfRule>
  </conditionalFormatting>
  <conditionalFormatting sqref="AK61">
    <cfRule type="cellIs" dxfId="788" priority="59292" stopIfTrue="1" operator="notEqual">
      <formula>"En cours"</formula>
    </cfRule>
  </conditionalFormatting>
  <conditionalFormatting sqref="AJ117">
    <cfRule type="cellIs" dxfId="787" priority="59293" stopIfTrue="1" operator="equal">
      <formula>"En cours"</formula>
    </cfRule>
  </conditionalFormatting>
  <conditionalFormatting sqref="AJ117">
    <cfRule type="cellIs" dxfId="786" priority="59294" stopIfTrue="1" operator="notEqual">
      <formula>"En cours"</formula>
    </cfRule>
  </conditionalFormatting>
  <conditionalFormatting sqref="AK117">
    <cfRule type="cellIs" dxfId="785" priority="59295" stopIfTrue="1" operator="equal">
      <formula>"En cours"</formula>
    </cfRule>
  </conditionalFormatting>
  <conditionalFormatting sqref="AK117">
    <cfRule type="cellIs" dxfId="784" priority="59296" stopIfTrue="1" operator="notEqual">
      <formula>"En cours"</formula>
    </cfRule>
  </conditionalFormatting>
  <conditionalFormatting sqref="AJ60">
    <cfRule type="cellIs" dxfId="783" priority="59297" stopIfTrue="1" operator="equal">
      <formula>"En cours"</formula>
    </cfRule>
  </conditionalFormatting>
  <conditionalFormatting sqref="AJ60">
    <cfRule type="cellIs" dxfId="782" priority="59298" stopIfTrue="1" operator="notEqual">
      <formula>"En cours"</formula>
    </cfRule>
  </conditionalFormatting>
  <conditionalFormatting sqref="AK60">
    <cfRule type="cellIs" dxfId="781" priority="59299" stopIfTrue="1" operator="equal">
      <formula>"En cours"</formula>
    </cfRule>
  </conditionalFormatting>
  <conditionalFormatting sqref="AK60">
    <cfRule type="cellIs" dxfId="780" priority="59300" stopIfTrue="1" operator="notEqual">
      <formula>"En cours"</formula>
    </cfRule>
  </conditionalFormatting>
  <conditionalFormatting sqref="AJ110">
    <cfRule type="cellIs" dxfId="779" priority="59301" stopIfTrue="1" operator="equal">
      <formula>"En cours"</formula>
    </cfRule>
  </conditionalFormatting>
  <conditionalFormatting sqref="AJ110">
    <cfRule type="cellIs" dxfId="778" priority="59302" stopIfTrue="1" operator="notEqual">
      <formula>"En cours"</formula>
    </cfRule>
  </conditionalFormatting>
  <conditionalFormatting sqref="AK110">
    <cfRule type="cellIs" dxfId="777" priority="59303" stopIfTrue="1" operator="equal">
      <formula>"En cours"</formula>
    </cfRule>
  </conditionalFormatting>
  <conditionalFormatting sqref="AK110">
    <cfRule type="cellIs" dxfId="776" priority="59304" stopIfTrue="1" operator="notEqual">
      <formula>"En cours"</formula>
    </cfRule>
  </conditionalFormatting>
  <conditionalFormatting sqref="AJ153">
    <cfRule type="cellIs" dxfId="775" priority="59305" stopIfTrue="1" operator="equal">
      <formula>"En cours"</formula>
    </cfRule>
  </conditionalFormatting>
  <conditionalFormatting sqref="AJ153">
    <cfRule type="cellIs" dxfId="774" priority="59306" stopIfTrue="1" operator="notEqual">
      <formula>"En cours"</formula>
    </cfRule>
  </conditionalFormatting>
  <conditionalFormatting sqref="AK153">
    <cfRule type="cellIs" dxfId="773" priority="59307" stopIfTrue="1" operator="equal">
      <formula>"En cours"</formula>
    </cfRule>
  </conditionalFormatting>
  <conditionalFormatting sqref="AK153">
    <cfRule type="cellIs" dxfId="772" priority="59308" stopIfTrue="1" operator="notEqual">
      <formula>"En cours"</formula>
    </cfRule>
  </conditionalFormatting>
  <conditionalFormatting sqref="AJ132">
    <cfRule type="cellIs" dxfId="771" priority="59309" stopIfTrue="1" operator="equal">
      <formula>"En cours"</formula>
    </cfRule>
  </conditionalFormatting>
  <conditionalFormatting sqref="AJ132">
    <cfRule type="cellIs" dxfId="770" priority="59310" stopIfTrue="1" operator="notEqual">
      <formula>"En cours"</formula>
    </cfRule>
  </conditionalFormatting>
  <conditionalFormatting sqref="AK132">
    <cfRule type="cellIs" dxfId="769" priority="59311" stopIfTrue="1" operator="equal">
      <formula>"En cours"</formula>
    </cfRule>
  </conditionalFormatting>
  <conditionalFormatting sqref="AK132">
    <cfRule type="cellIs" dxfId="768" priority="59312" stopIfTrue="1" operator="notEqual">
      <formula>"En cours"</formula>
    </cfRule>
  </conditionalFormatting>
  <conditionalFormatting sqref="AJ127">
    <cfRule type="cellIs" dxfId="767" priority="59313" stopIfTrue="1" operator="equal">
      <formula>"En cours"</formula>
    </cfRule>
  </conditionalFormatting>
  <conditionalFormatting sqref="AJ127">
    <cfRule type="cellIs" dxfId="766" priority="59314" stopIfTrue="1" operator="notEqual">
      <formula>"En cours"</formula>
    </cfRule>
  </conditionalFormatting>
  <conditionalFormatting sqref="AK127">
    <cfRule type="cellIs" dxfId="765" priority="59315" stopIfTrue="1" operator="equal">
      <formula>"En cours"</formula>
    </cfRule>
  </conditionalFormatting>
  <conditionalFormatting sqref="AK127">
    <cfRule type="cellIs" dxfId="764" priority="59316" stopIfTrue="1" operator="notEqual">
      <formula>"En cours"</formula>
    </cfRule>
  </conditionalFormatting>
  <conditionalFormatting sqref="AJ131">
    <cfRule type="cellIs" dxfId="763" priority="59317" stopIfTrue="1" operator="equal">
      <formula>"En cours"</formula>
    </cfRule>
  </conditionalFormatting>
  <conditionalFormatting sqref="AJ131">
    <cfRule type="cellIs" dxfId="762" priority="59318" stopIfTrue="1" operator="notEqual">
      <formula>"En cours"</formula>
    </cfRule>
  </conditionalFormatting>
  <conditionalFormatting sqref="AK131">
    <cfRule type="cellIs" dxfId="761" priority="59319" stopIfTrue="1" operator="equal">
      <formula>"En cours"</formula>
    </cfRule>
  </conditionalFormatting>
  <conditionalFormatting sqref="AK131">
    <cfRule type="cellIs" dxfId="760" priority="59320" stopIfTrue="1" operator="notEqual">
      <formula>"En cours"</formula>
    </cfRule>
  </conditionalFormatting>
  <conditionalFormatting sqref="AJ72">
    <cfRule type="cellIs" dxfId="759" priority="59321" stopIfTrue="1" operator="equal">
      <formula>"En cours"</formula>
    </cfRule>
  </conditionalFormatting>
  <conditionalFormatting sqref="AJ72">
    <cfRule type="cellIs" dxfId="758" priority="59322" stopIfTrue="1" operator="notEqual">
      <formula>"En cours"</formula>
    </cfRule>
  </conditionalFormatting>
  <conditionalFormatting sqref="AK72">
    <cfRule type="cellIs" dxfId="757" priority="59323" stopIfTrue="1" operator="equal">
      <formula>"En cours"</formula>
    </cfRule>
  </conditionalFormatting>
  <conditionalFormatting sqref="AK72">
    <cfRule type="cellIs" dxfId="756" priority="59324" stopIfTrue="1" operator="notEqual">
      <formula>"En cours"</formula>
    </cfRule>
  </conditionalFormatting>
  <conditionalFormatting sqref="AJ113">
    <cfRule type="cellIs" dxfId="755" priority="59325" stopIfTrue="1" operator="equal">
      <formula>"En cours"</formula>
    </cfRule>
  </conditionalFormatting>
  <conditionalFormatting sqref="AJ113">
    <cfRule type="cellIs" dxfId="754" priority="59326" stopIfTrue="1" operator="notEqual">
      <formula>"En cours"</formula>
    </cfRule>
  </conditionalFormatting>
  <conditionalFormatting sqref="AK113">
    <cfRule type="cellIs" dxfId="753" priority="59327" stopIfTrue="1" operator="equal">
      <formula>"En cours"</formula>
    </cfRule>
  </conditionalFormatting>
  <conditionalFormatting sqref="AK113">
    <cfRule type="cellIs" dxfId="752" priority="59328" stopIfTrue="1" operator="notEqual">
      <formula>"En cours"</formula>
    </cfRule>
  </conditionalFormatting>
  <conditionalFormatting sqref="AJ64">
    <cfRule type="cellIs" dxfId="751" priority="59329" stopIfTrue="1" operator="equal">
      <formula>"En cours"</formula>
    </cfRule>
  </conditionalFormatting>
  <conditionalFormatting sqref="AJ64">
    <cfRule type="cellIs" dxfId="750" priority="59330" stopIfTrue="1" operator="notEqual">
      <formula>"En cours"</formula>
    </cfRule>
  </conditionalFormatting>
  <conditionalFormatting sqref="AK64">
    <cfRule type="cellIs" dxfId="749" priority="59331" stopIfTrue="1" operator="equal">
      <formula>"En cours"</formula>
    </cfRule>
  </conditionalFormatting>
  <conditionalFormatting sqref="AK64">
    <cfRule type="cellIs" dxfId="748" priority="59332" stopIfTrue="1" operator="notEqual">
      <formula>"En cours"</formula>
    </cfRule>
  </conditionalFormatting>
  <conditionalFormatting sqref="AJ112">
    <cfRule type="cellIs" dxfId="747" priority="59333" stopIfTrue="1" operator="equal">
      <formula>"En cours"</formula>
    </cfRule>
  </conditionalFormatting>
  <conditionalFormatting sqref="AJ112">
    <cfRule type="cellIs" dxfId="746" priority="59334" stopIfTrue="1" operator="notEqual">
      <formula>"En cours"</formula>
    </cfRule>
  </conditionalFormatting>
  <conditionalFormatting sqref="AK112">
    <cfRule type="cellIs" dxfId="745" priority="59335" stopIfTrue="1" operator="equal">
      <formula>"En cours"</formula>
    </cfRule>
  </conditionalFormatting>
  <conditionalFormatting sqref="AK112">
    <cfRule type="cellIs" dxfId="744" priority="59336" stopIfTrue="1" operator="notEqual">
      <formula>"En cours"</formula>
    </cfRule>
  </conditionalFormatting>
  <conditionalFormatting sqref="AJ118">
    <cfRule type="cellIs" dxfId="743" priority="59337" stopIfTrue="1" operator="equal">
      <formula>"En cours"</formula>
    </cfRule>
  </conditionalFormatting>
  <conditionalFormatting sqref="AJ118">
    <cfRule type="cellIs" dxfId="742" priority="59338" stopIfTrue="1" operator="notEqual">
      <formula>"En cours"</formula>
    </cfRule>
  </conditionalFormatting>
  <conditionalFormatting sqref="AK118">
    <cfRule type="cellIs" dxfId="741" priority="59339" stopIfTrue="1" operator="equal">
      <formula>"En cours"</formula>
    </cfRule>
  </conditionalFormatting>
  <conditionalFormatting sqref="AK118">
    <cfRule type="cellIs" dxfId="740" priority="59340" stopIfTrue="1" operator="notEqual">
      <formula>"En cours"</formula>
    </cfRule>
  </conditionalFormatting>
  <conditionalFormatting sqref="AJ67">
    <cfRule type="cellIs" dxfId="739" priority="59341" stopIfTrue="1" operator="equal">
      <formula>"En cours"</formula>
    </cfRule>
  </conditionalFormatting>
  <conditionalFormatting sqref="AJ67">
    <cfRule type="cellIs" dxfId="738" priority="59342" stopIfTrue="1" operator="notEqual">
      <formula>"En cours"</formula>
    </cfRule>
  </conditionalFormatting>
  <conditionalFormatting sqref="AK67">
    <cfRule type="cellIs" dxfId="737" priority="59343" stopIfTrue="1" operator="equal">
      <formula>"En cours"</formula>
    </cfRule>
  </conditionalFormatting>
  <conditionalFormatting sqref="AK67">
    <cfRule type="cellIs" dxfId="736" priority="59344" stopIfTrue="1" operator="notEqual">
      <formula>"En cours"</formula>
    </cfRule>
  </conditionalFormatting>
  <conditionalFormatting sqref="AJ73">
    <cfRule type="cellIs" dxfId="735" priority="59345" stopIfTrue="1" operator="equal">
      <formula>"En cours"</formula>
    </cfRule>
  </conditionalFormatting>
  <conditionalFormatting sqref="AJ73">
    <cfRule type="cellIs" dxfId="734" priority="59346" stopIfTrue="1" operator="notEqual">
      <formula>"En cours"</formula>
    </cfRule>
  </conditionalFormatting>
  <conditionalFormatting sqref="AK73">
    <cfRule type="cellIs" dxfId="733" priority="59347" stopIfTrue="1" operator="equal">
      <formula>"En cours"</formula>
    </cfRule>
  </conditionalFormatting>
  <conditionalFormatting sqref="AK73">
    <cfRule type="cellIs" dxfId="732" priority="59348" stopIfTrue="1" operator="notEqual">
      <formula>"En cours"</formula>
    </cfRule>
  </conditionalFormatting>
  <conditionalFormatting sqref="AJ180">
    <cfRule type="cellIs" dxfId="731" priority="59349" stopIfTrue="1" operator="equal">
      <formula>"En cours"</formula>
    </cfRule>
  </conditionalFormatting>
  <conditionalFormatting sqref="AJ180">
    <cfRule type="cellIs" dxfId="730" priority="59350" stopIfTrue="1" operator="notEqual">
      <formula>"En cours"</formula>
    </cfRule>
  </conditionalFormatting>
  <conditionalFormatting sqref="AK180">
    <cfRule type="cellIs" dxfId="729" priority="59351" stopIfTrue="1" operator="equal">
      <formula>"En cours"</formula>
    </cfRule>
  </conditionalFormatting>
  <conditionalFormatting sqref="AK180">
    <cfRule type="cellIs" dxfId="728" priority="59352" stopIfTrue="1" operator="notEqual">
      <formula>"En cours"</formula>
    </cfRule>
  </conditionalFormatting>
  <conditionalFormatting sqref="AJ108">
    <cfRule type="cellIs" dxfId="727" priority="59353" stopIfTrue="1" operator="equal">
      <formula>"En cours"</formula>
    </cfRule>
  </conditionalFormatting>
  <conditionalFormatting sqref="AJ108">
    <cfRule type="cellIs" dxfId="726" priority="59354" stopIfTrue="1" operator="notEqual">
      <formula>"En cours"</formula>
    </cfRule>
  </conditionalFormatting>
  <conditionalFormatting sqref="AK108">
    <cfRule type="cellIs" dxfId="725" priority="59355" stopIfTrue="1" operator="equal">
      <formula>"En cours"</formula>
    </cfRule>
  </conditionalFormatting>
  <conditionalFormatting sqref="AK108">
    <cfRule type="cellIs" dxfId="724" priority="59356" stopIfTrue="1" operator="notEqual">
      <formula>"En cours"</formula>
    </cfRule>
  </conditionalFormatting>
  <conditionalFormatting sqref="AJ130">
    <cfRule type="cellIs" dxfId="723" priority="59357" stopIfTrue="1" operator="equal">
      <formula>"En cours"</formula>
    </cfRule>
  </conditionalFormatting>
  <conditionalFormatting sqref="AJ130">
    <cfRule type="cellIs" dxfId="722" priority="59358" stopIfTrue="1" operator="notEqual">
      <formula>"En cours"</formula>
    </cfRule>
  </conditionalFormatting>
  <conditionalFormatting sqref="AK130">
    <cfRule type="cellIs" dxfId="721" priority="59359" stopIfTrue="1" operator="equal">
      <formula>"En cours"</formula>
    </cfRule>
  </conditionalFormatting>
  <conditionalFormatting sqref="AK130">
    <cfRule type="cellIs" dxfId="720" priority="59360" stopIfTrue="1" operator="notEqual">
      <formula>"En cours"</formula>
    </cfRule>
  </conditionalFormatting>
  <conditionalFormatting sqref="AJ135">
    <cfRule type="cellIs" dxfId="719" priority="59361" stopIfTrue="1" operator="equal">
      <formula>"En cours"</formula>
    </cfRule>
  </conditionalFormatting>
  <conditionalFormatting sqref="AJ135">
    <cfRule type="cellIs" dxfId="718" priority="59362" stopIfTrue="1" operator="notEqual">
      <formula>"En cours"</formula>
    </cfRule>
  </conditionalFormatting>
  <conditionalFormatting sqref="AK135">
    <cfRule type="cellIs" dxfId="717" priority="59363" stopIfTrue="1" operator="equal">
      <formula>"En cours"</formula>
    </cfRule>
  </conditionalFormatting>
  <conditionalFormatting sqref="AK135">
    <cfRule type="cellIs" dxfId="716" priority="5936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S1" activePane="topRight" state="frozen"/>
      <selection pane="topRight" activeCell="AF4" sqref="A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29</v>
      </c>
      <c r="C2" s="75" t="s">
        <v>38</v>
      </c>
      <c r="E2" s="19"/>
      <c r="F2" s="161" t="s">
        <v>19</v>
      </c>
      <c r="G2" s="162"/>
      <c r="H2" s="162"/>
      <c r="I2" s="163"/>
      <c r="J2" s="164" t="s">
        <v>20</v>
      </c>
      <c r="K2" s="165"/>
      <c r="L2" s="165"/>
      <c r="M2" s="166"/>
      <c r="N2" s="167" t="s">
        <v>21</v>
      </c>
      <c r="O2" s="162"/>
      <c r="P2" s="162"/>
      <c r="Q2" s="163"/>
      <c r="R2" s="164" t="s">
        <v>22</v>
      </c>
      <c r="S2" s="165"/>
      <c r="T2" s="165"/>
      <c r="U2" s="166"/>
      <c r="V2" s="167" t="s">
        <v>23</v>
      </c>
      <c r="W2" s="162"/>
      <c r="X2" s="162"/>
      <c r="Y2" s="163"/>
      <c r="Z2" s="164" t="s">
        <v>24</v>
      </c>
      <c r="AA2" s="165"/>
      <c r="AB2" s="165"/>
      <c r="AC2" s="168"/>
      <c r="AD2" s="154" t="s">
        <v>25</v>
      </c>
      <c r="AE2" s="155"/>
      <c r="AF2" s="156" t="s">
        <v>18</v>
      </c>
      <c r="AG2" s="157"/>
      <c r="AH2" s="157"/>
      <c r="AI2" s="158"/>
      <c r="AJ2" s="159" t="s">
        <v>26</v>
      </c>
      <c r="AK2" s="160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35" t="s">
        <v>319</v>
      </c>
      <c r="C4" s="135" t="s">
        <v>102</v>
      </c>
      <c r="D4" s="135">
        <v>8.1999999999999993</v>
      </c>
      <c r="E4" s="135" t="s">
        <v>103</v>
      </c>
      <c r="F4" s="135">
        <v>70</v>
      </c>
      <c r="G4" s="135">
        <v>2</v>
      </c>
      <c r="H4" s="135">
        <v>80</v>
      </c>
      <c r="I4" s="135">
        <v>1</v>
      </c>
      <c r="J4" s="135">
        <v>71</v>
      </c>
      <c r="K4" s="135">
        <v>2</v>
      </c>
      <c r="L4" s="135">
        <v>81</v>
      </c>
      <c r="M4" s="135">
        <v>1</v>
      </c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6">
        <f>IF(MIN(F4,J4,N4,R4,V4,Z4)&lt;&gt;0,MIN(F4,J4,N4,R4,V4,Z4),"")</f>
        <v>70</v>
      </c>
      <c r="AE4" s="136">
        <f>IF(MIN(H4,L4,P4,T4,X4,AB4)&lt;&gt;0,MIN(H4,L4,P4,T4,X4,AB4),"")</f>
        <v>80</v>
      </c>
      <c r="AF4" s="136">
        <v>71</v>
      </c>
      <c r="AG4" s="135">
        <v>3</v>
      </c>
      <c r="AH4" s="136">
        <v>81</v>
      </c>
      <c r="AI4" s="135">
        <v>2</v>
      </c>
      <c r="AJ4" s="134">
        <f>IF(AD4="","",IF(ISBLANK(AF4),"En cours",AD4+AF4))</f>
        <v>141</v>
      </c>
      <c r="AK4" s="134">
        <f>IF(AE4="","",IF(ISBLANK(AH4),"En cours",AE4+AH4))</f>
        <v>161</v>
      </c>
    </row>
    <row r="5" spans="2:37" ht="21" x14ac:dyDescent="0.35">
      <c r="B5" s="135" t="s">
        <v>352</v>
      </c>
      <c r="C5" s="135" t="s">
        <v>102</v>
      </c>
      <c r="D5" s="135">
        <v>9.3000000000000007</v>
      </c>
      <c r="E5" s="135" t="s">
        <v>103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>
        <v>74</v>
      </c>
      <c r="S5" s="135">
        <v>1</v>
      </c>
      <c r="T5" s="135">
        <v>85</v>
      </c>
      <c r="U5" s="135">
        <v>1</v>
      </c>
      <c r="V5" s="135">
        <v>72</v>
      </c>
      <c r="W5" s="135">
        <v>3</v>
      </c>
      <c r="X5" s="135">
        <v>83</v>
      </c>
      <c r="Y5" s="135">
        <v>1</v>
      </c>
      <c r="Z5" s="135">
        <v>75</v>
      </c>
      <c r="AA5" s="135">
        <v>2</v>
      </c>
      <c r="AB5" s="135">
        <v>86</v>
      </c>
      <c r="AC5" s="135">
        <v>1</v>
      </c>
      <c r="AD5" s="136">
        <f>IF(MIN(F5,J5,N5,R5,V5,Z5)&lt;&gt;0,MIN(F5,J5,N5,R5,V5,Z5),"")</f>
        <v>72</v>
      </c>
      <c r="AE5" s="136">
        <f>IF(MIN(H5,L5,P5,T5,X5,AB5)&lt;&gt;0,MIN(H5,L5,P5,T5,X5,AB5),"")</f>
        <v>83</v>
      </c>
      <c r="AF5" s="136">
        <v>69</v>
      </c>
      <c r="AG5" s="135">
        <v>2</v>
      </c>
      <c r="AH5" s="136">
        <v>80</v>
      </c>
      <c r="AI5" s="135">
        <v>1</v>
      </c>
      <c r="AJ5" s="134">
        <f>IF(AD5="","",IF(ISBLANK(AF5),"En cours",AD5+AF5))</f>
        <v>141</v>
      </c>
      <c r="AK5" s="134">
        <f>IF(AE5="","",IF(ISBLANK(AH5),"En cours",AE5+AH5))</f>
        <v>163</v>
      </c>
    </row>
    <row r="6" spans="2:37" ht="21" x14ac:dyDescent="0.35">
      <c r="B6" s="135" t="s">
        <v>321</v>
      </c>
      <c r="C6" s="135" t="s">
        <v>102</v>
      </c>
      <c r="D6" s="135">
        <v>18.2</v>
      </c>
      <c r="E6" s="135" t="s">
        <v>123</v>
      </c>
      <c r="F6" s="135">
        <v>69</v>
      </c>
      <c r="G6" s="135">
        <v>1</v>
      </c>
      <c r="H6" s="135">
        <v>90</v>
      </c>
      <c r="I6" s="135">
        <v>3</v>
      </c>
      <c r="J6" s="135"/>
      <c r="K6" s="135"/>
      <c r="L6" s="135"/>
      <c r="M6" s="135"/>
      <c r="N6" s="135">
        <v>64</v>
      </c>
      <c r="O6" s="135">
        <v>1</v>
      </c>
      <c r="P6" s="135">
        <v>85</v>
      </c>
      <c r="Q6" s="135">
        <v>2</v>
      </c>
      <c r="R6" s="135"/>
      <c r="S6" s="135"/>
      <c r="T6" s="135"/>
      <c r="U6" s="135"/>
      <c r="V6" s="135">
        <v>64</v>
      </c>
      <c r="W6" s="135">
        <v>1</v>
      </c>
      <c r="X6" s="135">
        <v>85</v>
      </c>
      <c r="Y6" s="135">
        <v>2</v>
      </c>
      <c r="Z6" s="135"/>
      <c r="AA6" s="135"/>
      <c r="AB6" s="135"/>
      <c r="AC6" s="135"/>
      <c r="AD6" s="136">
        <f>IF(MIN(F6,J6,N6,R6,V6,Z6)&lt;&gt;0,MIN(F6,J6,N6,R6,V6,Z6),"")</f>
        <v>64</v>
      </c>
      <c r="AE6" s="136">
        <f>IF(MIN(H6,L6,P6,T6,X6,AB6)&lt;&gt;0,MIN(H6,L6,P6,T6,X6,AB6),"")</f>
        <v>85</v>
      </c>
      <c r="AF6" s="136">
        <v>67</v>
      </c>
      <c r="AG6" s="135">
        <v>1</v>
      </c>
      <c r="AH6" s="136">
        <v>88</v>
      </c>
      <c r="AI6" s="135">
        <v>3</v>
      </c>
      <c r="AJ6" s="134">
        <f>IF(AD6="","",IF(ISBLANK(AF6),"En cours",AD6+AF6))</f>
        <v>131</v>
      </c>
      <c r="AK6" s="134">
        <f>IF(AE6="","",IF(ISBLANK(AH6),"En cours",AE6+AH6))</f>
        <v>173</v>
      </c>
    </row>
    <row r="7" spans="2:37" ht="21" x14ac:dyDescent="0.35">
      <c r="B7" s="135" t="s">
        <v>345</v>
      </c>
      <c r="C7" s="135" t="s">
        <v>102</v>
      </c>
      <c r="D7" s="135">
        <v>16.3</v>
      </c>
      <c r="E7" s="135" t="s">
        <v>123</v>
      </c>
      <c r="F7" s="135"/>
      <c r="G7" s="135"/>
      <c r="H7" s="135"/>
      <c r="I7" s="135"/>
      <c r="J7" s="135"/>
      <c r="K7" s="135"/>
      <c r="L7" s="135"/>
      <c r="M7" s="135"/>
      <c r="N7" s="135">
        <v>71</v>
      </c>
      <c r="O7" s="135">
        <v>4</v>
      </c>
      <c r="P7" s="135">
        <v>90</v>
      </c>
      <c r="Q7" s="135">
        <v>5</v>
      </c>
      <c r="R7" s="135"/>
      <c r="S7" s="135"/>
      <c r="T7" s="135"/>
      <c r="U7" s="135"/>
      <c r="V7" s="135">
        <v>68</v>
      </c>
      <c r="W7" s="135">
        <v>2</v>
      </c>
      <c r="X7" s="135">
        <v>87</v>
      </c>
      <c r="Y7" s="135">
        <v>3</v>
      </c>
      <c r="Z7" s="135"/>
      <c r="AA7" s="135"/>
      <c r="AB7" s="135"/>
      <c r="AC7" s="135"/>
      <c r="AD7" s="136">
        <f>IF(MIN(F7,J7,N7,R7,V7,Z7)&lt;&gt;0,MIN(F7,J7,N7,R7,V7,Z7),"")</f>
        <v>68</v>
      </c>
      <c r="AE7" s="136">
        <f>IF(MIN(H7,L7,P7,T7,X7,AB7)&lt;&gt;0,MIN(H7,L7,P7,T7,X7,AB7),"")</f>
        <v>87</v>
      </c>
      <c r="AF7" s="136">
        <v>72</v>
      </c>
      <c r="AG7" s="135">
        <v>4</v>
      </c>
      <c r="AH7" s="136">
        <v>91</v>
      </c>
      <c r="AI7" s="135">
        <v>4</v>
      </c>
      <c r="AJ7" s="134">
        <f>IF(AD7="","",IF(ISBLANK(AF7),"En cours",AD7+AF7))</f>
        <v>140</v>
      </c>
      <c r="AK7" s="134">
        <f>IF(AE7="","",IF(ISBLANK(AH7),"En cours",AE7+AH7))</f>
        <v>178</v>
      </c>
    </row>
    <row r="8" spans="2:37" ht="21" x14ac:dyDescent="0.35">
      <c r="B8" s="135" t="s">
        <v>320</v>
      </c>
      <c r="C8" s="135" t="s">
        <v>102</v>
      </c>
      <c r="D8" s="135">
        <v>13.7</v>
      </c>
      <c r="E8" s="135" t="s">
        <v>123</v>
      </c>
      <c r="F8" s="135">
        <v>71</v>
      </c>
      <c r="G8" s="135">
        <v>3</v>
      </c>
      <c r="H8" s="135">
        <v>87</v>
      </c>
      <c r="I8" s="135">
        <v>2</v>
      </c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>
        <v>75</v>
      </c>
      <c r="W8" s="135">
        <v>5</v>
      </c>
      <c r="X8" s="135">
        <v>91</v>
      </c>
      <c r="Y8" s="135">
        <v>4</v>
      </c>
      <c r="Z8" s="135"/>
      <c r="AA8" s="135"/>
      <c r="AB8" s="135"/>
      <c r="AC8" s="135"/>
      <c r="AD8" s="136">
        <f>IF(MIN(F8,J8,N8,R8,V8,Z8)&lt;&gt;0,MIN(F8,J8,N8,R8,V8,Z8),"")</f>
        <v>71</v>
      </c>
      <c r="AE8" s="136">
        <f>IF(MIN(H8,L8,P8,T8,X8,AB8)&lt;&gt;0,MIN(H8,L8,P8,T8,X8,AB8),"")</f>
        <v>87</v>
      </c>
      <c r="AF8" s="136">
        <v>80</v>
      </c>
      <c r="AG8" s="135">
        <v>9</v>
      </c>
      <c r="AH8" s="136">
        <v>96</v>
      </c>
      <c r="AI8" s="135">
        <v>8</v>
      </c>
      <c r="AJ8" s="134">
        <f>IF(AD8="","",IF(ISBLANK(AF8),"En cours",AD8+AF8))</f>
        <v>151</v>
      </c>
      <c r="AK8" s="134">
        <f>IF(AE8="","",IF(ISBLANK(AH8),"En cours",AE8+AH8))</f>
        <v>183</v>
      </c>
    </row>
    <row r="9" spans="2:37" ht="21" x14ac:dyDescent="0.35">
      <c r="B9" s="135" t="s">
        <v>325</v>
      </c>
      <c r="C9" s="135" t="s">
        <v>102</v>
      </c>
      <c r="D9" s="135">
        <v>15.7</v>
      </c>
      <c r="E9" s="135" t="s">
        <v>123</v>
      </c>
      <c r="F9" s="135">
        <v>86</v>
      </c>
      <c r="G9" s="135">
        <v>7</v>
      </c>
      <c r="H9" s="135">
        <v>104</v>
      </c>
      <c r="I9" s="135">
        <v>7</v>
      </c>
      <c r="J9" s="135">
        <v>70</v>
      </c>
      <c r="K9" s="135">
        <v>1</v>
      </c>
      <c r="L9" s="135">
        <v>88</v>
      </c>
      <c r="M9" s="135">
        <v>3</v>
      </c>
      <c r="N9" s="135">
        <v>70</v>
      </c>
      <c r="O9" s="135">
        <v>3</v>
      </c>
      <c r="P9" s="135">
        <v>88</v>
      </c>
      <c r="Q9" s="135">
        <v>4</v>
      </c>
      <c r="R9" s="135"/>
      <c r="S9" s="135"/>
      <c r="T9" s="135"/>
      <c r="U9" s="135"/>
      <c r="V9" s="135"/>
      <c r="W9" s="135"/>
      <c r="X9" s="135"/>
      <c r="Y9" s="135"/>
      <c r="Z9" s="135">
        <v>70</v>
      </c>
      <c r="AA9" s="135">
        <v>1</v>
      </c>
      <c r="AB9" s="135">
        <v>88</v>
      </c>
      <c r="AC9" s="135">
        <v>2</v>
      </c>
      <c r="AD9" s="136">
        <f>IF(MIN(F9,J9,N9,R9,V9,Z9)&lt;&gt;0,MIN(F9,J9,N9,R9,V9,Z9),"")</f>
        <v>70</v>
      </c>
      <c r="AE9" s="136">
        <f>IF(MIN(H9,L9,P9,T9,X9,AB9)&lt;&gt;0,MIN(H9,L9,P9,T9,X9,AB9),"")</f>
        <v>88</v>
      </c>
      <c r="AF9" s="136">
        <v>77</v>
      </c>
      <c r="AG9" s="135">
        <v>6</v>
      </c>
      <c r="AH9" s="136">
        <v>95</v>
      </c>
      <c r="AI9" s="135">
        <v>7</v>
      </c>
      <c r="AJ9" s="134">
        <f>IF(AD9="","",IF(ISBLANK(AF9),"En cours",AD9+AF9))</f>
        <v>147</v>
      </c>
      <c r="AK9" s="134">
        <f>IF(AE9="","",IF(ISBLANK(AH9),"En cours",AE9+AH9))</f>
        <v>183</v>
      </c>
    </row>
    <row r="10" spans="2:37" ht="21" x14ac:dyDescent="0.35">
      <c r="B10" s="135" t="s">
        <v>338</v>
      </c>
      <c r="C10" s="135" t="s">
        <v>102</v>
      </c>
      <c r="D10" s="135">
        <v>16.899999999999999</v>
      </c>
      <c r="E10" s="135" t="s">
        <v>123</v>
      </c>
      <c r="F10" s="135"/>
      <c r="G10" s="135"/>
      <c r="H10" s="135"/>
      <c r="I10" s="135"/>
      <c r="J10" s="135">
        <v>78</v>
      </c>
      <c r="K10" s="135">
        <v>4</v>
      </c>
      <c r="L10" s="135">
        <v>97</v>
      </c>
      <c r="M10" s="135">
        <v>4</v>
      </c>
      <c r="N10" s="135"/>
      <c r="O10" s="135"/>
      <c r="P10" s="135"/>
      <c r="Q10" s="135"/>
      <c r="R10" s="135">
        <v>79</v>
      </c>
      <c r="S10" s="135">
        <v>2</v>
      </c>
      <c r="T10" s="135">
        <v>98</v>
      </c>
      <c r="U10" s="135">
        <v>2</v>
      </c>
      <c r="V10" s="135">
        <v>74</v>
      </c>
      <c r="W10" s="135">
        <v>4</v>
      </c>
      <c r="X10" s="135">
        <v>93</v>
      </c>
      <c r="Y10" s="135">
        <v>5</v>
      </c>
      <c r="Z10" s="135">
        <v>76</v>
      </c>
      <c r="AA10" s="135">
        <v>3</v>
      </c>
      <c r="AB10" s="135">
        <v>95</v>
      </c>
      <c r="AC10" s="135">
        <v>3</v>
      </c>
      <c r="AD10" s="136">
        <f>IF(MIN(F10,J10,N10,R10,V10,Z10)&lt;&gt;0,MIN(F10,J10,N10,R10,V10,Z10),"")</f>
        <v>74</v>
      </c>
      <c r="AE10" s="136">
        <f>IF(MIN(H10,L10,P10,T10,X10,AB10)&lt;&gt;0,MIN(H10,L10,P10,T10,X10,AB10),"")</f>
        <v>93</v>
      </c>
      <c r="AF10" s="136">
        <v>75</v>
      </c>
      <c r="AG10" s="135">
        <v>5</v>
      </c>
      <c r="AH10" s="136">
        <v>94</v>
      </c>
      <c r="AI10" s="135">
        <v>6</v>
      </c>
      <c r="AJ10" s="134">
        <f>IF(AD10="","",IF(ISBLANK(AF10),"En cours",AD10+AF10))</f>
        <v>149</v>
      </c>
      <c r="AK10" s="134">
        <f>IF(AE10="","",IF(ISBLANK(AH10),"En cours",AE10+AH10))</f>
        <v>187</v>
      </c>
    </row>
    <row r="11" spans="2:37" ht="21" x14ac:dyDescent="0.35">
      <c r="B11" s="135" t="s">
        <v>322</v>
      </c>
      <c r="C11" s="135" t="s">
        <v>102</v>
      </c>
      <c r="D11" s="135">
        <v>14.7</v>
      </c>
      <c r="E11" s="135" t="s">
        <v>123</v>
      </c>
      <c r="F11" s="135">
        <v>76</v>
      </c>
      <c r="G11" s="135">
        <v>4</v>
      </c>
      <c r="H11" s="135">
        <v>93</v>
      </c>
      <c r="I11" s="135">
        <v>4</v>
      </c>
      <c r="J11" s="135"/>
      <c r="K11" s="135"/>
      <c r="L11" s="135"/>
      <c r="M11" s="135"/>
      <c r="N11" s="135">
        <v>82</v>
      </c>
      <c r="O11" s="135">
        <v>6</v>
      </c>
      <c r="P11" s="135">
        <v>99</v>
      </c>
      <c r="Q11" s="135">
        <v>6</v>
      </c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6">
        <f>IF(MIN(F11,J11,N11,R11,V11,Z11)&lt;&gt;0,MIN(F11,J11,N11,R11,V11,Z11),"")</f>
        <v>76</v>
      </c>
      <c r="AE11" s="136">
        <f>IF(MIN(H11,L11,P11,T11,X11,AB11)&lt;&gt;0,MIN(H11,L11,P11,T11,X11,AB11),"")</f>
        <v>93</v>
      </c>
      <c r="AF11" s="136">
        <v>79</v>
      </c>
      <c r="AG11" s="135">
        <v>8</v>
      </c>
      <c r="AH11" s="136">
        <v>96</v>
      </c>
      <c r="AI11" s="135">
        <v>9</v>
      </c>
      <c r="AJ11" s="134">
        <f>IF(AD11="","",IF(ISBLANK(AF11),"En cours",AD11+AF11))</f>
        <v>155</v>
      </c>
      <c r="AK11" s="134">
        <f>IF(AE11="","",IF(ISBLANK(AH11),"En cours",AE11+AH11))</f>
        <v>189</v>
      </c>
    </row>
    <row r="12" spans="2:37" ht="21" x14ac:dyDescent="0.35">
      <c r="B12" s="135" t="s">
        <v>324</v>
      </c>
      <c r="C12" s="135" t="s">
        <v>102</v>
      </c>
      <c r="D12" s="135">
        <v>13.3</v>
      </c>
      <c r="E12" s="135" t="s">
        <v>123</v>
      </c>
      <c r="F12" s="135">
        <v>83</v>
      </c>
      <c r="G12" s="135">
        <v>6</v>
      </c>
      <c r="H12" s="135">
        <v>98</v>
      </c>
      <c r="I12" s="135">
        <v>6</v>
      </c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6">
        <f>IF(MIN(F12,J12,N12,R12,V12,Z12)&lt;&gt;0,MIN(F12,J12,N12,R12,V12,Z12),"")</f>
        <v>83</v>
      </c>
      <c r="AE12" s="136">
        <f>IF(MIN(H12,L12,P12,T12,X12,AB12)&lt;&gt;0,MIN(H12,L12,P12,T12,X12,AB12),"")</f>
        <v>98</v>
      </c>
      <c r="AF12" s="136">
        <v>79</v>
      </c>
      <c r="AG12" s="135">
        <v>7</v>
      </c>
      <c r="AH12" s="136">
        <v>94</v>
      </c>
      <c r="AI12" s="135">
        <v>5</v>
      </c>
      <c r="AJ12" s="134">
        <f>IF(AD12="","",IF(ISBLANK(AF12),"En cours",AD12+AF12))</f>
        <v>162</v>
      </c>
      <c r="AK12" s="134">
        <f>IF(AE12="","",IF(ISBLANK(AH12),"En cours",AE12+AH12))</f>
        <v>192</v>
      </c>
    </row>
    <row r="13" spans="2:37" ht="21" x14ac:dyDescent="0.35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6" t="str">
        <f>IF(MIN(F13,J13,N13,R13,V13,Z13)&lt;&gt;0,MIN(F13,J13,N13,R13,V13,Z13),"")</f>
        <v/>
      </c>
      <c r="AE13" s="136" t="str">
        <f>IF(MIN(H13,L13,P13,T13,X13,AB13)&lt;&gt;0,MIN(H13,L13,P13,T13,X13,AB13),"")</f>
        <v/>
      </c>
      <c r="AF13" s="136"/>
      <c r="AG13" s="135"/>
      <c r="AH13" s="136"/>
      <c r="AI13" s="135"/>
      <c r="AJ13" s="134" t="str">
        <f>IF(AD13="","",IF(ISBLANK(AF13),"En cours",AD13+AF13))</f>
        <v/>
      </c>
      <c r="AK13" s="134" t="str">
        <f>IF(AE13="","",IF(ISBLANK(AH13),"En cours",AE13+AH13))</f>
        <v/>
      </c>
    </row>
    <row r="14" spans="2:37" ht="21" x14ac:dyDescent="0.35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6" t="str">
        <f>IF(MIN(F14,J14,N14,R14,V14,Z14)&lt;&gt;0,MIN(F14,J14,N14,R14,V14,Z14),"")</f>
        <v/>
      </c>
      <c r="AE14" s="136" t="str">
        <f>IF(MIN(H14,L14,P14,T14,X14,AB14)&lt;&gt;0,MIN(H14,L14,P14,T14,X14,AB14),"")</f>
        <v/>
      </c>
      <c r="AF14" s="136"/>
      <c r="AG14" s="135"/>
      <c r="AH14" s="136"/>
      <c r="AI14" s="135"/>
      <c r="AJ14" s="134" t="str">
        <f>IF(AD14="","",IF(ISBLANK(AF14),"En cours",AD14+AF14))</f>
        <v/>
      </c>
      <c r="AK14" s="134" t="str">
        <f>IF(AE14="","",IF(ISBLANK(AH14),"En cours",AE14+AH14))</f>
        <v/>
      </c>
    </row>
    <row r="15" spans="2:37" ht="21" x14ac:dyDescent="0.35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6" t="str">
        <f>IF(MIN(F15,J15,N15,R15,V15,Z15)&lt;&gt;0,MIN(F15,J15,N15,R15,V15,Z15),"")</f>
        <v/>
      </c>
      <c r="AE15" s="136" t="str">
        <f>IF(MIN(H15,L15,P15,T15,X15,AB15)&lt;&gt;0,MIN(H15,L15,P15,T15,X15,AB15),"")</f>
        <v/>
      </c>
      <c r="AF15" s="136"/>
      <c r="AG15" s="135"/>
      <c r="AH15" s="136"/>
      <c r="AI15" s="135"/>
      <c r="AJ15" s="134" t="str">
        <f>IF(AD15="","",IF(ISBLANK(AF15),"En cours",AD15+AF15))</f>
        <v/>
      </c>
      <c r="AK15" s="134" t="str">
        <f>IF(AE15="","",IF(ISBLANK(AH15),"En cours",AE15+AH15))</f>
        <v/>
      </c>
    </row>
    <row r="16" spans="2:37" ht="21" x14ac:dyDescent="0.35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6" t="str">
        <f>IF(MIN(F16,J16,N16,R16,V16,Z16)&lt;&gt;0,MIN(F16,J16,N16,R16,V16,Z16),"")</f>
        <v/>
      </c>
      <c r="AE16" s="136" t="str">
        <f>IF(MIN(H16,L16,P16,T16,X16,AB16)&lt;&gt;0,MIN(H16,L16,P16,T16,X16,AB16),"")</f>
        <v/>
      </c>
      <c r="AF16" s="136"/>
      <c r="AG16" s="135"/>
      <c r="AH16" s="136"/>
      <c r="AI16" s="135"/>
      <c r="AJ16" s="134" t="str">
        <f>IF(AD16="","",IF(ISBLANK(AF16),"En cours",AD16+AF16))</f>
        <v/>
      </c>
      <c r="AK16" s="134" t="str">
        <f>IF(AE16="","",IF(ISBLANK(AH16),"En cours",AE16+AH16))</f>
        <v/>
      </c>
    </row>
    <row r="17" spans="2:37" ht="21" x14ac:dyDescent="0.35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6" t="str">
        <f>IF(MIN(F17,J17,N17,R17,V17,Z17)&lt;&gt;0,MIN(F17,J17,N17,R17,V17,Z17),"")</f>
        <v/>
      </c>
      <c r="AE17" s="136" t="str">
        <f>IF(MIN(H17,L17,P17,T17,X17,AB17)&lt;&gt;0,MIN(H17,L17,P17,T17,X17,AB17),"")</f>
        <v/>
      </c>
      <c r="AF17" s="136"/>
      <c r="AG17" s="135"/>
      <c r="AH17" s="136"/>
      <c r="AI17" s="135"/>
      <c r="AJ17" s="134" t="str">
        <f>IF(AD17="","",IF(ISBLANK(AF17),"En cours",AD17+AF17))</f>
        <v/>
      </c>
      <c r="AK17" s="134" t="str">
        <f>IF(AE17="","",IF(ISBLANK(AH17),"En cours",AE17+AH17))</f>
        <v/>
      </c>
    </row>
    <row r="18" spans="2:37" ht="21" x14ac:dyDescent="0.35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6" t="str">
        <f>IF(MIN(F18,J18,N18,R18,V18,Z18)&lt;&gt;0,MIN(F18,J18,N18,R18,V18,Z18),"")</f>
        <v/>
      </c>
      <c r="AE18" s="136" t="str">
        <f>IF(MIN(H18,L18,P18,T18,X18,AB18)&lt;&gt;0,MIN(H18,L18,P18,T18,X18,AB18),"")</f>
        <v/>
      </c>
      <c r="AF18" s="136"/>
      <c r="AG18" s="135"/>
      <c r="AH18" s="136"/>
      <c r="AI18" s="135"/>
      <c r="AJ18" s="134" t="str">
        <f>IF(AD18="","",IF(ISBLANK(AF18),"En cours",AD18+AF18))</f>
        <v/>
      </c>
      <c r="AK18" s="134" t="str">
        <f>IF(AE18="","",IF(ISBLANK(AH18),"En cours",AE18+AH18))</f>
        <v/>
      </c>
    </row>
    <row r="19" spans="2:37" ht="21" x14ac:dyDescent="0.35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6" t="str">
        <f>IF(MIN(F19,J19,N19,R19,V19,Z19)&lt;&gt;0,MIN(F19,J19,N19,R19,V19,Z19),"")</f>
        <v/>
      </c>
      <c r="AE19" s="136" t="str">
        <f>IF(MIN(H19,L19,P19,T19,X19,AB19)&lt;&gt;0,MIN(H19,L19,P19,T19,X19,AB19),"")</f>
        <v/>
      </c>
      <c r="AF19" s="136"/>
      <c r="AG19" s="135"/>
      <c r="AH19" s="136"/>
      <c r="AI19" s="135"/>
      <c r="AJ19" s="134" t="str">
        <f>IF(AD19="","",IF(ISBLANK(AF19),"En cours",AD19+AF19))</f>
        <v/>
      </c>
      <c r="AK19" s="134" t="str">
        <f>IF(AE19="","",IF(ISBLANK(AH19),"En cours",AE19+AH19))</f>
        <v/>
      </c>
    </row>
    <row r="20" spans="2:37" ht="21" x14ac:dyDescent="0.35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6" t="str">
        <f>IF(MIN(F20,J20,N20,R20,V20,Z20)&lt;&gt;0,MIN(F20,J20,N20,R20,V20,Z20),"")</f>
        <v/>
      </c>
      <c r="AE20" s="136" t="str">
        <f>IF(MIN(H20,L20,P20,T20,X20,AB20)&lt;&gt;0,MIN(H20,L20,P20,T20,X20,AB20),"")</f>
        <v/>
      </c>
      <c r="AF20" s="136"/>
      <c r="AG20" s="135"/>
      <c r="AH20" s="136"/>
      <c r="AI20" s="135"/>
      <c r="AJ20" s="134" t="str">
        <f>IF(AD20="","",IF(ISBLANK(AF20),"En cours",AD20+AF20))</f>
        <v/>
      </c>
      <c r="AK20" s="134" t="str">
        <f>IF(AE20="","",IF(ISBLANK(AH20),"En cours",AE20+AH20))</f>
        <v/>
      </c>
    </row>
    <row r="21" spans="2:37" ht="21" x14ac:dyDescent="0.35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6" t="str">
        <f>IF(MIN(F21,J21,N21,R21,V21,Z21)&lt;&gt;0,MIN(F21,J21,N21,R21,V21,Z21),"")</f>
        <v/>
      </c>
      <c r="AE21" s="136" t="str">
        <f>IF(MIN(H21,L21,P21,T21,X21,AB21)&lt;&gt;0,MIN(H21,L21,P21,T21,X21,AB21),"")</f>
        <v/>
      </c>
      <c r="AF21" s="136"/>
      <c r="AG21" s="135"/>
      <c r="AH21" s="136"/>
      <c r="AI21" s="135"/>
      <c r="AJ21" s="134" t="str">
        <f>IF(AD21="","",IF(ISBLANK(AF21),"En cours",AD21+AF21))</f>
        <v/>
      </c>
      <c r="AK21" s="134" t="str">
        <f>IF(AE21="","",IF(ISBLANK(AH21),"En cours",AE21+AH21))</f>
        <v/>
      </c>
    </row>
    <row r="22" spans="2:37" ht="21" x14ac:dyDescent="0.35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6" t="str">
        <f>IF(MIN(F22,J22,N22,R22,V22,Z22)&lt;&gt;0,MIN(F22,J22,N22,R22,V22,Z22),"")</f>
        <v/>
      </c>
      <c r="AE22" s="136" t="str">
        <f>IF(MIN(H22,L22,P22,T22,X22,AB22)&lt;&gt;0,MIN(H22,L22,P22,T22,X22,AB22),"")</f>
        <v/>
      </c>
      <c r="AF22" s="136"/>
      <c r="AG22" s="135"/>
      <c r="AH22" s="136"/>
      <c r="AI22" s="135"/>
      <c r="AJ22" s="134" t="str">
        <f>IF(AD22="","",IF(ISBLANK(AF22),"En cours",AD22+AF22))</f>
        <v/>
      </c>
      <c r="AK22" s="134" t="str">
        <f>IF(AE22="","",IF(ISBLANK(AH22),"En cours",AE22+AH22))</f>
        <v/>
      </c>
    </row>
    <row r="23" spans="2:37" ht="21" x14ac:dyDescent="0.35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6" t="str">
        <f>IF(MIN(F23,J23,N23,R23,V23,Z23)&lt;&gt;0,MIN(F23,J23,N23,R23,V23,Z23),"")</f>
        <v/>
      </c>
      <c r="AE23" s="136" t="str">
        <f>IF(MIN(H23,L23,P23,T23,X23,AB23)&lt;&gt;0,MIN(H23,L23,P23,T23,X23,AB23),"")</f>
        <v/>
      </c>
      <c r="AF23" s="136"/>
      <c r="AG23" s="135"/>
      <c r="AH23" s="136"/>
      <c r="AI23" s="135"/>
      <c r="AJ23" s="134" t="str">
        <f>IF(AD23="","",IF(ISBLANK(AF23),"En cours",AD23+AF23))</f>
        <v/>
      </c>
      <c r="AK23" s="134" t="str">
        <f>IF(AE23="","",IF(ISBLANK(AH23),"En cours",AE23+AH23))</f>
        <v/>
      </c>
    </row>
    <row r="24" spans="2:37" ht="21" x14ac:dyDescent="0.35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6" t="str">
        <f>IF(MIN(F24,J24,N24,R24,V24,Z24)&lt;&gt;0,MIN(F24,J24,N24,R24,V24,Z24),"")</f>
        <v/>
      </c>
      <c r="AE24" s="136" t="str">
        <f>IF(MIN(H24,L24,P24,T24,X24,AB24)&lt;&gt;0,MIN(H24,L24,P24,T24,X24,AB24),"")</f>
        <v/>
      </c>
      <c r="AF24" s="136"/>
      <c r="AG24" s="135"/>
      <c r="AH24" s="136"/>
      <c r="AI24" s="135"/>
      <c r="AJ24" s="134" t="str">
        <f>IF(AD24="","",IF(ISBLANK(AF24),"En cours",AD24+AF24))</f>
        <v/>
      </c>
      <c r="AK24" s="134" t="str">
        <f>IF(AE24="","",IF(ISBLANK(AH24),"En cours",AE24+AH24))</f>
        <v/>
      </c>
    </row>
    <row r="25" spans="2:37" ht="21" x14ac:dyDescent="0.35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6" t="str">
        <f>IF(MIN(F25,J25,N25,R25,V25,Z25)&lt;&gt;0,MIN(F25,J25,N25,R25,V25,Z25),"")</f>
        <v/>
      </c>
      <c r="AE25" s="136" t="str">
        <f>IF(MIN(H25,L25,P25,T25,X25,AB25)&lt;&gt;0,MIN(H25,L25,P25,T25,X25,AB25),"")</f>
        <v/>
      </c>
      <c r="AF25" s="136"/>
      <c r="AG25" s="135"/>
      <c r="AH25" s="136"/>
      <c r="AI25" s="135"/>
      <c r="AJ25" s="134" t="str">
        <f>IF(AD25="","",IF(ISBLANK(AF25),"En cours",AD25+AF25))</f>
        <v/>
      </c>
      <c r="AK25" s="134" t="str">
        <f>IF(AE25="","",IF(ISBLANK(AH25),"En cours",AE25+AH25))</f>
        <v/>
      </c>
    </row>
    <row r="26" spans="2:37" ht="21" x14ac:dyDescent="0.35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6" t="str">
        <f>IF(MIN(F26,J26,N26,R26,V26,Z26)&lt;&gt;0,MIN(F26,J26,N26,R26,V26,Z26),"")</f>
        <v/>
      </c>
      <c r="AE26" s="136" t="str">
        <f>IF(MIN(H26,L26,P26,T26,X26,AB26)&lt;&gt;0,MIN(H26,L26,P26,T26,X26,AB26),"")</f>
        <v/>
      </c>
      <c r="AF26" s="136"/>
      <c r="AG26" s="135"/>
      <c r="AH26" s="136"/>
      <c r="AI26" s="135"/>
      <c r="AJ26" s="134" t="str">
        <f>IF(AD26="","",IF(ISBLANK(AF26),"En cours",AD26+AF26))</f>
        <v/>
      </c>
      <c r="AK26" s="134" t="str">
        <f>IF(AE26="","",IF(ISBLANK(AH26),"En cours",AE26+AH26))</f>
        <v/>
      </c>
    </row>
    <row r="27" spans="2:37" ht="21" x14ac:dyDescent="0.35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6" t="str">
        <f>IF(MIN(F27,J27,N27,R27,V27,Z27)&lt;&gt;0,MIN(F27,J27,N27,R27,V27,Z27),"")</f>
        <v/>
      </c>
      <c r="AE27" s="136" t="str">
        <f>IF(MIN(H27,L27,P27,T27,X27,AB27)&lt;&gt;0,MIN(H27,L27,P27,T27,X27,AB27),"")</f>
        <v/>
      </c>
      <c r="AF27" s="136"/>
      <c r="AG27" s="135"/>
      <c r="AH27" s="136"/>
      <c r="AI27" s="135"/>
      <c r="AJ27" s="134" t="str">
        <f>IF(AD27="","",IF(ISBLANK(AF27),"En cours",AD27+AF27))</f>
        <v/>
      </c>
      <c r="AK27" s="134" t="str">
        <f>IF(AE27="","",IF(ISBLANK(AH27),"En cours",AE27+AH27))</f>
        <v/>
      </c>
    </row>
    <row r="28" spans="2:37" ht="21" x14ac:dyDescent="0.35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6" t="str">
        <f>IF(MIN(F28,J28,N28,R28,V28,Z28)&lt;&gt;0,MIN(F28,J28,N28,R28,V28,Z28),"")</f>
        <v/>
      </c>
      <c r="AE28" s="136" t="str">
        <f>IF(MIN(H28,L28,P28,T28,X28,AB28)&lt;&gt;0,MIN(H28,L28,P28,T28,X28,AB28),"")</f>
        <v/>
      </c>
      <c r="AF28" s="136"/>
      <c r="AG28" s="135"/>
      <c r="AH28" s="136"/>
      <c r="AI28" s="135"/>
      <c r="AJ28" s="134" t="str">
        <f>IF(AD28="","",IF(ISBLANK(AF28),"En cours",AD28+AF28))</f>
        <v/>
      </c>
      <c r="AK28" s="134" t="str">
        <f>IF(AE28="","",IF(ISBLANK(AH28),"En cours",AE28+AH28))</f>
        <v/>
      </c>
    </row>
    <row r="29" spans="2:37" ht="21" x14ac:dyDescent="0.35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6" t="str">
        <f>IF(MIN(F29,J29,N29,R29,V29,Z29)&lt;&gt;0,MIN(F29,J29,N29,R29,V29,Z29),"")</f>
        <v/>
      </c>
      <c r="AE29" s="136" t="str">
        <f>IF(MIN(H29,L29,P29,T29,X29,AB29)&lt;&gt;0,MIN(H29,L29,P29,T29,X29,AB29),"")</f>
        <v/>
      </c>
      <c r="AF29" s="136"/>
      <c r="AG29" s="135"/>
      <c r="AH29" s="136"/>
      <c r="AI29" s="135"/>
      <c r="AJ29" s="134" t="str">
        <f>IF(AD29="","",IF(ISBLANK(AF29),"En cours",AD29+AF29))</f>
        <v/>
      </c>
      <c r="AK29" s="134" t="str">
        <f>IF(AE29="","",IF(ISBLANK(AH29),"En cours",AE29+AH29))</f>
        <v/>
      </c>
    </row>
    <row r="30" spans="2:37" ht="21" x14ac:dyDescent="0.35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6" t="str">
        <f>IF(MIN(F30,J30,N30,R30,V30,Z30)&lt;&gt;0,MIN(F30,J30,N30,R30,V30,Z30),"")</f>
        <v/>
      </c>
      <c r="AE30" s="136" t="str">
        <f>IF(MIN(H30,L30,P30,T30,X30,AB30)&lt;&gt;0,MIN(H30,L30,P30,T30,X30,AB30),"")</f>
        <v/>
      </c>
      <c r="AF30" s="136"/>
      <c r="AG30" s="135"/>
      <c r="AH30" s="136"/>
      <c r="AI30" s="135"/>
      <c r="AJ30" s="134" t="str">
        <f>IF(AD30="","",IF(ISBLANK(AF30),"En cours",AD30+AF30))</f>
        <v/>
      </c>
      <c r="AK30" s="134" t="str">
        <f>IF(AE30="","",IF(ISBLANK(AH30),"En cours",AE30+AH30))</f>
        <v/>
      </c>
    </row>
    <row r="31" spans="2:37" ht="21" x14ac:dyDescent="0.35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6" t="str">
        <f>IF(MIN(F31,J31,N31,R31,V31,Z31)&lt;&gt;0,MIN(F31,J31,N31,R31,V31,Z31),"")</f>
        <v/>
      </c>
      <c r="AE31" s="136" t="str">
        <f>IF(MIN(H31,L31,P31,T31,X31,AB31)&lt;&gt;0,MIN(H31,L31,P31,T31,X31,AB31),"")</f>
        <v/>
      </c>
      <c r="AF31" s="136"/>
      <c r="AG31" s="135"/>
      <c r="AH31" s="136"/>
      <c r="AI31" s="135"/>
      <c r="AJ31" s="134" t="str">
        <f>IF(AD31="","",IF(ISBLANK(AF31),"En cours",AD31+AF31))</f>
        <v/>
      </c>
      <c r="AK31" s="134" t="str">
        <f>IF(AE31="","",IF(ISBLANK(AH31),"En cours",AE31+AH31))</f>
        <v/>
      </c>
    </row>
    <row r="32" spans="2:37" ht="21" x14ac:dyDescent="0.35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6" t="str">
        <f>IF(MIN(F32,J32,N32,R32,V32,Z32)&lt;&gt;0,MIN(F32,J32,N32,R32,V32,Z32),"")</f>
        <v/>
      </c>
      <c r="AE32" s="136" t="str">
        <f>IF(MIN(H32,L32,P32,T32,X32,AB32)&lt;&gt;0,MIN(H32,L32,P32,T32,X32,AB32),"")</f>
        <v/>
      </c>
      <c r="AF32" s="136"/>
      <c r="AG32" s="135"/>
      <c r="AH32" s="136"/>
      <c r="AI32" s="135"/>
      <c r="AJ32" s="134" t="str">
        <f>IF(AD32="","",IF(ISBLANK(AF32),"En cours",AD32+AF32))</f>
        <v/>
      </c>
      <c r="AK32" s="134" t="str">
        <f>IF(AE32="","",IF(ISBLANK(AH32),"En cours",AE32+AH32))</f>
        <v/>
      </c>
    </row>
    <row r="33" spans="2:37" ht="21" x14ac:dyDescent="0.35"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30" t="str">
        <f>IF(MIN(F33,J33,N33,R33,V33,Z33)&lt;&gt;0,MIN(F33,J33,N33,R33,V33,Z33),"")</f>
        <v/>
      </c>
      <c r="AE33" s="130" t="str">
        <f>IF(MIN(H33,L33,P33,T33,X33,AB33)&lt;&gt;0,MIN(H33,L33,P33,T33,X33,AB33),"")</f>
        <v/>
      </c>
      <c r="AF33" s="130"/>
      <c r="AG33" s="129"/>
      <c r="AH33" s="130"/>
      <c r="AI33" s="129"/>
      <c r="AJ33" s="128" t="str">
        <f>IF(AD33="","",IF(ISBLANK(AF33),"En cours",AD33+AF33))</f>
        <v/>
      </c>
      <c r="AK33" s="128" t="str">
        <f>IF(AE33="","",IF(ISBLANK(AH33),"En cours",AE33+AH33))</f>
        <v/>
      </c>
    </row>
    <row r="34" spans="2:37" ht="21" x14ac:dyDescent="0.35"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 t="str">
        <f>IF(MIN(F34,J34,N34,R34,V34,Z34)&lt;&gt;0,MIN(F34,J34,N34,R34,V34,Z34),"")</f>
        <v/>
      </c>
      <c r="AE34" s="130" t="str">
        <f>IF(MIN(H34,L34,P34,T34,X34,AB34)&lt;&gt;0,MIN(H34,L34,P34,T34,X34,AB34),"")</f>
        <v/>
      </c>
      <c r="AF34" s="130"/>
      <c r="AG34" s="129"/>
      <c r="AH34" s="130"/>
      <c r="AI34" s="129"/>
      <c r="AJ34" s="128" t="str">
        <f>IF(AD34="","",IF(ISBLANK(AF34),"En cours",AD34+AF34))</f>
        <v/>
      </c>
      <c r="AK34" s="128" t="str">
        <f>IF(AE34="","",IF(ISBLANK(AH34),"En cours",AE34+AH34))</f>
        <v/>
      </c>
    </row>
    <row r="35" spans="2:37" ht="21" x14ac:dyDescent="0.35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3" t="str">
        <f>IF(MIN(F35,J35,N35,R35,V35,Z35)&lt;&gt;0,MIN(F35,J35,N35,R35,V35,Z35),"")</f>
        <v/>
      </c>
      <c r="AE35" s="133" t="str">
        <f>IF(MIN(H35,L35,P35,T35,X35,AB35)&lt;&gt;0,MIN(H35,L35,P35,T35,X35,AB35),"")</f>
        <v/>
      </c>
      <c r="AF35" s="133"/>
      <c r="AG35" s="132"/>
      <c r="AH35" s="133"/>
      <c r="AI35" s="132"/>
      <c r="AJ35" s="131" t="str">
        <f>IF(AD35="","",IF(ISBLANK(AF35),"En cours",AD35+AF35))</f>
        <v/>
      </c>
      <c r="AK35" s="131" t="str">
        <f>IF(AE35="","",IF(ISBLANK(AH35),"En cours",AE35+AH35))</f>
        <v/>
      </c>
    </row>
    <row r="36" spans="2:37" ht="21" x14ac:dyDescent="0.35"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3" t="str">
        <f>IF(MIN(F36,J36,N36,R36,V36,Z36)&lt;&gt;0,MIN(F36,J36,N36,R36,V36,Z36),"")</f>
        <v/>
      </c>
      <c r="AE36" s="133" t="str">
        <f>IF(MIN(H36,L36,P36,T36,X36,AB36)&lt;&gt;0,MIN(H36,L36,P36,T36,X36,AB36),"")</f>
        <v/>
      </c>
      <c r="AF36" s="133"/>
      <c r="AG36" s="132"/>
      <c r="AH36" s="133"/>
      <c r="AI36" s="132"/>
      <c r="AJ36" s="131" t="str">
        <f>IF(AD36="","",IF(ISBLANK(AF36),"En cours",AD36+AF36))</f>
        <v/>
      </c>
      <c r="AK36" s="131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176" t="s">
        <v>323</v>
      </c>
      <c r="C331" s="176" t="s">
        <v>102</v>
      </c>
      <c r="D331" s="176">
        <v>14.3</v>
      </c>
      <c r="E331" s="176" t="s">
        <v>123</v>
      </c>
      <c r="F331" s="176">
        <v>80</v>
      </c>
      <c r="G331" s="176">
        <v>5</v>
      </c>
      <c r="H331" s="176">
        <v>96</v>
      </c>
      <c r="I331" s="78">
        <v>5</v>
      </c>
      <c r="J331" s="176">
        <v>71</v>
      </c>
      <c r="K331" s="176">
        <v>3</v>
      </c>
      <c r="L331" s="176">
        <v>87</v>
      </c>
      <c r="M331" s="78">
        <v>2</v>
      </c>
      <c r="N331" s="176">
        <v>69</v>
      </c>
      <c r="O331" s="176">
        <v>2</v>
      </c>
      <c r="P331" s="176">
        <v>85</v>
      </c>
      <c r="Q331" s="78">
        <v>1</v>
      </c>
      <c r="R331" s="176"/>
      <c r="S331" s="176"/>
      <c r="T331" s="176"/>
      <c r="U331" s="78"/>
      <c r="V331" s="176"/>
      <c r="W331" s="176"/>
      <c r="X331" s="176"/>
      <c r="Y331" s="78"/>
      <c r="Z331" s="176"/>
      <c r="AA331" s="176"/>
      <c r="AB331" s="176"/>
      <c r="AC331" s="176"/>
      <c r="AD331" s="79">
        <f>IF(MIN(F331,J331,N331,R331,V331,Z331)&lt;&gt;0,MIN(F331,J331,N331,R331,V331,Z331),"")</f>
        <v>69</v>
      </c>
      <c r="AE331" s="80">
        <f>IF(MIN(H331,L331,P331,T331,X331,AB331)&lt;&gt;0,MIN(H331,L331,P331,T331,X331,AB331),"")</f>
        <v>85</v>
      </c>
      <c r="AF331" s="177"/>
      <c r="AG331" s="176"/>
      <c r="AH331" s="177"/>
      <c r="AI331" s="176"/>
      <c r="AJ331" s="82" t="str">
        <f>IF(AD331="","",IF(ISBLANK(AF331),"En cours",AD331+AF331))</f>
        <v>En cours</v>
      </c>
      <c r="AK331" s="178" t="str">
        <f>IF(AE331="","",IF(ISBLANK(AH331),"En cours",AE331+AH331))</f>
        <v>En cours</v>
      </c>
    </row>
    <row r="332" spans="2:37" ht="21" x14ac:dyDescent="0.35">
      <c r="B332" s="176" t="s">
        <v>326</v>
      </c>
      <c r="C332" s="176" t="s">
        <v>102</v>
      </c>
      <c r="D332" s="176">
        <v>34.799999999999997</v>
      </c>
      <c r="E332" s="176" t="s">
        <v>166</v>
      </c>
      <c r="F332" s="176">
        <v>56</v>
      </c>
      <c r="G332" s="176">
        <v>1</v>
      </c>
      <c r="H332" s="176">
        <v>88</v>
      </c>
      <c r="I332" s="78">
        <v>1</v>
      </c>
      <c r="J332" s="176"/>
      <c r="K332" s="176"/>
      <c r="L332" s="176"/>
      <c r="M332" s="78"/>
      <c r="N332" s="176"/>
      <c r="O332" s="176"/>
      <c r="P332" s="176"/>
      <c r="Q332" s="78"/>
      <c r="R332" s="176"/>
      <c r="S332" s="176"/>
      <c r="T332" s="176"/>
      <c r="U332" s="78"/>
      <c r="V332" s="176">
        <v>52</v>
      </c>
      <c r="W332" s="176">
        <v>1</v>
      </c>
      <c r="X332" s="176">
        <v>84</v>
      </c>
      <c r="Y332" s="78">
        <v>1</v>
      </c>
      <c r="Z332" s="176"/>
      <c r="AA332" s="176"/>
      <c r="AB332" s="176"/>
      <c r="AC332" s="176"/>
      <c r="AD332" s="79">
        <f>IF(MIN(F332,J332,N332,R332,V332,Z332)&lt;&gt;0,MIN(F332,J332,N332,R332,V332,Z332),"")</f>
        <v>52</v>
      </c>
      <c r="AE332" s="80">
        <f>IF(MIN(H332,L332,P332,T332,X332,AB332)&lt;&gt;0,MIN(H332,L332,P332,T332,X332,AB332),"")</f>
        <v>84</v>
      </c>
      <c r="AF332" s="177"/>
      <c r="AG332" s="176"/>
      <c r="AH332" s="177"/>
      <c r="AI332" s="176"/>
      <c r="AJ332" s="82" t="str">
        <f>IF(AD332="","",IF(ISBLANK(AF332),"En cours",AD332+AF332))</f>
        <v>En cours</v>
      </c>
      <c r="AK332" s="178" t="str">
        <f>IF(AE332="","",IF(ISBLANK(AH332),"En cours",AE332+AH332))</f>
        <v>En cours</v>
      </c>
    </row>
    <row r="333" spans="2:37" ht="21" x14ac:dyDescent="0.35">
      <c r="B333" s="176" t="s">
        <v>327</v>
      </c>
      <c r="C333" s="176" t="s">
        <v>102</v>
      </c>
      <c r="D333" s="176">
        <v>29</v>
      </c>
      <c r="E333" s="176" t="s">
        <v>166</v>
      </c>
      <c r="F333" s="176">
        <v>64</v>
      </c>
      <c r="G333" s="176">
        <v>2</v>
      </c>
      <c r="H333" s="176">
        <v>90</v>
      </c>
      <c r="I333" s="78">
        <v>2</v>
      </c>
      <c r="J333" s="176">
        <v>73</v>
      </c>
      <c r="K333" s="176">
        <v>3</v>
      </c>
      <c r="L333" s="176">
        <v>99</v>
      </c>
      <c r="M333" s="78">
        <v>2</v>
      </c>
      <c r="N333" s="176">
        <v>71</v>
      </c>
      <c r="O333" s="176">
        <v>4</v>
      </c>
      <c r="P333" s="176">
        <v>97</v>
      </c>
      <c r="Q333" s="78">
        <v>6</v>
      </c>
      <c r="R333" s="176"/>
      <c r="S333" s="176"/>
      <c r="T333" s="176"/>
      <c r="U333" s="78"/>
      <c r="V333" s="176">
        <v>67</v>
      </c>
      <c r="W333" s="176">
        <v>3</v>
      </c>
      <c r="X333" s="176">
        <v>93</v>
      </c>
      <c r="Y333" s="78">
        <v>3</v>
      </c>
      <c r="Z333" s="176">
        <v>69</v>
      </c>
      <c r="AA333" s="176">
        <v>1</v>
      </c>
      <c r="AB333" s="176">
        <v>95</v>
      </c>
      <c r="AC333" s="176">
        <v>1</v>
      </c>
      <c r="AD333" s="79">
        <f>IF(MIN(F333,J333,N333,R333,V333,Z333)&lt;&gt;0,MIN(F333,J333,N333,R333,V333,Z333),"")</f>
        <v>64</v>
      </c>
      <c r="AE333" s="80">
        <f>IF(MIN(H333,L333,P333,T333,X333,AB333)&lt;&gt;0,MIN(H333,L333,P333,T333,X333,AB333),"")</f>
        <v>90</v>
      </c>
      <c r="AF333" s="177"/>
      <c r="AG333" s="176"/>
      <c r="AH333" s="177"/>
      <c r="AI333" s="176"/>
      <c r="AJ333" s="82" t="str">
        <f>IF(AD333="","",IF(ISBLANK(AF333),"En cours",AD333+AF333))</f>
        <v>En cours</v>
      </c>
      <c r="AK333" s="178" t="str">
        <f>IF(AE333="","",IF(ISBLANK(AH333),"En cours",AE333+AH333))</f>
        <v>En cours</v>
      </c>
    </row>
    <row r="334" spans="2:37" ht="21" x14ac:dyDescent="0.35">
      <c r="B334" s="176" t="s">
        <v>329</v>
      </c>
      <c r="C334" s="176" t="s">
        <v>102</v>
      </c>
      <c r="D334" s="176">
        <v>26.9</v>
      </c>
      <c r="E334" s="176" t="s">
        <v>166</v>
      </c>
      <c r="F334" s="176">
        <v>73</v>
      </c>
      <c r="G334" s="176">
        <v>3</v>
      </c>
      <c r="H334" s="176">
        <v>96</v>
      </c>
      <c r="I334" s="78">
        <v>4</v>
      </c>
      <c r="J334" s="176"/>
      <c r="K334" s="176"/>
      <c r="L334" s="176"/>
      <c r="M334" s="78"/>
      <c r="N334" s="176">
        <v>72</v>
      </c>
      <c r="O334" s="176">
        <v>5</v>
      </c>
      <c r="P334" s="176">
        <v>95</v>
      </c>
      <c r="Q334" s="78">
        <v>4</v>
      </c>
      <c r="R334" s="176"/>
      <c r="S334" s="176"/>
      <c r="T334" s="176"/>
      <c r="U334" s="78"/>
      <c r="V334" s="176">
        <v>73</v>
      </c>
      <c r="W334" s="176">
        <v>6</v>
      </c>
      <c r="X334" s="176">
        <v>96</v>
      </c>
      <c r="Y334" s="78">
        <v>5</v>
      </c>
      <c r="Z334" s="176"/>
      <c r="AA334" s="176"/>
      <c r="AB334" s="176"/>
      <c r="AC334" s="176"/>
      <c r="AD334" s="79">
        <f>IF(MIN(F334,J334,N334,R334,V334,Z334)&lt;&gt;0,MIN(F334,J334,N334,R334,V334,Z334),"")</f>
        <v>72</v>
      </c>
      <c r="AE334" s="80">
        <f>IF(MIN(H334,L334,P334,T334,X334,AB334)&lt;&gt;0,MIN(H334,L334,P334,T334,X334,AB334),"")</f>
        <v>95</v>
      </c>
      <c r="AF334" s="177"/>
      <c r="AG334" s="176"/>
      <c r="AH334" s="177"/>
      <c r="AI334" s="176"/>
      <c r="AJ334" s="82" t="str">
        <f>IF(AD334="","",IF(ISBLANK(AF334),"En cours",AD334+AF334))</f>
        <v>En cours</v>
      </c>
      <c r="AK334" s="178" t="str">
        <f>IF(AE334="","",IF(ISBLANK(AH334),"En cours",AE334+AH334))</f>
        <v>En cours</v>
      </c>
    </row>
    <row r="335" spans="2:37" ht="21" x14ac:dyDescent="0.35">
      <c r="B335" s="176" t="s">
        <v>328</v>
      </c>
      <c r="C335" s="176" t="s">
        <v>102</v>
      </c>
      <c r="D335" s="176">
        <v>20.399999999999999</v>
      </c>
      <c r="E335" s="176" t="s">
        <v>161</v>
      </c>
      <c r="F335" s="176">
        <v>74</v>
      </c>
      <c r="G335" s="176">
        <v>4</v>
      </c>
      <c r="H335" s="176">
        <v>93</v>
      </c>
      <c r="I335" s="78">
        <v>3</v>
      </c>
      <c r="J335" s="176"/>
      <c r="K335" s="176"/>
      <c r="L335" s="176"/>
      <c r="M335" s="78"/>
      <c r="N335" s="176"/>
      <c r="O335" s="176"/>
      <c r="P335" s="176"/>
      <c r="Q335" s="78"/>
      <c r="R335" s="176"/>
      <c r="S335" s="176"/>
      <c r="T335" s="176"/>
      <c r="U335" s="78"/>
      <c r="V335" s="176"/>
      <c r="W335" s="176"/>
      <c r="X335" s="176"/>
      <c r="Y335" s="78"/>
      <c r="Z335" s="176"/>
      <c r="AA335" s="176"/>
      <c r="AB335" s="176"/>
      <c r="AC335" s="176"/>
      <c r="AD335" s="79">
        <f>IF(MIN(F335,J335,N335,R335,V335,Z335)&lt;&gt;0,MIN(F335,J335,N335,R335,V335,Z335),"")</f>
        <v>74</v>
      </c>
      <c r="AE335" s="80">
        <f>IF(MIN(H335,L335,P335,T335,X335,AB335)&lt;&gt;0,MIN(H335,L335,P335,T335,X335,AB335),"")</f>
        <v>93</v>
      </c>
      <c r="AF335" s="177"/>
      <c r="AG335" s="176"/>
      <c r="AH335" s="177"/>
      <c r="AI335" s="176"/>
      <c r="AJ335" s="82" t="str">
        <f>IF(AD335="","",IF(ISBLANK(AF335),"En cours",AD335+AF335))</f>
        <v>En cours</v>
      </c>
      <c r="AK335" s="178" t="str">
        <f>IF(AE335="","",IF(ISBLANK(AH335),"En cours",AE335+AH335))</f>
        <v>En cours</v>
      </c>
    </row>
    <row r="336" spans="2:37" ht="21" x14ac:dyDescent="0.35">
      <c r="B336" s="176" t="s">
        <v>331</v>
      </c>
      <c r="C336" s="176" t="s">
        <v>102</v>
      </c>
      <c r="D336" s="176">
        <v>28.8</v>
      </c>
      <c r="E336" s="176" t="s">
        <v>166</v>
      </c>
      <c r="F336" s="176">
        <v>75</v>
      </c>
      <c r="G336" s="176">
        <v>5</v>
      </c>
      <c r="H336" s="176">
        <v>100</v>
      </c>
      <c r="I336" s="78">
        <v>6</v>
      </c>
      <c r="J336" s="176"/>
      <c r="K336" s="176"/>
      <c r="L336" s="176"/>
      <c r="M336" s="78"/>
      <c r="N336" s="176">
        <v>78</v>
      </c>
      <c r="O336" s="176">
        <v>10</v>
      </c>
      <c r="P336" s="176">
        <v>103</v>
      </c>
      <c r="Q336" s="78">
        <v>11</v>
      </c>
      <c r="R336" s="176">
        <v>77</v>
      </c>
      <c r="S336" s="176">
        <v>2</v>
      </c>
      <c r="T336" s="176">
        <v>102</v>
      </c>
      <c r="U336" s="78">
        <v>3</v>
      </c>
      <c r="V336" s="176">
        <v>65</v>
      </c>
      <c r="W336" s="176">
        <v>2</v>
      </c>
      <c r="X336" s="176">
        <v>90</v>
      </c>
      <c r="Y336" s="78">
        <v>2</v>
      </c>
      <c r="Z336" s="176"/>
      <c r="AA336" s="176"/>
      <c r="AB336" s="176"/>
      <c r="AC336" s="176"/>
      <c r="AD336" s="79">
        <f>IF(MIN(F336,J336,N336,R336,V336,Z336)&lt;&gt;0,MIN(F336,J336,N336,R336,V336,Z336),"")</f>
        <v>65</v>
      </c>
      <c r="AE336" s="80">
        <f>IF(MIN(H336,L336,P336,T336,X336,AB336)&lt;&gt;0,MIN(H336,L336,P336,T336,X336,AB336),"")</f>
        <v>90</v>
      </c>
      <c r="AF336" s="177"/>
      <c r="AG336" s="176"/>
      <c r="AH336" s="177"/>
      <c r="AI336" s="176"/>
      <c r="AJ336" s="82" t="str">
        <f>IF(AD336="","",IF(ISBLANK(AF336),"En cours",AD336+AF336))</f>
        <v>En cours</v>
      </c>
      <c r="AK336" s="178" t="str">
        <f>IF(AE336="","",IF(ISBLANK(AH336),"En cours",AE336+AH336))</f>
        <v>En cours</v>
      </c>
    </row>
    <row r="337" spans="2:37" ht="21" x14ac:dyDescent="0.35">
      <c r="B337" s="176" t="s">
        <v>330</v>
      </c>
      <c r="C337" s="176" t="s">
        <v>102</v>
      </c>
      <c r="D337" s="176">
        <v>22.1</v>
      </c>
      <c r="E337" s="176" t="s">
        <v>161</v>
      </c>
      <c r="F337" s="176">
        <v>76</v>
      </c>
      <c r="G337" s="176">
        <v>6</v>
      </c>
      <c r="H337" s="176">
        <v>97</v>
      </c>
      <c r="I337" s="78">
        <v>5</v>
      </c>
      <c r="J337" s="176"/>
      <c r="K337" s="176"/>
      <c r="L337" s="176"/>
      <c r="M337" s="78"/>
      <c r="N337" s="176">
        <v>73</v>
      </c>
      <c r="O337" s="176">
        <v>7</v>
      </c>
      <c r="P337" s="176">
        <v>94</v>
      </c>
      <c r="Q337" s="78">
        <v>2</v>
      </c>
      <c r="R337" s="176"/>
      <c r="S337" s="176"/>
      <c r="T337" s="176"/>
      <c r="U337" s="78"/>
      <c r="V337" s="176"/>
      <c r="W337" s="176"/>
      <c r="X337" s="176"/>
      <c r="Y337" s="78"/>
      <c r="Z337" s="176"/>
      <c r="AA337" s="176"/>
      <c r="AB337" s="176"/>
      <c r="AC337" s="176"/>
      <c r="AD337" s="79">
        <f>IF(MIN(F337,J337,N337,R337,V337,Z337)&lt;&gt;0,MIN(F337,J337,N337,R337,V337,Z337),"")</f>
        <v>73</v>
      </c>
      <c r="AE337" s="80">
        <f>IF(MIN(H337,L337,P337,T337,X337,AB337)&lt;&gt;0,MIN(H337,L337,P337,T337,X337,AB337),"")</f>
        <v>94</v>
      </c>
      <c r="AF337" s="177"/>
      <c r="AG337" s="176"/>
      <c r="AH337" s="177"/>
      <c r="AI337" s="176"/>
      <c r="AJ337" s="82" t="str">
        <f>IF(AD337="","",IF(ISBLANK(AF337),"En cours",AD337+AF337))</f>
        <v>En cours</v>
      </c>
      <c r="AK337" s="178" t="str">
        <f>IF(AE337="","",IF(ISBLANK(AH337),"En cours",AE337+AH337))</f>
        <v>En cours</v>
      </c>
    </row>
    <row r="338" spans="2:37" ht="21" x14ac:dyDescent="0.35">
      <c r="B338" s="176" t="s">
        <v>333</v>
      </c>
      <c r="C338" s="176" t="s">
        <v>102</v>
      </c>
      <c r="D338" s="176">
        <v>23.9</v>
      </c>
      <c r="E338" s="176" t="s">
        <v>161</v>
      </c>
      <c r="F338" s="176">
        <v>77</v>
      </c>
      <c r="G338" s="176">
        <v>7</v>
      </c>
      <c r="H338" s="176">
        <v>100</v>
      </c>
      <c r="I338" s="78">
        <v>8</v>
      </c>
      <c r="J338" s="176"/>
      <c r="K338" s="176"/>
      <c r="L338" s="176"/>
      <c r="M338" s="78"/>
      <c r="N338" s="176">
        <v>75</v>
      </c>
      <c r="O338" s="176">
        <v>9</v>
      </c>
      <c r="P338" s="176">
        <v>98</v>
      </c>
      <c r="Q338" s="78">
        <v>7</v>
      </c>
      <c r="R338" s="176"/>
      <c r="S338" s="176"/>
      <c r="T338" s="176"/>
      <c r="U338" s="78"/>
      <c r="V338" s="176"/>
      <c r="W338" s="176"/>
      <c r="X338" s="176"/>
      <c r="Y338" s="78"/>
      <c r="Z338" s="176"/>
      <c r="AA338" s="176"/>
      <c r="AB338" s="176"/>
      <c r="AC338" s="176"/>
      <c r="AD338" s="79">
        <f>IF(MIN(F338,J338,N338,R338,V338,Z338)&lt;&gt;0,MIN(F338,J338,N338,R338,V338,Z338),"")</f>
        <v>75</v>
      </c>
      <c r="AE338" s="80">
        <f>IF(MIN(H338,L338,P338,T338,X338,AB338)&lt;&gt;0,MIN(H338,L338,P338,T338,X338,AB338),"")</f>
        <v>98</v>
      </c>
      <c r="AF338" s="177"/>
      <c r="AG338" s="176"/>
      <c r="AH338" s="177"/>
      <c r="AI338" s="176"/>
      <c r="AJ338" s="82" t="str">
        <f>IF(AD338="","",IF(ISBLANK(AF338),"En cours",AD338+AF338))</f>
        <v>En cours</v>
      </c>
      <c r="AK338" s="178" t="str">
        <f>IF(AE338="","",IF(ISBLANK(AH338),"En cours",AE338+AH338))</f>
        <v>En cours</v>
      </c>
    </row>
    <row r="339" spans="2:37" ht="21" x14ac:dyDescent="0.35">
      <c r="B339" s="176" t="s">
        <v>335</v>
      </c>
      <c r="C339" s="176" t="s">
        <v>102</v>
      </c>
      <c r="D339" s="176">
        <v>33</v>
      </c>
      <c r="E339" s="176" t="s">
        <v>166</v>
      </c>
      <c r="F339" s="176">
        <v>80</v>
      </c>
      <c r="G339" s="176">
        <v>8</v>
      </c>
      <c r="H339" s="176">
        <v>110</v>
      </c>
      <c r="I339" s="78">
        <v>10</v>
      </c>
      <c r="J339" s="176"/>
      <c r="K339" s="176"/>
      <c r="L339" s="176"/>
      <c r="M339" s="78"/>
      <c r="N339" s="176">
        <v>86</v>
      </c>
      <c r="O339" s="176">
        <v>12</v>
      </c>
      <c r="P339" s="176">
        <v>116</v>
      </c>
      <c r="Q339" s="78">
        <v>12</v>
      </c>
      <c r="R339" s="176"/>
      <c r="S339" s="176"/>
      <c r="T339" s="176"/>
      <c r="U339" s="78"/>
      <c r="V339" s="176"/>
      <c r="W339" s="176"/>
      <c r="X339" s="176"/>
      <c r="Y339" s="78"/>
      <c r="Z339" s="176"/>
      <c r="AA339" s="176"/>
      <c r="AB339" s="176"/>
      <c r="AC339" s="176"/>
      <c r="AD339" s="79">
        <f>IF(MIN(F339,J339,N339,R339,V339,Z339)&lt;&gt;0,MIN(F339,J339,N339,R339,V339,Z339),"")</f>
        <v>80</v>
      </c>
      <c r="AE339" s="80">
        <f>IF(MIN(H339,L339,P339,T339,X339,AB339)&lt;&gt;0,MIN(H339,L339,P339,T339,X339,AB339),"")</f>
        <v>110</v>
      </c>
      <c r="AF339" s="177"/>
      <c r="AG339" s="176"/>
      <c r="AH339" s="177"/>
      <c r="AI339" s="176"/>
      <c r="AJ339" s="82" t="str">
        <f>IF(AD339="","",IF(ISBLANK(AF339),"En cours",AD339+AF339))</f>
        <v>En cours</v>
      </c>
      <c r="AK339" s="178" t="str">
        <f>IF(AE339="","",IF(ISBLANK(AH339),"En cours",AE339+AH339))</f>
        <v>En cours</v>
      </c>
    </row>
    <row r="340" spans="2:37" ht="21" x14ac:dyDescent="0.35">
      <c r="B340" s="176" t="s">
        <v>332</v>
      </c>
      <c r="C340" s="176" t="s">
        <v>102</v>
      </c>
      <c r="D340" s="176">
        <v>20.2</v>
      </c>
      <c r="E340" s="176" t="s">
        <v>161</v>
      </c>
      <c r="F340" s="176">
        <v>81</v>
      </c>
      <c r="G340" s="176">
        <v>9</v>
      </c>
      <c r="H340" s="176">
        <v>100</v>
      </c>
      <c r="I340" s="78">
        <v>7</v>
      </c>
      <c r="J340" s="176"/>
      <c r="K340" s="176"/>
      <c r="L340" s="176"/>
      <c r="M340" s="78"/>
      <c r="N340" s="176">
        <v>80</v>
      </c>
      <c r="O340" s="176">
        <v>11</v>
      </c>
      <c r="P340" s="176">
        <v>99</v>
      </c>
      <c r="Q340" s="78">
        <v>8</v>
      </c>
      <c r="R340" s="176"/>
      <c r="S340" s="176"/>
      <c r="T340" s="176"/>
      <c r="U340" s="78"/>
      <c r="V340" s="176"/>
      <c r="W340" s="176"/>
      <c r="X340" s="176"/>
      <c r="Y340" s="78"/>
      <c r="Z340" s="176"/>
      <c r="AA340" s="176"/>
      <c r="AB340" s="176"/>
      <c r="AC340" s="176"/>
      <c r="AD340" s="79">
        <f>IF(MIN(F340,J340,N340,R340,V340,Z340)&lt;&gt;0,MIN(F340,J340,N340,R340,V340,Z340),"")</f>
        <v>80</v>
      </c>
      <c r="AE340" s="80">
        <f>IF(MIN(H340,L340,P340,T340,X340,AB340)&lt;&gt;0,MIN(H340,L340,P340,T340,X340,AB340),"")</f>
        <v>99</v>
      </c>
      <c r="AF340" s="177"/>
      <c r="AG340" s="176"/>
      <c r="AH340" s="177"/>
      <c r="AI340" s="176"/>
      <c r="AJ340" s="82" t="str">
        <f>IF(AD340="","",IF(ISBLANK(AF340),"En cours",AD340+AF340))</f>
        <v>En cours</v>
      </c>
      <c r="AK340" s="178" t="str">
        <f>IF(AE340="","",IF(ISBLANK(AH340),"En cours",AE340+AH340))</f>
        <v>En cours</v>
      </c>
    </row>
    <row r="341" spans="2:37" ht="21" x14ac:dyDescent="0.35">
      <c r="B341" s="176" t="s">
        <v>334</v>
      </c>
      <c r="C341" s="176" t="s">
        <v>102</v>
      </c>
      <c r="D341" s="176">
        <v>27.2</v>
      </c>
      <c r="E341" s="176" t="s">
        <v>166</v>
      </c>
      <c r="F341" s="176">
        <v>83</v>
      </c>
      <c r="G341" s="176">
        <v>10</v>
      </c>
      <c r="H341" s="176">
        <v>107</v>
      </c>
      <c r="I341" s="78">
        <v>9</v>
      </c>
      <c r="J341" s="176"/>
      <c r="K341" s="176"/>
      <c r="L341" s="176"/>
      <c r="M341" s="78"/>
      <c r="N341" s="176">
        <v>71</v>
      </c>
      <c r="O341" s="176">
        <v>3</v>
      </c>
      <c r="P341" s="176">
        <v>95</v>
      </c>
      <c r="Q341" s="78">
        <v>3</v>
      </c>
      <c r="R341" s="176"/>
      <c r="S341" s="176"/>
      <c r="T341" s="176"/>
      <c r="U341" s="78"/>
      <c r="V341" s="176"/>
      <c r="W341" s="176"/>
      <c r="X341" s="176"/>
      <c r="Y341" s="78"/>
      <c r="Z341" s="176"/>
      <c r="AA341" s="176"/>
      <c r="AB341" s="176"/>
      <c r="AC341" s="176"/>
      <c r="AD341" s="79">
        <f>IF(MIN(F341,J341,N341,R341,V341,Z341)&lt;&gt;0,MIN(F341,J341,N341,R341,V341,Z341),"")</f>
        <v>71</v>
      </c>
      <c r="AE341" s="80">
        <f>IF(MIN(H341,L341,P341,T341,X341,AB341)&lt;&gt;0,MIN(H341,L341,P341,T341,X341,AB341),"")</f>
        <v>95</v>
      </c>
      <c r="AF341" s="177"/>
      <c r="AG341" s="176"/>
      <c r="AH341" s="177"/>
      <c r="AI341" s="176"/>
      <c r="AJ341" s="82" t="str">
        <f>IF(AD341="","",IF(ISBLANK(AF341),"En cours",AD341+AF341))</f>
        <v>En cours</v>
      </c>
      <c r="AK341" s="178" t="str">
        <f>IF(AE341="","",IF(ISBLANK(AH341),"En cours",AE341+AH341))</f>
        <v>En cours</v>
      </c>
    </row>
    <row r="342" spans="2:37" ht="21" x14ac:dyDescent="0.35">
      <c r="B342" s="176" t="s">
        <v>339</v>
      </c>
      <c r="C342" s="176" t="s">
        <v>102</v>
      </c>
      <c r="D342" s="176">
        <v>31.7</v>
      </c>
      <c r="E342" s="176" t="s">
        <v>166</v>
      </c>
      <c r="F342" s="176"/>
      <c r="G342" s="176"/>
      <c r="H342" s="176"/>
      <c r="I342" s="78"/>
      <c r="J342" s="176">
        <v>68</v>
      </c>
      <c r="K342" s="176">
        <v>1</v>
      </c>
      <c r="L342" s="176">
        <v>96</v>
      </c>
      <c r="M342" s="78">
        <v>1</v>
      </c>
      <c r="N342" s="176"/>
      <c r="O342" s="176"/>
      <c r="P342" s="176"/>
      <c r="Q342" s="78"/>
      <c r="R342" s="176"/>
      <c r="S342" s="176"/>
      <c r="T342" s="176"/>
      <c r="U342" s="78"/>
      <c r="V342" s="176"/>
      <c r="W342" s="176"/>
      <c r="X342" s="176"/>
      <c r="Y342" s="78"/>
      <c r="Z342" s="176"/>
      <c r="AA342" s="176"/>
      <c r="AB342" s="176"/>
      <c r="AC342" s="176"/>
      <c r="AD342" s="79">
        <f>IF(MIN(F342,J342,N342,R342,V342,Z342)&lt;&gt;0,MIN(F342,J342,N342,R342,V342,Z342),"")</f>
        <v>68</v>
      </c>
      <c r="AE342" s="80">
        <f>IF(MIN(H342,L342,P342,T342,X342,AB342)&lt;&gt;0,MIN(H342,L342,P342,T342,X342,AB342),"")</f>
        <v>96</v>
      </c>
      <c r="AF342" s="177"/>
      <c r="AG342" s="176"/>
      <c r="AH342" s="177"/>
      <c r="AI342" s="176"/>
      <c r="AJ342" s="82" t="str">
        <f>IF(AD342="","",IF(ISBLANK(AF342),"En cours",AD342+AF342))</f>
        <v>En cours</v>
      </c>
      <c r="AK342" s="178" t="str">
        <f>IF(AE342="","",IF(ISBLANK(AH342),"En cours",AE342+AH342))</f>
        <v>En cours</v>
      </c>
    </row>
    <row r="343" spans="2:37" ht="21" x14ac:dyDescent="0.35">
      <c r="B343" s="176" t="s">
        <v>340</v>
      </c>
      <c r="C343" s="176" t="s">
        <v>102</v>
      </c>
      <c r="D343" s="176">
        <v>32.1</v>
      </c>
      <c r="E343" s="176" t="s">
        <v>166</v>
      </c>
      <c r="F343" s="176"/>
      <c r="G343" s="176"/>
      <c r="H343" s="176"/>
      <c r="I343" s="78"/>
      <c r="J343" s="176">
        <v>71</v>
      </c>
      <c r="K343" s="176">
        <v>2</v>
      </c>
      <c r="L343" s="176">
        <v>100</v>
      </c>
      <c r="M343" s="78">
        <v>3</v>
      </c>
      <c r="N343" s="176"/>
      <c r="O343" s="176"/>
      <c r="P343" s="176"/>
      <c r="Q343" s="78"/>
      <c r="R343" s="176"/>
      <c r="S343" s="176"/>
      <c r="T343" s="176"/>
      <c r="U343" s="78"/>
      <c r="V343" s="176"/>
      <c r="W343" s="176"/>
      <c r="X343" s="176"/>
      <c r="Y343" s="78"/>
      <c r="Z343" s="176"/>
      <c r="AA343" s="176"/>
      <c r="AB343" s="176"/>
      <c r="AC343" s="176"/>
      <c r="AD343" s="79">
        <f>IF(MIN(F343,J343,N343,R343,V343,Z343)&lt;&gt;0,MIN(F343,J343,N343,R343,V343,Z343),"")</f>
        <v>71</v>
      </c>
      <c r="AE343" s="80">
        <f>IF(MIN(H343,L343,P343,T343,X343,AB343)&lt;&gt;0,MIN(H343,L343,P343,T343,X343,AB343),"")</f>
        <v>100</v>
      </c>
      <c r="AF343" s="177"/>
      <c r="AG343" s="176"/>
      <c r="AH343" s="177"/>
      <c r="AI343" s="176"/>
      <c r="AJ343" s="82" t="str">
        <f>IF(AD343="","",IF(ISBLANK(AF343),"En cours",AD343+AF343))</f>
        <v>En cours</v>
      </c>
      <c r="AK343" s="178" t="str">
        <f>IF(AE343="","",IF(ISBLANK(AH343),"En cours",AE343+AH343))</f>
        <v>En cours</v>
      </c>
    </row>
    <row r="344" spans="2:37" ht="21" x14ac:dyDescent="0.35">
      <c r="B344" s="176" t="s">
        <v>341</v>
      </c>
      <c r="C344" s="176" t="s">
        <v>102</v>
      </c>
      <c r="D344" s="176">
        <v>25.6</v>
      </c>
      <c r="E344" s="176" t="s">
        <v>161</v>
      </c>
      <c r="F344" s="176"/>
      <c r="G344" s="176"/>
      <c r="H344" s="176"/>
      <c r="I344" s="78"/>
      <c r="J344" s="176">
        <v>85</v>
      </c>
      <c r="K344" s="176">
        <v>4</v>
      </c>
      <c r="L344" s="176">
        <v>110</v>
      </c>
      <c r="M344" s="78">
        <v>4</v>
      </c>
      <c r="N344" s="176"/>
      <c r="O344" s="176"/>
      <c r="P344" s="176"/>
      <c r="Q344" s="78"/>
      <c r="R344" s="176"/>
      <c r="S344" s="176"/>
      <c r="T344" s="176"/>
      <c r="U344" s="78"/>
      <c r="V344" s="176">
        <v>81</v>
      </c>
      <c r="W344" s="176">
        <v>7</v>
      </c>
      <c r="X344" s="176">
        <v>106</v>
      </c>
      <c r="Y344" s="78">
        <v>7</v>
      </c>
      <c r="Z344" s="176"/>
      <c r="AA344" s="176"/>
      <c r="AB344" s="176"/>
      <c r="AC344" s="176"/>
      <c r="AD344" s="79">
        <f>IF(MIN(F344,J344,N344,R344,V344,Z344)&lt;&gt;0,MIN(F344,J344,N344,R344,V344,Z344),"")</f>
        <v>81</v>
      </c>
      <c r="AE344" s="80">
        <f>IF(MIN(H344,L344,P344,T344,X344,AB344)&lt;&gt;0,MIN(H344,L344,P344,T344,X344,AB344),"")</f>
        <v>106</v>
      </c>
      <c r="AF344" s="177"/>
      <c r="AG344" s="176"/>
      <c r="AH344" s="177"/>
      <c r="AI344" s="176"/>
      <c r="AJ344" s="82" t="str">
        <f>IF(AD344="","",IF(ISBLANK(AF344),"En cours",AD344+AF344))</f>
        <v>En cours</v>
      </c>
      <c r="AK344" s="178" t="str">
        <f>IF(AE344="","",IF(ISBLANK(AH344),"En cours",AE344+AH344))</f>
        <v>En cours</v>
      </c>
    </row>
    <row r="345" spans="2:37" ht="21" x14ac:dyDescent="0.35">
      <c r="B345" s="176" t="s">
        <v>344</v>
      </c>
      <c r="C345" s="176" t="s">
        <v>102</v>
      </c>
      <c r="D345" s="176">
        <v>6.7</v>
      </c>
      <c r="E345" s="176" t="s">
        <v>103</v>
      </c>
      <c r="F345" s="176"/>
      <c r="G345" s="176"/>
      <c r="H345" s="176"/>
      <c r="I345" s="78"/>
      <c r="J345" s="176"/>
      <c r="K345" s="176"/>
      <c r="L345" s="176"/>
      <c r="M345" s="78"/>
      <c r="N345" s="176">
        <v>79</v>
      </c>
      <c r="O345" s="176">
        <v>5</v>
      </c>
      <c r="P345" s="176">
        <v>87</v>
      </c>
      <c r="Q345" s="78">
        <v>3</v>
      </c>
      <c r="R345" s="176"/>
      <c r="S345" s="176"/>
      <c r="T345" s="176"/>
      <c r="U345" s="78"/>
      <c r="V345" s="176"/>
      <c r="W345" s="176"/>
      <c r="X345" s="176"/>
      <c r="Y345" s="78"/>
      <c r="Z345" s="176"/>
      <c r="AA345" s="176"/>
      <c r="AB345" s="176"/>
      <c r="AC345" s="176"/>
      <c r="AD345" s="79">
        <f>IF(MIN(F345,J345,N345,R345,V345,Z345)&lt;&gt;0,MIN(F345,J345,N345,R345,V345,Z345),"")</f>
        <v>79</v>
      </c>
      <c r="AE345" s="80">
        <f>IF(MIN(H345,L345,P345,T345,X345,AB345)&lt;&gt;0,MIN(H345,L345,P345,T345,X345,AB345),"")</f>
        <v>87</v>
      </c>
      <c r="AF345" s="177"/>
      <c r="AG345" s="176"/>
      <c r="AH345" s="177"/>
      <c r="AI345" s="176"/>
      <c r="AJ345" s="82" t="str">
        <f>IF(AD345="","",IF(ISBLANK(AF345),"En cours",AD345+AF345))</f>
        <v>En cours</v>
      </c>
      <c r="AK345" s="178" t="str">
        <f>IF(AE345="","",IF(ISBLANK(AH345),"En cours",AE345+AH345))</f>
        <v>En cours</v>
      </c>
    </row>
    <row r="346" spans="2:37" ht="21" x14ac:dyDescent="0.35">
      <c r="B346" s="176" t="s">
        <v>346</v>
      </c>
      <c r="C346" s="176" t="s">
        <v>102</v>
      </c>
      <c r="D346" s="176">
        <v>22.4</v>
      </c>
      <c r="E346" s="176" t="s">
        <v>161</v>
      </c>
      <c r="F346" s="176"/>
      <c r="G346" s="176"/>
      <c r="H346" s="176"/>
      <c r="I346" s="78"/>
      <c r="J346" s="176"/>
      <c r="K346" s="176"/>
      <c r="L346" s="176"/>
      <c r="M346" s="78"/>
      <c r="N346" s="176">
        <v>64</v>
      </c>
      <c r="O346" s="176">
        <v>1</v>
      </c>
      <c r="P346" s="176">
        <v>85</v>
      </c>
      <c r="Q346" s="78">
        <v>1</v>
      </c>
      <c r="R346" s="176"/>
      <c r="S346" s="176"/>
      <c r="T346" s="176"/>
      <c r="U346" s="78"/>
      <c r="V346" s="176"/>
      <c r="W346" s="176"/>
      <c r="X346" s="176"/>
      <c r="Y346" s="78"/>
      <c r="Z346" s="176"/>
      <c r="AA346" s="176"/>
      <c r="AB346" s="176"/>
      <c r="AC346" s="176"/>
      <c r="AD346" s="79">
        <f>IF(MIN(F346,J346,N346,R346,V346,Z346)&lt;&gt;0,MIN(F346,J346,N346,R346,V346,Z346),"")</f>
        <v>64</v>
      </c>
      <c r="AE346" s="80">
        <f>IF(MIN(H346,L346,P346,T346,X346,AB346)&lt;&gt;0,MIN(H346,L346,P346,T346,X346,AB346),"")</f>
        <v>85</v>
      </c>
      <c r="AF346" s="177"/>
      <c r="AG346" s="176"/>
      <c r="AH346" s="177"/>
      <c r="AI346" s="176"/>
      <c r="AJ346" s="82" t="str">
        <f>IF(AD346="","",IF(ISBLANK(AF346),"En cours",AD346+AF346))</f>
        <v>En cours</v>
      </c>
      <c r="AK346" s="178" t="str">
        <f>IF(AE346="","",IF(ISBLANK(AH346),"En cours",AE346+AH346))</f>
        <v>En cours</v>
      </c>
    </row>
    <row r="347" spans="2:37" ht="21" x14ac:dyDescent="0.35">
      <c r="B347" s="176" t="s">
        <v>347</v>
      </c>
      <c r="C347" s="176" t="s">
        <v>102</v>
      </c>
      <c r="D347" s="176">
        <v>29.2</v>
      </c>
      <c r="E347" s="176" t="s">
        <v>166</v>
      </c>
      <c r="F347" s="176"/>
      <c r="G347" s="176"/>
      <c r="H347" s="176"/>
      <c r="I347" s="78"/>
      <c r="J347" s="176"/>
      <c r="K347" s="176"/>
      <c r="L347" s="176"/>
      <c r="M347" s="78"/>
      <c r="N347" s="176">
        <v>70</v>
      </c>
      <c r="O347" s="176">
        <v>2</v>
      </c>
      <c r="P347" s="176">
        <v>96</v>
      </c>
      <c r="Q347" s="78">
        <v>5</v>
      </c>
      <c r="R347" s="176"/>
      <c r="S347" s="176"/>
      <c r="T347" s="176"/>
      <c r="U347" s="78"/>
      <c r="V347" s="176">
        <v>72</v>
      </c>
      <c r="W347" s="176">
        <v>5</v>
      </c>
      <c r="X347" s="176">
        <v>98</v>
      </c>
      <c r="Y347" s="78">
        <v>6</v>
      </c>
      <c r="Z347" s="176"/>
      <c r="AA347" s="176"/>
      <c r="AB347" s="176"/>
      <c r="AC347" s="176"/>
      <c r="AD347" s="79">
        <f>IF(MIN(F347,J347,N347,R347,V347,Z347)&lt;&gt;0,MIN(F347,J347,N347,R347,V347,Z347),"")</f>
        <v>70</v>
      </c>
      <c r="AE347" s="80">
        <f>IF(MIN(H347,L347,P347,T347,X347,AB347)&lt;&gt;0,MIN(H347,L347,P347,T347,X347,AB347),"")</f>
        <v>96</v>
      </c>
      <c r="AF347" s="177"/>
      <c r="AG347" s="176"/>
      <c r="AH347" s="177"/>
      <c r="AI347" s="176"/>
      <c r="AJ347" s="82" t="str">
        <f>IF(AD347="","",IF(ISBLANK(AF347),"En cours",AD347+AF347))</f>
        <v>En cours</v>
      </c>
      <c r="AK347" s="178" t="str">
        <f>IF(AE347="","",IF(ISBLANK(AH347),"En cours",AE347+AH347))</f>
        <v>En cours</v>
      </c>
    </row>
    <row r="348" spans="2:37" ht="21" x14ac:dyDescent="0.35">
      <c r="B348" s="176" t="s">
        <v>349</v>
      </c>
      <c r="C348" s="176" t="s">
        <v>102</v>
      </c>
      <c r="D348" s="176">
        <v>31.5</v>
      </c>
      <c r="E348" s="176" t="s">
        <v>166</v>
      </c>
      <c r="F348" s="176"/>
      <c r="G348" s="176"/>
      <c r="H348" s="176"/>
      <c r="I348" s="78"/>
      <c r="J348" s="176"/>
      <c r="K348" s="176"/>
      <c r="L348" s="176"/>
      <c r="M348" s="78"/>
      <c r="N348" s="176">
        <v>73</v>
      </c>
      <c r="O348" s="176">
        <v>6</v>
      </c>
      <c r="P348" s="176">
        <v>101</v>
      </c>
      <c r="Q348" s="78">
        <v>10</v>
      </c>
      <c r="R348" s="176">
        <v>74</v>
      </c>
      <c r="S348" s="176">
        <v>1</v>
      </c>
      <c r="T348" s="176">
        <v>102</v>
      </c>
      <c r="U348" s="78">
        <v>2</v>
      </c>
      <c r="V348" s="176"/>
      <c r="W348" s="176"/>
      <c r="X348" s="176"/>
      <c r="Y348" s="78"/>
      <c r="Z348" s="176"/>
      <c r="AA348" s="176"/>
      <c r="AB348" s="176"/>
      <c r="AC348" s="176"/>
      <c r="AD348" s="79">
        <f>IF(MIN(F348,J348,N348,R348,V348,Z348)&lt;&gt;0,MIN(F348,J348,N348,R348,V348,Z348),"")</f>
        <v>73</v>
      </c>
      <c r="AE348" s="80">
        <f>IF(MIN(H348,L348,P348,T348,X348,AB348)&lt;&gt;0,MIN(H348,L348,P348,T348,X348,AB348),"")</f>
        <v>101</v>
      </c>
      <c r="AF348" s="177"/>
      <c r="AG348" s="176"/>
      <c r="AH348" s="177"/>
      <c r="AI348" s="176"/>
      <c r="AJ348" s="82" t="str">
        <f>IF(AD348="","",IF(ISBLANK(AF348),"En cours",AD348+AF348))</f>
        <v>En cours</v>
      </c>
      <c r="AK348" s="178" t="str">
        <f>IF(AE348="","",IF(ISBLANK(AH348),"En cours",AE348+AH348))</f>
        <v>En cours</v>
      </c>
    </row>
    <row r="349" spans="2:37" ht="21" x14ac:dyDescent="0.35">
      <c r="B349" s="176" t="s">
        <v>348</v>
      </c>
      <c r="C349" s="176" t="s">
        <v>102</v>
      </c>
      <c r="D349" s="176">
        <v>24.3</v>
      </c>
      <c r="E349" s="176" t="s">
        <v>161</v>
      </c>
      <c r="F349" s="176"/>
      <c r="G349" s="176"/>
      <c r="H349" s="176"/>
      <c r="I349" s="78"/>
      <c r="J349" s="176"/>
      <c r="K349" s="176"/>
      <c r="L349" s="176"/>
      <c r="M349" s="78"/>
      <c r="N349" s="176">
        <v>75</v>
      </c>
      <c r="O349" s="176">
        <v>8</v>
      </c>
      <c r="P349" s="176">
        <v>99</v>
      </c>
      <c r="Q349" s="78">
        <v>9</v>
      </c>
      <c r="R349" s="176"/>
      <c r="S349" s="176"/>
      <c r="T349" s="176"/>
      <c r="U349" s="78"/>
      <c r="V349" s="176">
        <v>71</v>
      </c>
      <c r="W349" s="176">
        <v>4</v>
      </c>
      <c r="X349" s="176">
        <v>95</v>
      </c>
      <c r="Y349" s="78">
        <v>4</v>
      </c>
      <c r="Z349" s="176"/>
      <c r="AA349" s="176"/>
      <c r="AB349" s="176"/>
      <c r="AC349" s="176"/>
      <c r="AD349" s="79">
        <f>IF(MIN(F349,J349,N349,R349,V349,Z349)&lt;&gt;0,MIN(F349,J349,N349,R349,V349,Z349),"")</f>
        <v>71</v>
      </c>
      <c r="AE349" s="80">
        <f>IF(MIN(H349,L349,P349,T349,X349,AB349)&lt;&gt;0,MIN(H349,L349,P349,T349,X349,AB349),"")</f>
        <v>95</v>
      </c>
      <c r="AF349" s="177"/>
      <c r="AG349" s="176"/>
      <c r="AH349" s="177"/>
      <c r="AI349" s="176"/>
      <c r="AJ349" s="82" t="str">
        <f>IF(AD349="","",IF(ISBLANK(AF349),"En cours",AD349+AF349))</f>
        <v>En cours</v>
      </c>
      <c r="AK349" s="178" t="str">
        <f>IF(AE349="","",IF(ISBLANK(AH349),"En cours",AE349+AH349))</f>
        <v>En cours</v>
      </c>
    </row>
    <row r="350" spans="2:37" ht="21" x14ac:dyDescent="0.35">
      <c r="B350" s="176" t="s">
        <v>353</v>
      </c>
      <c r="C350" s="176" t="s">
        <v>102</v>
      </c>
      <c r="D350" s="176">
        <v>19.8</v>
      </c>
      <c r="E350" s="176" t="s">
        <v>161</v>
      </c>
      <c r="F350" s="176"/>
      <c r="G350" s="176"/>
      <c r="H350" s="176"/>
      <c r="I350" s="78"/>
      <c r="J350" s="176"/>
      <c r="K350" s="176"/>
      <c r="L350" s="176"/>
      <c r="M350" s="78"/>
      <c r="N350" s="176"/>
      <c r="O350" s="176"/>
      <c r="P350" s="176"/>
      <c r="Q350" s="78"/>
      <c r="R350" s="176">
        <v>82</v>
      </c>
      <c r="S350" s="176">
        <v>3</v>
      </c>
      <c r="T350" s="176">
        <v>101</v>
      </c>
      <c r="U350" s="78">
        <v>1</v>
      </c>
      <c r="V350" s="176"/>
      <c r="W350" s="176"/>
      <c r="X350" s="176"/>
      <c r="Y350" s="78"/>
      <c r="Z350" s="176"/>
      <c r="AA350" s="176"/>
      <c r="AB350" s="176"/>
      <c r="AC350" s="176"/>
      <c r="AD350" s="79">
        <f>IF(MIN(F350,J350,N350,R350,V350,Z350)&lt;&gt;0,MIN(F350,J350,N350,R350,V350,Z350),"")</f>
        <v>82</v>
      </c>
      <c r="AE350" s="80">
        <f>IF(MIN(H350,L350,P350,T350,X350,AB350)&lt;&gt;0,MIN(H350,L350,P350,T350,X350,AB350),"")</f>
        <v>101</v>
      </c>
      <c r="AF350" s="177"/>
      <c r="AG350" s="176"/>
      <c r="AH350" s="177"/>
      <c r="AI350" s="176"/>
      <c r="AJ350" s="82" t="str">
        <f>IF(AD350="","",IF(ISBLANK(AF350),"En cours",AD350+AF350))</f>
        <v>En cours</v>
      </c>
      <c r="AK350" s="178" t="str">
        <f>IF(AE350="","",IF(ISBLANK(AH350),"En cours",AE350+AH350))</f>
        <v>En cours</v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711" priority="8633" stopIfTrue="1" operator="equal">
      <formula>"En cours"</formula>
    </cfRule>
    <cfRule type="cellIs" dxfId="710" priority="8634" stopIfTrue="1" operator="notEqual">
      <formula>"En cours"</formula>
    </cfRule>
  </conditionalFormatting>
  <conditionalFormatting sqref="AK36">
    <cfRule type="cellIs" dxfId="709" priority="8635" stopIfTrue="1" operator="equal">
      <formula>"En cours"</formula>
    </cfRule>
    <cfRule type="cellIs" dxfId="708" priority="8636" stopIfTrue="1" operator="notEqual">
      <formula>"En cours"</formula>
    </cfRule>
  </conditionalFormatting>
  <conditionalFormatting sqref="AJ35">
    <cfRule type="cellIs" dxfId="707" priority="8637" stopIfTrue="1" operator="equal">
      <formula>"En cours"</formula>
    </cfRule>
  </conditionalFormatting>
  <conditionalFormatting sqref="AJ35">
    <cfRule type="cellIs" dxfId="706" priority="8638" stopIfTrue="1" operator="notEqual">
      <formula>"En cours"</formula>
    </cfRule>
  </conditionalFormatting>
  <conditionalFormatting sqref="AK35">
    <cfRule type="cellIs" dxfId="705" priority="8639" stopIfTrue="1" operator="equal">
      <formula>"En cours"</formula>
    </cfRule>
  </conditionalFormatting>
  <conditionalFormatting sqref="AK35">
    <cfRule type="cellIs" dxfId="704" priority="8640" stopIfTrue="1" operator="notEqual">
      <formula>"En cours"</formula>
    </cfRule>
  </conditionalFormatting>
  <conditionalFormatting sqref="AJ33">
    <cfRule type="cellIs" dxfId="703" priority="8641" stopIfTrue="1" operator="equal">
      <formula>"En cours"</formula>
    </cfRule>
  </conditionalFormatting>
  <conditionalFormatting sqref="AJ33">
    <cfRule type="cellIs" dxfId="702" priority="8642" stopIfTrue="1" operator="notEqual">
      <formula>"En cours"</formula>
    </cfRule>
  </conditionalFormatting>
  <conditionalFormatting sqref="AK33">
    <cfRule type="cellIs" dxfId="701" priority="8643" stopIfTrue="1" operator="equal">
      <formula>"En cours"</formula>
    </cfRule>
  </conditionalFormatting>
  <conditionalFormatting sqref="AK33">
    <cfRule type="cellIs" dxfId="700" priority="8644" stopIfTrue="1" operator="notEqual">
      <formula>"En cours"</formula>
    </cfRule>
  </conditionalFormatting>
  <conditionalFormatting sqref="AJ34">
    <cfRule type="cellIs" dxfId="683" priority="8717" stopIfTrue="1" operator="equal">
      <formula>"En cours"</formula>
    </cfRule>
  </conditionalFormatting>
  <conditionalFormatting sqref="AJ34">
    <cfRule type="cellIs" dxfId="682" priority="8718" stopIfTrue="1" operator="notEqual">
      <formula>"En cours"</formula>
    </cfRule>
  </conditionalFormatting>
  <conditionalFormatting sqref="AK34">
    <cfRule type="cellIs" dxfId="681" priority="8719" stopIfTrue="1" operator="equal">
      <formula>"En cours"</formula>
    </cfRule>
  </conditionalFormatting>
  <conditionalFormatting sqref="AK34">
    <cfRule type="cellIs" dxfId="680" priority="8720" stopIfTrue="1" operator="notEqual">
      <formula>"En cours"</formula>
    </cfRule>
  </conditionalFormatting>
  <conditionalFormatting sqref="AJ14">
    <cfRule type="cellIs" dxfId="479" priority="13061" stopIfTrue="1" operator="equal">
      <formula>"En cours"</formula>
    </cfRule>
  </conditionalFormatting>
  <conditionalFormatting sqref="AJ14">
    <cfRule type="cellIs" dxfId="478" priority="13062" stopIfTrue="1" operator="notEqual">
      <formula>"En cours"</formula>
    </cfRule>
  </conditionalFormatting>
  <conditionalFormatting sqref="AK14">
    <cfRule type="cellIs" dxfId="477" priority="13063" stopIfTrue="1" operator="equal">
      <formula>"En cours"</formula>
    </cfRule>
  </conditionalFormatting>
  <conditionalFormatting sqref="AK14">
    <cfRule type="cellIs" dxfId="476" priority="13064" stopIfTrue="1" operator="notEqual">
      <formula>"En cours"</formula>
    </cfRule>
  </conditionalFormatting>
  <conditionalFormatting sqref="AJ22">
    <cfRule type="cellIs" dxfId="399" priority="13141" stopIfTrue="1" operator="equal">
      <formula>"En cours"</formula>
    </cfRule>
    <cfRule type="cellIs" dxfId="398" priority="13142" stopIfTrue="1" operator="notEqual">
      <formula>"En cours"</formula>
    </cfRule>
  </conditionalFormatting>
  <conditionalFormatting sqref="AK22">
    <cfRule type="cellIs" dxfId="397" priority="13143" stopIfTrue="1" operator="equal">
      <formula>"En cours"</formula>
    </cfRule>
    <cfRule type="cellIs" dxfId="396" priority="13144" stopIfTrue="1" operator="notEqual">
      <formula>"En cours"</formula>
    </cfRule>
  </conditionalFormatting>
  <conditionalFormatting sqref="AJ23">
    <cfRule type="cellIs" dxfId="391" priority="13149" stopIfTrue="1" operator="equal">
      <formula>"En cours"</formula>
    </cfRule>
  </conditionalFormatting>
  <conditionalFormatting sqref="AJ23">
    <cfRule type="cellIs" dxfId="390" priority="13150" stopIfTrue="1" operator="notEqual">
      <formula>"En cours"</formula>
    </cfRule>
  </conditionalFormatting>
  <conditionalFormatting sqref="AK23">
    <cfRule type="cellIs" dxfId="389" priority="13151" stopIfTrue="1" operator="equal">
      <formula>"En cours"</formula>
    </cfRule>
  </conditionalFormatting>
  <conditionalFormatting sqref="AK23">
    <cfRule type="cellIs" dxfId="388" priority="13152" stopIfTrue="1" operator="notEqual">
      <formula>"En cours"</formula>
    </cfRule>
  </conditionalFormatting>
  <conditionalFormatting sqref="AJ8">
    <cfRule type="cellIs" dxfId="311" priority="13229" stopIfTrue="1" operator="equal">
      <formula>"En cours"</formula>
    </cfRule>
  </conditionalFormatting>
  <conditionalFormatting sqref="AJ8">
    <cfRule type="cellIs" dxfId="310" priority="13230" stopIfTrue="1" operator="notEqual">
      <formula>"En cours"</formula>
    </cfRule>
  </conditionalFormatting>
  <conditionalFormatting sqref="AK8">
    <cfRule type="cellIs" dxfId="309" priority="13231" stopIfTrue="1" operator="equal">
      <formula>"En cours"</formula>
    </cfRule>
  </conditionalFormatting>
  <conditionalFormatting sqref="AK8">
    <cfRule type="cellIs" dxfId="308" priority="13232" stopIfTrue="1" operator="notEqual">
      <formula>"En cours"</formula>
    </cfRule>
  </conditionalFormatting>
  <conditionalFormatting sqref="AJ26">
    <cfRule type="cellIs" dxfId="303" priority="13237" stopIfTrue="1" operator="equal">
      <formula>"En cours"</formula>
    </cfRule>
  </conditionalFormatting>
  <conditionalFormatting sqref="AJ26">
    <cfRule type="cellIs" dxfId="302" priority="13238" stopIfTrue="1" operator="notEqual">
      <formula>"En cours"</formula>
    </cfRule>
  </conditionalFormatting>
  <conditionalFormatting sqref="AK26">
    <cfRule type="cellIs" dxfId="301" priority="13239" stopIfTrue="1" operator="equal">
      <formula>"En cours"</formula>
    </cfRule>
  </conditionalFormatting>
  <conditionalFormatting sqref="AK26">
    <cfRule type="cellIs" dxfId="300" priority="13240" stopIfTrue="1" operator="notEqual">
      <formula>"En cours"</formula>
    </cfRule>
  </conditionalFormatting>
  <conditionalFormatting sqref="AJ27">
    <cfRule type="cellIs" dxfId="287" priority="13253" stopIfTrue="1" operator="equal">
      <formula>"En cours"</formula>
    </cfRule>
  </conditionalFormatting>
  <conditionalFormatting sqref="AJ27">
    <cfRule type="cellIs" dxfId="286" priority="13254" stopIfTrue="1" operator="notEqual">
      <formula>"En cours"</formula>
    </cfRule>
  </conditionalFormatting>
  <conditionalFormatting sqref="AK27">
    <cfRule type="cellIs" dxfId="285" priority="13255" stopIfTrue="1" operator="equal">
      <formula>"En cours"</formula>
    </cfRule>
  </conditionalFormatting>
  <conditionalFormatting sqref="AK27">
    <cfRule type="cellIs" dxfId="284" priority="13256" stopIfTrue="1" operator="notEqual">
      <formula>"En cours"</formula>
    </cfRule>
  </conditionalFormatting>
  <conditionalFormatting sqref="AJ16">
    <cfRule type="cellIs" dxfId="283" priority="13257" stopIfTrue="1" operator="equal">
      <formula>"En cours"</formula>
    </cfRule>
  </conditionalFormatting>
  <conditionalFormatting sqref="AJ16">
    <cfRule type="cellIs" dxfId="282" priority="13258" stopIfTrue="1" operator="notEqual">
      <formula>"En cours"</formula>
    </cfRule>
  </conditionalFormatting>
  <conditionalFormatting sqref="AK16">
    <cfRule type="cellIs" dxfId="281" priority="13259" stopIfTrue="1" operator="equal">
      <formula>"En cours"</formula>
    </cfRule>
  </conditionalFormatting>
  <conditionalFormatting sqref="AK16">
    <cfRule type="cellIs" dxfId="280" priority="13260" stopIfTrue="1" operator="notEqual">
      <formula>"En cours"</formula>
    </cfRule>
  </conditionalFormatting>
  <conditionalFormatting sqref="AJ20">
    <cfRule type="cellIs" dxfId="279" priority="13261" stopIfTrue="1" operator="equal">
      <formula>"En cours"</formula>
    </cfRule>
  </conditionalFormatting>
  <conditionalFormatting sqref="AJ20">
    <cfRule type="cellIs" dxfId="278" priority="13262" stopIfTrue="1" operator="notEqual">
      <formula>"En cours"</formula>
    </cfRule>
  </conditionalFormatting>
  <conditionalFormatting sqref="AK20">
    <cfRule type="cellIs" dxfId="277" priority="13263" stopIfTrue="1" operator="equal">
      <formula>"En cours"</formula>
    </cfRule>
  </conditionalFormatting>
  <conditionalFormatting sqref="AK20">
    <cfRule type="cellIs" dxfId="276" priority="13264" stopIfTrue="1" operator="notEqual">
      <formula>"En cours"</formula>
    </cfRule>
  </conditionalFormatting>
  <conditionalFormatting sqref="AJ17">
    <cfRule type="cellIs" dxfId="263" priority="13277" stopIfTrue="1" operator="equal">
      <formula>"En cours"</formula>
    </cfRule>
  </conditionalFormatting>
  <conditionalFormatting sqref="AJ17">
    <cfRule type="cellIs" dxfId="262" priority="13278" stopIfTrue="1" operator="notEqual">
      <formula>"En cours"</formula>
    </cfRule>
  </conditionalFormatting>
  <conditionalFormatting sqref="AK17">
    <cfRule type="cellIs" dxfId="261" priority="13279" stopIfTrue="1" operator="equal">
      <formula>"En cours"</formula>
    </cfRule>
  </conditionalFormatting>
  <conditionalFormatting sqref="AK17">
    <cfRule type="cellIs" dxfId="260" priority="13280" stopIfTrue="1" operator="notEqual">
      <formula>"En cours"</formula>
    </cfRule>
  </conditionalFormatting>
  <conditionalFormatting sqref="AJ19">
    <cfRule type="cellIs" dxfId="259" priority="13281" stopIfTrue="1" operator="equal">
      <formula>"En cours"</formula>
    </cfRule>
  </conditionalFormatting>
  <conditionalFormatting sqref="AJ19">
    <cfRule type="cellIs" dxfId="258" priority="13282" stopIfTrue="1" operator="notEqual">
      <formula>"En cours"</formula>
    </cfRule>
  </conditionalFormatting>
  <conditionalFormatting sqref="AK19">
    <cfRule type="cellIs" dxfId="257" priority="13283" stopIfTrue="1" operator="equal">
      <formula>"En cours"</formula>
    </cfRule>
  </conditionalFormatting>
  <conditionalFormatting sqref="AK19">
    <cfRule type="cellIs" dxfId="256" priority="13284" stopIfTrue="1" operator="notEqual">
      <formula>"En cours"</formula>
    </cfRule>
  </conditionalFormatting>
  <conditionalFormatting sqref="AJ18">
    <cfRule type="cellIs" dxfId="243" priority="13297" stopIfTrue="1" operator="equal">
      <formula>"En cours"</formula>
    </cfRule>
  </conditionalFormatting>
  <conditionalFormatting sqref="AJ18">
    <cfRule type="cellIs" dxfId="242" priority="13298" stopIfTrue="1" operator="notEqual">
      <formula>"En cours"</formula>
    </cfRule>
  </conditionalFormatting>
  <conditionalFormatting sqref="AK18">
    <cfRule type="cellIs" dxfId="241" priority="13299" stopIfTrue="1" operator="equal">
      <formula>"En cours"</formula>
    </cfRule>
  </conditionalFormatting>
  <conditionalFormatting sqref="AK18">
    <cfRule type="cellIs" dxfId="240" priority="13300" stopIfTrue="1" operator="notEqual">
      <formula>"En cours"</formula>
    </cfRule>
  </conditionalFormatting>
  <conditionalFormatting sqref="AJ32">
    <cfRule type="cellIs" dxfId="211" priority="13329" stopIfTrue="1" operator="equal">
      <formula>"En cours"</formula>
    </cfRule>
  </conditionalFormatting>
  <conditionalFormatting sqref="AJ32">
    <cfRule type="cellIs" dxfId="210" priority="13330" stopIfTrue="1" operator="notEqual">
      <formula>"En cours"</formula>
    </cfRule>
  </conditionalFormatting>
  <conditionalFormatting sqref="AK32">
    <cfRule type="cellIs" dxfId="209" priority="13331" stopIfTrue="1" operator="equal">
      <formula>"En cours"</formula>
    </cfRule>
  </conditionalFormatting>
  <conditionalFormatting sqref="AK32">
    <cfRule type="cellIs" dxfId="208" priority="13332" stopIfTrue="1" operator="notEqual">
      <formula>"En cours"</formula>
    </cfRule>
  </conditionalFormatting>
  <conditionalFormatting sqref="AJ29">
    <cfRule type="cellIs" dxfId="207" priority="13333" stopIfTrue="1" operator="equal">
      <formula>"En cours"</formula>
    </cfRule>
  </conditionalFormatting>
  <conditionalFormatting sqref="AJ29">
    <cfRule type="cellIs" dxfId="206" priority="13334" stopIfTrue="1" operator="notEqual">
      <formula>"En cours"</formula>
    </cfRule>
  </conditionalFormatting>
  <conditionalFormatting sqref="AK29">
    <cfRule type="cellIs" dxfId="205" priority="13335" stopIfTrue="1" operator="equal">
      <formula>"En cours"</formula>
    </cfRule>
  </conditionalFormatting>
  <conditionalFormatting sqref="AK29">
    <cfRule type="cellIs" dxfId="204" priority="13336" stopIfTrue="1" operator="notEqual">
      <formula>"En cours"</formula>
    </cfRule>
  </conditionalFormatting>
  <conditionalFormatting sqref="AJ11">
    <cfRule type="cellIs" dxfId="131" priority="13409" stopIfTrue="1" operator="equal">
      <formula>"En cours"</formula>
    </cfRule>
  </conditionalFormatting>
  <conditionalFormatting sqref="AJ11">
    <cfRule type="cellIs" dxfId="130" priority="13410" stopIfTrue="1" operator="notEqual">
      <formula>"En cours"</formula>
    </cfRule>
  </conditionalFormatting>
  <conditionalFormatting sqref="AK11">
    <cfRule type="cellIs" dxfId="129" priority="13411" stopIfTrue="1" operator="equal">
      <formula>"En cours"</formula>
    </cfRule>
  </conditionalFormatting>
  <conditionalFormatting sqref="AK11">
    <cfRule type="cellIs" dxfId="128" priority="13412" stopIfTrue="1" operator="notEqual">
      <formula>"En cours"</formula>
    </cfRule>
  </conditionalFormatting>
  <conditionalFormatting sqref="AJ15">
    <cfRule type="cellIs" dxfId="127" priority="13413" stopIfTrue="1" operator="equal">
      <formula>"En cours"</formula>
    </cfRule>
  </conditionalFormatting>
  <conditionalFormatting sqref="AJ15">
    <cfRule type="cellIs" dxfId="126" priority="13414" stopIfTrue="1" operator="notEqual">
      <formula>"En cours"</formula>
    </cfRule>
  </conditionalFormatting>
  <conditionalFormatting sqref="AK15">
    <cfRule type="cellIs" dxfId="125" priority="13415" stopIfTrue="1" operator="equal">
      <formula>"En cours"</formula>
    </cfRule>
  </conditionalFormatting>
  <conditionalFormatting sqref="AK15">
    <cfRule type="cellIs" dxfId="124" priority="13416" stopIfTrue="1" operator="notEqual">
      <formula>"En cours"</formula>
    </cfRule>
  </conditionalFormatting>
  <conditionalFormatting sqref="AJ30">
    <cfRule type="cellIs" dxfId="119" priority="13421" stopIfTrue="1" operator="equal">
      <formula>"En cours"</formula>
    </cfRule>
    <cfRule type="cellIs" dxfId="118" priority="13422" stopIfTrue="1" operator="notEqual">
      <formula>"En cours"</formula>
    </cfRule>
  </conditionalFormatting>
  <conditionalFormatting sqref="AK30">
    <cfRule type="cellIs" dxfId="117" priority="13423" stopIfTrue="1" operator="equal">
      <formula>"En cours"</formula>
    </cfRule>
    <cfRule type="cellIs" dxfId="116" priority="13424" stopIfTrue="1" operator="notEqual">
      <formula>"En cours"</formula>
    </cfRule>
  </conditionalFormatting>
  <conditionalFormatting sqref="AJ13">
    <cfRule type="cellIs" dxfId="115" priority="13425" stopIfTrue="1" operator="equal">
      <formula>"En cours"</formula>
    </cfRule>
  </conditionalFormatting>
  <conditionalFormatting sqref="AJ13">
    <cfRule type="cellIs" dxfId="114" priority="13426" stopIfTrue="1" operator="notEqual">
      <formula>"En cours"</formula>
    </cfRule>
  </conditionalFormatting>
  <conditionalFormatting sqref="AK13">
    <cfRule type="cellIs" dxfId="113" priority="13427" stopIfTrue="1" operator="equal">
      <formula>"En cours"</formula>
    </cfRule>
  </conditionalFormatting>
  <conditionalFormatting sqref="AK13">
    <cfRule type="cellIs" dxfId="112" priority="13428" stopIfTrue="1" operator="notEqual">
      <formula>"En cours"</formula>
    </cfRule>
  </conditionalFormatting>
  <conditionalFormatting sqref="AJ28">
    <cfRule type="cellIs" dxfId="111" priority="13429" stopIfTrue="1" operator="equal">
      <formula>"En cours"</formula>
    </cfRule>
  </conditionalFormatting>
  <conditionalFormatting sqref="AJ28">
    <cfRule type="cellIs" dxfId="110" priority="13430" stopIfTrue="1" operator="notEqual">
      <formula>"En cours"</formula>
    </cfRule>
  </conditionalFormatting>
  <conditionalFormatting sqref="AK28">
    <cfRule type="cellIs" dxfId="109" priority="13431" stopIfTrue="1" operator="equal">
      <formula>"En cours"</formula>
    </cfRule>
  </conditionalFormatting>
  <conditionalFormatting sqref="AK28">
    <cfRule type="cellIs" dxfId="108" priority="13432" stopIfTrue="1" operator="notEqual">
      <formula>"En cours"</formula>
    </cfRule>
  </conditionalFormatting>
  <conditionalFormatting sqref="AJ24">
    <cfRule type="cellIs" dxfId="107" priority="13433" stopIfTrue="1" operator="equal">
      <formula>"En cours"</formula>
    </cfRule>
    <cfRule type="cellIs" dxfId="106" priority="13434" stopIfTrue="1" operator="notEqual">
      <formula>"En cours"</formula>
    </cfRule>
  </conditionalFormatting>
  <conditionalFormatting sqref="AK24">
    <cfRule type="cellIs" dxfId="105" priority="13435" stopIfTrue="1" operator="equal">
      <formula>"En cours"</formula>
    </cfRule>
    <cfRule type="cellIs" dxfId="104" priority="13436" stopIfTrue="1" operator="notEqual">
      <formula>"En cours"</formula>
    </cfRule>
  </conditionalFormatting>
  <conditionalFormatting sqref="AJ12">
    <cfRule type="cellIs" dxfId="75" priority="13465" stopIfTrue="1" operator="equal">
      <formula>"En cours"</formula>
    </cfRule>
  </conditionalFormatting>
  <conditionalFormatting sqref="AJ12">
    <cfRule type="cellIs" dxfId="74" priority="13466" stopIfTrue="1" operator="notEqual">
      <formula>"En cours"</formula>
    </cfRule>
  </conditionalFormatting>
  <conditionalFormatting sqref="AK12">
    <cfRule type="cellIs" dxfId="73" priority="13467" stopIfTrue="1" operator="equal">
      <formula>"En cours"</formula>
    </cfRule>
  </conditionalFormatting>
  <conditionalFormatting sqref="AK12">
    <cfRule type="cellIs" dxfId="72" priority="13468" stopIfTrue="1" operator="notEqual">
      <formula>"En cours"</formula>
    </cfRule>
  </conditionalFormatting>
  <conditionalFormatting sqref="AJ31">
    <cfRule type="cellIs" dxfId="35" priority="13505" stopIfTrue="1" operator="equal">
      <formula>"En cours"</formula>
    </cfRule>
  </conditionalFormatting>
  <conditionalFormatting sqref="AJ31">
    <cfRule type="cellIs" dxfId="34" priority="13506" stopIfTrue="1" operator="notEqual">
      <formula>"En cours"</formula>
    </cfRule>
  </conditionalFormatting>
  <conditionalFormatting sqref="AK31">
    <cfRule type="cellIs" dxfId="33" priority="13507" stopIfTrue="1" operator="equal">
      <formula>"En cours"</formula>
    </cfRule>
  </conditionalFormatting>
  <conditionalFormatting sqref="AK31">
    <cfRule type="cellIs" dxfId="32" priority="13508" stopIfTrue="1" operator="notEqual">
      <formula>"En cours"</formula>
    </cfRule>
  </conditionalFormatting>
  <conditionalFormatting sqref="AJ5">
    <cfRule type="cellIs" dxfId="31" priority="13509" stopIfTrue="1" operator="equal">
      <formula>"En cours"</formula>
    </cfRule>
  </conditionalFormatting>
  <conditionalFormatting sqref="AJ5">
    <cfRule type="cellIs" dxfId="30" priority="13510" stopIfTrue="1" operator="notEqual">
      <formula>"En cours"</formula>
    </cfRule>
  </conditionalFormatting>
  <conditionalFormatting sqref="AK5">
    <cfRule type="cellIs" dxfId="29" priority="13511" stopIfTrue="1" operator="equal">
      <formula>"En cours"</formula>
    </cfRule>
  </conditionalFormatting>
  <conditionalFormatting sqref="AK5">
    <cfRule type="cellIs" dxfId="28" priority="13512" stopIfTrue="1" operator="notEqual">
      <formula>"En cours"</formula>
    </cfRule>
  </conditionalFormatting>
  <conditionalFormatting sqref="AJ4">
    <cfRule type="cellIs" dxfId="27" priority="13513" stopIfTrue="1" operator="equal">
      <formula>"En cours"</formula>
    </cfRule>
  </conditionalFormatting>
  <conditionalFormatting sqref="AJ4">
    <cfRule type="cellIs" dxfId="26" priority="13514" stopIfTrue="1" operator="notEqual">
      <formula>"En cours"</formula>
    </cfRule>
  </conditionalFormatting>
  <conditionalFormatting sqref="AK4">
    <cfRule type="cellIs" dxfId="25" priority="13515" stopIfTrue="1" operator="equal">
      <formula>"En cours"</formula>
    </cfRule>
  </conditionalFormatting>
  <conditionalFormatting sqref="AK4">
    <cfRule type="cellIs" dxfId="24" priority="13516" stopIfTrue="1" operator="notEqual">
      <formula>"En cours"</formula>
    </cfRule>
  </conditionalFormatting>
  <conditionalFormatting sqref="AJ25">
    <cfRule type="cellIs" dxfId="23" priority="13517" stopIfTrue="1" operator="equal">
      <formula>"En cours"</formula>
    </cfRule>
  </conditionalFormatting>
  <conditionalFormatting sqref="AJ25">
    <cfRule type="cellIs" dxfId="22" priority="13518" stopIfTrue="1" operator="notEqual">
      <formula>"En cours"</formula>
    </cfRule>
  </conditionalFormatting>
  <conditionalFormatting sqref="AK25">
    <cfRule type="cellIs" dxfId="21" priority="13519" stopIfTrue="1" operator="equal">
      <formula>"En cours"</formula>
    </cfRule>
  </conditionalFormatting>
  <conditionalFormatting sqref="AK25">
    <cfRule type="cellIs" dxfId="20" priority="13520" stopIfTrue="1" operator="notEqual">
      <formula>"En cours"</formula>
    </cfRule>
  </conditionalFormatting>
  <conditionalFormatting sqref="AJ9">
    <cfRule type="cellIs" dxfId="19" priority="13521" stopIfTrue="1" operator="equal">
      <formula>"En cours"</formula>
    </cfRule>
  </conditionalFormatting>
  <conditionalFormatting sqref="AJ9">
    <cfRule type="cellIs" dxfId="18" priority="13522" stopIfTrue="1" operator="notEqual">
      <formula>"En cours"</formula>
    </cfRule>
  </conditionalFormatting>
  <conditionalFormatting sqref="AK9">
    <cfRule type="cellIs" dxfId="17" priority="13523" stopIfTrue="1" operator="equal">
      <formula>"En cours"</formula>
    </cfRule>
  </conditionalFormatting>
  <conditionalFormatting sqref="AK9">
    <cfRule type="cellIs" dxfId="16" priority="13524" stopIfTrue="1" operator="notEqual">
      <formula>"En cours"</formula>
    </cfRule>
  </conditionalFormatting>
  <conditionalFormatting sqref="AJ21">
    <cfRule type="cellIs" dxfId="15" priority="13525" stopIfTrue="1" operator="equal">
      <formula>"En cours"</formula>
    </cfRule>
  </conditionalFormatting>
  <conditionalFormatting sqref="AJ21">
    <cfRule type="cellIs" dxfId="14" priority="13526" stopIfTrue="1" operator="notEqual">
      <formula>"En cours"</formula>
    </cfRule>
  </conditionalFormatting>
  <conditionalFormatting sqref="AK21">
    <cfRule type="cellIs" dxfId="13" priority="13527" stopIfTrue="1" operator="equal">
      <formula>"En cours"</formula>
    </cfRule>
  </conditionalFormatting>
  <conditionalFormatting sqref="AK21">
    <cfRule type="cellIs" dxfId="12" priority="13528" stopIfTrue="1" operator="notEqual">
      <formula>"En cours"</formula>
    </cfRule>
  </conditionalFormatting>
  <conditionalFormatting sqref="AJ10">
    <cfRule type="cellIs" dxfId="11" priority="13529" stopIfTrue="1" operator="equal">
      <formula>"En cours"</formula>
    </cfRule>
  </conditionalFormatting>
  <conditionalFormatting sqref="AJ10">
    <cfRule type="cellIs" dxfId="10" priority="13530" stopIfTrue="1" operator="notEqual">
      <formula>"En cours"</formula>
    </cfRule>
  </conditionalFormatting>
  <conditionalFormatting sqref="AK10">
    <cfRule type="cellIs" dxfId="9" priority="13531" stopIfTrue="1" operator="equal">
      <formula>"En cours"</formula>
    </cfRule>
  </conditionalFormatting>
  <conditionalFormatting sqref="AK10">
    <cfRule type="cellIs" dxfId="8" priority="13532" stopIfTrue="1" operator="notEqual">
      <formula>"En cours"</formula>
    </cfRule>
  </conditionalFormatting>
  <conditionalFormatting sqref="AJ6">
    <cfRule type="cellIs" dxfId="7" priority="13533" stopIfTrue="1" operator="equal">
      <formula>"En cours"</formula>
    </cfRule>
  </conditionalFormatting>
  <conditionalFormatting sqref="AJ6">
    <cfRule type="cellIs" dxfId="6" priority="13534" stopIfTrue="1" operator="notEqual">
      <formula>"En cours"</formula>
    </cfRule>
  </conditionalFormatting>
  <conditionalFormatting sqref="AK6">
    <cfRule type="cellIs" dxfId="5" priority="13535" stopIfTrue="1" operator="equal">
      <formula>"En cours"</formula>
    </cfRule>
  </conditionalFormatting>
  <conditionalFormatting sqref="AK6">
    <cfRule type="cellIs" dxfId="4" priority="13536" stopIfTrue="1" operator="notEqual">
      <formula>"En cours"</formula>
    </cfRule>
  </conditionalFormatting>
  <conditionalFormatting sqref="AJ7">
    <cfRule type="cellIs" dxfId="3" priority="13537" stopIfTrue="1" operator="equal">
      <formula>"En cours"</formula>
    </cfRule>
  </conditionalFormatting>
  <conditionalFormatting sqref="AJ7">
    <cfRule type="cellIs" dxfId="2" priority="13538" stopIfTrue="1" operator="notEqual">
      <formula>"En cours"</formula>
    </cfRule>
  </conditionalFormatting>
  <conditionalFormatting sqref="AK7">
    <cfRule type="cellIs" dxfId="1" priority="13539" stopIfTrue="1" operator="equal">
      <formula>"En cours"</formula>
    </cfRule>
  </conditionalFormatting>
  <conditionalFormatting sqref="AK7">
    <cfRule type="cellIs" dxfId="0" priority="135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64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69" t="s">
        <v>94</v>
      </c>
      <c r="C5" s="169" t="s">
        <v>74</v>
      </c>
      <c r="D5" s="169" t="s">
        <v>95</v>
      </c>
      <c r="E5" s="169" t="s">
        <v>96</v>
      </c>
      <c r="F5" s="170">
        <v>45158.741053240738</v>
      </c>
    </row>
    <row r="6" spans="2:6" x14ac:dyDescent="0.25">
      <c r="B6" s="169" t="s">
        <v>97</v>
      </c>
      <c r="C6" s="169" t="s">
        <v>74</v>
      </c>
      <c r="D6" s="169" t="s">
        <v>95</v>
      </c>
      <c r="E6" s="169" t="s">
        <v>95</v>
      </c>
      <c r="F6" s="170">
        <v>45158.741064814814</v>
      </c>
    </row>
    <row r="7" spans="2:6" x14ac:dyDescent="0.25">
      <c r="B7" s="169" t="s">
        <v>98</v>
      </c>
      <c r="C7" s="169" t="s">
        <v>74</v>
      </c>
      <c r="D7" s="169" t="s">
        <v>99</v>
      </c>
      <c r="E7" s="169" t="s">
        <v>100</v>
      </c>
      <c r="F7" s="170">
        <v>45158.741064814814</v>
      </c>
    </row>
    <row r="8" spans="2:6" x14ac:dyDescent="0.25">
      <c r="B8" s="169" t="s">
        <v>98</v>
      </c>
      <c r="C8" s="169" t="s">
        <v>74</v>
      </c>
      <c r="D8" s="169" t="s">
        <v>99</v>
      </c>
      <c r="E8" s="169" t="s">
        <v>184</v>
      </c>
      <c r="F8" s="170">
        <v>45158.741087962961</v>
      </c>
    </row>
    <row r="9" spans="2:6" x14ac:dyDescent="0.25">
      <c r="B9" s="169" t="s">
        <v>185</v>
      </c>
      <c r="C9" s="169" t="s">
        <v>74</v>
      </c>
      <c r="D9" s="169" t="s">
        <v>99</v>
      </c>
      <c r="E9" s="169" t="s">
        <v>95</v>
      </c>
      <c r="F9" s="170">
        <v>45158.74114583333</v>
      </c>
    </row>
    <row r="10" spans="2:6" x14ac:dyDescent="0.25">
      <c r="B10" s="169" t="s">
        <v>97</v>
      </c>
      <c r="C10" s="169" t="s">
        <v>74</v>
      </c>
      <c r="D10" s="169" t="s">
        <v>95</v>
      </c>
      <c r="E10" s="169" t="s">
        <v>95</v>
      </c>
      <c r="F10" s="170">
        <v>45158.741215277776</v>
      </c>
    </row>
    <row r="11" spans="2:6" x14ac:dyDescent="0.25">
      <c r="B11" s="169" t="s">
        <v>186</v>
      </c>
      <c r="C11" s="169" t="s">
        <v>74</v>
      </c>
      <c r="D11" s="169" t="s">
        <v>99</v>
      </c>
      <c r="E11" s="169" t="s">
        <v>187</v>
      </c>
      <c r="F11" s="170">
        <v>45158.741215277776</v>
      </c>
    </row>
    <row r="12" spans="2:6" x14ac:dyDescent="0.25">
      <c r="B12" s="169" t="s">
        <v>186</v>
      </c>
      <c r="C12" s="169" t="s">
        <v>74</v>
      </c>
      <c r="D12" s="169" t="s">
        <v>99</v>
      </c>
      <c r="E12" s="169" t="s">
        <v>230</v>
      </c>
      <c r="F12" s="170">
        <v>45158.741238425922</v>
      </c>
    </row>
    <row r="13" spans="2:6" x14ac:dyDescent="0.25">
      <c r="B13" s="169" t="s">
        <v>231</v>
      </c>
      <c r="C13" s="169" t="s">
        <v>74</v>
      </c>
      <c r="D13" s="169" t="s">
        <v>99</v>
      </c>
      <c r="E13" s="169" t="s">
        <v>95</v>
      </c>
      <c r="F13" s="170">
        <v>45158.741284722222</v>
      </c>
    </row>
    <row r="14" spans="2:6" x14ac:dyDescent="0.25">
      <c r="B14" s="169" t="s">
        <v>97</v>
      </c>
      <c r="C14" s="169" t="s">
        <v>74</v>
      </c>
      <c r="D14" s="169" t="s">
        <v>95</v>
      </c>
      <c r="E14" s="169" t="s">
        <v>95</v>
      </c>
      <c r="F14" s="170">
        <v>45158.741354166668</v>
      </c>
    </row>
    <row r="15" spans="2:6" x14ac:dyDescent="0.25">
      <c r="B15" s="169" t="s">
        <v>232</v>
      </c>
      <c r="C15" s="169" t="s">
        <v>74</v>
      </c>
      <c r="D15" s="169" t="s">
        <v>99</v>
      </c>
      <c r="E15" s="169" t="s">
        <v>233</v>
      </c>
      <c r="F15" s="170">
        <v>45158.741354166668</v>
      </c>
    </row>
    <row r="16" spans="2:6" x14ac:dyDescent="0.25">
      <c r="B16" s="169" t="s">
        <v>232</v>
      </c>
      <c r="C16" s="169" t="s">
        <v>74</v>
      </c>
      <c r="D16" s="169" t="s">
        <v>99</v>
      </c>
      <c r="E16" s="169" t="s">
        <v>251</v>
      </c>
      <c r="F16" s="170">
        <v>45158.741377314815</v>
      </c>
    </row>
    <row r="17" spans="2:6" x14ac:dyDescent="0.25">
      <c r="B17" s="169" t="s">
        <v>252</v>
      </c>
      <c r="C17" s="169" t="s">
        <v>74</v>
      </c>
      <c r="D17" s="169" t="s">
        <v>99</v>
      </c>
      <c r="E17" s="169" t="s">
        <v>95</v>
      </c>
      <c r="F17" s="170">
        <v>45158.741435185184</v>
      </c>
    </row>
    <row r="18" spans="2:6" x14ac:dyDescent="0.25">
      <c r="B18" s="169" t="s">
        <v>97</v>
      </c>
      <c r="C18" s="169" t="s">
        <v>74</v>
      </c>
      <c r="D18" s="169" t="s">
        <v>95</v>
      </c>
      <c r="E18" s="169" t="s">
        <v>95</v>
      </c>
      <c r="F18" s="170">
        <v>45158.741493055553</v>
      </c>
    </row>
    <row r="19" spans="2:6" x14ac:dyDescent="0.25">
      <c r="B19" s="169" t="s">
        <v>253</v>
      </c>
      <c r="C19" s="169" t="s">
        <v>74</v>
      </c>
      <c r="D19" s="169" t="s">
        <v>99</v>
      </c>
      <c r="E19" s="169" t="s">
        <v>254</v>
      </c>
      <c r="F19" s="170">
        <v>45158.741493055553</v>
      </c>
    </row>
    <row r="20" spans="2:6" x14ac:dyDescent="0.25">
      <c r="B20" s="169" t="s">
        <v>253</v>
      </c>
      <c r="C20" s="169" t="s">
        <v>74</v>
      </c>
      <c r="D20" s="169" t="s">
        <v>99</v>
      </c>
      <c r="E20" s="169" t="s">
        <v>286</v>
      </c>
      <c r="F20" s="170">
        <v>45158.741527777776</v>
      </c>
    </row>
    <row r="21" spans="2:6" x14ac:dyDescent="0.25">
      <c r="B21" s="169" t="s">
        <v>287</v>
      </c>
      <c r="C21" s="169" t="s">
        <v>74</v>
      </c>
      <c r="D21" s="169" t="s">
        <v>99</v>
      </c>
      <c r="E21" s="169" t="s">
        <v>95</v>
      </c>
      <c r="F21" s="170">
        <v>45158.741585648146</v>
      </c>
    </row>
    <row r="22" spans="2:6" x14ac:dyDescent="0.25">
      <c r="B22" s="169" t="s">
        <v>97</v>
      </c>
      <c r="C22" s="169" t="s">
        <v>74</v>
      </c>
      <c r="D22" s="169" t="s">
        <v>95</v>
      </c>
      <c r="E22" s="169" t="s">
        <v>95</v>
      </c>
      <c r="F22" s="170">
        <v>45158.741655092592</v>
      </c>
    </row>
    <row r="23" spans="2:6" x14ac:dyDescent="0.25">
      <c r="B23" s="169" t="s">
        <v>288</v>
      </c>
      <c r="C23" s="169" t="s">
        <v>74</v>
      </c>
      <c r="D23" s="169" t="s">
        <v>99</v>
      </c>
      <c r="E23" s="169" t="s">
        <v>289</v>
      </c>
      <c r="F23" s="170">
        <v>45158.741655092592</v>
      </c>
    </row>
    <row r="24" spans="2:6" x14ac:dyDescent="0.25">
      <c r="B24" s="169" t="s">
        <v>288</v>
      </c>
      <c r="C24" s="169" t="s">
        <v>74</v>
      </c>
      <c r="D24" s="169" t="s">
        <v>99</v>
      </c>
      <c r="E24" s="169" t="s">
        <v>297</v>
      </c>
      <c r="F24" s="170">
        <v>45158.741666666669</v>
      </c>
    </row>
    <row r="25" spans="2:6" x14ac:dyDescent="0.25">
      <c r="B25" s="169" t="s">
        <v>298</v>
      </c>
      <c r="C25" s="169" t="s">
        <v>74</v>
      </c>
      <c r="D25" s="169" t="s">
        <v>99</v>
      </c>
      <c r="E25" s="169" t="s">
        <v>95</v>
      </c>
      <c r="F25" s="170">
        <v>45158.741689814815</v>
      </c>
    </row>
    <row r="26" spans="2:6" x14ac:dyDescent="0.25">
      <c r="B26" s="169" t="s">
        <v>97</v>
      </c>
      <c r="C26" s="169" t="s">
        <v>74</v>
      </c>
      <c r="D26" s="169" t="s">
        <v>95</v>
      </c>
      <c r="E26" s="169" t="s">
        <v>95</v>
      </c>
      <c r="F26" s="170">
        <v>45158.741736111115</v>
      </c>
    </row>
    <row r="27" spans="2:6" x14ac:dyDescent="0.25">
      <c r="B27" s="169" t="s">
        <v>299</v>
      </c>
      <c r="C27" s="169" t="s">
        <v>74</v>
      </c>
      <c r="D27" s="169" t="s">
        <v>99</v>
      </c>
      <c r="E27" s="169" t="s">
        <v>300</v>
      </c>
      <c r="F27" s="170">
        <v>45158.741736111115</v>
      </c>
    </row>
    <row r="28" spans="2:6" x14ac:dyDescent="0.25">
      <c r="B28" s="169" t="s">
        <v>299</v>
      </c>
      <c r="C28" s="169" t="s">
        <v>74</v>
      </c>
      <c r="D28" s="169" t="s">
        <v>99</v>
      </c>
      <c r="E28" s="169" t="s">
        <v>306</v>
      </c>
      <c r="F28" s="170">
        <v>45158.741747685184</v>
      </c>
    </row>
    <row r="29" spans="2:6" x14ac:dyDescent="0.25">
      <c r="B29" s="169" t="s">
        <v>307</v>
      </c>
      <c r="C29" s="169" t="s">
        <v>74</v>
      </c>
      <c r="D29" s="169" t="s">
        <v>99</v>
      </c>
      <c r="E29" s="169" t="s">
        <v>95</v>
      </c>
      <c r="F29" s="170">
        <v>45158.741770833331</v>
      </c>
    </row>
    <row r="30" spans="2:6" x14ac:dyDescent="0.25">
      <c r="B30" s="169" t="s">
        <v>97</v>
      </c>
      <c r="C30" s="169" t="s">
        <v>74</v>
      </c>
      <c r="D30" s="169" t="s">
        <v>95</v>
      </c>
      <c r="E30" s="169" t="s">
        <v>95</v>
      </c>
      <c r="F30" s="170">
        <v>45158.74181712963</v>
      </c>
    </row>
    <row r="31" spans="2:6" x14ac:dyDescent="0.25">
      <c r="B31" s="169" t="s">
        <v>308</v>
      </c>
      <c r="C31" s="169" t="s">
        <v>74</v>
      </c>
      <c r="D31" s="169" t="s">
        <v>99</v>
      </c>
      <c r="E31" s="169" t="s">
        <v>309</v>
      </c>
      <c r="F31" s="170">
        <v>45158.74181712963</v>
      </c>
    </row>
    <row r="32" spans="2:6" x14ac:dyDescent="0.25">
      <c r="B32" s="169" t="s">
        <v>308</v>
      </c>
      <c r="C32" s="169" t="s">
        <v>74</v>
      </c>
      <c r="D32" s="169" t="s">
        <v>99</v>
      </c>
      <c r="E32" s="169" t="s">
        <v>314</v>
      </c>
      <c r="F32" s="170">
        <v>45158.741840277777</v>
      </c>
    </row>
    <row r="33" spans="2:6" x14ac:dyDescent="0.25">
      <c r="B33" s="169" t="s">
        <v>315</v>
      </c>
      <c r="C33" s="169" t="s">
        <v>74</v>
      </c>
      <c r="D33" s="169" t="s">
        <v>99</v>
      </c>
      <c r="E33" s="169" t="s">
        <v>95</v>
      </c>
      <c r="F33" s="170">
        <v>45158.7419212963</v>
      </c>
    </row>
    <row r="34" spans="2:6" x14ac:dyDescent="0.25">
      <c r="B34" s="169" t="s">
        <v>316</v>
      </c>
      <c r="C34" s="169" t="s">
        <v>74</v>
      </c>
      <c r="D34" s="169" t="s">
        <v>95</v>
      </c>
      <c r="E34" s="169" t="s">
        <v>95</v>
      </c>
      <c r="F34" s="170">
        <v>45158.741990740738</v>
      </c>
    </row>
    <row r="35" spans="2:6" x14ac:dyDescent="0.25">
      <c r="B35" s="169" t="s">
        <v>94</v>
      </c>
      <c r="C35" s="169" t="s">
        <v>75</v>
      </c>
      <c r="D35" s="169" t="s">
        <v>95</v>
      </c>
      <c r="E35" s="169" t="s">
        <v>96</v>
      </c>
      <c r="F35" s="170">
        <v>45158.741990740738</v>
      </c>
    </row>
    <row r="36" spans="2:6" x14ac:dyDescent="0.25">
      <c r="B36" s="169" t="s">
        <v>97</v>
      </c>
      <c r="C36" s="169" t="s">
        <v>75</v>
      </c>
      <c r="D36" s="169" t="s">
        <v>95</v>
      </c>
      <c r="E36" s="169" t="s">
        <v>95</v>
      </c>
      <c r="F36" s="170">
        <v>45158.741990740738</v>
      </c>
    </row>
    <row r="37" spans="2:6" x14ac:dyDescent="0.25">
      <c r="B37" s="169" t="s">
        <v>98</v>
      </c>
      <c r="C37" s="169" t="s">
        <v>75</v>
      </c>
      <c r="D37" s="169" t="s">
        <v>317</v>
      </c>
      <c r="E37" s="169" t="s">
        <v>318</v>
      </c>
      <c r="F37" s="170">
        <v>45158.741990740738</v>
      </c>
    </row>
    <row r="38" spans="2:6" x14ac:dyDescent="0.25">
      <c r="B38" s="169" t="s">
        <v>98</v>
      </c>
      <c r="C38" s="169" t="s">
        <v>75</v>
      </c>
      <c r="D38" s="169" t="s">
        <v>317</v>
      </c>
      <c r="E38" s="169" t="s">
        <v>336</v>
      </c>
      <c r="F38" s="170">
        <v>45158.741990740738</v>
      </c>
    </row>
    <row r="39" spans="2:6" x14ac:dyDescent="0.25">
      <c r="B39" s="169" t="s">
        <v>185</v>
      </c>
      <c r="C39" s="169" t="s">
        <v>75</v>
      </c>
      <c r="D39" s="169" t="s">
        <v>317</v>
      </c>
      <c r="E39" s="169" t="s">
        <v>95</v>
      </c>
      <c r="F39" s="170">
        <v>45158.742002314815</v>
      </c>
    </row>
    <row r="40" spans="2:6" x14ac:dyDescent="0.25">
      <c r="B40" s="169" t="s">
        <v>97</v>
      </c>
      <c r="C40" s="169" t="s">
        <v>75</v>
      </c>
      <c r="D40" s="169" t="s">
        <v>95</v>
      </c>
      <c r="E40" s="169" t="s">
        <v>95</v>
      </c>
      <c r="F40" s="170">
        <v>45158.742025462961</v>
      </c>
    </row>
    <row r="41" spans="2:6" x14ac:dyDescent="0.25">
      <c r="B41" s="169" t="s">
        <v>186</v>
      </c>
      <c r="C41" s="169" t="s">
        <v>75</v>
      </c>
      <c r="D41" s="169" t="s">
        <v>317</v>
      </c>
      <c r="E41" s="169" t="s">
        <v>337</v>
      </c>
      <c r="F41" s="170">
        <v>45158.742025462961</v>
      </c>
    </row>
    <row r="42" spans="2:6" x14ac:dyDescent="0.25">
      <c r="B42" s="169" t="s">
        <v>186</v>
      </c>
      <c r="C42" s="169" t="s">
        <v>75</v>
      </c>
      <c r="D42" s="169" t="s">
        <v>317</v>
      </c>
      <c r="E42" s="169" t="s">
        <v>342</v>
      </c>
      <c r="F42" s="170">
        <v>45158.742025462961</v>
      </c>
    </row>
    <row r="43" spans="2:6" x14ac:dyDescent="0.25">
      <c r="B43" s="169" t="s">
        <v>231</v>
      </c>
      <c r="C43" s="169" t="s">
        <v>75</v>
      </c>
      <c r="D43" s="169" t="s">
        <v>317</v>
      </c>
      <c r="E43" s="169" t="s">
        <v>95</v>
      </c>
      <c r="F43" s="170">
        <v>45158.742037037038</v>
      </c>
    </row>
    <row r="44" spans="2:6" x14ac:dyDescent="0.25">
      <c r="B44" s="169" t="s">
        <v>97</v>
      </c>
      <c r="C44" s="169" t="s">
        <v>75</v>
      </c>
      <c r="D44" s="169" t="s">
        <v>95</v>
      </c>
      <c r="E44" s="169" t="s">
        <v>95</v>
      </c>
      <c r="F44" s="170">
        <v>45158.742048611108</v>
      </c>
    </row>
    <row r="45" spans="2:6" x14ac:dyDescent="0.25">
      <c r="B45" s="169" t="s">
        <v>232</v>
      </c>
      <c r="C45" s="169" t="s">
        <v>75</v>
      </c>
      <c r="D45" s="169" t="s">
        <v>317</v>
      </c>
      <c r="E45" s="169" t="s">
        <v>343</v>
      </c>
      <c r="F45" s="170">
        <v>45158.742048611108</v>
      </c>
    </row>
    <row r="46" spans="2:6" x14ac:dyDescent="0.25">
      <c r="B46" s="169" t="s">
        <v>232</v>
      </c>
      <c r="C46" s="169" t="s">
        <v>75</v>
      </c>
      <c r="D46" s="169" t="s">
        <v>317</v>
      </c>
      <c r="E46" s="169" t="s">
        <v>350</v>
      </c>
      <c r="F46" s="170">
        <v>45158.742048611108</v>
      </c>
    </row>
    <row r="47" spans="2:6" x14ac:dyDescent="0.25">
      <c r="B47" s="169" t="s">
        <v>252</v>
      </c>
      <c r="C47" s="169" t="s">
        <v>75</v>
      </c>
      <c r="D47" s="169" t="s">
        <v>317</v>
      </c>
      <c r="E47" s="169" t="s">
        <v>95</v>
      </c>
      <c r="F47" s="170">
        <v>45158.742060185185</v>
      </c>
    </row>
    <row r="48" spans="2:6" x14ac:dyDescent="0.25">
      <c r="B48" s="169" t="s">
        <v>97</v>
      </c>
      <c r="C48" s="169" t="s">
        <v>75</v>
      </c>
      <c r="D48" s="169" t="s">
        <v>95</v>
      </c>
      <c r="E48" s="169" t="s">
        <v>95</v>
      </c>
      <c r="F48" s="170">
        <v>45158.742071759261</v>
      </c>
    </row>
    <row r="49" spans="2:6" x14ac:dyDescent="0.25">
      <c r="B49" s="169" t="s">
        <v>253</v>
      </c>
      <c r="C49" s="169" t="s">
        <v>75</v>
      </c>
      <c r="D49" s="169" t="s">
        <v>317</v>
      </c>
      <c r="E49" s="169" t="s">
        <v>351</v>
      </c>
      <c r="F49" s="170">
        <v>45158.742071759261</v>
      </c>
    </row>
    <row r="50" spans="2:6" x14ac:dyDescent="0.25">
      <c r="B50" s="169" t="s">
        <v>253</v>
      </c>
      <c r="C50" s="169" t="s">
        <v>75</v>
      </c>
      <c r="D50" s="169" t="s">
        <v>317</v>
      </c>
      <c r="E50" s="169" t="s">
        <v>354</v>
      </c>
      <c r="F50" s="170">
        <v>45158.742083333331</v>
      </c>
    </row>
    <row r="51" spans="2:6" x14ac:dyDescent="0.25">
      <c r="B51" s="169" t="s">
        <v>287</v>
      </c>
      <c r="C51" s="169" t="s">
        <v>75</v>
      </c>
      <c r="D51" s="169" t="s">
        <v>317</v>
      </c>
      <c r="E51" s="169" t="s">
        <v>95</v>
      </c>
      <c r="F51" s="170">
        <v>45158.742094907408</v>
      </c>
    </row>
    <row r="52" spans="2:6" x14ac:dyDescent="0.25">
      <c r="B52" s="169" t="s">
        <v>97</v>
      </c>
      <c r="C52" s="169" t="s">
        <v>75</v>
      </c>
      <c r="D52" s="169" t="s">
        <v>95</v>
      </c>
      <c r="E52" s="169" t="s">
        <v>95</v>
      </c>
      <c r="F52" s="170">
        <v>45158.742094907408</v>
      </c>
    </row>
    <row r="53" spans="2:6" x14ac:dyDescent="0.25">
      <c r="B53" s="169" t="s">
        <v>288</v>
      </c>
      <c r="C53" s="169" t="s">
        <v>75</v>
      </c>
      <c r="D53" s="169" t="s">
        <v>317</v>
      </c>
      <c r="E53" s="169" t="s">
        <v>355</v>
      </c>
      <c r="F53" s="170">
        <v>45158.742094907408</v>
      </c>
    </row>
    <row r="54" spans="2:6" x14ac:dyDescent="0.25">
      <c r="B54" s="169" t="s">
        <v>288</v>
      </c>
      <c r="C54" s="169" t="s">
        <v>75</v>
      </c>
      <c r="D54" s="169" t="s">
        <v>317</v>
      </c>
      <c r="E54" s="169" t="s">
        <v>356</v>
      </c>
      <c r="F54" s="170">
        <v>45158.742106481484</v>
      </c>
    </row>
    <row r="55" spans="2:6" x14ac:dyDescent="0.25">
      <c r="B55" s="169" t="s">
        <v>298</v>
      </c>
      <c r="C55" s="169" t="s">
        <v>75</v>
      </c>
      <c r="D55" s="169" t="s">
        <v>317</v>
      </c>
      <c r="E55" s="169" t="s">
        <v>95</v>
      </c>
      <c r="F55" s="170">
        <v>45158.742106481484</v>
      </c>
    </row>
    <row r="56" spans="2:6" x14ac:dyDescent="0.25">
      <c r="B56" s="169" t="s">
        <v>97</v>
      </c>
      <c r="C56" s="169" t="s">
        <v>75</v>
      </c>
      <c r="D56" s="169" t="s">
        <v>95</v>
      </c>
      <c r="E56" s="169" t="s">
        <v>95</v>
      </c>
      <c r="F56" s="170">
        <v>45158.742118055554</v>
      </c>
    </row>
    <row r="57" spans="2:6" x14ac:dyDescent="0.25">
      <c r="B57" s="169" t="s">
        <v>299</v>
      </c>
      <c r="C57" s="169" t="s">
        <v>75</v>
      </c>
      <c r="D57" s="169" t="s">
        <v>317</v>
      </c>
      <c r="E57" s="169" t="s">
        <v>357</v>
      </c>
      <c r="F57" s="170">
        <v>45158.742118055554</v>
      </c>
    </row>
    <row r="58" spans="2:6" x14ac:dyDescent="0.25">
      <c r="B58" s="169" t="s">
        <v>299</v>
      </c>
      <c r="C58" s="169" t="s">
        <v>75</v>
      </c>
      <c r="D58" s="169" t="s">
        <v>317</v>
      </c>
      <c r="E58" s="169" t="s">
        <v>358</v>
      </c>
      <c r="F58" s="170">
        <v>45158.742129629631</v>
      </c>
    </row>
    <row r="59" spans="2:6" x14ac:dyDescent="0.25">
      <c r="B59" s="169" t="s">
        <v>307</v>
      </c>
      <c r="C59" s="169" t="s">
        <v>75</v>
      </c>
      <c r="D59" s="169" t="s">
        <v>317</v>
      </c>
      <c r="E59" s="169" t="s">
        <v>95</v>
      </c>
      <c r="F59" s="170">
        <v>45158.742129629631</v>
      </c>
    </row>
    <row r="60" spans="2:6" x14ac:dyDescent="0.25">
      <c r="B60" s="169" t="s">
        <v>97</v>
      </c>
      <c r="C60" s="169" t="s">
        <v>75</v>
      </c>
      <c r="D60" s="169" t="s">
        <v>95</v>
      </c>
      <c r="E60" s="169" t="s">
        <v>95</v>
      </c>
      <c r="F60" s="170">
        <v>45158.7421412037</v>
      </c>
    </row>
    <row r="61" spans="2:6" x14ac:dyDescent="0.25">
      <c r="B61" s="169" t="s">
        <v>308</v>
      </c>
      <c r="C61" s="169" t="s">
        <v>75</v>
      </c>
      <c r="D61" s="169" t="s">
        <v>317</v>
      </c>
      <c r="E61" s="169" t="s">
        <v>359</v>
      </c>
      <c r="F61" s="170">
        <v>45158.7421412037</v>
      </c>
    </row>
    <row r="62" spans="2:6" x14ac:dyDescent="0.25">
      <c r="B62" s="169" t="s">
        <v>308</v>
      </c>
      <c r="C62" s="169" t="s">
        <v>75</v>
      </c>
      <c r="D62" s="169" t="s">
        <v>317</v>
      </c>
      <c r="E62" s="169" t="s">
        <v>360</v>
      </c>
      <c r="F62" s="170">
        <v>45158.7421412037</v>
      </c>
    </row>
    <row r="63" spans="2:6" x14ac:dyDescent="0.25">
      <c r="B63" s="169" t="s">
        <v>315</v>
      </c>
      <c r="C63" s="169" t="s">
        <v>75</v>
      </c>
      <c r="D63" s="169" t="s">
        <v>317</v>
      </c>
      <c r="E63" s="169" t="s">
        <v>95</v>
      </c>
      <c r="F63" s="170">
        <v>45158.742152777777</v>
      </c>
    </row>
    <row r="64" spans="2:6" x14ac:dyDescent="0.25">
      <c r="B64" s="169" t="s">
        <v>316</v>
      </c>
      <c r="C64" s="169" t="s">
        <v>75</v>
      </c>
      <c r="D64" s="169" t="s">
        <v>95</v>
      </c>
      <c r="E64" s="169" t="s">
        <v>95</v>
      </c>
      <c r="F64" s="170">
        <v>45158.742164351854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2023-08-20T15:50:32Z</dcterms:modified>
</cp:coreProperties>
</file>