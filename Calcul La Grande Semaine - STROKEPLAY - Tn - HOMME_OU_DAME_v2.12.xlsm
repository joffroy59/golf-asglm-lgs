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0CA69000-7E1A-49A0-A257-E292D430891E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74" i="4" l="1"/>
  <c r="AK74" i="4" s="1"/>
  <c r="AD74" i="4"/>
  <c r="AJ74" i="4" s="1"/>
  <c r="AE139" i="4"/>
  <c r="AK139" i="4" s="1"/>
  <c r="AD139" i="4"/>
  <c r="AJ139" i="4" s="1"/>
  <c r="AK147" i="4"/>
  <c r="AJ147" i="4"/>
  <c r="AE147" i="4"/>
  <c r="AD147" i="4"/>
  <c r="AE60" i="4"/>
  <c r="AK60" i="4" s="1"/>
  <c r="AD60" i="4"/>
  <c r="AJ60" i="4" s="1"/>
  <c r="AE114" i="4"/>
  <c r="AK114" i="4" s="1"/>
  <c r="AD114" i="4"/>
  <c r="AJ114" i="4" s="1"/>
  <c r="AE72" i="4"/>
  <c r="AK72" i="4" s="1"/>
  <c r="AD72" i="4"/>
  <c r="AJ72" i="4" s="1"/>
  <c r="AE140" i="4"/>
  <c r="AK140" i="4" s="1"/>
  <c r="AD140" i="4"/>
  <c r="AJ140" i="4" s="1"/>
  <c r="AE142" i="4"/>
  <c r="AK142" i="4" s="1"/>
  <c r="AD142" i="4"/>
  <c r="AJ142" i="4" s="1"/>
  <c r="AK146" i="4"/>
  <c r="AJ146" i="4"/>
  <c r="AE146" i="4"/>
  <c r="AD146" i="4"/>
  <c r="AE143" i="4"/>
  <c r="AK143" i="4" s="1"/>
  <c r="AD143" i="4"/>
  <c r="AJ143" i="4" s="1"/>
  <c r="AE145" i="4"/>
  <c r="AK145" i="4" s="1"/>
  <c r="AD145" i="4"/>
  <c r="AJ145" i="4" s="1"/>
  <c r="AE76" i="4"/>
  <c r="AK76" i="4" s="1"/>
  <c r="AD76" i="4"/>
  <c r="AJ76" i="4" s="1"/>
  <c r="AE144" i="4"/>
  <c r="AK144" i="4" s="1"/>
  <c r="AD144" i="4"/>
  <c r="AJ144" i="4" s="1"/>
  <c r="AE116" i="4"/>
  <c r="AK116" i="4" s="1"/>
  <c r="AD116" i="4"/>
  <c r="AJ116" i="4" s="1"/>
  <c r="AK110" i="4"/>
  <c r="AJ110" i="4"/>
  <c r="AE110" i="4"/>
  <c r="AD110" i="4"/>
  <c r="AE69" i="4"/>
  <c r="AK69" i="4" s="1"/>
  <c r="AD69" i="4"/>
  <c r="AJ69" i="4" s="1"/>
  <c r="AE113" i="4"/>
  <c r="AK113" i="4" s="1"/>
  <c r="AD113" i="4"/>
  <c r="AJ113" i="4" s="1"/>
  <c r="AE66" i="4"/>
  <c r="AK66" i="4" s="1"/>
  <c r="AD66" i="4"/>
  <c r="AJ66" i="4" s="1"/>
  <c r="AE141" i="4"/>
  <c r="AK141" i="4" s="1"/>
  <c r="AD141" i="4"/>
  <c r="AJ141" i="4" s="1"/>
  <c r="AE65" i="4"/>
  <c r="AK65" i="4" s="1"/>
  <c r="AD65" i="4"/>
  <c r="AJ65" i="4" s="1"/>
  <c r="AK117" i="4"/>
  <c r="AJ117" i="4"/>
  <c r="AE117" i="4"/>
  <c r="AD117" i="4"/>
  <c r="AE137" i="4"/>
  <c r="AK137" i="4" s="1"/>
  <c r="AD137" i="4"/>
  <c r="AJ137" i="4" s="1"/>
  <c r="AE59" i="4"/>
  <c r="AK59" i="4" s="1"/>
  <c r="AD59" i="4"/>
  <c r="AJ59" i="4" s="1"/>
  <c r="AE119" i="4"/>
  <c r="AK119" i="4" s="1"/>
  <c r="AD119" i="4"/>
  <c r="AJ119" i="4" s="1"/>
  <c r="AE103" i="4"/>
  <c r="AK103" i="4" s="1"/>
  <c r="AD103" i="4"/>
  <c r="AJ103" i="4" s="1"/>
  <c r="AE70" i="4"/>
  <c r="AK70" i="4" s="1"/>
  <c r="AD70" i="4"/>
  <c r="AJ70" i="4" s="1"/>
  <c r="AK138" i="4"/>
  <c r="AJ138" i="4"/>
  <c r="AE138" i="4"/>
  <c r="AD138" i="4"/>
  <c r="AE136" i="4"/>
  <c r="AK136" i="4" s="1"/>
  <c r="AD136" i="4"/>
  <c r="AJ136" i="4" s="1"/>
  <c r="AE135" i="4"/>
  <c r="AK135" i="4" s="1"/>
  <c r="AD135" i="4"/>
  <c r="AJ135" i="4" s="1"/>
  <c r="AE89" i="4"/>
  <c r="AK89" i="4" s="1"/>
  <c r="AD89" i="4"/>
  <c r="AJ89" i="4" s="1"/>
  <c r="AE134" i="4"/>
  <c r="AK134" i="4" s="1"/>
  <c r="AD134" i="4"/>
  <c r="AJ134" i="4" s="1"/>
  <c r="AE133" i="4"/>
  <c r="AK133" i="4" s="1"/>
  <c r="AD133" i="4"/>
  <c r="AJ133" i="4" s="1"/>
  <c r="AK52" i="4"/>
  <c r="AJ52" i="4"/>
  <c r="AE52" i="4"/>
  <c r="AD52" i="4"/>
  <c r="AE45" i="4"/>
  <c r="AK45" i="4" s="1"/>
  <c r="AD45" i="4"/>
  <c r="AJ45" i="4" s="1"/>
  <c r="AE43" i="4"/>
  <c r="AK43" i="4" s="1"/>
  <c r="AD43" i="4"/>
  <c r="AJ43" i="4" s="1"/>
  <c r="AE51" i="4"/>
  <c r="AK51" i="4" s="1"/>
  <c r="AD51" i="4"/>
  <c r="AJ51" i="4" s="1"/>
  <c r="AE22" i="4"/>
  <c r="AK22" i="4" s="1"/>
  <c r="AD22" i="4"/>
  <c r="AJ22" i="4" s="1"/>
  <c r="AE54" i="4"/>
  <c r="AK54" i="4" s="1"/>
  <c r="AD54" i="4"/>
  <c r="AJ54" i="4" s="1"/>
  <c r="AK50" i="4"/>
  <c r="AJ50" i="4"/>
  <c r="AE50" i="4"/>
  <c r="AD50" i="4"/>
  <c r="AE94" i="4"/>
  <c r="AK94" i="4" s="1"/>
  <c r="AD94" i="4"/>
  <c r="AJ94" i="4" s="1"/>
  <c r="AE97" i="4"/>
  <c r="AK97" i="4" s="1"/>
  <c r="AD97" i="4"/>
  <c r="AJ97" i="4" s="1"/>
  <c r="AE132" i="4"/>
  <c r="AK132" i="4" s="1"/>
  <c r="AD132" i="4"/>
  <c r="AJ132" i="4" s="1"/>
  <c r="AE32" i="4"/>
  <c r="AK32" i="4" s="1"/>
  <c r="AD32" i="4"/>
  <c r="AJ32" i="4" s="1"/>
  <c r="AE38" i="4"/>
  <c r="AK38" i="4" s="1"/>
  <c r="AD38" i="4"/>
  <c r="AJ38" i="4" s="1"/>
  <c r="AK92" i="4"/>
  <c r="AJ92" i="4"/>
  <c r="AE92" i="4"/>
  <c r="AD92" i="4"/>
  <c r="AE129" i="4"/>
  <c r="AK129" i="4" s="1"/>
  <c r="AD129" i="4"/>
  <c r="AJ129" i="4" s="1"/>
  <c r="AE46" i="4"/>
  <c r="AK46" i="4" s="1"/>
  <c r="AD46" i="4"/>
  <c r="AJ46" i="4" s="1"/>
  <c r="AE47" i="4"/>
  <c r="AK47" i="4" s="1"/>
  <c r="AD47" i="4"/>
  <c r="AJ47" i="4" s="1"/>
  <c r="AE26" i="4"/>
  <c r="AK26" i="4" s="1"/>
  <c r="AD26" i="4"/>
  <c r="AJ26" i="4" s="1"/>
  <c r="AE90" i="4"/>
  <c r="AK90" i="4" s="1"/>
  <c r="AD90" i="4"/>
  <c r="AJ90" i="4" s="1"/>
  <c r="AK130" i="4"/>
  <c r="AJ130" i="4"/>
  <c r="AE130" i="4"/>
  <c r="AD130" i="4"/>
  <c r="AE53" i="4"/>
  <c r="AK53" i="4" s="1"/>
  <c r="AD53" i="4"/>
  <c r="AJ53" i="4" s="1"/>
  <c r="AE41" i="4"/>
  <c r="AK41" i="4" s="1"/>
  <c r="AD41" i="4"/>
  <c r="AJ41" i="4" s="1"/>
  <c r="AE83" i="4"/>
  <c r="AK83" i="4" s="1"/>
  <c r="AD83" i="4"/>
  <c r="AJ83" i="4" s="1"/>
  <c r="AE35" i="4"/>
  <c r="AK35" i="4" s="1"/>
  <c r="AD35" i="4"/>
  <c r="AJ35" i="4" s="1"/>
  <c r="AE131" i="4"/>
  <c r="AK131" i="4" s="1"/>
  <c r="AD131" i="4"/>
  <c r="AJ131" i="4" s="1"/>
  <c r="AK86" i="4"/>
  <c r="AJ86" i="4"/>
  <c r="AE86" i="4"/>
  <c r="AD86" i="4"/>
  <c r="AE37" i="4"/>
  <c r="AK37" i="4" s="1"/>
  <c r="AD37" i="4"/>
  <c r="AJ37" i="4" s="1"/>
  <c r="AE27" i="4"/>
  <c r="AK27" i="4" s="1"/>
  <c r="AD27" i="4"/>
  <c r="AJ27" i="4" s="1"/>
  <c r="AE99" i="4"/>
  <c r="AK99" i="4" s="1"/>
  <c r="AD99" i="4"/>
  <c r="AJ99" i="4" s="1"/>
  <c r="AE126" i="4"/>
  <c r="AK126" i="4" s="1"/>
  <c r="AD126" i="4"/>
  <c r="AJ126" i="4" s="1"/>
  <c r="AE127" i="4"/>
  <c r="AK127" i="4" s="1"/>
  <c r="AD127" i="4"/>
  <c r="AJ127" i="4" s="1"/>
  <c r="AK95" i="4"/>
  <c r="AJ95" i="4"/>
  <c r="AE95" i="4"/>
  <c r="AD95" i="4"/>
  <c r="AE40" i="4"/>
  <c r="AK40" i="4" s="1"/>
  <c r="AD40" i="4"/>
  <c r="AJ40" i="4" s="1"/>
  <c r="AE29" i="4"/>
  <c r="AK29" i="4" s="1"/>
  <c r="AD29" i="4"/>
  <c r="AJ29" i="4" s="1"/>
  <c r="AE39" i="4"/>
  <c r="AK39" i="4" s="1"/>
  <c r="AD39" i="4"/>
  <c r="AJ39" i="4" s="1"/>
  <c r="AE128" i="4"/>
  <c r="AK128" i="4" s="1"/>
  <c r="AD128" i="4"/>
  <c r="AJ128" i="4" s="1"/>
  <c r="AE24" i="4"/>
  <c r="AK24" i="4" s="1"/>
  <c r="AD24" i="4"/>
  <c r="AJ24" i="4" s="1"/>
  <c r="AK125" i="4"/>
  <c r="AJ125" i="4"/>
  <c r="AE125" i="4"/>
  <c r="AD125" i="4"/>
  <c r="AE14" i="4"/>
  <c r="AK14" i="4" s="1"/>
  <c r="AD14" i="4"/>
  <c r="AJ14" i="4" s="1"/>
  <c r="AE11" i="4"/>
  <c r="AK11" i="4" s="1"/>
  <c r="AD11" i="4"/>
  <c r="AJ11" i="4" s="1"/>
  <c r="AE124" i="4"/>
  <c r="AK124" i="4" s="1"/>
  <c r="AD124" i="4"/>
  <c r="AJ124" i="4" s="1"/>
  <c r="AE122" i="4"/>
  <c r="AK122" i="4" s="1"/>
  <c r="AD122" i="4"/>
  <c r="AJ122" i="4" s="1"/>
  <c r="AE13" i="4"/>
  <c r="AK13" i="4" s="1"/>
  <c r="AD13" i="4"/>
  <c r="AJ13" i="4" s="1"/>
  <c r="AK19" i="4"/>
  <c r="AJ19" i="4"/>
  <c r="AE19" i="4"/>
  <c r="AD19" i="4"/>
  <c r="AE123" i="4"/>
  <c r="AK123" i="4" s="1"/>
  <c r="AD123" i="4"/>
  <c r="AJ123" i="4" s="1"/>
  <c r="AE16" i="4"/>
  <c r="AK16" i="4" s="1"/>
  <c r="AD16" i="4"/>
  <c r="AJ16" i="4" s="1"/>
  <c r="AE6" i="4"/>
  <c r="AK6" i="4" s="1"/>
  <c r="AD6" i="4"/>
  <c r="AJ6" i="4" s="1"/>
  <c r="AE121" i="4"/>
  <c r="AK121" i="4" s="1"/>
  <c r="AD121" i="4"/>
  <c r="AJ121" i="4" s="1"/>
  <c r="AE118" i="4"/>
  <c r="AK118" i="4" s="1"/>
  <c r="AD118" i="4"/>
  <c r="AJ118" i="4" s="1"/>
  <c r="AK120" i="4"/>
  <c r="AJ120" i="4"/>
  <c r="AE120" i="4"/>
  <c r="AD120" i="4"/>
  <c r="AE73" i="4"/>
  <c r="AK73" i="4" s="1"/>
  <c r="AD73" i="4"/>
  <c r="AJ73" i="4" s="1"/>
  <c r="AE63" i="4"/>
  <c r="AK63" i="4" s="1"/>
  <c r="AD63" i="4"/>
  <c r="AJ63" i="4" s="1"/>
  <c r="AE67" i="4"/>
  <c r="AK67" i="4" s="1"/>
  <c r="AD67" i="4"/>
  <c r="AJ67" i="4" s="1"/>
  <c r="AE58" i="4"/>
  <c r="AK58" i="4" s="1"/>
  <c r="AD58" i="4"/>
  <c r="AJ58" i="4" s="1"/>
  <c r="AE64" i="4"/>
  <c r="AK64" i="4" s="1"/>
  <c r="AD64" i="4"/>
  <c r="AJ64" i="4" s="1"/>
  <c r="AK68" i="4"/>
  <c r="AJ68" i="4"/>
  <c r="AE68" i="4"/>
  <c r="AD68" i="4"/>
  <c r="AE109" i="4"/>
  <c r="AK109" i="4" s="1"/>
  <c r="AD109" i="4"/>
  <c r="AJ109" i="4" s="1"/>
  <c r="AE115" i="4"/>
  <c r="AK115" i="4" s="1"/>
  <c r="AD115" i="4"/>
  <c r="AJ115" i="4" s="1"/>
  <c r="AE112" i="4"/>
  <c r="AK112" i="4" s="1"/>
  <c r="AD112" i="4"/>
  <c r="AJ112" i="4" s="1"/>
  <c r="AE105" i="4"/>
  <c r="AK105" i="4" s="1"/>
  <c r="AD105" i="4"/>
  <c r="AJ105" i="4" s="1"/>
  <c r="AE61" i="4"/>
  <c r="AK61" i="4" s="1"/>
  <c r="AD61" i="4"/>
  <c r="AJ61" i="4" s="1"/>
  <c r="AK57" i="4"/>
  <c r="AJ57" i="4"/>
  <c r="AE57" i="4"/>
  <c r="AD57" i="4"/>
  <c r="AE101" i="4"/>
  <c r="AK101" i="4" s="1"/>
  <c r="AD101" i="4"/>
  <c r="AJ101" i="4" s="1"/>
  <c r="AE104" i="4"/>
  <c r="AK104" i="4" s="1"/>
  <c r="AD104" i="4"/>
  <c r="AJ104" i="4" s="1"/>
  <c r="AE71" i="4"/>
  <c r="AK71" i="4" s="1"/>
  <c r="AD71" i="4"/>
  <c r="AJ71" i="4" s="1"/>
  <c r="AE111" i="4"/>
  <c r="AK111" i="4" s="1"/>
  <c r="AD111" i="4"/>
  <c r="AJ111" i="4" s="1"/>
  <c r="AE107" i="4"/>
  <c r="AK107" i="4" s="1"/>
  <c r="AD107" i="4"/>
  <c r="AJ107" i="4" s="1"/>
  <c r="AK75" i="4"/>
  <c r="AJ75" i="4"/>
  <c r="AE75" i="4"/>
  <c r="AD75" i="4"/>
  <c r="AE108" i="4"/>
  <c r="AK108" i="4" s="1"/>
  <c r="AD108" i="4"/>
  <c r="AJ108" i="4" s="1"/>
  <c r="AE106" i="4"/>
  <c r="AK106" i="4" s="1"/>
  <c r="AD106" i="4"/>
  <c r="AJ106" i="4" s="1"/>
  <c r="AE102" i="4"/>
  <c r="AK102" i="4" s="1"/>
  <c r="AD102" i="4"/>
  <c r="AJ102" i="4" s="1"/>
  <c r="AE100" i="4"/>
  <c r="AK100" i="4" s="1"/>
  <c r="AD100" i="4"/>
  <c r="AJ100" i="4" s="1"/>
  <c r="AE21" i="4"/>
  <c r="AK21" i="4" s="1"/>
  <c r="AD21" i="4"/>
  <c r="AJ21" i="4" s="1"/>
  <c r="AK44" i="4"/>
  <c r="AJ44" i="4"/>
  <c r="AE44" i="4"/>
  <c r="AD44" i="4"/>
  <c r="AE93" i="4"/>
  <c r="AK93" i="4" s="1"/>
  <c r="AD93" i="4"/>
  <c r="AJ93" i="4" s="1"/>
  <c r="AE98" i="4"/>
  <c r="AK98" i="4" s="1"/>
  <c r="AD98" i="4"/>
  <c r="AJ98" i="4" s="1"/>
  <c r="AE96" i="4"/>
  <c r="AK96" i="4" s="1"/>
  <c r="AD96" i="4"/>
  <c r="AJ96" i="4" s="1"/>
  <c r="AE31" i="4"/>
  <c r="AK31" i="4" s="1"/>
  <c r="AD31" i="4"/>
  <c r="AJ31" i="4" s="1"/>
  <c r="AE55" i="4"/>
  <c r="AK55" i="4" s="1"/>
  <c r="AD55" i="4"/>
  <c r="AJ55" i="4" s="1"/>
  <c r="AK36" i="4"/>
  <c r="AJ36" i="4"/>
  <c r="AE36" i="4"/>
  <c r="AD36" i="4"/>
  <c r="AE88" i="4"/>
  <c r="AK88" i="4" s="1"/>
  <c r="AD88" i="4"/>
  <c r="AJ88" i="4" s="1"/>
  <c r="AE91" i="4"/>
  <c r="AK91" i="4" s="1"/>
  <c r="AD91" i="4"/>
  <c r="AJ91" i="4" s="1"/>
  <c r="AE34" i="4"/>
  <c r="AK34" i="4" s="1"/>
  <c r="AD34" i="4"/>
  <c r="AJ34" i="4" s="1"/>
  <c r="AE85" i="4"/>
  <c r="AK85" i="4" s="1"/>
  <c r="AD85" i="4"/>
  <c r="AJ85" i="4" s="1"/>
  <c r="AE84" i="4"/>
  <c r="AK84" i="4" s="1"/>
  <c r="AD84" i="4"/>
  <c r="AJ84" i="4" s="1"/>
  <c r="AK87" i="4"/>
  <c r="AJ87" i="4"/>
  <c r="AE87" i="4"/>
  <c r="AD87" i="4"/>
  <c r="AE25" i="4"/>
  <c r="AK25" i="4" s="1"/>
  <c r="AD25" i="4"/>
  <c r="AJ25" i="4" s="1"/>
  <c r="AE30" i="4"/>
  <c r="AK30" i="4" s="1"/>
  <c r="AD30" i="4"/>
  <c r="AJ30" i="4" s="1"/>
  <c r="AE9" i="4"/>
  <c r="AK9" i="4" s="1"/>
  <c r="AD9" i="4"/>
  <c r="AJ9" i="4" s="1"/>
  <c r="AE81" i="4"/>
  <c r="AK81" i="4" s="1"/>
  <c r="AD81" i="4"/>
  <c r="AJ81" i="4" s="1"/>
  <c r="AE4" i="4"/>
  <c r="AK4" i="4" s="1"/>
  <c r="AD4" i="4"/>
  <c r="AJ4" i="4" s="1"/>
  <c r="AK15" i="4"/>
  <c r="AJ15" i="4"/>
  <c r="AE15" i="4"/>
  <c r="AD15" i="4"/>
  <c r="AE79" i="4"/>
  <c r="AK79" i="4" s="1"/>
  <c r="AD79" i="4"/>
  <c r="AJ79" i="4" s="1"/>
  <c r="AE80" i="4"/>
  <c r="AK80" i="4" s="1"/>
  <c r="AD80" i="4"/>
  <c r="AJ80" i="4" s="1"/>
  <c r="AE78" i="4"/>
  <c r="AK78" i="4" s="1"/>
  <c r="AD78" i="4"/>
  <c r="AJ78" i="4" s="1"/>
  <c r="AE17" i="4"/>
  <c r="AK17" i="4" s="1"/>
  <c r="AD17" i="4"/>
  <c r="AJ17" i="4" s="1"/>
  <c r="AE82" i="4"/>
  <c r="AK82" i="4" s="1"/>
  <c r="AD82" i="4"/>
  <c r="AJ82" i="4" s="1"/>
  <c r="AK20" i="4"/>
  <c r="AJ20" i="4"/>
  <c r="AE20" i="4"/>
  <c r="AD20" i="4"/>
  <c r="AE5" i="4"/>
  <c r="AK5" i="4" s="1"/>
  <c r="AD5" i="4"/>
  <c r="AJ5" i="4" s="1"/>
  <c r="AE12" i="4"/>
  <c r="AK12" i="4" s="1"/>
  <c r="AD12" i="4"/>
  <c r="AJ12" i="4" s="1"/>
  <c r="AE77" i="4"/>
  <c r="AK77" i="4" s="1"/>
  <c r="AD77" i="4"/>
  <c r="AJ77" i="4" s="1"/>
  <c r="AE62" i="4"/>
  <c r="AK62" i="4" s="1"/>
  <c r="AD62" i="4"/>
  <c r="AJ62" i="4" s="1"/>
  <c r="AE56" i="4"/>
  <c r="AK56" i="4" s="1"/>
  <c r="AD56" i="4"/>
  <c r="AJ56" i="4" s="1"/>
  <c r="AK48" i="4"/>
  <c r="AJ48" i="4"/>
  <c r="AE48" i="4"/>
  <c r="AD48" i="4"/>
  <c r="AE49" i="4"/>
  <c r="AK49" i="4" s="1"/>
  <c r="AD49" i="4"/>
  <c r="AJ49" i="4" s="1"/>
  <c r="AE42" i="4"/>
  <c r="AK42" i="4" s="1"/>
  <c r="AD42" i="4"/>
  <c r="AJ42" i="4" s="1"/>
  <c r="AE33" i="4"/>
  <c r="AK33" i="4" s="1"/>
  <c r="AD33" i="4"/>
  <c r="AJ33" i="4" s="1"/>
  <c r="AE28" i="4"/>
  <c r="AK28" i="4" s="1"/>
  <c r="AD28" i="4"/>
  <c r="AJ28" i="4" s="1"/>
  <c r="AE23" i="4"/>
  <c r="AK23" i="4" s="1"/>
  <c r="AD23" i="4"/>
  <c r="AJ23" i="4" s="1"/>
  <c r="AK18" i="4"/>
  <c r="AJ18" i="4"/>
  <c r="AE18" i="4"/>
  <c r="AD18" i="4"/>
  <c r="AE8" i="4"/>
  <c r="AK8" i="4" s="1"/>
  <c r="AD8" i="4"/>
  <c r="AJ8" i="4" s="1"/>
  <c r="AE10" i="4"/>
  <c r="AK10" i="4" s="1"/>
  <c r="AD10" i="4"/>
  <c r="AJ10" i="4" s="1"/>
  <c r="AE7" i="4"/>
  <c r="AK7" i="4" s="1"/>
  <c r="AD7" i="4"/>
  <c r="AJ7" i="4" s="1"/>
  <c r="AE30" i="5"/>
  <c r="AK30" i="5" s="1"/>
  <c r="AD30" i="5"/>
  <c r="AJ30" i="5" s="1"/>
  <c r="AE24" i="5"/>
  <c r="AK24" i="5" s="1"/>
  <c r="AD24" i="5"/>
  <c r="AJ24" i="5" s="1"/>
  <c r="AJ12" i="5"/>
  <c r="AE12" i="5"/>
  <c r="AK12" i="5" s="1"/>
  <c r="AD12" i="5"/>
  <c r="AE29" i="5"/>
  <c r="AK29" i="5" s="1"/>
  <c r="AD29" i="5"/>
  <c r="AJ29" i="5" s="1"/>
  <c r="AE23" i="5"/>
  <c r="AK23" i="5" s="1"/>
  <c r="AD23" i="5"/>
  <c r="AJ23" i="5" s="1"/>
  <c r="AE10" i="5"/>
  <c r="AK10" i="5" s="1"/>
  <c r="AD10" i="5"/>
  <c r="AJ10" i="5" s="1"/>
  <c r="AE8" i="5"/>
  <c r="AK8" i="5" s="1"/>
  <c r="AD8" i="5"/>
  <c r="AJ8" i="5" s="1"/>
  <c r="AE5" i="5"/>
  <c r="AK5" i="5" s="1"/>
  <c r="AD5" i="5"/>
  <c r="AJ5" i="5" s="1"/>
  <c r="AJ18" i="5"/>
  <c r="AE18" i="5"/>
  <c r="AK18" i="5" s="1"/>
  <c r="AD18" i="5"/>
  <c r="AE28" i="5"/>
  <c r="AK28" i="5" s="1"/>
  <c r="AD28" i="5"/>
  <c r="AJ28" i="5" s="1"/>
  <c r="AE25" i="5"/>
  <c r="AK25" i="5" s="1"/>
  <c r="AD25" i="5"/>
  <c r="AJ25" i="5" s="1"/>
  <c r="AE17" i="5"/>
  <c r="AK17" i="5" s="1"/>
  <c r="AD17" i="5"/>
  <c r="AJ17" i="5" s="1"/>
  <c r="AE27" i="5"/>
  <c r="AK27" i="5" s="1"/>
  <c r="AD27" i="5"/>
  <c r="AJ27" i="5" s="1"/>
  <c r="AE13" i="5"/>
  <c r="AK13" i="5" s="1"/>
  <c r="AD13" i="5"/>
  <c r="AJ13" i="5" s="1"/>
  <c r="AJ14" i="5"/>
  <c r="AE14" i="5"/>
  <c r="AK14" i="5" s="1"/>
  <c r="AD14" i="5"/>
  <c r="AE19" i="5"/>
  <c r="AK19" i="5" s="1"/>
  <c r="AD19" i="5"/>
  <c r="AJ19" i="5" s="1"/>
  <c r="AE26" i="5"/>
  <c r="AK26" i="5" s="1"/>
  <c r="AD26" i="5"/>
  <c r="AJ26" i="5" s="1"/>
  <c r="AE15" i="5"/>
  <c r="AK15" i="5" s="1"/>
  <c r="AD15" i="5"/>
  <c r="AJ15" i="5" s="1"/>
  <c r="AE16" i="5"/>
  <c r="AK16" i="5" s="1"/>
  <c r="AD16" i="5"/>
  <c r="AJ16" i="5" s="1"/>
  <c r="AE11" i="5"/>
  <c r="AK11" i="5" s="1"/>
  <c r="AD11" i="5"/>
  <c r="AJ11" i="5" s="1"/>
  <c r="AJ7" i="5"/>
  <c r="AE7" i="5"/>
  <c r="AK7" i="5" s="1"/>
  <c r="AD7" i="5"/>
  <c r="AE6" i="5"/>
  <c r="AK6" i="5" s="1"/>
  <c r="AD6" i="5"/>
  <c r="AJ6" i="5" s="1"/>
  <c r="AE9" i="5"/>
  <c r="AK9" i="5" s="1"/>
  <c r="AD9" i="5"/>
  <c r="AJ9" i="5" s="1"/>
  <c r="AE22" i="5"/>
  <c r="AK22" i="5" s="1"/>
  <c r="AD22" i="5"/>
  <c r="AJ22" i="5" s="1"/>
  <c r="AE4" i="5"/>
  <c r="AK4" i="5" s="1"/>
  <c r="AD4" i="5"/>
  <c r="AJ4" i="5" s="1"/>
  <c r="AE21" i="5"/>
  <c r="AK21" i="5" s="1"/>
  <c r="AD21" i="5"/>
  <c r="AJ21" i="5" s="1"/>
  <c r="AJ20" i="5"/>
  <c r="AE20" i="5"/>
  <c r="AK20" i="5" s="1"/>
  <c r="AD20" i="5"/>
  <c r="AE180" i="4"/>
  <c r="AK180" i="4" s="1"/>
  <c r="AD180" i="4"/>
  <c r="AJ180" i="4" s="1"/>
  <c r="AE153" i="4"/>
  <c r="AK153" i="4" s="1"/>
  <c r="AD153" i="4"/>
  <c r="AJ153" i="4" s="1"/>
  <c r="AE162" i="4"/>
  <c r="AK162" i="4" s="1"/>
  <c r="AD162" i="4"/>
  <c r="AJ162" i="4" s="1"/>
  <c r="AE158" i="4"/>
  <c r="AK158" i="4" s="1"/>
  <c r="AD158" i="4"/>
  <c r="AJ158" i="4" s="1"/>
  <c r="AE176" i="4"/>
  <c r="AK176" i="4" s="1"/>
  <c r="AD176" i="4"/>
  <c r="AJ176" i="4" s="1"/>
  <c r="AJ175" i="4"/>
  <c r="AE175" i="4"/>
  <c r="AK175" i="4" s="1"/>
  <c r="AD175" i="4"/>
  <c r="AE155" i="4"/>
  <c r="AK155" i="4" s="1"/>
  <c r="AD155" i="4"/>
  <c r="AJ155" i="4" s="1"/>
  <c r="AE179" i="4"/>
  <c r="AK179" i="4" s="1"/>
  <c r="AD179" i="4"/>
  <c r="AJ179" i="4" s="1"/>
  <c r="AK178" i="4"/>
  <c r="AE178" i="4"/>
  <c r="AD178" i="4"/>
  <c r="AJ178" i="4" s="1"/>
  <c r="AE168" i="4"/>
  <c r="AK168" i="4" s="1"/>
  <c r="AD168" i="4"/>
  <c r="AJ168" i="4" s="1"/>
  <c r="AE174" i="4"/>
  <c r="AK174" i="4" s="1"/>
  <c r="AD174" i="4"/>
  <c r="AJ174" i="4" s="1"/>
  <c r="AE177" i="4"/>
  <c r="AK177" i="4" s="1"/>
  <c r="AD177" i="4"/>
  <c r="AJ177" i="4" s="1"/>
  <c r="AE173" i="4"/>
  <c r="AK173" i="4" s="1"/>
  <c r="AD173" i="4"/>
  <c r="AJ173" i="4" s="1"/>
  <c r="AK172" i="4"/>
  <c r="AJ172" i="4"/>
  <c r="AE172" i="4"/>
  <c r="AD172" i="4"/>
  <c r="AE166" i="4"/>
  <c r="AK166" i="4" s="1"/>
  <c r="AD166" i="4"/>
  <c r="AJ166" i="4" s="1"/>
  <c r="AE165" i="4"/>
  <c r="AK165" i="4" s="1"/>
  <c r="AD165" i="4"/>
  <c r="AJ165" i="4" s="1"/>
  <c r="AE33" i="5"/>
  <c r="AK33" i="5" s="1"/>
  <c r="AD33" i="5"/>
  <c r="AJ33" i="5" s="1"/>
  <c r="AE31" i="5"/>
  <c r="AK31" i="5" s="1"/>
  <c r="AD31" i="5"/>
  <c r="AJ31" i="5" s="1"/>
  <c r="AE160" i="4"/>
  <c r="AK160" i="4" s="1"/>
  <c r="AD160" i="4"/>
  <c r="AJ160" i="4" s="1"/>
  <c r="AE159" i="4"/>
  <c r="AK159" i="4" s="1"/>
  <c r="AD159" i="4"/>
  <c r="AJ159" i="4" s="1"/>
  <c r="AE148" i="4"/>
  <c r="AK148" i="4" s="1"/>
  <c r="AD148" i="4"/>
  <c r="AJ148" i="4" s="1"/>
  <c r="AE170" i="4"/>
  <c r="AK170" i="4" s="1"/>
  <c r="AD170" i="4"/>
  <c r="AJ170" i="4" s="1"/>
  <c r="AE154" i="4"/>
  <c r="AK154" i="4" s="1"/>
  <c r="AD154" i="4"/>
  <c r="AJ154" i="4" s="1"/>
  <c r="AE171" i="4"/>
  <c r="AK171" i="4" s="1"/>
  <c r="AD171" i="4"/>
  <c r="AJ171" i="4" s="1"/>
  <c r="AE163" i="4"/>
  <c r="AK163" i="4" s="1"/>
  <c r="AD163" i="4"/>
  <c r="AJ163" i="4" s="1"/>
  <c r="AE156" i="4"/>
  <c r="AK156" i="4" s="1"/>
  <c r="AD156" i="4"/>
  <c r="AJ156" i="4" s="1"/>
  <c r="AE169" i="4"/>
  <c r="AK169" i="4" s="1"/>
  <c r="AD169" i="4"/>
  <c r="AJ169" i="4" s="1"/>
  <c r="AE167" i="4"/>
  <c r="AK167" i="4" s="1"/>
  <c r="AD167" i="4"/>
  <c r="AJ167" i="4" s="1"/>
  <c r="AE164" i="4"/>
  <c r="AK164" i="4" s="1"/>
  <c r="AD164" i="4"/>
  <c r="AJ164" i="4" s="1"/>
  <c r="AE161" i="4"/>
  <c r="AK161" i="4" s="1"/>
  <c r="AD161" i="4"/>
  <c r="AJ161" i="4" s="1"/>
  <c r="AE157" i="4"/>
  <c r="AK157" i="4" s="1"/>
  <c r="AD157" i="4"/>
  <c r="AJ157" i="4" s="1"/>
  <c r="AE152" i="4"/>
  <c r="AK152" i="4" s="1"/>
  <c r="AD152" i="4"/>
  <c r="AJ152" i="4" s="1"/>
  <c r="AE149" i="4"/>
  <c r="AK149" i="4" s="1"/>
  <c r="AD149" i="4"/>
  <c r="AJ149" i="4" s="1"/>
  <c r="AE151" i="4"/>
  <c r="AK151" i="4" s="1"/>
  <c r="AD151" i="4"/>
  <c r="AJ151" i="4" s="1"/>
  <c r="AE150" i="4"/>
  <c r="AK150" i="4" s="1"/>
  <c r="AD150" i="4"/>
  <c r="AJ150" i="4" s="1"/>
  <c r="AE32" i="5"/>
  <c r="AK32" i="5" s="1"/>
  <c r="AD32" i="5"/>
  <c r="AJ32" i="5" s="1"/>
  <c r="AE350" i="5"/>
  <c r="AK350" i="5" s="1"/>
  <c r="AD350" i="5"/>
  <c r="AJ350" i="5" s="1"/>
  <c r="AE349" i="5"/>
  <c r="AK349" i="5" s="1"/>
  <c r="AD349" i="5"/>
  <c r="AJ349" i="5" s="1"/>
  <c r="AE348" i="5"/>
  <c r="AK348" i="5" s="1"/>
  <c r="AD348" i="5"/>
  <c r="AJ348" i="5" s="1"/>
  <c r="AE347" i="5"/>
  <c r="AK347" i="5" s="1"/>
  <c r="AD347" i="5"/>
  <c r="AJ347" i="5" s="1"/>
  <c r="AE346" i="5"/>
  <c r="AK346" i="5" s="1"/>
  <c r="AD346" i="5"/>
  <c r="AJ346" i="5" s="1"/>
  <c r="AE345" i="5"/>
  <c r="AK345" i="5" s="1"/>
  <c r="AD345" i="5"/>
  <c r="AJ345" i="5" s="1"/>
  <c r="AE344" i="5"/>
  <c r="AK344" i="5" s="1"/>
  <c r="AD344" i="5"/>
  <c r="AJ344" i="5" s="1"/>
  <c r="AE343" i="5"/>
  <c r="AK343" i="5" s="1"/>
  <c r="AD343" i="5"/>
  <c r="AJ343" i="5" s="1"/>
  <c r="AE342" i="5"/>
  <c r="AK342" i="5" s="1"/>
  <c r="AD342" i="5"/>
  <c r="AJ342" i="5" s="1"/>
  <c r="AE341" i="5"/>
  <c r="AK341" i="5" s="1"/>
  <c r="AD341" i="5"/>
  <c r="AJ341" i="5" s="1"/>
  <c r="AE340" i="5"/>
  <c r="AK340" i="5" s="1"/>
  <c r="AD340" i="5"/>
  <c r="AJ340" i="5" s="1"/>
  <c r="AE339" i="5"/>
  <c r="AK339" i="5" s="1"/>
  <c r="AD339" i="5"/>
  <c r="AJ339" i="5" s="1"/>
  <c r="AE338" i="5"/>
  <c r="AK338" i="5" s="1"/>
  <c r="AD338" i="5"/>
  <c r="AJ338" i="5" s="1"/>
  <c r="AE337" i="5"/>
  <c r="AK337" i="5" s="1"/>
  <c r="AD337" i="5"/>
  <c r="AJ337" i="5" s="1"/>
  <c r="AE336" i="5"/>
  <c r="AK336" i="5" s="1"/>
  <c r="AD336" i="5"/>
  <c r="AJ336" i="5" s="1"/>
  <c r="AE335" i="5"/>
  <c r="AK335" i="5" s="1"/>
  <c r="AD335" i="5"/>
  <c r="AJ335" i="5" s="1"/>
  <c r="AE334" i="5"/>
  <c r="AK334" i="5" s="1"/>
  <c r="AD334" i="5"/>
  <c r="AJ334" i="5" s="1"/>
  <c r="AE333" i="5"/>
  <c r="AK333" i="5" s="1"/>
  <c r="AD333" i="5"/>
  <c r="AJ333" i="5" s="1"/>
  <c r="AE332" i="5"/>
  <c r="AK332" i="5" s="1"/>
  <c r="AD332" i="5"/>
  <c r="AJ332" i="5" s="1"/>
  <c r="AE331" i="5"/>
  <c r="AK331" i="5" s="1"/>
  <c r="AD331" i="5"/>
  <c r="AJ331" i="5" s="1"/>
  <c r="AE330" i="5"/>
  <c r="AK330" i="5" s="1"/>
  <c r="AD330" i="5"/>
  <c r="AJ330" i="5" s="1"/>
  <c r="AE329" i="5"/>
  <c r="AK329" i="5" s="1"/>
  <c r="AD329" i="5"/>
  <c r="AJ329" i="5" s="1"/>
  <c r="AE328" i="5"/>
  <c r="AK328" i="5" s="1"/>
  <c r="AD328" i="5"/>
  <c r="AJ328" i="5" s="1"/>
  <c r="AE327" i="5"/>
  <c r="AK327" i="5" s="1"/>
  <c r="AD327" i="5"/>
  <c r="AJ327" i="5" s="1"/>
  <c r="AE326" i="5"/>
  <c r="AK326" i="5" s="1"/>
  <c r="AD326" i="5"/>
  <c r="AJ326" i="5" s="1"/>
  <c r="AE325" i="5"/>
  <c r="AK325" i="5" s="1"/>
  <c r="AD325" i="5"/>
  <c r="AJ325" i="5" s="1"/>
  <c r="AE324" i="5"/>
  <c r="AK324" i="5" s="1"/>
  <c r="AD324" i="5"/>
  <c r="AJ324" i="5" s="1"/>
  <c r="AE323" i="5"/>
  <c r="AK323" i="5" s="1"/>
  <c r="AD323" i="5"/>
  <c r="AJ323" i="5" s="1"/>
  <c r="AE322" i="5"/>
  <c r="AK322" i="5" s="1"/>
  <c r="AD322" i="5"/>
  <c r="AJ322" i="5" s="1"/>
  <c r="AE321" i="5"/>
  <c r="AK321" i="5" s="1"/>
  <c r="AD321" i="5"/>
  <c r="AJ321" i="5" s="1"/>
  <c r="AE320" i="5"/>
  <c r="AK320" i="5" s="1"/>
  <c r="AD320" i="5"/>
  <c r="AJ320" i="5" s="1"/>
  <c r="AE319" i="5"/>
  <c r="AK319" i="5" s="1"/>
  <c r="AD319" i="5"/>
  <c r="AJ319" i="5" s="1"/>
  <c r="AE318" i="5"/>
  <c r="AK318" i="5" s="1"/>
  <c r="AD318" i="5"/>
  <c r="AJ318" i="5" s="1"/>
  <c r="AE317" i="5"/>
  <c r="AK317" i="5" s="1"/>
  <c r="AD317" i="5"/>
  <c r="AJ317" i="5" s="1"/>
  <c r="AE316" i="5"/>
  <c r="AK316" i="5" s="1"/>
  <c r="AD316" i="5"/>
  <c r="AJ316" i="5" s="1"/>
  <c r="AE315" i="5"/>
  <c r="AK315" i="5" s="1"/>
  <c r="AD315" i="5"/>
  <c r="AJ315" i="5" s="1"/>
  <c r="AE314" i="5"/>
  <c r="AK314" i="5" s="1"/>
  <c r="AD314" i="5"/>
  <c r="AJ314" i="5" s="1"/>
  <c r="AE313" i="5"/>
  <c r="AK313" i="5" s="1"/>
  <c r="AD313" i="5"/>
  <c r="AJ313" i="5" s="1"/>
  <c r="AE312" i="5"/>
  <c r="AK312" i="5" s="1"/>
  <c r="AD312" i="5"/>
  <c r="AJ312" i="5" s="1"/>
  <c r="AE311" i="5"/>
  <c r="AK311" i="5" s="1"/>
  <c r="AD311" i="5"/>
  <c r="AJ311" i="5" s="1"/>
  <c r="AE310" i="5"/>
  <c r="AK310" i="5" s="1"/>
  <c r="AD310" i="5"/>
  <c r="AJ310" i="5" s="1"/>
  <c r="AE309" i="5"/>
  <c r="AK309" i="5" s="1"/>
  <c r="AD309" i="5"/>
  <c r="AJ309" i="5" s="1"/>
  <c r="AE308" i="5"/>
  <c r="AK308" i="5" s="1"/>
  <c r="AD308" i="5"/>
  <c r="AJ308" i="5" s="1"/>
  <c r="AE307" i="5"/>
  <c r="AK307" i="5" s="1"/>
  <c r="AD307" i="5"/>
  <c r="AJ307" i="5" s="1"/>
  <c r="AE306" i="5"/>
  <c r="AK306" i="5" s="1"/>
  <c r="AD306" i="5"/>
  <c r="AJ306" i="5" s="1"/>
  <c r="AE305" i="5"/>
  <c r="AK305" i="5" s="1"/>
  <c r="AD305" i="5"/>
  <c r="AJ305" i="5" s="1"/>
  <c r="AE304" i="5"/>
  <c r="AK304" i="5" s="1"/>
  <c r="AD304" i="5"/>
  <c r="AJ304" i="5" s="1"/>
  <c r="AE303" i="5"/>
  <c r="AK303" i="5" s="1"/>
  <c r="AD303" i="5"/>
  <c r="AJ303" i="5" s="1"/>
  <c r="AE302" i="5"/>
  <c r="AK302" i="5" s="1"/>
  <c r="AD302" i="5"/>
  <c r="AJ302" i="5" s="1"/>
  <c r="AE301" i="5"/>
  <c r="AK301" i="5" s="1"/>
  <c r="AD301" i="5"/>
  <c r="AJ301" i="5" s="1"/>
  <c r="AE300" i="5"/>
  <c r="AK300" i="5" s="1"/>
  <c r="AD300" i="5"/>
  <c r="AJ300" i="5" s="1"/>
  <c r="AE299" i="5"/>
  <c r="AK299" i="5" s="1"/>
  <c r="AD299" i="5"/>
  <c r="AJ299" i="5" s="1"/>
  <c r="AE298" i="5"/>
  <c r="AK298" i="5" s="1"/>
  <c r="AD298" i="5"/>
  <c r="AJ298" i="5" s="1"/>
  <c r="AE297" i="5"/>
  <c r="AK297" i="5" s="1"/>
  <c r="AD297" i="5"/>
  <c r="AJ297" i="5" s="1"/>
  <c r="AE296" i="5"/>
  <c r="AK296" i="5" s="1"/>
  <c r="AD296" i="5"/>
  <c r="AJ296" i="5" s="1"/>
  <c r="AE295" i="5"/>
  <c r="AK295" i="5" s="1"/>
  <c r="AD295" i="5"/>
  <c r="AJ295" i="5" s="1"/>
  <c r="AE294" i="5"/>
  <c r="AK294" i="5" s="1"/>
  <c r="AD294" i="5"/>
  <c r="AJ294" i="5" s="1"/>
  <c r="AE293" i="5"/>
  <c r="AK293" i="5" s="1"/>
  <c r="AD293" i="5"/>
  <c r="AJ293" i="5" s="1"/>
  <c r="AE292" i="5"/>
  <c r="AK292" i="5" s="1"/>
  <c r="AD292" i="5"/>
  <c r="AJ292" i="5" s="1"/>
  <c r="AE291" i="5"/>
  <c r="AK291" i="5" s="1"/>
  <c r="AD291" i="5"/>
  <c r="AJ291" i="5" s="1"/>
  <c r="AE290" i="5"/>
  <c r="AK290" i="5" s="1"/>
  <c r="AD290" i="5"/>
  <c r="AJ290" i="5" s="1"/>
  <c r="AE289" i="5"/>
  <c r="AK289" i="5" s="1"/>
  <c r="AD289" i="5"/>
  <c r="AJ289" i="5" s="1"/>
  <c r="AE288" i="5"/>
  <c r="AK288" i="5" s="1"/>
  <c r="AD288" i="5"/>
  <c r="AJ288" i="5" s="1"/>
  <c r="AE287" i="5"/>
  <c r="AK287" i="5" s="1"/>
  <c r="AD287" i="5"/>
  <c r="AJ287" i="5" s="1"/>
  <c r="AE286" i="5"/>
  <c r="AK286" i="5" s="1"/>
  <c r="AD286" i="5"/>
  <c r="AJ286" i="5" s="1"/>
  <c r="AE285" i="5"/>
  <c r="AK285" i="5" s="1"/>
  <c r="AD285" i="5"/>
  <c r="AJ285" i="5" s="1"/>
  <c r="AE284" i="5"/>
  <c r="AK284" i="5" s="1"/>
  <c r="AD284" i="5"/>
  <c r="AJ284" i="5" s="1"/>
  <c r="AE283" i="5"/>
  <c r="AK283" i="5" s="1"/>
  <c r="AD283" i="5"/>
  <c r="AJ283" i="5" s="1"/>
  <c r="AE282" i="5"/>
  <c r="AK282" i="5" s="1"/>
  <c r="AD282" i="5"/>
  <c r="AJ282" i="5" s="1"/>
  <c r="AE281" i="5"/>
  <c r="AK281" i="5" s="1"/>
  <c r="AD281" i="5"/>
  <c r="AJ281" i="5" s="1"/>
  <c r="AE280" i="5"/>
  <c r="AK280" i="5" s="1"/>
  <c r="AD280" i="5"/>
  <c r="AJ280" i="5" s="1"/>
  <c r="AE279" i="5"/>
  <c r="AK279" i="5" s="1"/>
  <c r="AD279" i="5"/>
  <c r="AJ279" i="5" s="1"/>
  <c r="AE278" i="5"/>
  <c r="AK278" i="5" s="1"/>
  <c r="AD278" i="5"/>
  <c r="AJ278" i="5" s="1"/>
  <c r="AE277" i="5"/>
  <c r="AK277" i="5" s="1"/>
  <c r="AD277" i="5"/>
  <c r="AJ277" i="5" s="1"/>
  <c r="AE276" i="5"/>
  <c r="AK276" i="5" s="1"/>
  <c r="AD276" i="5"/>
  <c r="AJ276" i="5" s="1"/>
  <c r="AE275" i="5"/>
  <c r="AK275" i="5" s="1"/>
  <c r="AD275" i="5"/>
  <c r="AJ275" i="5" s="1"/>
  <c r="AE274" i="5"/>
  <c r="AK274" i="5" s="1"/>
  <c r="AD274" i="5"/>
  <c r="AJ274" i="5" s="1"/>
  <c r="AE273" i="5"/>
  <c r="AK273" i="5" s="1"/>
  <c r="AD273" i="5"/>
  <c r="AJ273" i="5" s="1"/>
  <c r="AE272" i="5"/>
  <c r="AK272" i="5" s="1"/>
  <c r="AD272" i="5"/>
  <c r="AJ272" i="5" s="1"/>
  <c r="AE271" i="5"/>
  <c r="AK271" i="5" s="1"/>
  <c r="AD271" i="5"/>
  <c r="AJ271" i="5" s="1"/>
  <c r="AE270" i="5"/>
  <c r="AK270" i="5" s="1"/>
  <c r="AD270" i="5"/>
  <c r="AJ270" i="5" s="1"/>
  <c r="AE269" i="5"/>
  <c r="AK269" i="5" s="1"/>
  <c r="AD269" i="5"/>
  <c r="AJ269" i="5" s="1"/>
  <c r="AE268" i="5"/>
  <c r="AK268" i="5" s="1"/>
  <c r="AD268" i="5"/>
  <c r="AJ268" i="5" s="1"/>
  <c r="AE267" i="5"/>
  <c r="AK267" i="5" s="1"/>
  <c r="AD267" i="5"/>
  <c r="AJ267" i="5" s="1"/>
  <c r="AE266" i="5"/>
  <c r="AK266" i="5" s="1"/>
  <c r="AD266" i="5"/>
  <c r="AJ266" i="5" s="1"/>
  <c r="AE265" i="5"/>
  <c r="AK265" i="5" s="1"/>
  <c r="AD265" i="5"/>
  <c r="AJ265" i="5" s="1"/>
  <c r="AE264" i="5"/>
  <c r="AK264" i="5" s="1"/>
  <c r="AD264" i="5"/>
  <c r="AJ264" i="5" s="1"/>
  <c r="AE263" i="5"/>
  <c r="AK263" i="5" s="1"/>
  <c r="AD263" i="5"/>
  <c r="AJ263" i="5" s="1"/>
  <c r="AE262" i="5"/>
  <c r="AK262" i="5" s="1"/>
  <c r="AD262" i="5"/>
  <c r="AJ262" i="5" s="1"/>
  <c r="AE261" i="5"/>
  <c r="AK261" i="5" s="1"/>
  <c r="AD261" i="5"/>
  <c r="AJ261" i="5" s="1"/>
  <c r="AE260" i="5"/>
  <c r="AK260" i="5" s="1"/>
  <c r="AD260" i="5"/>
  <c r="AJ260" i="5" s="1"/>
  <c r="AE259" i="5"/>
  <c r="AK259" i="5" s="1"/>
  <c r="AD259" i="5"/>
  <c r="AJ259" i="5" s="1"/>
  <c r="AE258" i="5"/>
  <c r="AK258" i="5" s="1"/>
  <c r="AD258" i="5"/>
  <c r="AJ258" i="5" s="1"/>
  <c r="AE257" i="5"/>
  <c r="AK257" i="5" s="1"/>
  <c r="AD257" i="5"/>
  <c r="AJ257" i="5" s="1"/>
  <c r="AE256" i="5"/>
  <c r="AK256" i="5" s="1"/>
  <c r="AD256" i="5"/>
  <c r="AJ256" i="5" s="1"/>
  <c r="AE255" i="5"/>
  <c r="AK255" i="5" s="1"/>
  <c r="AD255" i="5"/>
  <c r="AJ255" i="5" s="1"/>
  <c r="AE254" i="5"/>
  <c r="AK254" i="5" s="1"/>
  <c r="AD254" i="5"/>
  <c r="AJ254" i="5" s="1"/>
  <c r="AE253" i="5"/>
  <c r="AK253" i="5" s="1"/>
  <c r="AD253" i="5"/>
  <c r="AJ253" i="5" s="1"/>
  <c r="AE252" i="5"/>
  <c r="AK252" i="5" s="1"/>
  <c r="AD252" i="5"/>
  <c r="AJ252" i="5" s="1"/>
  <c r="AE251" i="5"/>
  <c r="AK251" i="5" s="1"/>
  <c r="AD251" i="5"/>
  <c r="AJ251" i="5" s="1"/>
  <c r="AE250" i="5"/>
  <c r="AK250" i="5" s="1"/>
  <c r="AD250" i="5"/>
  <c r="AJ250" i="5" s="1"/>
  <c r="AE249" i="5"/>
  <c r="AK249" i="5" s="1"/>
  <c r="AD249" i="5"/>
  <c r="AJ249" i="5" s="1"/>
  <c r="AE248" i="5"/>
  <c r="AK248" i="5" s="1"/>
  <c r="AD248" i="5"/>
  <c r="AJ248" i="5" s="1"/>
  <c r="AE247" i="5"/>
  <c r="AK247" i="5" s="1"/>
  <c r="AD247" i="5"/>
  <c r="AJ247" i="5" s="1"/>
  <c r="AE246" i="5"/>
  <c r="AK246" i="5" s="1"/>
  <c r="AD246" i="5"/>
  <c r="AJ246" i="5" s="1"/>
  <c r="AE245" i="5"/>
  <c r="AK245" i="5" s="1"/>
  <c r="AD245" i="5"/>
  <c r="AJ245" i="5" s="1"/>
  <c r="AE244" i="5"/>
  <c r="AK244" i="5" s="1"/>
  <c r="AD244" i="5"/>
  <c r="AJ244" i="5" s="1"/>
  <c r="AE243" i="5"/>
  <c r="AK243" i="5" s="1"/>
  <c r="AD243" i="5"/>
  <c r="AJ243" i="5" s="1"/>
  <c r="AE242" i="5"/>
  <c r="AK242" i="5" s="1"/>
  <c r="AD242" i="5"/>
  <c r="AJ242" i="5" s="1"/>
  <c r="AE241" i="5"/>
  <c r="AK241" i="5" s="1"/>
  <c r="AD241" i="5"/>
  <c r="AJ241" i="5" s="1"/>
  <c r="AE240" i="5"/>
  <c r="AK240" i="5" s="1"/>
  <c r="AD240" i="5"/>
  <c r="AJ240" i="5" s="1"/>
  <c r="AE239" i="5"/>
  <c r="AK239" i="5" s="1"/>
  <c r="AD239" i="5"/>
  <c r="AJ239" i="5" s="1"/>
  <c r="AE238" i="5"/>
  <c r="AK238" i="5" s="1"/>
  <c r="AD238" i="5"/>
  <c r="AJ238" i="5" s="1"/>
  <c r="AE237" i="5"/>
  <c r="AK237" i="5" s="1"/>
  <c r="AD237" i="5"/>
  <c r="AJ237" i="5" s="1"/>
  <c r="AE236" i="5"/>
  <c r="AK236" i="5" s="1"/>
  <c r="AD236" i="5"/>
  <c r="AJ236" i="5" s="1"/>
  <c r="AE235" i="5"/>
  <c r="AK235" i="5" s="1"/>
  <c r="AD235" i="5"/>
  <c r="AJ235" i="5" s="1"/>
  <c r="AE234" i="5"/>
  <c r="AK234" i="5" s="1"/>
  <c r="AD234" i="5"/>
  <c r="AJ234" i="5" s="1"/>
  <c r="AE233" i="5"/>
  <c r="AK233" i="5" s="1"/>
  <c r="AD233" i="5"/>
  <c r="AJ233" i="5" s="1"/>
  <c r="AE232" i="5"/>
  <c r="AK232" i="5" s="1"/>
  <c r="AD232" i="5"/>
  <c r="AJ232" i="5" s="1"/>
  <c r="AE231" i="5"/>
  <c r="AK231" i="5" s="1"/>
  <c r="AD231" i="5"/>
  <c r="AJ231" i="5" s="1"/>
  <c r="AE230" i="5"/>
  <c r="AK230" i="5" s="1"/>
  <c r="AD230" i="5"/>
  <c r="AJ230" i="5" s="1"/>
  <c r="AE229" i="5"/>
  <c r="AK229" i="5" s="1"/>
  <c r="AD229" i="5"/>
  <c r="AJ229" i="5" s="1"/>
  <c r="AE228" i="5"/>
  <c r="AK228" i="5" s="1"/>
  <c r="AD228" i="5"/>
  <c r="AJ228" i="5" s="1"/>
  <c r="AE227" i="5"/>
  <c r="AK227" i="5" s="1"/>
  <c r="AD227" i="5"/>
  <c r="AJ227" i="5" s="1"/>
  <c r="AE226" i="5"/>
  <c r="AK226" i="5" s="1"/>
  <c r="AD226" i="5"/>
  <c r="AJ226" i="5" s="1"/>
  <c r="AE225" i="5"/>
  <c r="AK225" i="5" s="1"/>
  <c r="AD225" i="5"/>
  <c r="AJ225" i="5" s="1"/>
  <c r="AE224" i="5"/>
  <c r="AK224" i="5" s="1"/>
  <c r="AD224" i="5"/>
  <c r="AJ224" i="5" s="1"/>
  <c r="AE223" i="5"/>
  <c r="AK223" i="5" s="1"/>
  <c r="AD223" i="5"/>
  <c r="AJ223" i="5" s="1"/>
  <c r="AE222" i="5"/>
  <c r="AK222" i="5" s="1"/>
  <c r="AD222" i="5"/>
  <c r="AJ222" i="5" s="1"/>
  <c r="AE221" i="5"/>
  <c r="AK221" i="5" s="1"/>
  <c r="AD221" i="5"/>
  <c r="AJ221" i="5" s="1"/>
  <c r="AE220" i="5"/>
  <c r="AK220" i="5" s="1"/>
  <c r="AD220" i="5"/>
  <c r="AJ220" i="5" s="1"/>
  <c r="AE219" i="5"/>
  <c r="AK219" i="5" s="1"/>
  <c r="AD219" i="5"/>
  <c r="AJ219" i="5" s="1"/>
  <c r="AE218" i="5"/>
  <c r="AK218" i="5" s="1"/>
  <c r="AD218" i="5"/>
  <c r="AJ218" i="5" s="1"/>
  <c r="AE217" i="5"/>
  <c r="AK217" i="5" s="1"/>
  <c r="AD217" i="5"/>
  <c r="AJ217" i="5" s="1"/>
  <c r="AE216" i="5"/>
  <c r="AK216" i="5" s="1"/>
  <c r="AD216" i="5"/>
  <c r="AJ216" i="5" s="1"/>
  <c r="AE215" i="5"/>
  <c r="AK215" i="5" s="1"/>
  <c r="AD215" i="5"/>
  <c r="AJ215" i="5" s="1"/>
  <c r="AE214" i="5"/>
  <c r="AK214" i="5" s="1"/>
  <c r="AD214" i="5"/>
  <c r="AJ214" i="5" s="1"/>
  <c r="AE213" i="5"/>
  <c r="AK213" i="5" s="1"/>
  <c r="AD213" i="5"/>
  <c r="AJ213" i="5" s="1"/>
  <c r="AE212" i="5"/>
  <c r="AK212" i="5" s="1"/>
  <c r="AD212" i="5"/>
  <c r="AJ212" i="5" s="1"/>
  <c r="AE211" i="5"/>
  <c r="AK211" i="5" s="1"/>
  <c r="AD211" i="5"/>
  <c r="AJ211" i="5" s="1"/>
  <c r="AE210" i="5"/>
  <c r="AK210" i="5" s="1"/>
  <c r="AD210" i="5"/>
  <c r="AJ210" i="5" s="1"/>
  <c r="AE209" i="5"/>
  <c r="AK209" i="5" s="1"/>
  <c r="AD209" i="5"/>
  <c r="AJ209" i="5" s="1"/>
  <c r="AE208" i="5"/>
  <c r="AK208" i="5" s="1"/>
  <c r="AD208" i="5"/>
  <c r="AJ208" i="5" s="1"/>
  <c r="AE207" i="5"/>
  <c r="AK207" i="5" s="1"/>
  <c r="AD207" i="5"/>
  <c r="AJ207" i="5" s="1"/>
  <c r="AE206" i="5"/>
  <c r="AK206" i="5" s="1"/>
  <c r="AD206" i="5"/>
  <c r="AJ206" i="5" s="1"/>
  <c r="AE205" i="5"/>
  <c r="AK205" i="5" s="1"/>
  <c r="AD205" i="5"/>
  <c r="AJ205" i="5" s="1"/>
  <c r="AE204" i="5"/>
  <c r="AK204" i="5" s="1"/>
  <c r="AD204" i="5"/>
  <c r="AJ204" i="5" s="1"/>
  <c r="AE203" i="5"/>
  <c r="AK203" i="5" s="1"/>
  <c r="AD203" i="5"/>
  <c r="AJ203" i="5" s="1"/>
  <c r="AE202" i="5"/>
  <c r="AK202" i="5" s="1"/>
  <c r="AD202" i="5"/>
  <c r="AJ202" i="5" s="1"/>
  <c r="AE201" i="5"/>
  <c r="AK201" i="5" s="1"/>
  <c r="AD201" i="5"/>
  <c r="AJ201" i="5" s="1"/>
  <c r="AE200" i="5"/>
  <c r="AK200" i="5" s="1"/>
  <c r="AD200" i="5"/>
  <c r="AJ200" i="5" s="1"/>
  <c r="AE199" i="5"/>
  <c r="AK199" i="5" s="1"/>
  <c r="AD199" i="5"/>
  <c r="AJ199" i="5" s="1"/>
  <c r="AE198" i="5"/>
  <c r="AK198" i="5" s="1"/>
  <c r="AD198" i="5"/>
  <c r="AJ198" i="5" s="1"/>
  <c r="AE197" i="5"/>
  <c r="AK197" i="5" s="1"/>
  <c r="AD197" i="5"/>
  <c r="AJ197" i="5" s="1"/>
  <c r="AE196" i="5"/>
  <c r="AK196" i="5" s="1"/>
  <c r="AD196" i="5"/>
  <c r="AJ196" i="5" s="1"/>
  <c r="AE195" i="5"/>
  <c r="AK195" i="5" s="1"/>
  <c r="AD195" i="5"/>
  <c r="AJ195" i="5" s="1"/>
  <c r="AE194" i="5"/>
  <c r="AK194" i="5" s="1"/>
  <c r="AD194" i="5"/>
  <c r="AJ194" i="5" s="1"/>
  <c r="AE193" i="5"/>
  <c r="AK193" i="5" s="1"/>
  <c r="AD193" i="5"/>
  <c r="AJ193" i="5" s="1"/>
  <c r="AE192" i="5"/>
  <c r="AK192" i="5" s="1"/>
  <c r="AD192" i="5"/>
  <c r="AJ192" i="5" s="1"/>
  <c r="AE191" i="5"/>
  <c r="AK191" i="5" s="1"/>
  <c r="AD191" i="5"/>
  <c r="AJ191" i="5" s="1"/>
  <c r="AE190" i="5"/>
  <c r="AK190" i="5" s="1"/>
  <c r="AD190" i="5"/>
  <c r="AJ190" i="5" s="1"/>
  <c r="AE189" i="5"/>
  <c r="AK189" i="5" s="1"/>
  <c r="AD189" i="5"/>
  <c r="AJ189" i="5" s="1"/>
  <c r="AE188" i="5"/>
  <c r="AK188" i="5" s="1"/>
  <c r="AD188" i="5"/>
  <c r="AJ188" i="5" s="1"/>
  <c r="AE187" i="5"/>
  <c r="AK187" i="5" s="1"/>
  <c r="AD187" i="5"/>
  <c r="AJ187" i="5" s="1"/>
  <c r="AE186" i="5"/>
  <c r="AK186" i="5" s="1"/>
  <c r="AD186" i="5"/>
  <c r="AJ186" i="5" s="1"/>
  <c r="AE185" i="5"/>
  <c r="AK185" i="5" s="1"/>
  <c r="AD185" i="5"/>
  <c r="AJ185" i="5" s="1"/>
  <c r="AE184" i="5"/>
  <c r="AK184" i="5" s="1"/>
  <c r="AD184" i="5"/>
  <c r="AJ184" i="5" s="1"/>
  <c r="AE183" i="5"/>
  <c r="AK183" i="5" s="1"/>
  <c r="AD183" i="5"/>
  <c r="AJ183" i="5" s="1"/>
  <c r="AE182" i="5"/>
  <c r="AK182" i="5" s="1"/>
  <c r="AD182" i="5"/>
  <c r="AJ182" i="5" s="1"/>
  <c r="AE181" i="5"/>
  <c r="AK181" i="5" s="1"/>
  <c r="AD181" i="5"/>
  <c r="AJ181" i="5" s="1"/>
  <c r="AE180" i="5"/>
  <c r="AK180" i="5" s="1"/>
  <c r="AD180" i="5"/>
  <c r="AJ180" i="5" s="1"/>
  <c r="AE179" i="5"/>
  <c r="AK179" i="5" s="1"/>
  <c r="AD179" i="5"/>
  <c r="AJ179" i="5" s="1"/>
  <c r="AE178" i="5"/>
  <c r="AK178" i="5" s="1"/>
  <c r="AD178" i="5"/>
  <c r="AJ178" i="5" s="1"/>
  <c r="AE177" i="5"/>
  <c r="AK177" i="5" s="1"/>
  <c r="AD177" i="5"/>
  <c r="AJ177" i="5" s="1"/>
  <c r="AE176" i="5"/>
  <c r="AK176" i="5" s="1"/>
  <c r="AD176" i="5"/>
  <c r="AJ176" i="5" s="1"/>
  <c r="AE175" i="5"/>
  <c r="AK175" i="5" s="1"/>
  <c r="AD175" i="5"/>
  <c r="AJ175" i="5" s="1"/>
  <c r="AE174" i="5"/>
  <c r="AK174" i="5" s="1"/>
  <c r="AD174" i="5"/>
  <c r="AJ174" i="5" s="1"/>
  <c r="AE173" i="5"/>
  <c r="AK173" i="5" s="1"/>
  <c r="AD173" i="5"/>
  <c r="AJ173" i="5" s="1"/>
  <c r="AE172" i="5"/>
  <c r="AK172" i="5" s="1"/>
  <c r="AD172" i="5"/>
  <c r="AJ172" i="5" s="1"/>
  <c r="AE171" i="5"/>
  <c r="AK171" i="5" s="1"/>
  <c r="AD171" i="5"/>
  <c r="AJ171" i="5" s="1"/>
  <c r="AE170" i="5"/>
  <c r="AK170" i="5" s="1"/>
  <c r="AD170" i="5"/>
  <c r="AJ170" i="5" s="1"/>
  <c r="AE169" i="5"/>
  <c r="AK169" i="5" s="1"/>
  <c r="AD169" i="5"/>
  <c r="AJ169" i="5" s="1"/>
  <c r="AE168" i="5"/>
  <c r="AK168" i="5" s="1"/>
  <c r="AD168" i="5"/>
  <c r="AJ168" i="5" s="1"/>
  <c r="AE167" i="5"/>
  <c r="AK167" i="5" s="1"/>
  <c r="AD167" i="5"/>
  <c r="AJ167" i="5" s="1"/>
  <c r="AE166" i="5"/>
  <c r="AK166" i="5" s="1"/>
  <c r="AD166" i="5"/>
  <c r="AJ166" i="5" s="1"/>
  <c r="AE165" i="5"/>
  <c r="AK165" i="5" s="1"/>
  <c r="AD165" i="5"/>
  <c r="AJ165" i="5" s="1"/>
  <c r="AE164" i="5"/>
  <c r="AK164" i="5" s="1"/>
  <c r="AD164" i="5"/>
  <c r="AJ164" i="5" s="1"/>
  <c r="AE163" i="5"/>
  <c r="AK163" i="5" s="1"/>
  <c r="AD163" i="5"/>
  <c r="AJ163" i="5" s="1"/>
  <c r="AE162" i="5"/>
  <c r="AK162" i="5" s="1"/>
  <c r="AD162" i="5"/>
  <c r="AJ162" i="5" s="1"/>
  <c r="AE161" i="5"/>
  <c r="AK161" i="5" s="1"/>
  <c r="AD161" i="5"/>
  <c r="AJ161" i="5" s="1"/>
  <c r="AE160" i="5"/>
  <c r="AK160" i="5" s="1"/>
  <c r="AD160" i="5"/>
  <c r="AJ160" i="5" s="1"/>
  <c r="AE159" i="5"/>
  <c r="AK159" i="5" s="1"/>
  <c r="AD159" i="5"/>
  <c r="AJ159" i="5" s="1"/>
  <c r="AE158" i="5"/>
  <c r="AK158" i="5" s="1"/>
  <c r="AD158" i="5"/>
  <c r="AJ158" i="5" s="1"/>
  <c r="AE157" i="5"/>
  <c r="AK157" i="5" s="1"/>
  <c r="AD157" i="5"/>
  <c r="AJ157" i="5" s="1"/>
  <c r="AE156" i="5"/>
  <c r="AK156" i="5" s="1"/>
  <c r="AD156" i="5"/>
  <c r="AJ156" i="5" s="1"/>
  <c r="AE155" i="5"/>
  <c r="AK155" i="5" s="1"/>
  <c r="AD155" i="5"/>
  <c r="AJ155" i="5" s="1"/>
  <c r="AE154" i="5"/>
  <c r="AK154" i="5" s="1"/>
  <c r="AD154" i="5"/>
  <c r="AJ154" i="5" s="1"/>
  <c r="AE153" i="5"/>
  <c r="AK153" i="5" s="1"/>
  <c r="AD153" i="5"/>
  <c r="AJ153" i="5" s="1"/>
  <c r="AE152" i="5"/>
  <c r="AK152" i="5" s="1"/>
  <c r="AD152" i="5"/>
  <c r="AJ152" i="5" s="1"/>
  <c r="AE151" i="5"/>
  <c r="AK151" i="5" s="1"/>
  <c r="AD151" i="5"/>
  <c r="AJ151" i="5" s="1"/>
  <c r="AE150" i="5"/>
  <c r="AK150" i="5" s="1"/>
  <c r="AD150" i="5"/>
  <c r="AJ150" i="5" s="1"/>
  <c r="AE149" i="5"/>
  <c r="AK149" i="5" s="1"/>
  <c r="AD149" i="5"/>
  <c r="AJ149" i="5" s="1"/>
  <c r="AE148" i="5"/>
  <c r="AK148" i="5" s="1"/>
  <c r="AD148" i="5"/>
  <c r="AJ148" i="5" s="1"/>
  <c r="AE147" i="5"/>
  <c r="AK147" i="5" s="1"/>
  <c r="AD147" i="5"/>
  <c r="AJ147" i="5" s="1"/>
  <c r="AE146" i="5"/>
  <c r="AK146" i="5" s="1"/>
  <c r="AD146" i="5"/>
  <c r="AJ146" i="5" s="1"/>
  <c r="AE145" i="5"/>
  <c r="AK145" i="5" s="1"/>
  <c r="AD145" i="5"/>
  <c r="AJ145" i="5" s="1"/>
  <c r="AE144" i="5"/>
  <c r="AK144" i="5" s="1"/>
  <c r="AD144" i="5"/>
  <c r="AJ144" i="5" s="1"/>
  <c r="AE143" i="5"/>
  <c r="AK143" i="5" s="1"/>
  <c r="AD143" i="5"/>
  <c r="AJ143" i="5" s="1"/>
  <c r="AE142" i="5"/>
  <c r="AK142" i="5" s="1"/>
  <c r="AD142" i="5"/>
  <c r="AJ142" i="5" s="1"/>
  <c r="AE141" i="5"/>
  <c r="AK141" i="5" s="1"/>
  <c r="AD141" i="5"/>
  <c r="AJ141" i="5" s="1"/>
  <c r="AE140" i="5"/>
  <c r="AK140" i="5" s="1"/>
  <c r="AD140" i="5"/>
  <c r="AJ140" i="5" s="1"/>
  <c r="AE139" i="5"/>
  <c r="AK139" i="5" s="1"/>
  <c r="AD139" i="5"/>
  <c r="AJ139" i="5" s="1"/>
  <c r="AE138" i="5"/>
  <c r="AK138" i="5" s="1"/>
  <c r="AD138" i="5"/>
  <c r="AJ138" i="5" s="1"/>
  <c r="AE137" i="5"/>
  <c r="AK137" i="5" s="1"/>
  <c r="AD137" i="5"/>
  <c r="AJ137" i="5" s="1"/>
  <c r="AE136" i="5"/>
  <c r="AK136" i="5" s="1"/>
  <c r="AD136" i="5"/>
  <c r="AJ136" i="5" s="1"/>
  <c r="AE135" i="5"/>
  <c r="AK135" i="5" s="1"/>
  <c r="AD135" i="5"/>
  <c r="AJ135" i="5" s="1"/>
  <c r="AE134" i="5"/>
  <c r="AK134" i="5" s="1"/>
  <c r="AD134" i="5"/>
  <c r="AJ134" i="5" s="1"/>
  <c r="AE133" i="5"/>
  <c r="AK133" i="5" s="1"/>
  <c r="AD133" i="5"/>
  <c r="AJ133" i="5" s="1"/>
  <c r="AE132" i="5"/>
  <c r="AK132" i="5" s="1"/>
  <c r="AD132" i="5"/>
  <c r="AJ132" i="5" s="1"/>
  <c r="AE131" i="5"/>
  <c r="AK131" i="5" s="1"/>
  <c r="AD131" i="5"/>
  <c r="AJ131" i="5" s="1"/>
  <c r="AE130" i="5"/>
  <c r="AK130" i="5" s="1"/>
  <c r="AD130" i="5"/>
  <c r="AJ130" i="5" s="1"/>
  <c r="AE129" i="5"/>
  <c r="AK129" i="5" s="1"/>
  <c r="AD129" i="5"/>
  <c r="AJ129" i="5" s="1"/>
  <c r="AE128" i="5"/>
  <c r="AK128" i="5" s="1"/>
  <c r="AD128" i="5"/>
  <c r="AJ128" i="5" s="1"/>
  <c r="AE127" i="5"/>
  <c r="AK127" i="5" s="1"/>
  <c r="AD127" i="5"/>
  <c r="AJ127" i="5" s="1"/>
  <c r="AE126" i="5"/>
  <c r="AK126" i="5" s="1"/>
  <c r="AD126" i="5"/>
  <c r="AJ126" i="5" s="1"/>
  <c r="AE125" i="5"/>
  <c r="AK125" i="5" s="1"/>
  <c r="AD125" i="5"/>
  <c r="AJ125" i="5" s="1"/>
  <c r="AE124" i="5"/>
  <c r="AK124" i="5" s="1"/>
  <c r="AD124" i="5"/>
  <c r="AJ124" i="5" s="1"/>
  <c r="AE123" i="5"/>
  <c r="AK123" i="5" s="1"/>
  <c r="AD123" i="5"/>
  <c r="AJ123" i="5" s="1"/>
  <c r="AE122" i="5"/>
  <c r="AK122" i="5" s="1"/>
  <c r="AD122" i="5"/>
  <c r="AJ122" i="5" s="1"/>
  <c r="AE121" i="5"/>
  <c r="AK121" i="5" s="1"/>
  <c r="AD121" i="5"/>
  <c r="AJ121" i="5" s="1"/>
  <c r="AE120" i="5"/>
  <c r="AK120" i="5" s="1"/>
  <c r="AD120" i="5"/>
  <c r="AJ120" i="5" s="1"/>
  <c r="AE119" i="5"/>
  <c r="AK119" i="5" s="1"/>
  <c r="AD119" i="5"/>
  <c r="AJ119" i="5" s="1"/>
  <c r="AE118" i="5"/>
  <c r="AK118" i="5" s="1"/>
  <c r="AD118" i="5"/>
  <c r="AJ118" i="5" s="1"/>
  <c r="AE117" i="5"/>
  <c r="AK117" i="5" s="1"/>
  <c r="AD117" i="5"/>
  <c r="AJ117" i="5" s="1"/>
  <c r="AE116" i="5"/>
  <c r="AK116" i="5" s="1"/>
  <c r="AD116" i="5"/>
  <c r="AJ116" i="5" s="1"/>
  <c r="AE115" i="5"/>
  <c r="AK115" i="5" s="1"/>
  <c r="AD115" i="5"/>
  <c r="AJ115" i="5" s="1"/>
  <c r="AE114" i="5"/>
  <c r="AK114" i="5" s="1"/>
  <c r="AD114" i="5"/>
  <c r="AJ114" i="5" s="1"/>
  <c r="AE113" i="5"/>
  <c r="AK113" i="5" s="1"/>
  <c r="AD113" i="5"/>
  <c r="AJ113" i="5" s="1"/>
  <c r="AE112" i="5"/>
  <c r="AK112" i="5" s="1"/>
  <c r="AD112" i="5"/>
  <c r="AJ112" i="5" s="1"/>
  <c r="AE111" i="5"/>
  <c r="AK111" i="5" s="1"/>
  <c r="AD111" i="5"/>
  <c r="AJ111" i="5" s="1"/>
  <c r="AE110" i="5"/>
  <c r="AK110" i="5" s="1"/>
  <c r="AD110" i="5"/>
  <c r="AJ110" i="5" s="1"/>
  <c r="AE109" i="5"/>
  <c r="AK109" i="5" s="1"/>
  <c r="AD109" i="5"/>
  <c r="AJ109" i="5" s="1"/>
  <c r="AE108" i="5"/>
  <c r="AK108" i="5" s="1"/>
  <c r="AD108" i="5"/>
  <c r="AJ108" i="5" s="1"/>
  <c r="AE107" i="5"/>
  <c r="AK107" i="5" s="1"/>
  <c r="AD107" i="5"/>
  <c r="AJ107" i="5" s="1"/>
  <c r="AE106" i="5"/>
  <c r="AK106" i="5" s="1"/>
  <c r="AD106" i="5"/>
  <c r="AJ106" i="5" s="1"/>
  <c r="AE105" i="5"/>
  <c r="AK105" i="5" s="1"/>
  <c r="AD105" i="5"/>
  <c r="AJ105" i="5" s="1"/>
  <c r="AE104" i="5"/>
  <c r="AK104" i="5" s="1"/>
  <c r="AD104" i="5"/>
  <c r="AJ104" i="5" s="1"/>
  <c r="AE103" i="5"/>
  <c r="AK103" i="5" s="1"/>
  <c r="AD103" i="5"/>
  <c r="AJ103" i="5" s="1"/>
  <c r="AE102" i="5"/>
  <c r="AK102" i="5" s="1"/>
  <c r="AD102" i="5"/>
  <c r="AJ102" i="5" s="1"/>
  <c r="AE101" i="5"/>
  <c r="AK101" i="5" s="1"/>
  <c r="AD101" i="5"/>
  <c r="AJ101" i="5" s="1"/>
  <c r="AE100" i="5"/>
  <c r="AK100" i="5" s="1"/>
  <c r="AD100" i="5"/>
  <c r="AJ100" i="5" s="1"/>
  <c r="AE99" i="5"/>
  <c r="AK99" i="5" s="1"/>
  <c r="AD99" i="5"/>
  <c r="AJ99" i="5" s="1"/>
  <c r="AE98" i="5"/>
  <c r="AK98" i="5" s="1"/>
  <c r="AD98" i="5"/>
  <c r="AJ98" i="5" s="1"/>
  <c r="AE97" i="5"/>
  <c r="AK97" i="5" s="1"/>
  <c r="AD97" i="5"/>
  <c r="AJ97" i="5" s="1"/>
  <c r="AE96" i="5"/>
  <c r="AK96" i="5" s="1"/>
  <c r="AD96" i="5"/>
  <c r="AJ96" i="5" s="1"/>
  <c r="AE95" i="5"/>
  <c r="AK95" i="5" s="1"/>
  <c r="AD95" i="5"/>
  <c r="AJ95" i="5" s="1"/>
  <c r="AE94" i="5"/>
  <c r="AK94" i="5" s="1"/>
  <c r="AD94" i="5"/>
  <c r="AJ94" i="5" s="1"/>
  <c r="AE93" i="5"/>
  <c r="AK93" i="5" s="1"/>
  <c r="AD93" i="5"/>
  <c r="AJ93" i="5" s="1"/>
  <c r="AE92" i="5"/>
  <c r="AK92" i="5" s="1"/>
  <c r="AD92" i="5"/>
  <c r="AJ92" i="5" s="1"/>
  <c r="AE91" i="5"/>
  <c r="AK91" i="5" s="1"/>
  <c r="AD91" i="5"/>
  <c r="AJ91" i="5" s="1"/>
  <c r="AE90" i="5"/>
  <c r="AK90" i="5" s="1"/>
  <c r="AD90" i="5"/>
  <c r="AJ90" i="5" s="1"/>
  <c r="AE89" i="5"/>
  <c r="AK89" i="5" s="1"/>
  <c r="AD89" i="5"/>
  <c r="AJ89" i="5" s="1"/>
  <c r="AE88" i="5"/>
  <c r="AK88" i="5" s="1"/>
  <c r="AD88" i="5"/>
  <c r="AJ88" i="5" s="1"/>
  <c r="AE87" i="5"/>
  <c r="AK87" i="5" s="1"/>
  <c r="AD87" i="5"/>
  <c r="AJ87" i="5" s="1"/>
  <c r="AE86" i="5"/>
  <c r="AK86" i="5" s="1"/>
  <c r="AD86" i="5"/>
  <c r="AJ86" i="5" s="1"/>
  <c r="AE85" i="5"/>
  <c r="AK85" i="5" s="1"/>
  <c r="AD85" i="5"/>
  <c r="AJ85" i="5" s="1"/>
  <c r="AE84" i="5"/>
  <c r="AK84" i="5" s="1"/>
  <c r="AD84" i="5"/>
  <c r="AJ84" i="5" s="1"/>
  <c r="AE83" i="5"/>
  <c r="AK83" i="5" s="1"/>
  <c r="AD83" i="5"/>
  <c r="AJ83" i="5" s="1"/>
  <c r="AE82" i="5"/>
  <c r="AK82" i="5" s="1"/>
  <c r="AD82" i="5"/>
  <c r="AJ82" i="5" s="1"/>
  <c r="AE81" i="5"/>
  <c r="AK81" i="5" s="1"/>
  <c r="AD81" i="5"/>
  <c r="AJ81" i="5" s="1"/>
  <c r="AE80" i="5"/>
  <c r="AK80" i="5" s="1"/>
  <c r="AD80" i="5"/>
  <c r="AJ80" i="5" s="1"/>
  <c r="AE79" i="5"/>
  <c r="AK79" i="5" s="1"/>
  <c r="AD79" i="5"/>
  <c r="AJ79" i="5" s="1"/>
  <c r="AE78" i="5"/>
  <c r="AK78" i="5" s="1"/>
  <c r="AD78" i="5"/>
  <c r="AJ78" i="5" s="1"/>
  <c r="AE77" i="5"/>
  <c r="AK77" i="5" s="1"/>
  <c r="AD77" i="5"/>
  <c r="AJ77" i="5" s="1"/>
  <c r="AE76" i="5"/>
  <c r="AK76" i="5" s="1"/>
  <c r="AD76" i="5"/>
  <c r="AJ76" i="5" s="1"/>
  <c r="AE75" i="5"/>
  <c r="AK75" i="5" s="1"/>
  <c r="AD75" i="5"/>
  <c r="AJ75" i="5" s="1"/>
  <c r="AE74" i="5"/>
  <c r="AK74" i="5" s="1"/>
  <c r="AD74" i="5"/>
  <c r="AJ74" i="5" s="1"/>
  <c r="AE73" i="5"/>
  <c r="AK73" i="5" s="1"/>
  <c r="AD73" i="5"/>
  <c r="AJ73" i="5" s="1"/>
  <c r="AE72" i="5"/>
  <c r="AK72" i="5" s="1"/>
  <c r="AD72" i="5"/>
  <c r="AJ72" i="5" s="1"/>
  <c r="AE71" i="5"/>
  <c r="AK71" i="5" s="1"/>
  <c r="AD71" i="5"/>
  <c r="AJ71" i="5" s="1"/>
  <c r="AE70" i="5"/>
  <c r="AK70" i="5" s="1"/>
  <c r="AD70" i="5"/>
  <c r="AJ70" i="5" s="1"/>
  <c r="AE69" i="5"/>
  <c r="AK69" i="5" s="1"/>
  <c r="AD69" i="5"/>
  <c r="AJ69" i="5" s="1"/>
  <c r="AE68" i="5"/>
  <c r="AK68" i="5" s="1"/>
  <c r="AD68" i="5"/>
  <c r="AJ68" i="5" s="1"/>
  <c r="AE67" i="5"/>
  <c r="AK67" i="5" s="1"/>
  <c r="AD67" i="5"/>
  <c r="AJ67" i="5" s="1"/>
  <c r="AE66" i="5"/>
  <c r="AK66" i="5" s="1"/>
  <c r="AD66" i="5"/>
  <c r="AJ66" i="5" s="1"/>
  <c r="AE65" i="5"/>
  <c r="AK65" i="5" s="1"/>
  <c r="AD65" i="5"/>
  <c r="AJ65" i="5" s="1"/>
  <c r="AE64" i="5"/>
  <c r="AK64" i="5" s="1"/>
  <c r="AD64" i="5"/>
  <c r="AJ64" i="5" s="1"/>
  <c r="AE63" i="5"/>
  <c r="AK63" i="5" s="1"/>
  <c r="AD63" i="5"/>
  <c r="AJ63" i="5" s="1"/>
  <c r="AE62" i="5"/>
  <c r="AK62" i="5" s="1"/>
  <c r="AD62" i="5"/>
  <c r="AJ62" i="5" s="1"/>
  <c r="AE61" i="5"/>
  <c r="AK61" i="5" s="1"/>
  <c r="AD61" i="5"/>
  <c r="AJ61" i="5" s="1"/>
  <c r="AE60" i="5"/>
  <c r="AK60" i="5" s="1"/>
  <c r="AD60" i="5"/>
  <c r="AJ60" i="5" s="1"/>
  <c r="AE59" i="5"/>
  <c r="AK59" i="5" s="1"/>
  <c r="AD59" i="5"/>
  <c r="AJ59" i="5" s="1"/>
  <c r="AE58" i="5"/>
  <c r="AK58" i="5" s="1"/>
  <c r="AD58" i="5"/>
  <c r="AJ58" i="5" s="1"/>
  <c r="AE57" i="5"/>
  <c r="AK57" i="5" s="1"/>
  <c r="AD57" i="5"/>
  <c r="AJ57" i="5" s="1"/>
  <c r="AE56" i="5"/>
  <c r="AK56" i="5" s="1"/>
  <c r="AD56" i="5"/>
  <c r="AJ56" i="5" s="1"/>
  <c r="AE55" i="5"/>
  <c r="AK55" i="5" s="1"/>
  <c r="AD55" i="5"/>
  <c r="AJ55" i="5" s="1"/>
  <c r="AE54" i="5"/>
  <c r="AK54" i="5" s="1"/>
  <c r="AD54" i="5"/>
  <c r="AJ54" i="5" s="1"/>
  <c r="AE53" i="5"/>
  <c r="AK53" i="5" s="1"/>
  <c r="AD53" i="5"/>
  <c r="AJ53" i="5" s="1"/>
  <c r="AE52" i="5"/>
  <c r="AK52" i="5" s="1"/>
  <c r="AD52" i="5"/>
  <c r="AJ52" i="5" s="1"/>
  <c r="AE51" i="5"/>
  <c r="AK51" i="5" s="1"/>
  <c r="AD51" i="5"/>
  <c r="AJ51" i="5" s="1"/>
  <c r="AE50" i="5"/>
  <c r="AK50" i="5" s="1"/>
  <c r="AD50" i="5"/>
  <c r="AJ50" i="5" s="1"/>
  <c r="AE49" i="5"/>
  <c r="AK49" i="5" s="1"/>
  <c r="AD49" i="5"/>
  <c r="AJ49" i="5" s="1"/>
  <c r="AE48" i="5"/>
  <c r="AK48" i="5" s="1"/>
  <c r="AD48" i="5"/>
  <c r="AJ48" i="5" s="1"/>
  <c r="AE47" i="5"/>
  <c r="AK47" i="5" s="1"/>
  <c r="AD47" i="5"/>
  <c r="AJ47" i="5" s="1"/>
  <c r="AE46" i="5"/>
  <c r="AK46" i="5" s="1"/>
  <c r="AD46" i="5"/>
  <c r="AJ46" i="5" s="1"/>
  <c r="AE45" i="5"/>
  <c r="AK45" i="5" s="1"/>
  <c r="AD45" i="5"/>
  <c r="AJ45" i="5" s="1"/>
  <c r="AE44" i="5"/>
  <c r="AK44" i="5" s="1"/>
  <c r="AD44" i="5"/>
  <c r="AJ44" i="5" s="1"/>
  <c r="AE43" i="5"/>
  <c r="AK43" i="5" s="1"/>
  <c r="AD43" i="5"/>
  <c r="AJ43" i="5" s="1"/>
  <c r="AE42" i="5"/>
  <c r="AK42" i="5" s="1"/>
  <c r="AD42" i="5"/>
  <c r="AJ42" i="5" s="1"/>
  <c r="AE41" i="5"/>
  <c r="AK41" i="5" s="1"/>
  <c r="AD41" i="5"/>
  <c r="AJ41" i="5" s="1"/>
  <c r="AE40" i="5"/>
  <c r="AK40" i="5" s="1"/>
  <c r="AD40" i="5"/>
  <c r="AJ40" i="5" s="1"/>
  <c r="AE39" i="5"/>
  <c r="AK39" i="5" s="1"/>
  <c r="AD39" i="5"/>
  <c r="AJ39" i="5" s="1"/>
  <c r="AE38" i="5"/>
  <c r="AK38" i="5" s="1"/>
  <c r="AD38" i="5"/>
  <c r="AJ38" i="5" s="1"/>
  <c r="AE37" i="5"/>
  <c r="AK37" i="5" s="1"/>
  <c r="AD37" i="5"/>
  <c r="AJ37" i="5" s="1"/>
  <c r="AE36" i="5"/>
  <c r="AK36" i="5" s="1"/>
  <c r="AD36" i="5"/>
  <c r="AJ36" i="5" s="1"/>
  <c r="AE35" i="5"/>
  <c r="AK35" i="5" s="1"/>
  <c r="AD35" i="5"/>
  <c r="AJ35" i="5" s="1"/>
  <c r="AE34" i="5"/>
  <c r="AK34" i="5" s="1"/>
  <c r="AD34" i="5"/>
  <c r="AJ34" i="5" s="1"/>
  <c r="B2" i="5"/>
  <c r="AE350" i="4"/>
  <c r="AK350" i="4" s="1"/>
  <c r="AD350" i="4"/>
  <c r="AJ350" i="4" s="1"/>
  <c r="AE349" i="4"/>
  <c r="AK349" i="4" s="1"/>
  <c r="AD349" i="4"/>
  <c r="AJ349" i="4" s="1"/>
  <c r="AE348" i="4"/>
  <c r="AK348" i="4" s="1"/>
  <c r="AD348" i="4"/>
  <c r="AJ348" i="4" s="1"/>
  <c r="AE347" i="4"/>
  <c r="AK347" i="4" s="1"/>
  <c r="AD347" i="4"/>
  <c r="AJ347" i="4" s="1"/>
  <c r="AE346" i="4"/>
  <c r="AK346" i="4" s="1"/>
  <c r="AD346" i="4"/>
  <c r="AJ346" i="4" s="1"/>
  <c r="AE345" i="4"/>
  <c r="AK345" i="4" s="1"/>
  <c r="AD345" i="4"/>
  <c r="AJ345" i="4" s="1"/>
  <c r="AE344" i="4"/>
  <c r="AK344" i="4" s="1"/>
  <c r="AD344" i="4"/>
  <c r="AJ344" i="4" s="1"/>
  <c r="AE343" i="4"/>
  <c r="AK343" i="4" s="1"/>
  <c r="AD343" i="4"/>
  <c r="AJ343" i="4" s="1"/>
  <c r="AE342" i="4"/>
  <c r="AK342" i="4" s="1"/>
  <c r="AD342" i="4"/>
  <c r="AJ342" i="4" s="1"/>
  <c r="AE341" i="4"/>
  <c r="AK341" i="4" s="1"/>
  <c r="AD341" i="4"/>
  <c r="AJ341" i="4" s="1"/>
  <c r="AE340" i="4"/>
  <c r="AK340" i="4" s="1"/>
  <c r="AD340" i="4"/>
  <c r="AJ340" i="4" s="1"/>
  <c r="AE339" i="4"/>
  <c r="AK339" i="4" s="1"/>
  <c r="AD339" i="4"/>
  <c r="AJ339" i="4" s="1"/>
  <c r="AE338" i="4"/>
  <c r="AK338" i="4" s="1"/>
  <c r="AD338" i="4"/>
  <c r="AJ338" i="4" s="1"/>
  <c r="AE337" i="4"/>
  <c r="AK337" i="4" s="1"/>
  <c r="AD337" i="4"/>
  <c r="AJ337" i="4" s="1"/>
  <c r="AE336" i="4"/>
  <c r="AK336" i="4" s="1"/>
  <c r="AD336" i="4"/>
  <c r="AJ336" i="4" s="1"/>
  <c r="AE335" i="4"/>
  <c r="AK335" i="4" s="1"/>
  <c r="AD335" i="4"/>
  <c r="AJ335" i="4" s="1"/>
  <c r="AE334" i="4"/>
  <c r="AK334" i="4" s="1"/>
  <c r="AD334" i="4"/>
  <c r="AJ334" i="4" s="1"/>
  <c r="AE333" i="4"/>
  <c r="AK333" i="4" s="1"/>
  <c r="AD333" i="4"/>
  <c r="AJ333" i="4" s="1"/>
  <c r="AE332" i="4"/>
  <c r="AK332" i="4" s="1"/>
  <c r="AD332" i="4"/>
  <c r="AJ332" i="4" s="1"/>
  <c r="AE331" i="4"/>
  <c r="AK331" i="4" s="1"/>
  <c r="AD331" i="4"/>
  <c r="AJ331" i="4" s="1"/>
  <c r="AE330" i="4"/>
  <c r="AK330" i="4" s="1"/>
  <c r="AD330" i="4"/>
  <c r="AJ330" i="4" s="1"/>
  <c r="AE329" i="4"/>
  <c r="AK329" i="4" s="1"/>
  <c r="AD329" i="4"/>
  <c r="AJ329" i="4" s="1"/>
  <c r="AE328" i="4"/>
  <c r="AK328" i="4" s="1"/>
  <c r="AD328" i="4"/>
  <c r="AJ328" i="4" s="1"/>
  <c r="AE327" i="4"/>
  <c r="AK327" i="4" s="1"/>
  <c r="AD327" i="4"/>
  <c r="AJ327" i="4" s="1"/>
  <c r="AE326" i="4"/>
  <c r="AK326" i="4" s="1"/>
  <c r="AD326" i="4"/>
  <c r="AJ326" i="4" s="1"/>
  <c r="AE325" i="4"/>
  <c r="AK325" i="4" s="1"/>
  <c r="AD325" i="4"/>
  <c r="AJ325" i="4" s="1"/>
  <c r="AE324" i="4"/>
  <c r="AK324" i="4" s="1"/>
  <c r="AD324" i="4"/>
  <c r="AJ324" i="4" s="1"/>
  <c r="AE323" i="4"/>
  <c r="AK323" i="4" s="1"/>
  <c r="AD323" i="4"/>
  <c r="AJ323" i="4" s="1"/>
  <c r="AE322" i="4"/>
  <c r="AK322" i="4" s="1"/>
  <c r="AD322" i="4"/>
  <c r="AJ322" i="4" s="1"/>
  <c r="AE321" i="4"/>
  <c r="AK321" i="4" s="1"/>
  <c r="AD321" i="4"/>
  <c r="AJ321" i="4" s="1"/>
  <c r="AE320" i="4"/>
  <c r="AK320" i="4" s="1"/>
  <c r="AD320" i="4"/>
  <c r="AJ320" i="4" s="1"/>
  <c r="AE319" i="4"/>
  <c r="AK319" i="4" s="1"/>
  <c r="AD319" i="4"/>
  <c r="AJ319" i="4" s="1"/>
  <c r="AE318" i="4"/>
  <c r="AK318" i="4" s="1"/>
  <c r="AD318" i="4"/>
  <c r="AJ318" i="4" s="1"/>
  <c r="AE317" i="4"/>
  <c r="AK317" i="4" s="1"/>
  <c r="AD317" i="4"/>
  <c r="AJ317" i="4" s="1"/>
  <c r="AE316" i="4"/>
  <c r="AK316" i="4" s="1"/>
  <c r="AD316" i="4"/>
  <c r="AJ316" i="4" s="1"/>
  <c r="AE315" i="4"/>
  <c r="AK315" i="4" s="1"/>
  <c r="AD315" i="4"/>
  <c r="AJ315" i="4" s="1"/>
  <c r="AE314" i="4"/>
  <c r="AK314" i="4" s="1"/>
  <c r="AD314" i="4"/>
  <c r="AJ314" i="4" s="1"/>
  <c r="AE313" i="4"/>
  <c r="AK313" i="4" s="1"/>
  <c r="AD313" i="4"/>
  <c r="AJ313" i="4" s="1"/>
  <c r="AE312" i="4"/>
  <c r="AK312" i="4" s="1"/>
  <c r="AD312" i="4"/>
  <c r="AJ312" i="4" s="1"/>
  <c r="AE311" i="4"/>
  <c r="AK311" i="4" s="1"/>
  <c r="AD311" i="4"/>
  <c r="AJ311" i="4" s="1"/>
  <c r="AE310" i="4"/>
  <c r="AK310" i="4" s="1"/>
  <c r="AD310" i="4"/>
  <c r="AJ310" i="4" s="1"/>
  <c r="AE309" i="4"/>
  <c r="AK309" i="4" s="1"/>
  <c r="AD309" i="4"/>
  <c r="AJ309" i="4" s="1"/>
  <c r="AE308" i="4"/>
  <c r="AK308" i="4" s="1"/>
  <c r="AD308" i="4"/>
  <c r="AJ308" i="4" s="1"/>
  <c r="AE307" i="4"/>
  <c r="AK307" i="4" s="1"/>
  <c r="AD307" i="4"/>
  <c r="AJ307" i="4" s="1"/>
  <c r="AE306" i="4"/>
  <c r="AK306" i="4" s="1"/>
  <c r="AD306" i="4"/>
  <c r="AJ306" i="4" s="1"/>
  <c r="AE305" i="4"/>
  <c r="AK305" i="4" s="1"/>
  <c r="AD305" i="4"/>
  <c r="AJ305" i="4" s="1"/>
  <c r="AE304" i="4"/>
  <c r="AK304" i="4" s="1"/>
  <c r="AD304" i="4"/>
  <c r="AJ304" i="4" s="1"/>
  <c r="AE303" i="4"/>
  <c r="AK303" i="4" s="1"/>
  <c r="AD303" i="4"/>
  <c r="AJ303" i="4" s="1"/>
  <c r="AE302" i="4"/>
  <c r="AK302" i="4" s="1"/>
  <c r="AD302" i="4"/>
  <c r="AJ302" i="4" s="1"/>
  <c r="AE301" i="4"/>
  <c r="AK301" i="4" s="1"/>
  <c r="AD301" i="4"/>
  <c r="AJ301" i="4" s="1"/>
  <c r="AE300" i="4"/>
  <c r="AK300" i="4" s="1"/>
  <c r="AD300" i="4"/>
  <c r="AJ300" i="4" s="1"/>
  <c r="AE299" i="4"/>
  <c r="AK299" i="4" s="1"/>
  <c r="AD299" i="4"/>
  <c r="AJ299" i="4" s="1"/>
  <c r="AE298" i="4"/>
  <c r="AK298" i="4" s="1"/>
  <c r="AD298" i="4"/>
  <c r="AJ298" i="4" s="1"/>
  <c r="AE297" i="4"/>
  <c r="AK297" i="4" s="1"/>
  <c r="AD297" i="4"/>
  <c r="AJ297" i="4" s="1"/>
  <c r="AE296" i="4"/>
  <c r="AK296" i="4" s="1"/>
  <c r="AD296" i="4"/>
  <c r="AJ296" i="4" s="1"/>
  <c r="AE295" i="4"/>
  <c r="AK295" i="4" s="1"/>
  <c r="AD295" i="4"/>
  <c r="AJ295" i="4" s="1"/>
  <c r="AE294" i="4"/>
  <c r="AK294" i="4" s="1"/>
  <c r="AD294" i="4"/>
  <c r="AJ294" i="4" s="1"/>
  <c r="AE293" i="4"/>
  <c r="AK293" i="4" s="1"/>
  <c r="AD293" i="4"/>
  <c r="AJ293" i="4" s="1"/>
  <c r="AE292" i="4"/>
  <c r="AK292" i="4" s="1"/>
  <c r="AD292" i="4"/>
  <c r="AJ292" i="4" s="1"/>
  <c r="AE291" i="4"/>
  <c r="AK291" i="4" s="1"/>
  <c r="AD291" i="4"/>
  <c r="AJ291" i="4" s="1"/>
  <c r="AE290" i="4"/>
  <c r="AK290" i="4" s="1"/>
  <c r="AD290" i="4"/>
  <c r="AJ290" i="4" s="1"/>
  <c r="AE289" i="4"/>
  <c r="AK289" i="4" s="1"/>
  <c r="AD289" i="4"/>
  <c r="AJ289" i="4" s="1"/>
  <c r="AE288" i="4"/>
  <c r="AK288" i="4" s="1"/>
  <c r="AD288" i="4"/>
  <c r="AJ288" i="4" s="1"/>
  <c r="AE287" i="4"/>
  <c r="AK287" i="4" s="1"/>
  <c r="AD287" i="4"/>
  <c r="AJ287" i="4" s="1"/>
  <c r="AE286" i="4"/>
  <c r="AK286" i="4" s="1"/>
  <c r="AD286" i="4"/>
  <c r="AJ286" i="4" s="1"/>
  <c r="AE285" i="4"/>
  <c r="AK285" i="4" s="1"/>
  <c r="AD285" i="4"/>
  <c r="AJ285" i="4" s="1"/>
  <c r="AE284" i="4"/>
  <c r="AK284" i="4" s="1"/>
  <c r="AD284" i="4"/>
  <c r="AJ284" i="4" s="1"/>
  <c r="AE283" i="4"/>
  <c r="AK283" i="4" s="1"/>
  <c r="AD283" i="4"/>
  <c r="AJ283" i="4" s="1"/>
  <c r="AE282" i="4"/>
  <c r="AK282" i="4" s="1"/>
  <c r="AD282" i="4"/>
  <c r="AJ282" i="4" s="1"/>
  <c r="AE281" i="4"/>
  <c r="AK281" i="4" s="1"/>
  <c r="AD281" i="4"/>
  <c r="AJ281" i="4" s="1"/>
  <c r="AE280" i="4"/>
  <c r="AK280" i="4" s="1"/>
  <c r="AD280" i="4"/>
  <c r="AJ280" i="4" s="1"/>
  <c r="AE279" i="4"/>
  <c r="AK279" i="4" s="1"/>
  <c r="AD279" i="4"/>
  <c r="AJ279" i="4" s="1"/>
  <c r="AE278" i="4"/>
  <c r="AK278" i="4" s="1"/>
  <c r="AD278" i="4"/>
  <c r="AJ278" i="4" s="1"/>
  <c r="AE277" i="4"/>
  <c r="AK277" i="4" s="1"/>
  <c r="AD277" i="4"/>
  <c r="AJ277" i="4" s="1"/>
  <c r="AE276" i="4"/>
  <c r="AK276" i="4" s="1"/>
  <c r="AD276" i="4"/>
  <c r="AJ276" i="4" s="1"/>
  <c r="AE275" i="4"/>
  <c r="AK275" i="4" s="1"/>
  <c r="AD275" i="4"/>
  <c r="AJ275" i="4" s="1"/>
  <c r="AE274" i="4"/>
  <c r="AK274" i="4" s="1"/>
  <c r="AD274" i="4"/>
  <c r="AJ274" i="4" s="1"/>
  <c r="AE273" i="4"/>
  <c r="AK273" i="4" s="1"/>
  <c r="AD273" i="4"/>
  <c r="AJ273" i="4" s="1"/>
  <c r="AE272" i="4"/>
  <c r="AK272" i="4" s="1"/>
  <c r="AD272" i="4"/>
  <c r="AJ272" i="4" s="1"/>
  <c r="AE271" i="4"/>
  <c r="AK271" i="4" s="1"/>
  <c r="AD271" i="4"/>
  <c r="AJ271" i="4" s="1"/>
  <c r="AE270" i="4"/>
  <c r="AK270" i="4" s="1"/>
  <c r="AD270" i="4"/>
  <c r="AJ270" i="4" s="1"/>
  <c r="AE269" i="4"/>
  <c r="AK269" i="4" s="1"/>
  <c r="AD269" i="4"/>
  <c r="AJ269" i="4" s="1"/>
  <c r="AE268" i="4"/>
  <c r="AK268" i="4" s="1"/>
  <c r="AD268" i="4"/>
  <c r="AJ268" i="4" s="1"/>
  <c r="AE267" i="4"/>
  <c r="AK267" i="4" s="1"/>
  <c r="AD267" i="4"/>
  <c r="AJ267" i="4" s="1"/>
  <c r="AE266" i="4"/>
  <c r="AK266" i="4" s="1"/>
  <c r="AD266" i="4"/>
  <c r="AJ266" i="4" s="1"/>
  <c r="AE265" i="4"/>
  <c r="AK265" i="4" s="1"/>
  <c r="AD265" i="4"/>
  <c r="AJ265" i="4" s="1"/>
  <c r="AE264" i="4"/>
  <c r="AK264" i="4" s="1"/>
  <c r="AD264" i="4"/>
  <c r="AJ264" i="4" s="1"/>
  <c r="AE263" i="4"/>
  <c r="AK263" i="4" s="1"/>
  <c r="AD263" i="4"/>
  <c r="AJ263" i="4" s="1"/>
  <c r="AE262" i="4"/>
  <c r="AK262" i="4" s="1"/>
  <c r="AD262" i="4"/>
  <c r="AJ262" i="4" s="1"/>
  <c r="AE261" i="4"/>
  <c r="AK261" i="4" s="1"/>
  <c r="AD261" i="4"/>
  <c r="AJ261" i="4" s="1"/>
  <c r="AE260" i="4"/>
  <c r="AK260" i="4" s="1"/>
  <c r="AD260" i="4"/>
  <c r="AJ260" i="4" s="1"/>
  <c r="AE259" i="4"/>
  <c r="AK259" i="4" s="1"/>
  <c r="AD259" i="4"/>
  <c r="AJ259" i="4" s="1"/>
  <c r="AE258" i="4"/>
  <c r="AK258" i="4" s="1"/>
  <c r="AD258" i="4"/>
  <c r="AJ258" i="4" s="1"/>
  <c r="AE257" i="4"/>
  <c r="AK257" i="4" s="1"/>
  <c r="AD257" i="4"/>
  <c r="AJ257" i="4" s="1"/>
  <c r="AE256" i="4"/>
  <c r="AK256" i="4" s="1"/>
  <c r="AD256" i="4"/>
  <c r="AJ256" i="4" s="1"/>
  <c r="AE255" i="4"/>
  <c r="AK255" i="4" s="1"/>
  <c r="AD255" i="4"/>
  <c r="AJ255" i="4" s="1"/>
  <c r="AE254" i="4"/>
  <c r="AK254" i="4" s="1"/>
  <c r="AD254" i="4"/>
  <c r="AJ254" i="4" s="1"/>
  <c r="AE253" i="4"/>
  <c r="AK253" i="4" s="1"/>
  <c r="AD253" i="4"/>
  <c r="AJ253" i="4" s="1"/>
  <c r="AE252" i="4"/>
  <c r="AK252" i="4" s="1"/>
  <c r="AD252" i="4"/>
  <c r="AJ252" i="4" s="1"/>
  <c r="AE251" i="4"/>
  <c r="AK251" i="4" s="1"/>
  <c r="AD251" i="4"/>
  <c r="AJ251" i="4" s="1"/>
  <c r="AE250" i="4"/>
  <c r="AK250" i="4" s="1"/>
  <c r="AD250" i="4"/>
  <c r="AJ250" i="4" s="1"/>
  <c r="AE249" i="4"/>
  <c r="AK249" i="4" s="1"/>
  <c r="AD249" i="4"/>
  <c r="AJ249" i="4" s="1"/>
  <c r="AE248" i="4"/>
  <c r="AK248" i="4" s="1"/>
  <c r="AD248" i="4"/>
  <c r="AJ248" i="4" s="1"/>
  <c r="AE247" i="4"/>
  <c r="AK247" i="4" s="1"/>
  <c r="AD247" i="4"/>
  <c r="AJ247" i="4" s="1"/>
  <c r="AE246" i="4"/>
  <c r="AK246" i="4" s="1"/>
  <c r="AD246" i="4"/>
  <c r="AJ246" i="4" s="1"/>
  <c r="AE245" i="4"/>
  <c r="AK245" i="4" s="1"/>
  <c r="AD245" i="4"/>
  <c r="AJ245" i="4" s="1"/>
  <c r="AE244" i="4"/>
  <c r="AK244" i="4" s="1"/>
  <c r="AD244" i="4"/>
  <c r="AJ244" i="4" s="1"/>
  <c r="AE243" i="4"/>
  <c r="AK243" i="4" s="1"/>
  <c r="AD243" i="4"/>
  <c r="AJ243" i="4" s="1"/>
  <c r="AE242" i="4"/>
  <c r="AK242" i="4" s="1"/>
  <c r="AD242" i="4"/>
  <c r="AJ242" i="4" s="1"/>
  <c r="AE241" i="4"/>
  <c r="AK241" i="4" s="1"/>
  <c r="AD241" i="4"/>
  <c r="AJ241" i="4" s="1"/>
  <c r="AE240" i="4"/>
  <c r="AK240" i="4" s="1"/>
  <c r="AD240" i="4"/>
  <c r="AJ240" i="4" s="1"/>
  <c r="AE239" i="4"/>
  <c r="AK239" i="4" s="1"/>
  <c r="AD239" i="4"/>
  <c r="AJ239" i="4" s="1"/>
  <c r="AE238" i="4"/>
  <c r="AK238" i="4" s="1"/>
  <c r="AD238" i="4"/>
  <c r="AJ238" i="4" s="1"/>
  <c r="AE237" i="4"/>
  <c r="AK237" i="4" s="1"/>
  <c r="AD237" i="4"/>
  <c r="AJ237" i="4" s="1"/>
  <c r="AE236" i="4"/>
  <c r="AK236" i="4" s="1"/>
  <c r="AD236" i="4"/>
  <c r="AJ236" i="4" s="1"/>
  <c r="AE235" i="4"/>
  <c r="AK235" i="4" s="1"/>
  <c r="AD235" i="4"/>
  <c r="AJ235" i="4" s="1"/>
  <c r="AE234" i="4"/>
  <c r="AK234" i="4" s="1"/>
  <c r="AD234" i="4"/>
  <c r="AJ234" i="4" s="1"/>
  <c r="AE233" i="4"/>
  <c r="AK233" i="4" s="1"/>
  <c r="AD233" i="4"/>
  <c r="AJ233" i="4" s="1"/>
  <c r="AE232" i="4"/>
  <c r="AK232" i="4" s="1"/>
  <c r="AD232" i="4"/>
  <c r="AJ232" i="4" s="1"/>
  <c r="AE231" i="4"/>
  <c r="AK231" i="4" s="1"/>
  <c r="AD231" i="4"/>
  <c r="AJ231" i="4" s="1"/>
  <c r="AE230" i="4"/>
  <c r="AK230" i="4" s="1"/>
  <c r="AD230" i="4"/>
  <c r="AJ230" i="4" s="1"/>
  <c r="AE229" i="4"/>
  <c r="AK229" i="4" s="1"/>
  <c r="AD229" i="4"/>
  <c r="AJ229" i="4" s="1"/>
  <c r="AE228" i="4"/>
  <c r="AK228" i="4" s="1"/>
  <c r="AD228" i="4"/>
  <c r="AJ228" i="4" s="1"/>
  <c r="AE227" i="4"/>
  <c r="AK227" i="4" s="1"/>
  <c r="AD227" i="4"/>
  <c r="AJ227" i="4" s="1"/>
  <c r="AE226" i="4"/>
  <c r="AK226" i="4" s="1"/>
  <c r="AD226" i="4"/>
  <c r="AJ226" i="4" s="1"/>
  <c r="AE225" i="4"/>
  <c r="AK225" i="4" s="1"/>
  <c r="AD225" i="4"/>
  <c r="AJ225" i="4" s="1"/>
  <c r="AE224" i="4"/>
  <c r="AK224" i="4" s="1"/>
  <c r="AD224" i="4"/>
  <c r="AJ224" i="4" s="1"/>
  <c r="AE223" i="4"/>
  <c r="AK223" i="4" s="1"/>
  <c r="AD223" i="4"/>
  <c r="AJ223" i="4" s="1"/>
  <c r="AE222" i="4"/>
  <c r="AK222" i="4" s="1"/>
  <c r="AD222" i="4"/>
  <c r="AJ222" i="4" s="1"/>
  <c r="AE221" i="4"/>
  <c r="AK221" i="4" s="1"/>
  <c r="AD221" i="4"/>
  <c r="AJ221" i="4" s="1"/>
  <c r="AE220" i="4"/>
  <c r="AK220" i="4" s="1"/>
  <c r="AD220" i="4"/>
  <c r="AJ220" i="4" s="1"/>
  <c r="AE219" i="4"/>
  <c r="AK219" i="4" s="1"/>
  <c r="AD219" i="4"/>
  <c r="AJ219" i="4" s="1"/>
  <c r="AE218" i="4"/>
  <c r="AK218" i="4" s="1"/>
  <c r="AD218" i="4"/>
  <c r="AJ218" i="4" s="1"/>
  <c r="AE217" i="4"/>
  <c r="AK217" i="4" s="1"/>
  <c r="AD217" i="4"/>
  <c r="AJ217" i="4" s="1"/>
  <c r="AE216" i="4"/>
  <c r="AK216" i="4" s="1"/>
  <c r="AD216" i="4"/>
  <c r="AJ216" i="4" s="1"/>
  <c r="AE215" i="4"/>
  <c r="AK215" i="4" s="1"/>
  <c r="AD215" i="4"/>
  <c r="AJ215" i="4" s="1"/>
  <c r="AE214" i="4"/>
  <c r="AK214" i="4" s="1"/>
  <c r="AD214" i="4"/>
  <c r="AJ214" i="4" s="1"/>
  <c r="AE213" i="4"/>
  <c r="AK213" i="4" s="1"/>
  <c r="AD213" i="4"/>
  <c r="AJ213" i="4" s="1"/>
  <c r="AE212" i="4"/>
  <c r="AK212" i="4" s="1"/>
  <c r="AD212" i="4"/>
  <c r="AJ212" i="4" s="1"/>
  <c r="AE211" i="4"/>
  <c r="AK211" i="4" s="1"/>
  <c r="AD211" i="4"/>
  <c r="AJ211" i="4" s="1"/>
  <c r="AE210" i="4"/>
  <c r="AK210" i="4" s="1"/>
  <c r="AD210" i="4"/>
  <c r="AJ210" i="4" s="1"/>
  <c r="AE209" i="4"/>
  <c r="AK209" i="4" s="1"/>
  <c r="AD209" i="4"/>
  <c r="AJ209" i="4" s="1"/>
  <c r="AE208" i="4"/>
  <c r="AK208" i="4" s="1"/>
  <c r="AD208" i="4"/>
  <c r="AJ208" i="4" s="1"/>
  <c r="AE207" i="4"/>
  <c r="AK207" i="4" s="1"/>
  <c r="AD207" i="4"/>
  <c r="AJ207" i="4" s="1"/>
  <c r="AE206" i="4"/>
  <c r="AK206" i="4" s="1"/>
  <c r="AD206" i="4"/>
  <c r="AJ206" i="4" s="1"/>
  <c r="AE205" i="4"/>
  <c r="AK205" i="4" s="1"/>
  <c r="AD205" i="4"/>
  <c r="AJ205" i="4" s="1"/>
  <c r="AE204" i="4"/>
  <c r="AK204" i="4" s="1"/>
  <c r="AD204" i="4"/>
  <c r="AJ204" i="4" s="1"/>
  <c r="AE203" i="4"/>
  <c r="AK203" i="4" s="1"/>
  <c r="AD203" i="4"/>
  <c r="AJ203" i="4" s="1"/>
  <c r="AE202" i="4"/>
  <c r="AK202" i="4" s="1"/>
  <c r="AD202" i="4"/>
  <c r="AJ202" i="4" s="1"/>
  <c r="AE201" i="4"/>
  <c r="AK201" i="4" s="1"/>
  <c r="AD201" i="4"/>
  <c r="AJ201" i="4" s="1"/>
  <c r="AE200" i="4"/>
  <c r="AK200" i="4" s="1"/>
  <c r="AD200" i="4"/>
  <c r="AJ200" i="4" s="1"/>
  <c r="AE199" i="4"/>
  <c r="AK199" i="4" s="1"/>
  <c r="AD199" i="4"/>
  <c r="AJ199" i="4" s="1"/>
  <c r="AE198" i="4"/>
  <c r="AK198" i="4" s="1"/>
  <c r="AD198" i="4"/>
  <c r="AJ198" i="4" s="1"/>
  <c r="AE197" i="4"/>
  <c r="AK197" i="4" s="1"/>
  <c r="AD197" i="4"/>
  <c r="AJ197" i="4" s="1"/>
  <c r="AE196" i="4"/>
  <c r="AK196" i="4" s="1"/>
  <c r="AD196" i="4"/>
  <c r="AJ196" i="4" s="1"/>
  <c r="AE195" i="4"/>
  <c r="AK195" i="4" s="1"/>
  <c r="AD195" i="4"/>
  <c r="AJ195" i="4" s="1"/>
  <c r="AE194" i="4"/>
  <c r="AK194" i="4" s="1"/>
  <c r="AD194" i="4"/>
  <c r="AJ194" i="4" s="1"/>
  <c r="AE193" i="4"/>
  <c r="AK193" i="4" s="1"/>
  <c r="AD193" i="4"/>
  <c r="AJ193" i="4" s="1"/>
  <c r="AE192" i="4"/>
  <c r="AK192" i="4" s="1"/>
  <c r="AD192" i="4"/>
  <c r="AJ192" i="4" s="1"/>
  <c r="AE191" i="4"/>
  <c r="AK191" i="4" s="1"/>
  <c r="AD191" i="4"/>
  <c r="AJ191" i="4" s="1"/>
  <c r="AE190" i="4"/>
  <c r="AK190" i="4" s="1"/>
  <c r="AD190" i="4"/>
  <c r="AJ190" i="4" s="1"/>
  <c r="AE189" i="4"/>
  <c r="AK189" i="4" s="1"/>
  <c r="AD189" i="4"/>
  <c r="AJ189" i="4" s="1"/>
  <c r="AE188" i="4"/>
  <c r="AK188" i="4" s="1"/>
  <c r="AD188" i="4"/>
  <c r="AJ188" i="4" s="1"/>
  <c r="AE187" i="4"/>
  <c r="AK187" i="4" s="1"/>
  <c r="AD187" i="4"/>
  <c r="AJ187" i="4" s="1"/>
  <c r="AE186" i="4"/>
  <c r="AK186" i="4" s="1"/>
  <c r="AD186" i="4"/>
  <c r="AJ186" i="4" s="1"/>
  <c r="AE185" i="4"/>
  <c r="AK185" i="4" s="1"/>
  <c r="AD185" i="4"/>
  <c r="AJ185" i="4" s="1"/>
  <c r="AE184" i="4"/>
  <c r="AK184" i="4" s="1"/>
  <c r="AD184" i="4"/>
  <c r="AJ184" i="4" s="1"/>
  <c r="AE183" i="4"/>
  <c r="AK183" i="4" s="1"/>
  <c r="AD183" i="4"/>
  <c r="AJ183" i="4" s="1"/>
  <c r="AE182" i="4"/>
  <c r="AK182" i="4" s="1"/>
  <c r="AD182" i="4"/>
  <c r="AJ182" i="4" s="1"/>
  <c r="AE181" i="4"/>
  <c r="AK181" i="4" s="1"/>
  <c r="AD181" i="4"/>
  <c r="AJ181" i="4" s="1"/>
  <c r="B2" i="4"/>
  <c r="V37" i="1"/>
  <c r="V34" i="1"/>
  <c r="V33" i="1"/>
  <c r="V32" i="1"/>
  <c r="V29" i="1"/>
  <c r="E13" i="1"/>
  <c r="P7" i="1" s="1"/>
  <c r="U12" i="1"/>
  <c r="U11" i="1"/>
  <c r="U10" i="1"/>
  <c r="U9" i="1"/>
  <c r="U8" i="1"/>
  <c r="K3" i="1"/>
  <c r="E3" i="1"/>
  <c r="D3" i="1"/>
  <c r="B3" i="1"/>
  <c r="P8" i="1" l="1"/>
  <c r="P9" i="1"/>
  <c r="V30" i="1"/>
  <c r="M3" i="1"/>
  <c r="P6" i="1"/>
</calcChain>
</file>

<file path=xl/sharedStrings.xml><?xml version="1.0" encoding="utf-8"?>
<sst xmlns="http://schemas.openxmlformats.org/spreadsheetml/2006/main" count="6297" uniqueCount="144">
  <si>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</si>
  <si>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</si>
  <si>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</si>
  <si>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</si>
  <si>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</si>
  <si>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</si>
  <si>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</si>
  <si>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</si>
  <si>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</si>
  <si>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</si>
  <si>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</si>
  <si>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</si>
  <si>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</si>
  <si>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</si>
  <si>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</si>
  <si>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</si>
  <si>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</si>
  <si>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</si>
  <si>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</si>
  <si>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</si>
  <si>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</si>
  <si>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</si>
  <si>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</si>
  <si>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</si>
  <si>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</si>
  <si>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</si>
  <si>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</si>
  <si>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</si>
  <si>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</si>
  <si>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</si>
  <si>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</si>
  <si>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</si>
  <si>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</si>
  <si>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</si>
  <si>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</si>
  <si>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</si>
  <si>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</si>
  <si>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</si>
  <si>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</si>
  <si>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</si>
  <si>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</si>
  <si>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</si>
  <si>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</si>
  <si>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</si>
  <si>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</si>
  <si>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</si>
  <si>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</si>
  <si>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</si>
  <si>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</si>
  <si>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</si>
  <si>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</si>
  <si>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</si>
  <si>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</si>
  <si>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</si>
  <si>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</si>
  <si>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</si>
  <si>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</si>
  <si>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</si>
  <si>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</si>
  <si>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</si>
  <si>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</si>
  <si>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</si>
  <si>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</si>
  <si>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</si>
  <si>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</si>
  <si>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</si>
  <si>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</si>
  <si>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</si>
  <si>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</si>
  <si>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</si>
  <si>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</si>
  <si>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</si>
  <si>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</si>
  <si>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</si>
  <si>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</si>
  <si>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</si>
  <si>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</si>
  <si>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</si>
  <si>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</si>
  <si>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</si>
  <si>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</si>
  <si>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</si>
  <si>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</si>
  <si>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</si>
  <si>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</si>
  <si>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</si>
  <si>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</si>
  <si>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</si>
  <si>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</si>
  <si>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</si>
  <si>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</si>
  <si>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</si>
  <si>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</si>
  <si>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</si>
  <si>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</si>
  <si>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</si>
  <si>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</si>
  <si>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</si>
  <si>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</si>
  <si>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</si>
  <si>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</si>
  <si>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</si>
  <si>
    <t>Importation d ''un fichier Brut et Net (complet Homme Dame) FFGolf pour 1 Tour (2024) [auto] (Clean import =Faux) - Tour 1</t>
  </si>
  <si>
    <t>C:\dev-data\golf\ASGLM LGS\LGS_Application\T1\2d. Extraction XLS globale.xls</t>
  </si>
  <si>
    <t>Calcul du Tour 1</t>
  </si>
  <si>
    <t>Nan</t>
  </si>
  <si>
    <t>ALL - Dames</t>
  </si>
  <si>
    <t>ALL - Messieurs</t>
  </si>
  <si>
    <t>EffacementAll</t>
  </si>
  <si>
    <t>EffacementImport</t>
  </si>
  <si>
    <t>EffacementResultat</t>
  </si>
  <si>
    <t>EffacementImportForced</t>
  </si>
  <si>
    <t>Importation d ''un fichier Brut et Net (complet Homme Dame) FFGolf pour 1 Tour (2024) [manual] (Clean import =Faux) - Tour 1</t>
  </si>
  <si>
    <t>Importation et generation de tous les tours depuis un repertoire HOMME/DAME</t>
  </si>
  <si>
    <t>C:\dev-data\golf\ASGLM LGS\LGS_Application</t>
  </si>
  <si>
    <t>Importation et generation de tous les tours depuis un repertoire HOMME/DAME - Tour 1</t>
  </si>
  <si>
    <t>Importation et generation de tous les tours depuis un repertoire HOMME/DAME - Tour 2</t>
  </si>
  <si>
    <t>C:\dev-data\golf\ASGLM LGS\LGS_Application\T2\2d. Extraction XLS globale.xls</t>
  </si>
  <si>
    <t>Calcul du Tour 2</t>
  </si>
  <si>
    <t>Importation et generation de tous les tours depuis un repertoire HOMME/DAME - Tour 3</t>
  </si>
  <si>
    <t>C:\dev-data\golf\ASGLM LGS\LGS_Application\T3\2d. Extraction XLS globale.xls</t>
  </si>
  <si>
    <t>Calcul du Tour 3</t>
  </si>
  <si>
    <t>Importation et generation de tous les tours depuis un repertoire HOMME/DAME - Tour 4</t>
  </si>
  <si>
    <t>C:\dev-data\golf\ASGLM LGS\LGS_Application\T4\2d. Extraction XLS globale.xls</t>
  </si>
  <si>
    <t>Calcul du Tour 4</t>
  </si>
  <si>
    <t>Importation et generation de tous les tours depuis un repertoire HOMME/DAME - Tour 5</t>
  </si>
  <si>
    <t>C:\dev-data\golf\ASGLM LGS\LGS_Application\T5\2d. Extraction XLS globale.xls</t>
  </si>
  <si>
    <t>Calcul du Tour 5</t>
  </si>
  <si>
    <t>Importation et generation de tous les tours depuis un repertoire HOMME/DAME - Tour 6</t>
  </si>
  <si>
    <t>C:\dev-data\golf\ASGLM LGS\LGS_Application\T6\2d. Extraction XLS globale.xls</t>
  </si>
  <si>
    <t>Calcul du Tour 6</t>
  </si>
  <si>
    <t>Importation et generation de tous les tours depuis un repertoire HOMME/DAME - Tour 7</t>
  </si>
  <si>
    <t>C:\dev-data\golf\ASGLM LGS\LGS_Application\Finale\2d. Extraction XLS globale.xls</t>
  </si>
  <si>
    <t>Calcul du Tour 7</t>
  </si>
  <si>
    <t>Importation d ''un fichier Brut et Net (complet Homme Dame) FFGolf pour 1 Tour (2024) [auto] (Clean import =Faux) - Tour 7</t>
  </si>
  <si>
    <t>Importation d ''un fichier Brut et Net (complet Homme Dame) FFGolf pour 1 Tour (2024) [manual] (Clean import =) - Tour 1</t>
  </si>
  <si>
    <t>Resultat LGS (ALL)</t>
  </si>
  <si>
    <t>Importation d ''un fichier Brut et Net (complet Homme Dame) FFGolf pour 1 Tour (2024) [auto] (Clean import =Faux) - Tour 2</t>
  </si>
  <si>
    <t>Importation d ''un fichier Brut et Net (complet Homme Dame) FFGolf pour 1 Tour (2024) [auto] (Clean import =Faux) - Tour 3</t>
  </si>
  <si>
    <t>Importation d ''un fichier Brut et Net (complet Homme Dame) FFGolf pour 1 Tour (2024) [auto] (Clean import =Faux) - Tour 4</t>
  </si>
  <si>
    <t>Importation d ''un fichier Brut et Net (complet Homme Dame) FFGolf pour 1 Tour (2024) [auto] (Clean import =Faux) - Tour 5</t>
  </si>
  <si>
    <t>Importation d ''un fichier Brut et Net (complet Homme Dame) FFGolf pour 1 Tour (2024) [auto] (Clean import =Faux) - Tour 6</t>
  </si>
  <si>
    <t>C:\Users\jerom\OneDrive\Documents\ia</t>
  </si>
  <si>
    <t>C:\MyTempDesktop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</si>
</sst>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i/>
      <sz val="8"/>
      <color rgb="FF000000"/>
      <name val="Calibri"/>
      <family val="2"/>
    </font>
    <font>
      <b/>
      <sz val="10"/>
      <color rgb="FF000000"/>
      <name val="Calibri"/>
      <family val="2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3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5" fillId="0" borderId="0" xfId="0" applyFont="1"/>
    <xf numFmtId="0" fontId="0" fillId="21" borderId="46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7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0" fillId="0" borderId="29" xfId="0" applyBorder="1"/>
    <xf numFmtId="0" fontId="0" fillId="0" borderId="49" xfId="0" applyBorder="1"/>
    <xf numFmtId="0" fontId="0" fillId="0" borderId="48" xfId="0" applyBorder="1"/>
    <xf numFmtId="0" fontId="0" fillId="0" borderId="30" xfId="0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50" xfId="0" applyFill="1" applyBorder="1"/>
    <xf numFmtId="0" fontId="0" fillId="13" borderId="3" xfId="0" applyFill="1" applyBorder="1"/>
    <xf numFmtId="0" fontId="0" fillId="13" borderId="56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58" xfId="0" applyFill="1" applyBorder="1" applyAlignment="1">
      <alignment horizontal="left"/>
    </xf>
    <xf numFmtId="0" fontId="0" fillId="13" borderId="51" xfId="0" applyFill="1" applyBorder="1" applyAlignment="1">
      <alignment horizontal="left" vertical="center"/>
    </xf>
    <xf numFmtId="0" fontId="1" fillId="13" borderId="48" xfId="0" applyFont="1" applyFill="1" applyBorder="1" applyAlignment="1">
      <alignment horizontal="center"/>
    </xf>
    <xf numFmtId="0" fontId="1" fillId="13" borderId="50" xfId="0" applyFont="1" applyFill="1" applyBorder="1" applyAlignment="1">
      <alignment horizontal="center" vertical="center"/>
    </xf>
    <xf numFmtId="0" fontId="1" fillId="13" borderId="56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58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59" xfId="0" applyFont="1" applyBorder="1"/>
    <xf numFmtId="0" fontId="12" fillId="0" borderId="60" xfId="0" applyFont="1" applyBorder="1"/>
    <xf numFmtId="0" fontId="13" fillId="0" borderId="60" xfId="0" applyFont="1" applyBorder="1"/>
    <xf numFmtId="0" fontId="14" fillId="0" borderId="60" xfId="0" applyFont="1" applyBorder="1"/>
    <xf numFmtId="0" fontId="14" fillId="0" borderId="61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0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22" fontId="0" fillId="0" borderId="0" xfId="0" applyNumberFormat="1"/>
    <xf numFmtId="0" fontId="12" fillId="0" borderId="62" xfId="0" applyFont="1" applyBorder="1"/>
    <xf numFmtId="0" fontId="12" fillId="0" borderId="63" xfId="0" applyFont="1" applyBorder="1"/>
    <xf numFmtId="0" fontId="13" fillId="0" borderId="63" xfId="0" applyFont="1" applyBorder="1"/>
    <xf numFmtId="0" fontId="14" fillId="0" borderId="63" xfId="0" applyFont="1" applyBorder="1"/>
    <xf numFmtId="0" fontId="14" fillId="0" borderId="64" xfId="0" applyFont="1" applyBorder="1"/>
    <xf numFmtId="0" fontId="12" fillId="0" borderId="64" xfId="0" applyFont="1" applyBorder="1"/>
    <xf numFmtId="0" fontId="13" fillId="0" borderId="64" xfId="0" applyFont="1" applyBorder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0" xfId="0" applyFont="1" applyFill="1" applyBorder="1" applyAlignment="1">
      <alignment horizontal="center" vertical="center"/>
    </xf>
    <xf numFmtId="0" fontId="17" fillId="22" borderId="55" xfId="0" applyFont="1" applyFill="1" applyBorder="1" applyAlignment="1">
      <alignment horizontal="center" vertical="center"/>
    </xf>
    <xf numFmtId="0" fontId="17" fillId="22" borderId="51" xfId="0" applyFont="1" applyFill="1" applyBorder="1" applyAlignment="1">
      <alignment horizontal="center" vertical="center"/>
    </xf>
    <xf numFmtId="0" fontId="0" fillId="23" borderId="52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5" xfId="0" applyFill="1" applyBorder="1" applyAlignment="1">
      <alignment horizontal="left" vertical="center"/>
    </xf>
    <xf numFmtId="0" fontId="0" fillId="23" borderId="49" xfId="0" applyFill="1" applyBorder="1" applyAlignment="1">
      <alignment horizontal="left" vertical="center"/>
    </xf>
    <xf numFmtId="0" fontId="0" fillId="0" borderId="48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6072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22" fmlaLink="TourSelected" fmlaRange="ListTours" sel="2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22" fmlaLink="$F$13" fmlaRange="$AB$8:$AB$10" sel="2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109113</xdr:colOff>
      <xdr:row>5</xdr:row>
      <xdr:rowOff>162806</xdr:rowOff>
    </xdr:from>
    <xdr:to>
      <xdr:col>13</xdr:col>
      <xdr:colOff>2142004</xdr:colOff>
      <xdr:row>9</xdr:row>
      <xdr:rowOff>344877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5" y="1238571"/>
          <a:ext cx="4139597" cy="1224218"/>
          <a:chOff x="8439149" y="1257299"/>
          <a:chExt cx="4581525" cy="1200159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06"/>
            <a:ext cx="4533904" cy="1200152"/>
            <a:chOff x="7698064" y="870453"/>
            <a:chExt cx="3897983" cy="100750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3"/>
                  <a:ext cx="1948990" cy="38381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2" cy="342901"/>
              <a:chOff x="7724775" y="1535061"/>
              <a:chExt cx="3871272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830" cy="333376"/>
                <a:chOff x="7724775" y="1544583"/>
                <a:chExt cx="1790830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830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676" y="1535061"/>
                <a:ext cx="1596371" cy="342901"/>
                <a:chOff x="9999676" y="1535061"/>
                <a:chExt cx="1596371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676" y="1535061"/>
                      <a:ext cx="1596371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6071" tableBorderDxfId="6070">
  <tableColumns count="4">
    <tableColumn id="1" xr3:uid="{86185E31-EC52-4ECC-BC3E-33C26B14F7C2}" name="Series" dataDxfId="6069">
      <calculatedColumnFormula>_xlfn.CONCAT($V$7," ",V8)</calculatedColumnFormula>
    </tableColumn>
    <tableColumn id="2" xr3:uid="{788D8AF7-A2FF-4152-9FEC-3D734C94A926}" name="Serie" dataDxfId="6068"/>
    <tableColumn id="3" xr3:uid="{98F42830-BCA0-414B-9FEF-78FCD5DB348B}" name="indexMin" dataDxfId="6067"/>
    <tableColumn id="4" xr3:uid="{E4B94243-8BBE-45E2-AAC0-0D18C5A6695E}" name="indexMax" dataDxfId="606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6065" dataDxfId="6063" headerRowBorderDxfId="6064" tableBorderDxfId="6062">
  <tableColumns count="1">
    <tableColumn id="1" xr3:uid="{8473C081-0E42-4FA9-8C99-E5B7E8CD3209}" name="Tours" dataDxfId="606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6060" headerRowBorderDxfId="6059" tableBorderDxfId="6058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6057" dataDxfId="6056" tableBorderDxfId="6055">
  <autoFilter ref="D12:F13" xr:uid="{FCA0E9AA-8BD9-46EB-B07B-67F06EACCB48}"/>
  <tableColumns count="3">
    <tableColumn id="1" xr3:uid="{47561816-2B53-47F6-822E-269C476F3FFD}" name="Tour importé" dataDxfId="6054"/>
    <tableColumn id="2" xr3:uid="{E2C3F515-D8A3-4FC2-B632-32DB6D91A198}" name="Type" dataDxfId="6053">
      <calculatedColumnFormula>INDEX(TableauType[TYPE],Tableau6[[#This Row],[TypeIndex]])</calculatedColumnFormula>
    </tableColumn>
    <tableColumn id="3" xr3:uid="{617E6B65-5E58-4C9B-9DC4-488608A74753}" name="TypeIndex" dataDxfId="6052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6051" dataDxfId="6050">
  <autoFilter ref="AD7:AD15" xr:uid="{9029752C-EFC9-4C60-BDF1-B009EF2F440D}"/>
  <tableColumns count="1">
    <tableColumn id="1" xr3:uid="{47EFDC89-116E-4E91-94A2-C4CDC0579100}" name="Fichiers" dataDxfId="604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6048" headerRowBorderDxfId="6047" tableBorderDxfId="6046" totalsRowBorderDxfId="6045">
  <autoFilter ref="U18:V22" xr:uid="{BBFFD128-4797-4BD5-B581-AA8D8277F8F3}"/>
  <tableColumns count="2">
    <tableColumn id="1" xr3:uid="{903026A3-43DC-4900-8F6E-2271BCA97B81}" name="Colonne1" dataDxfId="6044"/>
    <tableColumn id="2" xr3:uid="{C9FC1671-8A12-4C52-9797-E5DB3A7B67E7}" name="Colonne2" dataDxfId="6043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6042" tableBorderDxfId="6041">
  <autoFilter ref="B3:AK350" xr:uid="{757563A6-7DEF-4C3D-A97A-B10AA5BF5A55}"/>
  <sortState xmlns:xlrd2="http://schemas.microsoft.com/office/spreadsheetml/2017/richdata2" ref="B5:AK349">
    <sortCondition ref="AE3:AE350"/>
  </sortState>
  <tableColumns count="36">
    <tableColumn id="1" xr3:uid="{46FBD385-6600-4EA5-9FBF-8661E23C917F}" name="Nom - Prénom" dataDxfId="6040"/>
    <tableColumn id="2" xr3:uid="{ECBEFB46-CF2E-4172-8E5C-37DBEC25E1AE}" name="Club" dataDxfId="6039"/>
    <tableColumn id="3" xr3:uid="{FBA83F7F-D4E7-4A15-99EC-CE8D436D7EB3}" name="Index" dataDxfId="6038"/>
    <tableColumn id="4" xr3:uid="{0090B21E-C7ED-4CC4-A4C8-7AED1146F2F9}" name="Série" dataDxfId="6037"/>
    <tableColumn id="5" xr3:uid="{7D4E8E6A-E590-441A-A2B5-664E220061CC}" name="Score     Net1" dataDxfId="6036"/>
    <tableColumn id="6" xr3:uid="{84241967-A195-4D05-9846-F0E084774539}" name="Rang   Net1" dataDxfId="6035"/>
    <tableColumn id="7" xr3:uid="{F27CD3EA-D421-4623-93DF-5DFCAA423771}" name="Score    Brut1" dataDxfId="6034"/>
    <tableColumn id="8" xr3:uid="{62D1F21B-032A-484B-BC39-395CC4756A54}" name="Rang   Brut1" dataDxfId="6033"/>
    <tableColumn id="9" xr3:uid="{D3289CF1-FAC6-4CC0-B2B6-80CBB0406845}" name="Score      Net2" dataDxfId="6032"/>
    <tableColumn id="10" xr3:uid="{2F18A068-FD19-4313-83C9-0AB3AA88EE3F}" name="Rang      Net2" dataDxfId="6031"/>
    <tableColumn id="11" xr3:uid="{A7248FAA-403B-4BFE-B0D4-859E30DE4A95}" name="Score      Brut2" dataDxfId="6030"/>
    <tableColumn id="12" xr3:uid="{4F6F4506-16A0-4352-A12B-8992CD80B9B6}" name="Rang      Brut2" dataDxfId="6029"/>
    <tableColumn id="13" xr3:uid="{68CAD2A6-712A-4B66-A7A3-D58BF5303438}" name="Score      Net3" dataDxfId="6028"/>
    <tableColumn id="14" xr3:uid="{9F172573-6C25-46FC-BE9F-F56834E813D9}" name="Rang      Net3" dataDxfId="6027"/>
    <tableColumn id="15" xr3:uid="{618A094F-BB99-4883-A19C-4EBA6E699BCF}" name="Score      Brut3" dataDxfId="6026"/>
    <tableColumn id="16" xr3:uid="{0E544C66-61C9-46D5-A427-A9677AE96910}" name="Rang      Brut3" dataDxfId="6025"/>
    <tableColumn id="17" xr3:uid="{24730B87-D2CD-487D-99BD-EACD109C443F}" name="Score        Net4" dataDxfId="6024"/>
    <tableColumn id="18" xr3:uid="{F0B85087-E217-4534-9BC7-B04BDDCCA8B9}" name="Rang        Net4" dataDxfId="6023"/>
    <tableColumn id="19" xr3:uid="{7DDCD1A6-A182-48A1-9F3F-836B917D0B07}" name="Score        Brut4" dataDxfId="6022"/>
    <tableColumn id="20" xr3:uid="{8EABA2E9-9ADA-4192-8BB2-2F58072A8E01}" name="Rang        Brut4" dataDxfId="6021"/>
    <tableColumn id="21" xr3:uid="{79E31DB6-4982-4160-9B1D-20DE3F5E1BB8}" name="Score        Net5" dataDxfId="6020"/>
    <tableColumn id="22" xr3:uid="{DB589AF3-34B3-447A-A354-D474E90FDB4F}" name="Rang        Net5" dataDxfId="6019"/>
    <tableColumn id="23" xr3:uid="{EC9FE005-CE9F-448B-81FE-28EDD1A971F9}" name="Score        Brut5" dataDxfId="6018"/>
    <tableColumn id="24" xr3:uid="{220294A2-C79D-45F3-9AE5-D46451BBF584}" name="Rang        Brut5" dataDxfId="6017"/>
    <tableColumn id="25" xr3:uid="{A772CA9D-C689-4C9F-9855-E6A692839D23}" name="Score        Net6" dataDxfId="6016"/>
    <tableColumn id="26" xr3:uid="{D2589416-857A-4C41-AC6D-96D41817DEC7}" name="Rang        Net6" dataDxfId="6015"/>
    <tableColumn id="27" xr3:uid="{27ADC7D0-24DE-4505-9913-856D8DE338A9}" name="Score        Brut6" dataDxfId="6014"/>
    <tableColumn id="28" xr3:uid="{ABDBDCB4-7B27-49F8-BC7A-7843BC9FF7A5}" name="Rang        Brut6" dataDxfId="6013"/>
    <tableColumn id="29" xr3:uid="{941D9336-449B-439E-B469-314E549EA186}" name="Score Net Max" dataDxfId="6012">
      <calculatedColumnFormula>IF(MIN(F4,J4,N4,R4,V4,Z4)&lt;&gt;0,MIN(F4,J4,N4,R4,V4,Z4),"")</calculatedColumnFormula>
    </tableColumn>
    <tableColumn id="30" xr3:uid="{90574FCA-077D-4C2D-95A6-25042040131A}" name="Score Brut Max" dataDxfId="6011">
      <calculatedColumnFormula>IF(MIN(H4,L4,P4,T4,X4,AB4)&lt;&gt;0,MIN(H4,L4,P4,T4,X4,AB4),"")</calculatedColumnFormula>
    </tableColumn>
    <tableColumn id="31" xr3:uid="{7D46739F-AA9F-4F4C-8559-42672BDC3359}" name="Score Net Finale" dataDxfId="6010"/>
    <tableColumn id="32" xr3:uid="{11EAF1CA-8CD4-40A4-91A3-87D38FCF3433}" name="Rang Net Finale" dataDxfId="6009"/>
    <tableColumn id="33" xr3:uid="{66A96B4D-B263-479C-A036-CA0A68FB1450}" name="Score Brut Finale" dataDxfId="6008"/>
    <tableColumn id="34" xr3:uid="{AB46E898-F45B-460F-A38E-C5A2BFD53000}" name="Rang Brut Finale" dataDxfId="6007"/>
    <tableColumn id="35" xr3:uid="{E7B91838-CDE0-4965-B3BE-53C906009CF4}" name="Score Net LGS" dataDxfId="6006">
      <calculatedColumnFormula>IF(AD4="","",IF(ISBLANK(AF4),"En cours",AD4+AF4))</calculatedColumnFormula>
    </tableColumn>
    <tableColumn id="36" xr3:uid="{2A90CEF2-3F60-4761-BD52-022404B7522C}" name="Score Brut LGS" dataDxfId="6005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6004" tableBorderDxfId="6003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6002"/>
    <tableColumn id="2" xr3:uid="{6DF6013E-11A9-4F6E-B527-4EB5242D32FC}" name="Club" dataDxfId="6001"/>
    <tableColumn id="3" xr3:uid="{809481FC-1207-4212-8E64-39319F31B86C}" name="Index" dataDxfId="6000"/>
    <tableColumn id="4" xr3:uid="{61BCE2E5-DC5C-48C2-BA39-6573DBA32351}" name="Série" dataDxfId="5999"/>
    <tableColumn id="5" xr3:uid="{5210E73B-D34C-4FAE-A187-64170B309A2C}" name="Score     Net1" dataDxfId="5998"/>
    <tableColumn id="6" xr3:uid="{0C146610-8133-4769-A4EC-4AF4A9EB4EEA}" name="Rang   Net1" dataDxfId="5997"/>
    <tableColumn id="7" xr3:uid="{DC3B3441-4412-46B5-8015-7E44D9FF0A16}" name="Score    Brut1" dataDxfId="5996"/>
    <tableColumn id="8" xr3:uid="{780A2D1B-C1E0-4E66-A641-80609193E5ED}" name="Rang   Brut1" dataDxfId="5995"/>
    <tableColumn id="9" xr3:uid="{A286DE62-5493-4750-8D3A-4E0268951135}" name="Score      Net2" dataDxfId="5994"/>
    <tableColumn id="10" xr3:uid="{9AA9E923-19AE-4E9C-B03E-6CCB420B0DE0}" name="Rang      Net2" dataDxfId="5993"/>
    <tableColumn id="11" xr3:uid="{13D9FCED-A177-4823-BBF5-CB6BBFD92170}" name="Score      Brut2" dataDxfId="5992"/>
    <tableColumn id="12" xr3:uid="{AE79BCC0-99C9-4A29-85F9-06518743CC41}" name="Rang      Brut2" dataDxfId="5991"/>
    <tableColumn id="13" xr3:uid="{6260EBE1-C4F8-4892-8111-6848B59FFDDC}" name="Score      Net3" dataDxfId="5990"/>
    <tableColumn id="14" xr3:uid="{70D3C91B-53A9-4C67-AA7C-86DB6FCC84EA}" name="Rang      Net3" dataDxfId="5989"/>
    <tableColumn id="15" xr3:uid="{316ABADB-80DF-4341-9456-B07A916EE828}" name="Score      Brut3" dataDxfId="5988"/>
    <tableColumn id="16" xr3:uid="{5F33B9A2-6C2B-44A9-B727-D955FDD7A57E}" name="Rang      Brut3" dataDxfId="5987"/>
    <tableColumn id="17" xr3:uid="{7405128E-0D40-44C5-B3B7-9098CE3F571B}" name="Score        Net4" dataDxfId="5986"/>
    <tableColumn id="18" xr3:uid="{57B1622B-69C7-4A1C-8967-6906A0E60401}" name="Rang        Net4" dataDxfId="5985"/>
    <tableColumn id="19" xr3:uid="{765D8E18-32EC-4D78-B6D5-C889630A0B4D}" name="Score        Brut4" dataDxfId="5984"/>
    <tableColumn id="20" xr3:uid="{F9E9BC2E-A9E0-415E-92F8-F007D70D402D}" name="Rang        Brut4" dataDxfId="5983"/>
    <tableColumn id="21" xr3:uid="{56B8C53B-2683-43AB-BA94-98D12846892B}" name="Score        Net5" dataDxfId="5982"/>
    <tableColumn id="22" xr3:uid="{CEE64EB1-2B37-4BE8-AD6C-F73635777200}" name="Rang        Net5" dataDxfId="5981"/>
    <tableColumn id="23" xr3:uid="{08967303-5AA9-43EB-A7B1-57000258446B}" name="Score        Brut5" dataDxfId="5980"/>
    <tableColumn id="24" xr3:uid="{8200C06D-A6A7-4584-BCE4-DE94947CAA08}" name="Rang        Brut5" dataDxfId="5979"/>
    <tableColumn id="25" xr3:uid="{E363B218-F04E-4259-A65F-BE04FA1C15B3}" name="Score        Net6" dataDxfId="5978"/>
    <tableColumn id="26" xr3:uid="{EC92842C-B321-4087-AA25-F376E0579048}" name="Rang        Net6" dataDxfId="5977"/>
    <tableColumn id="27" xr3:uid="{3EF61377-66C7-4D60-AF65-BAFD2DD291D8}" name="Score        Brut6" dataDxfId="5976"/>
    <tableColumn id="28" xr3:uid="{251BB10E-2B2F-4B4A-8805-D7C49FF7D091}" name="Rang        Brut6" dataDxfId="5975"/>
    <tableColumn id="29" xr3:uid="{937492D8-E20B-486F-B289-5EBB929EA97E}" name="Score Net Max" dataDxfId="5974">
      <calculatedColumnFormula>IF(MIN(F4,J4,N4,R4,V4,Z4)&lt;&gt;0,MIN(F4,J4,N4,R4,V4,Z4),"")</calculatedColumnFormula>
    </tableColumn>
    <tableColumn id="30" xr3:uid="{BFCE7449-4F11-49CA-B00B-6CF4C21DE23E}" name="Score Brut Max" dataDxfId="5973">
      <calculatedColumnFormula>IF(MIN(H4,L4,P4,T4,X4,AB4)&lt;&gt;0,MIN(H4,L4,P4,T4,X4,AB4),"")</calculatedColumnFormula>
    </tableColumn>
    <tableColumn id="31" xr3:uid="{061F8C59-D91F-49DB-89E4-FD5BF5DEA2BE}" name="Score Net Finale" dataDxfId="5972"/>
    <tableColumn id="32" xr3:uid="{47CCF636-B700-4893-BB69-C5F49188A737}" name="Rang Net Finale" dataDxfId="5971"/>
    <tableColumn id="33" xr3:uid="{34BE4EC2-EAC1-40DC-82EA-B21BFA645C43}" name="Score Brut Finale" dataDxfId="5970"/>
    <tableColumn id="34" xr3:uid="{B4CC10FB-AE7D-4F7B-B5E6-A21DFBD43F7A}" name="Rang Brut Finale" dataDxfId="5969"/>
    <tableColumn id="35" xr3:uid="{2A85E5CE-D8F3-4ABA-BB20-EF4EC4E5400C}" name="Score Net LGS" dataDxfId="5968">
      <calculatedColumnFormula>IF(AD4="","",IF(ISBLANK(AF4),"En cours",AD4+AF4))</calculatedColumnFormula>
    </tableColumn>
    <tableColumn id="36" xr3:uid="{E2505702-E088-4E30-97F4-10F7B06362C7}" name="Score Brut LGS" dataDxfId="596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1538" totalsRowShown="0" headerRowDxfId="5966" dataDxfId="5965">
  <autoFilter ref="B4:F1538" xr:uid="{BEE036B7-08A7-43AF-AC9F-62B639BE2327}"/>
  <tableColumns count="5">
    <tableColumn id="1" xr3:uid="{07F0EE21-57C5-4450-A337-C4E93B37093B}" name="type" dataDxfId="5964"/>
    <tableColumn id="4" xr3:uid="{5D76DE16-D7AC-47BB-8E5C-7D62535B0C45}" name="joueurs" dataDxfId="5963"/>
    <tableColumn id="6" xr3:uid="{AAEF716B-5939-451B-9370-6D6F4B67A6B4}" name="feuille" dataDxfId="5962"/>
    <tableColumn id="2" xr3:uid="{15443A43-A7C3-4E12-8B5A-8DC832EBEFF5}" name="reference" dataDxfId="5961"/>
    <tableColumn id="3" xr3:uid="{C5F94F07-C4F6-41F7-9201-803FDABD5D1F}" name="date" dataDxfId="596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1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(DAME)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1" t="s">
        <v>81</v>
      </c>
      <c r="Q5" s="172"/>
      <c r="R5" s="173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52" t="s">
        <v>29</v>
      </c>
      <c r="D6" s="153"/>
      <c r="E6" s="157" t="s">
        <v>0</v>
      </c>
      <c r="F6" s="151"/>
      <c r="G6" s="25"/>
      <c r="H6" s="25"/>
      <c r="I6" s="25"/>
      <c r="J6" s="28"/>
      <c r="L6" s="33"/>
      <c r="M6" s="34"/>
      <c r="N6" s="35"/>
      <c r="P6" s="174">
        <f>IF(Tableau6[Type]=INDEX(TableauType[],1),U19,V19)</f>
        <v>0</v>
      </c>
      <c r="Q6" s="175"/>
      <c r="R6" s="176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55"/>
      <c r="E7" s="25"/>
      <c r="F7" s="25"/>
      <c r="G7" s="25"/>
      <c r="H7" s="25"/>
      <c r="I7" s="25"/>
      <c r="J7" s="28"/>
      <c r="L7" s="36"/>
      <c r="M7" s="37"/>
      <c r="N7" s="38"/>
      <c r="P7" s="177" t="str">
        <f>IF(Tableau6[Type]=INDEX(TableauType[],1),U20,V20)</f>
        <v>export_DAME_Net_12.xlsx</v>
      </c>
      <c r="Q7" s="178"/>
      <c r="R7" s="179"/>
      <c r="T7" s="23"/>
      <c r="U7" s="12" t="s">
        <v>12</v>
      </c>
      <c r="V7" s="107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97" t="s">
        <v>75</v>
      </c>
      <c r="AC7" s="25"/>
      <c r="AD7" s="106" t="s">
        <v>80</v>
      </c>
      <c r="AE7" s="28"/>
    </row>
    <row r="8" spans="1:31" ht="15.75" thickBot="1" x14ac:dyDescent="0.3">
      <c r="C8" s="45"/>
      <c r="D8" s="154"/>
      <c r="E8" s="25"/>
      <c r="F8" s="151"/>
      <c r="G8" s="25"/>
      <c r="H8" s="25"/>
      <c r="I8" s="25"/>
      <c r="J8" s="28"/>
      <c r="L8" s="49"/>
      <c r="M8" s="50"/>
      <c r="N8" s="51"/>
      <c r="P8" s="180" t="str">
        <f>IF(Tableau6[Type]=INDEX(TableauType[],1),U21,V21)</f>
        <v>export_DAME_Brut_34.xlsx</v>
      </c>
      <c r="Q8" s="181"/>
      <c r="R8" s="182"/>
      <c r="T8" s="23"/>
      <c r="U8" s="111" t="str">
        <f>_xlfn.CONCAT($V$7," ",V8)</f>
        <v>Serie 1</v>
      </c>
      <c r="V8" s="108">
        <v>1</v>
      </c>
      <c r="W8" s="6">
        <v>0</v>
      </c>
      <c r="X8" s="10">
        <v>11.4</v>
      </c>
      <c r="Y8" s="25"/>
      <c r="Z8" s="16">
        <v>1</v>
      </c>
      <c r="AA8" s="25"/>
      <c r="AB8" s="96" t="s">
        <v>73</v>
      </c>
      <c r="AC8" s="25"/>
      <c r="AD8" s="105"/>
      <c r="AE8" s="28"/>
    </row>
    <row r="9" spans="1:31" ht="15.75" thickBot="1" x14ac:dyDescent="0.3">
      <c r="C9" s="44"/>
      <c r="D9" s="155"/>
      <c r="E9" s="25"/>
      <c r="F9" s="151"/>
      <c r="G9" s="25"/>
      <c r="H9" s="25"/>
      <c r="I9" s="25"/>
      <c r="J9" s="28"/>
      <c r="L9" s="36"/>
      <c r="M9" s="37"/>
      <c r="N9" s="38"/>
      <c r="P9" s="183" t="str">
        <f>IF(Tableau6[Type]=INDEX(TableauType[],1),U22,V22)</f>
        <v>export_DAME_Net_34.xlsx</v>
      </c>
      <c r="Q9" s="184"/>
      <c r="R9" s="185"/>
      <c r="T9" s="23"/>
      <c r="U9" s="112" t="str">
        <f>_xlfn.CONCAT($V$7," ",V9)</f>
        <v>Serie 2</v>
      </c>
      <c r="V9" s="109">
        <v>2</v>
      </c>
      <c r="W9" s="8">
        <v>11.5</v>
      </c>
      <c r="X9" s="11">
        <v>18.399999999999999</v>
      </c>
      <c r="Y9" s="25"/>
      <c r="Z9" s="17">
        <v>2</v>
      </c>
      <c r="AA9" s="25"/>
      <c r="AB9" s="98" t="s">
        <v>74</v>
      </c>
      <c r="AC9" s="25"/>
      <c r="AD9" s="17"/>
      <c r="AE9" s="28"/>
    </row>
    <row r="10" spans="1:31" ht="41.25" customHeight="1" thickBot="1" x14ac:dyDescent="0.3">
      <c r="C10" s="156" t="s">
        <v>101</v>
      </c>
      <c r="D10" s="154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2" t="str">
        <f>_xlfn.CONCAT($V$7," ",V10)</f>
        <v>Serie 3</v>
      </c>
      <c r="V10" s="109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05"/>
      <c r="AE10" s="28"/>
    </row>
    <row r="11" spans="1:31" x14ac:dyDescent="0.25">
      <c r="T11" s="23"/>
      <c r="U11" s="112" t="str">
        <f>_xlfn.CONCAT($V$7," ",V11)</f>
        <v>Serie 4</v>
      </c>
      <c r="V11" s="109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99" t="s">
        <v>30</v>
      </c>
      <c r="E12" s="100" t="s">
        <v>76</v>
      </c>
      <c r="F12" s="101" t="s">
        <v>77</v>
      </c>
      <c r="T12" s="23"/>
      <c r="U12" s="112" t="str">
        <f>_xlfn.CONCAT($V$7," ",V12)</f>
        <v>Serie 5</v>
      </c>
      <c r="V12" s="110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05"/>
      <c r="AE12" s="28"/>
    </row>
    <row r="13" spans="1:31" ht="15.75" x14ac:dyDescent="0.25">
      <c r="D13" s="102">
        <v>2</v>
      </c>
      <c r="E13" s="103" t="str">
        <f>INDEX(TableauType[TYPE],Tableau6[[#This Row],[TypeIndex]])</f>
        <v>DAME</v>
      </c>
      <c r="F13" s="104">
        <v>2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05"/>
      <c r="AE14" s="28"/>
    </row>
    <row r="15" spans="1:31" ht="26.25" x14ac:dyDescent="0.25">
      <c r="B15" s="169" t="s">
        <v>1</v>
      </c>
      <c r="C15" s="169"/>
      <c r="D15" s="169"/>
      <c r="E15" s="169"/>
      <c r="F15" s="169"/>
      <c r="G15" s="169"/>
      <c r="H15" s="169"/>
      <c r="I15" s="169"/>
      <c r="K15" s="170" t="s">
        <v>2</v>
      </c>
      <c r="L15" s="170"/>
      <c r="M15" s="170"/>
      <c r="N15" s="170"/>
      <c r="O15" s="170"/>
      <c r="P15" s="170"/>
      <c r="Q15" s="170"/>
      <c r="R15" s="170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3" t="s">
        <v>89</v>
      </c>
      <c r="V18" s="114" t="s">
        <v>90</v>
      </c>
      <c r="W18" s="25"/>
      <c r="X18" s="166" t="s">
        <v>98</v>
      </c>
      <c r="Y18" s="167"/>
      <c r="Z18" s="167"/>
      <c r="AA18" s="167"/>
      <c r="AB18" s="168"/>
      <c r="AC18" s="25"/>
      <c r="AD18" s="25"/>
      <c r="AE18" s="28"/>
    </row>
    <row r="19" spans="6:31" x14ac:dyDescent="0.25">
      <c r="F19"/>
      <c r="O19"/>
      <c r="T19" s="23"/>
      <c r="U19" s="5"/>
      <c r="V19" s="115"/>
      <c r="W19" s="25"/>
      <c r="X19" s="123" t="s">
        <v>94</v>
      </c>
      <c r="Y19" s="121"/>
      <c r="Z19" s="121" t="s">
        <v>92</v>
      </c>
      <c r="AA19" s="121"/>
      <c r="AB19" s="122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16" t="s">
        <v>84</v>
      </c>
      <c r="W20" s="25"/>
      <c r="X20" s="124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16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17" t="s">
        <v>87</v>
      </c>
      <c r="V22" s="118" t="s">
        <v>88</v>
      </c>
      <c r="W22" s="25"/>
      <c r="X22" s="166" t="s">
        <v>99</v>
      </c>
      <c r="Y22" s="167"/>
      <c r="Z22" s="167"/>
      <c r="AA22" s="167"/>
      <c r="AB22" s="168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25" t="s">
        <v>96</v>
      </c>
      <c r="Y23" s="119"/>
      <c r="Z23" s="119" t="s">
        <v>97</v>
      </c>
      <c r="AA23" s="119"/>
      <c r="AB23" s="120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42"/>
      <c r="U28" s="139"/>
      <c r="V28" s="139"/>
      <c r="W28" s="136"/>
    </row>
    <row r="29" spans="6:31" ht="15.75" thickBot="1" x14ac:dyDescent="0.3">
      <c r="F29"/>
      <c r="O29"/>
      <c r="T29" s="143"/>
      <c r="U29" s="134" t="s">
        <v>35</v>
      </c>
      <c r="V29" s="126" t="str">
        <f ca="1">MID(CELL("nomfichier",A1),FIND("]",CELL("nomfichier",A1))+1,LEN(CELL("nomfichier",A1))-FIND("]",CELL("nomfichier",A1)))</f>
        <v>Import Resultats Tour</v>
      </c>
      <c r="W29" s="137"/>
    </row>
    <row r="30" spans="6:31" ht="15.75" thickBot="1" x14ac:dyDescent="0.3">
      <c r="F30"/>
      <c r="O30"/>
      <c r="T30" s="143"/>
      <c r="U30" s="134" t="s">
        <v>36</v>
      </c>
      <c r="V30" s="126" t="str">
        <f>_xlfn.CONCAT("Resultat LGS (",Tableau6[Type],")")</f>
        <v>Resultat LGS (DAME)</v>
      </c>
      <c r="W30" s="137"/>
    </row>
    <row r="31" spans="6:31" ht="15.75" thickBot="1" x14ac:dyDescent="0.3">
      <c r="F31"/>
      <c r="O31"/>
      <c r="T31" s="143"/>
      <c r="U31" s="140"/>
      <c r="V31" s="141"/>
      <c r="W31" s="137"/>
    </row>
    <row r="32" spans="6:31" x14ac:dyDescent="0.25">
      <c r="F32"/>
      <c r="O32"/>
      <c r="T32" s="143"/>
      <c r="U32" s="133" t="s">
        <v>34</v>
      </c>
      <c r="V32" s="128">
        <f>COUNTA($B$17:$B$7704)</f>
        <v>0</v>
      </c>
      <c r="W32" s="137"/>
    </row>
    <row r="33" spans="6:23" ht="15.75" thickBot="1" x14ac:dyDescent="0.3">
      <c r="F33"/>
      <c r="O33"/>
      <c r="T33" s="143"/>
      <c r="U33" s="131" t="s">
        <v>33</v>
      </c>
      <c r="V33" s="129">
        <f>COUNTA($K$17:$K$7702)</f>
        <v>0</v>
      </c>
      <c r="W33" s="137"/>
    </row>
    <row r="34" spans="6:23" ht="15.75" thickBot="1" x14ac:dyDescent="0.3">
      <c r="F34"/>
      <c r="O34"/>
      <c r="T34" s="143"/>
      <c r="U34" s="132" t="s">
        <v>3</v>
      </c>
      <c r="V34" s="130">
        <f>TourSelected</f>
        <v>2</v>
      </c>
      <c r="W34" s="137"/>
    </row>
    <row r="35" spans="6:23" ht="15.75" thickBot="1" x14ac:dyDescent="0.3">
      <c r="F35"/>
      <c r="O35"/>
      <c r="T35" s="143"/>
      <c r="U35" s="140"/>
      <c r="V35" s="141"/>
      <c r="W35" s="137"/>
    </row>
    <row r="36" spans="6:23" x14ac:dyDescent="0.25">
      <c r="F36"/>
      <c r="O36"/>
      <c r="T36" s="143"/>
      <c r="U36" s="127" t="s">
        <v>31</v>
      </c>
      <c r="V36" s="128"/>
      <c r="W36" s="137"/>
    </row>
    <row r="37" spans="6:23" ht="15.75" thickBot="1" x14ac:dyDescent="0.3">
      <c r="F37"/>
      <c r="O37"/>
      <c r="T37" s="143"/>
      <c r="U37" s="131" t="s">
        <v>32</v>
      </c>
      <c r="V37" s="135">
        <f>DateImport</f>
        <v>45509</v>
      </c>
      <c r="W37" s="137"/>
    </row>
    <row r="38" spans="6:23" ht="15.75" thickBot="1" x14ac:dyDescent="0.3">
      <c r="F38"/>
      <c r="O38"/>
      <c r="T38" s="144"/>
      <c r="U38" s="145"/>
      <c r="V38" s="145"/>
      <c r="W38" s="138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ImportExportFileFor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InsertTourFromImport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ImportFileStaticOrAsk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ImportExportFileForAllTour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topLeftCell="A84" zoomScale="55" zoomScaleNormal="55" workbookViewId="0">
      <pane xSplit="5" topLeftCell="G1" activePane="topRight" state="frozen"/>
      <selection pane="topRight" activeCell="AF122" sqref="AF122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3" t="s">
        <v>18</v>
      </c>
      <c r="G2" s="194"/>
      <c r="H2" s="194"/>
      <c r="I2" s="195"/>
      <c r="J2" s="196" t="s">
        <v>19</v>
      </c>
      <c r="K2" s="197"/>
      <c r="L2" s="197"/>
      <c r="M2" s="198"/>
      <c r="N2" s="199" t="s">
        <v>20</v>
      </c>
      <c r="O2" s="194"/>
      <c r="P2" s="194"/>
      <c r="Q2" s="195"/>
      <c r="R2" s="196" t="s">
        <v>21</v>
      </c>
      <c r="S2" s="197"/>
      <c r="T2" s="197"/>
      <c r="U2" s="198"/>
      <c r="V2" s="199" t="s">
        <v>22</v>
      </c>
      <c r="W2" s="194"/>
      <c r="X2" s="194"/>
      <c r="Y2" s="195"/>
      <c r="Z2" s="196" t="s">
        <v>23</v>
      </c>
      <c r="AA2" s="197"/>
      <c r="AB2" s="197"/>
      <c r="AC2" s="200"/>
      <c r="AD2" s="186" t="s">
        <v>82</v>
      </c>
      <c r="AE2" s="187"/>
      <c r="AF2" s="188" t="s">
        <v>17</v>
      </c>
      <c r="AG2" s="189"/>
      <c r="AH2" s="189"/>
      <c r="AI2" s="190"/>
      <c r="AJ2" s="191" t="s">
        <v>25</v>
      </c>
      <c r="AK2" s="192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5" t="str">
        <f>IF(MIN(F4,J4,N4,R4,V4,Z4)&lt;&gt;0,MIN(F4,J4,N4,R4,V4,Z4),"")</f>
        <v/>
      </c>
      <c r="AE4" s="165" t="str">
        <f>IF(MIN(H4,L4,P4,T4,X4,AB4)&lt;&gt;0,MIN(H4,L4,P4,T4,X4,AB4),"")</f>
        <v/>
      </c>
      <c r="AF4" s="165"/>
      <c r="AG4" s="164"/>
      <c r="AH4" s="165"/>
      <c r="AI4" s="164"/>
      <c r="AJ4" s="163" t="str">
        <f>IF(AD4="","",IF(ISBLANK(AF4),"En cours",AD4+AF4))</f>
        <v/>
      </c>
      <c r="AK4" s="163" t="str">
        <f>IF(AE4="","",IF(ISBLANK(AH4),"En cours",AE4+AH4))</f>
        <v/>
      </c>
    </row>
    <row r="5" spans="2:37" ht="21" x14ac:dyDescent="0.35"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A5" s="164"/>
      <c r="AB5" s="164"/>
      <c r="AC5" s="164"/>
      <c r="AD5" s="165" t="str">
        <f>IF(MIN(F5,J5,N5,R5,V5,Z5)&lt;&gt;0,MIN(F5,J5,N5,R5,V5,Z5),"")</f>
        <v/>
      </c>
      <c r="AE5" s="165" t="str">
        <f>IF(MIN(H5,L5,P5,T5,X5,AB5)&lt;&gt;0,MIN(H5,L5,P5,T5,X5,AB5),"")</f>
        <v/>
      </c>
      <c r="AF5" s="165"/>
      <c r="AG5" s="164"/>
      <c r="AH5" s="165"/>
      <c r="AI5" s="164"/>
      <c r="AJ5" s="163" t="str">
        <f>IF(AD5="","",IF(ISBLANK(AF5),"En cours",AD5+AF5))</f>
        <v/>
      </c>
      <c r="AK5" s="163" t="str">
        <f>IF(AE5="","",IF(ISBLANK(AH5),"En cours",AE5+AH5))</f>
        <v/>
      </c>
    </row>
    <row r="6" spans="2:37" ht="21" x14ac:dyDescent="0.35"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5" t="str">
        <f>IF(MIN(F6,J6,N6,R6,V6,Z6)&lt;&gt;0,MIN(F6,J6,N6,R6,V6,Z6),"")</f>
        <v/>
      </c>
      <c r="AE6" s="165" t="str">
        <f>IF(MIN(H6,L6,P6,T6,X6,AB6)&lt;&gt;0,MIN(H6,L6,P6,T6,X6,AB6),"")</f>
        <v/>
      </c>
      <c r="AF6" s="165"/>
      <c r="AG6" s="164"/>
      <c r="AH6" s="165"/>
      <c r="AI6" s="164"/>
      <c r="AJ6" s="163" t="str">
        <f>IF(AD6="","",IF(ISBLANK(AF6),"En cours",AD6+AF6))</f>
        <v/>
      </c>
      <c r="AK6" s="163" t="str">
        <f>IF(AE6="","",IF(ISBLANK(AH6),"En cours",AE6+AH6))</f>
        <v/>
      </c>
    </row>
    <row r="7" spans="2:37" ht="21" x14ac:dyDescent="0.35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5" t="str">
        <f>IF(MIN(F7,J7,N7,R7,V7,Z7)&lt;&gt;0,MIN(F7,J7,N7,R7,V7,Z7),"")</f>
        <v/>
      </c>
      <c r="AE7" s="165" t="str">
        <f>IF(MIN(H7,L7,P7,T7,X7,AB7)&lt;&gt;0,MIN(H7,L7,P7,T7,X7,AB7),"")</f>
        <v/>
      </c>
      <c r="AF7" s="165"/>
      <c r="AG7" s="164"/>
      <c r="AH7" s="165"/>
      <c r="AI7" s="164"/>
      <c r="AJ7" s="163" t="str">
        <f>IF(AD7="","",IF(ISBLANK(AF7),"En cours",AD7+AF7))</f>
        <v/>
      </c>
      <c r="AK7" s="163" t="str">
        <f>IF(AE7="","",IF(ISBLANK(AH7),"En cours",AE7+AH7))</f>
        <v/>
      </c>
    </row>
    <row r="8" spans="2:37" ht="21" x14ac:dyDescent="0.35">
      <c r="B8" s="164"/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165" t="str">
        <f>IF(MIN(F8,J8,N8,R8,V8,Z8)&lt;&gt;0,MIN(F8,J8,N8,R8,V8,Z8),"")</f>
        <v/>
      </c>
      <c r="AE8" s="165" t="str">
        <f>IF(MIN(H8,L8,P8,T8,X8,AB8)&lt;&gt;0,MIN(H8,L8,P8,T8,X8,AB8),"")</f>
        <v/>
      </c>
      <c r="AF8" s="165"/>
      <c r="AG8" s="164"/>
      <c r="AH8" s="165"/>
      <c r="AI8" s="164"/>
      <c r="AJ8" s="163" t="str">
        <f>IF(AD8="","",IF(ISBLANK(AF8),"En cours",AD8+AF8))</f>
        <v/>
      </c>
      <c r="AK8" s="163" t="str">
        <f>IF(AE8="","",IF(ISBLANK(AH8),"En cours",AE8+AH8))</f>
        <v/>
      </c>
    </row>
    <row r="9" spans="2:37" ht="21" x14ac:dyDescent="0.35">
      <c r="B9" s="164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5" t="str">
        <f>IF(MIN(F9,J9,N9,R9,V9,Z9)&lt;&gt;0,MIN(F9,J9,N9,R9,V9,Z9),"")</f>
        <v/>
      </c>
      <c r="AE9" s="165" t="str">
        <f>IF(MIN(H9,L9,P9,T9,X9,AB9)&lt;&gt;0,MIN(H9,L9,P9,T9,X9,AB9),"")</f>
        <v/>
      </c>
      <c r="AF9" s="165"/>
      <c r="AG9" s="164"/>
      <c r="AH9" s="165"/>
      <c r="AI9" s="164"/>
      <c r="AJ9" s="163" t="str">
        <f>IF(AD9="","",IF(ISBLANK(AF9),"En cours",AD9+AF9))</f>
        <v/>
      </c>
      <c r="AK9" s="163" t="str">
        <f>IF(AE9="","",IF(ISBLANK(AH9),"En cours",AE9+AH9))</f>
        <v/>
      </c>
    </row>
    <row r="10" spans="2:37" ht="21" x14ac:dyDescent="0.35">
      <c r="B10" s="164"/>
      <c r="C10" s="164"/>
      <c r="D10" s="164"/>
      <c r="E10" s="164"/>
      <c r="F10" s="164"/>
      <c r="G10" s="164"/>
      <c r="H10" s="164"/>
      <c r="I10" s="164"/>
      <c r="J10" s="164"/>
      <c r="K10" s="164"/>
      <c r="L10" s="164"/>
      <c r="M10" s="164"/>
      <c r="N10" s="164"/>
      <c r="O10" s="164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4"/>
      <c r="AA10" s="164"/>
      <c r="AB10" s="164"/>
      <c r="AC10" s="164"/>
      <c r="AD10" s="165" t="str">
        <f>IF(MIN(F10,J10,N10,R10,V10,Z10)&lt;&gt;0,MIN(F10,J10,N10,R10,V10,Z10),"")</f>
        <v/>
      </c>
      <c r="AE10" s="165" t="str">
        <f>IF(MIN(H10,L10,P10,T10,X10,AB10)&lt;&gt;0,MIN(H10,L10,P10,T10,X10,AB10),"")</f>
        <v/>
      </c>
      <c r="AF10" s="165"/>
      <c r="AG10" s="164"/>
      <c r="AH10" s="165"/>
      <c r="AI10" s="164"/>
      <c r="AJ10" s="163" t="str">
        <f>IF(AD10="","",IF(ISBLANK(AF10),"En cours",AD10+AF10))</f>
        <v/>
      </c>
      <c r="AK10" s="163" t="str">
        <f>IF(AE10="","",IF(ISBLANK(AH10),"En cours",AE10+AH10))</f>
        <v/>
      </c>
    </row>
    <row r="11" spans="2:37" ht="21" x14ac:dyDescent="0.35"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5" t="str">
        <f>IF(MIN(F11,J11,N11,R11,V11,Z11)&lt;&gt;0,MIN(F11,J11,N11,R11,V11,Z11),"")</f>
        <v/>
      </c>
      <c r="AE11" s="165" t="str">
        <f>IF(MIN(H11,L11,P11,T11,X11,AB11)&lt;&gt;0,MIN(H11,L11,P11,T11,X11,AB11),"")</f>
        <v/>
      </c>
      <c r="AF11" s="165"/>
      <c r="AG11" s="164"/>
      <c r="AH11" s="165"/>
      <c r="AI11" s="164"/>
      <c r="AJ11" s="163" t="str">
        <f>IF(AD11="","",IF(ISBLANK(AF11),"En cours",AD11+AF11))</f>
        <v/>
      </c>
      <c r="AK11" s="163" t="str">
        <f>IF(AE11="","",IF(ISBLANK(AH11),"En cours",AE11+AH11))</f>
        <v/>
      </c>
    </row>
    <row r="12" spans="2:37" ht="21" x14ac:dyDescent="0.35">
      <c r="B12" s="164"/>
      <c r="C12" s="164"/>
      <c r="D12" s="164"/>
      <c r="E12" s="164"/>
      <c r="F12" s="164"/>
      <c r="G12" s="164"/>
      <c r="H12" s="164"/>
      <c r="I12" s="164"/>
      <c r="J12" s="164"/>
      <c r="K12" s="164"/>
      <c r="L12" s="164"/>
      <c r="M12" s="164"/>
      <c r="N12" s="164"/>
      <c r="O12" s="164"/>
      <c r="P12" s="164"/>
      <c r="Q12" s="164"/>
      <c r="R12" s="164"/>
      <c r="S12" s="164"/>
      <c r="T12" s="164"/>
      <c r="U12" s="164"/>
      <c r="V12" s="164"/>
      <c r="W12" s="164"/>
      <c r="X12" s="164"/>
      <c r="Y12" s="164"/>
      <c r="Z12" s="164"/>
      <c r="AA12" s="164"/>
      <c r="AB12" s="164"/>
      <c r="AC12" s="164"/>
      <c r="AD12" s="165" t="str">
        <f>IF(MIN(F12,J12,N12,R12,V12,Z12)&lt;&gt;0,MIN(F12,J12,N12,R12,V12,Z12),"")</f>
        <v/>
      </c>
      <c r="AE12" s="165" t="str">
        <f>IF(MIN(H12,L12,P12,T12,X12,AB12)&lt;&gt;0,MIN(H12,L12,P12,T12,X12,AB12),"")</f>
        <v/>
      </c>
      <c r="AF12" s="165"/>
      <c r="AG12" s="164"/>
      <c r="AH12" s="165"/>
      <c r="AI12" s="164"/>
      <c r="AJ12" s="163" t="str">
        <f>IF(AD12="","",IF(ISBLANK(AF12),"En cours",AD12+AF12))</f>
        <v/>
      </c>
      <c r="AK12" s="163" t="str">
        <f>IF(AE12="","",IF(ISBLANK(AH12),"En cours",AE12+AH12))</f>
        <v/>
      </c>
    </row>
    <row r="13" spans="2:37" ht="21" x14ac:dyDescent="0.35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5" t="str">
        <f>IF(MIN(F13,J13,N13,R13,V13,Z13)&lt;&gt;0,MIN(F13,J13,N13,R13,V13,Z13),"")</f>
        <v/>
      </c>
      <c r="AE13" s="165" t="str">
        <f>IF(MIN(H13,L13,P13,T13,X13,AB13)&lt;&gt;0,MIN(H13,L13,P13,T13,X13,AB13),"")</f>
        <v/>
      </c>
      <c r="AF13" s="165"/>
      <c r="AG13" s="164"/>
      <c r="AH13" s="165"/>
      <c r="AI13" s="164"/>
      <c r="AJ13" s="163" t="str">
        <f>IF(AD13="","",IF(ISBLANK(AF13),"En cours",AD13+AF13))</f>
        <v/>
      </c>
      <c r="AK13" s="163" t="str">
        <f>IF(AE13="","",IF(ISBLANK(AH13),"En cours",AE13+AH13))</f>
        <v/>
      </c>
    </row>
    <row r="14" spans="2:37" ht="21" x14ac:dyDescent="0.35">
      <c r="B14" s="164"/>
      <c r="C14" s="164"/>
      <c r="D14" s="164"/>
      <c r="E14" s="164"/>
      <c r="F14" s="164"/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5" t="str">
        <f>IF(MIN(F14,J14,N14,R14,V14,Z14)&lt;&gt;0,MIN(F14,J14,N14,R14,V14,Z14),"")</f>
        <v/>
      </c>
      <c r="AE14" s="165" t="str">
        <f>IF(MIN(H14,L14,P14,T14,X14,AB14)&lt;&gt;0,MIN(H14,L14,P14,T14,X14,AB14),"")</f>
        <v/>
      </c>
      <c r="AF14" s="165"/>
      <c r="AG14" s="164"/>
      <c r="AH14" s="165"/>
      <c r="AI14" s="164"/>
      <c r="AJ14" s="163" t="str">
        <f>IF(AD14="","",IF(ISBLANK(AF14),"En cours",AD14+AF14))</f>
        <v/>
      </c>
      <c r="AK14" s="163" t="str">
        <f>IF(AE14="","",IF(ISBLANK(AH14),"En cours",AE14+AH14))</f>
        <v/>
      </c>
    </row>
    <row r="15" spans="2:37" ht="21" x14ac:dyDescent="0.35">
      <c r="B15" s="164"/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5" t="str">
        <f>IF(MIN(F15,J15,N15,R15,V15,Z15)&lt;&gt;0,MIN(F15,J15,N15,R15,V15,Z15),"")</f>
        <v/>
      </c>
      <c r="AE15" s="165" t="str">
        <f>IF(MIN(H15,L15,P15,T15,X15,AB15)&lt;&gt;0,MIN(H15,L15,P15,T15,X15,AB15),"")</f>
        <v/>
      </c>
      <c r="AF15" s="165"/>
      <c r="AG15" s="164"/>
      <c r="AH15" s="165"/>
      <c r="AI15" s="164"/>
      <c r="AJ15" s="163" t="str">
        <f>IF(AD15="","",IF(ISBLANK(AF15),"En cours",AD15+AF15))</f>
        <v/>
      </c>
      <c r="AK15" s="163" t="str">
        <f>IF(AE15="","",IF(ISBLANK(AH15),"En cours",AE15+AH15))</f>
        <v/>
      </c>
    </row>
    <row r="16" spans="2:37" ht="21" x14ac:dyDescent="0.35">
      <c r="B16" s="164"/>
      <c r="C16" s="164"/>
      <c r="D16" s="164"/>
      <c r="E16" s="164"/>
      <c r="F16" s="164"/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5" t="str">
        <f>IF(MIN(F16,J16,N16,R16,V16,Z16)&lt;&gt;0,MIN(F16,J16,N16,R16,V16,Z16),"")</f>
        <v/>
      </c>
      <c r="AE16" s="165" t="str">
        <f>IF(MIN(H16,L16,P16,T16,X16,AB16)&lt;&gt;0,MIN(H16,L16,P16,T16,X16,AB16),"")</f>
        <v/>
      </c>
      <c r="AF16" s="165"/>
      <c r="AG16" s="164"/>
      <c r="AH16" s="165"/>
      <c r="AI16" s="164"/>
      <c r="AJ16" s="163" t="str">
        <f>IF(AD16="","",IF(ISBLANK(AF16),"En cours",AD16+AF16))</f>
        <v/>
      </c>
      <c r="AK16" s="163" t="str">
        <f>IF(AE16="","",IF(ISBLANK(AH16),"En cours",AE16+AH16))</f>
        <v/>
      </c>
    </row>
    <row r="17" spans="2:37" ht="21" x14ac:dyDescent="0.35">
      <c r="B17" s="164"/>
      <c r="C17" s="164"/>
      <c r="D17" s="164"/>
      <c r="E17" s="164"/>
      <c r="F17" s="164"/>
      <c r="G17" s="164"/>
      <c r="H17" s="164"/>
      <c r="I17" s="164"/>
      <c r="J17" s="164"/>
      <c r="K17" s="164"/>
      <c r="L17" s="164"/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  <c r="X17" s="164"/>
      <c r="Y17" s="164"/>
      <c r="Z17" s="164"/>
      <c r="AA17" s="164"/>
      <c r="AB17" s="164"/>
      <c r="AC17" s="164"/>
      <c r="AD17" s="165" t="str">
        <f>IF(MIN(F17,J17,N17,R17,V17,Z17)&lt;&gt;0,MIN(F17,J17,N17,R17,V17,Z17),"")</f>
        <v/>
      </c>
      <c r="AE17" s="165" t="str">
        <f>IF(MIN(H17,L17,P17,T17,X17,AB17)&lt;&gt;0,MIN(H17,L17,P17,T17,X17,AB17),"")</f>
        <v/>
      </c>
      <c r="AF17" s="165"/>
      <c r="AG17" s="164"/>
      <c r="AH17" s="165"/>
      <c r="AI17" s="164"/>
      <c r="AJ17" s="163" t="str">
        <f>IF(AD17="","",IF(ISBLANK(AF17),"En cours",AD17+AF17))</f>
        <v/>
      </c>
      <c r="AK17" s="163" t="str">
        <f>IF(AE17="","",IF(ISBLANK(AH17),"En cours",AE17+AH17))</f>
        <v/>
      </c>
    </row>
    <row r="18" spans="2:37" ht="21" x14ac:dyDescent="0.35">
      <c r="B18" s="164"/>
      <c r="C18" s="164"/>
      <c r="D18" s="164"/>
      <c r="E18" s="164"/>
      <c r="F18" s="164"/>
      <c r="G18" s="164"/>
      <c r="H18" s="164"/>
      <c r="I18" s="164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  <c r="X18" s="164"/>
      <c r="Y18" s="164"/>
      <c r="Z18" s="164"/>
      <c r="AA18" s="164"/>
      <c r="AB18" s="164"/>
      <c r="AC18" s="164"/>
      <c r="AD18" s="165" t="str">
        <f>IF(MIN(F18,J18,N18,R18,V18,Z18)&lt;&gt;0,MIN(F18,J18,N18,R18,V18,Z18),"")</f>
        <v/>
      </c>
      <c r="AE18" s="165" t="str">
        <f>IF(MIN(H18,L18,P18,T18,X18,AB18)&lt;&gt;0,MIN(H18,L18,P18,T18,X18,AB18),"")</f>
        <v/>
      </c>
      <c r="AF18" s="165"/>
      <c r="AG18" s="164"/>
      <c r="AH18" s="165"/>
      <c r="AI18" s="164"/>
      <c r="AJ18" s="163" t="str">
        <f>IF(AD18="","",IF(ISBLANK(AF18),"En cours",AD18+AF18))</f>
        <v/>
      </c>
      <c r="AK18" s="163" t="str">
        <f>IF(AE18="","",IF(ISBLANK(AH18),"En cours",AE18+AH18))</f>
        <v/>
      </c>
    </row>
    <row r="19" spans="2:37" ht="21" x14ac:dyDescent="0.35">
      <c r="B19" s="164"/>
      <c r="C19" s="164"/>
      <c r="D19" s="164"/>
      <c r="E19" s="164"/>
      <c r="F19" s="164"/>
      <c r="G19" s="164"/>
      <c r="H19" s="164"/>
      <c r="I19" s="164"/>
      <c r="J19" s="164"/>
      <c r="K19" s="164"/>
      <c r="L19" s="164"/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  <c r="AD19" s="165" t="str">
        <f>IF(MIN(F19,J19,N19,R19,V19,Z19)&lt;&gt;0,MIN(F19,J19,N19,R19,V19,Z19),"")</f>
        <v/>
      </c>
      <c r="AE19" s="165" t="str">
        <f>IF(MIN(H19,L19,P19,T19,X19,AB19)&lt;&gt;0,MIN(H19,L19,P19,T19,X19,AB19),"")</f>
        <v/>
      </c>
      <c r="AF19" s="165"/>
      <c r="AG19" s="164"/>
      <c r="AH19" s="165"/>
      <c r="AI19" s="164"/>
      <c r="AJ19" s="163" t="str">
        <f>IF(AD19="","",IF(ISBLANK(AF19),"En cours",AD19+AF19))</f>
        <v/>
      </c>
      <c r="AK19" s="163" t="str">
        <f>IF(AE19="","",IF(ISBLANK(AH19),"En cours",AE19+AH19))</f>
        <v/>
      </c>
    </row>
    <row r="20" spans="2:37" ht="21" x14ac:dyDescent="0.35">
      <c r="B20" s="164"/>
      <c r="C20" s="164"/>
      <c r="D20" s="164"/>
      <c r="E20" s="164"/>
      <c r="F20" s="164"/>
      <c r="G20" s="164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4"/>
      <c r="U20" s="164"/>
      <c r="V20" s="164"/>
      <c r="W20" s="164"/>
      <c r="X20" s="164"/>
      <c r="Y20" s="164"/>
      <c r="Z20" s="164"/>
      <c r="AA20" s="164"/>
      <c r="AB20" s="164"/>
      <c r="AC20" s="164"/>
      <c r="AD20" s="165" t="str">
        <f>IF(MIN(F20,J20,N20,R20,V20,Z20)&lt;&gt;0,MIN(F20,J20,N20,R20,V20,Z20),"")</f>
        <v/>
      </c>
      <c r="AE20" s="165" t="str">
        <f>IF(MIN(H20,L20,P20,T20,X20,AB20)&lt;&gt;0,MIN(H20,L20,P20,T20,X20,AB20),"")</f>
        <v/>
      </c>
      <c r="AF20" s="165"/>
      <c r="AG20" s="164"/>
      <c r="AH20" s="165"/>
      <c r="AI20" s="164"/>
      <c r="AJ20" s="163" t="str">
        <f>IF(AD20="","",IF(ISBLANK(AF20),"En cours",AD20+AF20))</f>
        <v/>
      </c>
      <c r="AK20" s="163" t="str">
        <f>IF(AE20="","",IF(ISBLANK(AH20),"En cours",AE20+AH20))</f>
        <v/>
      </c>
    </row>
    <row r="21" spans="2:37" ht="21" x14ac:dyDescent="0.35">
      <c r="B21" s="164"/>
      <c r="C21" s="164"/>
      <c r="D21" s="164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  <c r="S21" s="164"/>
      <c r="T21" s="164"/>
      <c r="U21" s="164"/>
      <c r="V21" s="164"/>
      <c r="W21" s="164"/>
      <c r="X21" s="164"/>
      <c r="Y21" s="164"/>
      <c r="Z21" s="164"/>
      <c r="AA21" s="164"/>
      <c r="AB21" s="164"/>
      <c r="AC21" s="164"/>
      <c r="AD21" s="165" t="str">
        <f>IF(MIN(F21,J21,N21,R21,V21,Z21)&lt;&gt;0,MIN(F21,J21,N21,R21,V21,Z21),"")</f>
        <v/>
      </c>
      <c r="AE21" s="165" t="str">
        <f>IF(MIN(H21,L21,P21,T21,X21,AB21)&lt;&gt;0,MIN(H21,L21,P21,T21,X21,AB21),"")</f>
        <v/>
      </c>
      <c r="AF21" s="165"/>
      <c r="AG21" s="164"/>
      <c r="AH21" s="165"/>
      <c r="AI21" s="164"/>
      <c r="AJ21" s="163" t="str">
        <f>IF(AD21="","",IF(ISBLANK(AF21),"En cours",AD21+AF21))</f>
        <v/>
      </c>
      <c r="AK21" s="163" t="str">
        <f>IF(AE21="","",IF(ISBLANK(AH21),"En cours",AE21+AH21))</f>
        <v/>
      </c>
    </row>
    <row r="22" spans="2:37" ht="21" x14ac:dyDescent="0.35">
      <c r="B22" s="164"/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5" t="str">
        <f>IF(MIN(F22,J22,N22,R22,V22,Z22)&lt;&gt;0,MIN(F22,J22,N22,R22,V22,Z22),"")</f>
        <v/>
      </c>
      <c r="AE22" s="165" t="str">
        <f>IF(MIN(H22,L22,P22,T22,X22,AB22)&lt;&gt;0,MIN(H22,L22,P22,T22,X22,AB22),"")</f>
        <v/>
      </c>
      <c r="AF22" s="165"/>
      <c r="AG22" s="164"/>
      <c r="AH22" s="165"/>
      <c r="AI22" s="164"/>
      <c r="AJ22" s="163" t="str">
        <f>IF(AD22="","",IF(ISBLANK(AF22),"En cours",AD22+AF22))</f>
        <v/>
      </c>
      <c r="AK22" s="163" t="str">
        <f>IF(AE22="","",IF(ISBLANK(AH22),"En cours",AE22+AH22))</f>
        <v/>
      </c>
    </row>
    <row r="23" spans="2:37" ht="21" x14ac:dyDescent="0.35">
      <c r="B23" s="164"/>
      <c r="C23" s="164"/>
      <c r="D23" s="164"/>
      <c r="E23" s="164"/>
      <c r="F23" s="164"/>
      <c r="G23" s="164"/>
      <c r="H23" s="164"/>
      <c r="I23" s="164"/>
      <c r="J23" s="164"/>
      <c r="K23" s="164"/>
      <c r="L23" s="164"/>
      <c r="M23" s="164"/>
      <c r="N23" s="164"/>
      <c r="O23" s="164"/>
      <c r="P23" s="164"/>
      <c r="Q23" s="164"/>
      <c r="R23" s="164"/>
      <c r="S23" s="164"/>
      <c r="T23" s="164"/>
      <c r="U23" s="164"/>
      <c r="V23" s="164"/>
      <c r="W23" s="164"/>
      <c r="X23" s="164"/>
      <c r="Y23" s="164"/>
      <c r="Z23" s="164"/>
      <c r="AA23" s="164"/>
      <c r="AB23" s="164"/>
      <c r="AC23" s="164"/>
      <c r="AD23" s="165" t="str">
        <f>IF(MIN(F23,J23,N23,R23,V23,Z23)&lt;&gt;0,MIN(F23,J23,N23,R23,V23,Z23),"")</f>
        <v/>
      </c>
      <c r="AE23" s="165" t="str">
        <f>IF(MIN(H23,L23,P23,T23,X23,AB23)&lt;&gt;0,MIN(H23,L23,P23,T23,X23,AB23),"")</f>
        <v/>
      </c>
      <c r="AF23" s="165"/>
      <c r="AG23" s="164"/>
      <c r="AH23" s="165"/>
      <c r="AI23" s="164"/>
      <c r="AJ23" s="163" t="str">
        <f>IF(AD23="","",IF(ISBLANK(AF23),"En cours",AD23+AF23))</f>
        <v/>
      </c>
      <c r="AK23" s="163" t="str">
        <f>IF(AE23="","",IF(ISBLANK(AH23),"En cours",AE23+AH23))</f>
        <v/>
      </c>
    </row>
    <row r="24" spans="2:37" ht="21" x14ac:dyDescent="0.35">
      <c r="B24" s="164"/>
      <c r="C24" s="164"/>
      <c r="D24" s="164"/>
      <c r="E24" s="164"/>
      <c r="F24" s="164"/>
      <c r="G24" s="164"/>
      <c r="H24" s="164"/>
      <c r="I24" s="164"/>
      <c r="J24" s="164"/>
      <c r="K24" s="164"/>
      <c r="L24" s="164"/>
      <c r="M24" s="164"/>
      <c r="N24" s="164"/>
      <c r="O24" s="164"/>
      <c r="P24" s="164"/>
      <c r="Q24" s="164"/>
      <c r="R24" s="164"/>
      <c r="S24" s="164"/>
      <c r="T24" s="164"/>
      <c r="U24" s="164"/>
      <c r="V24" s="164"/>
      <c r="W24" s="164"/>
      <c r="X24" s="164"/>
      <c r="Y24" s="164"/>
      <c r="Z24" s="164"/>
      <c r="AA24" s="164"/>
      <c r="AB24" s="164"/>
      <c r="AC24" s="164"/>
      <c r="AD24" s="165" t="str">
        <f>IF(MIN(F24,J24,N24,R24,V24,Z24)&lt;&gt;0,MIN(F24,J24,N24,R24,V24,Z24),"")</f>
        <v/>
      </c>
      <c r="AE24" s="165" t="str">
        <f>IF(MIN(H24,L24,P24,T24,X24,AB24)&lt;&gt;0,MIN(H24,L24,P24,T24,X24,AB24),"")</f>
        <v/>
      </c>
      <c r="AF24" s="165"/>
      <c r="AG24" s="164"/>
      <c r="AH24" s="165"/>
      <c r="AI24" s="164"/>
      <c r="AJ24" s="163" t="str">
        <f>IF(AD24="","",IF(ISBLANK(AF24),"En cours",AD24+AF24))</f>
        <v/>
      </c>
      <c r="AK24" s="163" t="str">
        <f>IF(AE24="","",IF(ISBLANK(AH24),"En cours",AE24+AH24))</f>
        <v/>
      </c>
    </row>
    <row r="25" spans="2:37" ht="21" x14ac:dyDescent="0.35">
      <c r="B25" s="164"/>
      <c r="C25" s="164"/>
      <c r="D25" s="164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64"/>
      <c r="X25" s="164"/>
      <c r="Y25" s="164"/>
      <c r="Z25" s="164"/>
      <c r="AA25" s="164"/>
      <c r="AB25" s="164"/>
      <c r="AC25" s="164"/>
      <c r="AD25" s="165" t="str">
        <f>IF(MIN(F25,J25,N25,R25,V25,Z25)&lt;&gt;0,MIN(F25,J25,N25,R25,V25,Z25),"")</f>
        <v/>
      </c>
      <c r="AE25" s="165" t="str">
        <f>IF(MIN(H25,L25,P25,T25,X25,AB25)&lt;&gt;0,MIN(H25,L25,P25,T25,X25,AB25),"")</f>
        <v/>
      </c>
      <c r="AF25" s="165"/>
      <c r="AG25" s="164"/>
      <c r="AH25" s="165"/>
      <c r="AI25" s="164"/>
      <c r="AJ25" s="163" t="str">
        <f>IF(AD25="","",IF(ISBLANK(AF25),"En cours",AD25+AF25))</f>
        <v/>
      </c>
      <c r="AK25" s="163" t="str">
        <f>IF(AE25="","",IF(ISBLANK(AH25),"En cours",AE25+AH25))</f>
        <v/>
      </c>
    </row>
    <row r="26" spans="2:37" ht="21" x14ac:dyDescent="0.35">
      <c r="B26" s="164"/>
      <c r="C26" s="164"/>
      <c r="D26" s="164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5" t="str">
        <f>IF(MIN(F26,J26,N26,R26,V26,Z26)&lt;&gt;0,MIN(F26,J26,N26,R26,V26,Z26),"")</f>
        <v/>
      </c>
      <c r="AE26" s="165" t="str">
        <f>IF(MIN(H26,L26,P26,T26,X26,AB26)&lt;&gt;0,MIN(H26,L26,P26,T26,X26,AB26),"")</f>
        <v/>
      </c>
      <c r="AF26" s="165"/>
      <c r="AG26" s="164"/>
      <c r="AH26" s="165"/>
      <c r="AI26" s="164"/>
      <c r="AJ26" s="163" t="str">
        <f>IF(AD26="","",IF(ISBLANK(AF26),"En cours",AD26+AF26))</f>
        <v/>
      </c>
      <c r="AK26" s="163" t="str">
        <f>IF(AE26="","",IF(ISBLANK(AH26),"En cours",AE26+AH26))</f>
        <v/>
      </c>
    </row>
    <row r="27" spans="2:37" ht="21" x14ac:dyDescent="0.35">
      <c r="B27" s="164"/>
      <c r="C27" s="164"/>
      <c r="D27" s="164"/>
      <c r="E27" s="164"/>
      <c r="F27" s="164"/>
      <c r="G27" s="164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164"/>
      <c r="X27" s="164"/>
      <c r="Y27" s="164"/>
      <c r="Z27" s="164"/>
      <c r="AA27" s="164"/>
      <c r="AB27" s="164"/>
      <c r="AC27" s="164"/>
      <c r="AD27" s="165" t="str">
        <f>IF(MIN(F27,J27,N27,R27,V27,Z27)&lt;&gt;0,MIN(F27,J27,N27,R27,V27,Z27),"")</f>
        <v/>
      </c>
      <c r="AE27" s="165" t="str">
        <f>IF(MIN(H27,L27,P27,T27,X27,AB27)&lt;&gt;0,MIN(H27,L27,P27,T27,X27,AB27),"")</f>
        <v/>
      </c>
      <c r="AF27" s="165"/>
      <c r="AG27" s="164"/>
      <c r="AH27" s="165"/>
      <c r="AI27" s="164"/>
      <c r="AJ27" s="163" t="str">
        <f>IF(AD27="","",IF(ISBLANK(AF27),"En cours",AD27+AF27))</f>
        <v/>
      </c>
      <c r="AK27" s="163" t="str">
        <f>IF(AE27="","",IF(ISBLANK(AH27),"En cours",AE27+AH27))</f>
        <v/>
      </c>
    </row>
    <row r="28" spans="2:37" ht="21" x14ac:dyDescent="0.35">
      <c r="B28" s="164"/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164"/>
      <c r="X28" s="164"/>
      <c r="Y28" s="164"/>
      <c r="Z28" s="164"/>
      <c r="AA28" s="164"/>
      <c r="AB28" s="164"/>
      <c r="AC28" s="164"/>
      <c r="AD28" s="165" t="str">
        <f>IF(MIN(F28,J28,N28,R28,V28,Z28)&lt;&gt;0,MIN(F28,J28,N28,R28,V28,Z28),"")</f>
        <v/>
      </c>
      <c r="AE28" s="165" t="str">
        <f>IF(MIN(H28,L28,P28,T28,X28,AB28)&lt;&gt;0,MIN(H28,L28,P28,T28,X28,AB28),"")</f>
        <v/>
      </c>
      <c r="AF28" s="165"/>
      <c r="AG28" s="164"/>
      <c r="AH28" s="165"/>
      <c r="AI28" s="164"/>
      <c r="AJ28" s="163" t="str">
        <f>IF(AD28="","",IF(ISBLANK(AF28),"En cours",AD28+AF28))</f>
        <v/>
      </c>
      <c r="AK28" s="163" t="str">
        <f>IF(AE28="","",IF(ISBLANK(AH28),"En cours",AE28+AH28))</f>
        <v/>
      </c>
    </row>
    <row r="29" spans="2:37" ht="21" x14ac:dyDescent="0.35">
      <c r="B29" s="164"/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164"/>
      <c r="X29" s="164"/>
      <c r="Y29" s="164"/>
      <c r="Z29" s="164"/>
      <c r="AA29" s="164"/>
      <c r="AB29" s="164"/>
      <c r="AC29" s="164"/>
      <c r="AD29" s="165" t="str">
        <f>IF(MIN(F29,J29,N29,R29,V29,Z29)&lt;&gt;0,MIN(F29,J29,N29,R29,V29,Z29),"")</f>
        <v/>
      </c>
      <c r="AE29" s="165" t="str">
        <f>IF(MIN(H29,L29,P29,T29,X29,AB29)&lt;&gt;0,MIN(H29,L29,P29,T29,X29,AB29),"")</f>
        <v/>
      </c>
      <c r="AF29" s="165"/>
      <c r="AG29" s="164"/>
      <c r="AH29" s="165"/>
      <c r="AI29" s="164"/>
      <c r="AJ29" s="163" t="str">
        <f>IF(AD29="","",IF(ISBLANK(AF29),"En cours",AD29+AF29))</f>
        <v/>
      </c>
      <c r="AK29" s="163" t="str">
        <f>IF(AE29="","",IF(ISBLANK(AH29),"En cours",AE29+AH29))</f>
        <v/>
      </c>
    </row>
    <row r="30" spans="2:37" ht="21" x14ac:dyDescent="0.35">
      <c r="B30" s="164"/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5" t="str">
        <f>IF(MIN(F30,J30,N30,R30,V30,Z30)&lt;&gt;0,MIN(F30,J30,N30,R30,V30,Z30),"")</f>
        <v/>
      </c>
      <c r="AE30" s="165" t="str">
        <f>IF(MIN(H30,L30,P30,T30,X30,AB30)&lt;&gt;0,MIN(H30,L30,P30,T30,X30,AB30),"")</f>
        <v/>
      </c>
      <c r="AF30" s="165"/>
      <c r="AG30" s="164"/>
      <c r="AH30" s="165"/>
      <c r="AI30" s="164"/>
      <c r="AJ30" s="163" t="str">
        <f>IF(AD30="","",IF(ISBLANK(AF30),"En cours",AD30+AF30))</f>
        <v/>
      </c>
      <c r="AK30" s="163" t="str">
        <f>IF(AE30="","",IF(ISBLANK(AH30),"En cours",AE30+AH30))</f>
        <v/>
      </c>
    </row>
    <row r="31" spans="2:37" ht="21" x14ac:dyDescent="0.35">
      <c r="B31" s="164"/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5" t="str">
        <f>IF(MIN(F31,J31,N31,R31,V31,Z31)&lt;&gt;0,MIN(F31,J31,N31,R31,V31,Z31),"")</f>
        <v/>
      </c>
      <c r="AE31" s="165" t="str">
        <f>IF(MIN(H31,L31,P31,T31,X31,AB31)&lt;&gt;0,MIN(H31,L31,P31,T31,X31,AB31),"")</f>
        <v/>
      </c>
      <c r="AF31" s="165"/>
      <c r="AG31" s="164"/>
      <c r="AH31" s="165"/>
      <c r="AI31" s="164"/>
      <c r="AJ31" s="163" t="str">
        <f>IF(AD31="","",IF(ISBLANK(AF31),"En cours",AD31+AF31))</f>
        <v/>
      </c>
      <c r="AK31" s="163" t="str">
        <f>IF(AE31="","",IF(ISBLANK(AH31),"En cours",AE31+AH31))</f>
        <v/>
      </c>
    </row>
    <row r="32" spans="2:37" ht="21" x14ac:dyDescent="0.35">
      <c r="B32" s="164"/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5" t="str">
        <f>IF(MIN(F32,J32,N32,R32,V32,Z32)&lt;&gt;0,MIN(F32,J32,N32,R32,V32,Z32),"")</f>
        <v/>
      </c>
      <c r="AE32" s="165" t="str">
        <f>IF(MIN(H32,L32,P32,T32,X32,AB32)&lt;&gt;0,MIN(H32,L32,P32,T32,X32,AB32),"")</f>
        <v/>
      </c>
      <c r="AF32" s="165"/>
      <c r="AG32" s="164"/>
      <c r="AH32" s="165"/>
      <c r="AI32" s="164"/>
      <c r="AJ32" s="163" t="str">
        <f>IF(AD32="","",IF(ISBLANK(AF32),"En cours",AD32+AF32))</f>
        <v/>
      </c>
      <c r="AK32" s="163" t="str">
        <f>IF(AE32="","",IF(ISBLANK(AH32),"En cours",AE32+AH32))</f>
        <v/>
      </c>
    </row>
    <row r="33" spans="2:37" ht="21" x14ac:dyDescent="0.35">
      <c r="B33" s="164"/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164"/>
      <c r="AB33" s="164"/>
      <c r="AC33" s="164"/>
      <c r="AD33" s="165" t="str">
        <f>IF(MIN(F33,J33,N33,R33,V33,Z33)&lt;&gt;0,MIN(F33,J33,N33,R33,V33,Z33),"")</f>
        <v/>
      </c>
      <c r="AE33" s="165" t="str">
        <f>IF(MIN(H33,L33,P33,T33,X33,AB33)&lt;&gt;0,MIN(H33,L33,P33,T33,X33,AB33),"")</f>
        <v/>
      </c>
      <c r="AF33" s="165"/>
      <c r="AG33" s="164"/>
      <c r="AH33" s="165"/>
      <c r="AI33" s="164"/>
      <c r="AJ33" s="163" t="str">
        <f>IF(AD33="","",IF(ISBLANK(AF33),"En cours",AD33+AF33))</f>
        <v/>
      </c>
      <c r="AK33" s="163" t="str">
        <f>IF(AE33="","",IF(ISBLANK(AH33),"En cours",AE33+AH33))</f>
        <v/>
      </c>
    </row>
    <row r="34" spans="2:37" ht="21" x14ac:dyDescent="0.35">
      <c r="B34" s="164"/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164"/>
      <c r="AA34" s="164"/>
      <c r="AB34" s="164"/>
      <c r="AC34" s="164"/>
      <c r="AD34" s="165" t="str">
        <f>IF(MIN(F34,J34,N34,R34,V34,Z34)&lt;&gt;0,MIN(F34,J34,N34,R34,V34,Z34),"")</f>
        <v/>
      </c>
      <c r="AE34" s="165" t="str">
        <f>IF(MIN(H34,L34,P34,T34,X34,AB34)&lt;&gt;0,MIN(H34,L34,P34,T34,X34,AB34),"")</f>
        <v/>
      </c>
      <c r="AF34" s="165"/>
      <c r="AG34" s="164"/>
      <c r="AH34" s="165"/>
      <c r="AI34" s="164"/>
      <c r="AJ34" s="163" t="str">
        <f>IF(AD34="","",IF(ISBLANK(AF34),"En cours",AD34+AF34))</f>
        <v/>
      </c>
      <c r="AK34" s="163" t="str">
        <f>IF(AE34="","",IF(ISBLANK(AH34),"En cours",AE34+AH34))</f>
        <v/>
      </c>
    </row>
    <row r="35" spans="2:37" ht="21" x14ac:dyDescent="0.35">
      <c r="B35" s="164"/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5" t="str">
        <f>IF(MIN(F35,J35,N35,R35,V35,Z35)&lt;&gt;0,MIN(F35,J35,N35,R35,V35,Z35),"")</f>
        <v/>
      </c>
      <c r="AE35" s="165" t="str">
        <f>IF(MIN(H35,L35,P35,T35,X35,AB35)&lt;&gt;0,MIN(H35,L35,P35,T35,X35,AB35),"")</f>
        <v/>
      </c>
      <c r="AF35" s="165"/>
      <c r="AG35" s="164"/>
      <c r="AH35" s="165"/>
      <c r="AI35" s="164"/>
      <c r="AJ35" s="163" t="str">
        <f>IF(AD35="","",IF(ISBLANK(AF35),"En cours",AD35+AF35))</f>
        <v/>
      </c>
      <c r="AK35" s="163" t="str">
        <f>IF(AE35="","",IF(ISBLANK(AH35),"En cours",AE35+AH35))</f>
        <v/>
      </c>
    </row>
    <row r="36" spans="2:37" ht="21" x14ac:dyDescent="0.35">
      <c r="B36" s="164"/>
      <c r="C36" s="164"/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164"/>
      <c r="X36" s="164"/>
      <c r="Y36" s="164"/>
      <c r="Z36" s="164"/>
      <c r="AA36" s="164"/>
      <c r="AB36" s="164"/>
      <c r="AC36" s="164"/>
      <c r="AD36" s="165" t="str">
        <f>IF(MIN(F36,J36,N36,R36,V36,Z36)&lt;&gt;0,MIN(F36,J36,N36,R36,V36,Z36),"")</f>
        <v/>
      </c>
      <c r="AE36" s="165" t="str">
        <f>IF(MIN(H36,L36,P36,T36,X36,AB36)&lt;&gt;0,MIN(H36,L36,P36,T36,X36,AB36),"")</f>
        <v/>
      </c>
      <c r="AF36" s="165"/>
      <c r="AG36" s="164"/>
      <c r="AH36" s="165"/>
      <c r="AI36" s="164"/>
      <c r="AJ36" s="163" t="str">
        <f>IF(AD36="","",IF(ISBLANK(AF36),"En cours",AD36+AF36))</f>
        <v/>
      </c>
      <c r="AK36" s="163" t="str">
        <f>IF(AE36="","",IF(ISBLANK(AH36),"En cours",AE36+AH36))</f>
        <v/>
      </c>
    </row>
    <row r="37" spans="2:37" ht="21" x14ac:dyDescent="0.35">
      <c r="B37" s="164"/>
      <c r="C37" s="164"/>
      <c r="D37" s="164"/>
      <c r="E37" s="164"/>
      <c r="F37" s="164"/>
      <c r="G37" s="164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5" t="str">
        <f>IF(MIN(F37,J37,N37,R37,V37,Z37)&lt;&gt;0,MIN(F37,J37,N37,R37,V37,Z37),"")</f>
        <v/>
      </c>
      <c r="AE37" s="165" t="str">
        <f>IF(MIN(H37,L37,P37,T37,X37,AB37)&lt;&gt;0,MIN(H37,L37,P37,T37,X37,AB37),"")</f>
        <v/>
      </c>
      <c r="AF37" s="165"/>
      <c r="AG37" s="164"/>
      <c r="AH37" s="165"/>
      <c r="AI37" s="164"/>
      <c r="AJ37" s="163" t="str">
        <f>IF(AD37="","",IF(ISBLANK(AF37),"En cours",AD37+AF37))</f>
        <v/>
      </c>
      <c r="AK37" s="163" t="str">
        <f>IF(AE37="","",IF(ISBLANK(AH37),"En cours",AE37+AH37))</f>
        <v/>
      </c>
    </row>
    <row r="38" spans="2:37" ht="21" x14ac:dyDescent="0.35">
      <c r="B38" s="164"/>
      <c r="C38" s="164"/>
      <c r="D38" s="164"/>
      <c r="E38" s="164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5" t="str">
        <f>IF(MIN(F38,J38,N38,R38,V38,Z38)&lt;&gt;0,MIN(F38,J38,N38,R38,V38,Z38),"")</f>
        <v/>
      </c>
      <c r="AE38" s="165" t="str">
        <f>IF(MIN(H38,L38,P38,T38,X38,AB38)&lt;&gt;0,MIN(H38,L38,P38,T38,X38,AB38),"")</f>
        <v/>
      </c>
      <c r="AF38" s="165"/>
      <c r="AG38" s="164"/>
      <c r="AH38" s="165"/>
      <c r="AI38" s="164"/>
      <c r="AJ38" s="163" t="str">
        <f>IF(AD38="","",IF(ISBLANK(AF38),"En cours",AD38+AF38))</f>
        <v/>
      </c>
      <c r="AK38" s="163" t="str">
        <f>IF(AE38="","",IF(ISBLANK(AH38),"En cours",AE38+AH38))</f>
        <v/>
      </c>
    </row>
    <row r="39" spans="2:37" ht="21" x14ac:dyDescent="0.35">
      <c r="B39" s="164"/>
      <c r="C39" s="164"/>
      <c r="D39" s="164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5" t="str">
        <f>IF(MIN(F39,J39,N39,R39,V39,Z39)&lt;&gt;0,MIN(F39,J39,N39,R39,V39,Z39),"")</f>
        <v/>
      </c>
      <c r="AE39" s="165" t="str">
        <f>IF(MIN(H39,L39,P39,T39,X39,AB39)&lt;&gt;0,MIN(H39,L39,P39,T39,X39,AB39),"")</f>
        <v/>
      </c>
      <c r="AF39" s="165"/>
      <c r="AG39" s="164"/>
      <c r="AH39" s="165"/>
      <c r="AI39" s="164"/>
      <c r="AJ39" s="163" t="str">
        <f>IF(AD39="","",IF(ISBLANK(AF39),"En cours",AD39+AF39))</f>
        <v/>
      </c>
      <c r="AK39" s="163" t="str">
        <f>IF(AE39="","",IF(ISBLANK(AH39),"En cours",AE39+AH39))</f>
        <v/>
      </c>
    </row>
    <row r="40" spans="2:37" ht="21" x14ac:dyDescent="0.35"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5" t="str">
        <f>IF(MIN(F40,J40,N40,R40,V40,Z40)&lt;&gt;0,MIN(F40,J40,N40,R40,V40,Z40),"")</f>
        <v/>
      </c>
      <c r="AE40" s="165" t="str">
        <f>IF(MIN(H40,L40,P40,T40,X40,AB40)&lt;&gt;0,MIN(H40,L40,P40,T40,X40,AB40),"")</f>
        <v/>
      </c>
      <c r="AF40" s="165"/>
      <c r="AG40" s="164"/>
      <c r="AH40" s="165"/>
      <c r="AI40" s="164"/>
      <c r="AJ40" s="163" t="str">
        <f>IF(AD40="","",IF(ISBLANK(AF40),"En cours",AD40+AF40))</f>
        <v/>
      </c>
      <c r="AK40" s="163" t="str">
        <f>IF(AE40="","",IF(ISBLANK(AH40),"En cours",AE40+AH40))</f>
        <v/>
      </c>
    </row>
    <row r="41" spans="2:37" ht="21" x14ac:dyDescent="0.35">
      <c r="B41" s="164"/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5" t="str">
        <f>IF(MIN(F41,J41,N41,R41,V41,Z41)&lt;&gt;0,MIN(F41,J41,N41,R41,V41,Z41),"")</f>
        <v/>
      </c>
      <c r="AE41" s="165" t="str">
        <f>IF(MIN(H41,L41,P41,T41,X41,AB41)&lt;&gt;0,MIN(H41,L41,P41,T41,X41,AB41),"")</f>
        <v/>
      </c>
      <c r="AF41" s="165"/>
      <c r="AG41" s="164"/>
      <c r="AH41" s="165"/>
      <c r="AI41" s="164"/>
      <c r="AJ41" s="163" t="str">
        <f>IF(AD41="","",IF(ISBLANK(AF41),"En cours",AD41+AF41))</f>
        <v/>
      </c>
      <c r="AK41" s="163" t="str">
        <f>IF(AE41="","",IF(ISBLANK(AH41),"En cours",AE41+AH41))</f>
        <v/>
      </c>
    </row>
    <row r="42" spans="2:37" ht="21" x14ac:dyDescent="0.35">
      <c r="B42" s="164"/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5" t="str">
        <f>IF(MIN(F42,J42,N42,R42,V42,Z42)&lt;&gt;0,MIN(F42,J42,N42,R42,V42,Z42),"")</f>
        <v/>
      </c>
      <c r="AE42" s="165" t="str">
        <f>IF(MIN(H42,L42,P42,T42,X42,AB42)&lt;&gt;0,MIN(H42,L42,P42,T42,X42,AB42),"")</f>
        <v/>
      </c>
      <c r="AF42" s="165"/>
      <c r="AG42" s="164"/>
      <c r="AH42" s="165"/>
      <c r="AI42" s="164"/>
      <c r="AJ42" s="163" t="str">
        <f>IF(AD42="","",IF(ISBLANK(AF42),"En cours",AD42+AF42))</f>
        <v/>
      </c>
      <c r="AK42" s="163" t="str">
        <f>IF(AE42="","",IF(ISBLANK(AH42),"En cours",AE42+AH42))</f>
        <v/>
      </c>
    </row>
    <row r="43" spans="2:37" ht="21" x14ac:dyDescent="0.35">
      <c r="B43" s="164"/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5" t="str">
        <f>IF(MIN(F43,J43,N43,R43,V43,Z43)&lt;&gt;0,MIN(F43,J43,N43,R43,V43,Z43),"")</f>
        <v/>
      </c>
      <c r="AE43" s="165" t="str">
        <f>IF(MIN(H43,L43,P43,T43,X43,AB43)&lt;&gt;0,MIN(H43,L43,P43,T43,X43,AB43),"")</f>
        <v/>
      </c>
      <c r="AF43" s="165"/>
      <c r="AG43" s="164"/>
      <c r="AH43" s="165"/>
      <c r="AI43" s="164"/>
      <c r="AJ43" s="163" t="str">
        <f>IF(AD43="","",IF(ISBLANK(AF43),"En cours",AD43+AF43))</f>
        <v/>
      </c>
      <c r="AK43" s="163" t="str">
        <f>IF(AE43="","",IF(ISBLANK(AH43),"En cours",AE43+AH43))</f>
        <v/>
      </c>
    </row>
    <row r="44" spans="2:37" ht="21" x14ac:dyDescent="0.35">
      <c r="B44" s="164"/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4"/>
      <c r="Y44" s="164"/>
      <c r="Z44" s="164"/>
      <c r="AA44" s="164"/>
      <c r="AB44" s="164"/>
      <c r="AC44" s="164"/>
      <c r="AD44" s="165" t="str">
        <f>IF(MIN(F44,J44,N44,R44,V44,Z44)&lt;&gt;0,MIN(F44,J44,N44,R44,V44,Z44),"")</f>
        <v/>
      </c>
      <c r="AE44" s="165" t="str">
        <f>IF(MIN(H44,L44,P44,T44,X44,AB44)&lt;&gt;0,MIN(H44,L44,P44,T44,X44,AB44),"")</f>
        <v/>
      </c>
      <c r="AF44" s="165"/>
      <c r="AG44" s="164"/>
      <c r="AH44" s="165"/>
      <c r="AI44" s="164"/>
      <c r="AJ44" s="163" t="str">
        <f>IF(AD44="","",IF(ISBLANK(AF44),"En cours",AD44+AF44))</f>
        <v/>
      </c>
      <c r="AK44" s="163" t="str">
        <f>IF(AE44="","",IF(ISBLANK(AH44),"En cours",AE44+AH44))</f>
        <v/>
      </c>
    </row>
    <row r="45" spans="2:37" ht="21" x14ac:dyDescent="0.35">
      <c r="B45" s="164"/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4"/>
      <c r="Z45" s="164"/>
      <c r="AA45" s="164"/>
      <c r="AB45" s="164"/>
      <c r="AC45" s="164"/>
      <c r="AD45" s="165" t="str">
        <f>IF(MIN(F45,J45,N45,R45,V45,Z45)&lt;&gt;0,MIN(F45,J45,N45,R45,V45,Z45),"")</f>
        <v/>
      </c>
      <c r="AE45" s="165" t="str">
        <f>IF(MIN(H45,L45,P45,T45,X45,AB45)&lt;&gt;0,MIN(H45,L45,P45,T45,X45,AB45),"")</f>
        <v/>
      </c>
      <c r="AF45" s="165"/>
      <c r="AG45" s="164"/>
      <c r="AH45" s="165"/>
      <c r="AI45" s="164"/>
      <c r="AJ45" s="163" t="str">
        <f>IF(AD45="","",IF(ISBLANK(AF45),"En cours",AD45+AF45))</f>
        <v/>
      </c>
      <c r="AK45" s="163" t="str">
        <f>IF(AE45="","",IF(ISBLANK(AH45),"En cours",AE45+AH45))</f>
        <v/>
      </c>
    </row>
    <row r="46" spans="2:37" ht="21" x14ac:dyDescent="0.35">
      <c r="B46" s="164"/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5" t="str">
        <f>IF(MIN(F46,J46,N46,R46,V46,Z46)&lt;&gt;0,MIN(F46,J46,N46,R46,V46,Z46),"")</f>
        <v/>
      </c>
      <c r="AE46" s="165" t="str">
        <f>IF(MIN(H46,L46,P46,T46,X46,AB46)&lt;&gt;0,MIN(H46,L46,P46,T46,X46,AB46),"")</f>
        <v/>
      </c>
      <c r="AF46" s="165"/>
      <c r="AG46" s="164"/>
      <c r="AH46" s="165"/>
      <c r="AI46" s="164"/>
      <c r="AJ46" s="163" t="str">
        <f>IF(AD46="","",IF(ISBLANK(AF46),"En cours",AD46+AF46))</f>
        <v/>
      </c>
      <c r="AK46" s="163" t="str">
        <f>IF(AE46="","",IF(ISBLANK(AH46),"En cours",AE46+AH46))</f>
        <v/>
      </c>
    </row>
    <row r="47" spans="2:37" ht="21" x14ac:dyDescent="0.35">
      <c r="B47" s="164"/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164"/>
      <c r="X47" s="164"/>
      <c r="Y47" s="164"/>
      <c r="Z47" s="164"/>
      <c r="AA47" s="164"/>
      <c r="AB47" s="164"/>
      <c r="AC47" s="164"/>
      <c r="AD47" s="165" t="str">
        <f>IF(MIN(F47,J47,N47,R47,V47,Z47)&lt;&gt;0,MIN(F47,J47,N47,R47,V47,Z47),"")</f>
        <v/>
      </c>
      <c r="AE47" s="165" t="str">
        <f>IF(MIN(H47,L47,P47,T47,X47,AB47)&lt;&gt;0,MIN(H47,L47,P47,T47,X47,AB47),"")</f>
        <v/>
      </c>
      <c r="AF47" s="165"/>
      <c r="AG47" s="164"/>
      <c r="AH47" s="165"/>
      <c r="AI47" s="164"/>
      <c r="AJ47" s="163" t="str">
        <f>IF(AD47="","",IF(ISBLANK(AF47),"En cours",AD47+AF47))</f>
        <v/>
      </c>
      <c r="AK47" s="163" t="str">
        <f>IF(AE47="","",IF(ISBLANK(AH47),"En cours",AE47+AH47))</f>
        <v/>
      </c>
    </row>
    <row r="48" spans="2:37" ht="21" x14ac:dyDescent="0.35">
      <c r="B48" s="164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5" t="str">
        <f>IF(MIN(F48,J48,N48,R48,V48,Z48)&lt;&gt;0,MIN(F48,J48,N48,R48,V48,Z48),"")</f>
        <v/>
      </c>
      <c r="AE48" s="165" t="str">
        <f>IF(MIN(H48,L48,P48,T48,X48,AB48)&lt;&gt;0,MIN(H48,L48,P48,T48,X48,AB48),"")</f>
        <v/>
      </c>
      <c r="AF48" s="165"/>
      <c r="AG48" s="164"/>
      <c r="AH48" s="165"/>
      <c r="AI48" s="164"/>
      <c r="AJ48" s="163" t="str">
        <f>IF(AD48="","",IF(ISBLANK(AF48),"En cours",AD48+AF48))</f>
        <v/>
      </c>
      <c r="AK48" s="163" t="str">
        <f>IF(AE48="","",IF(ISBLANK(AH48),"En cours",AE48+AH48))</f>
        <v/>
      </c>
    </row>
    <row r="49" spans="2:37" ht="21" x14ac:dyDescent="0.35">
      <c r="B49" s="164"/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5" t="str">
        <f>IF(MIN(F49,J49,N49,R49,V49,Z49)&lt;&gt;0,MIN(F49,J49,N49,R49,V49,Z49),"")</f>
        <v/>
      </c>
      <c r="AE49" s="165" t="str">
        <f>IF(MIN(H49,L49,P49,T49,X49,AB49)&lt;&gt;0,MIN(H49,L49,P49,T49,X49,AB49),"")</f>
        <v/>
      </c>
      <c r="AF49" s="165"/>
      <c r="AG49" s="164"/>
      <c r="AH49" s="165"/>
      <c r="AI49" s="164"/>
      <c r="AJ49" s="163" t="str">
        <f>IF(AD49="","",IF(ISBLANK(AF49),"En cours",AD49+AF49))</f>
        <v/>
      </c>
      <c r="AK49" s="163" t="str">
        <f>IF(AE49="","",IF(ISBLANK(AH49),"En cours",AE49+AH49))</f>
        <v/>
      </c>
    </row>
    <row r="50" spans="2:37" ht="21" x14ac:dyDescent="0.35">
      <c r="B50" s="164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5" t="str">
        <f>IF(MIN(F50,J50,N50,R50,V50,Z50)&lt;&gt;0,MIN(F50,J50,N50,R50,V50,Z50),"")</f>
        <v/>
      </c>
      <c r="AE50" s="165" t="str">
        <f>IF(MIN(H50,L50,P50,T50,X50,AB50)&lt;&gt;0,MIN(H50,L50,P50,T50,X50,AB50),"")</f>
        <v/>
      </c>
      <c r="AF50" s="165"/>
      <c r="AG50" s="164"/>
      <c r="AH50" s="165"/>
      <c r="AI50" s="164"/>
      <c r="AJ50" s="163" t="str">
        <f>IF(AD50="","",IF(ISBLANK(AF50),"En cours",AD50+AF50))</f>
        <v/>
      </c>
      <c r="AK50" s="163" t="str">
        <f>IF(AE50="","",IF(ISBLANK(AH50),"En cours",AE50+AH50))</f>
        <v/>
      </c>
    </row>
    <row r="51" spans="2:37" ht="21" x14ac:dyDescent="0.35">
      <c r="B51" s="164"/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5" t="str">
        <f>IF(MIN(F51,J51,N51,R51,V51,Z51)&lt;&gt;0,MIN(F51,J51,N51,R51,V51,Z51),"")</f>
        <v/>
      </c>
      <c r="AE51" s="165" t="str">
        <f>IF(MIN(H51,L51,P51,T51,X51,AB51)&lt;&gt;0,MIN(H51,L51,P51,T51,X51,AB51),"")</f>
        <v/>
      </c>
      <c r="AF51" s="165"/>
      <c r="AG51" s="164"/>
      <c r="AH51" s="165"/>
      <c r="AI51" s="164"/>
      <c r="AJ51" s="163" t="str">
        <f>IF(AD51="","",IF(ISBLANK(AF51),"En cours",AD51+AF51))</f>
        <v/>
      </c>
      <c r="AK51" s="163" t="str">
        <f>IF(AE51="","",IF(ISBLANK(AH51),"En cours",AE51+AH51))</f>
        <v/>
      </c>
    </row>
    <row r="52" spans="2:37" ht="21" x14ac:dyDescent="0.35">
      <c r="B52" s="164"/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5" t="str">
        <f>IF(MIN(F52,J52,N52,R52,V52,Z52)&lt;&gt;0,MIN(F52,J52,N52,R52,V52,Z52),"")</f>
        <v/>
      </c>
      <c r="AE52" s="165" t="str">
        <f>IF(MIN(H52,L52,P52,T52,X52,AB52)&lt;&gt;0,MIN(H52,L52,P52,T52,X52,AB52),"")</f>
        <v/>
      </c>
      <c r="AF52" s="165"/>
      <c r="AG52" s="164"/>
      <c r="AH52" s="165"/>
      <c r="AI52" s="164"/>
      <c r="AJ52" s="163" t="str">
        <f>IF(AD52="","",IF(ISBLANK(AF52),"En cours",AD52+AF52))</f>
        <v/>
      </c>
      <c r="AK52" s="163" t="str">
        <f>IF(AE52="","",IF(ISBLANK(AH52),"En cours",AE52+AH52))</f>
        <v/>
      </c>
    </row>
    <row r="53" spans="2:37" ht="21" x14ac:dyDescent="0.35">
      <c r="B53" s="164"/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5" t="str">
        <f>IF(MIN(F53,J53,N53,R53,V53,Z53)&lt;&gt;0,MIN(F53,J53,N53,R53,V53,Z53),"")</f>
        <v/>
      </c>
      <c r="AE53" s="165" t="str">
        <f>IF(MIN(H53,L53,P53,T53,X53,AB53)&lt;&gt;0,MIN(H53,L53,P53,T53,X53,AB53),"")</f>
        <v/>
      </c>
      <c r="AF53" s="165"/>
      <c r="AG53" s="164"/>
      <c r="AH53" s="165"/>
      <c r="AI53" s="164"/>
      <c r="AJ53" s="163" t="str">
        <f>IF(AD53="","",IF(ISBLANK(AF53),"En cours",AD53+AF53))</f>
        <v/>
      </c>
      <c r="AK53" s="163" t="str">
        <f>IF(AE53="","",IF(ISBLANK(AH53),"En cours",AE53+AH53))</f>
        <v/>
      </c>
    </row>
    <row r="54" spans="2:37" ht="21" x14ac:dyDescent="0.35">
      <c r="B54" s="164"/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5" t="str">
        <f>IF(MIN(F54,J54,N54,R54,V54,Z54)&lt;&gt;0,MIN(F54,J54,N54,R54,V54,Z54),"")</f>
        <v/>
      </c>
      <c r="AE54" s="165" t="str">
        <f>IF(MIN(H54,L54,P54,T54,X54,AB54)&lt;&gt;0,MIN(H54,L54,P54,T54,X54,AB54),"")</f>
        <v/>
      </c>
      <c r="AF54" s="165"/>
      <c r="AG54" s="164"/>
      <c r="AH54" s="165"/>
      <c r="AI54" s="164"/>
      <c r="AJ54" s="163" t="str">
        <f>IF(AD54="","",IF(ISBLANK(AF54),"En cours",AD54+AF54))</f>
        <v/>
      </c>
      <c r="AK54" s="163" t="str">
        <f>IF(AE54="","",IF(ISBLANK(AH54),"En cours",AE54+AH54))</f>
        <v/>
      </c>
    </row>
    <row r="55" spans="2:37" ht="21" x14ac:dyDescent="0.35">
      <c r="B55" s="164"/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5" t="str">
        <f>IF(MIN(F55,J55,N55,R55,V55,Z55)&lt;&gt;0,MIN(F55,J55,N55,R55,V55,Z55),"")</f>
        <v/>
      </c>
      <c r="AE55" s="165" t="str">
        <f>IF(MIN(H55,L55,P55,T55,X55,AB55)&lt;&gt;0,MIN(H55,L55,P55,T55,X55,AB55),"")</f>
        <v/>
      </c>
      <c r="AF55" s="165"/>
      <c r="AG55" s="164"/>
      <c r="AH55" s="165"/>
      <c r="AI55" s="164"/>
      <c r="AJ55" s="163" t="str">
        <f>IF(AD55="","",IF(ISBLANK(AF55),"En cours",AD55+AF55))</f>
        <v/>
      </c>
      <c r="AK55" s="163" t="str">
        <f>IF(AE55="","",IF(ISBLANK(AH55),"En cours",AE55+AH55))</f>
        <v/>
      </c>
    </row>
    <row r="56" spans="2:37" ht="21" x14ac:dyDescent="0.35">
      <c r="B56" s="164"/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5" t="str">
        <f>IF(MIN(F56,J56,N56,R56,V56,Z56)&lt;&gt;0,MIN(F56,J56,N56,R56,V56,Z56),"")</f>
        <v/>
      </c>
      <c r="AE56" s="165" t="str">
        <f>IF(MIN(H56,L56,P56,T56,X56,AB56)&lt;&gt;0,MIN(H56,L56,P56,T56,X56,AB56),"")</f>
        <v/>
      </c>
      <c r="AF56" s="165"/>
      <c r="AG56" s="164"/>
      <c r="AH56" s="165"/>
      <c r="AI56" s="164"/>
      <c r="AJ56" s="163" t="str">
        <f>IF(AD56="","",IF(ISBLANK(AF56),"En cours",AD56+AF56))</f>
        <v/>
      </c>
      <c r="AK56" s="163" t="str">
        <f>IF(AE56="","",IF(ISBLANK(AH56),"En cours",AE56+AH56))</f>
        <v/>
      </c>
    </row>
    <row r="57" spans="2:37" ht="21" x14ac:dyDescent="0.35">
      <c r="B57" s="164"/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5" t="str">
        <f>IF(MIN(F57,J57,N57,R57,V57,Z57)&lt;&gt;0,MIN(F57,J57,N57,R57,V57,Z57),"")</f>
        <v/>
      </c>
      <c r="AE57" s="165" t="str">
        <f>IF(MIN(H57,L57,P57,T57,X57,AB57)&lt;&gt;0,MIN(H57,L57,P57,T57,X57,AB57),"")</f>
        <v/>
      </c>
      <c r="AF57" s="165"/>
      <c r="AG57" s="164"/>
      <c r="AH57" s="165"/>
      <c r="AI57" s="164"/>
      <c r="AJ57" s="163" t="str">
        <f>IF(AD57="","",IF(ISBLANK(AF57),"En cours",AD57+AF57))</f>
        <v/>
      </c>
      <c r="AK57" s="163" t="str">
        <f>IF(AE57="","",IF(ISBLANK(AH57),"En cours",AE57+AH57))</f>
        <v/>
      </c>
    </row>
    <row r="58" spans="2:37" ht="21" x14ac:dyDescent="0.35">
      <c r="B58" s="164"/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5" t="str">
        <f>IF(MIN(F58,J58,N58,R58,V58,Z58)&lt;&gt;0,MIN(F58,J58,N58,R58,V58,Z58),"")</f>
        <v/>
      </c>
      <c r="AE58" s="165" t="str">
        <f>IF(MIN(H58,L58,P58,T58,X58,AB58)&lt;&gt;0,MIN(H58,L58,P58,T58,X58,AB58),"")</f>
        <v/>
      </c>
      <c r="AF58" s="165"/>
      <c r="AG58" s="164"/>
      <c r="AH58" s="165"/>
      <c r="AI58" s="164"/>
      <c r="AJ58" s="163" t="str">
        <f>IF(AD58="","",IF(ISBLANK(AF58),"En cours",AD58+AF58))</f>
        <v/>
      </c>
      <c r="AK58" s="163" t="str">
        <f>IF(AE58="","",IF(ISBLANK(AH58),"En cours",AE58+AH58))</f>
        <v/>
      </c>
    </row>
    <row r="59" spans="2:37" ht="21" x14ac:dyDescent="0.35">
      <c r="B59" s="164"/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5" t="str">
        <f>IF(MIN(F59,J59,N59,R59,V59,Z59)&lt;&gt;0,MIN(F59,J59,N59,R59,V59,Z59),"")</f>
        <v/>
      </c>
      <c r="AE59" s="165" t="str">
        <f>IF(MIN(H59,L59,P59,T59,X59,AB59)&lt;&gt;0,MIN(H59,L59,P59,T59,X59,AB59),"")</f>
        <v/>
      </c>
      <c r="AF59" s="165"/>
      <c r="AG59" s="164"/>
      <c r="AH59" s="165"/>
      <c r="AI59" s="164"/>
      <c r="AJ59" s="163" t="str">
        <f>IF(AD59="","",IF(ISBLANK(AF59),"En cours",AD59+AF59))</f>
        <v/>
      </c>
      <c r="AK59" s="163" t="str">
        <f>IF(AE59="","",IF(ISBLANK(AH59),"En cours",AE59+AH59))</f>
        <v/>
      </c>
    </row>
    <row r="60" spans="2:37" ht="21" x14ac:dyDescent="0.35">
      <c r="B60" s="164"/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5" t="str">
        <f>IF(MIN(F60,J60,N60,R60,V60,Z60)&lt;&gt;0,MIN(F60,J60,N60,R60,V60,Z60),"")</f>
        <v/>
      </c>
      <c r="AE60" s="165" t="str">
        <f>IF(MIN(H60,L60,P60,T60,X60,AB60)&lt;&gt;0,MIN(H60,L60,P60,T60,X60,AB60),"")</f>
        <v/>
      </c>
      <c r="AF60" s="165"/>
      <c r="AG60" s="164"/>
      <c r="AH60" s="165"/>
      <c r="AI60" s="164"/>
      <c r="AJ60" s="163" t="str">
        <f>IF(AD60="","",IF(ISBLANK(AF60),"En cours",AD60+AF60))</f>
        <v/>
      </c>
      <c r="AK60" s="163" t="str">
        <f>IF(AE60="","",IF(ISBLANK(AH60),"En cours",AE60+AH60))</f>
        <v/>
      </c>
    </row>
    <row r="61" spans="2:37" ht="21" x14ac:dyDescent="0.35">
      <c r="B61" s="164"/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5" t="str">
        <f>IF(MIN(F61,J61,N61,R61,V61,Z61)&lt;&gt;0,MIN(F61,J61,N61,R61,V61,Z61),"")</f>
        <v/>
      </c>
      <c r="AE61" s="165" t="str">
        <f>IF(MIN(H61,L61,P61,T61,X61,AB61)&lt;&gt;0,MIN(H61,L61,P61,T61,X61,AB61),"")</f>
        <v/>
      </c>
      <c r="AF61" s="165"/>
      <c r="AG61" s="164"/>
      <c r="AH61" s="165"/>
      <c r="AI61" s="164"/>
      <c r="AJ61" s="163" t="str">
        <f>IF(AD61="","",IF(ISBLANK(AF61),"En cours",AD61+AF61))</f>
        <v/>
      </c>
      <c r="AK61" s="163" t="str">
        <f>IF(AE61="","",IF(ISBLANK(AH61),"En cours",AE61+AH61))</f>
        <v/>
      </c>
    </row>
    <row r="62" spans="2:37" ht="21" x14ac:dyDescent="0.35">
      <c r="B62" s="164"/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5" t="str">
        <f>IF(MIN(F62,J62,N62,R62,V62,Z62)&lt;&gt;0,MIN(F62,J62,N62,R62,V62,Z62),"")</f>
        <v/>
      </c>
      <c r="AE62" s="165" t="str">
        <f>IF(MIN(H62,L62,P62,T62,X62,AB62)&lt;&gt;0,MIN(H62,L62,P62,T62,X62,AB62),"")</f>
        <v/>
      </c>
      <c r="AF62" s="165"/>
      <c r="AG62" s="164"/>
      <c r="AH62" s="165"/>
      <c r="AI62" s="164"/>
      <c r="AJ62" s="163" t="str">
        <f>IF(AD62="","",IF(ISBLANK(AF62),"En cours",AD62+AF62))</f>
        <v/>
      </c>
      <c r="AK62" s="163" t="str">
        <f>IF(AE62="","",IF(ISBLANK(AH62),"En cours",AE62+AH62))</f>
        <v/>
      </c>
    </row>
    <row r="63" spans="2:37" ht="21" x14ac:dyDescent="0.35">
      <c r="B63" s="164"/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5" t="str">
        <f>IF(MIN(F63,J63,N63,R63,V63,Z63)&lt;&gt;0,MIN(F63,J63,N63,R63,V63,Z63),"")</f>
        <v/>
      </c>
      <c r="AE63" s="165" t="str">
        <f>IF(MIN(H63,L63,P63,T63,X63,AB63)&lt;&gt;0,MIN(H63,L63,P63,T63,X63,AB63),"")</f>
        <v/>
      </c>
      <c r="AF63" s="165"/>
      <c r="AG63" s="164"/>
      <c r="AH63" s="165"/>
      <c r="AI63" s="164"/>
      <c r="AJ63" s="163" t="str">
        <f>IF(AD63="","",IF(ISBLANK(AF63),"En cours",AD63+AF63))</f>
        <v/>
      </c>
      <c r="AK63" s="163" t="str">
        <f>IF(AE63="","",IF(ISBLANK(AH63),"En cours",AE63+AH63))</f>
        <v/>
      </c>
    </row>
    <row r="64" spans="2:37" ht="21" x14ac:dyDescent="0.35">
      <c r="B64" s="164"/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4"/>
      <c r="Y64" s="164"/>
      <c r="Z64" s="164"/>
      <c r="AA64" s="164"/>
      <c r="AB64" s="164"/>
      <c r="AC64" s="164"/>
      <c r="AD64" s="165" t="str">
        <f>IF(MIN(F64,J64,N64,R64,V64,Z64)&lt;&gt;0,MIN(F64,J64,N64,R64,V64,Z64),"")</f>
        <v/>
      </c>
      <c r="AE64" s="165" t="str">
        <f>IF(MIN(H64,L64,P64,T64,X64,AB64)&lt;&gt;0,MIN(H64,L64,P64,T64,X64,AB64),"")</f>
        <v/>
      </c>
      <c r="AF64" s="165"/>
      <c r="AG64" s="164"/>
      <c r="AH64" s="165"/>
      <c r="AI64" s="164"/>
      <c r="AJ64" s="163" t="str">
        <f>IF(AD64="","",IF(ISBLANK(AF64),"En cours",AD64+AF64))</f>
        <v/>
      </c>
      <c r="AK64" s="163" t="str">
        <f>IF(AE64="","",IF(ISBLANK(AH64),"En cours",AE64+AH64))</f>
        <v/>
      </c>
    </row>
    <row r="65" spans="2:37" ht="21" x14ac:dyDescent="0.35">
      <c r="B65" s="164"/>
      <c r="C65" s="164"/>
      <c r="D65" s="164"/>
      <c r="E65" s="164"/>
      <c r="F65" s="164"/>
      <c r="G65" s="164"/>
      <c r="H65" s="164"/>
      <c r="I65" s="164"/>
      <c r="J65" s="164"/>
      <c r="K65" s="164"/>
      <c r="L65" s="164"/>
      <c r="M65" s="164"/>
      <c r="N65" s="164"/>
      <c r="O65" s="164"/>
      <c r="P65" s="164"/>
      <c r="Q65" s="164"/>
      <c r="R65" s="164"/>
      <c r="S65" s="164"/>
      <c r="T65" s="164"/>
      <c r="U65" s="164"/>
      <c r="V65" s="164"/>
      <c r="W65" s="164"/>
      <c r="X65" s="164"/>
      <c r="Y65" s="164"/>
      <c r="Z65" s="164"/>
      <c r="AA65" s="164"/>
      <c r="AB65" s="164"/>
      <c r="AC65" s="164"/>
      <c r="AD65" s="165" t="str">
        <f>IF(MIN(F65,J65,N65,R65,V65,Z65)&lt;&gt;0,MIN(F65,J65,N65,R65,V65,Z65),"")</f>
        <v/>
      </c>
      <c r="AE65" s="165" t="str">
        <f>IF(MIN(H65,L65,P65,T65,X65,AB65)&lt;&gt;0,MIN(H65,L65,P65,T65,X65,AB65),"")</f>
        <v/>
      </c>
      <c r="AF65" s="165"/>
      <c r="AG65" s="164"/>
      <c r="AH65" s="165"/>
      <c r="AI65" s="164"/>
      <c r="AJ65" s="163" t="str">
        <f>IF(AD65="","",IF(ISBLANK(AF65),"En cours",AD65+AF65))</f>
        <v/>
      </c>
      <c r="AK65" s="163" t="str">
        <f>IF(AE65="","",IF(ISBLANK(AH65),"En cours",AE65+AH65))</f>
        <v/>
      </c>
    </row>
    <row r="66" spans="2:37" ht="21" x14ac:dyDescent="0.35">
      <c r="B66" s="164"/>
      <c r="C66" s="164"/>
      <c r="D66" s="164"/>
      <c r="E66" s="164"/>
      <c r="F66" s="164"/>
      <c r="G66" s="164"/>
      <c r="H66" s="164"/>
      <c r="I66" s="164"/>
      <c r="J66" s="164"/>
      <c r="K66" s="164"/>
      <c r="L66" s="164"/>
      <c r="M66" s="164"/>
      <c r="N66" s="164"/>
      <c r="O66" s="164"/>
      <c r="P66" s="164"/>
      <c r="Q66" s="164"/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5" t="str">
        <f>IF(MIN(F66,J66,N66,R66,V66,Z66)&lt;&gt;0,MIN(F66,J66,N66,R66,V66,Z66),"")</f>
        <v/>
      </c>
      <c r="AE66" s="165" t="str">
        <f>IF(MIN(H66,L66,P66,T66,X66,AB66)&lt;&gt;0,MIN(H66,L66,P66,T66,X66,AB66),"")</f>
        <v/>
      </c>
      <c r="AF66" s="165"/>
      <c r="AG66" s="164"/>
      <c r="AH66" s="165"/>
      <c r="AI66" s="164"/>
      <c r="AJ66" s="163" t="str">
        <f>IF(AD66="","",IF(ISBLANK(AF66),"En cours",AD66+AF66))</f>
        <v/>
      </c>
      <c r="AK66" s="163" t="str">
        <f>IF(AE66="","",IF(ISBLANK(AH66),"En cours",AE66+AH66))</f>
        <v/>
      </c>
    </row>
    <row r="67" spans="2:37" ht="21" x14ac:dyDescent="0.35"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4"/>
      <c r="P67" s="164"/>
      <c r="Q67" s="164"/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5" t="str">
        <f>IF(MIN(F67,J67,N67,R67,V67,Z67)&lt;&gt;0,MIN(F67,J67,N67,R67,V67,Z67),"")</f>
        <v/>
      </c>
      <c r="AE67" s="165" t="str">
        <f>IF(MIN(H67,L67,P67,T67,X67,AB67)&lt;&gt;0,MIN(H67,L67,P67,T67,X67,AB67),"")</f>
        <v/>
      </c>
      <c r="AF67" s="165"/>
      <c r="AG67" s="164"/>
      <c r="AH67" s="165"/>
      <c r="AI67" s="164"/>
      <c r="AJ67" s="163" t="str">
        <f>IF(AD67="","",IF(ISBLANK(AF67),"En cours",AD67+AF67))</f>
        <v/>
      </c>
      <c r="AK67" s="163" t="str">
        <f>IF(AE67="","",IF(ISBLANK(AH67),"En cours",AE67+AH67))</f>
        <v/>
      </c>
    </row>
    <row r="68" spans="2:37" ht="21" x14ac:dyDescent="0.35">
      <c r="B68" s="164"/>
      <c r="C68" s="164"/>
      <c r="D68" s="164"/>
      <c r="E68" s="164"/>
      <c r="F68" s="164"/>
      <c r="G68" s="164"/>
      <c r="H68" s="164"/>
      <c r="I68" s="164"/>
      <c r="J68" s="164"/>
      <c r="K68" s="164"/>
      <c r="L68" s="164"/>
      <c r="M68" s="164"/>
      <c r="N68" s="164"/>
      <c r="O68" s="164"/>
      <c r="P68" s="164"/>
      <c r="Q68" s="164"/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5" t="str">
        <f>IF(MIN(F68,J68,N68,R68,V68,Z68)&lt;&gt;0,MIN(F68,J68,N68,R68,V68,Z68),"")</f>
        <v/>
      </c>
      <c r="AE68" s="165" t="str">
        <f>IF(MIN(H68,L68,P68,T68,X68,AB68)&lt;&gt;0,MIN(H68,L68,P68,T68,X68,AB68),"")</f>
        <v/>
      </c>
      <c r="AF68" s="165"/>
      <c r="AG68" s="164"/>
      <c r="AH68" s="165"/>
      <c r="AI68" s="164"/>
      <c r="AJ68" s="163" t="str">
        <f>IF(AD68="","",IF(ISBLANK(AF68),"En cours",AD68+AF68))</f>
        <v/>
      </c>
      <c r="AK68" s="163" t="str">
        <f>IF(AE68="","",IF(ISBLANK(AH68),"En cours",AE68+AH68))</f>
        <v/>
      </c>
    </row>
    <row r="69" spans="2:37" ht="21" x14ac:dyDescent="0.35">
      <c r="B69" s="164"/>
      <c r="C69" s="164"/>
      <c r="D69" s="164"/>
      <c r="E69" s="164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5" t="str">
        <f>IF(MIN(F69,J69,N69,R69,V69,Z69)&lt;&gt;0,MIN(F69,J69,N69,R69,V69,Z69),"")</f>
        <v/>
      </c>
      <c r="AE69" s="165" t="str">
        <f>IF(MIN(H69,L69,P69,T69,X69,AB69)&lt;&gt;0,MIN(H69,L69,P69,T69,X69,AB69),"")</f>
        <v/>
      </c>
      <c r="AF69" s="165"/>
      <c r="AG69" s="164"/>
      <c r="AH69" s="165"/>
      <c r="AI69" s="164"/>
      <c r="AJ69" s="163" t="str">
        <f>IF(AD69="","",IF(ISBLANK(AF69),"En cours",AD69+AF69))</f>
        <v/>
      </c>
      <c r="AK69" s="163" t="str">
        <f>IF(AE69="","",IF(ISBLANK(AH69),"En cours",AE69+AH69))</f>
        <v/>
      </c>
    </row>
    <row r="70" spans="2:37" ht="21" x14ac:dyDescent="0.35">
      <c r="B70" s="164"/>
      <c r="C70" s="164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5" t="str">
        <f>IF(MIN(F70,J70,N70,R70,V70,Z70)&lt;&gt;0,MIN(F70,J70,N70,R70,V70,Z70),"")</f>
        <v/>
      </c>
      <c r="AE70" s="165" t="str">
        <f>IF(MIN(H70,L70,P70,T70,X70,AB70)&lt;&gt;0,MIN(H70,L70,P70,T70,X70,AB70),"")</f>
        <v/>
      </c>
      <c r="AF70" s="165"/>
      <c r="AG70" s="164"/>
      <c r="AH70" s="165"/>
      <c r="AI70" s="164"/>
      <c r="AJ70" s="163" t="str">
        <f>IF(AD70="","",IF(ISBLANK(AF70),"En cours",AD70+AF70))</f>
        <v/>
      </c>
      <c r="AK70" s="163" t="str">
        <f>IF(AE70="","",IF(ISBLANK(AH70),"En cours",AE70+AH70))</f>
        <v/>
      </c>
    </row>
    <row r="71" spans="2:37" ht="21" x14ac:dyDescent="0.35">
      <c r="B71" s="164"/>
      <c r="C71" s="164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5" t="str">
        <f>IF(MIN(F71,J71,N71,R71,V71,Z71)&lt;&gt;0,MIN(F71,J71,N71,R71,V71,Z71),"")</f>
        <v/>
      </c>
      <c r="AE71" s="165" t="str">
        <f>IF(MIN(H71,L71,P71,T71,X71,AB71)&lt;&gt;0,MIN(H71,L71,P71,T71,X71,AB71),"")</f>
        <v/>
      </c>
      <c r="AF71" s="165"/>
      <c r="AG71" s="164"/>
      <c r="AH71" s="165"/>
      <c r="AI71" s="164"/>
      <c r="AJ71" s="163" t="str">
        <f>IF(AD71="","",IF(ISBLANK(AF71),"En cours",AD71+AF71))</f>
        <v/>
      </c>
      <c r="AK71" s="163" t="str">
        <f>IF(AE71="","",IF(ISBLANK(AH71),"En cours",AE71+AH71))</f>
        <v/>
      </c>
    </row>
    <row r="72" spans="2:37" ht="21" x14ac:dyDescent="0.35">
      <c r="B72" s="164"/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5" t="str">
        <f>IF(MIN(F72,J72,N72,R72,V72,Z72)&lt;&gt;0,MIN(F72,J72,N72,R72,V72,Z72),"")</f>
        <v/>
      </c>
      <c r="AE72" s="165" t="str">
        <f>IF(MIN(H72,L72,P72,T72,X72,AB72)&lt;&gt;0,MIN(H72,L72,P72,T72,X72,AB72),"")</f>
        <v/>
      </c>
      <c r="AF72" s="165"/>
      <c r="AG72" s="164"/>
      <c r="AH72" s="165"/>
      <c r="AI72" s="164"/>
      <c r="AJ72" s="163" t="str">
        <f>IF(AD72="","",IF(ISBLANK(AF72),"En cours",AD72+AF72))</f>
        <v/>
      </c>
      <c r="AK72" s="163" t="str">
        <f>IF(AE72="","",IF(ISBLANK(AH72),"En cours",AE72+AH72))</f>
        <v/>
      </c>
    </row>
    <row r="73" spans="2:37" ht="21" x14ac:dyDescent="0.35">
      <c r="B73" s="164"/>
      <c r="C73" s="164"/>
      <c r="D73" s="164"/>
      <c r="E73" s="164"/>
      <c r="F73" s="164"/>
      <c r="G73" s="164"/>
      <c r="H73" s="164"/>
      <c r="I73" s="164"/>
      <c r="J73" s="164"/>
      <c r="K73" s="164"/>
      <c r="L73" s="164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5" t="str">
        <f>IF(MIN(F73,J73,N73,R73,V73,Z73)&lt;&gt;0,MIN(F73,J73,N73,R73,V73,Z73),"")</f>
        <v/>
      </c>
      <c r="AE73" s="165" t="str">
        <f>IF(MIN(H73,L73,P73,T73,X73,AB73)&lt;&gt;0,MIN(H73,L73,P73,T73,X73,AB73),"")</f>
        <v/>
      </c>
      <c r="AF73" s="165"/>
      <c r="AG73" s="164"/>
      <c r="AH73" s="165"/>
      <c r="AI73" s="164"/>
      <c r="AJ73" s="163" t="str">
        <f>IF(AD73="","",IF(ISBLANK(AF73),"En cours",AD73+AF73))</f>
        <v/>
      </c>
      <c r="AK73" s="163" t="str">
        <f>IF(AE73="","",IF(ISBLANK(AH73),"En cours",AE73+AH73))</f>
        <v/>
      </c>
    </row>
    <row r="74" spans="2:37" ht="21" x14ac:dyDescent="0.35">
      <c r="B74" s="164"/>
      <c r="C74" s="164"/>
      <c r="D74" s="164"/>
      <c r="E74" s="164"/>
      <c r="F74" s="164"/>
      <c r="G74" s="164"/>
      <c r="H74" s="164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5" t="str">
        <f>IF(MIN(F74,J74,N74,R74,V74,Z74)&lt;&gt;0,MIN(F74,J74,N74,R74,V74,Z74),"")</f>
        <v/>
      </c>
      <c r="AE74" s="165" t="str">
        <f>IF(MIN(H74,L74,P74,T74,X74,AB74)&lt;&gt;0,MIN(H74,L74,P74,T74,X74,AB74),"")</f>
        <v/>
      </c>
      <c r="AF74" s="165"/>
      <c r="AG74" s="164"/>
      <c r="AH74" s="165"/>
      <c r="AI74" s="164"/>
      <c r="AJ74" s="163" t="str">
        <f>IF(AD74="","",IF(ISBLANK(AF74),"En cours",AD74+AF74))</f>
        <v/>
      </c>
      <c r="AK74" s="163" t="str">
        <f>IF(AE74="","",IF(ISBLANK(AH74),"En cours",AE74+AH74))</f>
        <v/>
      </c>
    </row>
    <row r="75" spans="2:37" ht="21" x14ac:dyDescent="0.35">
      <c r="B75" s="164"/>
      <c r="C75" s="164"/>
      <c r="D75" s="164"/>
      <c r="E75" s="164"/>
      <c r="F75" s="164"/>
      <c r="G75" s="164"/>
      <c r="H75" s="164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5" t="str">
        <f>IF(MIN(F75,J75,N75,R75,V75,Z75)&lt;&gt;0,MIN(F75,J75,N75,R75,V75,Z75),"")</f>
        <v/>
      </c>
      <c r="AE75" s="165" t="str">
        <f>IF(MIN(H75,L75,P75,T75,X75,AB75)&lt;&gt;0,MIN(H75,L75,P75,T75,X75,AB75),"")</f>
        <v/>
      </c>
      <c r="AF75" s="165"/>
      <c r="AG75" s="164"/>
      <c r="AH75" s="165"/>
      <c r="AI75" s="164"/>
      <c r="AJ75" s="163" t="str">
        <f>IF(AD75="","",IF(ISBLANK(AF75),"En cours",AD75+AF75))</f>
        <v/>
      </c>
      <c r="AK75" s="163" t="str">
        <f>IF(AE75="","",IF(ISBLANK(AH75),"En cours",AE75+AH75))</f>
        <v/>
      </c>
    </row>
    <row r="76" spans="2:37" ht="21" x14ac:dyDescent="0.35">
      <c r="B76" s="164"/>
      <c r="C76" s="164"/>
      <c r="D76" s="164"/>
      <c r="E76" s="164"/>
      <c r="F76" s="164"/>
      <c r="G76" s="164"/>
      <c r="H76" s="164"/>
      <c r="I76" s="164"/>
      <c r="J76" s="164"/>
      <c r="K76" s="164"/>
      <c r="L76" s="164"/>
      <c r="M76" s="164"/>
      <c r="N76" s="164"/>
      <c r="O76" s="164"/>
      <c r="P76" s="164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5" t="str">
        <f>IF(MIN(F76,J76,N76,R76,V76,Z76)&lt;&gt;0,MIN(F76,J76,N76,R76,V76,Z76),"")</f>
        <v/>
      </c>
      <c r="AE76" s="165" t="str">
        <f>IF(MIN(H76,L76,P76,T76,X76,AB76)&lt;&gt;0,MIN(H76,L76,P76,T76,X76,AB76),"")</f>
        <v/>
      </c>
      <c r="AF76" s="165"/>
      <c r="AG76" s="164"/>
      <c r="AH76" s="165"/>
      <c r="AI76" s="164"/>
      <c r="AJ76" s="163" t="str">
        <f>IF(AD76="","",IF(ISBLANK(AF76),"En cours",AD76+AF76))</f>
        <v/>
      </c>
      <c r="AK76" s="163" t="str">
        <f>IF(AE76="","",IF(ISBLANK(AH76),"En cours",AE76+AH76))</f>
        <v/>
      </c>
    </row>
    <row r="77" spans="2:37" ht="21" x14ac:dyDescent="0.35">
      <c r="B77" s="164"/>
      <c r="C77" s="164"/>
      <c r="D77" s="164"/>
      <c r="E77" s="164"/>
      <c r="F77" s="164"/>
      <c r="G77" s="164"/>
      <c r="H77" s="164"/>
      <c r="I77" s="164"/>
      <c r="J77" s="164"/>
      <c r="K77" s="164"/>
      <c r="L77" s="164"/>
      <c r="M77" s="164"/>
      <c r="N77" s="164"/>
      <c r="O77" s="164"/>
      <c r="P77" s="164"/>
      <c r="Q77" s="164"/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5" t="str">
        <f>IF(MIN(F77,J77,N77,R77,V77,Z77)&lt;&gt;0,MIN(F77,J77,N77,R77,V77,Z77),"")</f>
        <v/>
      </c>
      <c r="AE77" s="165" t="str">
        <f>IF(MIN(H77,L77,P77,T77,X77,AB77)&lt;&gt;0,MIN(H77,L77,P77,T77,X77,AB77),"")</f>
        <v/>
      </c>
      <c r="AF77" s="165"/>
      <c r="AG77" s="164"/>
      <c r="AH77" s="165"/>
      <c r="AI77" s="164"/>
      <c r="AJ77" s="163" t="str">
        <f>IF(AD77="","",IF(ISBLANK(AF77),"En cours",AD77+AF77))</f>
        <v/>
      </c>
      <c r="AK77" s="163" t="str">
        <f>IF(AE77="","",IF(ISBLANK(AH77),"En cours",AE77+AH77))</f>
        <v/>
      </c>
    </row>
    <row r="78" spans="2:37" ht="21" x14ac:dyDescent="0.35">
      <c r="B78" s="164"/>
      <c r="C78" s="164"/>
      <c r="D78" s="164"/>
      <c r="E78" s="164"/>
      <c r="F78" s="164"/>
      <c r="G78" s="164"/>
      <c r="H78" s="164"/>
      <c r="I78" s="164"/>
      <c r="J78" s="164"/>
      <c r="K78" s="164"/>
      <c r="L78" s="164"/>
      <c r="M78" s="164"/>
      <c r="N78" s="164"/>
      <c r="O78" s="164"/>
      <c r="P78" s="164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5" t="str">
        <f>IF(MIN(F78,J78,N78,R78,V78,Z78)&lt;&gt;0,MIN(F78,J78,N78,R78,V78,Z78),"")</f>
        <v/>
      </c>
      <c r="AE78" s="165" t="str">
        <f>IF(MIN(H78,L78,P78,T78,X78,AB78)&lt;&gt;0,MIN(H78,L78,P78,T78,X78,AB78),"")</f>
        <v/>
      </c>
      <c r="AF78" s="165"/>
      <c r="AG78" s="164"/>
      <c r="AH78" s="165"/>
      <c r="AI78" s="164"/>
      <c r="AJ78" s="163" t="str">
        <f>IF(AD78="","",IF(ISBLANK(AF78),"En cours",AD78+AF78))</f>
        <v/>
      </c>
      <c r="AK78" s="163" t="str">
        <f>IF(AE78="","",IF(ISBLANK(AH78),"En cours",AE78+AH78))</f>
        <v/>
      </c>
    </row>
    <row r="79" spans="2:37" ht="21" x14ac:dyDescent="0.35">
      <c r="B79" s="164"/>
      <c r="C79" s="164"/>
      <c r="D79" s="164"/>
      <c r="E79" s="164"/>
      <c r="F79" s="164"/>
      <c r="G79" s="164"/>
      <c r="H79" s="164"/>
      <c r="I79" s="164"/>
      <c r="J79" s="164"/>
      <c r="K79" s="164"/>
      <c r="L79" s="164"/>
      <c r="M79" s="164"/>
      <c r="N79" s="164"/>
      <c r="O79" s="164"/>
      <c r="P79" s="164"/>
      <c r="Q79" s="164"/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5" t="str">
        <f>IF(MIN(F79,J79,N79,R79,V79,Z79)&lt;&gt;0,MIN(F79,J79,N79,R79,V79,Z79),"")</f>
        <v/>
      </c>
      <c r="AE79" s="165" t="str">
        <f>IF(MIN(H79,L79,P79,T79,X79,AB79)&lt;&gt;0,MIN(H79,L79,P79,T79,X79,AB79),"")</f>
        <v/>
      </c>
      <c r="AF79" s="165"/>
      <c r="AG79" s="164"/>
      <c r="AH79" s="165"/>
      <c r="AI79" s="164"/>
      <c r="AJ79" s="163" t="str">
        <f>IF(AD79="","",IF(ISBLANK(AF79),"En cours",AD79+AF79))</f>
        <v/>
      </c>
      <c r="AK79" s="163" t="str">
        <f>IF(AE79="","",IF(ISBLANK(AH79),"En cours",AE79+AH79))</f>
        <v/>
      </c>
    </row>
    <row r="80" spans="2:37" ht="21" x14ac:dyDescent="0.35">
      <c r="B80" s="164"/>
      <c r="C80" s="164"/>
      <c r="D80" s="164"/>
      <c r="E80" s="164"/>
      <c r="F80" s="164"/>
      <c r="G80" s="164"/>
      <c r="H80" s="164"/>
      <c r="I80" s="164"/>
      <c r="J80" s="164"/>
      <c r="K80" s="164"/>
      <c r="L80" s="164"/>
      <c r="M80" s="164"/>
      <c r="N80" s="164"/>
      <c r="O80" s="164"/>
      <c r="P80" s="164"/>
      <c r="Q80" s="164"/>
      <c r="R80" s="164"/>
      <c r="S80" s="164"/>
      <c r="T80" s="164"/>
      <c r="U80" s="164"/>
      <c r="V80" s="164"/>
      <c r="W80" s="164"/>
      <c r="X80" s="164"/>
      <c r="Y80" s="164"/>
      <c r="Z80" s="164"/>
      <c r="AA80" s="164"/>
      <c r="AB80" s="164"/>
      <c r="AC80" s="164"/>
      <c r="AD80" s="165" t="str">
        <f>IF(MIN(F80,J80,N80,R80,V80,Z80)&lt;&gt;0,MIN(F80,J80,N80,R80,V80,Z80),"")</f>
        <v/>
      </c>
      <c r="AE80" s="165" t="str">
        <f>IF(MIN(H80,L80,P80,T80,X80,AB80)&lt;&gt;0,MIN(H80,L80,P80,T80,X80,AB80),"")</f>
        <v/>
      </c>
      <c r="AF80" s="165"/>
      <c r="AG80" s="164"/>
      <c r="AH80" s="165"/>
      <c r="AI80" s="164"/>
      <c r="AJ80" s="163" t="str">
        <f>IF(AD80="","",IF(ISBLANK(AF80),"En cours",AD80+AF80))</f>
        <v/>
      </c>
      <c r="AK80" s="163" t="str">
        <f>IF(AE80="","",IF(ISBLANK(AH80),"En cours",AE80+AH80))</f>
        <v/>
      </c>
    </row>
    <row r="81" spans="2:37" ht="21" x14ac:dyDescent="0.35">
      <c r="B81" s="164"/>
      <c r="C81" s="164"/>
      <c r="D81" s="164"/>
      <c r="E81" s="164"/>
      <c r="F81" s="164"/>
      <c r="G81" s="164"/>
      <c r="H81" s="164"/>
      <c r="I81" s="164"/>
      <c r="J81" s="164"/>
      <c r="K81" s="164"/>
      <c r="L81" s="164"/>
      <c r="M81" s="164"/>
      <c r="N81" s="164"/>
      <c r="O81" s="164"/>
      <c r="P81" s="164"/>
      <c r="Q81" s="164"/>
      <c r="R81" s="164"/>
      <c r="S81" s="164"/>
      <c r="T81" s="164"/>
      <c r="U81" s="164"/>
      <c r="V81" s="164"/>
      <c r="W81" s="164"/>
      <c r="X81" s="164"/>
      <c r="Y81" s="164"/>
      <c r="Z81" s="164"/>
      <c r="AA81" s="164"/>
      <c r="AB81" s="164"/>
      <c r="AC81" s="164"/>
      <c r="AD81" s="165" t="str">
        <f>IF(MIN(F81,J81,N81,R81,V81,Z81)&lt;&gt;0,MIN(F81,J81,N81,R81,V81,Z81),"")</f>
        <v/>
      </c>
      <c r="AE81" s="165" t="str">
        <f>IF(MIN(H81,L81,P81,T81,X81,AB81)&lt;&gt;0,MIN(H81,L81,P81,T81,X81,AB81),"")</f>
        <v/>
      </c>
      <c r="AF81" s="165"/>
      <c r="AG81" s="164"/>
      <c r="AH81" s="165"/>
      <c r="AI81" s="164"/>
      <c r="AJ81" s="163" t="str">
        <f>IF(AD81="","",IF(ISBLANK(AF81),"En cours",AD81+AF81))</f>
        <v/>
      </c>
      <c r="AK81" s="163" t="str">
        <f>IF(AE81="","",IF(ISBLANK(AH81),"En cours",AE81+AH81))</f>
        <v/>
      </c>
    </row>
    <row r="82" spans="2:37" ht="21" x14ac:dyDescent="0.35">
      <c r="B82" s="164"/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164"/>
      <c r="AA82" s="164"/>
      <c r="AB82" s="164"/>
      <c r="AC82" s="164"/>
      <c r="AD82" s="165" t="str">
        <f>IF(MIN(F82,J82,N82,R82,V82,Z82)&lt;&gt;0,MIN(F82,J82,N82,R82,V82,Z82),"")</f>
        <v/>
      </c>
      <c r="AE82" s="165" t="str">
        <f>IF(MIN(H82,L82,P82,T82,X82,AB82)&lt;&gt;0,MIN(H82,L82,P82,T82,X82,AB82),"")</f>
        <v/>
      </c>
      <c r="AF82" s="165"/>
      <c r="AG82" s="164"/>
      <c r="AH82" s="165"/>
      <c r="AI82" s="164"/>
      <c r="AJ82" s="163" t="str">
        <f>IF(AD82="","",IF(ISBLANK(AF82),"En cours",AD82+AF82))</f>
        <v/>
      </c>
      <c r="AK82" s="163" t="str">
        <f>IF(AE82="","",IF(ISBLANK(AH82),"En cours",AE82+AH82))</f>
        <v/>
      </c>
    </row>
    <row r="83" spans="2:37" ht="21" x14ac:dyDescent="0.35">
      <c r="B83" s="164"/>
      <c r="C83" s="164"/>
      <c r="D83" s="164"/>
      <c r="E83" s="164"/>
      <c r="F83" s="164"/>
      <c r="G83" s="164"/>
      <c r="H83" s="164"/>
      <c r="I83" s="164"/>
      <c r="J83" s="164"/>
      <c r="K83" s="164"/>
      <c r="L83" s="164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5" t="str">
        <f>IF(MIN(F83,J83,N83,R83,V83,Z83)&lt;&gt;0,MIN(F83,J83,N83,R83,V83,Z83),"")</f>
        <v/>
      </c>
      <c r="AE83" s="165" t="str">
        <f>IF(MIN(H83,L83,P83,T83,X83,AB83)&lt;&gt;0,MIN(H83,L83,P83,T83,X83,AB83),"")</f>
        <v/>
      </c>
      <c r="AF83" s="165"/>
      <c r="AG83" s="164"/>
      <c r="AH83" s="165"/>
      <c r="AI83" s="164"/>
      <c r="AJ83" s="163" t="str">
        <f>IF(AD83="","",IF(ISBLANK(AF83),"En cours",AD83+AF83))</f>
        <v/>
      </c>
      <c r="AK83" s="163" t="str">
        <f>IF(AE83="","",IF(ISBLANK(AH83),"En cours",AE83+AH83))</f>
        <v/>
      </c>
    </row>
    <row r="84" spans="2:37" ht="21" x14ac:dyDescent="0.35">
      <c r="B84" s="164"/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5" t="str">
        <f>IF(MIN(F84,J84,N84,R84,V84,Z84)&lt;&gt;0,MIN(F84,J84,N84,R84,V84,Z84),"")</f>
        <v/>
      </c>
      <c r="AE84" s="165" t="str">
        <f>IF(MIN(H84,L84,P84,T84,X84,AB84)&lt;&gt;0,MIN(H84,L84,P84,T84,X84,AB84),"")</f>
        <v/>
      </c>
      <c r="AF84" s="165"/>
      <c r="AG84" s="164"/>
      <c r="AH84" s="165"/>
      <c r="AI84" s="164"/>
      <c r="AJ84" s="163" t="str">
        <f>IF(AD84="","",IF(ISBLANK(AF84),"En cours",AD84+AF84))</f>
        <v/>
      </c>
      <c r="AK84" s="163" t="str">
        <f>IF(AE84="","",IF(ISBLANK(AH84),"En cours",AE84+AH84))</f>
        <v/>
      </c>
    </row>
    <row r="85" spans="2:37" ht="21" x14ac:dyDescent="0.35">
      <c r="B85" s="164"/>
      <c r="C85" s="164"/>
      <c r="D85" s="164"/>
      <c r="E85" s="164"/>
      <c r="F85" s="164"/>
      <c r="G85" s="164"/>
      <c r="H85" s="164"/>
      <c r="I85" s="164"/>
      <c r="J85" s="164"/>
      <c r="K85" s="164"/>
      <c r="L85" s="164"/>
      <c r="M85" s="164"/>
      <c r="N85" s="164"/>
      <c r="O85" s="164"/>
      <c r="P85" s="164"/>
      <c r="Q85" s="164"/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5" t="str">
        <f>IF(MIN(F85,J85,N85,R85,V85,Z85)&lt;&gt;0,MIN(F85,J85,N85,R85,V85,Z85),"")</f>
        <v/>
      </c>
      <c r="AE85" s="165" t="str">
        <f>IF(MIN(H85,L85,P85,T85,X85,AB85)&lt;&gt;0,MIN(H85,L85,P85,T85,X85,AB85),"")</f>
        <v/>
      </c>
      <c r="AF85" s="165"/>
      <c r="AG85" s="164"/>
      <c r="AH85" s="165"/>
      <c r="AI85" s="164"/>
      <c r="AJ85" s="163" t="str">
        <f>IF(AD85="","",IF(ISBLANK(AF85),"En cours",AD85+AF85))</f>
        <v/>
      </c>
      <c r="AK85" s="163" t="str">
        <f>IF(AE85="","",IF(ISBLANK(AH85),"En cours",AE85+AH85))</f>
        <v/>
      </c>
    </row>
    <row r="86" spans="2:37" ht="21" x14ac:dyDescent="0.35">
      <c r="B86" s="164"/>
      <c r="C86" s="164"/>
      <c r="D86" s="164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64"/>
      <c r="Q86" s="164"/>
      <c r="R86" s="164"/>
      <c r="S86" s="164"/>
      <c r="T86" s="164"/>
      <c r="U86" s="164"/>
      <c r="V86" s="164"/>
      <c r="W86" s="164"/>
      <c r="X86" s="164"/>
      <c r="Y86" s="164"/>
      <c r="Z86" s="164"/>
      <c r="AA86" s="164"/>
      <c r="AB86" s="164"/>
      <c r="AC86" s="164"/>
      <c r="AD86" s="165" t="str">
        <f>IF(MIN(F86,J86,N86,R86,V86,Z86)&lt;&gt;0,MIN(F86,J86,N86,R86,V86,Z86),"")</f>
        <v/>
      </c>
      <c r="AE86" s="165" t="str">
        <f>IF(MIN(H86,L86,P86,T86,X86,AB86)&lt;&gt;0,MIN(H86,L86,P86,T86,X86,AB86),"")</f>
        <v/>
      </c>
      <c r="AF86" s="165"/>
      <c r="AG86" s="164"/>
      <c r="AH86" s="165"/>
      <c r="AI86" s="164"/>
      <c r="AJ86" s="163" t="str">
        <f>IF(AD86="","",IF(ISBLANK(AF86),"En cours",AD86+AF86))</f>
        <v/>
      </c>
      <c r="AK86" s="163" t="str">
        <f>IF(AE86="","",IF(ISBLANK(AH86),"En cours",AE86+AH86))</f>
        <v/>
      </c>
    </row>
    <row r="87" spans="2:37" ht="21" x14ac:dyDescent="0.35">
      <c r="B87" s="164"/>
      <c r="C87" s="164"/>
      <c r="D87" s="164"/>
      <c r="E87" s="164"/>
      <c r="F87" s="164"/>
      <c r="G87" s="164"/>
      <c r="H87" s="164"/>
      <c r="I87" s="164"/>
      <c r="J87" s="164"/>
      <c r="K87" s="164"/>
      <c r="L87" s="164"/>
      <c r="M87" s="164"/>
      <c r="N87" s="164"/>
      <c r="O87" s="164"/>
      <c r="P87" s="164"/>
      <c r="Q87" s="164"/>
      <c r="R87" s="164"/>
      <c r="S87" s="164"/>
      <c r="T87" s="164"/>
      <c r="U87" s="164"/>
      <c r="V87" s="164"/>
      <c r="W87" s="164"/>
      <c r="X87" s="164"/>
      <c r="Y87" s="164"/>
      <c r="Z87" s="164"/>
      <c r="AA87" s="164"/>
      <c r="AB87" s="164"/>
      <c r="AC87" s="164"/>
      <c r="AD87" s="165" t="str">
        <f>IF(MIN(F87,J87,N87,R87,V87,Z87)&lt;&gt;0,MIN(F87,J87,N87,R87,V87,Z87),"")</f>
        <v/>
      </c>
      <c r="AE87" s="165" t="str">
        <f>IF(MIN(H87,L87,P87,T87,X87,AB87)&lt;&gt;0,MIN(H87,L87,P87,T87,X87,AB87),"")</f>
        <v/>
      </c>
      <c r="AF87" s="165"/>
      <c r="AG87" s="164"/>
      <c r="AH87" s="165"/>
      <c r="AI87" s="164"/>
      <c r="AJ87" s="163" t="str">
        <f>IF(AD87="","",IF(ISBLANK(AF87),"En cours",AD87+AF87))</f>
        <v/>
      </c>
      <c r="AK87" s="163" t="str">
        <f>IF(AE87="","",IF(ISBLANK(AH87),"En cours",AE87+AH87))</f>
        <v/>
      </c>
    </row>
    <row r="88" spans="2:37" ht="21" x14ac:dyDescent="0.35">
      <c r="B88" s="164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  <c r="U88" s="164"/>
      <c r="V88" s="164"/>
      <c r="W88" s="164"/>
      <c r="X88" s="164"/>
      <c r="Y88" s="164"/>
      <c r="Z88" s="164"/>
      <c r="AA88" s="164"/>
      <c r="AB88" s="164"/>
      <c r="AC88" s="164"/>
      <c r="AD88" s="165" t="str">
        <f>IF(MIN(F88,J88,N88,R88,V88,Z88)&lt;&gt;0,MIN(F88,J88,N88,R88,V88,Z88),"")</f>
        <v/>
      </c>
      <c r="AE88" s="165" t="str">
        <f>IF(MIN(H88,L88,P88,T88,X88,AB88)&lt;&gt;0,MIN(H88,L88,P88,T88,X88,AB88),"")</f>
        <v/>
      </c>
      <c r="AF88" s="165"/>
      <c r="AG88" s="164"/>
      <c r="AH88" s="165"/>
      <c r="AI88" s="164"/>
      <c r="AJ88" s="163" t="str">
        <f>IF(AD88="","",IF(ISBLANK(AF88),"En cours",AD88+AF88))</f>
        <v/>
      </c>
      <c r="AK88" s="163" t="str">
        <f>IF(AE88="","",IF(ISBLANK(AH88),"En cours",AE88+AH88))</f>
        <v/>
      </c>
    </row>
    <row r="89" spans="2:37" ht="21" x14ac:dyDescent="0.35">
      <c r="B89" s="164"/>
      <c r="C89" s="164"/>
      <c r="D89" s="164"/>
      <c r="E89" s="164"/>
      <c r="F89" s="164"/>
      <c r="G89" s="164"/>
      <c r="H89" s="164"/>
      <c r="I89" s="164"/>
      <c r="J89" s="164"/>
      <c r="K89" s="164"/>
      <c r="L89" s="164"/>
      <c r="M89" s="164"/>
      <c r="N89" s="164"/>
      <c r="O89" s="164"/>
      <c r="P89" s="164"/>
      <c r="Q89" s="164"/>
      <c r="R89" s="164"/>
      <c r="S89" s="164"/>
      <c r="T89" s="164"/>
      <c r="U89" s="164"/>
      <c r="V89" s="164"/>
      <c r="W89" s="164"/>
      <c r="X89" s="164"/>
      <c r="Y89" s="164"/>
      <c r="Z89" s="164"/>
      <c r="AA89" s="164"/>
      <c r="AB89" s="164"/>
      <c r="AC89" s="164"/>
      <c r="AD89" s="165" t="str">
        <f>IF(MIN(F89,J89,N89,R89,V89,Z89)&lt;&gt;0,MIN(F89,J89,N89,R89,V89,Z89),"")</f>
        <v/>
      </c>
      <c r="AE89" s="165" t="str">
        <f>IF(MIN(H89,L89,P89,T89,X89,AB89)&lt;&gt;0,MIN(H89,L89,P89,T89,X89,AB89),"")</f>
        <v/>
      </c>
      <c r="AF89" s="165"/>
      <c r="AG89" s="164"/>
      <c r="AH89" s="165"/>
      <c r="AI89" s="164"/>
      <c r="AJ89" s="163" t="str">
        <f>IF(AD89="","",IF(ISBLANK(AF89),"En cours",AD89+AF89))</f>
        <v/>
      </c>
      <c r="AK89" s="163" t="str">
        <f>IF(AE89="","",IF(ISBLANK(AH89),"En cours",AE89+AH89))</f>
        <v/>
      </c>
    </row>
    <row r="90" spans="2:37" ht="21" x14ac:dyDescent="0.35">
      <c r="B90" s="164"/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4"/>
      <c r="U90" s="164"/>
      <c r="V90" s="164"/>
      <c r="W90" s="164"/>
      <c r="X90" s="164"/>
      <c r="Y90" s="164"/>
      <c r="Z90" s="164"/>
      <c r="AA90" s="164"/>
      <c r="AB90" s="164"/>
      <c r="AC90" s="164"/>
      <c r="AD90" s="165" t="str">
        <f>IF(MIN(F90,J90,N90,R90,V90,Z90)&lt;&gt;0,MIN(F90,J90,N90,R90,V90,Z90),"")</f>
        <v/>
      </c>
      <c r="AE90" s="165" t="str">
        <f>IF(MIN(H90,L90,P90,T90,X90,AB90)&lt;&gt;0,MIN(H90,L90,P90,T90,X90,AB90),"")</f>
        <v/>
      </c>
      <c r="AF90" s="165"/>
      <c r="AG90" s="164"/>
      <c r="AH90" s="165"/>
      <c r="AI90" s="164"/>
      <c r="AJ90" s="163" t="str">
        <f>IF(AD90="","",IF(ISBLANK(AF90),"En cours",AD90+AF90))</f>
        <v/>
      </c>
      <c r="AK90" s="163" t="str">
        <f>IF(AE90="","",IF(ISBLANK(AH90),"En cours",AE90+AH90))</f>
        <v/>
      </c>
    </row>
    <row r="91" spans="2:37" ht="21" x14ac:dyDescent="0.35">
      <c r="B91" s="164"/>
      <c r="C91" s="164"/>
      <c r="D91" s="164"/>
      <c r="E91" s="164"/>
      <c r="F91" s="164"/>
      <c r="G91" s="164"/>
      <c r="H91" s="164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164"/>
      <c r="X91" s="164"/>
      <c r="Y91" s="164"/>
      <c r="Z91" s="164"/>
      <c r="AA91" s="164"/>
      <c r="AB91" s="164"/>
      <c r="AC91" s="164"/>
      <c r="AD91" s="165" t="str">
        <f>IF(MIN(F91,J91,N91,R91,V91,Z91)&lt;&gt;0,MIN(F91,J91,N91,R91,V91,Z91),"")</f>
        <v/>
      </c>
      <c r="AE91" s="165" t="str">
        <f>IF(MIN(H91,L91,P91,T91,X91,AB91)&lt;&gt;0,MIN(H91,L91,P91,T91,X91,AB91),"")</f>
        <v/>
      </c>
      <c r="AF91" s="165"/>
      <c r="AG91" s="164"/>
      <c r="AH91" s="165"/>
      <c r="AI91" s="164"/>
      <c r="AJ91" s="163" t="str">
        <f>IF(AD91="","",IF(ISBLANK(AF91),"En cours",AD91+AF91))</f>
        <v/>
      </c>
      <c r="AK91" s="163" t="str">
        <f>IF(AE91="","",IF(ISBLANK(AH91),"En cours",AE91+AH91))</f>
        <v/>
      </c>
    </row>
    <row r="92" spans="2:37" ht="21" x14ac:dyDescent="0.35">
      <c r="B92" s="164"/>
      <c r="C92" s="164"/>
      <c r="D92" s="164"/>
      <c r="E92" s="164"/>
      <c r="F92" s="164"/>
      <c r="G92" s="164"/>
      <c r="H92" s="164"/>
      <c r="I92" s="164"/>
      <c r="J92" s="164"/>
      <c r="K92" s="164"/>
      <c r="L92" s="164"/>
      <c r="M92" s="164"/>
      <c r="N92" s="164"/>
      <c r="O92" s="164"/>
      <c r="P92" s="164"/>
      <c r="Q92" s="164"/>
      <c r="R92" s="164"/>
      <c r="S92" s="164"/>
      <c r="T92" s="164"/>
      <c r="U92" s="164"/>
      <c r="V92" s="164"/>
      <c r="W92" s="164"/>
      <c r="X92" s="164"/>
      <c r="Y92" s="164"/>
      <c r="Z92" s="164"/>
      <c r="AA92" s="164"/>
      <c r="AB92" s="164"/>
      <c r="AC92" s="164"/>
      <c r="AD92" s="165" t="str">
        <f>IF(MIN(F92,J92,N92,R92,V92,Z92)&lt;&gt;0,MIN(F92,J92,N92,R92,V92,Z92),"")</f>
        <v/>
      </c>
      <c r="AE92" s="165" t="str">
        <f>IF(MIN(H92,L92,P92,T92,X92,AB92)&lt;&gt;0,MIN(H92,L92,P92,T92,X92,AB92),"")</f>
        <v/>
      </c>
      <c r="AF92" s="165"/>
      <c r="AG92" s="164"/>
      <c r="AH92" s="165"/>
      <c r="AI92" s="164"/>
      <c r="AJ92" s="163" t="str">
        <f>IF(AD92="","",IF(ISBLANK(AF92),"En cours",AD92+AF92))</f>
        <v/>
      </c>
      <c r="AK92" s="163" t="str">
        <f>IF(AE92="","",IF(ISBLANK(AH92),"En cours",AE92+AH92))</f>
        <v/>
      </c>
    </row>
    <row r="93" spans="2:37" ht="21" x14ac:dyDescent="0.35">
      <c r="B93" s="164"/>
      <c r="C93" s="164"/>
      <c r="D93" s="164"/>
      <c r="E93" s="164"/>
      <c r="F93" s="164"/>
      <c r="G93" s="164"/>
      <c r="H93" s="164"/>
      <c r="I93" s="164"/>
      <c r="J93" s="164"/>
      <c r="K93" s="164"/>
      <c r="L93" s="164"/>
      <c r="M93" s="164"/>
      <c r="N93" s="164"/>
      <c r="O93" s="164"/>
      <c r="P93" s="164"/>
      <c r="Q93" s="164"/>
      <c r="R93" s="164"/>
      <c r="S93" s="164"/>
      <c r="T93" s="164"/>
      <c r="U93" s="164"/>
      <c r="V93" s="164"/>
      <c r="W93" s="164"/>
      <c r="X93" s="164"/>
      <c r="Y93" s="164"/>
      <c r="Z93" s="164"/>
      <c r="AA93" s="164"/>
      <c r="AB93" s="164"/>
      <c r="AC93" s="164"/>
      <c r="AD93" s="165" t="str">
        <f>IF(MIN(F93,J93,N93,R93,V93,Z93)&lt;&gt;0,MIN(F93,J93,N93,R93,V93,Z93),"")</f>
        <v/>
      </c>
      <c r="AE93" s="165" t="str">
        <f>IF(MIN(H93,L93,P93,T93,X93,AB93)&lt;&gt;0,MIN(H93,L93,P93,T93,X93,AB93),"")</f>
        <v/>
      </c>
      <c r="AF93" s="165"/>
      <c r="AG93" s="164"/>
      <c r="AH93" s="165"/>
      <c r="AI93" s="164"/>
      <c r="AJ93" s="163" t="str">
        <f>IF(AD93="","",IF(ISBLANK(AF93),"En cours",AD93+AF93))</f>
        <v/>
      </c>
      <c r="AK93" s="163" t="str">
        <f>IF(AE93="","",IF(ISBLANK(AH93),"En cours",AE93+AH93))</f>
        <v/>
      </c>
    </row>
    <row r="94" spans="2:37" ht="21" x14ac:dyDescent="0.35"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4"/>
      <c r="P94" s="164"/>
      <c r="Q94" s="164"/>
      <c r="R94" s="164"/>
      <c r="S94" s="164"/>
      <c r="T94" s="164"/>
      <c r="U94" s="164"/>
      <c r="V94" s="164"/>
      <c r="W94" s="164"/>
      <c r="X94" s="164"/>
      <c r="Y94" s="164"/>
      <c r="Z94" s="164"/>
      <c r="AA94" s="164"/>
      <c r="AB94" s="164"/>
      <c r="AC94" s="164"/>
      <c r="AD94" s="165" t="str">
        <f>IF(MIN(F94,J94,N94,R94,V94,Z94)&lt;&gt;0,MIN(F94,J94,N94,R94,V94,Z94),"")</f>
        <v/>
      </c>
      <c r="AE94" s="165" t="str">
        <f>IF(MIN(H94,L94,P94,T94,X94,AB94)&lt;&gt;0,MIN(H94,L94,P94,T94,X94,AB94),"")</f>
        <v/>
      </c>
      <c r="AF94" s="165"/>
      <c r="AG94" s="164"/>
      <c r="AH94" s="165"/>
      <c r="AI94" s="164"/>
      <c r="AJ94" s="163" t="str">
        <f>IF(AD94="","",IF(ISBLANK(AF94),"En cours",AD94+AF94))</f>
        <v/>
      </c>
      <c r="AK94" s="163" t="str">
        <f>IF(AE94="","",IF(ISBLANK(AH94),"En cours",AE94+AH94))</f>
        <v/>
      </c>
    </row>
    <row r="95" spans="2:37" ht="21" x14ac:dyDescent="0.35">
      <c r="B95" s="164"/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64"/>
      <c r="N95" s="164"/>
      <c r="O95" s="164"/>
      <c r="P95" s="164"/>
      <c r="Q95" s="164"/>
      <c r="R95" s="164"/>
      <c r="S95" s="164"/>
      <c r="T95" s="164"/>
      <c r="U95" s="164"/>
      <c r="V95" s="164"/>
      <c r="W95" s="164"/>
      <c r="X95" s="164"/>
      <c r="Y95" s="164"/>
      <c r="Z95" s="164"/>
      <c r="AA95" s="164"/>
      <c r="AB95" s="164"/>
      <c r="AC95" s="164"/>
      <c r="AD95" s="165" t="str">
        <f>IF(MIN(F95,J95,N95,R95,V95,Z95)&lt;&gt;0,MIN(F95,J95,N95,R95,V95,Z95),"")</f>
        <v/>
      </c>
      <c r="AE95" s="165" t="str">
        <f>IF(MIN(H95,L95,P95,T95,X95,AB95)&lt;&gt;0,MIN(H95,L95,P95,T95,X95,AB95),"")</f>
        <v/>
      </c>
      <c r="AF95" s="165"/>
      <c r="AG95" s="164"/>
      <c r="AH95" s="165"/>
      <c r="AI95" s="164"/>
      <c r="AJ95" s="163" t="str">
        <f>IF(AD95="","",IF(ISBLANK(AF95),"En cours",AD95+AF95))</f>
        <v/>
      </c>
      <c r="AK95" s="163" t="str">
        <f>IF(AE95="","",IF(ISBLANK(AH95),"En cours",AE95+AH95))</f>
        <v/>
      </c>
    </row>
    <row r="96" spans="2:37" ht="21" x14ac:dyDescent="0.35">
      <c r="B96" s="164"/>
      <c r="C96" s="164"/>
      <c r="D96" s="164"/>
      <c r="E96" s="164"/>
      <c r="F96" s="164"/>
      <c r="G96" s="164"/>
      <c r="H96" s="164"/>
      <c r="I96" s="164"/>
      <c r="J96" s="164"/>
      <c r="K96" s="164"/>
      <c r="L96" s="164"/>
      <c r="M96" s="164"/>
      <c r="N96" s="164"/>
      <c r="O96" s="164"/>
      <c r="P96" s="164"/>
      <c r="Q96" s="164"/>
      <c r="R96" s="164"/>
      <c r="S96" s="164"/>
      <c r="T96" s="164"/>
      <c r="U96" s="164"/>
      <c r="V96" s="164"/>
      <c r="W96" s="164"/>
      <c r="X96" s="164"/>
      <c r="Y96" s="164"/>
      <c r="Z96" s="164"/>
      <c r="AA96" s="164"/>
      <c r="AB96" s="164"/>
      <c r="AC96" s="164"/>
      <c r="AD96" s="165" t="str">
        <f>IF(MIN(F96,J96,N96,R96,V96,Z96)&lt;&gt;0,MIN(F96,J96,N96,R96,V96,Z96),"")</f>
        <v/>
      </c>
      <c r="AE96" s="165" t="str">
        <f>IF(MIN(H96,L96,P96,T96,X96,AB96)&lt;&gt;0,MIN(H96,L96,P96,T96,X96,AB96),"")</f>
        <v/>
      </c>
      <c r="AF96" s="165"/>
      <c r="AG96" s="164"/>
      <c r="AH96" s="165"/>
      <c r="AI96" s="164"/>
      <c r="AJ96" s="163" t="str">
        <f>IF(AD96="","",IF(ISBLANK(AF96),"En cours",AD96+AF96))</f>
        <v/>
      </c>
      <c r="AK96" s="163" t="str">
        <f>IF(AE96="","",IF(ISBLANK(AH96),"En cours",AE96+AH96))</f>
        <v/>
      </c>
    </row>
    <row r="97" spans="2:37" ht="21" x14ac:dyDescent="0.35">
      <c r="B97" s="164"/>
      <c r="C97" s="164"/>
      <c r="D97" s="164"/>
      <c r="E97" s="164"/>
      <c r="F97" s="164"/>
      <c r="G97" s="164"/>
      <c r="H97" s="164"/>
      <c r="I97" s="164"/>
      <c r="J97" s="164"/>
      <c r="K97" s="164"/>
      <c r="L97" s="164"/>
      <c r="M97" s="164"/>
      <c r="N97" s="164"/>
      <c r="O97" s="164"/>
      <c r="P97" s="164"/>
      <c r="Q97" s="164"/>
      <c r="R97" s="164"/>
      <c r="S97" s="164"/>
      <c r="T97" s="164"/>
      <c r="U97" s="164"/>
      <c r="V97" s="164"/>
      <c r="W97" s="164"/>
      <c r="X97" s="164"/>
      <c r="Y97" s="164"/>
      <c r="Z97" s="164"/>
      <c r="AA97" s="164"/>
      <c r="AB97" s="164"/>
      <c r="AC97" s="164"/>
      <c r="AD97" s="165" t="str">
        <f>IF(MIN(F97,J97,N97,R97,V97,Z97)&lt;&gt;0,MIN(F97,J97,N97,R97,V97,Z97),"")</f>
        <v/>
      </c>
      <c r="AE97" s="165" t="str">
        <f>IF(MIN(H97,L97,P97,T97,X97,AB97)&lt;&gt;0,MIN(H97,L97,P97,T97,X97,AB97),"")</f>
        <v/>
      </c>
      <c r="AF97" s="165"/>
      <c r="AG97" s="164"/>
      <c r="AH97" s="165"/>
      <c r="AI97" s="164"/>
      <c r="AJ97" s="163" t="str">
        <f>IF(AD97="","",IF(ISBLANK(AF97),"En cours",AD97+AF97))</f>
        <v/>
      </c>
      <c r="AK97" s="163" t="str">
        <f>IF(AE97="","",IF(ISBLANK(AH97),"En cours",AE97+AH97))</f>
        <v/>
      </c>
    </row>
    <row r="98" spans="2:37" ht="21" x14ac:dyDescent="0.35">
      <c r="B98" s="164"/>
      <c r="C98" s="164"/>
      <c r="D98" s="164"/>
      <c r="E98" s="164"/>
      <c r="F98" s="164"/>
      <c r="G98" s="164"/>
      <c r="H98" s="164"/>
      <c r="I98" s="164"/>
      <c r="J98" s="164"/>
      <c r="K98" s="164"/>
      <c r="L98" s="164"/>
      <c r="M98" s="164"/>
      <c r="N98" s="164"/>
      <c r="O98" s="164"/>
      <c r="P98" s="164"/>
      <c r="Q98" s="164"/>
      <c r="R98" s="164"/>
      <c r="S98" s="164"/>
      <c r="T98" s="164"/>
      <c r="U98" s="164"/>
      <c r="V98" s="164"/>
      <c r="W98" s="164"/>
      <c r="X98" s="164"/>
      <c r="Y98" s="164"/>
      <c r="Z98" s="164"/>
      <c r="AA98" s="164"/>
      <c r="AB98" s="164"/>
      <c r="AC98" s="164"/>
      <c r="AD98" s="165" t="str">
        <f>IF(MIN(F98,J98,N98,R98,V98,Z98)&lt;&gt;0,MIN(F98,J98,N98,R98,V98,Z98),"")</f>
        <v/>
      </c>
      <c r="AE98" s="165" t="str">
        <f>IF(MIN(H98,L98,P98,T98,X98,AB98)&lt;&gt;0,MIN(H98,L98,P98,T98,X98,AB98),"")</f>
        <v/>
      </c>
      <c r="AF98" s="165"/>
      <c r="AG98" s="164"/>
      <c r="AH98" s="165"/>
      <c r="AI98" s="164"/>
      <c r="AJ98" s="163" t="str">
        <f>IF(AD98="","",IF(ISBLANK(AF98),"En cours",AD98+AF98))</f>
        <v/>
      </c>
      <c r="AK98" s="163" t="str">
        <f>IF(AE98="","",IF(ISBLANK(AH98),"En cours",AE98+AH98))</f>
        <v/>
      </c>
    </row>
    <row r="99" spans="2:37" ht="21" x14ac:dyDescent="0.35">
      <c r="B99" s="164"/>
      <c r="C99" s="164"/>
      <c r="D99" s="164"/>
      <c r="E99" s="164"/>
      <c r="F99" s="164"/>
      <c r="G99" s="164"/>
      <c r="H99" s="164"/>
      <c r="I99" s="164"/>
      <c r="J99" s="164"/>
      <c r="K99" s="164"/>
      <c r="L99" s="164"/>
      <c r="M99" s="164"/>
      <c r="N99" s="164"/>
      <c r="O99" s="164"/>
      <c r="P99" s="164"/>
      <c r="Q99" s="164"/>
      <c r="R99" s="164"/>
      <c r="S99" s="164"/>
      <c r="T99" s="164"/>
      <c r="U99" s="164"/>
      <c r="V99" s="164"/>
      <c r="W99" s="164"/>
      <c r="X99" s="164"/>
      <c r="Y99" s="164"/>
      <c r="Z99" s="164"/>
      <c r="AA99" s="164"/>
      <c r="AB99" s="164"/>
      <c r="AC99" s="164"/>
      <c r="AD99" s="165" t="str">
        <f>IF(MIN(F99,J99,N99,R99,V99,Z99)&lt;&gt;0,MIN(F99,J99,N99,R99,V99,Z99),"")</f>
        <v/>
      </c>
      <c r="AE99" s="165" t="str">
        <f>IF(MIN(H99,L99,P99,T99,X99,AB99)&lt;&gt;0,MIN(H99,L99,P99,T99,X99,AB99),"")</f>
        <v/>
      </c>
      <c r="AF99" s="165"/>
      <c r="AG99" s="164"/>
      <c r="AH99" s="165"/>
      <c r="AI99" s="164"/>
      <c r="AJ99" s="163" t="str">
        <f>IF(AD99="","",IF(ISBLANK(AF99),"En cours",AD99+AF99))</f>
        <v/>
      </c>
      <c r="AK99" s="163" t="str">
        <f>IF(AE99="","",IF(ISBLANK(AH99),"En cours",AE99+AH99))</f>
        <v/>
      </c>
    </row>
    <row r="100" spans="2:37" ht="21" x14ac:dyDescent="0.35">
      <c r="B100" s="164"/>
      <c r="C100" s="164"/>
      <c r="D100" s="164"/>
      <c r="E100" s="164"/>
      <c r="F100" s="164"/>
      <c r="G100" s="164"/>
      <c r="H100" s="164"/>
      <c r="I100" s="164"/>
      <c r="J100" s="164"/>
      <c r="K100" s="164"/>
      <c r="L100" s="164"/>
      <c r="M100" s="164"/>
      <c r="N100" s="164"/>
      <c r="O100" s="164"/>
      <c r="P100" s="164"/>
      <c r="Q100" s="164"/>
      <c r="R100" s="164"/>
      <c r="S100" s="164"/>
      <c r="T100" s="164"/>
      <c r="U100" s="164"/>
      <c r="V100" s="164"/>
      <c r="W100" s="164"/>
      <c r="X100" s="164"/>
      <c r="Y100" s="164"/>
      <c r="Z100" s="164"/>
      <c r="AA100" s="164"/>
      <c r="AB100" s="164"/>
      <c r="AC100" s="164"/>
      <c r="AD100" s="165" t="str">
        <f>IF(MIN(F100,J100,N100,R100,V100,Z100)&lt;&gt;0,MIN(F100,J100,N100,R100,V100,Z100),"")</f>
        <v/>
      </c>
      <c r="AE100" s="165" t="str">
        <f>IF(MIN(H100,L100,P100,T100,X100,AB100)&lt;&gt;0,MIN(H100,L100,P100,T100,X100,AB100),"")</f>
        <v/>
      </c>
      <c r="AF100" s="165"/>
      <c r="AG100" s="164"/>
      <c r="AH100" s="165"/>
      <c r="AI100" s="164"/>
      <c r="AJ100" s="163" t="str">
        <f>IF(AD100="","",IF(ISBLANK(AF100),"En cours",AD100+AF100))</f>
        <v/>
      </c>
      <c r="AK100" s="163" t="str">
        <f>IF(AE100="","",IF(ISBLANK(AH100),"En cours",AE100+AH100))</f>
        <v/>
      </c>
    </row>
    <row r="101" spans="2:37" ht="21" x14ac:dyDescent="0.35">
      <c r="B101" s="164"/>
      <c r="C101" s="164"/>
      <c r="D101" s="164"/>
      <c r="E101" s="164"/>
      <c r="F101" s="164"/>
      <c r="G101" s="164"/>
      <c r="H101" s="164"/>
      <c r="I101" s="164"/>
      <c r="J101" s="164"/>
      <c r="K101" s="164"/>
      <c r="L101" s="164"/>
      <c r="M101" s="164"/>
      <c r="N101" s="164"/>
      <c r="O101" s="164"/>
      <c r="P101" s="164"/>
      <c r="Q101" s="164"/>
      <c r="R101" s="164"/>
      <c r="S101" s="164"/>
      <c r="T101" s="164"/>
      <c r="U101" s="164"/>
      <c r="V101" s="164"/>
      <c r="W101" s="164"/>
      <c r="X101" s="164"/>
      <c r="Y101" s="164"/>
      <c r="Z101" s="164"/>
      <c r="AA101" s="164"/>
      <c r="AB101" s="164"/>
      <c r="AC101" s="164"/>
      <c r="AD101" s="165" t="str">
        <f>IF(MIN(F101,J101,N101,R101,V101,Z101)&lt;&gt;0,MIN(F101,J101,N101,R101,V101,Z101),"")</f>
        <v/>
      </c>
      <c r="AE101" s="165" t="str">
        <f>IF(MIN(H101,L101,P101,T101,X101,AB101)&lt;&gt;0,MIN(H101,L101,P101,T101,X101,AB101),"")</f>
        <v/>
      </c>
      <c r="AF101" s="165"/>
      <c r="AG101" s="164"/>
      <c r="AH101" s="165"/>
      <c r="AI101" s="164"/>
      <c r="AJ101" s="163" t="str">
        <f>IF(AD101="","",IF(ISBLANK(AF101),"En cours",AD101+AF101))</f>
        <v/>
      </c>
      <c r="AK101" s="163" t="str">
        <f>IF(AE101="","",IF(ISBLANK(AH101),"En cours",AE101+AH101))</f>
        <v/>
      </c>
    </row>
    <row r="102" spans="2:37" ht="21" x14ac:dyDescent="0.35">
      <c r="B102" s="164"/>
      <c r="C102" s="164"/>
      <c r="D102" s="164"/>
      <c r="E102" s="164"/>
      <c r="F102" s="164"/>
      <c r="G102" s="164"/>
      <c r="H102" s="164"/>
      <c r="I102" s="164"/>
      <c r="J102" s="164"/>
      <c r="K102" s="164"/>
      <c r="L102" s="164"/>
      <c r="M102" s="164"/>
      <c r="N102" s="164"/>
      <c r="O102" s="164"/>
      <c r="P102" s="164"/>
      <c r="Q102" s="164"/>
      <c r="R102" s="164"/>
      <c r="S102" s="164"/>
      <c r="T102" s="164"/>
      <c r="U102" s="164"/>
      <c r="V102" s="164"/>
      <c r="W102" s="164"/>
      <c r="X102" s="164"/>
      <c r="Y102" s="164"/>
      <c r="Z102" s="164"/>
      <c r="AA102" s="164"/>
      <c r="AB102" s="164"/>
      <c r="AC102" s="164"/>
      <c r="AD102" s="165" t="str">
        <f>IF(MIN(F102,J102,N102,R102,V102,Z102)&lt;&gt;0,MIN(F102,J102,N102,R102,V102,Z102),"")</f>
        <v/>
      </c>
      <c r="AE102" s="165" t="str">
        <f>IF(MIN(H102,L102,P102,T102,X102,AB102)&lt;&gt;0,MIN(H102,L102,P102,T102,X102,AB102),"")</f>
        <v/>
      </c>
      <c r="AF102" s="165"/>
      <c r="AG102" s="164"/>
      <c r="AH102" s="165"/>
      <c r="AI102" s="164"/>
      <c r="AJ102" s="163" t="str">
        <f>IF(AD102="","",IF(ISBLANK(AF102),"En cours",AD102+AF102))</f>
        <v/>
      </c>
      <c r="AK102" s="163" t="str">
        <f>IF(AE102="","",IF(ISBLANK(AH102),"En cours",AE102+AH102))</f>
        <v/>
      </c>
    </row>
    <row r="103" spans="2:37" ht="21" x14ac:dyDescent="0.35">
      <c r="B103" s="164"/>
      <c r="C103" s="164"/>
      <c r="D103" s="164"/>
      <c r="E103" s="164"/>
      <c r="F103" s="164"/>
      <c r="G103" s="164"/>
      <c r="H103" s="164"/>
      <c r="I103" s="164"/>
      <c r="J103" s="164"/>
      <c r="K103" s="164"/>
      <c r="L103" s="164"/>
      <c r="M103" s="164"/>
      <c r="N103" s="164"/>
      <c r="O103" s="164"/>
      <c r="P103" s="164"/>
      <c r="Q103" s="164"/>
      <c r="R103" s="164"/>
      <c r="S103" s="164"/>
      <c r="T103" s="164"/>
      <c r="U103" s="164"/>
      <c r="V103" s="164"/>
      <c r="W103" s="164"/>
      <c r="X103" s="164"/>
      <c r="Y103" s="164"/>
      <c r="Z103" s="164"/>
      <c r="AA103" s="164"/>
      <c r="AB103" s="164"/>
      <c r="AC103" s="164"/>
      <c r="AD103" s="165" t="str">
        <f>IF(MIN(F103,J103,N103,R103,V103,Z103)&lt;&gt;0,MIN(F103,J103,N103,R103,V103,Z103),"")</f>
        <v/>
      </c>
      <c r="AE103" s="165" t="str">
        <f>IF(MIN(H103,L103,P103,T103,X103,AB103)&lt;&gt;0,MIN(H103,L103,P103,T103,X103,AB103),"")</f>
        <v/>
      </c>
      <c r="AF103" s="165"/>
      <c r="AG103" s="164"/>
      <c r="AH103" s="165"/>
      <c r="AI103" s="164"/>
      <c r="AJ103" s="163" t="str">
        <f>IF(AD103="","",IF(ISBLANK(AF103),"En cours",AD103+AF103))</f>
        <v/>
      </c>
      <c r="AK103" s="163" t="str">
        <f>IF(AE103="","",IF(ISBLANK(AH103),"En cours",AE103+AH103))</f>
        <v/>
      </c>
    </row>
    <row r="104" spans="2:37" ht="21" x14ac:dyDescent="0.35">
      <c r="B104" s="164"/>
      <c r="C104" s="164"/>
      <c r="D104" s="164"/>
      <c r="E104" s="164"/>
      <c r="F104" s="164"/>
      <c r="G104" s="164"/>
      <c r="H104" s="164"/>
      <c r="I104" s="164"/>
      <c r="J104" s="164"/>
      <c r="K104" s="164"/>
      <c r="L104" s="164"/>
      <c r="M104" s="164"/>
      <c r="N104" s="164"/>
      <c r="O104" s="164"/>
      <c r="P104" s="164"/>
      <c r="Q104" s="164"/>
      <c r="R104" s="164"/>
      <c r="S104" s="164"/>
      <c r="T104" s="164"/>
      <c r="U104" s="164"/>
      <c r="V104" s="164"/>
      <c r="W104" s="164"/>
      <c r="X104" s="164"/>
      <c r="Y104" s="164"/>
      <c r="Z104" s="164"/>
      <c r="AA104" s="164"/>
      <c r="AB104" s="164"/>
      <c r="AC104" s="164"/>
      <c r="AD104" s="165" t="str">
        <f>IF(MIN(F104,J104,N104,R104,V104,Z104)&lt;&gt;0,MIN(F104,J104,N104,R104,V104,Z104),"")</f>
        <v/>
      </c>
      <c r="AE104" s="165" t="str">
        <f>IF(MIN(H104,L104,P104,T104,X104,AB104)&lt;&gt;0,MIN(H104,L104,P104,T104,X104,AB104),"")</f>
        <v/>
      </c>
      <c r="AF104" s="165"/>
      <c r="AG104" s="164"/>
      <c r="AH104" s="165"/>
      <c r="AI104" s="164"/>
      <c r="AJ104" s="163" t="str">
        <f>IF(AD104="","",IF(ISBLANK(AF104),"En cours",AD104+AF104))</f>
        <v/>
      </c>
      <c r="AK104" s="163" t="str">
        <f>IF(AE104="","",IF(ISBLANK(AH104),"En cours",AE104+AH104))</f>
        <v/>
      </c>
    </row>
    <row r="105" spans="2:37" ht="21" x14ac:dyDescent="0.35">
      <c r="B105" s="164"/>
      <c r="C105" s="164"/>
      <c r="D105" s="164"/>
      <c r="E105" s="164"/>
      <c r="F105" s="164"/>
      <c r="G105" s="164"/>
      <c r="H105" s="164"/>
      <c r="I105" s="164"/>
      <c r="J105" s="164"/>
      <c r="K105" s="164"/>
      <c r="L105" s="164"/>
      <c r="M105" s="164"/>
      <c r="N105" s="164"/>
      <c r="O105" s="164"/>
      <c r="P105" s="164"/>
      <c r="Q105" s="164"/>
      <c r="R105" s="164"/>
      <c r="S105" s="164"/>
      <c r="T105" s="164"/>
      <c r="U105" s="164"/>
      <c r="V105" s="164"/>
      <c r="W105" s="164"/>
      <c r="X105" s="164"/>
      <c r="Y105" s="164"/>
      <c r="Z105" s="164"/>
      <c r="AA105" s="164"/>
      <c r="AB105" s="164"/>
      <c r="AC105" s="164"/>
      <c r="AD105" s="165" t="str">
        <f>IF(MIN(F105,J105,N105,R105,V105,Z105)&lt;&gt;0,MIN(F105,J105,N105,R105,V105,Z105),"")</f>
        <v/>
      </c>
      <c r="AE105" s="165" t="str">
        <f>IF(MIN(H105,L105,P105,T105,X105,AB105)&lt;&gt;0,MIN(H105,L105,P105,T105,X105,AB105),"")</f>
        <v/>
      </c>
      <c r="AF105" s="165"/>
      <c r="AG105" s="164"/>
      <c r="AH105" s="165"/>
      <c r="AI105" s="164"/>
      <c r="AJ105" s="163" t="str">
        <f>IF(AD105="","",IF(ISBLANK(AF105),"En cours",AD105+AF105))</f>
        <v/>
      </c>
      <c r="AK105" s="163" t="str">
        <f>IF(AE105="","",IF(ISBLANK(AH105),"En cours",AE105+AH105))</f>
        <v/>
      </c>
    </row>
    <row r="106" spans="2:37" ht="21" x14ac:dyDescent="0.35">
      <c r="B106" s="164"/>
      <c r="C106" s="164"/>
      <c r="D106" s="164"/>
      <c r="E106" s="164"/>
      <c r="F106" s="164"/>
      <c r="G106" s="164"/>
      <c r="H106" s="164"/>
      <c r="I106" s="164"/>
      <c r="J106" s="164"/>
      <c r="K106" s="164"/>
      <c r="L106" s="164"/>
      <c r="M106" s="164"/>
      <c r="N106" s="164"/>
      <c r="O106" s="164"/>
      <c r="P106" s="164"/>
      <c r="Q106" s="164"/>
      <c r="R106" s="164"/>
      <c r="S106" s="164"/>
      <c r="T106" s="164"/>
      <c r="U106" s="164"/>
      <c r="V106" s="164"/>
      <c r="W106" s="164"/>
      <c r="X106" s="164"/>
      <c r="Y106" s="164"/>
      <c r="Z106" s="164"/>
      <c r="AA106" s="164"/>
      <c r="AB106" s="164"/>
      <c r="AC106" s="164"/>
      <c r="AD106" s="165" t="str">
        <f>IF(MIN(F106,J106,N106,R106,V106,Z106)&lt;&gt;0,MIN(F106,J106,N106,R106,V106,Z106),"")</f>
        <v/>
      </c>
      <c r="AE106" s="165" t="str">
        <f>IF(MIN(H106,L106,P106,T106,X106,AB106)&lt;&gt;0,MIN(H106,L106,P106,T106,X106,AB106),"")</f>
        <v/>
      </c>
      <c r="AF106" s="165"/>
      <c r="AG106" s="164"/>
      <c r="AH106" s="165"/>
      <c r="AI106" s="164"/>
      <c r="AJ106" s="163" t="str">
        <f>IF(AD106="","",IF(ISBLANK(AF106),"En cours",AD106+AF106))</f>
        <v/>
      </c>
      <c r="AK106" s="163" t="str">
        <f>IF(AE106="","",IF(ISBLANK(AH106),"En cours",AE106+AH106))</f>
        <v/>
      </c>
    </row>
    <row r="107" spans="2:37" ht="21" x14ac:dyDescent="0.35">
      <c r="B107" s="164"/>
      <c r="C107" s="164"/>
      <c r="D107" s="164"/>
      <c r="E107" s="164"/>
      <c r="F107" s="164"/>
      <c r="G107" s="164"/>
      <c r="H107" s="164"/>
      <c r="I107" s="164"/>
      <c r="J107" s="164"/>
      <c r="K107" s="164"/>
      <c r="L107" s="164"/>
      <c r="M107" s="164"/>
      <c r="N107" s="164"/>
      <c r="O107" s="164"/>
      <c r="P107" s="164"/>
      <c r="Q107" s="164"/>
      <c r="R107" s="164"/>
      <c r="S107" s="164"/>
      <c r="T107" s="164"/>
      <c r="U107" s="164"/>
      <c r="V107" s="164"/>
      <c r="W107" s="164"/>
      <c r="X107" s="164"/>
      <c r="Y107" s="164"/>
      <c r="Z107" s="164"/>
      <c r="AA107" s="164"/>
      <c r="AB107" s="164"/>
      <c r="AC107" s="164"/>
      <c r="AD107" s="165" t="str">
        <f>IF(MIN(F107,J107,N107,R107,V107,Z107)&lt;&gt;0,MIN(F107,J107,N107,R107,V107,Z107),"")</f>
        <v/>
      </c>
      <c r="AE107" s="165" t="str">
        <f>IF(MIN(H107,L107,P107,T107,X107,AB107)&lt;&gt;0,MIN(H107,L107,P107,T107,X107,AB107),"")</f>
        <v/>
      </c>
      <c r="AF107" s="165"/>
      <c r="AG107" s="164"/>
      <c r="AH107" s="165"/>
      <c r="AI107" s="164"/>
      <c r="AJ107" s="163" t="str">
        <f>IF(AD107="","",IF(ISBLANK(AF107),"En cours",AD107+AF107))</f>
        <v/>
      </c>
      <c r="AK107" s="163" t="str">
        <f>IF(AE107="","",IF(ISBLANK(AH107),"En cours",AE107+AH107))</f>
        <v/>
      </c>
    </row>
    <row r="108" spans="2:37" ht="21" x14ac:dyDescent="0.35">
      <c r="B108" s="164"/>
      <c r="C108" s="164"/>
      <c r="D108" s="164"/>
      <c r="E108" s="164"/>
      <c r="F108" s="164"/>
      <c r="G108" s="164"/>
      <c r="H108" s="164"/>
      <c r="I108" s="164"/>
      <c r="J108" s="164"/>
      <c r="K108" s="164"/>
      <c r="L108" s="164"/>
      <c r="M108" s="164"/>
      <c r="N108" s="164"/>
      <c r="O108" s="164"/>
      <c r="P108" s="164"/>
      <c r="Q108" s="164"/>
      <c r="R108" s="164"/>
      <c r="S108" s="164"/>
      <c r="T108" s="164"/>
      <c r="U108" s="164"/>
      <c r="V108" s="164"/>
      <c r="W108" s="164"/>
      <c r="X108" s="164"/>
      <c r="Y108" s="164"/>
      <c r="Z108" s="164"/>
      <c r="AA108" s="164"/>
      <c r="AB108" s="164"/>
      <c r="AC108" s="164"/>
      <c r="AD108" s="165" t="str">
        <f>IF(MIN(F108,J108,N108,R108,V108,Z108)&lt;&gt;0,MIN(F108,J108,N108,R108,V108,Z108),"")</f>
        <v/>
      </c>
      <c r="AE108" s="165" t="str">
        <f>IF(MIN(H108,L108,P108,T108,X108,AB108)&lt;&gt;0,MIN(H108,L108,P108,T108,X108,AB108),"")</f>
        <v/>
      </c>
      <c r="AF108" s="165"/>
      <c r="AG108" s="164"/>
      <c r="AH108" s="165"/>
      <c r="AI108" s="164"/>
      <c r="AJ108" s="163" t="str">
        <f>IF(AD108="","",IF(ISBLANK(AF108),"En cours",AD108+AF108))</f>
        <v/>
      </c>
      <c r="AK108" s="163" t="str">
        <f>IF(AE108="","",IF(ISBLANK(AH108),"En cours",AE108+AH108))</f>
        <v/>
      </c>
    </row>
    <row r="109" spans="2:37" ht="21" x14ac:dyDescent="0.35">
      <c r="B109" s="164"/>
      <c r="C109" s="164"/>
      <c r="D109" s="164"/>
      <c r="E109" s="164"/>
      <c r="F109" s="164"/>
      <c r="G109" s="164"/>
      <c r="H109" s="164"/>
      <c r="I109" s="164"/>
      <c r="J109" s="164"/>
      <c r="K109" s="164"/>
      <c r="L109" s="164"/>
      <c r="M109" s="164"/>
      <c r="N109" s="164"/>
      <c r="O109" s="164"/>
      <c r="P109" s="164"/>
      <c r="Q109" s="164"/>
      <c r="R109" s="164"/>
      <c r="S109" s="164"/>
      <c r="T109" s="164"/>
      <c r="U109" s="164"/>
      <c r="V109" s="164"/>
      <c r="W109" s="164"/>
      <c r="X109" s="164"/>
      <c r="Y109" s="164"/>
      <c r="Z109" s="164"/>
      <c r="AA109" s="164"/>
      <c r="AB109" s="164"/>
      <c r="AC109" s="164"/>
      <c r="AD109" s="165" t="str">
        <f>IF(MIN(F109,J109,N109,R109,V109,Z109)&lt;&gt;0,MIN(F109,J109,N109,R109,V109,Z109),"")</f>
        <v/>
      </c>
      <c r="AE109" s="165" t="str">
        <f>IF(MIN(H109,L109,P109,T109,X109,AB109)&lt;&gt;0,MIN(H109,L109,P109,T109,X109,AB109),"")</f>
        <v/>
      </c>
      <c r="AF109" s="165"/>
      <c r="AG109" s="164"/>
      <c r="AH109" s="165"/>
      <c r="AI109" s="164"/>
      <c r="AJ109" s="163" t="str">
        <f>IF(AD109="","",IF(ISBLANK(AF109),"En cours",AD109+AF109))</f>
        <v/>
      </c>
      <c r="AK109" s="163" t="str">
        <f>IF(AE109="","",IF(ISBLANK(AH109),"En cours",AE109+AH109))</f>
        <v/>
      </c>
    </row>
    <row r="110" spans="2:37" ht="21" x14ac:dyDescent="0.35">
      <c r="B110" s="164"/>
      <c r="C110" s="164"/>
      <c r="D110" s="164"/>
      <c r="E110" s="164"/>
      <c r="F110" s="164"/>
      <c r="G110" s="164"/>
      <c r="H110" s="164"/>
      <c r="I110" s="164"/>
      <c r="J110" s="164"/>
      <c r="K110" s="164"/>
      <c r="L110" s="164"/>
      <c r="M110" s="164"/>
      <c r="N110" s="164"/>
      <c r="O110" s="164"/>
      <c r="P110" s="164"/>
      <c r="Q110" s="164"/>
      <c r="R110" s="164"/>
      <c r="S110" s="164"/>
      <c r="T110" s="164"/>
      <c r="U110" s="164"/>
      <c r="V110" s="164"/>
      <c r="W110" s="164"/>
      <c r="X110" s="164"/>
      <c r="Y110" s="164"/>
      <c r="Z110" s="164"/>
      <c r="AA110" s="164"/>
      <c r="AB110" s="164"/>
      <c r="AC110" s="164"/>
      <c r="AD110" s="165" t="str">
        <f>IF(MIN(F110,J110,N110,R110,V110,Z110)&lt;&gt;0,MIN(F110,J110,N110,R110,V110,Z110),"")</f>
        <v/>
      </c>
      <c r="AE110" s="165" t="str">
        <f>IF(MIN(H110,L110,P110,T110,X110,AB110)&lt;&gt;0,MIN(H110,L110,P110,T110,X110,AB110),"")</f>
        <v/>
      </c>
      <c r="AF110" s="165"/>
      <c r="AG110" s="164"/>
      <c r="AH110" s="165"/>
      <c r="AI110" s="164"/>
      <c r="AJ110" s="163" t="str">
        <f>IF(AD110="","",IF(ISBLANK(AF110),"En cours",AD110+AF110))</f>
        <v/>
      </c>
      <c r="AK110" s="163" t="str">
        <f>IF(AE110="","",IF(ISBLANK(AH110),"En cours",AE110+AH110))</f>
        <v/>
      </c>
    </row>
    <row r="111" spans="2:37" ht="21" x14ac:dyDescent="0.35">
      <c r="B111" s="164"/>
      <c r="C111" s="164"/>
      <c r="D111" s="164"/>
      <c r="E111" s="164"/>
      <c r="F111" s="164"/>
      <c r="G111" s="164"/>
      <c r="H111" s="164"/>
      <c r="I111" s="164"/>
      <c r="J111" s="164"/>
      <c r="K111" s="164"/>
      <c r="L111" s="164"/>
      <c r="M111" s="164"/>
      <c r="N111" s="164"/>
      <c r="O111" s="164"/>
      <c r="P111" s="164"/>
      <c r="Q111" s="164"/>
      <c r="R111" s="164"/>
      <c r="S111" s="164"/>
      <c r="T111" s="164"/>
      <c r="U111" s="164"/>
      <c r="V111" s="164"/>
      <c r="W111" s="164"/>
      <c r="X111" s="164"/>
      <c r="Y111" s="164"/>
      <c r="Z111" s="164"/>
      <c r="AA111" s="164"/>
      <c r="AB111" s="164"/>
      <c r="AC111" s="164"/>
      <c r="AD111" s="165" t="str">
        <f>IF(MIN(F111,J111,N111,R111,V111,Z111)&lt;&gt;0,MIN(F111,J111,N111,R111,V111,Z111),"")</f>
        <v/>
      </c>
      <c r="AE111" s="165" t="str">
        <f>IF(MIN(H111,L111,P111,T111,X111,AB111)&lt;&gt;0,MIN(H111,L111,P111,T111,X111,AB111),"")</f>
        <v/>
      </c>
      <c r="AF111" s="165"/>
      <c r="AG111" s="164"/>
      <c r="AH111" s="165"/>
      <c r="AI111" s="164"/>
      <c r="AJ111" s="163" t="str">
        <f>IF(AD111="","",IF(ISBLANK(AF111),"En cours",AD111+AF111))</f>
        <v/>
      </c>
      <c r="AK111" s="163" t="str">
        <f>IF(AE111="","",IF(ISBLANK(AH111),"En cours",AE111+AH111))</f>
        <v/>
      </c>
    </row>
    <row r="112" spans="2:37" ht="21" x14ac:dyDescent="0.35">
      <c r="B112" s="164"/>
      <c r="C112" s="164"/>
      <c r="D112" s="164"/>
      <c r="E112" s="164"/>
      <c r="F112" s="164"/>
      <c r="G112" s="164"/>
      <c r="H112" s="164"/>
      <c r="I112" s="164"/>
      <c r="J112" s="164"/>
      <c r="K112" s="164"/>
      <c r="L112" s="164"/>
      <c r="M112" s="164"/>
      <c r="N112" s="164"/>
      <c r="O112" s="164"/>
      <c r="P112" s="164"/>
      <c r="Q112" s="164"/>
      <c r="R112" s="164"/>
      <c r="S112" s="164"/>
      <c r="T112" s="164"/>
      <c r="U112" s="164"/>
      <c r="V112" s="164"/>
      <c r="W112" s="164"/>
      <c r="X112" s="164"/>
      <c r="Y112" s="164"/>
      <c r="Z112" s="164"/>
      <c r="AA112" s="164"/>
      <c r="AB112" s="164"/>
      <c r="AC112" s="164"/>
      <c r="AD112" s="165" t="str">
        <f>IF(MIN(F112,J112,N112,R112,V112,Z112)&lt;&gt;0,MIN(F112,J112,N112,R112,V112,Z112),"")</f>
        <v/>
      </c>
      <c r="AE112" s="165" t="str">
        <f>IF(MIN(H112,L112,P112,T112,X112,AB112)&lt;&gt;0,MIN(H112,L112,P112,T112,X112,AB112),"")</f>
        <v/>
      </c>
      <c r="AF112" s="165"/>
      <c r="AG112" s="164"/>
      <c r="AH112" s="165"/>
      <c r="AI112" s="164"/>
      <c r="AJ112" s="163" t="str">
        <f>IF(AD112="","",IF(ISBLANK(AF112),"En cours",AD112+AF112))</f>
        <v/>
      </c>
      <c r="AK112" s="163" t="str">
        <f>IF(AE112="","",IF(ISBLANK(AH112),"En cours",AE112+AH112))</f>
        <v/>
      </c>
    </row>
    <row r="113" spans="2:37" ht="21" x14ac:dyDescent="0.35">
      <c r="B113" s="164"/>
      <c r="C113" s="164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164"/>
      <c r="S113" s="164"/>
      <c r="T113" s="164"/>
      <c r="U113" s="164"/>
      <c r="V113" s="164"/>
      <c r="W113" s="164"/>
      <c r="X113" s="164"/>
      <c r="Y113" s="164"/>
      <c r="Z113" s="164"/>
      <c r="AA113" s="164"/>
      <c r="AB113" s="164"/>
      <c r="AC113" s="164"/>
      <c r="AD113" s="165" t="str">
        <f>IF(MIN(F113,J113,N113,R113,V113,Z113)&lt;&gt;0,MIN(F113,J113,N113,R113,V113,Z113),"")</f>
        <v/>
      </c>
      <c r="AE113" s="165" t="str">
        <f>IF(MIN(H113,L113,P113,T113,X113,AB113)&lt;&gt;0,MIN(H113,L113,P113,T113,X113,AB113),"")</f>
        <v/>
      </c>
      <c r="AF113" s="165"/>
      <c r="AG113" s="164"/>
      <c r="AH113" s="165"/>
      <c r="AI113" s="164"/>
      <c r="AJ113" s="163" t="str">
        <f>IF(AD113="","",IF(ISBLANK(AF113),"En cours",AD113+AF113))</f>
        <v/>
      </c>
      <c r="AK113" s="163" t="str">
        <f>IF(AE113="","",IF(ISBLANK(AH113),"En cours",AE113+AH113))</f>
        <v/>
      </c>
    </row>
    <row r="114" spans="2:37" ht="21" x14ac:dyDescent="0.35">
      <c r="B114" s="164"/>
      <c r="C114" s="164"/>
      <c r="D114" s="164"/>
      <c r="E114" s="164"/>
      <c r="F114" s="164"/>
      <c r="G114" s="164"/>
      <c r="H114" s="164"/>
      <c r="I114" s="164"/>
      <c r="J114" s="164"/>
      <c r="K114" s="164"/>
      <c r="L114" s="164"/>
      <c r="M114" s="164"/>
      <c r="N114" s="164"/>
      <c r="O114" s="164"/>
      <c r="P114" s="164"/>
      <c r="Q114" s="164"/>
      <c r="R114" s="164"/>
      <c r="S114" s="164"/>
      <c r="T114" s="164"/>
      <c r="U114" s="164"/>
      <c r="V114" s="164"/>
      <c r="W114" s="164"/>
      <c r="X114" s="164"/>
      <c r="Y114" s="164"/>
      <c r="Z114" s="164"/>
      <c r="AA114" s="164"/>
      <c r="AB114" s="164"/>
      <c r="AC114" s="164"/>
      <c r="AD114" s="165" t="str">
        <f>IF(MIN(F114,J114,N114,R114,V114,Z114)&lt;&gt;0,MIN(F114,J114,N114,R114,V114,Z114),"")</f>
        <v/>
      </c>
      <c r="AE114" s="165" t="str">
        <f>IF(MIN(H114,L114,P114,T114,X114,AB114)&lt;&gt;0,MIN(H114,L114,P114,T114,X114,AB114),"")</f>
        <v/>
      </c>
      <c r="AF114" s="165"/>
      <c r="AG114" s="164"/>
      <c r="AH114" s="165"/>
      <c r="AI114" s="164"/>
      <c r="AJ114" s="163" t="str">
        <f>IF(AD114="","",IF(ISBLANK(AF114),"En cours",AD114+AF114))</f>
        <v/>
      </c>
      <c r="AK114" s="163" t="str">
        <f>IF(AE114="","",IF(ISBLANK(AH114),"En cours",AE114+AH114))</f>
        <v/>
      </c>
    </row>
    <row r="115" spans="2:37" ht="21" x14ac:dyDescent="0.35">
      <c r="B115" s="164"/>
      <c r="C115" s="164"/>
      <c r="D115" s="164"/>
      <c r="E115" s="164"/>
      <c r="F115" s="164"/>
      <c r="G115" s="164"/>
      <c r="H115" s="164"/>
      <c r="I115" s="164"/>
      <c r="J115" s="164"/>
      <c r="K115" s="164"/>
      <c r="L115" s="164"/>
      <c r="M115" s="164"/>
      <c r="N115" s="164"/>
      <c r="O115" s="164"/>
      <c r="P115" s="164"/>
      <c r="Q115" s="164"/>
      <c r="R115" s="164"/>
      <c r="S115" s="164"/>
      <c r="T115" s="164"/>
      <c r="U115" s="164"/>
      <c r="V115" s="164"/>
      <c r="W115" s="164"/>
      <c r="X115" s="164"/>
      <c r="Y115" s="164"/>
      <c r="Z115" s="164"/>
      <c r="AA115" s="164"/>
      <c r="AB115" s="164"/>
      <c r="AC115" s="164"/>
      <c r="AD115" s="165" t="str">
        <f>IF(MIN(F115,J115,N115,R115,V115,Z115)&lt;&gt;0,MIN(F115,J115,N115,R115,V115,Z115),"")</f>
        <v/>
      </c>
      <c r="AE115" s="165" t="str">
        <f>IF(MIN(H115,L115,P115,T115,X115,AB115)&lt;&gt;0,MIN(H115,L115,P115,T115,X115,AB115),"")</f>
        <v/>
      </c>
      <c r="AF115" s="165"/>
      <c r="AG115" s="164"/>
      <c r="AH115" s="165"/>
      <c r="AI115" s="164"/>
      <c r="AJ115" s="163" t="str">
        <f>IF(AD115="","",IF(ISBLANK(AF115),"En cours",AD115+AF115))</f>
        <v/>
      </c>
      <c r="AK115" s="163" t="str">
        <f>IF(AE115="","",IF(ISBLANK(AH115),"En cours",AE115+AH115))</f>
        <v/>
      </c>
    </row>
    <row r="116" spans="2:37" ht="21" x14ac:dyDescent="0.35">
      <c r="B116" s="164"/>
      <c r="C116" s="164"/>
      <c r="D116" s="164"/>
      <c r="E116" s="164"/>
      <c r="F116" s="164"/>
      <c r="G116" s="164"/>
      <c r="H116" s="164"/>
      <c r="I116" s="164"/>
      <c r="J116" s="164"/>
      <c r="K116" s="164"/>
      <c r="L116" s="164"/>
      <c r="M116" s="164"/>
      <c r="N116" s="164"/>
      <c r="O116" s="164"/>
      <c r="P116" s="164"/>
      <c r="Q116" s="164"/>
      <c r="R116" s="164"/>
      <c r="S116" s="164"/>
      <c r="T116" s="164"/>
      <c r="U116" s="164"/>
      <c r="V116" s="164"/>
      <c r="W116" s="164"/>
      <c r="X116" s="164"/>
      <c r="Y116" s="164"/>
      <c r="Z116" s="164"/>
      <c r="AA116" s="164"/>
      <c r="AB116" s="164"/>
      <c r="AC116" s="164"/>
      <c r="AD116" s="165" t="str">
        <f>IF(MIN(F116,J116,N116,R116,V116,Z116)&lt;&gt;0,MIN(F116,J116,N116,R116,V116,Z116),"")</f>
        <v/>
      </c>
      <c r="AE116" s="165" t="str">
        <f>IF(MIN(H116,L116,P116,T116,X116,AB116)&lt;&gt;0,MIN(H116,L116,P116,T116,X116,AB116),"")</f>
        <v/>
      </c>
      <c r="AF116" s="165"/>
      <c r="AG116" s="164"/>
      <c r="AH116" s="165"/>
      <c r="AI116" s="164"/>
      <c r="AJ116" s="163" t="str">
        <f>IF(AD116="","",IF(ISBLANK(AF116),"En cours",AD116+AF116))</f>
        <v/>
      </c>
      <c r="AK116" s="163" t="str">
        <f>IF(AE116="","",IF(ISBLANK(AH116),"En cours",AE116+AH116))</f>
        <v/>
      </c>
    </row>
    <row r="117" spans="2:37" ht="21" x14ac:dyDescent="0.35">
      <c r="B117" s="164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  <c r="R117" s="164"/>
      <c r="S117" s="164"/>
      <c r="T117" s="164"/>
      <c r="U117" s="164"/>
      <c r="V117" s="164"/>
      <c r="W117" s="164"/>
      <c r="X117" s="164"/>
      <c r="Y117" s="164"/>
      <c r="Z117" s="164"/>
      <c r="AA117" s="164"/>
      <c r="AB117" s="164"/>
      <c r="AC117" s="164"/>
      <c r="AD117" s="165" t="str">
        <f>IF(MIN(F117,J117,N117,R117,V117,Z117)&lt;&gt;0,MIN(F117,J117,N117,R117,V117,Z117),"")</f>
        <v/>
      </c>
      <c r="AE117" s="165" t="str">
        <f>IF(MIN(H117,L117,P117,T117,X117,AB117)&lt;&gt;0,MIN(H117,L117,P117,T117,X117,AB117),"")</f>
        <v/>
      </c>
      <c r="AF117" s="165"/>
      <c r="AG117" s="164"/>
      <c r="AH117" s="165"/>
      <c r="AI117" s="164"/>
      <c r="AJ117" s="163" t="str">
        <f>IF(AD117="","",IF(ISBLANK(AF117),"En cours",AD117+AF117))</f>
        <v/>
      </c>
      <c r="AK117" s="163" t="str">
        <f>IF(AE117="","",IF(ISBLANK(AH117),"En cours",AE117+AH117))</f>
        <v/>
      </c>
    </row>
    <row r="118" spans="2:37" ht="21" x14ac:dyDescent="0.35">
      <c r="B118" s="164"/>
      <c r="C118" s="164"/>
      <c r="D118" s="164"/>
      <c r="E118" s="164"/>
      <c r="F118" s="164"/>
      <c r="G118" s="164"/>
      <c r="H118" s="164"/>
      <c r="I118" s="164"/>
      <c r="J118" s="164"/>
      <c r="K118" s="164"/>
      <c r="L118" s="164"/>
      <c r="M118" s="164"/>
      <c r="N118" s="164"/>
      <c r="O118" s="164"/>
      <c r="P118" s="164"/>
      <c r="Q118" s="164"/>
      <c r="R118" s="164"/>
      <c r="S118" s="164"/>
      <c r="T118" s="164"/>
      <c r="U118" s="164"/>
      <c r="V118" s="164"/>
      <c r="W118" s="164"/>
      <c r="X118" s="164"/>
      <c r="Y118" s="164"/>
      <c r="Z118" s="164"/>
      <c r="AA118" s="164"/>
      <c r="AB118" s="164"/>
      <c r="AC118" s="164"/>
      <c r="AD118" s="165" t="str">
        <f>IF(MIN(F118,J118,N118,R118,V118,Z118)&lt;&gt;0,MIN(F118,J118,N118,R118,V118,Z118),"")</f>
        <v/>
      </c>
      <c r="AE118" s="165" t="str">
        <f>IF(MIN(H118,L118,P118,T118,X118,AB118)&lt;&gt;0,MIN(H118,L118,P118,T118,X118,AB118),"")</f>
        <v/>
      </c>
      <c r="AF118" s="165"/>
      <c r="AG118" s="164"/>
      <c r="AH118" s="165"/>
      <c r="AI118" s="164"/>
      <c r="AJ118" s="163" t="str">
        <f>IF(AD118="","",IF(ISBLANK(AF118),"En cours",AD118+AF118))</f>
        <v/>
      </c>
      <c r="AK118" s="163" t="str">
        <f>IF(AE118="","",IF(ISBLANK(AH118),"En cours",AE118+AH118))</f>
        <v/>
      </c>
    </row>
    <row r="119" spans="2:37" ht="21" x14ac:dyDescent="0.35">
      <c r="B119" s="164"/>
      <c r="C119" s="164"/>
      <c r="D119" s="164"/>
      <c r="E119" s="164"/>
      <c r="F119" s="164"/>
      <c r="G119" s="164"/>
      <c r="H119" s="164"/>
      <c r="I119" s="164"/>
      <c r="J119" s="164"/>
      <c r="K119" s="164"/>
      <c r="L119" s="164"/>
      <c r="M119" s="164"/>
      <c r="N119" s="164"/>
      <c r="O119" s="164"/>
      <c r="P119" s="164"/>
      <c r="Q119" s="164"/>
      <c r="R119" s="164"/>
      <c r="S119" s="164"/>
      <c r="T119" s="164"/>
      <c r="U119" s="164"/>
      <c r="V119" s="164"/>
      <c r="W119" s="164"/>
      <c r="X119" s="164"/>
      <c r="Y119" s="164"/>
      <c r="Z119" s="164"/>
      <c r="AA119" s="164"/>
      <c r="AB119" s="164"/>
      <c r="AC119" s="164"/>
      <c r="AD119" s="165" t="str">
        <f>IF(MIN(F119,J119,N119,R119,V119,Z119)&lt;&gt;0,MIN(F119,J119,N119,R119,V119,Z119),"")</f>
        <v/>
      </c>
      <c r="AE119" s="165" t="str">
        <f>IF(MIN(H119,L119,P119,T119,X119,AB119)&lt;&gt;0,MIN(H119,L119,P119,T119,X119,AB119),"")</f>
        <v/>
      </c>
      <c r="AF119" s="165"/>
      <c r="AG119" s="164"/>
      <c r="AH119" s="165"/>
      <c r="AI119" s="164"/>
      <c r="AJ119" s="163" t="str">
        <f>IF(AD119="","",IF(ISBLANK(AF119),"En cours",AD119+AF119))</f>
        <v/>
      </c>
      <c r="AK119" s="163" t="str">
        <f>IF(AE119="","",IF(ISBLANK(AH119),"En cours",AE119+AH119))</f>
        <v/>
      </c>
    </row>
    <row r="120" spans="2:37" ht="21" x14ac:dyDescent="0.35">
      <c r="B120" s="164"/>
      <c r="C120" s="164"/>
      <c r="D120" s="164"/>
      <c r="E120" s="164"/>
      <c r="F120" s="164"/>
      <c r="G120" s="164"/>
      <c r="H120" s="164"/>
      <c r="I120" s="164"/>
      <c r="J120" s="164"/>
      <c r="K120" s="164"/>
      <c r="L120" s="164"/>
      <c r="M120" s="164"/>
      <c r="N120" s="164"/>
      <c r="O120" s="164"/>
      <c r="P120" s="164"/>
      <c r="Q120" s="164"/>
      <c r="R120" s="164"/>
      <c r="S120" s="164"/>
      <c r="T120" s="164"/>
      <c r="U120" s="164"/>
      <c r="V120" s="164"/>
      <c r="W120" s="164"/>
      <c r="X120" s="164"/>
      <c r="Y120" s="164"/>
      <c r="Z120" s="164"/>
      <c r="AA120" s="164"/>
      <c r="AB120" s="164"/>
      <c r="AC120" s="164"/>
      <c r="AD120" s="165" t="str">
        <f>IF(MIN(F120,J120,N120,R120,V120,Z120)&lt;&gt;0,MIN(F120,J120,N120,R120,V120,Z120),"")</f>
        <v/>
      </c>
      <c r="AE120" s="165" t="str">
        <f>IF(MIN(H120,L120,P120,T120,X120,AB120)&lt;&gt;0,MIN(H120,L120,P120,T120,X120,AB120),"")</f>
        <v/>
      </c>
      <c r="AF120" s="165"/>
      <c r="AG120" s="164"/>
      <c r="AH120" s="165"/>
      <c r="AI120" s="164"/>
      <c r="AJ120" s="163" t="str">
        <f>IF(AD120="","",IF(ISBLANK(AF120),"En cours",AD120+AF120))</f>
        <v/>
      </c>
      <c r="AK120" s="163" t="str">
        <f>IF(AE120="","",IF(ISBLANK(AH120),"En cours",AE120+AH120))</f>
        <v/>
      </c>
    </row>
    <row r="121" spans="2:37" ht="21" x14ac:dyDescent="0.35"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4"/>
      <c r="P121" s="164"/>
      <c r="Q121" s="164"/>
      <c r="R121" s="164"/>
      <c r="S121" s="164"/>
      <c r="T121" s="164"/>
      <c r="U121" s="164"/>
      <c r="V121" s="164"/>
      <c r="W121" s="164"/>
      <c r="X121" s="164"/>
      <c r="Y121" s="164"/>
      <c r="Z121" s="164"/>
      <c r="AA121" s="164"/>
      <c r="AB121" s="164"/>
      <c r="AC121" s="164"/>
      <c r="AD121" s="165" t="str">
        <f>IF(MIN(F121,J121,N121,R121,V121,Z121)&lt;&gt;0,MIN(F121,J121,N121,R121,V121,Z121),"")</f>
        <v/>
      </c>
      <c r="AE121" s="165" t="str">
        <f>IF(MIN(H121,L121,P121,T121,X121,AB121)&lt;&gt;0,MIN(H121,L121,P121,T121,X121,AB121),"")</f>
        <v/>
      </c>
      <c r="AF121" s="165"/>
      <c r="AG121" s="164"/>
      <c r="AH121" s="165"/>
      <c r="AI121" s="164"/>
      <c r="AJ121" s="163" t="str">
        <f>IF(AD121="","",IF(ISBLANK(AF121),"En cours",AD121+AF121))</f>
        <v/>
      </c>
      <c r="AK121" s="163" t="str">
        <f>IF(AE121="","",IF(ISBLANK(AH121),"En cours",AE121+AH121))</f>
        <v/>
      </c>
    </row>
    <row r="122" spans="2:37" ht="21" x14ac:dyDescent="0.35">
      <c r="B122" s="164"/>
      <c r="C122" s="164"/>
      <c r="D122" s="164"/>
      <c r="E122" s="164"/>
      <c r="F122" s="164"/>
      <c r="G122" s="164"/>
      <c r="H122" s="164"/>
      <c r="I122" s="164"/>
      <c r="J122" s="164"/>
      <c r="K122" s="164"/>
      <c r="L122" s="164"/>
      <c r="M122" s="164"/>
      <c r="N122" s="164"/>
      <c r="O122" s="164"/>
      <c r="P122" s="164"/>
      <c r="Q122" s="164"/>
      <c r="R122" s="164"/>
      <c r="S122" s="164"/>
      <c r="T122" s="164"/>
      <c r="U122" s="164"/>
      <c r="V122" s="164"/>
      <c r="W122" s="164"/>
      <c r="X122" s="164"/>
      <c r="Y122" s="164"/>
      <c r="Z122" s="164"/>
      <c r="AA122" s="164"/>
      <c r="AB122" s="164"/>
      <c r="AC122" s="164"/>
      <c r="AD122" s="165" t="str">
        <f>IF(MIN(F122,J122,N122,R122,V122,Z122)&lt;&gt;0,MIN(F122,J122,N122,R122,V122,Z122),"")</f>
        <v/>
      </c>
      <c r="AE122" s="165" t="str">
        <f>IF(MIN(H122,L122,P122,T122,X122,AB122)&lt;&gt;0,MIN(H122,L122,P122,T122,X122,AB122),"")</f>
        <v/>
      </c>
      <c r="AF122" s="165"/>
      <c r="AG122" s="164"/>
      <c r="AH122" s="165"/>
      <c r="AI122" s="164"/>
      <c r="AJ122" s="163" t="str">
        <f>IF(AD122="","",IF(ISBLANK(AF122),"En cours",AD122+AF122))</f>
        <v/>
      </c>
      <c r="AK122" s="163" t="str">
        <f>IF(AE122="","",IF(ISBLANK(AH122),"En cours",AE122+AH122))</f>
        <v/>
      </c>
    </row>
    <row r="123" spans="2:37" ht="21" x14ac:dyDescent="0.35">
      <c r="B123" s="164"/>
      <c r="C123" s="164"/>
      <c r="D123" s="164"/>
      <c r="E123" s="164"/>
      <c r="F123" s="164"/>
      <c r="G123" s="164"/>
      <c r="H123" s="164"/>
      <c r="I123" s="164"/>
      <c r="J123" s="164"/>
      <c r="K123" s="164"/>
      <c r="L123" s="164"/>
      <c r="M123" s="164"/>
      <c r="N123" s="164"/>
      <c r="O123" s="164"/>
      <c r="P123" s="164"/>
      <c r="Q123" s="164"/>
      <c r="R123" s="164"/>
      <c r="S123" s="164"/>
      <c r="T123" s="164"/>
      <c r="U123" s="164"/>
      <c r="V123" s="164"/>
      <c r="W123" s="164"/>
      <c r="X123" s="164"/>
      <c r="Y123" s="164"/>
      <c r="Z123" s="164"/>
      <c r="AA123" s="164"/>
      <c r="AB123" s="164"/>
      <c r="AC123" s="164"/>
      <c r="AD123" s="165" t="str">
        <f>IF(MIN(F123,J123,N123,R123,V123,Z123)&lt;&gt;0,MIN(F123,J123,N123,R123,V123,Z123),"")</f>
        <v/>
      </c>
      <c r="AE123" s="165" t="str">
        <f>IF(MIN(H123,L123,P123,T123,X123,AB123)&lt;&gt;0,MIN(H123,L123,P123,T123,X123,AB123),"")</f>
        <v/>
      </c>
      <c r="AF123" s="165"/>
      <c r="AG123" s="164"/>
      <c r="AH123" s="165"/>
      <c r="AI123" s="164"/>
      <c r="AJ123" s="163" t="str">
        <f>IF(AD123="","",IF(ISBLANK(AF123),"En cours",AD123+AF123))</f>
        <v/>
      </c>
      <c r="AK123" s="163" t="str">
        <f>IF(AE123="","",IF(ISBLANK(AH123),"En cours",AE123+AH123))</f>
        <v/>
      </c>
    </row>
    <row r="124" spans="2:37" ht="21" x14ac:dyDescent="0.35">
      <c r="B124" s="164"/>
      <c r="C124" s="164"/>
      <c r="D124" s="164"/>
      <c r="E124" s="164"/>
      <c r="F124" s="164"/>
      <c r="G124" s="164"/>
      <c r="H124" s="164"/>
      <c r="I124" s="164"/>
      <c r="J124" s="164"/>
      <c r="K124" s="164"/>
      <c r="L124" s="164"/>
      <c r="M124" s="164"/>
      <c r="N124" s="164"/>
      <c r="O124" s="164"/>
      <c r="P124" s="164"/>
      <c r="Q124" s="164"/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5" t="str">
        <f>IF(MIN(F124,J124,N124,R124,V124,Z124)&lt;&gt;0,MIN(F124,J124,N124,R124,V124,Z124),"")</f>
        <v/>
      </c>
      <c r="AE124" s="165" t="str">
        <f>IF(MIN(H124,L124,P124,T124,X124,AB124)&lt;&gt;0,MIN(H124,L124,P124,T124,X124,AB124),"")</f>
        <v/>
      </c>
      <c r="AF124" s="165"/>
      <c r="AG124" s="164"/>
      <c r="AH124" s="165"/>
      <c r="AI124" s="164"/>
      <c r="AJ124" s="163" t="str">
        <f>IF(AD124="","",IF(ISBLANK(AF124),"En cours",AD124+AF124))</f>
        <v/>
      </c>
      <c r="AK124" s="163" t="str">
        <f>IF(AE124="","",IF(ISBLANK(AH124),"En cours",AE124+AH124))</f>
        <v/>
      </c>
    </row>
    <row r="125" spans="2:37" ht="21" x14ac:dyDescent="0.35">
      <c r="B125" s="164"/>
      <c r="C125" s="164"/>
      <c r="D125" s="164"/>
      <c r="E125" s="164"/>
      <c r="F125" s="164"/>
      <c r="G125" s="164"/>
      <c r="H125" s="164"/>
      <c r="I125" s="164"/>
      <c r="J125" s="164"/>
      <c r="K125" s="164"/>
      <c r="L125" s="164"/>
      <c r="M125" s="164"/>
      <c r="N125" s="164"/>
      <c r="O125" s="164"/>
      <c r="P125" s="164"/>
      <c r="Q125" s="164"/>
      <c r="R125" s="164"/>
      <c r="S125" s="164"/>
      <c r="T125" s="164"/>
      <c r="U125" s="164"/>
      <c r="V125" s="164"/>
      <c r="W125" s="164"/>
      <c r="X125" s="164"/>
      <c r="Y125" s="164"/>
      <c r="Z125" s="164"/>
      <c r="AA125" s="164"/>
      <c r="AB125" s="164"/>
      <c r="AC125" s="164"/>
      <c r="AD125" s="165" t="str">
        <f>IF(MIN(F125,J125,N125,R125,V125,Z125)&lt;&gt;0,MIN(F125,J125,N125,R125,V125,Z125),"")</f>
        <v/>
      </c>
      <c r="AE125" s="165" t="str">
        <f>IF(MIN(H125,L125,P125,T125,X125,AB125)&lt;&gt;0,MIN(H125,L125,P125,T125,X125,AB125),"")</f>
        <v/>
      </c>
      <c r="AF125" s="165"/>
      <c r="AG125" s="164"/>
      <c r="AH125" s="165"/>
      <c r="AI125" s="164"/>
      <c r="AJ125" s="163" t="str">
        <f>IF(AD125="","",IF(ISBLANK(AF125),"En cours",AD125+AF125))</f>
        <v/>
      </c>
      <c r="AK125" s="163" t="str">
        <f>IF(AE125="","",IF(ISBLANK(AH125),"En cours",AE125+AH125))</f>
        <v/>
      </c>
    </row>
    <row r="126" spans="2:37" ht="21" x14ac:dyDescent="0.35">
      <c r="B126" s="164"/>
      <c r="C126" s="164"/>
      <c r="D126" s="164"/>
      <c r="E126" s="164"/>
      <c r="F126" s="164"/>
      <c r="G126" s="164"/>
      <c r="H126" s="164"/>
      <c r="I126" s="164"/>
      <c r="J126" s="164"/>
      <c r="K126" s="164"/>
      <c r="L126" s="164"/>
      <c r="M126" s="164"/>
      <c r="N126" s="164"/>
      <c r="O126" s="164"/>
      <c r="P126" s="164"/>
      <c r="Q126" s="164"/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5" t="str">
        <f>IF(MIN(F126,J126,N126,R126,V126,Z126)&lt;&gt;0,MIN(F126,J126,N126,R126,V126,Z126),"")</f>
        <v/>
      </c>
      <c r="AE126" s="165" t="str">
        <f>IF(MIN(H126,L126,P126,T126,X126,AB126)&lt;&gt;0,MIN(H126,L126,P126,T126,X126,AB126),"")</f>
        <v/>
      </c>
      <c r="AF126" s="165"/>
      <c r="AG126" s="164"/>
      <c r="AH126" s="165"/>
      <c r="AI126" s="164"/>
      <c r="AJ126" s="163" t="str">
        <f>IF(AD126="","",IF(ISBLANK(AF126),"En cours",AD126+AF126))</f>
        <v/>
      </c>
      <c r="AK126" s="163" t="str">
        <f>IF(AE126="","",IF(ISBLANK(AH126),"En cours",AE126+AH126))</f>
        <v/>
      </c>
    </row>
    <row r="127" spans="2:37" ht="21" x14ac:dyDescent="0.35">
      <c r="B127" s="164"/>
      <c r="C127" s="164"/>
      <c r="D127" s="164"/>
      <c r="E127" s="164"/>
      <c r="F127" s="164"/>
      <c r="G127" s="164"/>
      <c r="H127" s="164"/>
      <c r="I127" s="164"/>
      <c r="J127" s="164"/>
      <c r="K127" s="164"/>
      <c r="L127" s="164"/>
      <c r="M127" s="164"/>
      <c r="N127" s="164"/>
      <c r="O127" s="164"/>
      <c r="P127" s="164"/>
      <c r="Q127" s="164"/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5" t="str">
        <f>IF(MIN(F127,J127,N127,R127,V127,Z127)&lt;&gt;0,MIN(F127,J127,N127,R127,V127,Z127),"")</f>
        <v/>
      </c>
      <c r="AE127" s="165" t="str">
        <f>IF(MIN(H127,L127,P127,T127,X127,AB127)&lt;&gt;0,MIN(H127,L127,P127,T127,X127,AB127),"")</f>
        <v/>
      </c>
      <c r="AF127" s="165"/>
      <c r="AG127" s="164"/>
      <c r="AH127" s="165"/>
      <c r="AI127" s="164"/>
      <c r="AJ127" s="163" t="str">
        <f>IF(AD127="","",IF(ISBLANK(AF127),"En cours",AD127+AF127))</f>
        <v/>
      </c>
      <c r="AK127" s="163" t="str">
        <f>IF(AE127="","",IF(ISBLANK(AH127),"En cours",AE127+AH127))</f>
        <v/>
      </c>
    </row>
    <row r="128" spans="2:37" ht="21" x14ac:dyDescent="0.35">
      <c r="B128" s="164"/>
      <c r="C128" s="164"/>
      <c r="D128" s="164"/>
      <c r="E128" s="164"/>
      <c r="F128" s="164"/>
      <c r="G128" s="164"/>
      <c r="H128" s="164"/>
      <c r="I128" s="164"/>
      <c r="J128" s="164"/>
      <c r="K128" s="164"/>
      <c r="L128" s="164"/>
      <c r="M128" s="164"/>
      <c r="N128" s="164"/>
      <c r="O128" s="164"/>
      <c r="P128" s="164"/>
      <c r="Q128" s="164"/>
      <c r="R128" s="164"/>
      <c r="S128" s="164"/>
      <c r="T128" s="164"/>
      <c r="U128" s="164"/>
      <c r="V128" s="164"/>
      <c r="W128" s="164"/>
      <c r="X128" s="164"/>
      <c r="Y128" s="164"/>
      <c r="Z128" s="164"/>
      <c r="AA128" s="164"/>
      <c r="AB128" s="164"/>
      <c r="AC128" s="164"/>
      <c r="AD128" s="165" t="str">
        <f>IF(MIN(F128,J128,N128,R128,V128,Z128)&lt;&gt;0,MIN(F128,J128,N128,R128,V128,Z128),"")</f>
        <v/>
      </c>
      <c r="AE128" s="165" t="str">
        <f>IF(MIN(H128,L128,P128,T128,X128,AB128)&lt;&gt;0,MIN(H128,L128,P128,T128,X128,AB128),"")</f>
        <v/>
      </c>
      <c r="AF128" s="165"/>
      <c r="AG128" s="164"/>
      <c r="AH128" s="165"/>
      <c r="AI128" s="164"/>
      <c r="AJ128" s="163" t="str">
        <f>IF(AD128="","",IF(ISBLANK(AF128),"En cours",AD128+AF128))</f>
        <v/>
      </c>
      <c r="AK128" s="163" t="str">
        <f>IF(AE128="","",IF(ISBLANK(AH128),"En cours",AE128+AH128))</f>
        <v/>
      </c>
    </row>
    <row r="129" spans="2:37" ht="21" x14ac:dyDescent="0.35">
      <c r="B129" s="164"/>
      <c r="C129" s="164"/>
      <c r="D129" s="164"/>
      <c r="E129" s="164"/>
      <c r="F129" s="164"/>
      <c r="G129" s="164"/>
      <c r="H129" s="164"/>
      <c r="I129" s="164"/>
      <c r="J129" s="164"/>
      <c r="K129" s="164"/>
      <c r="L129" s="164"/>
      <c r="M129" s="164"/>
      <c r="N129" s="164"/>
      <c r="O129" s="164"/>
      <c r="P129" s="164"/>
      <c r="Q129" s="164"/>
      <c r="R129" s="164"/>
      <c r="S129" s="164"/>
      <c r="T129" s="164"/>
      <c r="U129" s="164"/>
      <c r="V129" s="164"/>
      <c r="W129" s="164"/>
      <c r="X129" s="164"/>
      <c r="Y129" s="164"/>
      <c r="Z129" s="164"/>
      <c r="AA129" s="164"/>
      <c r="AB129" s="164"/>
      <c r="AC129" s="164"/>
      <c r="AD129" s="165" t="str">
        <f>IF(MIN(F129,J129,N129,R129,V129,Z129)&lt;&gt;0,MIN(F129,J129,N129,R129,V129,Z129),"")</f>
        <v/>
      </c>
      <c r="AE129" s="165" t="str">
        <f>IF(MIN(H129,L129,P129,T129,X129,AB129)&lt;&gt;0,MIN(H129,L129,P129,T129,X129,AB129),"")</f>
        <v/>
      </c>
      <c r="AF129" s="165"/>
      <c r="AG129" s="164"/>
      <c r="AH129" s="165"/>
      <c r="AI129" s="164"/>
      <c r="AJ129" s="163" t="str">
        <f>IF(AD129="","",IF(ISBLANK(AF129),"En cours",AD129+AF129))</f>
        <v/>
      </c>
      <c r="AK129" s="163" t="str">
        <f>IF(AE129="","",IF(ISBLANK(AH129),"En cours",AE129+AH129))</f>
        <v/>
      </c>
    </row>
    <row r="130" spans="2:37" ht="21" x14ac:dyDescent="0.35">
      <c r="B130" s="164"/>
      <c r="C130" s="164"/>
      <c r="D130" s="164"/>
      <c r="E130" s="164"/>
      <c r="F130" s="164"/>
      <c r="G130" s="164"/>
      <c r="H130" s="164"/>
      <c r="I130" s="164"/>
      <c r="J130" s="164"/>
      <c r="K130" s="164"/>
      <c r="L130" s="164"/>
      <c r="M130" s="164"/>
      <c r="N130" s="164"/>
      <c r="O130" s="164"/>
      <c r="P130" s="164"/>
      <c r="Q130" s="164"/>
      <c r="R130" s="164"/>
      <c r="S130" s="164"/>
      <c r="T130" s="164"/>
      <c r="U130" s="164"/>
      <c r="V130" s="164"/>
      <c r="W130" s="164"/>
      <c r="X130" s="164"/>
      <c r="Y130" s="164"/>
      <c r="Z130" s="164"/>
      <c r="AA130" s="164"/>
      <c r="AB130" s="164"/>
      <c r="AC130" s="164"/>
      <c r="AD130" s="165" t="str">
        <f>IF(MIN(F130,J130,N130,R130,V130,Z130)&lt;&gt;0,MIN(F130,J130,N130,R130,V130,Z130),"")</f>
        <v/>
      </c>
      <c r="AE130" s="165" t="str">
        <f>IF(MIN(H130,L130,P130,T130,X130,AB130)&lt;&gt;0,MIN(H130,L130,P130,T130,X130,AB130),"")</f>
        <v/>
      </c>
      <c r="AF130" s="165"/>
      <c r="AG130" s="164"/>
      <c r="AH130" s="165"/>
      <c r="AI130" s="164"/>
      <c r="AJ130" s="163" t="str">
        <f>IF(AD130="","",IF(ISBLANK(AF130),"En cours",AD130+AF130))</f>
        <v/>
      </c>
      <c r="AK130" s="163" t="str">
        <f>IF(AE130="","",IF(ISBLANK(AH130),"En cours",AE130+AH130))</f>
        <v/>
      </c>
    </row>
    <row r="131" spans="2:37" ht="21" x14ac:dyDescent="0.35">
      <c r="B131" s="164"/>
      <c r="C131" s="164"/>
      <c r="D131" s="164"/>
      <c r="E131" s="164"/>
      <c r="F131" s="164"/>
      <c r="G131" s="164"/>
      <c r="H131" s="164"/>
      <c r="I131" s="164"/>
      <c r="J131" s="164"/>
      <c r="K131" s="164"/>
      <c r="L131" s="164"/>
      <c r="M131" s="164"/>
      <c r="N131" s="164"/>
      <c r="O131" s="164"/>
      <c r="P131" s="164"/>
      <c r="Q131" s="164"/>
      <c r="R131" s="164"/>
      <c r="S131" s="164"/>
      <c r="T131" s="164"/>
      <c r="U131" s="164"/>
      <c r="V131" s="164"/>
      <c r="W131" s="164"/>
      <c r="X131" s="164"/>
      <c r="Y131" s="164"/>
      <c r="Z131" s="164"/>
      <c r="AA131" s="164"/>
      <c r="AB131" s="164"/>
      <c r="AC131" s="164"/>
      <c r="AD131" s="165" t="str">
        <f>IF(MIN(F131,J131,N131,R131,V131,Z131)&lt;&gt;0,MIN(F131,J131,N131,R131,V131,Z131),"")</f>
        <v/>
      </c>
      <c r="AE131" s="165" t="str">
        <f>IF(MIN(H131,L131,P131,T131,X131,AB131)&lt;&gt;0,MIN(H131,L131,P131,T131,X131,AB131),"")</f>
        <v/>
      </c>
      <c r="AF131" s="165"/>
      <c r="AG131" s="164"/>
      <c r="AH131" s="165"/>
      <c r="AI131" s="164"/>
      <c r="AJ131" s="163" t="str">
        <f>IF(AD131="","",IF(ISBLANK(AF131),"En cours",AD131+AF131))</f>
        <v/>
      </c>
      <c r="AK131" s="163" t="str">
        <f>IF(AE131="","",IF(ISBLANK(AH131),"En cours",AE131+AH131))</f>
        <v/>
      </c>
    </row>
    <row r="132" spans="2:37" ht="21" x14ac:dyDescent="0.35">
      <c r="B132" s="164"/>
      <c r="C132" s="164"/>
      <c r="D132" s="164"/>
      <c r="E132" s="164"/>
      <c r="F132" s="164"/>
      <c r="G132" s="164"/>
      <c r="H132" s="164"/>
      <c r="I132" s="164"/>
      <c r="J132" s="164"/>
      <c r="K132" s="164"/>
      <c r="L132" s="164"/>
      <c r="M132" s="164"/>
      <c r="N132" s="164"/>
      <c r="O132" s="164"/>
      <c r="P132" s="164"/>
      <c r="Q132" s="164"/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5" t="str">
        <f>IF(MIN(F132,J132,N132,R132,V132,Z132)&lt;&gt;0,MIN(F132,J132,N132,R132,V132,Z132),"")</f>
        <v/>
      </c>
      <c r="AE132" s="165" t="str">
        <f>IF(MIN(H132,L132,P132,T132,X132,AB132)&lt;&gt;0,MIN(H132,L132,P132,T132,X132,AB132),"")</f>
        <v/>
      </c>
      <c r="AF132" s="165"/>
      <c r="AG132" s="164"/>
      <c r="AH132" s="165"/>
      <c r="AI132" s="164"/>
      <c r="AJ132" s="163" t="str">
        <f>IF(AD132="","",IF(ISBLANK(AF132),"En cours",AD132+AF132))</f>
        <v/>
      </c>
      <c r="AK132" s="163" t="str">
        <f>IF(AE132="","",IF(ISBLANK(AH132),"En cours",AE132+AH132))</f>
        <v/>
      </c>
    </row>
    <row r="133" spans="2:37" ht="21" x14ac:dyDescent="0.35">
      <c r="B133" s="164"/>
      <c r="C133" s="164"/>
      <c r="D133" s="164"/>
      <c r="E133" s="164"/>
      <c r="F133" s="164"/>
      <c r="G133" s="164"/>
      <c r="H133" s="164"/>
      <c r="I133" s="164"/>
      <c r="J133" s="164"/>
      <c r="K133" s="164"/>
      <c r="L133" s="164"/>
      <c r="M133" s="164"/>
      <c r="N133" s="164"/>
      <c r="O133" s="164"/>
      <c r="P133" s="164"/>
      <c r="Q133" s="164"/>
      <c r="R133" s="164"/>
      <c r="S133" s="164"/>
      <c r="T133" s="164"/>
      <c r="U133" s="164"/>
      <c r="V133" s="164"/>
      <c r="W133" s="164"/>
      <c r="X133" s="164"/>
      <c r="Y133" s="164"/>
      <c r="Z133" s="164"/>
      <c r="AA133" s="164"/>
      <c r="AB133" s="164"/>
      <c r="AC133" s="164"/>
      <c r="AD133" s="165" t="str">
        <f>IF(MIN(F133,J133,N133,R133,V133,Z133)&lt;&gt;0,MIN(F133,J133,N133,R133,V133,Z133),"")</f>
        <v/>
      </c>
      <c r="AE133" s="165" t="str">
        <f>IF(MIN(H133,L133,P133,T133,X133,AB133)&lt;&gt;0,MIN(H133,L133,P133,T133,X133,AB133),"")</f>
        <v/>
      </c>
      <c r="AF133" s="165"/>
      <c r="AG133" s="164"/>
      <c r="AH133" s="165"/>
      <c r="AI133" s="164"/>
      <c r="AJ133" s="163" t="str">
        <f>IF(AD133="","",IF(ISBLANK(AF133),"En cours",AD133+AF133))</f>
        <v/>
      </c>
      <c r="AK133" s="163" t="str">
        <f>IF(AE133="","",IF(ISBLANK(AH133),"En cours",AE133+AH133))</f>
        <v/>
      </c>
    </row>
    <row r="134" spans="2:37" ht="21" x14ac:dyDescent="0.35">
      <c r="B134" s="164"/>
      <c r="C134" s="164"/>
      <c r="D134" s="164"/>
      <c r="E134" s="164"/>
      <c r="F134" s="164"/>
      <c r="G134" s="164"/>
      <c r="H134" s="164"/>
      <c r="I134" s="164"/>
      <c r="J134" s="164"/>
      <c r="K134" s="164"/>
      <c r="L134" s="164"/>
      <c r="M134" s="164"/>
      <c r="N134" s="164"/>
      <c r="O134" s="164"/>
      <c r="P134" s="164"/>
      <c r="Q134" s="164"/>
      <c r="R134" s="164"/>
      <c r="S134" s="164"/>
      <c r="T134" s="164"/>
      <c r="U134" s="164"/>
      <c r="V134" s="164"/>
      <c r="W134" s="164"/>
      <c r="X134" s="164"/>
      <c r="Y134" s="164"/>
      <c r="Z134" s="164"/>
      <c r="AA134" s="164"/>
      <c r="AB134" s="164"/>
      <c r="AC134" s="164"/>
      <c r="AD134" s="165" t="str">
        <f>IF(MIN(F134,J134,N134,R134,V134,Z134)&lt;&gt;0,MIN(F134,J134,N134,R134,V134,Z134),"")</f>
        <v/>
      </c>
      <c r="AE134" s="165" t="str">
        <f>IF(MIN(H134,L134,P134,T134,X134,AB134)&lt;&gt;0,MIN(H134,L134,P134,T134,X134,AB134),"")</f>
        <v/>
      </c>
      <c r="AF134" s="165"/>
      <c r="AG134" s="164"/>
      <c r="AH134" s="165"/>
      <c r="AI134" s="164"/>
      <c r="AJ134" s="163" t="str">
        <f>IF(AD134="","",IF(ISBLANK(AF134),"En cours",AD134+AF134))</f>
        <v/>
      </c>
      <c r="AK134" s="163" t="str">
        <f>IF(AE134="","",IF(ISBLANK(AH134),"En cours",AE134+AH134))</f>
        <v/>
      </c>
    </row>
    <row r="135" spans="2:37" ht="21" x14ac:dyDescent="0.35">
      <c r="B135" s="164"/>
      <c r="C135" s="164"/>
      <c r="D135" s="164"/>
      <c r="E135" s="164"/>
      <c r="F135" s="164"/>
      <c r="G135" s="164"/>
      <c r="H135" s="164"/>
      <c r="I135" s="164"/>
      <c r="J135" s="164"/>
      <c r="K135" s="164"/>
      <c r="L135" s="164"/>
      <c r="M135" s="164"/>
      <c r="N135" s="164"/>
      <c r="O135" s="164"/>
      <c r="P135" s="164"/>
      <c r="Q135" s="164"/>
      <c r="R135" s="164"/>
      <c r="S135" s="164"/>
      <c r="T135" s="164"/>
      <c r="U135" s="164"/>
      <c r="V135" s="164"/>
      <c r="W135" s="164"/>
      <c r="X135" s="164"/>
      <c r="Y135" s="164"/>
      <c r="Z135" s="164"/>
      <c r="AA135" s="164"/>
      <c r="AB135" s="164"/>
      <c r="AC135" s="164"/>
      <c r="AD135" s="165" t="str">
        <f>IF(MIN(F135,J135,N135,R135,V135,Z135)&lt;&gt;0,MIN(F135,J135,N135,R135,V135,Z135),"")</f>
        <v/>
      </c>
      <c r="AE135" s="165" t="str">
        <f>IF(MIN(H135,L135,P135,T135,X135,AB135)&lt;&gt;0,MIN(H135,L135,P135,T135,X135,AB135),"")</f>
        <v/>
      </c>
      <c r="AF135" s="165"/>
      <c r="AG135" s="164"/>
      <c r="AH135" s="165"/>
      <c r="AI135" s="164"/>
      <c r="AJ135" s="163" t="str">
        <f>IF(AD135="","",IF(ISBLANK(AF135),"En cours",AD135+AF135))</f>
        <v/>
      </c>
      <c r="AK135" s="163" t="str">
        <f>IF(AE135="","",IF(ISBLANK(AH135),"En cours",AE135+AH135))</f>
        <v/>
      </c>
    </row>
    <row r="136" spans="2:37" ht="21" x14ac:dyDescent="0.35">
      <c r="B136" s="164"/>
      <c r="C136" s="164"/>
      <c r="D136" s="164"/>
      <c r="E136" s="164"/>
      <c r="F136" s="164"/>
      <c r="G136" s="164"/>
      <c r="H136" s="164"/>
      <c r="I136" s="164"/>
      <c r="J136" s="164"/>
      <c r="K136" s="164"/>
      <c r="L136" s="164"/>
      <c r="M136" s="164"/>
      <c r="N136" s="164"/>
      <c r="O136" s="164"/>
      <c r="P136" s="164"/>
      <c r="Q136" s="164"/>
      <c r="R136" s="164"/>
      <c r="S136" s="164"/>
      <c r="T136" s="164"/>
      <c r="U136" s="164"/>
      <c r="V136" s="164"/>
      <c r="W136" s="164"/>
      <c r="X136" s="164"/>
      <c r="Y136" s="164"/>
      <c r="Z136" s="164"/>
      <c r="AA136" s="164"/>
      <c r="AB136" s="164"/>
      <c r="AC136" s="164"/>
      <c r="AD136" s="165" t="str">
        <f>IF(MIN(F136,J136,N136,R136,V136,Z136)&lt;&gt;0,MIN(F136,J136,N136,R136,V136,Z136),"")</f>
        <v/>
      </c>
      <c r="AE136" s="165" t="str">
        <f>IF(MIN(H136,L136,P136,T136,X136,AB136)&lt;&gt;0,MIN(H136,L136,P136,T136,X136,AB136),"")</f>
        <v/>
      </c>
      <c r="AF136" s="165"/>
      <c r="AG136" s="164"/>
      <c r="AH136" s="165"/>
      <c r="AI136" s="164"/>
      <c r="AJ136" s="163" t="str">
        <f>IF(AD136="","",IF(ISBLANK(AF136),"En cours",AD136+AF136))</f>
        <v/>
      </c>
      <c r="AK136" s="163" t="str">
        <f>IF(AE136="","",IF(ISBLANK(AH136),"En cours",AE136+AH136))</f>
        <v/>
      </c>
    </row>
    <row r="137" spans="2:37" ht="21" x14ac:dyDescent="0.35">
      <c r="B137" s="164"/>
      <c r="C137" s="164"/>
      <c r="D137" s="164"/>
      <c r="E137" s="164"/>
      <c r="F137" s="164"/>
      <c r="G137" s="164"/>
      <c r="H137" s="164"/>
      <c r="I137" s="164"/>
      <c r="J137" s="164"/>
      <c r="K137" s="164"/>
      <c r="L137" s="164"/>
      <c r="M137" s="164"/>
      <c r="N137" s="164"/>
      <c r="O137" s="164"/>
      <c r="P137" s="164"/>
      <c r="Q137" s="164"/>
      <c r="R137" s="164"/>
      <c r="S137" s="164"/>
      <c r="T137" s="164"/>
      <c r="U137" s="164"/>
      <c r="V137" s="164"/>
      <c r="W137" s="164"/>
      <c r="X137" s="164"/>
      <c r="Y137" s="164"/>
      <c r="Z137" s="164"/>
      <c r="AA137" s="164"/>
      <c r="AB137" s="164"/>
      <c r="AC137" s="164"/>
      <c r="AD137" s="165" t="str">
        <f>IF(MIN(F137,J137,N137,R137,V137,Z137)&lt;&gt;0,MIN(F137,J137,N137,R137,V137,Z137),"")</f>
        <v/>
      </c>
      <c r="AE137" s="165" t="str">
        <f>IF(MIN(H137,L137,P137,T137,X137,AB137)&lt;&gt;0,MIN(H137,L137,P137,T137,X137,AB137),"")</f>
        <v/>
      </c>
      <c r="AF137" s="165"/>
      <c r="AG137" s="164"/>
      <c r="AH137" s="165"/>
      <c r="AI137" s="164"/>
      <c r="AJ137" s="163" t="str">
        <f>IF(AD137="","",IF(ISBLANK(AF137),"En cours",AD137+AF137))</f>
        <v/>
      </c>
      <c r="AK137" s="163" t="str">
        <f>IF(AE137="","",IF(ISBLANK(AH137),"En cours",AE137+AH137))</f>
        <v/>
      </c>
    </row>
    <row r="138" spans="2:37" ht="21" x14ac:dyDescent="0.35">
      <c r="B138" s="164"/>
      <c r="C138" s="164"/>
      <c r="D138" s="164"/>
      <c r="E138" s="164"/>
      <c r="F138" s="164"/>
      <c r="G138" s="164"/>
      <c r="H138" s="164"/>
      <c r="I138" s="164"/>
      <c r="J138" s="164"/>
      <c r="K138" s="164"/>
      <c r="L138" s="164"/>
      <c r="M138" s="164"/>
      <c r="N138" s="164"/>
      <c r="O138" s="164"/>
      <c r="P138" s="164"/>
      <c r="Q138" s="164"/>
      <c r="R138" s="164"/>
      <c r="S138" s="164"/>
      <c r="T138" s="164"/>
      <c r="U138" s="164"/>
      <c r="V138" s="164"/>
      <c r="W138" s="164"/>
      <c r="X138" s="164"/>
      <c r="Y138" s="164"/>
      <c r="Z138" s="164"/>
      <c r="AA138" s="164"/>
      <c r="AB138" s="164"/>
      <c r="AC138" s="164"/>
      <c r="AD138" s="165" t="str">
        <f>IF(MIN(F138,J138,N138,R138,V138,Z138)&lt;&gt;0,MIN(F138,J138,N138,R138,V138,Z138),"")</f>
        <v/>
      </c>
      <c r="AE138" s="165" t="str">
        <f>IF(MIN(H138,L138,P138,T138,X138,AB138)&lt;&gt;0,MIN(H138,L138,P138,T138,X138,AB138),"")</f>
        <v/>
      </c>
      <c r="AF138" s="165"/>
      <c r="AG138" s="164"/>
      <c r="AH138" s="165"/>
      <c r="AI138" s="164"/>
      <c r="AJ138" s="163" t="str">
        <f>IF(AD138="","",IF(ISBLANK(AF138),"En cours",AD138+AF138))</f>
        <v/>
      </c>
      <c r="AK138" s="163" t="str">
        <f>IF(AE138="","",IF(ISBLANK(AH138),"En cours",AE138+AH138))</f>
        <v/>
      </c>
    </row>
    <row r="139" spans="2:37" ht="21" x14ac:dyDescent="0.35">
      <c r="B139" s="164"/>
      <c r="C139" s="164"/>
      <c r="D139" s="164"/>
      <c r="E139" s="164"/>
      <c r="F139" s="164"/>
      <c r="G139" s="164"/>
      <c r="H139" s="164"/>
      <c r="I139" s="164"/>
      <c r="J139" s="164"/>
      <c r="K139" s="164"/>
      <c r="L139" s="164"/>
      <c r="M139" s="164"/>
      <c r="N139" s="164"/>
      <c r="O139" s="164"/>
      <c r="P139" s="164"/>
      <c r="Q139" s="164"/>
      <c r="R139" s="164"/>
      <c r="S139" s="164"/>
      <c r="T139" s="164"/>
      <c r="U139" s="164"/>
      <c r="V139" s="164"/>
      <c r="W139" s="164"/>
      <c r="X139" s="164"/>
      <c r="Y139" s="164"/>
      <c r="Z139" s="164"/>
      <c r="AA139" s="164"/>
      <c r="AB139" s="164"/>
      <c r="AC139" s="164"/>
      <c r="AD139" s="165" t="str">
        <f>IF(MIN(F139,J139,N139,R139,V139,Z139)&lt;&gt;0,MIN(F139,J139,N139,R139,V139,Z139),"")</f>
        <v/>
      </c>
      <c r="AE139" s="165" t="str">
        <f>IF(MIN(H139,L139,P139,T139,X139,AB139)&lt;&gt;0,MIN(H139,L139,P139,T139,X139,AB139),"")</f>
        <v/>
      </c>
      <c r="AF139" s="165"/>
      <c r="AG139" s="164"/>
      <c r="AH139" s="165"/>
      <c r="AI139" s="164"/>
      <c r="AJ139" s="163" t="str">
        <f>IF(AD139="","",IF(ISBLANK(AF139),"En cours",AD139+AF139))</f>
        <v/>
      </c>
      <c r="AK139" s="163" t="str">
        <f>IF(AE139="","",IF(ISBLANK(AH139),"En cours",AE139+AH139))</f>
        <v/>
      </c>
    </row>
    <row r="140" spans="2:37" ht="21" x14ac:dyDescent="0.35">
      <c r="B140" s="164"/>
      <c r="C140" s="164"/>
      <c r="D140" s="164"/>
      <c r="E140" s="164"/>
      <c r="F140" s="164"/>
      <c r="G140" s="164"/>
      <c r="H140" s="164"/>
      <c r="I140" s="164"/>
      <c r="J140" s="164"/>
      <c r="K140" s="164"/>
      <c r="L140" s="164"/>
      <c r="M140" s="164"/>
      <c r="N140" s="164"/>
      <c r="O140" s="164"/>
      <c r="P140" s="164"/>
      <c r="Q140" s="164"/>
      <c r="R140" s="164"/>
      <c r="S140" s="164"/>
      <c r="T140" s="164"/>
      <c r="U140" s="164"/>
      <c r="V140" s="164"/>
      <c r="W140" s="164"/>
      <c r="X140" s="164"/>
      <c r="Y140" s="164"/>
      <c r="Z140" s="164"/>
      <c r="AA140" s="164"/>
      <c r="AB140" s="164"/>
      <c r="AC140" s="164"/>
      <c r="AD140" s="165" t="str">
        <f>IF(MIN(F140,J140,N140,R140,V140,Z140)&lt;&gt;0,MIN(F140,J140,N140,R140,V140,Z140),"")</f>
        <v/>
      </c>
      <c r="AE140" s="165" t="str">
        <f>IF(MIN(H140,L140,P140,T140,X140,AB140)&lt;&gt;0,MIN(H140,L140,P140,T140,X140,AB140),"")</f>
        <v/>
      </c>
      <c r="AF140" s="165"/>
      <c r="AG140" s="164"/>
      <c r="AH140" s="165"/>
      <c r="AI140" s="164"/>
      <c r="AJ140" s="163" t="str">
        <f>IF(AD140="","",IF(ISBLANK(AF140),"En cours",AD140+AF140))</f>
        <v/>
      </c>
      <c r="AK140" s="163" t="str">
        <f>IF(AE140="","",IF(ISBLANK(AH140),"En cours",AE140+AH140))</f>
        <v/>
      </c>
    </row>
    <row r="141" spans="2:37" ht="21" x14ac:dyDescent="0.35">
      <c r="B141" s="164"/>
      <c r="C141" s="164"/>
      <c r="D141" s="164"/>
      <c r="E141" s="164"/>
      <c r="F141" s="164"/>
      <c r="G141" s="164"/>
      <c r="H141" s="164"/>
      <c r="I141" s="164"/>
      <c r="J141" s="164"/>
      <c r="K141" s="164"/>
      <c r="L141" s="164"/>
      <c r="M141" s="164"/>
      <c r="N141" s="164"/>
      <c r="O141" s="164"/>
      <c r="P141" s="164"/>
      <c r="Q141" s="164"/>
      <c r="R141" s="164"/>
      <c r="S141" s="164"/>
      <c r="T141" s="164"/>
      <c r="U141" s="164"/>
      <c r="V141" s="164"/>
      <c r="W141" s="164"/>
      <c r="X141" s="164"/>
      <c r="Y141" s="164"/>
      <c r="Z141" s="164"/>
      <c r="AA141" s="164"/>
      <c r="AB141" s="164"/>
      <c r="AC141" s="164"/>
      <c r="AD141" s="165" t="str">
        <f>IF(MIN(F141,J141,N141,R141,V141,Z141)&lt;&gt;0,MIN(F141,J141,N141,R141,V141,Z141),"")</f>
        <v/>
      </c>
      <c r="AE141" s="165" t="str">
        <f>IF(MIN(H141,L141,P141,T141,X141,AB141)&lt;&gt;0,MIN(H141,L141,P141,T141,X141,AB141),"")</f>
        <v/>
      </c>
      <c r="AF141" s="165"/>
      <c r="AG141" s="164"/>
      <c r="AH141" s="165"/>
      <c r="AI141" s="164"/>
      <c r="AJ141" s="163" t="str">
        <f>IF(AD141="","",IF(ISBLANK(AF141),"En cours",AD141+AF141))</f>
        <v/>
      </c>
      <c r="AK141" s="163" t="str">
        <f>IF(AE141="","",IF(ISBLANK(AH141),"En cours",AE141+AH141))</f>
        <v/>
      </c>
    </row>
    <row r="142" spans="2:37" ht="21" x14ac:dyDescent="0.35">
      <c r="B142" s="164"/>
      <c r="C142" s="164"/>
      <c r="D142" s="164"/>
      <c r="E142" s="164"/>
      <c r="F142" s="164"/>
      <c r="G142" s="164"/>
      <c r="H142" s="164"/>
      <c r="I142" s="164"/>
      <c r="J142" s="164"/>
      <c r="K142" s="164"/>
      <c r="L142" s="164"/>
      <c r="M142" s="164"/>
      <c r="N142" s="164"/>
      <c r="O142" s="164"/>
      <c r="P142" s="164"/>
      <c r="Q142" s="164"/>
      <c r="R142" s="164"/>
      <c r="S142" s="164"/>
      <c r="T142" s="164"/>
      <c r="U142" s="164"/>
      <c r="V142" s="164"/>
      <c r="W142" s="164"/>
      <c r="X142" s="164"/>
      <c r="Y142" s="164"/>
      <c r="Z142" s="164"/>
      <c r="AA142" s="164"/>
      <c r="AB142" s="164"/>
      <c r="AC142" s="164"/>
      <c r="AD142" s="165" t="str">
        <f>IF(MIN(F142,J142,N142,R142,V142,Z142)&lt;&gt;0,MIN(F142,J142,N142,R142,V142,Z142),"")</f>
        <v/>
      </c>
      <c r="AE142" s="165" t="str">
        <f>IF(MIN(H142,L142,P142,T142,X142,AB142)&lt;&gt;0,MIN(H142,L142,P142,T142,X142,AB142),"")</f>
        <v/>
      </c>
      <c r="AF142" s="165"/>
      <c r="AG142" s="164"/>
      <c r="AH142" s="165"/>
      <c r="AI142" s="164"/>
      <c r="AJ142" s="163" t="str">
        <f>IF(AD142="","",IF(ISBLANK(AF142),"En cours",AD142+AF142))</f>
        <v/>
      </c>
      <c r="AK142" s="163" t="str">
        <f>IF(AE142="","",IF(ISBLANK(AH142),"En cours",AE142+AH142))</f>
        <v/>
      </c>
    </row>
    <row r="143" spans="2:37" ht="21" x14ac:dyDescent="0.35">
      <c r="B143" s="164"/>
      <c r="C143" s="164"/>
      <c r="D143" s="164"/>
      <c r="E143" s="164"/>
      <c r="F143" s="164"/>
      <c r="G143" s="164"/>
      <c r="H143" s="164"/>
      <c r="I143" s="164"/>
      <c r="J143" s="164"/>
      <c r="K143" s="164"/>
      <c r="L143" s="164"/>
      <c r="M143" s="164"/>
      <c r="N143" s="164"/>
      <c r="O143" s="164"/>
      <c r="P143" s="164"/>
      <c r="Q143" s="164"/>
      <c r="R143" s="164"/>
      <c r="S143" s="164"/>
      <c r="T143" s="164"/>
      <c r="U143" s="164"/>
      <c r="V143" s="164"/>
      <c r="W143" s="164"/>
      <c r="X143" s="164"/>
      <c r="Y143" s="164"/>
      <c r="Z143" s="164"/>
      <c r="AA143" s="164"/>
      <c r="AB143" s="164"/>
      <c r="AC143" s="164"/>
      <c r="AD143" s="165" t="str">
        <f>IF(MIN(F143,J143,N143,R143,V143,Z143)&lt;&gt;0,MIN(F143,J143,N143,R143,V143,Z143),"")</f>
        <v/>
      </c>
      <c r="AE143" s="165" t="str">
        <f>IF(MIN(H143,L143,P143,T143,X143,AB143)&lt;&gt;0,MIN(H143,L143,P143,T143,X143,AB143),"")</f>
        <v/>
      </c>
      <c r="AF143" s="165"/>
      <c r="AG143" s="164"/>
      <c r="AH143" s="165"/>
      <c r="AI143" s="164"/>
      <c r="AJ143" s="163" t="str">
        <f>IF(AD143="","",IF(ISBLANK(AF143),"En cours",AD143+AF143))</f>
        <v/>
      </c>
      <c r="AK143" s="163" t="str">
        <f>IF(AE143="","",IF(ISBLANK(AH143),"En cours",AE143+AH143))</f>
        <v/>
      </c>
    </row>
    <row r="144" spans="2:37" ht="21" x14ac:dyDescent="0.35">
      <c r="B144" s="164"/>
      <c r="C144" s="164"/>
      <c r="D144" s="164"/>
      <c r="E144" s="164"/>
      <c r="F144" s="164"/>
      <c r="G144" s="164"/>
      <c r="H144" s="164"/>
      <c r="I144" s="164"/>
      <c r="J144" s="164"/>
      <c r="K144" s="164"/>
      <c r="L144" s="164"/>
      <c r="M144" s="164"/>
      <c r="N144" s="164"/>
      <c r="O144" s="164"/>
      <c r="P144" s="164"/>
      <c r="Q144" s="164"/>
      <c r="R144" s="164"/>
      <c r="S144" s="164"/>
      <c r="T144" s="164"/>
      <c r="U144" s="164"/>
      <c r="V144" s="164"/>
      <c r="W144" s="164"/>
      <c r="X144" s="164"/>
      <c r="Y144" s="164"/>
      <c r="Z144" s="164"/>
      <c r="AA144" s="164"/>
      <c r="AB144" s="164"/>
      <c r="AC144" s="164"/>
      <c r="AD144" s="165" t="str">
        <f>IF(MIN(F144,J144,N144,R144,V144,Z144)&lt;&gt;0,MIN(F144,J144,N144,R144,V144,Z144),"")</f>
        <v/>
      </c>
      <c r="AE144" s="165" t="str">
        <f>IF(MIN(H144,L144,P144,T144,X144,AB144)&lt;&gt;0,MIN(H144,L144,P144,T144,X144,AB144),"")</f>
        <v/>
      </c>
      <c r="AF144" s="165"/>
      <c r="AG144" s="164"/>
      <c r="AH144" s="165"/>
      <c r="AI144" s="164"/>
      <c r="AJ144" s="163" t="str">
        <f>IF(AD144="","",IF(ISBLANK(AF144),"En cours",AD144+AF144))</f>
        <v/>
      </c>
      <c r="AK144" s="163" t="str">
        <f>IF(AE144="","",IF(ISBLANK(AH144),"En cours",AE144+AH144))</f>
        <v/>
      </c>
    </row>
    <row r="145" spans="2:37" ht="21" x14ac:dyDescent="0.35">
      <c r="B145" s="164"/>
      <c r="C145" s="164"/>
      <c r="D145" s="164"/>
      <c r="E145" s="164"/>
      <c r="F145" s="164"/>
      <c r="G145" s="164"/>
      <c r="H145" s="164"/>
      <c r="I145" s="164"/>
      <c r="J145" s="164"/>
      <c r="K145" s="164"/>
      <c r="L145" s="164"/>
      <c r="M145" s="164"/>
      <c r="N145" s="164"/>
      <c r="O145" s="164"/>
      <c r="P145" s="164"/>
      <c r="Q145" s="164"/>
      <c r="R145" s="164"/>
      <c r="S145" s="164"/>
      <c r="T145" s="164"/>
      <c r="U145" s="164"/>
      <c r="V145" s="164"/>
      <c r="W145" s="164"/>
      <c r="X145" s="164"/>
      <c r="Y145" s="164"/>
      <c r="Z145" s="164"/>
      <c r="AA145" s="164"/>
      <c r="AB145" s="164"/>
      <c r="AC145" s="164"/>
      <c r="AD145" s="165" t="str">
        <f>IF(MIN(F145,J145,N145,R145,V145,Z145)&lt;&gt;0,MIN(F145,J145,N145,R145,V145,Z145),"")</f>
        <v/>
      </c>
      <c r="AE145" s="165" t="str">
        <f>IF(MIN(H145,L145,P145,T145,X145,AB145)&lt;&gt;0,MIN(H145,L145,P145,T145,X145,AB145),"")</f>
        <v/>
      </c>
      <c r="AF145" s="165"/>
      <c r="AG145" s="164"/>
      <c r="AH145" s="165"/>
      <c r="AI145" s="164"/>
      <c r="AJ145" s="163" t="str">
        <f>IF(AD145="","",IF(ISBLANK(AF145),"En cours",AD145+AF145))</f>
        <v/>
      </c>
      <c r="AK145" s="163" t="str">
        <f>IF(AE145="","",IF(ISBLANK(AH145),"En cours",AE145+AH145))</f>
        <v/>
      </c>
    </row>
    <row r="146" spans="2:37" ht="21" x14ac:dyDescent="0.35">
      <c r="B146" s="164"/>
      <c r="C146" s="164"/>
      <c r="D146" s="164"/>
      <c r="E146" s="164"/>
      <c r="F146" s="164"/>
      <c r="G146" s="164"/>
      <c r="H146" s="164"/>
      <c r="I146" s="164"/>
      <c r="J146" s="164"/>
      <c r="K146" s="164"/>
      <c r="L146" s="164"/>
      <c r="M146" s="164"/>
      <c r="N146" s="164"/>
      <c r="O146" s="164"/>
      <c r="P146" s="164"/>
      <c r="Q146" s="164"/>
      <c r="R146" s="164"/>
      <c r="S146" s="164"/>
      <c r="T146" s="164"/>
      <c r="U146" s="164"/>
      <c r="V146" s="164"/>
      <c r="W146" s="164"/>
      <c r="X146" s="164"/>
      <c r="Y146" s="164"/>
      <c r="Z146" s="164"/>
      <c r="AA146" s="164"/>
      <c r="AB146" s="164"/>
      <c r="AC146" s="164"/>
      <c r="AD146" s="165" t="str">
        <f>IF(MIN(F146,J146,N146,R146,V146,Z146)&lt;&gt;0,MIN(F146,J146,N146,R146,V146,Z146),"")</f>
        <v/>
      </c>
      <c r="AE146" s="165" t="str">
        <f>IF(MIN(H146,L146,P146,T146,X146,AB146)&lt;&gt;0,MIN(H146,L146,P146,T146,X146,AB146),"")</f>
        <v/>
      </c>
      <c r="AF146" s="165"/>
      <c r="AG146" s="164"/>
      <c r="AH146" s="165"/>
      <c r="AI146" s="164"/>
      <c r="AJ146" s="163" t="str">
        <f>IF(AD146="","",IF(ISBLANK(AF146),"En cours",AD146+AF146))</f>
        <v/>
      </c>
      <c r="AK146" s="163" t="str">
        <f>IF(AE146="","",IF(ISBLANK(AH146),"En cours",AE146+AH146))</f>
        <v/>
      </c>
    </row>
    <row r="147" spans="2:37" ht="21" x14ac:dyDescent="0.35">
      <c r="B147" s="164"/>
      <c r="C147" s="164"/>
      <c r="D147" s="164"/>
      <c r="E147" s="164"/>
      <c r="F147" s="164"/>
      <c r="G147" s="164"/>
      <c r="H147" s="164"/>
      <c r="I147" s="164"/>
      <c r="J147" s="164"/>
      <c r="K147" s="164"/>
      <c r="L147" s="164"/>
      <c r="M147" s="164"/>
      <c r="N147" s="164"/>
      <c r="O147" s="164"/>
      <c r="P147" s="164"/>
      <c r="Q147" s="164"/>
      <c r="R147" s="164"/>
      <c r="S147" s="164"/>
      <c r="T147" s="164"/>
      <c r="U147" s="164"/>
      <c r="V147" s="164"/>
      <c r="W147" s="164"/>
      <c r="X147" s="164"/>
      <c r="Y147" s="164"/>
      <c r="Z147" s="164"/>
      <c r="AA147" s="164"/>
      <c r="AB147" s="164"/>
      <c r="AC147" s="164"/>
      <c r="AD147" s="165" t="str">
        <f>IF(MIN(F147,J147,N147,R147,V147,Z147)&lt;&gt;0,MIN(F147,J147,N147,R147,V147,Z147),"")</f>
        <v/>
      </c>
      <c r="AE147" s="165" t="str">
        <f>IF(MIN(H147,L147,P147,T147,X147,AB147)&lt;&gt;0,MIN(H147,L147,P147,T147,X147,AB147),"")</f>
        <v/>
      </c>
      <c r="AF147" s="165"/>
      <c r="AG147" s="164"/>
      <c r="AH147" s="165"/>
      <c r="AI147" s="164"/>
      <c r="AJ147" s="163" t="str">
        <f>IF(AD147="","",IF(ISBLANK(AF147),"En cours",AD147+AF147))</f>
        <v/>
      </c>
      <c r="AK147" s="163" t="str">
        <f>IF(AE147="","",IF(ISBLANK(AH147),"En cours",AE147+AH147))</f>
        <v/>
      </c>
    </row>
    <row r="148" spans="2:37" ht="21" x14ac:dyDescent="0.35"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4"/>
      <c r="P148" s="164"/>
      <c r="Q148" s="164"/>
      <c r="R148" s="164"/>
      <c r="S148" s="164"/>
      <c r="T148" s="164"/>
      <c r="U148" s="164"/>
      <c r="V148" s="164"/>
      <c r="W148" s="164"/>
      <c r="X148" s="164"/>
      <c r="Y148" s="164"/>
      <c r="Z148" s="164"/>
      <c r="AA148" s="164"/>
      <c r="AB148" s="164"/>
      <c r="AC148" s="164"/>
      <c r="AD148" s="165" t="str">
        <f t="shared" ref="AD132:AD163" si="0">IF(MIN(F148,J148,N148,R148,V148,Z148)&lt;&gt;0,MIN(F148,J148,N148,R148,V148,Z148),"")</f>
        <v/>
      </c>
      <c r="AE148" s="165" t="str">
        <f t="shared" ref="AE132:AE163" si="1">IF(MIN(H148,L148,P148,T148,X148,AB148)&lt;&gt;0,MIN(H148,L148,P148,T148,X148,AB148),"")</f>
        <v/>
      </c>
      <c r="AF148" s="165"/>
      <c r="AG148" s="164"/>
      <c r="AH148" s="165"/>
      <c r="AI148" s="164"/>
      <c r="AJ148" s="163" t="str">
        <f t="shared" ref="AJ132:AJ163" si="2">IF(AD148="","",IF(ISBLANK(AF148),"En cours",AD148+AF148))</f>
        <v/>
      </c>
      <c r="AK148" s="163" t="str">
        <f t="shared" ref="AK132:AK163" si="3">IF(AE148="","",IF(ISBLANK(AH148),"En cours",AE148+AH148))</f>
        <v/>
      </c>
    </row>
    <row r="149" spans="2:37" ht="21" x14ac:dyDescent="0.35">
      <c r="B149" s="164"/>
      <c r="C149" s="164"/>
      <c r="D149" s="164"/>
      <c r="E149" s="164"/>
      <c r="F149" s="164"/>
      <c r="G149" s="164"/>
      <c r="H149" s="164"/>
      <c r="I149" s="164"/>
      <c r="J149" s="164"/>
      <c r="K149" s="164"/>
      <c r="L149" s="164"/>
      <c r="M149" s="164"/>
      <c r="N149" s="164"/>
      <c r="O149" s="164"/>
      <c r="P149" s="164"/>
      <c r="Q149" s="164"/>
      <c r="R149" s="164"/>
      <c r="S149" s="164"/>
      <c r="T149" s="164"/>
      <c r="U149" s="164"/>
      <c r="V149" s="164"/>
      <c r="W149" s="164"/>
      <c r="X149" s="164"/>
      <c r="Y149" s="164"/>
      <c r="Z149" s="164"/>
      <c r="AA149" s="164"/>
      <c r="AB149" s="164"/>
      <c r="AC149" s="164"/>
      <c r="AD149" s="165" t="str">
        <f t="shared" si="0"/>
        <v/>
      </c>
      <c r="AE149" s="165" t="str">
        <f t="shared" si="1"/>
        <v/>
      </c>
      <c r="AF149" s="165"/>
      <c r="AG149" s="164"/>
      <c r="AH149" s="165"/>
      <c r="AI149" s="164"/>
      <c r="AJ149" s="163" t="str">
        <f t="shared" si="2"/>
        <v/>
      </c>
      <c r="AK149" s="163" t="str">
        <f t="shared" si="3"/>
        <v/>
      </c>
    </row>
    <row r="150" spans="2:37" ht="21" x14ac:dyDescent="0.35">
      <c r="B150" s="164"/>
      <c r="C150" s="164"/>
      <c r="D150" s="164"/>
      <c r="E150" s="164"/>
      <c r="F150" s="164"/>
      <c r="G150" s="164"/>
      <c r="H150" s="164"/>
      <c r="I150" s="164"/>
      <c r="J150" s="164"/>
      <c r="K150" s="164"/>
      <c r="L150" s="164"/>
      <c r="M150" s="164"/>
      <c r="N150" s="164"/>
      <c r="O150" s="164"/>
      <c r="P150" s="164"/>
      <c r="Q150" s="164"/>
      <c r="R150" s="164"/>
      <c r="S150" s="164"/>
      <c r="T150" s="164"/>
      <c r="U150" s="164"/>
      <c r="V150" s="164"/>
      <c r="W150" s="164"/>
      <c r="X150" s="164"/>
      <c r="Y150" s="164"/>
      <c r="Z150" s="164"/>
      <c r="AA150" s="164"/>
      <c r="AB150" s="164"/>
      <c r="AC150" s="164"/>
      <c r="AD150" s="165" t="str">
        <f t="shared" si="0"/>
        <v/>
      </c>
      <c r="AE150" s="165" t="str">
        <f t="shared" si="1"/>
        <v/>
      </c>
      <c r="AF150" s="165"/>
      <c r="AG150" s="164"/>
      <c r="AH150" s="165"/>
      <c r="AI150" s="164"/>
      <c r="AJ150" s="163" t="str">
        <f t="shared" si="2"/>
        <v/>
      </c>
      <c r="AK150" s="163" t="str">
        <f t="shared" si="3"/>
        <v/>
      </c>
    </row>
    <row r="151" spans="2:37" ht="21" x14ac:dyDescent="0.35">
      <c r="B151" s="164"/>
      <c r="C151" s="164"/>
      <c r="D151" s="164"/>
      <c r="E151" s="164"/>
      <c r="F151" s="164"/>
      <c r="G151" s="164"/>
      <c r="H151" s="164"/>
      <c r="I151" s="164"/>
      <c r="J151" s="164"/>
      <c r="K151" s="164"/>
      <c r="L151" s="164"/>
      <c r="M151" s="164"/>
      <c r="N151" s="164"/>
      <c r="O151" s="164"/>
      <c r="P151" s="164"/>
      <c r="Q151" s="164"/>
      <c r="R151" s="164"/>
      <c r="S151" s="164"/>
      <c r="T151" s="164"/>
      <c r="U151" s="164"/>
      <c r="V151" s="164"/>
      <c r="W151" s="164"/>
      <c r="X151" s="164"/>
      <c r="Y151" s="164"/>
      <c r="Z151" s="164"/>
      <c r="AA151" s="164"/>
      <c r="AB151" s="164"/>
      <c r="AC151" s="164"/>
      <c r="AD151" s="165" t="str">
        <f t="shared" si="0"/>
        <v/>
      </c>
      <c r="AE151" s="165" t="str">
        <f t="shared" si="1"/>
        <v/>
      </c>
      <c r="AF151" s="165"/>
      <c r="AG151" s="164"/>
      <c r="AH151" s="165"/>
      <c r="AI151" s="164"/>
      <c r="AJ151" s="163" t="str">
        <f t="shared" si="2"/>
        <v/>
      </c>
      <c r="AK151" s="163" t="str">
        <f t="shared" si="3"/>
        <v/>
      </c>
    </row>
    <row r="152" spans="2:37" ht="21" x14ac:dyDescent="0.35">
      <c r="B152" s="164"/>
      <c r="C152" s="164"/>
      <c r="D152" s="164"/>
      <c r="E152" s="164"/>
      <c r="F152" s="164"/>
      <c r="G152" s="164"/>
      <c r="H152" s="164"/>
      <c r="I152" s="164"/>
      <c r="J152" s="164"/>
      <c r="K152" s="164"/>
      <c r="L152" s="164"/>
      <c r="M152" s="164"/>
      <c r="N152" s="164"/>
      <c r="O152" s="164"/>
      <c r="P152" s="164"/>
      <c r="Q152" s="164"/>
      <c r="R152" s="164"/>
      <c r="S152" s="164"/>
      <c r="T152" s="164"/>
      <c r="U152" s="164"/>
      <c r="V152" s="164"/>
      <c r="W152" s="164"/>
      <c r="X152" s="164"/>
      <c r="Y152" s="164"/>
      <c r="Z152" s="164"/>
      <c r="AA152" s="164"/>
      <c r="AB152" s="164"/>
      <c r="AC152" s="164"/>
      <c r="AD152" s="165" t="str">
        <f t="shared" si="0"/>
        <v/>
      </c>
      <c r="AE152" s="165" t="str">
        <f t="shared" si="1"/>
        <v/>
      </c>
      <c r="AF152" s="165"/>
      <c r="AG152" s="164"/>
      <c r="AH152" s="165"/>
      <c r="AI152" s="164"/>
      <c r="AJ152" s="163" t="str">
        <f t="shared" si="2"/>
        <v/>
      </c>
      <c r="AK152" s="163" t="str">
        <f t="shared" si="3"/>
        <v/>
      </c>
    </row>
    <row r="153" spans="2:37" ht="21" x14ac:dyDescent="0.35">
      <c r="B153" s="164"/>
      <c r="C153" s="164"/>
      <c r="D153" s="164"/>
      <c r="E153" s="164"/>
      <c r="F153" s="164"/>
      <c r="G153" s="164"/>
      <c r="H153" s="164"/>
      <c r="I153" s="164"/>
      <c r="J153" s="164"/>
      <c r="K153" s="164"/>
      <c r="L153" s="164"/>
      <c r="M153" s="164"/>
      <c r="N153" s="164"/>
      <c r="O153" s="164"/>
      <c r="P153" s="164"/>
      <c r="Q153" s="164"/>
      <c r="R153" s="164"/>
      <c r="S153" s="164"/>
      <c r="T153" s="164"/>
      <c r="U153" s="164"/>
      <c r="V153" s="164"/>
      <c r="W153" s="164"/>
      <c r="X153" s="164"/>
      <c r="Y153" s="164"/>
      <c r="Z153" s="164"/>
      <c r="AA153" s="164"/>
      <c r="AB153" s="164"/>
      <c r="AC153" s="164"/>
      <c r="AD153" s="165" t="str">
        <f t="shared" si="0"/>
        <v/>
      </c>
      <c r="AE153" s="165" t="str">
        <f t="shared" si="1"/>
        <v/>
      </c>
      <c r="AF153" s="165"/>
      <c r="AG153" s="164"/>
      <c r="AH153" s="165"/>
      <c r="AI153" s="164"/>
      <c r="AJ153" s="163" t="str">
        <f t="shared" si="2"/>
        <v/>
      </c>
      <c r="AK153" s="163" t="str">
        <f t="shared" si="3"/>
        <v/>
      </c>
    </row>
    <row r="154" spans="2:37" ht="21" x14ac:dyDescent="0.35">
      <c r="B154" s="164"/>
      <c r="C154" s="164"/>
      <c r="D154" s="164"/>
      <c r="E154" s="164"/>
      <c r="F154" s="164"/>
      <c r="G154" s="164"/>
      <c r="H154" s="164"/>
      <c r="I154" s="164"/>
      <c r="J154" s="164"/>
      <c r="K154" s="164"/>
      <c r="L154" s="164"/>
      <c r="M154" s="164"/>
      <c r="N154" s="164"/>
      <c r="O154" s="164"/>
      <c r="P154" s="164"/>
      <c r="Q154" s="164"/>
      <c r="R154" s="164"/>
      <c r="S154" s="164"/>
      <c r="T154" s="164"/>
      <c r="U154" s="164"/>
      <c r="V154" s="164"/>
      <c r="W154" s="164"/>
      <c r="X154" s="164"/>
      <c r="Y154" s="164"/>
      <c r="Z154" s="164"/>
      <c r="AA154" s="164"/>
      <c r="AB154" s="164"/>
      <c r="AC154" s="164"/>
      <c r="AD154" s="165" t="str">
        <f t="shared" si="0"/>
        <v/>
      </c>
      <c r="AE154" s="165" t="str">
        <f t="shared" si="1"/>
        <v/>
      </c>
      <c r="AF154" s="165"/>
      <c r="AG154" s="164"/>
      <c r="AH154" s="165"/>
      <c r="AI154" s="164"/>
      <c r="AJ154" s="163" t="str">
        <f t="shared" si="2"/>
        <v/>
      </c>
      <c r="AK154" s="163" t="str">
        <f t="shared" si="3"/>
        <v/>
      </c>
    </row>
    <row r="155" spans="2:37" ht="21" x14ac:dyDescent="0.35">
      <c r="B155" s="164"/>
      <c r="C155" s="164"/>
      <c r="D155" s="164"/>
      <c r="E155" s="164"/>
      <c r="F155" s="164"/>
      <c r="G155" s="164"/>
      <c r="H155" s="164"/>
      <c r="I155" s="164"/>
      <c r="J155" s="164"/>
      <c r="K155" s="164"/>
      <c r="L155" s="164"/>
      <c r="M155" s="164"/>
      <c r="N155" s="164"/>
      <c r="O155" s="164"/>
      <c r="P155" s="164"/>
      <c r="Q155" s="164"/>
      <c r="R155" s="164"/>
      <c r="S155" s="164"/>
      <c r="T155" s="164"/>
      <c r="U155" s="164"/>
      <c r="V155" s="164"/>
      <c r="W155" s="164"/>
      <c r="X155" s="164"/>
      <c r="Y155" s="164"/>
      <c r="Z155" s="164"/>
      <c r="AA155" s="164"/>
      <c r="AB155" s="164"/>
      <c r="AC155" s="164"/>
      <c r="AD155" s="165" t="str">
        <f t="shared" si="0"/>
        <v/>
      </c>
      <c r="AE155" s="165" t="str">
        <f t="shared" si="1"/>
        <v/>
      </c>
      <c r="AF155" s="165"/>
      <c r="AG155" s="164"/>
      <c r="AH155" s="165"/>
      <c r="AI155" s="164"/>
      <c r="AJ155" s="163" t="str">
        <f t="shared" si="2"/>
        <v/>
      </c>
      <c r="AK155" s="163" t="str">
        <f t="shared" si="3"/>
        <v/>
      </c>
    </row>
    <row r="156" spans="2:37" ht="21" x14ac:dyDescent="0.35">
      <c r="B156" s="164"/>
      <c r="C156" s="164"/>
      <c r="D156" s="164"/>
      <c r="E156" s="164"/>
      <c r="F156" s="164"/>
      <c r="G156" s="164"/>
      <c r="H156" s="164"/>
      <c r="I156" s="164"/>
      <c r="J156" s="164"/>
      <c r="K156" s="164"/>
      <c r="L156" s="164"/>
      <c r="M156" s="164"/>
      <c r="N156" s="164"/>
      <c r="O156" s="164"/>
      <c r="P156" s="164"/>
      <c r="Q156" s="164"/>
      <c r="R156" s="164"/>
      <c r="S156" s="164"/>
      <c r="T156" s="164"/>
      <c r="U156" s="164"/>
      <c r="V156" s="164"/>
      <c r="W156" s="164"/>
      <c r="X156" s="164"/>
      <c r="Y156" s="164"/>
      <c r="Z156" s="164"/>
      <c r="AA156" s="164"/>
      <c r="AB156" s="164"/>
      <c r="AC156" s="164"/>
      <c r="AD156" s="165" t="str">
        <f t="shared" si="0"/>
        <v/>
      </c>
      <c r="AE156" s="165" t="str">
        <f t="shared" si="1"/>
        <v/>
      </c>
      <c r="AF156" s="165"/>
      <c r="AG156" s="164"/>
      <c r="AH156" s="165"/>
      <c r="AI156" s="164"/>
      <c r="AJ156" s="163" t="str">
        <f t="shared" si="2"/>
        <v/>
      </c>
      <c r="AK156" s="163" t="str">
        <f t="shared" si="3"/>
        <v/>
      </c>
    </row>
    <row r="157" spans="2:37" ht="21" x14ac:dyDescent="0.35">
      <c r="B157" s="164"/>
      <c r="C157" s="164"/>
      <c r="D157" s="164"/>
      <c r="E157" s="164"/>
      <c r="F157" s="164"/>
      <c r="G157" s="164"/>
      <c r="H157" s="164"/>
      <c r="I157" s="164"/>
      <c r="J157" s="164"/>
      <c r="K157" s="164"/>
      <c r="L157" s="164"/>
      <c r="M157" s="164"/>
      <c r="N157" s="164"/>
      <c r="O157" s="164"/>
      <c r="P157" s="164"/>
      <c r="Q157" s="164"/>
      <c r="R157" s="164"/>
      <c r="S157" s="164"/>
      <c r="T157" s="164"/>
      <c r="U157" s="164"/>
      <c r="V157" s="164"/>
      <c r="W157" s="164"/>
      <c r="X157" s="164"/>
      <c r="Y157" s="164"/>
      <c r="Z157" s="164"/>
      <c r="AA157" s="164"/>
      <c r="AB157" s="164"/>
      <c r="AC157" s="164"/>
      <c r="AD157" s="165" t="str">
        <f t="shared" si="0"/>
        <v/>
      </c>
      <c r="AE157" s="165" t="str">
        <f t="shared" si="1"/>
        <v/>
      </c>
      <c r="AF157" s="165"/>
      <c r="AG157" s="164"/>
      <c r="AH157" s="165"/>
      <c r="AI157" s="164"/>
      <c r="AJ157" s="163" t="str">
        <f t="shared" si="2"/>
        <v/>
      </c>
      <c r="AK157" s="163" t="str">
        <f t="shared" si="3"/>
        <v/>
      </c>
    </row>
    <row r="158" spans="2:37" ht="21" x14ac:dyDescent="0.35">
      <c r="B158" s="164"/>
      <c r="C158" s="164"/>
      <c r="D158" s="164"/>
      <c r="E158" s="164"/>
      <c r="F158" s="164"/>
      <c r="G158" s="164"/>
      <c r="H158" s="164"/>
      <c r="I158" s="164"/>
      <c r="J158" s="164"/>
      <c r="K158" s="164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4"/>
      <c r="Y158" s="164"/>
      <c r="Z158" s="164"/>
      <c r="AA158" s="164"/>
      <c r="AB158" s="164"/>
      <c r="AC158" s="164"/>
      <c r="AD158" s="165" t="str">
        <f t="shared" si="0"/>
        <v/>
      </c>
      <c r="AE158" s="165" t="str">
        <f t="shared" si="1"/>
        <v/>
      </c>
      <c r="AF158" s="165"/>
      <c r="AG158" s="164"/>
      <c r="AH158" s="165"/>
      <c r="AI158" s="164"/>
      <c r="AJ158" s="163" t="str">
        <f t="shared" si="2"/>
        <v/>
      </c>
      <c r="AK158" s="163" t="str">
        <f t="shared" si="3"/>
        <v/>
      </c>
    </row>
    <row r="159" spans="2:37" ht="21" x14ac:dyDescent="0.35">
      <c r="B159" s="164"/>
      <c r="C159" s="164"/>
      <c r="D159" s="164"/>
      <c r="E159" s="164"/>
      <c r="F159" s="164"/>
      <c r="G159" s="164"/>
      <c r="H159" s="164"/>
      <c r="I159" s="164"/>
      <c r="J159" s="164"/>
      <c r="K159" s="164"/>
      <c r="L159" s="164"/>
      <c r="M159" s="164"/>
      <c r="N159" s="164"/>
      <c r="O159" s="164"/>
      <c r="P159" s="164"/>
      <c r="Q159" s="164"/>
      <c r="R159" s="164"/>
      <c r="S159" s="164"/>
      <c r="T159" s="164"/>
      <c r="U159" s="164"/>
      <c r="V159" s="164"/>
      <c r="W159" s="164"/>
      <c r="X159" s="164"/>
      <c r="Y159" s="164"/>
      <c r="Z159" s="164"/>
      <c r="AA159" s="164"/>
      <c r="AB159" s="164"/>
      <c r="AC159" s="164"/>
      <c r="AD159" s="165" t="str">
        <f t="shared" si="0"/>
        <v/>
      </c>
      <c r="AE159" s="165" t="str">
        <f t="shared" si="1"/>
        <v/>
      </c>
      <c r="AF159" s="165"/>
      <c r="AG159" s="164"/>
      <c r="AH159" s="165"/>
      <c r="AI159" s="164"/>
      <c r="AJ159" s="163" t="str">
        <f t="shared" si="2"/>
        <v/>
      </c>
      <c r="AK159" s="163" t="str">
        <f t="shared" si="3"/>
        <v/>
      </c>
    </row>
    <row r="160" spans="2:37" ht="21" x14ac:dyDescent="0.35">
      <c r="B160" s="164"/>
      <c r="C160" s="164"/>
      <c r="D160" s="164"/>
      <c r="E160" s="164"/>
      <c r="F160" s="164"/>
      <c r="G160" s="164"/>
      <c r="H160" s="164"/>
      <c r="I160" s="164"/>
      <c r="J160" s="164"/>
      <c r="K160" s="164"/>
      <c r="L160" s="164"/>
      <c r="M160" s="164"/>
      <c r="N160" s="164"/>
      <c r="O160" s="164"/>
      <c r="P160" s="164"/>
      <c r="Q160" s="164"/>
      <c r="R160" s="164"/>
      <c r="S160" s="164"/>
      <c r="T160" s="164"/>
      <c r="U160" s="164"/>
      <c r="V160" s="164"/>
      <c r="W160" s="164"/>
      <c r="X160" s="164"/>
      <c r="Y160" s="164"/>
      <c r="Z160" s="164"/>
      <c r="AA160" s="164"/>
      <c r="AB160" s="164"/>
      <c r="AC160" s="164"/>
      <c r="AD160" s="165" t="str">
        <f t="shared" si="0"/>
        <v/>
      </c>
      <c r="AE160" s="165" t="str">
        <f t="shared" si="1"/>
        <v/>
      </c>
      <c r="AF160" s="165"/>
      <c r="AG160" s="164"/>
      <c r="AH160" s="165"/>
      <c r="AI160" s="164"/>
      <c r="AJ160" s="163" t="str">
        <f t="shared" si="2"/>
        <v/>
      </c>
      <c r="AK160" s="163" t="str">
        <f t="shared" si="3"/>
        <v/>
      </c>
    </row>
    <row r="161" spans="2:37" ht="21" x14ac:dyDescent="0.35">
      <c r="B161" s="164"/>
      <c r="C161" s="164"/>
      <c r="D161" s="164"/>
      <c r="E161" s="164"/>
      <c r="F161" s="164"/>
      <c r="G161" s="164"/>
      <c r="H161" s="164"/>
      <c r="I161" s="164"/>
      <c r="J161" s="164"/>
      <c r="K161" s="164"/>
      <c r="L161" s="164"/>
      <c r="M161" s="164"/>
      <c r="N161" s="164"/>
      <c r="O161" s="164"/>
      <c r="P161" s="164"/>
      <c r="Q161" s="164"/>
      <c r="R161" s="164"/>
      <c r="S161" s="164"/>
      <c r="T161" s="164"/>
      <c r="U161" s="164"/>
      <c r="V161" s="164"/>
      <c r="W161" s="164"/>
      <c r="X161" s="164"/>
      <c r="Y161" s="164"/>
      <c r="Z161" s="164"/>
      <c r="AA161" s="164"/>
      <c r="AB161" s="164"/>
      <c r="AC161" s="164"/>
      <c r="AD161" s="165" t="str">
        <f t="shared" si="0"/>
        <v/>
      </c>
      <c r="AE161" s="165" t="str">
        <f t="shared" si="1"/>
        <v/>
      </c>
      <c r="AF161" s="165"/>
      <c r="AG161" s="164"/>
      <c r="AH161" s="165"/>
      <c r="AI161" s="164"/>
      <c r="AJ161" s="163" t="str">
        <f t="shared" si="2"/>
        <v/>
      </c>
      <c r="AK161" s="163" t="str">
        <f t="shared" si="3"/>
        <v/>
      </c>
    </row>
    <row r="162" spans="2:37" ht="21" x14ac:dyDescent="0.35">
      <c r="B162" s="164"/>
      <c r="C162" s="164"/>
      <c r="D162" s="164"/>
      <c r="E162" s="164"/>
      <c r="F162" s="164"/>
      <c r="G162" s="164"/>
      <c r="H162" s="164"/>
      <c r="I162" s="164"/>
      <c r="J162" s="164"/>
      <c r="K162" s="164"/>
      <c r="L162" s="164"/>
      <c r="M162" s="164"/>
      <c r="N162" s="164"/>
      <c r="O162" s="164"/>
      <c r="P162" s="164"/>
      <c r="Q162" s="164"/>
      <c r="R162" s="164"/>
      <c r="S162" s="164"/>
      <c r="T162" s="164"/>
      <c r="U162" s="164"/>
      <c r="V162" s="164"/>
      <c r="W162" s="164"/>
      <c r="X162" s="164"/>
      <c r="Y162" s="164"/>
      <c r="Z162" s="164"/>
      <c r="AA162" s="164"/>
      <c r="AB162" s="164"/>
      <c r="AC162" s="164"/>
      <c r="AD162" s="165" t="str">
        <f t="shared" si="0"/>
        <v/>
      </c>
      <c r="AE162" s="165" t="str">
        <f t="shared" si="1"/>
        <v/>
      </c>
      <c r="AF162" s="165"/>
      <c r="AG162" s="164"/>
      <c r="AH162" s="165"/>
      <c r="AI162" s="164"/>
      <c r="AJ162" s="163" t="str">
        <f t="shared" si="2"/>
        <v/>
      </c>
      <c r="AK162" s="163" t="str">
        <f t="shared" si="3"/>
        <v/>
      </c>
    </row>
    <row r="163" spans="2:37" ht="21" x14ac:dyDescent="0.35">
      <c r="B163" s="164"/>
      <c r="C163" s="164"/>
      <c r="D163" s="164"/>
      <c r="E163" s="164"/>
      <c r="F163" s="164"/>
      <c r="G163" s="164"/>
      <c r="H163" s="164"/>
      <c r="I163" s="164"/>
      <c r="J163" s="164"/>
      <c r="K163" s="164"/>
      <c r="L163" s="164"/>
      <c r="M163" s="164"/>
      <c r="N163" s="164"/>
      <c r="O163" s="164"/>
      <c r="P163" s="164"/>
      <c r="Q163" s="164"/>
      <c r="R163" s="164"/>
      <c r="S163" s="164"/>
      <c r="T163" s="164"/>
      <c r="U163" s="164"/>
      <c r="V163" s="164"/>
      <c r="W163" s="164"/>
      <c r="X163" s="164"/>
      <c r="Y163" s="164"/>
      <c r="Z163" s="164"/>
      <c r="AA163" s="164"/>
      <c r="AB163" s="164"/>
      <c r="AC163" s="164"/>
      <c r="AD163" s="165" t="str">
        <f t="shared" si="0"/>
        <v/>
      </c>
      <c r="AE163" s="165" t="str">
        <f t="shared" si="1"/>
        <v/>
      </c>
      <c r="AF163" s="165"/>
      <c r="AG163" s="164"/>
      <c r="AH163" s="165"/>
      <c r="AI163" s="164"/>
      <c r="AJ163" s="163" t="str">
        <f t="shared" si="2"/>
        <v/>
      </c>
      <c r="AK163" s="163" t="str">
        <f t="shared" si="3"/>
        <v/>
      </c>
    </row>
    <row r="164" spans="2:37" ht="21" x14ac:dyDescent="0.35">
      <c r="B164" s="164"/>
      <c r="C164" s="164"/>
      <c r="D164" s="164"/>
      <c r="E164" s="164"/>
      <c r="F164" s="164"/>
      <c r="G164" s="164"/>
      <c r="H164" s="164"/>
      <c r="I164" s="164"/>
      <c r="J164" s="164"/>
      <c r="K164" s="164"/>
      <c r="L164" s="164"/>
      <c r="M164" s="164"/>
      <c r="N164" s="164"/>
      <c r="O164" s="164"/>
      <c r="P164" s="164"/>
      <c r="Q164" s="164"/>
      <c r="R164" s="164"/>
      <c r="S164" s="164"/>
      <c r="T164" s="164"/>
      <c r="U164" s="164"/>
      <c r="V164" s="164"/>
      <c r="W164" s="164"/>
      <c r="X164" s="164"/>
      <c r="Y164" s="164"/>
      <c r="Z164" s="164"/>
      <c r="AA164" s="164"/>
      <c r="AB164" s="164"/>
      <c r="AC164" s="164"/>
      <c r="AD164" s="165" t="str">
        <f t="shared" ref="AD164:AD180" si="4">IF(MIN(F164,J164,N164,R164,V164,Z164)&lt;&gt;0,MIN(F164,J164,N164,R164,V164,Z164),"")</f>
        <v/>
      </c>
      <c r="AE164" s="165" t="str">
        <f t="shared" ref="AE164:AE180" si="5">IF(MIN(H164,L164,P164,T164,X164,AB164)&lt;&gt;0,MIN(H164,L164,P164,T164,X164,AB164),"")</f>
        <v/>
      </c>
      <c r="AF164" s="165"/>
      <c r="AG164" s="164"/>
      <c r="AH164" s="165"/>
      <c r="AI164" s="164"/>
      <c r="AJ164" s="163" t="str">
        <f t="shared" ref="AJ164:AJ180" si="6">IF(AD164="","",IF(ISBLANK(AF164),"En cours",AD164+AF164))</f>
        <v/>
      </c>
      <c r="AK164" s="163" t="str">
        <f t="shared" ref="AK164:AK180" si="7">IF(AE164="","",IF(ISBLANK(AH164),"En cours",AE164+AH164))</f>
        <v/>
      </c>
    </row>
    <row r="165" spans="2:37" ht="21" x14ac:dyDescent="0.35">
      <c r="B165" s="164"/>
      <c r="C165" s="164"/>
      <c r="D165" s="164"/>
      <c r="E165" s="164"/>
      <c r="F165" s="164"/>
      <c r="G165" s="164"/>
      <c r="H165" s="164"/>
      <c r="I165" s="164"/>
      <c r="J165" s="164"/>
      <c r="K165" s="164"/>
      <c r="L165" s="164"/>
      <c r="M165" s="164"/>
      <c r="N165" s="164"/>
      <c r="O165" s="164"/>
      <c r="P165" s="164"/>
      <c r="Q165" s="164"/>
      <c r="R165" s="164"/>
      <c r="S165" s="164"/>
      <c r="T165" s="164"/>
      <c r="U165" s="164"/>
      <c r="V165" s="164"/>
      <c r="W165" s="164"/>
      <c r="X165" s="164"/>
      <c r="Y165" s="164"/>
      <c r="Z165" s="164"/>
      <c r="AA165" s="164"/>
      <c r="AB165" s="164"/>
      <c r="AC165" s="164"/>
      <c r="AD165" s="165" t="str">
        <f t="shared" si="4"/>
        <v/>
      </c>
      <c r="AE165" s="165" t="str">
        <f t="shared" si="5"/>
        <v/>
      </c>
      <c r="AF165" s="165"/>
      <c r="AG165" s="164"/>
      <c r="AH165" s="165"/>
      <c r="AI165" s="164"/>
      <c r="AJ165" s="163" t="str">
        <f t="shared" si="6"/>
        <v/>
      </c>
      <c r="AK165" s="163" t="str">
        <f t="shared" si="7"/>
        <v/>
      </c>
    </row>
    <row r="166" spans="2:37" ht="21" x14ac:dyDescent="0.35">
      <c r="B166" s="164"/>
      <c r="C166" s="164"/>
      <c r="D166" s="164"/>
      <c r="E166" s="164"/>
      <c r="F166" s="164"/>
      <c r="G166" s="164"/>
      <c r="H166" s="164"/>
      <c r="I166" s="164"/>
      <c r="J166" s="164"/>
      <c r="K166" s="164"/>
      <c r="L166" s="164"/>
      <c r="M166" s="164"/>
      <c r="N166" s="164"/>
      <c r="O166" s="164"/>
      <c r="P166" s="164"/>
      <c r="Q166" s="164"/>
      <c r="R166" s="164"/>
      <c r="S166" s="164"/>
      <c r="T166" s="164"/>
      <c r="U166" s="164"/>
      <c r="V166" s="164"/>
      <c r="W166" s="164"/>
      <c r="X166" s="164"/>
      <c r="Y166" s="164"/>
      <c r="Z166" s="164"/>
      <c r="AA166" s="164"/>
      <c r="AB166" s="164"/>
      <c r="AC166" s="164"/>
      <c r="AD166" s="165" t="str">
        <f t="shared" si="4"/>
        <v/>
      </c>
      <c r="AE166" s="165" t="str">
        <f t="shared" si="5"/>
        <v/>
      </c>
      <c r="AF166" s="165"/>
      <c r="AG166" s="164"/>
      <c r="AH166" s="165"/>
      <c r="AI166" s="164"/>
      <c r="AJ166" s="163" t="str">
        <f t="shared" si="6"/>
        <v/>
      </c>
      <c r="AK166" s="163" t="str">
        <f t="shared" si="7"/>
        <v/>
      </c>
    </row>
    <row r="167" spans="2:37" ht="21" x14ac:dyDescent="0.35">
      <c r="B167" s="164"/>
      <c r="C167" s="164"/>
      <c r="D167" s="164"/>
      <c r="E167" s="164"/>
      <c r="F167" s="164"/>
      <c r="G167" s="164"/>
      <c r="H167" s="164"/>
      <c r="I167" s="164"/>
      <c r="J167" s="164"/>
      <c r="K167" s="164"/>
      <c r="L167" s="164"/>
      <c r="M167" s="164"/>
      <c r="N167" s="164"/>
      <c r="O167" s="164"/>
      <c r="P167" s="164"/>
      <c r="Q167" s="164"/>
      <c r="R167" s="164"/>
      <c r="S167" s="164"/>
      <c r="T167" s="164"/>
      <c r="U167" s="164"/>
      <c r="V167" s="164"/>
      <c r="W167" s="164"/>
      <c r="X167" s="164"/>
      <c r="Y167" s="164"/>
      <c r="Z167" s="164"/>
      <c r="AA167" s="164"/>
      <c r="AB167" s="164"/>
      <c r="AC167" s="164"/>
      <c r="AD167" s="165" t="str">
        <f t="shared" si="4"/>
        <v/>
      </c>
      <c r="AE167" s="165" t="str">
        <f t="shared" si="5"/>
        <v/>
      </c>
      <c r="AF167" s="165"/>
      <c r="AG167" s="164"/>
      <c r="AH167" s="165"/>
      <c r="AI167" s="164"/>
      <c r="AJ167" s="163" t="str">
        <f t="shared" si="6"/>
        <v/>
      </c>
      <c r="AK167" s="163" t="str">
        <f t="shared" si="7"/>
        <v/>
      </c>
    </row>
    <row r="168" spans="2:37" ht="21" x14ac:dyDescent="0.35">
      <c r="B168" s="164"/>
      <c r="C168" s="164"/>
      <c r="D168" s="164"/>
      <c r="E168" s="164"/>
      <c r="F168" s="164"/>
      <c r="G168" s="164"/>
      <c r="H168" s="164"/>
      <c r="I168" s="164"/>
      <c r="J168" s="164"/>
      <c r="K168" s="164"/>
      <c r="L168" s="164"/>
      <c r="M168" s="164"/>
      <c r="N168" s="164"/>
      <c r="O168" s="164"/>
      <c r="P168" s="164"/>
      <c r="Q168" s="164"/>
      <c r="R168" s="164"/>
      <c r="S168" s="164"/>
      <c r="T168" s="164"/>
      <c r="U168" s="164"/>
      <c r="V168" s="164"/>
      <c r="W168" s="164"/>
      <c r="X168" s="164"/>
      <c r="Y168" s="164"/>
      <c r="Z168" s="164"/>
      <c r="AA168" s="164"/>
      <c r="AB168" s="164"/>
      <c r="AC168" s="164"/>
      <c r="AD168" s="165" t="str">
        <f t="shared" si="4"/>
        <v/>
      </c>
      <c r="AE168" s="165" t="str">
        <f t="shared" si="5"/>
        <v/>
      </c>
      <c r="AF168" s="165"/>
      <c r="AG168" s="164"/>
      <c r="AH168" s="165"/>
      <c r="AI168" s="164"/>
      <c r="AJ168" s="163" t="str">
        <f t="shared" si="6"/>
        <v/>
      </c>
      <c r="AK168" s="163" t="str">
        <f t="shared" si="7"/>
        <v/>
      </c>
    </row>
    <row r="169" spans="2:37" ht="21" x14ac:dyDescent="0.35">
      <c r="B169" s="164"/>
      <c r="C169" s="164"/>
      <c r="D169" s="164"/>
      <c r="E169" s="164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64"/>
      <c r="S169" s="164"/>
      <c r="T169" s="164"/>
      <c r="U169" s="164"/>
      <c r="V169" s="164"/>
      <c r="W169" s="164"/>
      <c r="X169" s="164"/>
      <c r="Y169" s="164"/>
      <c r="Z169" s="164"/>
      <c r="AA169" s="164"/>
      <c r="AB169" s="164"/>
      <c r="AC169" s="164"/>
      <c r="AD169" s="165" t="str">
        <f t="shared" si="4"/>
        <v/>
      </c>
      <c r="AE169" s="165" t="str">
        <f t="shared" si="5"/>
        <v/>
      </c>
      <c r="AF169" s="165"/>
      <c r="AG169" s="164"/>
      <c r="AH169" s="165"/>
      <c r="AI169" s="164"/>
      <c r="AJ169" s="163" t="str">
        <f t="shared" si="6"/>
        <v/>
      </c>
      <c r="AK169" s="163" t="str">
        <f t="shared" si="7"/>
        <v/>
      </c>
    </row>
    <row r="170" spans="2:37" ht="21" x14ac:dyDescent="0.35">
      <c r="B170" s="164"/>
      <c r="C170" s="164"/>
      <c r="D170" s="164"/>
      <c r="E170" s="164"/>
      <c r="F170" s="164"/>
      <c r="G170" s="164"/>
      <c r="H170" s="164"/>
      <c r="I170" s="164"/>
      <c r="J170" s="164"/>
      <c r="K170" s="164"/>
      <c r="L170" s="164"/>
      <c r="M170" s="164"/>
      <c r="N170" s="164"/>
      <c r="O170" s="164"/>
      <c r="P170" s="164"/>
      <c r="Q170" s="164"/>
      <c r="R170" s="164"/>
      <c r="S170" s="164"/>
      <c r="T170" s="164"/>
      <c r="U170" s="164"/>
      <c r="V170" s="164"/>
      <c r="W170" s="164"/>
      <c r="X170" s="164"/>
      <c r="Y170" s="164"/>
      <c r="Z170" s="164"/>
      <c r="AA170" s="164"/>
      <c r="AB170" s="164"/>
      <c r="AC170" s="164"/>
      <c r="AD170" s="165" t="str">
        <f t="shared" si="4"/>
        <v/>
      </c>
      <c r="AE170" s="165" t="str">
        <f t="shared" si="5"/>
        <v/>
      </c>
      <c r="AF170" s="165"/>
      <c r="AG170" s="164"/>
      <c r="AH170" s="165"/>
      <c r="AI170" s="164"/>
      <c r="AJ170" s="163" t="str">
        <f t="shared" si="6"/>
        <v/>
      </c>
      <c r="AK170" s="163" t="str">
        <f t="shared" si="7"/>
        <v/>
      </c>
    </row>
    <row r="171" spans="2:37" ht="21" x14ac:dyDescent="0.35">
      <c r="B171" s="164"/>
      <c r="C171" s="164"/>
      <c r="D171" s="164"/>
      <c r="E171" s="164"/>
      <c r="F171" s="164"/>
      <c r="G171" s="164"/>
      <c r="H171" s="164"/>
      <c r="I171" s="164"/>
      <c r="J171" s="164"/>
      <c r="K171" s="164"/>
      <c r="L171" s="164"/>
      <c r="M171" s="164"/>
      <c r="N171" s="164"/>
      <c r="O171" s="164"/>
      <c r="P171" s="164"/>
      <c r="Q171" s="164"/>
      <c r="R171" s="164"/>
      <c r="S171" s="164"/>
      <c r="T171" s="164"/>
      <c r="U171" s="164"/>
      <c r="V171" s="164"/>
      <c r="W171" s="164"/>
      <c r="X171" s="164"/>
      <c r="Y171" s="164"/>
      <c r="Z171" s="164"/>
      <c r="AA171" s="164"/>
      <c r="AB171" s="164"/>
      <c r="AC171" s="164"/>
      <c r="AD171" s="165" t="str">
        <f t="shared" si="4"/>
        <v/>
      </c>
      <c r="AE171" s="165" t="str">
        <f t="shared" si="5"/>
        <v/>
      </c>
      <c r="AF171" s="165"/>
      <c r="AG171" s="164"/>
      <c r="AH171" s="165"/>
      <c r="AI171" s="164"/>
      <c r="AJ171" s="163" t="str">
        <f t="shared" si="6"/>
        <v/>
      </c>
      <c r="AK171" s="163" t="str">
        <f t="shared" si="7"/>
        <v/>
      </c>
    </row>
    <row r="172" spans="2:37" ht="21" x14ac:dyDescent="0.35">
      <c r="B172" s="164"/>
      <c r="C172" s="164"/>
      <c r="D172" s="164"/>
      <c r="E172" s="164"/>
      <c r="F172" s="164"/>
      <c r="G172" s="164"/>
      <c r="H172" s="164"/>
      <c r="I172" s="164"/>
      <c r="J172" s="164"/>
      <c r="K172" s="164"/>
      <c r="L172" s="164"/>
      <c r="M172" s="164"/>
      <c r="N172" s="164"/>
      <c r="O172" s="164"/>
      <c r="P172" s="164"/>
      <c r="Q172" s="164"/>
      <c r="R172" s="164"/>
      <c r="S172" s="164"/>
      <c r="T172" s="164"/>
      <c r="U172" s="164"/>
      <c r="V172" s="164"/>
      <c r="W172" s="164"/>
      <c r="X172" s="164"/>
      <c r="Y172" s="164"/>
      <c r="Z172" s="164"/>
      <c r="AA172" s="164"/>
      <c r="AB172" s="164"/>
      <c r="AC172" s="164"/>
      <c r="AD172" s="165" t="str">
        <f t="shared" si="4"/>
        <v/>
      </c>
      <c r="AE172" s="165" t="str">
        <f t="shared" si="5"/>
        <v/>
      </c>
      <c r="AF172" s="165"/>
      <c r="AG172" s="164"/>
      <c r="AH172" s="165"/>
      <c r="AI172" s="164"/>
      <c r="AJ172" s="163" t="str">
        <f t="shared" si="6"/>
        <v/>
      </c>
      <c r="AK172" s="163" t="str">
        <f t="shared" si="7"/>
        <v/>
      </c>
    </row>
    <row r="173" spans="2:37" ht="21" x14ac:dyDescent="0.35">
      <c r="B173" s="164"/>
      <c r="C173" s="164"/>
      <c r="D173" s="164"/>
      <c r="E173" s="164"/>
      <c r="F173" s="164"/>
      <c r="G173" s="164"/>
      <c r="H173" s="164"/>
      <c r="I173" s="164"/>
      <c r="J173" s="164"/>
      <c r="K173" s="164"/>
      <c r="L173" s="164"/>
      <c r="M173" s="164"/>
      <c r="N173" s="164"/>
      <c r="O173" s="164"/>
      <c r="P173" s="164"/>
      <c r="Q173" s="164"/>
      <c r="R173" s="164"/>
      <c r="S173" s="164"/>
      <c r="T173" s="164"/>
      <c r="U173" s="164"/>
      <c r="V173" s="164"/>
      <c r="W173" s="164"/>
      <c r="X173" s="164"/>
      <c r="Y173" s="164"/>
      <c r="Z173" s="164"/>
      <c r="AA173" s="164"/>
      <c r="AB173" s="164"/>
      <c r="AC173" s="164"/>
      <c r="AD173" s="165" t="str">
        <f t="shared" si="4"/>
        <v/>
      </c>
      <c r="AE173" s="165" t="str">
        <f t="shared" si="5"/>
        <v/>
      </c>
      <c r="AF173" s="165"/>
      <c r="AG173" s="164"/>
      <c r="AH173" s="165"/>
      <c r="AI173" s="164"/>
      <c r="AJ173" s="163" t="str">
        <f t="shared" si="6"/>
        <v/>
      </c>
      <c r="AK173" s="163" t="str">
        <f t="shared" si="7"/>
        <v/>
      </c>
    </row>
    <row r="174" spans="2:37" ht="21" x14ac:dyDescent="0.35">
      <c r="B174" s="164"/>
      <c r="C174" s="164"/>
      <c r="D174" s="164"/>
      <c r="E174" s="164"/>
      <c r="F174" s="164"/>
      <c r="G174" s="164"/>
      <c r="H174" s="164"/>
      <c r="I174" s="164"/>
      <c r="J174" s="164"/>
      <c r="K174" s="164"/>
      <c r="L174" s="164"/>
      <c r="M174" s="164"/>
      <c r="N174" s="164"/>
      <c r="O174" s="164"/>
      <c r="P174" s="164"/>
      <c r="Q174" s="164"/>
      <c r="R174" s="164"/>
      <c r="S174" s="164"/>
      <c r="T174" s="164"/>
      <c r="U174" s="164"/>
      <c r="V174" s="164"/>
      <c r="W174" s="164"/>
      <c r="X174" s="164"/>
      <c r="Y174" s="164"/>
      <c r="Z174" s="164"/>
      <c r="AA174" s="164"/>
      <c r="AB174" s="164"/>
      <c r="AC174" s="164"/>
      <c r="AD174" s="165" t="str">
        <f t="shared" si="4"/>
        <v/>
      </c>
      <c r="AE174" s="165" t="str">
        <f t="shared" si="5"/>
        <v/>
      </c>
      <c r="AF174" s="165"/>
      <c r="AG174" s="164"/>
      <c r="AH174" s="165"/>
      <c r="AI174" s="164"/>
      <c r="AJ174" s="163" t="str">
        <f t="shared" si="6"/>
        <v/>
      </c>
      <c r="AK174" s="163" t="str">
        <f t="shared" si="7"/>
        <v/>
      </c>
    </row>
    <row r="175" spans="2:37" ht="21" x14ac:dyDescent="0.35"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4"/>
      <c r="P175" s="164"/>
      <c r="Q175" s="164"/>
      <c r="R175" s="164"/>
      <c r="S175" s="164"/>
      <c r="T175" s="164"/>
      <c r="U175" s="164"/>
      <c r="V175" s="164"/>
      <c r="W175" s="164"/>
      <c r="X175" s="164"/>
      <c r="Y175" s="164"/>
      <c r="Z175" s="164"/>
      <c r="AA175" s="164"/>
      <c r="AB175" s="164"/>
      <c r="AC175" s="164"/>
      <c r="AD175" s="165" t="str">
        <f t="shared" si="4"/>
        <v/>
      </c>
      <c r="AE175" s="165" t="str">
        <f t="shared" si="5"/>
        <v/>
      </c>
      <c r="AF175" s="165"/>
      <c r="AG175" s="164"/>
      <c r="AH175" s="165"/>
      <c r="AI175" s="164"/>
      <c r="AJ175" s="163" t="str">
        <f t="shared" si="6"/>
        <v/>
      </c>
      <c r="AK175" s="163" t="str">
        <f t="shared" si="7"/>
        <v/>
      </c>
    </row>
    <row r="176" spans="2:37" ht="21" x14ac:dyDescent="0.35">
      <c r="B176" s="164"/>
      <c r="C176" s="164"/>
      <c r="D176" s="164"/>
      <c r="E176" s="164"/>
      <c r="F176" s="164"/>
      <c r="G176" s="164"/>
      <c r="H176" s="164"/>
      <c r="I176" s="164"/>
      <c r="J176" s="164"/>
      <c r="K176" s="164"/>
      <c r="L176" s="164"/>
      <c r="M176" s="164"/>
      <c r="N176" s="164"/>
      <c r="O176" s="164"/>
      <c r="P176" s="164"/>
      <c r="Q176" s="164"/>
      <c r="R176" s="164"/>
      <c r="S176" s="164"/>
      <c r="T176" s="164"/>
      <c r="U176" s="164"/>
      <c r="V176" s="164"/>
      <c r="W176" s="164"/>
      <c r="X176" s="164"/>
      <c r="Y176" s="164"/>
      <c r="Z176" s="164"/>
      <c r="AA176" s="164"/>
      <c r="AB176" s="164"/>
      <c r="AC176" s="164"/>
      <c r="AD176" s="165" t="str">
        <f t="shared" si="4"/>
        <v/>
      </c>
      <c r="AE176" s="165" t="str">
        <f t="shared" si="5"/>
        <v/>
      </c>
      <c r="AF176" s="165"/>
      <c r="AG176" s="164"/>
      <c r="AH176" s="165"/>
      <c r="AI176" s="164"/>
      <c r="AJ176" s="163" t="str">
        <f t="shared" si="6"/>
        <v/>
      </c>
      <c r="AK176" s="163" t="str">
        <f t="shared" si="7"/>
        <v/>
      </c>
    </row>
    <row r="177" spans="2:37" ht="21" x14ac:dyDescent="0.35">
      <c r="B177" s="164"/>
      <c r="C177" s="164"/>
      <c r="D177" s="164"/>
      <c r="E177" s="164"/>
      <c r="F177" s="164"/>
      <c r="G177" s="164"/>
      <c r="H177" s="164"/>
      <c r="I177" s="164"/>
      <c r="J177" s="164"/>
      <c r="K177" s="164"/>
      <c r="L177" s="164"/>
      <c r="M177" s="164"/>
      <c r="N177" s="164"/>
      <c r="O177" s="164"/>
      <c r="P177" s="164"/>
      <c r="Q177" s="164"/>
      <c r="R177" s="164"/>
      <c r="S177" s="164"/>
      <c r="T177" s="164"/>
      <c r="U177" s="164"/>
      <c r="V177" s="164"/>
      <c r="W177" s="164"/>
      <c r="X177" s="164"/>
      <c r="Y177" s="164"/>
      <c r="Z177" s="164"/>
      <c r="AA177" s="164"/>
      <c r="AB177" s="164"/>
      <c r="AC177" s="164"/>
      <c r="AD177" s="165" t="str">
        <f t="shared" si="4"/>
        <v/>
      </c>
      <c r="AE177" s="165" t="str">
        <f t="shared" si="5"/>
        <v/>
      </c>
      <c r="AF177" s="165"/>
      <c r="AG177" s="164"/>
      <c r="AH177" s="165"/>
      <c r="AI177" s="164"/>
      <c r="AJ177" s="163" t="str">
        <f t="shared" si="6"/>
        <v/>
      </c>
      <c r="AK177" s="163" t="str">
        <f t="shared" si="7"/>
        <v/>
      </c>
    </row>
    <row r="178" spans="2:37" ht="21" x14ac:dyDescent="0.35">
      <c r="B178" s="164"/>
      <c r="C178" s="164"/>
      <c r="D178" s="164"/>
      <c r="E178" s="164"/>
      <c r="F178" s="164"/>
      <c r="G178" s="164"/>
      <c r="H178" s="164"/>
      <c r="I178" s="164"/>
      <c r="J178" s="164"/>
      <c r="K178" s="164"/>
      <c r="L178" s="164"/>
      <c r="M178" s="164"/>
      <c r="N178" s="164"/>
      <c r="O178" s="164"/>
      <c r="P178" s="164"/>
      <c r="Q178" s="164"/>
      <c r="R178" s="164"/>
      <c r="S178" s="164"/>
      <c r="T178" s="164"/>
      <c r="U178" s="164"/>
      <c r="V178" s="164"/>
      <c r="W178" s="164"/>
      <c r="X178" s="164"/>
      <c r="Y178" s="164"/>
      <c r="Z178" s="164"/>
      <c r="AA178" s="164"/>
      <c r="AB178" s="164"/>
      <c r="AC178" s="164"/>
      <c r="AD178" s="165" t="str">
        <f t="shared" si="4"/>
        <v/>
      </c>
      <c r="AE178" s="165" t="str">
        <f t="shared" si="5"/>
        <v/>
      </c>
      <c r="AF178" s="165"/>
      <c r="AG178" s="164"/>
      <c r="AH178" s="165"/>
      <c r="AI178" s="164"/>
      <c r="AJ178" s="163" t="str">
        <f t="shared" si="6"/>
        <v/>
      </c>
      <c r="AK178" s="163" t="str">
        <f t="shared" si="7"/>
        <v/>
      </c>
    </row>
    <row r="179" spans="2:37" ht="21" x14ac:dyDescent="0.35">
      <c r="B179" s="164"/>
      <c r="C179" s="164"/>
      <c r="D179" s="164"/>
      <c r="E179" s="164"/>
      <c r="F179" s="164"/>
      <c r="G179" s="164"/>
      <c r="H179" s="164"/>
      <c r="I179" s="164"/>
      <c r="J179" s="164"/>
      <c r="K179" s="164"/>
      <c r="L179" s="164"/>
      <c r="M179" s="164"/>
      <c r="N179" s="164"/>
      <c r="O179" s="164"/>
      <c r="P179" s="164"/>
      <c r="Q179" s="164"/>
      <c r="R179" s="164"/>
      <c r="S179" s="164"/>
      <c r="T179" s="164"/>
      <c r="U179" s="164"/>
      <c r="V179" s="164"/>
      <c r="W179" s="164"/>
      <c r="X179" s="164"/>
      <c r="Y179" s="164"/>
      <c r="Z179" s="164"/>
      <c r="AA179" s="164"/>
      <c r="AB179" s="164"/>
      <c r="AC179" s="164"/>
      <c r="AD179" s="165" t="str">
        <f t="shared" si="4"/>
        <v/>
      </c>
      <c r="AE179" s="165" t="str">
        <f t="shared" si="5"/>
        <v/>
      </c>
      <c r="AF179" s="165"/>
      <c r="AG179" s="164"/>
      <c r="AH179" s="165"/>
      <c r="AI179" s="164"/>
      <c r="AJ179" s="163" t="str">
        <f t="shared" si="6"/>
        <v/>
      </c>
      <c r="AK179" s="163" t="str">
        <f t="shared" si="7"/>
        <v/>
      </c>
    </row>
    <row r="180" spans="2:37" ht="21" x14ac:dyDescent="0.35">
      <c r="B180" s="164"/>
      <c r="C180" s="164"/>
      <c r="D180" s="164"/>
      <c r="E180" s="164"/>
      <c r="F180" s="164"/>
      <c r="G180" s="164"/>
      <c r="H180" s="164"/>
      <c r="I180" s="164"/>
      <c r="J180" s="164"/>
      <c r="K180" s="164"/>
      <c r="L180" s="164"/>
      <c r="M180" s="164"/>
      <c r="N180" s="164"/>
      <c r="O180" s="164"/>
      <c r="P180" s="164"/>
      <c r="Q180" s="164"/>
      <c r="R180" s="164"/>
      <c r="S180" s="164"/>
      <c r="T180" s="164"/>
      <c r="U180" s="164"/>
      <c r="V180" s="164"/>
      <c r="W180" s="164"/>
      <c r="X180" s="164"/>
      <c r="Y180" s="164"/>
      <c r="Z180" s="164"/>
      <c r="AA180" s="164"/>
      <c r="AB180" s="164"/>
      <c r="AC180" s="164"/>
      <c r="AD180" s="165" t="str">
        <f t="shared" si="4"/>
        <v/>
      </c>
      <c r="AE180" s="165" t="str">
        <f t="shared" si="5"/>
        <v/>
      </c>
      <c r="AF180" s="165"/>
      <c r="AG180" s="164"/>
      <c r="AH180" s="165"/>
      <c r="AI180" s="164"/>
      <c r="AJ180" s="163" t="str">
        <f t="shared" si="6"/>
        <v/>
      </c>
      <c r="AK180" s="163" t="str">
        <f t="shared" si="7"/>
        <v/>
      </c>
    </row>
    <row r="181" spans="2:37" ht="21" x14ac:dyDescent="0.35">
      <c r="B181" s="146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8" t="str">
        <f t="shared" ref="AD181:AD195" si="8">IF(MIN(F181,J181,N181,R181,V181,Z181)&lt;&gt;0,MIN(F181,J181,N181,R181,V181,Z181),"")</f>
        <v/>
      </c>
      <c r="AE181" s="148" t="str">
        <f t="shared" ref="AE181:AE195" si="9">IF(MIN(H181,L181,P181,T181,X181,AB181)&lt;&gt;0,MIN(H181,L181,P181,T181,X181,AB181),"")</f>
        <v/>
      </c>
      <c r="AF181" s="148"/>
      <c r="AG181" s="147"/>
      <c r="AH181" s="148"/>
      <c r="AI181" s="147"/>
      <c r="AJ181" s="149" t="str">
        <f t="shared" ref="AJ181:AJ195" si="10">IF(AD181="","",IF(ISBLANK(AF181),"En cours",AD181+AF181))</f>
        <v/>
      </c>
      <c r="AK181" s="150" t="str">
        <f t="shared" ref="AK181:AK195" si="11">IF(AE181="","",IF(ISBLANK(AH181),"En cours",AE181+AH181))</f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8"/>
        <v/>
      </c>
      <c r="AE182" s="76" t="str">
        <f t="shared" si="9"/>
        <v/>
      </c>
      <c r="AF182" s="77"/>
      <c r="AG182" s="73"/>
      <c r="AH182" s="77"/>
      <c r="AI182" s="73"/>
      <c r="AJ182" s="78" t="str">
        <f t="shared" si="10"/>
        <v/>
      </c>
      <c r="AK182" s="79" t="str">
        <f t="shared" si="11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8"/>
        <v/>
      </c>
      <c r="AE183" s="76" t="str">
        <f t="shared" si="9"/>
        <v/>
      </c>
      <c r="AF183" s="77"/>
      <c r="AG183" s="73"/>
      <c r="AH183" s="77"/>
      <c r="AI183" s="73"/>
      <c r="AJ183" s="78" t="str">
        <f t="shared" si="10"/>
        <v/>
      </c>
      <c r="AK183" s="79" t="str">
        <f t="shared" si="11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8"/>
        <v/>
      </c>
      <c r="AE184" s="76" t="str">
        <f t="shared" si="9"/>
        <v/>
      </c>
      <c r="AF184" s="77"/>
      <c r="AG184" s="73"/>
      <c r="AH184" s="77"/>
      <c r="AI184" s="73"/>
      <c r="AJ184" s="78" t="str">
        <f t="shared" si="10"/>
        <v/>
      </c>
      <c r="AK184" s="79" t="str">
        <f t="shared" si="11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8"/>
        <v/>
      </c>
      <c r="AE185" s="76" t="str">
        <f t="shared" si="9"/>
        <v/>
      </c>
      <c r="AF185" s="77"/>
      <c r="AG185" s="73"/>
      <c r="AH185" s="77"/>
      <c r="AI185" s="73"/>
      <c r="AJ185" s="78" t="str">
        <f t="shared" si="10"/>
        <v/>
      </c>
      <c r="AK185" s="79" t="str">
        <f t="shared" si="11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8"/>
        <v/>
      </c>
      <c r="AE186" s="76" t="str">
        <f t="shared" si="9"/>
        <v/>
      </c>
      <c r="AF186" s="77"/>
      <c r="AG186" s="73"/>
      <c r="AH186" s="77"/>
      <c r="AI186" s="73"/>
      <c r="AJ186" s="78" t="str">
        <f t="shared" si="10"/>
        <v/>
      </c>
      <c r="AK186" s="79" t="str">
        <f t="shared" si="11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8"/>
        <v/>
      </c>
      <c r="AE187" s="76" t="str">
        <f t="shared" si="9"/>
        <v/>
      </c>
      <c r="AF187" s="77"/>
      <c r="AG187" s="73"/>
      <c r="AH187" s="77"/>
      <c r="AI187" s="73"/>
      <c r="AJ187" s="78" t="str">
        <f t="shared" si="10"/>
        <v/>
      </c>
      <c r="AK187" s="79" t="str">
        <f t="shared" si="11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8"/>
        <v/>
      </c>
      <c r="AE188" s="76" t="str">
        <f t="shared" si="9"/>
        <v/>
      </c>
      <c r="AF188" s="77"/>
      <c r="AG188" s="73"/>
      <c r="AH188" s="77"/>
      <c r="AI188" s="73"/>
      <c r="AJ188" s="78" t="str">
        <f t="shared" si="10"/>
        <v/>
      </c>
      <c r="AK188" s="79" t="str">
        <f t="shared" si="11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8"/>
        <v/>
      </c>
      <c r="AE189" s="76" t="str">
        <f t="shared" si="9"/>
        <v/>
      </c>
      <c r="AF189" s="77"/>
      <c r="AG189" s="73"/>
      <c r="AH189" s="77"/>
      <c r="AI189" s="73"/>
      <c r="AJ189" s="78" t="str">
        <f t="shared" si="10"/>
        <v/>
      </c>
      <c r="AK189" s="79" t="str">
        <f t="shared" si="11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8"/>
        <v/>
      </c>
      <c r="AE190" s="76" t="str">
        <f t="shared" si="9"/>
        <v/>
      </c>
      <c r="AF190" s="77"/>
      <c r="AG190" s="73"/>
      <c r="AH190" s="77"/>
      <c r="AI190" s="73"/>
      <c r="AJ190" s="78" t="str">
        <f t="shared" si="10"/>
        <v/>
      </c>
      <c r="AK190" s="79" t="str">
        <f t="shared" si="11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8"/>
        <v/>
      </c>
      <c r="AE191" s="76" t="str">
        <f t="shared" si="9"/>
        <v/>
      </c>
      <c r="AF191" s="77"/>
      <c r="AG191" s="73"/>
      <c r="AH191" s="77"/>
      <c r="AI191" s="73"/>
      <c r="AJ191" s="78" t="str">
        <f t="shared" si="10"/>
        <v/>
      </c>
      <c r="AK191" s="79" t="str">
        <f t="shared" si="11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8"/>
        <v/>
      </c>
      <c r="AE192" s="76" t="str">
        <f t="shared" si="9"/>
        <v/>
      </c>
      <c r="AF192" s="77"/>
      <c r="AG192" s="73"/>
      <c r="AH192" s="77"/>
      <c r="AI192" s="73"/>
      <c r="AJ192" s="78" t="str">
        <f t="shared" si="10"/>
        <v/>
      </c>
      <c r="AK192" s="79" t="str">
        <f t="shared" si="11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8"/>
        <v/>
      </c>
      <c r="AE193" s="76" t="str">
        <f t="shared" si="9"/>
        <v/>
      </c>
      <c r="AF193" s="77"/>
      <c r="AG193" s="73"/>
      <c r="AH193" s="77"/>
      <c r="AI193" s="73"/>
      <c r="AJ193" s="78" t="str">
        <f t="shared" si="10"/>
        <v/>
      </c>
      <c r="AK193" s="79" t="str">
        <f t="shared" si="11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8"/>
        <v/>
      </c>
      <c r="AE194" s="76" t="str">
        <f t="shared" si="9"/>
        <v/>
      </c>
      <c r="AF194" s="77"/>
      <c r="AG194" s="73"/>
      <c r="AH194" s="77"/>
      <c r="AI194" s="73"/>
      <c r="AJ194" s="78" t="str">
        <f t="shared" si="10"/>
        <v/>
      </c>
      <c r="AK194" s="79" t="str">
        <f t="shared" si="11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8"/>
        <v/>
      </c>
      <c r="AE195" s="76" t="str">
        <f t="shared" si="9"/>
        <v/>
      </c>
      <c r="AF195" s="77"/>
      <c r="AG195" s="73"/>
      <c r="AH195" s="77"/>
      <c r="AI195" s="73"/>
      <c r="AJ195" s="78" t="str">
        <f t="shared" si="10"/>
        <v/>
      </c>
      <c r="AK195" s="79" t="str">
        <f t="shared" si="11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12">IF(MIN(F196,J196,N196,R196,V196,Z196)&lt;&gt;0,MIN(F196,J196,N196,R196,V196,Z196),"")</f>
        <v/>
      </c>
      <c r="AE196" s="76" t="str">
        <f t="shared" ref="AE196:AE259" si="13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4">IF(AD196="","",IF(ISBLANK(AF196),"En cours",AD196+AF196))</f>
        <v/>
      </c>
      <c r="AK196" s="79" t="str">
        <f t="shared" ref="AK196:AK259" si="15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12"/>
        <v/>
      </c>
      <c r="AE197" s="76" t="str">
        <f t="shared" si="13"/>
        <v/>
      </c>
      <c r="AF197" s="77"/>
      <c r="AG197" s="73"/>
      <c r="AH197" s="77"/>
      <c r="AI197" s="73"/>
      <c r="AJ197" s="78" t="str">
        <f t="shared" si="14"/>
        <v/>
      </c>
      <c r="AK197" s="79" t="str">
        <f t="shared" si="15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12"/>
        <v/>
      </c>
      <c r="AE198" s="76" t="str">
        <f t="shared" si="13"/>
        <v/>
      </c>
      <c r="AF198" s="77"/>
      <c r="AG198" s="73"/>
      <c r="AH198" s="77"/>
      <c r="AI198" s="73"/>
      <c r="AJ198" s="78" t="str">
        <f t="shared" si="14"/>
        <v/>
      </c>
      <c r="AK198" s="79" t="str">
        <f t="shared" si="15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12"/>
        <v/>
      </c>
      <c r="AE199" s="76" t="str">
        <f t="shared" si="13"/>
        <v/>
      </c>
      <c r="AF199" s="77"/>
      <c r="AG199" s="73"/>
      <c r="AH199" s="77"/>
      <c r="AI199" s="73"/>
      <c r="AJ199" s="78" t="str">
        <f t="shared" si="14"/>
        <v/>
      </c>
      <c r="AK199" s="79" t="str">
        <f t="shared" si="15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12"/>
        <v/>
      </c>
      <c r="AE200" s="76" t="str">
        <f t="shared" si="13"/>
        <v/>
      </c>
      <c r="AF200" s="77"/>
      <c r="AG200" s="73"/>
      <c r="AH200" s="77"/>
      <c r="AI200" s="73"/>
      <c r="AJ200" s="78" t="str">
        <f t="shared" si="14"/>
        <v/>
      </c>
      <c r="AK200" s="79" t="str">
        <f t="shared" si="15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12"/>
        <v/>
      </c>
      <c r="AE201" s="76" t="str">
        <f t="shared" si="13"/>
        <v/>
      </c>
      <c r="AF201" s="77"/>
      <c r="AG201" s="73"/>
      <c r="AH201" s="77"/>
      <c r="AI201" s="73"/>
      <c r="AJ201" s="78" t="str">
        <f t="shared" si="14"/>
        <v/>
      </c>
      <c r="AK201" s="79" t="str">
        <f t="shared" si="15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12"/>
        <v/>
      </c>
      <c r="AE202" s="76" t="str">
        <f t="shared" si="13"/>
        <v/>
      </c>
      <c r="AF202" s="77"/>
      <c r="AG202" s="73"/>
      <c r="AH202" s="77"/>
      <c r="AI202" s="73"/>
      <c r="AJ202" s="78" t="str">
        <f t="shared" si="14"/>
        <v/>
      </c>
      <c r="AK202" s="79" t="str">
        <f t="shared" si="15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12"/>
        <v/>
      </c>
      <c r="AE203" s="76" t="str">
        <f t="shared" si="13"/>
        <v/>
      </c>
      <c r="AF203" s="77"/>
      <c r="AG203" s="73"/>
      <c r="AH203" s="77"/>
      <c r="AI203" s="73"/>
      <c r="AJ203" s="78" t="str">
        <f t="shared" si="14"/>
        <v/>
      </c>
      <c r="AK203" s="79" t="str">
        <f t="shared" si="15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12"/>
        <v/>
      </c>
      <c r="AE204" s="76" t="str">
        <f t="shared" si="13"/>
        <v/>
      </c>
      <c r="AF204" s="77"/>
      <c r="AG204" s="73"/>
      <c r="AH204" s="77"/>
      <c r="AI204" s="73"/>
      <c r="AJ204" s="78" t="str">
        <f t="shared" si="14"/>
        <v/>
      </c>
      <c r="AK204" s="79" t="str">
        <f t="shared" si="15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12"/>
        <v/>
      </c>
      <c r="AE205" s="76" t="str">
        <f t="shared" si="13"/>
        <v/>
      </c>
      <c r="AF205" s="77"/>
      <c r="AG205" s="73"/>
      <c r="AH205" s="77"/>
      <c r="AI205" s="73"/>
      <c r="AJ205" s="78" t="str">
        <f t="shared" si="14"/>
        <v/>
      </c>
      <c r="AK205" s="79" t="str">
        <f t="shared" si="15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12"/>
        <v/>
      </c>
      <c r="AE206" s="76" t="str">
        <f t="shared" si="13"/>
        <v/>
      </c>
      <c r="AF206" s="77"/>
      <c r="AG206" s="73"/>
      <c r="AH206" s="77"/>
      <c r="AI206" s="73"/>
      <c r="AJ206" s="78" t="str">
        <f t="shared" si="14"/>
        <v/>
      </c>
      <c r="AK206" s="79" t="str">
        <f t="shared" si="15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12"/>
        <v/>
      </c>
      <c r="AE207" s="76" t="str">
        <f t="shared" si="13"/>
        <v/>
      </c>
      <c r="AF207" s="77"/>
      <c r="AG207" s="73"/>
      <c r="AH207" s="77"/>
      <c r="AI207" s="73"/>
      <c r="AJ207" s="78" t="str">
        <f t="shared" si="14"/>
        <v/>
      </c>
      <c r="AK207" s="79" t="str">
        <f t="shared" si="15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12"/>
        <v/>
      </c>
      <c r="AE208" s="76" t="str">
        <f t="shared" si="13"/>
        <v/>
      </c>
      <c r="AF208" s="77"/>
      <c r="AG208" s="73"/>
      <c r="AH208" s="77"/>
      <c r="AI208" s="73"/>
      <c r="AJ208" s="78" t="str">
        <f t="shared" si="14"/>
        <v/>
      </c>
      <c r="AK208" s="79" t="str">
        <f t="shared" si="15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12"/>
        <v/>
      </c>
      <c r="AE209" s="76" t="str">
        <f t="shared" si="13"/>
        <v/>
      </c>
      <c r="AF209" s="77"/>
      <c r="AG209" s="73"/>
      <c r="AH209" s="77"/>
      <c r="AI209" s="73"/>
      <c r="AJ209" s="78" t="str">
        <f t="shared" si="14"/>
        <v/>
      </c>
      <c r="AK209" s="79" t="str">
        <f t="shared" si="15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12"/>
        <v/>
      </c>
      <c r="AE210" s="76" t="str">
        <f t="shared" si="13"/>
        <v/>
      </c>
      <c r="AF210" s="77"/>
      <c r="AG210" s="73"/>
      <c r="AH210" s="77"/>
      <c r="AI210" s="73"/>
      <c r="AJ210" s="78" t="str">
        <f t="shared" si="14"/>
        <v/>
      </c>
      <c r="AK210" s="79" t="str">
        <f t="shared" si="15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12"/>
        <v/>
      </c>
      <c r="AE211" s="76" t="str">
        <f t="shared" si="13"/>
        <v/>
      </c>
      <c r="AF211" s="77"/>
      <c r="AG211" s="73"/>
      <c r="AH211" s="77"/>
      <c r="AI211" s="73"/>
      <c r="AJ211" s="78" t="str">
        <f t="shared" si="14"/>
        <v/>
      </c>
      <c r="AK211" s="79" t="str">
        <f t="shared" si="15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12"/>
        <v/>
      </c>
      <c r="AE212" s="76" t="str">
        <f t="shared" si="13"/>
        <v/>
      </c>
      <c r="AF212" s="77"/>
      <c r="AG212" s="73"/>
      <c r="AH212" s="77"/>
      <c r="AI212" s="73"/>
      <c r="AJ212" s="78" t="str">
        <f t="shared" si="14"/>
        <v/>
      </c>
      <c r="AK212" s="79" t="str">
        <f t="shared" si="15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12"/>
        <v/>
      </c>
      <c r="AE213" s="76" t="str">
        <f t="shared" si="13"/>
        <v/>
      </c>
      <c r="AF213" s="77"/>
      <c r="AG213" s="73"/>
      <c r="AH213" s="77"/>
      <c r="AI213" s="73"/>
      <c r="AJ213" s="78" t="str">
        <f t="shared" si="14"/>
        <v/>
      </c>
      <c r="AK213" s="79" t="str">
        <f t="shared" si="15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12"/>
        <v/>
      </c>
      <c r="AE214" s="76" t="str">
        <f t="shared" si="13"/>
        <v/>
      </c>
      <c r="AF214" s="77"/>
      <c r="AG214" s="73"/>
      <c r="AH214" s="77"/>
      <c r="AI214" s="73"/>
      <c r="AJ214" s="78" t="str">
        <f t="shared" si="14"/>
        <v/>
      </c>
      <c r="AK214" s="79" t="str">
        <f t="shared" si="15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12"/>
        <v/>
      </c>
      <c r="AE215" s="76" t="str">
        <f t="shared" si="13"/>
        <v/>
      </c>
      <c r="AF215" s="77"/>
      <c r="AG215" s="73"/>
      <c r="AH215" s="77"/>
      <c r="AI215" s="73"/>
      <c r="AJ215" s="78" t="str">
        <f t="shared" si="14"/>
        <v/>
      </c>
      <c r="AK215" s="79" t="str">
        <f t="shared" si="15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12"/>
        <v/>
      </c>
      <c r="AE216" s="76" t="str">
        <f t="shared" si="13"/>
        <v/>
      </c>
      <c r="AF216" s="77"/>
      <c r="AG216" s="73"/>
      <c r="AH216" s="77"/>
      <c r="AI216" s="73"/>
      <c r="AJ216" s="78" t="str">
        <f t="shared" si="14"/>
        <v/>
      </c>
      <c r="AK216" s="79" t="str">
        <f t="shared" si="15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12"/>
        <v/>
      </c>
      <c r="AE217" s="76" t="str">
        <f t="shared" si="13"/>
        <v/>
      </c>
      <c r="AF217" s="77"/>
      <c r="AG217" s="73"/>
      <c r="AH217" s="77"/>
      <c r="AI217" s="73"/>
      <c r="AJ217" s="78" t="str">
        <f t="shared" si="14"/>
        <v/>
      </c>
      <c r="AK217" s="79" t="str">
        <f t="shared" si="15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12"/>
        <v/>
      </c>
      <c r="AE218" s="76" t="str">
        <f t="shared" si="13"/>
        <v/>
      </c>
      <c r="AF218" s="77"/>
      <c r="AG218" s="73"/>
      <c r="AH218" s="77"/>
      <c r="AI218" s="73"/>
      <c r="AJ218" s="78" t="str">
        <f t="shared" si="14"/>
        <v/>
      </c>
      <c r="AK218" s="79" t="str">
        <f t="shared" si="15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12"/>
        <v/>
      </c>
      <c r="AE219" s="76" t="str">
        <f t="shared" si="13"/>
        <v/>
      </c>
      <c r="AF219" s="77"/>
      <c r="AG219" s="73"/>
      <c r="AH219" s="77"/>
      <c r="AI219" s="73"/>
      <c r="AJ219" s="78" t="str">
        <f t="shared" si="14"/>
        <v/>
      </c>
      <c r="AK219" s="79" t="str">
        <f t="shared" si="15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12"/>
        <v/>
      </c>
      <c r="AE220" s="76" t="str">
        <f t="shared" si="13"/>
        <v/>
      </c>
      <c r="AF220" s="77"/>
      <c r="AG220" s="73"/>
      <c r="AH220" s="77"/>
      <c r="AI220" s="73"/>
      <c r="AJ220" s="78" t="str">
        <f t="shared" si="14"/>
        <v/>
      </c>
      <c r="AK220" s="79" t="str">
        <f t="shared" si="15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12"/>
        <v/>
      </c>
      <c r="AE221" s="76" t="str">
        <f t="shared" si="13"/>
        <v/>
      </c>
      <c r="AF221" s="77"/>
      <c r="AG221" s="73"/>
      <c r="AH221" s="77"/>
      <c r="AI221" s="73"/>
      <c r="AJ221" s="78" t="str">
        <f t="shared" si="14"/>
        <v/>
      </c>
      <c r="AK221" s="79" t="str">
        <f t="shared" si="15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12"/>
        <v/>
      </c>
      <c r="AE222" s="76" t="str">
        <f t="shared" si="13"/>
        <v/>
      </c>
      <c r="AF222" s="77"/>
      <c r="AG222" s="73"/>
      <c r="AH222" s="77"/>
      <c r="AI222" s="73"/>
      <c r="AJ222" s="78" t="str">
        <f t="shared" si="14"/>
        <v/>
      </c>
      <c r="AK222" s="79" t="str">
        <f t="shared" si="15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12"/>
        <v/>
      </c>
      <c r="AE223" s="76" t="str">
        <f t="shared" si="13"/>
        <v/>
      </c>
      <c r="AF223" s="77"/>
      <c r="AG223" s="73"/>
      <c r="AH223" s="77"/>
      <c r="AI223" s="73"/>
      <c r="AJ223" s="78" t="str">
        <f t="shared" si="14"/>
        <v/>
      </c>
      <c r="AK223" s="79" t="str">
        <f t="shared" si="15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12"/>
        <v/>
      </c>
      <c r="AE224" s="76" t="str">
        <f t="shared" si="13"/>
        <v/>
      </c>
      <c r="AF224" s="77"/>
      <c r="AG224" s="73"/>
      <c r="AH224" s="77"/>
      <c r="AI224" s="73"/>
      <c r="AJ224" s="78" t="str">
        <f t="shared" si="14"/>
        <v/>
      </c>
      <c r="AK224" s="79" t="str">
        <f t="shared" si="15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12"/>
        <v/>
      </c>
      <c r="AE225" s="76" t="str">
        <f t="shared" si="13"/>
        <v/>
      </c>
      <c r="AF225" s="77"/>
      <c r="AG225" s="73"/>
      <c r="AH225" s="77"/>
      <c r="AI225" s="73"/>
      <c r="AJ225" s="78" t="str">
        <f t="shared" si="14"/>
        <v/>
      </c>
      <c r="AK225" s="79" t="str">
        <f t="shared" si="15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12"/>
        <v/>
      </c>
      <c r="AE226" s="76" t="str">
        <f t="shared" si="13"/>
        <v/>
      </c>
      <c r="AF226" s="77"/>
      <c r="AG226" s="73"/>
      <c r="AH226" s="77"/>
      <c r="AI226" s="73"/>
      <c r="AJ226" s="78" t="str">
        <f t="shared" si="14"/>
        <v/>
      </c>
      <c r="AK226" s="79" t="str">
        <f t="shared" si="15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12"/>
        <v/>
      </c>
      <c r="AE227" s="76" t="str">
        <f t="shared" si="13"/>
        <v/>
      </c>
      <c r="AF227" s="77"/>
      <c r="AG227" s="73"/>
      <c r="AH227" s="77"/>
      <c r="AI227" s="73"/>
      <c r="AJ227" s="78" t="str">
        <f t="shared" si="14"/>
        <v/>
      </c>
      <c r="AK227" s="79" t="str">
        <f t="shared" si="15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12"/>
        <v/>
      </c>
      <c r="AE228" s="76" t="str">
        <f t="shared" si="13"/>
        <v/>
      </c>
      <c r="AF228" s="77"/>
      <c r="AG228" s="73"/>
      <c r="AH228" s="77"/>
      <c r="AI228" s="73"/>
      <c r="AJ228" s="78" t="str">
        <f t="shared" si="14"/>
        <v/>
      </c>
      <c r="AK228" s="79" t="str">
        <f t="shared" si="15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12"/>
        <v/>
      </c>
      <c r="AE229" s="76" t="str">
        <f t="shared" si="13"/>
        <v/>
      </c>
      <c r="AF229" s="77"/>
      <c r="AG229" s="73"/>
      <c r="AH229" s="77"/>
      <c r="AI229" s="73"/>
      <c r="AJ229" s="78" t="str">
        <f t="shared" si="14"/>
        <v/>
      </c>
      <c r="AK229" s="79" t="str">
        <f t="shared" si="15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12"/>
        <v/>
      </c>
      <c r="AE230" s="76" t="str">
        <f t="shared" si="13"/>
        <v/>
      </c>
      <c r="AF230" s="77"/>
      <c r="AG230" s="73"/>
      <c r="AH230" s="77"/>
      <c r="AI230" s="73"/>
      <c r="AJ230" s="78" t="str">
        <f t="shared" si="14"/>
        <v/>
      </c>
      <c r="AK230" s="79" t="str">
        <f t="shared" si="15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12"/>
        <v/>
      </c>
      <c r="AE231" s="76" t="str">
        <f t="shared" si="13"/>
        <v/>
      </c>
      <c r="AF231" s="77"/>
      <c r="AG231" s="73"/>
      <c r="AH231" s="77"/>
      <c r="AI231" s="73"/>
      <c r="AJ231" s="78" t="str">
        <f t="shared" si="14"/>
        <v/>
      </c>
      <c r="AK231" s="79" t="str">
        <f t="shared" si="15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12"/>
        <v/>
      </c>
      <c r="AE232" s="76" t="str">
        <f t="shared" si="13"/>
        <v/>
      </c>
      <c r="AF232" s="77"/>
      <c r="AG232" s="73"/>
      <c r="AH232" s="77"/>
      <c r="AI232" s="73"/>
      <c r="AJ232" s="78" t="str">
        <f t="shared" si="14"/>
        <v/>
      </c>
      <c r="AK232" s="79" t="str">
        <f t="shared" si="15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12"/>
        <v/>
      </c>
      <c r="AE233" s="76" t="str">
        <f t="shared" si="13"/>
        <v/>
      </c>
      <c r="AF233" s="77"/>
      <c r="AG233" s="73"/>
      <c r="AH233" s="77"/>
      <c r="AI233" s="73"/>
      <c r="AJ233" s="78" t="str">
        <f t="shared" si="14"/>
        <v/>
      </c>
      <c r="AK233" s="79" t="str">
        <f t="shared" si="15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12"/>
        <v/>
      </c>
      <c r="AE234" s="76" t="str">
        <f t="shared" si="13"/>
        <v/>
      </c>
      <c r="AF234" s="77"/>
      <c r="AG234" s="73"/>
      <c r="AH234" s="77"/>
      <c r="AI234" s="73"/>
      <c r="AJ234" s="78" t="str">
        <f t="shared" si="14"/>
        <v/>
      </c>
      <c r="AK234" s="79" t="str">
        <f t="shared" si="15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12"/>
        <v/>
      </c>
      <c r="AE235" s="76" t="str">
        <f t="shared" si="13"/>
        <v/>
      </c>
      <c r="AF235" s="77"/>
      <c r="AG235" s="73"/>
      <c r="AH235" s="77"/>
      <c r="AI235" s="73"/>
      <c r="AJ235" s="78" t="str">
        <f t="shared" si="14"/>
        <v/>
      </c>
      <c r="AK235" s="79" t="str">
        <f t="shared" si="15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12"/>
        <v/>
      </c>
      <c r="AE236" s="76" t="str">
        <f t="shared" si="13"/>
        <v/>
      </c>
      <c r="AF236" s="77"/>
      <c r="AG236" s="73"/>
      <c r="AH236" s="77"/>
      <c r="AI236" s="73"/>
      <c r="AJ236" s="78" t="str">
        <f t="shared" si="14"/>
        <v/>
      </c>
      <c r="AK236" s="79" t="str">
        <f t="shared" si="15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12"/>
        <v/>
      </c>
      <c r="AE237" s="76" t="str">
        <f t="shared" si="13"/>
        <v/>
      </c>
      <c r="AF237" s="77"/>
      <c r="AG237" s="73"/>
      <c r="AH237" s="77"/>
      <c r="AI237" s="73"/>
      <c r="AJ237" s="78" t="str">
        <f t="shared" si="14"/>
        <v/>
      </c>
      <c r="AK237" s="79" t="str">
        <f t="shared" si="15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12"/>
        <v/>
      </c>
      <c r="AE238" s="76" t="str">
        <f t="shared" si="13"/>
        <v/>
      </c>
      <c r="AF238" s="77"/>
      <c r="AG238" s="73"/>
      <c r="AH238" s="77"/>
      <c r="AI238" s="73"/>
      <c r="AJ238" s="78" t="str">
        <f t="shared" si="14"/>
        <v/>
      </c>
      <c r="AK238" s="79" t="str">
        <f t="shared" si="15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12"/>
        <v/>
      </c>
      <c r="AE239" s="76" t="str">
        <f t="shared" si="13"/>
        <v/>
      </c>
      <c r="AF239" s="77"/>
      <c r="AG239" s="73"/>
      <c r="AH239" s="77"/>
      <c r="AI239" s="73"/>
      <c r="AJ239" s="78" t="str">
        <f t="shared" si="14"/>
        <v/>
      </c>
      <c r="AK239" s="79" t="str">
        <f t="shared" si="15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12"/>
        <v/>
      </c>
      <c r="AE240" s="76" t="str">
        <f t="shared" si="13"/>
        <v/>
      </c>
      <c r="AF240" s="77"/>
      <c r="AG240" s="73"/>
      <c r="AH240" s="77"/>
      <c r="AI240" s="73"/>
      <c r="AJ240" s="78" t="str">
        <f t="shared" si="14"/>
        <v/>
      </c>
      <c r="AK240" s="79" t="str">
        <f t="shared" si="15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12"/>
        <v/>
      </c>
      <c r="AE241" s="76" t="str">
        <f t="shared" si="13"/>
        <v/>
      </c>
      <c r="AF241" s="77"/>
      <c r="AG241" s="73"/>
      <c r="AH241" s="77"/>
      <c r="AI241" s="73"/>
      <c r="AJ241" s="78" t="str">
        <f t="shared" si="14"/>
        <v/>
      </c>
      <c r="AK241" s="79" t="str">
        <f t="shared" si="15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12"/>
        <v/>
      </c>
      <c r="AE242" s="76" t="str">
        <f t="shared" si="13"/>
        <v/>
      </c>
      <c r="AF242" s="77"/>
      <c r="AG242" s="73"/>
      <c r="AH242" s="77"/>
      <c r="AI242" s="73"/>
      <c r="AJ242" s="78" t="str">
        <f t="shared" si="14"/>
        <v/>
      </c>
      <c r="AK242" s="79" t="str">
        <f t="shared" si="15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12"/>
        <v/>
      </c>
      <c r="AE243" s="76" t="str">
        <f t="shared" si="13"/>
        <v/>
      </c>
      <c r="AF243" s="77"/>
      <c r="AG243" s="73"/>
      <c r="AH243" s="77"/>
      <c r="AI243" s="73"/>
      <c r="AJ243" s="78" t="str">
        <f t="shared" si="14"/>
        <v/>
      </c>
      <c r="AK243" s="79" t="str">
        <f t="shared" si="15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12"/>
        <v/>
      </c>
      <c r="AE244" s="76" t="str">
        <f t="shared" si="13"/>
        <v/>
      </c>
      <c r="AF244" s="77"/>
      <c r="AG244" s="73"/>
      <c r="AH244" s="77"/>
      <c r="AI244" s="73"/>
      <c r="AJ244" s="78" t="str">
        <f t="shared" si="14"/>
        <v/>
      </c>
      <c r="AK244" s="79" t="str">
        <f t="shared" si="15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12"/>
        <v/>
      </c>
      <c r="AE245" s="76" t="str">
        <f t="shared" si="13"/>
        <v/>
      </c>
      <c r="AF245" s="77"/>
      <c r="AG245" s="73"/>
      <c r="AH245" s="77"/>
      <c r="AI245" s="73"/>
      <c r="AJ245" s="78" t="str">
        <f t="shared" si="14"/>
        <v/>
      </c>
      <c r="AK245" s="79" t="str">
        <f t="shared" si="15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12"/>
        <v/>
      </c>
      <c r="AE246" s="76" t="str">
        <f t="shared" si="13"/>
        <v/>
      </c>
      <c r="AF246" s="77"/>
      <c r="AG246" s="73"/>
      <c r="AH246" s="77"/>
      <c r="AI246" s="73"/>
      <c r="AJ246" s="78" t="str">
        <f t="shared" si="14"/>
        <v/>
      </c>
      <c r="AK246" s="79" t="str">
        <f t="shared" si="15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12"/>
        <v/>
      </c>
      <c r="AE247" s="76" t="str">
        <f t="shared" si="13"/>
        <v/>
      </c>
      <c r="AF247" s="77"/>
      <c r="AG247" s="73"/>
      <c r="AH247" s="77"/>
      <c r="AI247" s="73"/>
      <c r="AJ247" s="78" t="str">
        <f t="shared" si="14"/>
        <v/>
      </c>
      <c r="AK247" s="79" t="str">
        <f t="shared" si="15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12"/>
        <v/>
      </c>
      <c r="AE248" s="76" t="str">
        <f t="shared" si="13"/>
        <v/>
      </c>
      <c r="AF248" s="77"/>
      <c r="AG248" s="73"/>
      <c r="AH248" s="77"/>
      <c r="AI248" s="73"/>
      <c r="AJ248" s="78" t="str">
        <f t="shared" si="14"/>
        <v/>
      </c>
      <c r="AK248" s="79" t="str">
        <f t="shared" si="15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12"/>
        <v/>
      </c>
      <c r="AE249" s="76" t="str">
        <f t="shared" si="13"/>
        <v/>
      </c>
      <c r="AF249" s="77"/>
      <c r="AG249" s="73"/>
      <c r="AH249" s="77"/>
      <c r="AI249" s="73"/>
      <c r="AJ249" s="78" t="str">
        <f t="shared" si="14"/>
        <v/>
      </c>
      <c r="AK249" s="79" t="str">
        <f t="shared" si="15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12"/>
        <v/>
      </c>
      <c r="AE250" s="76" t="str">
        <f t="shared" si="13"/>
        <v/>
      </c>
      <c r="AF250" s="77"/>
      <c r="AG250" s="73"/>
      <c r="AH250" s="77"/>
      <c r="AI250" s="73"/>
      <c r="AJ250" s="78" t="str">
        <f t="shared" si="14"/>
        <v/>
      </c>
      <c r="AK250" s="79" t="str">
        <f t="shared" si="15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12"/>
        <v/>
      </c>
      <c r="AE251" s="76" t="str">
        <f t="shared" si="13"/>
        <v/>
      </c>
      <c r="AF251" s="77"/>
      <c r="AG251" s="73"/>
      <c r="AH251" s="77"/>
      <c r="AI251" s="73"/>
      <c r="AJ251" s="78" t="str">
        <f t="shared" si="14"/>
        <v/>
      </c>
      <c r="AK251" s="79" t="str">
        <f t="shared" si="15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12"/>
        <v/>
      </c>
      <c r="AE252" s="76" t="str">
        <f t="shared" si="13"/>
        <v/>
      </c>
      <c r="AF252" s="77"/>
      <c r="AG252" s="73"/>
      <c r="AH252" s="77"/>
      <c r="AI252" s="73"/>
      <c r="AJ252" s="78" t="str">
        <f t="shared" si="14"/>
        <v/>
      </c>
      <c r="AK252" s="79" t="str">
        <f t="shared" si="15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12"/>
        <v/>
      </c>
      <c r="AE253" s="76" t="str">
        <f t="shared" si="13"/>
        <v/>
      </c>
      <c r="AF253" s="77"/>
      <c r="AG253" s="73"/>
      <c r="AH253" s="77"/>
      <c r="AI253" s="73"/>
      <c r="AJ253" s="78" t="str">
        <f t="shared" si="14"/>
        <v/>
      </c>
      <c r="AK253" s="79" t="str">
        <f t="shared" si="15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12"/>
        <v/>
      </c>
      <c r="AE254" s="76" t="str">
        <f t="shared" si="13"/>
        <v/>
      </c>
      <c r="AF254" s="77"/>
      <c r="AG254" s="73"/>
      <c r="AH254" s="77"/>
      <c r="AI254" s="73"/>
      <c r="AJ254" s="78" t="str">
        <f t="shared" si="14"/>
        <v/>
      </c>
      <c r="AK254" s="79" t="str">
        <f t="shared" si="15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12"/>
        <v/>
      </c>
      <c r="AE255" s="76" t="str">
        <f t="shared" si="13"/>
        <v/>
      </c>
      <c r="AF255" s="77"/>
      <c r="AG255" s="73"/>
      <c r="AH255" s="77"/>
      <c r="AI255" s="73"/>
      <c r="AJ255" s="78" t="str">
        <f t="shared" si="14"/>
        <v/>
      </c>
      <c r="AK255" s="79" t="str">
        <f t="shared" si="15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12"/>
        <v/>
      </c>
      <c r="AE256" s="76" t="str">
        <f t="shared" si="13"/>
        <v/>
      </c>
      <c r="AF256" s="77"/>
      <c r="AG256" s="73"/>
      <c r="AH256" s="77"/>
      <c r="AI256" s="73"/>
      <c r="AJ256" s="78" t="str">
        <f t="shared" si="14"/>
        <v/>
      </c>
      <c r="AK256" s="79" t="str">
        <f t="shared" si="15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12"/>
        <v/>
      </c>
      <c r="AE257" s="76" t="str">
        <f t="shared" si="13"/>
        <v/>
      </c>
      <c r="AF257" s="77"/>
      <c r="AG257" s="73"/>
      <c r="AH257" s="77"/>
      <c r="AI257" s="73"/>
      <c r="AJ257" s="78" t="str">
        <f t="shared" si="14"/>
        <v/>
      </c>
      <c r="AK257" s="79" t="str">
        <f t="shared" si="15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12"/>
        <v/>
      </c>
      <c r="AE258" s="76" t="str">
        <f t="shared" si="13"/>
        <v/>
      </c>
      <c r="AF258" s="77"/>
      <c r="AG258" s="73"/>
      <c r="AH258" s="77"/>
      <c r="AI258" s="73"/>
      <c r="AJ258" s="78" t="str">
        <f t="shared" si="14"/>
        <v/>
      </c>
      <c r="AK258" s="79" t="str">
        <f t="shared" si="15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12"/>
        <v/>
      </c>
      <c r="AE259" s="76" t="str">
        <f t="shared" si="13"/>
        <v/>
      </c>
      <c r="AF259" s="77"/>
      <c r="AG259" s="73"/>
      <c r="AH259" s="77"/>
      <c r="AI259" s="73"/>
      <c r="AJ259" s="78" t="str">
        <f t="shared" si="14"/>
        <v/>
      </c>
      <c r="AK259" s="79" t="str">
        <f t="shared" si="15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16">IF(MIN(F260,J260,N260,R260,V260,Z260)&lt;&gt;0,MIN(F260,J260,N260,R260,V260,Z260),"")</f>
        <v/>
      </c>
      <c r="AE260" s="76" t="str">
        <f t="shared" ref="AE260:AE323" si="17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18">IF(AD260="","",IF(ISBLANK(AF260),"En cours",AD260+AF260))</f>
        <v/>
      </c>
      <c r="AK260" s="79" t="str">
        <f t="shared" ref="AK260:AK323" si="19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16"/>
        <v/>
      </c>
      <c r="AE261" s="76" t="str">
        <f t="shared" si="17"/>
        <v/>
      </c>
      <c r="AF261" s="77"/>
      <c r="AG261" s="73"/>
      <c r="AH261" s="77"/>
      <c r="AI261" s="73"/>
      <c r="AJ261" s="78" t="str">
        <f t="shared" si="18"/>
        <v/>
      </c>
      <c r="AK261" s="79" t="str">
        <f t="shared" si="19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16"/>
        <v/>
      </c>
      <c r="AE262" s="76" t="str">
        <f t="shared" si="17"/>
        <v/>
      </c>
      <c r="AF262" s="77"/>
      <c r="AG262" s="73"/>
      <c r="AH262" s="77"/>
      <c r="AI262" s="73"/>
      <c r="AJ262" s="78" t="str">
        <f t="shared" si="18"/>
        <v/>
      </c>
      <c r="AK262" s="79" t="str">
        <f t="shared" si="19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16"/>
        <v/>
      </c>
      <c r="AE263" s="76" t="str">
        <f t="shared" si="17"/>
        <v/>
      </c>
      <c r="AF263" s="77"/>
      <c r="AG263" s="73"/>
      <c r="AH263" s="77"/>
      <c r="AI263" s="73"/>
      <c r="AJ263" s="78" t="str">
        <f t="shared" si="18"/>
        <v/>
      </c>
      <c r="AK263" s="79" t="str">
        <f t="shared" si="19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16"/>
        <v/>
      </c>
      <c r="AE264" s="76" t="str">
        <f t="shared" si="17"/>
        <v/>
      </c>
      <c r="AF264" s="77"/>
      <c r="AG264" s="73"/>
      <c r="AH264" s="77"/>
      <c r="AI264" s="73"/>
      <c r="AJ264" s="78" t="str">
        <f t="shared" si="18"/>
        <v/>
      </c>
      <c r="AK264" s="79" t="str">
        <f t="shared" si="19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16"/>
        <v/>
      </c>
      <c r="AE265" s="76" t="str">
        <f t="shared" si="17"/>
        <v/>
      </c>
      <c r="AF265" s="77"/>
      <c r="AG265" s="73"/>
      <c r="AH265" s="77"/>
      <c r="AI265" s="73"/>
      <c r="AJ265" s="78" t="str">
        <f t="shared" si="18"/>
        <v/>
      </c>
      <c r="AK265" s="79" t="str">
        <f t="shared" si="19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16"/>
        <v/>
      </c>
      <c r="AE266" s="76" t="str">
        <f t="shared" si="17"/>
        <v/>
      </c>
      <c r="AF266" s="77"/>
      <c r="AG266" s="73"/>
      <c r="AH266" s="77"/>
      <c r="AI266" s="73"/>
      <c r="AJ266" s="78" t="str">
        <f t="shared" si="18"/>
        <v/>
      </c>
      <c r="AK266" s="79" t="str">
        <f t="shared" si="19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16"/>
        <v/>
      </c>
      <c r="AE267" s="76" t="str">
        <f t="shared" si="17"/>
        <v/>
      </c>
      <c r="AF267" s="77"/>
      <c r="AG267" s="73"/>
      <c r="AH267" s="77"/>
      <c r="AI267" s="73"/>
      <c r="AJ267" s="78" t="str">
        <f t="shared" si="18"/>
        <v/>
      </c>
      <c r="AK267" s="79" t="str">
        <f t="shared" si="19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16"/>
        <v/>
      </c>
      <c r="AE268" s="76" t="str">
        <f t="shared" si="17"/>
        <v/>
      </c>
      <c r="AF268" s="77"/>
      <c r="AG268" s="73"/>
      <c r="AH268" s="77"/>
      <c r="AI268" s="73"/>
      <c r="AJ268" s="78" t="str">
        <f t="shared" si="18"/>
        <v/>
      </c>
      <c r="AK268" s="79" t="str">
        <f t="shared" si="19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16"/>
        <v/>
      </c>
      <c r="AE269" s="76" t="str">
        <f t="shared" si="17"/>
        <v/>
      </c>
      <c r="AF269" s="77"/>
      <c r="AG269" s="73"/>
      <c r="AH269" s="77"/>
      <c r="AI269" s="73"/>
      <c r="AJ269" s="78" t="str">
        <f t="shared" si="18"/>
        <v/>
      </c>
      <c r="AK269" s="79" t="str">
        <f t="shared" si="19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16"/>
        <v/>
      </c>
      <c r="AE270" s="76" t="str">
        <f t="shared" si="17"/>
        <v/>
      </c>
      <c r="AF270" s="77"/>
      <c r="AG270" s="73"/>
      <c r="AH270" s="77"/>
      <c r="AI270" s="73"/>
      <c r="AJ270" s="78" t="str">
        <f t="shared" si="18"/>
        <v/>
      </c>
      <c r="AK270" s="79" t="str">
        <f t="shared" si="19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16"/>
        <v/>
      </c>
      <c r="AE271" s="76" t="str">
        <f t="shared" si="17"/>
        <v/>
      </c>
      <c r="AF271" s="77"/>
      <c r="AG271" s="73"/>
      <c r="AH271" s="77"/>
      <c r="AI271" s="73"/>
      <c r="AJ271" s="78" t="str">
        <f t="shared" si="18"/>
        <v/>
      </c>
      <c r="AK271" s="79" t="str">
        <f t="shared" si="19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16"/>
        <v/>
      </c>
      <c r="AE272" s="76" t="str">
        <f t="shared" si="17"/>
        <v/>
      </c>
      <c r="AF272" s="77"/>
      <c r="AG272" s="73"/>
      <c r="AH272" s="77"/>
      <c r="AI272" s="73"/>
      <c r="AJ272" s="78" t="str">
        <f t="shared" si="18"/>
        <v/>
      </c>
      <c r="AK272" s="79" t="str">
        <f t="shared" si="19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16"/>
        <v/>
      </c>
      <c r="AE273" s="76" t="str">
        <f t="shared" si="17"/>
        <v/>
      </c>
      <c r="AF273" s="77"/>
      <c r="AG273" s="73"/>
      <c r="AH273" s="77"/>
      <c r="AI273" s="73"/>
      <c r="AJ273" s="78" t="str">
        <f t="shared" si="18"/>
        <v/>
      </c>
      <c r="AK273" s="79" t="str">
        <f t="shared" si="19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16"/>
        <v/>
      </c>
      <c r="AE274" s="76" t="str">
        <f t="shared" si="17"/>
        <v/>
      </c>
      <c r="AF274" s="77"/>
      <c r="AG274" s="73"/>
      <c r="AH274" s="77"/>
      <c r="AI274" s="73"/>
      <c r="AJ274" s="78" t="str">
        <f t="shared" si="18"/>
        <v/>
      </c>
      <c r="AK274" s="79" t="str">
        <f t="shared" si="19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16"/>
        <v/>
      </c>
      <c r="AE275" s="76" t="str">
        <f t="shared" si="17"/>
        <v/>
      </c>
      <c r="AF275" s="77"/>
      <c r="AG275" s="73"/>
      <c r="AH275" s="77"/>
      <c r="AI275" s="73"/>
      <c r="AJ275" s="78" t="str">
        <f t="shared" si="18"/>
        <v/>
      </c>
      <c r="AK275" s="79" t="str">
        <f t="shared" si="19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16"/>
        <v/>
      </c>
      <c r="AE276" s="76" t="str">
        <f t="shared" si="17"/>
        <v/>
      </c>
      <c r="AF276" s="77"/>
      <c r="AG276" s="73"/>
      <c r="AH276" s="77"/>
      <c r="AI276" s="73"/>
      <c r="AJ276" s="78" t="str">
        <f t="shared" si="18"/>
        <v/>
      </c>
      <c r="AK276" s="79" t="str">
        <f t="shared" si="19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16"/>
        <v/>
      </c>
      <c r="AE277" s="76" t="str">
        <f t="shared" si="17"/>
        <v/>
      </c>
      <c r="AF277" s="77"/>
      <c r="AG277" s="73"/>
      <c r="AH277" s="77"/>
      <c r="AI277" s="73"/>
      <c r="AJ277" s="78" t="str">
        <f t="shared" si="18"/>
        <v/>
      </c>
      <c r="AK277" s="79" t="str">
        <f t="shared" si="19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16"/>
        <v/>
      </c>
      <c r="AE278" s="76" t="str">
        <f t="shared" si="17"/>
        <v/>
      </c>
      <c r="AF278" s="77"/>
      <c r="AG278" s="73"/>
      <c r="AH278" s="77"/>
      <c r="AI278" s="73"/>
      <c r="AJ278" s="78" t="str">
        <f t="shared" si="18"/>
        <v/>
      </c>
      <c r="AK278" s="79" t="str">
        <f t="shared" si="19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16"/>
        <v/>
      </c>
      <c r="AE279" s="76" t="str">
        <f t="shared" si="17"/>
        <v/>
      </c>
      <c r="AF279" s="77"/>
      <c r="AG279" s="73"/>
      <c r="AH279" s="77"/>
      <c r="AI279" s="73"/>
      <c r="AJ279" s="78" t="str">
        <f t="shared" si="18"/>
        <v/>
      </c>
      <c r="AK279" s="79" t="str">
        <f t="shared" si="19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16"/>
        <v/>
      </c>
      <c r="AE280" s="76" t="str">
        <f t="shared" si="17"/>
        <v/>
      </c>
      <c r="AF280" s="77"/>
      <c r="AG280" s="73"/>
      <c r="AH280" s="77"/>
      <c r="AI280" s="73"/>
      <c r="AJ280" s="78" t="str">
        <f t="shared" si="18"/>
        <v/>
      </c>
      <c r="AK280" s="79" t="str">
        <f t="shared" si="19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16"/>
        <v/>
      </c>
      <c r="AE281" s="76" t="str">
        <f t="shared" si="17"/>
        <v/>
      </c>
      <c r="AF281" s="77"/>
      <c r="AG281" s="73"/>
      <c r="AH281" s="77"/>
      <c r="AI281" s="73"/>
      <c r="AJ281" s="78" t="str">
        <f t="shared" si="18"/>
        <v/>
      </c>
      <c r="AK281" s="79" t="str">
        <f t="shared" si="19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16"/>
        <v/>
      </c>
      <c r="AE282" s="76" t="str">
        <f t="shared" si="17"/>
        <v/>
      </c>
      <c r="AF282" s="77"/>
      <c r="AG282" s="73"/>
      <c r="AH282" s="77"/>
      <c r="AI282" s="73"/>
      <c r="AJ282" s="78" t="str">
        <f t="shared" si="18"/>
        <v/>
      </c>
      <c r="AK282" s="79" t="str">
        <f t="shared" si="19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16"/>
        <v/>
      </c>
      <c r="AE283" s="76" t="str">
        <f t="shared" si="17"/>
        <v/>
      </c>
      <c r="AF283" s="77"/>
      <c r="AG283" s="73"/>
      <c r="AH283" s="77"/>
      <c r="AI283" s="73"/>
      <c r="AJ283" s="78" t="str">
        <f t="shared" si="18"/>
        <v/>
      </c>
      <c r="AK283" s="79" t="str">
        <f t="shared" si="19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16"/>
        <v/>
      </c>
      <c r="AE284" s="76" t="str">
        <f t="shared" si="17"/>
        <v/>
      </c>
      <c r="AF284" s="77"/>
      <c r="AG284" s="73"/>
      <c r="AH284" s="77"/>
      <c r="AI284" s="73"/>
      <c r="AJ284" s="78" t="str">
        <f t="shared" si="18"/>
        <v/>
      </c>
      <c r="AK284" s="79" t="str">
        <f t="shared" si="19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16"/>
        <v/>
      </c>
      <c r="AE285" s="76" t="str">
        <f t="shared" si="17"/>
        <v/>
      </c>
      <c r="AF285" s="77"/>
      <c r="AG285" s="73"/>
      <c r="AH285" s="77"/>
      <c r="AI285" s="73"/>
      <c r="AJ285" s="78" t="str">
        <f t="shared" si="18"/>
        <v/>
      </c>
      <c r="AK285" s="79" t="str">
        <f t="shared" si="19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16"/>
        <v/>
      </c>
      <c r="AE286" s="76" t="str">
        <f t="shared" si="17"/>
        <v/>
      </c>
      <c r="AF286" s="77"/>
      <c r="AG286" s="73"/>
      <c r="AH286" s="77"/>
      <c r="AI286" s="73"/>
      <c r="AJ286" s="78" t="str">
        <f t="shared" si="18"/>
        <v/>
      </c>
      <c r="AK286" s="79" t="str">
        <f t="shared" si="19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16"/>
        <v/>
      </c>
      <c r="AE287" s="76" t="str">
        <f t="shared" si="17"/>
        <v/>
      </c>
      <c r="AF287" s="77"/>
      <c r="AG287" s="73"/>
      <c r="AH287" s="77"/>
      <c r="AI287" s="73"/>
      <c r="AJ287" s="78" t="str">
        <f t="shared" si="18"/>
        <v/>
      </c>
      <c r="AK287" s="79" t="str">
        <f t="shared" si="19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16"/>
        <v/>
      </c>
      <c r="AE288" s="76" t="str">
        <f t="shared" si="17"/>
        <v/>
      </c>
      <c r="AF288" s="77"/>
      <c r="AG288" s="73"/>
      <c r="AH288" s="77"/>
      <c r="AI288" s="73"/>
      <c r="AJ288" s="78" t="str">
        <f t="shared" si="18"/>
        <v/>
      </c>
      <c r="AK288" s="79" t="str">
        <f t="shared" si="19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16"/>
        <v/>
      </c>
      <c r="AE289" s="76" t="str">
        <f t="shared" si="17"/>
        <v/>
      </c>
      <c r="AF289" s="77"/>
      <c r="AG289" s="73"/>
      <c r="AH289" s="77"/>
      <c r="AI289" s="73"/>
      <c r="AJ289" s="78" t="str">
        <f t="shared" si="18"/>
        <v/>
      </c>
      <c r="AK289" s="79" t="str">
        <f t="shared" si="19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16"/>
        <v/>
      </c>
      <c r="AE290" s="76" t="str">
        <f t="shared" si="17"/>
        <v/>
      </c>
      <c r="AF290" s="77"/>
      <c r="AG290" s="73"/>
      <c r="AH290" s="77"/>
      <c r="AI290" s="73"/>
      <c r="AJ290" s="78" t="str">
        <f t="shared" si="18"/>
        <v/>
      </c>
      <c r="AK290" s="79" t="str">
        <f t="shared" si="19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16"/>
        <v/>
      </c>
      <c r="AE291" s="76" t="str">
        <f t="shared" si="17"/>
        <v/>
      </c>
      <c r="AF291" s="77"/>
      <c r="AG291" s="73"/>
      <c r="AH291" s="77"/>
      <c r="AI291" s="73"/>
      <c r="AJ291" s="78" t="str">
        <f t="shared" si="18"/>
        <v/>
      </c>
      <c r="AK291" s="79" t="str">
        <f t="shared" si="19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16"/>
        <v/>
      </c>
      <c r="AE292" s="76" t="str">
        <f t="shared" si="17"/>
        <v/>
      </c>
      <c r="AF292" s="77"/>
      <c r="AG292" s="73"/>
      <c r="AH292" s="77"/>
      <c r="AI292" s="73"/>
      <c r="AJ292" s="78" t="str">
        <f t="shared" si="18"/>
        <v/>
      </c>
      <c r="AK292" s="79" t="str">
        <f t="shared" si="19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16"/>
        <v/>
      </c>
      <c r="AE293" s="76" t="str">
        <f t="shared" si="17"/>
        <v/>
      </c>
      <c r="AF293" s="77"/>
      <c r="AG293" s="73"/>
      <c r="AH293" s="77"/>
      <c r="AI293" s="73"/>
      <c r="AJ293" s="78" t="str">
        <f t="shared" si="18"/>
        <v/>
      </c>
      <c r="AK293" s="79" t="str">
        <f t="shared" si="19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16"/>
        <v/>
      </c>
      <c r="AE294" s="76" t="str">
        <f t="shared" si="17"/>
        <v/>
      </c>
      <c r="AF294" s="77"/>
      <c r="AG294" s="73"/>
      <c r="AH294" s="77"/>
      <c r="AI294" s="73"/>
      <c r="AJ294" s="78" t="str">
        <f t="shared" si="18"/>
        <v/>
      </c>
      <c r="AK294" s="79" t="str">
        <f t="shared" si="19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16"/>
        <v/>
      </c>
      <c r="AE295" s="76" t="str">
        <f t="shared" si="17"/>
        <v/>
      </c>
      <c r="AF295" s="77"/>
      <c r="AG295" s="73"/>
      <c r="AH295" s="77"/>
      <c r="AI295" s="73"/>
      <c r="AJ295" s="78" t="str">
        <f t="shared" si="18"/>
        <v/>
      </c>
      <c r="AK295" s="79" t="str">
        <f t="shared" si="19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16"/>
        <v/>
      </c>
      <c r="AE296" s="76" t="str">
        <f t="shared" si="17"/>
        <v/>
      </c>
      <c r="AF296" s="77"/>
      <c r="AG296" s="73"/>
      <c r="AH296" s="77"/>
      <c r="AI296" s="73"/>
      <c r="AJ296" s="78" t="str">
        <f t="shared" si="18"/>
        <v/>
      </c>
      <c r="AK296" s="79" t="str">
        <f t="shared" si="19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16"/>
        <v/>
      </c>
      <c r="AE297" s="76" t="str">
        <f t="shared" si="17"/>
        <v/>
      </c>
      <c r="AF297" s="77"/>
      <c r="AG297" s="73"/>
      <c r="AH297" s="77"/>
      <c r="AI297" s="73"/>
      <c r="AJ297" s="78" t="str">
        <f t="shared" si="18"/>
        <v/>
      </c>
      <c r="AK297" s="79" t="str">
        <f t="shared" si="19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16"/>
        <v/>
      </c>
      <c r="AE298" s="76" t="str">
        <f t="shared" si="17"/>
        <v/>
      </c>
      <c r="AF298" s="77"/>
      <c r="AG298" s="73"/>
      <c r="AH298" s="77"/>
      <c r="AI298" s="73"/>
      <c r="AJ298" s="78" t="str">
        <f t="shared" si="18"/>
        <v/>
      </c>
      <c r="AK298" s="79" t="str">
        <f t="shared" si="19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16"/>
        <v/>
      </c>
      <c r="AE299" s="76" t="str">
        <f t="shared" si="17"/>
        <v/>
      </c>
      <c r="AF299" s="77"/>
      <c r="AG299" s="73"/>
      <c r="AH299" s="77"/>
      <c r="AI299" s="73"/>
      <c r="AJ299" s="78" t="str">
        <f t="shared" si="18"/>
        <v/>
      </c>
      <c r="AK299" s="79" t="str">
        <f t="shared" si="19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16"/>
        <v/>
      </c>
      <c r="AE300" s="76" t="str">
        <f t="shared" si="17"/>
        <v/>
      </c>
      <c r="AF300" s="77"/>
      <c r="AG300" s="73"/>
      <c r="AH300" s="77"/>
      <c r="AI300" s="73"/>
      <c r="AJ300" s="78" t="str">
        <f t="shared" si="18"/>
        <v/>
      </c>
      <c r="AK300" s="79" t="str">
        <f t="shared" si="19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16"/>
        <v/>
      </c>
      <c r="AE301" s="76" t="str">
        <f t="shared" si="17"/>
        <v/>
      </c>
      <c r="AF301" s="77"/>
      <c r="AG301" s="73"/>
      <c r="AH301" s="77"/>
      <c r="AI301" s="73"/>
      <c r="AJ301" s="78" t="str">
        <f t="shared" si="18"/>
        <v/>
      </c>
      <c r="AK301" s="79" t="str">
        <f t="shared" si="19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16"/>
        <v/>
      </c>
      <c r="AE302" s="76" t="str">
        <f t="shared" si="17"/>
        <v/>
      </c>
      <c r="AF302" s="77"/>
      <c r="AG302" s="73"/>
      <c r="AH302" s="77"/>
      <c r="AI302" s="73"/>
      <c r="AJ302" s="78" t="str">
        <f t="shared" si="18"/>
        <v/>
      </c>
      <c r="AK302" s="79" t="str">
        <f t="shared" si="19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16"/>
        <v/>
      </c>
      <c r="AE303" s="76" t="str">
        <f t="shared" si="17"/>
        <v/>
      </c>
      <c r="AF303" s="77"/>
      <c r="AG303" s="73"/>
      <c r="AH303" s="77"/>
      <c r="AI303" s="73"/>
      <c r="AJ303" s="78" t="str">
        <f t="shared" si="18"/>
        <v/>
      </c>
      <c r="AK303" s="79" t="str">
        <f t="shared" si="19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16"/>
        <v/>
      </c>
      <c r="AE304" s="76" t="str">
        <f t="shared" si="17"/>
        <v/>
      </c>
      <c r="AF304" s="77"/>
      <c r="AG304" s="73"/>
      <c r="AH304" s="77"/>
      <c r="AI304" s="73"/>
      <c r="AJ304" s="78" t="str">
        <f t="shared" si="18"/>
        <v/>
      </c>
      <c r="AK304" s="79" t="str">
        <f t="shared" si="19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16"/>
        <v/>
      </c>
      <c r="AE305" s="76" t="str">
        <f t="shared" si="17"/>
        <v/>
      </c>
      <c r="AF305" s="77"/>
      <c r="AG305" s="73"/>
      <c r="AH305" s="77"/>
      <c r="AI305" s="73"/>
      <c r="AJ305" s="78" t="str">
        <f t="shared" si="18"/>
        <v/>
      </c>
      <c r="AK305" s="79" t="str">
        <f t="shared" si="19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16"/>
        <v/>
      </c>
      <c r="AE306" s="76" t="str">
        <f t="shared" si="17"/>
        <v/>
      </c>
      <c r="AF306" s="77"/>
      <c r="AG306" s="73"/>
      <c r="AH306" s="77"/>
      <c r="AI306" s="73"/>
      <c r="AJ306" s="78" t="str">
        <f t="shared" si="18"/>
        <v/>
      </c>
      <c r="AK306" s="79" t="str">
        <f t="shared" si="19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16"/>
        <v/>
      </c>
      <c r="AE307" s="76" t="str">
        <f t="shared" si="17"/>
        <v/>
      </c>
      <c r="AF307" s="77"/>
      <c r="AG307" s="73"/>
      <c r="AH307" s="77"/>
      <c r="AI307" s="73"/>
      <c r="AJ307" s="78" t="str">
        <f t="shared" si="18"/>
        <v/>
      </c>
      <c r="AK307" s="79" t="str">
        <f t="shared" si="19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16"/>
        <v/>
      </c>
      <c r="AE308" s="76" t="str">
        <f t="shared" si="17"/>
        <v/>
      </c>
      <c r="AF308" s="77"/>
      <c r="AG308" s="73"/>
      <c r="AH308" s="77"/>
      <c r="AI308" s="73"/>
      <c r="AJ308" s="78" t="str">
        <f t="shared" si="18"/>
        <v/>
      </c>
      <c r="AK308" s="79" t="str">
        <f t="shared" si="19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16"/>
        <v/>
      </c>
      <c r="AE309" s="76" t="str">
        <f t="shared" si="17"/>
        <v/>
      </c>
      <c r="AF309" s="77"/>
      <c r="AG309" s="73"/>
      <c r="AH309" s="77"/>
      <c r="AI309" s="73"/>
      <c r="AJ309" s="78" t="str">
        <f t="shared" si="18"/>
        <v/>
      </c>
      <c r="AK309" s="79" t="str">
        <f t="shared" si="19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16"/>
        <v/>
      </c>
      <c r="AE310" s="76" t="str">
        <f t="shared" si="17"/>
        <v/>
      </c>
      <c r="AF310" s="77"/>
      <c r="AG310" s="73"/>
      <c r="AH310" s="77"/>
      <c r="AI310" s="73"/>
      <c r="AJ310" s="78" t="str">
        <f t="shared" si="18"/>
        <v/>
      </c>
      <c r="AK310" s="79" t="str">
        <f t="shared" si="19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16"/>
        <v/>
      </c>
      <c r="AE311" s="76" t="str">
        <f t="shared" si="17"/>
        <v/>
      </c>
      <c r="AF311" s="77"/>
      <c r="AG311" s="73"/>
      <c r="AH311" s="77"/>
      <c r="AI311" s="73"/>
      <c r="AJ311" s="78" t="str">
        <f t="shared" si="18"/>
        <v/>
      </c>
      <c r="AK311" s="79" t="str">
        <f t="shared" si="19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16"/>
        <v/>
      </c>
      <c r="AE312" s="76" t="str">
        <f t="shared" si="17"/>
        <v/>
      </c>
      <c r="AF312" s="77"/>
      <c r="AG312" s="73"/>
      <c r="AH312" s="77"/>
      <c r="AI312" s="73"/>
      <c r="AJ312" s="78" t="str">
        <f t="shared" si="18"/>
        <v/>
      </c>
      <c r="AK312" s="79" t="str">
        <f t="shared" si="19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16"/>
        <v/>
      </c>
      <c r="AE313" s="76" t="str">
        <f t="shared" si="17"/>
        <v/>
      </c>
      <c r="AF313" s="77"/>
      <c r="AG313" s="73"/>
      <c r="AH313" s="77"/>
      <c r="AI313" s="73"/>
      <c r="AJ313" s="78" t="str">
        <f t="shared" si="18"/>
        <v/>
      </c>
      <c r="AK313" s="79" t="str">
        <f t="shared" si="19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16"/>
        <v/>
      </c>
      <c r="AE314" s="76" t="str">
        <f t="shared" si="17"/>
        <v/>
      </c>
      <c r="AF314" s="77"/>
      <c r="AG314" s="73"/>
      <c r="AH314" s="77"/>
      <c r="AI314" s="73"/>
      <c r="AJ314" s="78" t="str">
        <f t="shared" si="18"/>
        <v/>
      </c>
      <c r="AK314" s="79" t="str">
        <f t="shared" si="19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16"/>
        <v/>
      </c>
      <c r="AE315" s="76" t="str">
        <f t="shared" si="17"/>
        <v/>
      </c>
      <c r="AF315" s="77"/>
      <c r="AG315" s="73"/>
      <c r="AH315" s="77"/>
      <c r="AI315" s="73"/>
      <c r="AJ315" s="78" t="str">
        <f t="shared" si="18"/>
        <v/>
      </c>
      <c r="AK315" s="79" t="str">
        <f t="shared" si="19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16"/>
        <v/>
      </c>
      <c r="AE316" s="76" t="str">
        <f t="shared" si="17"/>
        <v/>
      </c>
      <c r="AF316" s="77"/>
      <c r="AG316" s="73"/>
      <c r="AH316" s="77"/>
      <c r="AI316" s="73"/>
      <c r="AJ316" s="78" t="str">
        <f t="shared" si="18"/>
        <v/>
      </c>
      <c r="AK316" s="79" t="str">
        <f t="shared" si="19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16"/>
        <v/>
      </c>
      <c r="AE317" s="76" t="str">
        <f t="shared" si="17"/>
        <v/>
      </c>
      <c r="AF317" s="77"/>
      <c r="AG317" s="73"/>
      <c r="AH317" s="77"/>
      <c r="AI317" s="73"/>
      <c r="AJ317" s="78" t="str">
        <f t="shared" si="18"/>
        <v/>
      </c>
      <c r="AK317" s="79" t="str">
        <f t="shared" si="19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16"/>
        <v/>
      </c>
      <c r="AE318" s="76" t="str">
        <f t="shared" si="17"/>
        <v/>
      </c>
      <c r="AF318" s="77"/>
      <c r="AG318" s="73"/>
      <c r="AH318" s="77"/>
      <c r="AI318" s="73"/>
      <c r="AJ318" s="78" t="str">
        <f t="shared" si="18"/>
        <v/>
      </c>
      <c r="AK318" s="79" t="str">
        <f t="shared" si="19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16"/>
        <v/>
      </c>
      <c r="AE319" s="76" t="str">
        <f t="shared" si="17"/>
        <v/>
      </c>
      <c r="AF319" s="77"/>
      <c r="AG319" s="73"/>
      <c r="AH319" s="77"/>
      <c r="AI319" s="73"/>
      <c r="AJ319" s="78" t="str">
        <f t="shared" si="18"/>
        <v/>
      </c>
      <c r="AK319" s="79" t="str">
        <f t="shared" si="19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16"/>
        <v/>
      </c>
      <c r="AE320" s="76" t="str">
        <f t="shared" si="17"/>
        <v/>
      </c>
      <c r="AF320" s="77"/>
      <c r="AG320" s="73"/>
      <c r="AH320" s="77"/>
      <c r="AI320" s="73"/>
      <c r="AJ320" s="78" t="str">
        <f t="shared" si="18"/>
        <v/>
      </c>
      <c r="AK320" s="79" t="str">
        <f t="shared" si="19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16"/>
        <v/>
      </c>
      <c r="AE321" s="76" t="str">
        <f t="shared" si="17"/>
        <v/>
      </c>
      <c r="AF321" s="77"/>
      <c r="AG321" s="73"/>
      <c r="AH321" s="77"/>
      <c r="AI321" s="73"/>
      <c r="AJ321" s="78" t="str">
        <f t="shared" si="18"/>
        <v/>
      </c>
      <c r="AK321" s="79" t="str">
        <f t="shared" si="19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16"/>
        <v/>
      </c>
      <c r="AE322" s="76" t="str">
        <f t="shared" si="17"/>
        <v/>
      </c>
      <c r="AF322" s="77"/>
      <c r="AG322" s="73"/>
      <c r="AH322" s="77"/>
      <c r="AI322" s="73"/>
      <c r="AJ322" s="78" t="str">
        <f t="shared" si="18"/>
        <v/>
      </c>
      <c r="AK322" s="79" t="str">
        <f t="shared" si="19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16"/>
        <v/>
      </c>
      <c r="AE323" s="76" t="str">
        <f t="shared" si="17"/>
        <v/>
      </c>
      <c r="AF323" s="77"/>
      <c r="AG323" s="73"/>
      <c r="AH323" s="77"/>
      <c r="AI323" s="73"/>
      <c r="AJ323" s="78" t="str">
        <f t="shared" si="18"/>
        <v/>
      </c>
      <c r="AK323" s="79" t="str">
        <f t="shared" si="19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0">IF(MIN(F324,J324,N324,R324,V324,Z324)&lt;&gt;0,MIN(F324,J324,N324,R324,V324,Z324),"")</f>
        <v/>
      </c>
      <c r="AE324" s="76" t="str">
        <f t="shared" ref="AE324:AE350" si="21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22">IF(AD324="","",IF(ISBLANK(AF324),"En cours",AD324+AF324))</f>
        <v/>
      </c>
      <c r="AK324" s="79" t="str">
        <f t="shared" ref="AK324:AK350" si="23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0"/>
        <v/>
      </c>
      <c r="AE325" s="76" t="str">
        <f t="shared" si="21"/>
        <v/>
      </c>
      <c r="AF325" s="77"/>
      <c r="AG325" s="73"/>
      <c r="AH325" s="77"/>
      <c r="AI325" s="73"/>
      <c r="AJ325" s="78" t="str">
        <f t="shared" si="22"/>
        <v/>
      </c>
      <c r="AK325" s="79" t="str">
        <f t="shared" si="23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0"/>
        <v/>
      </c>
      <c r="AE326" s="76" t="str">
        <f t="shared" si="21"/>
        <v/>
      </c>
      <c r="AF326" s="77"/>
      <c r="AG326" s="73"/>
      <c r="AH326" s="77"/>
      <c r="AI326" s="73"/>
      <c r="AJ326" s="78" t="str">
        <f t="shared" si="22"/>
        <v/>
      </c>
      <c r="AK326" s="79" t="str">
        <f t="shared" si="23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0"/>
        <v/>
      </c>
      <c r="AE327" s="76" t="str">
        <f t="shared" si="21"/>
        <v/>
      </c>
      <c r="AF327" s="77"/>
      <c r="AG327" s="73"/>
      <c r="AH327" s="77"/>
      <c r="AI327" s="73"/>
      <c r="AJ327" s="78" t="str">
        <f t="shared" si="22"/>
        <v/>
      </c>
      <c r="AK327" s="79" t="str">
        <f t="shared" si="23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0"/>
        <v/>
      </c>
      <c r="AE328" s="76" t="str">
        <f t="shared" si="21"/>
        <v/>
      </c>
      <c r="AF328" s="77"/>
      <c r="AG328" s="73"/>
      <c r="AH328" s="77"/>
      <c r="AI328" s="73"/>
      <c r="AJ328" s="78" t="str">
        <f t="shared" si="22"/>
        <v/>
      </c>
      <c r="AK328" s="79" t="str">
        <f t="shared" si="23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0"/>
        <v/>
      </c>
      <c r="AE329" s="76" t="str">
        <f t="shared" si="21"/>
        <v/>
      </c>
      <c r="AF329" s="77"/>
      <c r="AG329" s="73"/>
      <c r="AH329" s="77"/>
      <c r="AI329" s="73"/>
      <c r="AJ329" s="78" t="str">
        <f t="shared" si="22"/>
        <v/>
      </c>
      <c r="AK329" s="79" t="str">
        <f t="shared" si="23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0"/>
        <v/>
      </c>
      <c r="AE330" s="76" t="str">
        <f t="shared" si="21"/>
        <v/>
      </c>
      <c r="AF330" s="77"/>
      <c r="AG330" s="73"/>
      <c r="AH330" s="77"/>
      <c r="AI330" s="73"/>
      <c r="AJ330" s="78" t="str">
        <f t="shared" si="22"/>
        <v/>
      </c>
      <c r="AK330" s="79" t="str">
        <f t="shared" si="23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0"/>
        <v/>
      </c>
      <c r="AE331" s="76" t="str">
        <f t="shared" si="21"/>
        <v/>
      </c>
      <c r="AF331" s="77"/>
      <c r="AG331" s="73"/>
      <c r="AH331" s="77"/>
      <c r="AI331" s="73"/>
      <c r="AJ331" s="78" t="str">
        <f t="shared" si="22"/>
        <v/>
      </c>
      <c r="AK331" s="79" t="str">
        <f t="shared" si="23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0"/>
        <v/>
      </c>
      <c r="AE332" s="76" t="str">
        <f t="shared" si="21"/>
        <v/>
      </c>
      <c r="AF332" s="77"/>
      <c r="AG332" s="73"/>
      <c r="AH332" s="77"/>
      <c r="AI332" s="73"/>
      <c r="AJ332" s="78" t="str">
        <f t="shared" si="22"/>
        <v/>
      </c>
      <c r="AK332" s="79" t="str">
        <f t="shared" si="23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0"/>
        <v/>
      </c>
      <c r="AE333" s="76" t="str">
        <f t="shared" si="21"/>
        <v/>
      </c>
      <c r="AF333" s="77"/>
      <c r="AG333" s="73"/>
      <c r="AH333" s="77"/>
      <c r="AI333" s="73"/>
      <c r="AJ333" s="78" t="str">
        <f t="shared" si="22"/>
        <v/>
      </c>
      <c r="AK333" s="79" t="str">
        <f t="shared" si="23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0"/>
        <v/>
      </c>
      <c r="AE334" s="76" t="str">
        <f t="shared" si="21"/>
        <v/>
      </c>
      <c r="AF334" s="77"/>
      <c r="AG334" s="73"/>
      <c r="AH334" s="77"/>
      <c r="AI334" s="73"/>
      <c r="AJ334" s="78" t="str">
        <f t="shared" si="22"/>
        <v/>
      </c>
      <c r="AK334" s="79" t="str">
        <f t="shared" si="23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0"/>
        <v/>
      </c>
      <c r="AE335" s="76" t="str">
        <f t="shared" si="21"/>
        <v/>
      </c>
      <c r="AF335" s="77"/>
      <c r="AG335" s="73"/>
      <c r="AH335" s="77"/>
      <c r="AI335" s="73"/>
      <c r="AJ335" s="78" t="str">
        <f t="shared" si="22"/>
        <v/>
      </c>
      <c r="AK335" s="79" t="str">
        <f t="shared" si="23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0"/>
        <v/>
      </c>
      <c r="AE336" s="76" t="str">
        <f t="shared" si="21"/>
        <v/>
      </c>
      <c r="AF336" s="77"/>
      <c r="AG336" s="73"/>
      <c r="AH336" s="77"/>
      <c r="AI336" s="73"/>
      <c r="AJ336" s="78" t="str">
        <f t="shared" si="22"/>
        <v/>
      </c>
      <c r="AK336" s="79" t="str">
        <f t="shared" si="23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0"/>
        <v/>
      </c>
      <c r="AE337" s="76" t="str">
        <f t="shared" si="21"/>
        <v/>
      </c>
      <c r="AF337" s="77"/>
      <c r="AG337" s="73"/>
      <c r="AH337" s="77"/>
      <c r="AI337" s="73"/>
      <c r="AJ337" s="78" t="str">
        <f t="shared" si="22"/>
        <v/>
      </c>
      <c r="AK337" s="79" t="str">
        <f t="shared" si="23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0"/>
        <v/>
      </c>
      <c r="AE338" s="76" t="str">
        <f t="shared" si="21"/>
        <v/>
      </c>
      <c r="AF338" s="77"/>
      <c r="AG338" s="73"/>
      <c r="AH338" s="77"/>
      <c r="AI338" s="73"/>
      <c r="AJ338" s="78" t="str">
        <f t="shared" si="22"/>
        <v/>
      </c>
      <c r="AK338" s="79" t="str">
        <f t="shared" si="23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0"/>
        <v/>
      </c>
      <c r="AE339" s="76" t="str">
        <f t="shared" si="21"/>
        <v/>
      </c>
      <c r="AF339" s="77"/>
      <c r="AG339" s="73"/>
      <c r="AH339" s="77"/>
      <c r="AI339" s="73"/>
      <c r="AJ339" s="78" t="str">
        <f t="shared" si="22"/>
        <v/>
      </c>
      <c r="AK339" s="79" t="str">
        <f t="shared" si="23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0"/>
        <v/>
      </c>
      <c r="AE340" s="76" t="str">
        <f t="shared" si="21"/>
        <v/>
      </c>
      <c r="AF340" s="77"/>
      <c r="AG340" s="73"/>
      <c r="AH340" s="77"/>
      <c r="AI340" s="73"/>
      <c r="AJ340" s="78" t="str">
        <f t="shared" si="22"/>
        <v/>
      </c>
      <c r="AK340" s="79" t="str">
        <f t="shared" si="23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0"/>
        <v/>
      </c>
      <c r="AE341" s="76" t="str">
        <f t="shared" si="21"/>
        <v/>
      </c>
      <c r="AF341" s="77"/>
      <c r="AG341" s="73"/>
      <c r="AH341" s="77"/>
      <c r="AI341" s="73"/>
      <c r="AJ341" s="78" t="str">
        <f t="shared" si="22"/>
        <v/>
      </c>
      <c r="AK341" s="79" t="str">
        <f t="shared" si="23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0"/>
        <v/>
      </c>
      <c r="AE342" s="76" t="str">
        <f t="shared" si="21"/>
        <v/>
      </c>
      <c r="AF342" s="77"/>
      <c r="AG342" s="73"/>
      <c r="AH342" s="77"/>
      <c r="AI342" s="73"/>
      <c r="AJ342" s="78" t="str">
        <f t="shared" si="22"/>
        <v/>
      </c>
      <c r="AK342" s="79" t="str">
        <f t="shared" si="23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0"/>
        <v/>
      </c>
      <c r="AE343" s="76" t="str">
        <f t="shared" si="21"/>
        <v/>
      </c>
      <c r="AF343" s="77"/>
      <c r="AG343" s="73"/>
      <c r="AH343" s="77"/>
      <c r="AI343" s="73"/>
      <c r="AJ343" s="78" t="str">
        <f t="shared" si="22"/>
        <v/>
      </c>
      <c r="AK343" s="79" t="str">
        <f t="shared" si="23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0"/>
        <v/>
      </c>
      <c r="AE344" s="76" t="str">
        <f t="shared" si="21"/>
        <v/>
      </c>
      <c r="AF344" s="77"/>
      <c r="AG344" s="73"/>
      <c r="AH344" s="77"/>
      <c r="AI344" s="73"/>
      <c r="AJ344" s="78" t="str">
        <f t="shared" si="22"/>
        <v/>
      </c>
      <c r="AK344" s="79" t="str">
        <f t="shared" si="23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0"/>
        <v/>
      </c>
      <c r="AE345" s="76" t="str">
        <f t="shared" si="21"/>
        <v/>
      </c>
      <c r="AF345" s="77"/>
      <c r="AG345" s="73"/>
      <c r="AH345" s="77"/>
      <c r="AI345" s="73"/>
      <c r="AJ345" s="78" t="str">
        <f t="shared" si="22"/>
        <v/>
      </c>
      <c r="AK345" s="79" t="str">
        <f t="shared" si="23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0"/>
        <v/>
      </c>
      <c r="AE346" s="76" t="str">
        <f t="shared" si="21"/>
        <v/>
      </c>
      <c r="AF346" s="77"/>
      <c r="AG346" s="73"/>
      <c r="AH346" s="77"/>
      <c r="AI346" s="73"/>
      <c r="AJ346" s="78" t="str">
        <f t="shared" si="22"/>
        <v/>
      </c>
      <c r="AK346" s="79" t="str">
        <f t="shared" si="23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0"/>
        <v/>
      </c>
      <c r="AE347" s="76" t="str">
        <f t="shared" si="21"/>
        <v/>
      </c>
      <c r="AF347" s="77"/>
      <c r="AG347" s="73"/>
      <c r="AH347" s="77"/>
      <c r="AI347" s="73"/>
      <c r="AJ347" s="78" t="str">
        <f t="shared" si="22"/>
        <v/>
      </c>
      <c r="AK347" s="79" t="str">
        <f t="shared" si="23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0"/>
        <v/>
      </c>
      <c r="AE348" s="76" t="str">
        <f t="shared" si="21"/>
        <v/>
      </c>
      <c r="AF348" s="77"/>
      <c r="AG348" s="73"/>
      <c r="AH348" s="77"/>
      <c r="AI348" s="73"/>
      <c r="AJ348" s="78" t="str">
        <f t="shared" si="22"/>
        <v/>
      </c>
      <c r="AK348" s="79" t="str">
        <f t="shared" si="23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0"/>
        <v/>
      </c>
      <c r="AE349" s="76" t="str">
        <f t="shared" si="21"/>
        <v/>
      </c>
      <c r="AF349" s="77"/>
      <c r="AG349" s="73"/>
      <c r="AH349" s="77"/>
      <c r="AI349" s="73"/>
      <c r="AJ349" s="78" t="str">
        <f t="shared" si="22"/>
        <v/>
      </c>
      <c r="AK349" s="79" t="str">
        <f t="shared" si="23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0"/>
        <v/>
      </c>
      <c r="AE350" s="76" t="str">
        <f t="shared" si="21"/>
        <v/>
      </c>
      <c r="AF350" s="77"/>
      <c r="AG350" s="73"/>
      <c r="AH350" s="77"/>
      <c r="AI350" s="73"/>
      <c r="AJ350" s="78" t="str">
        <f t="shared" si="22"/>
        <v/>
      </c>
      <c r="AK350" s="79" t="str">
        <f t="shared" si="23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 link="1"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19" type="noConversion"/>
  <conditionalFormatting sqref="AJ181">
    <cfRule type="cellIs" dxfId="5959" priority="76289" stopIfTrue="1" operator="equal">
      <formula>"En cours"</formula>
    </cfRule>
  </conditionalFormatting>
  <conditionalFormatting sqref="AJ181">
    <cfRule type="cellIs" dxfId="5958" priority="76290" stopIfTrue="1" operator="notEqual">
      <formula>"En cours"</formula>
    </cfRule>
  </conditionalFormatting>
  <conditionalFormatting sqref="AK181">
    <cfRule type="cellIs" dxfId="5957" priority="76291" stopIfTrue="1" operator="equal">
      <formula>"En cours"</formula>
    </cfRule>
  </conditionalFormatting>
  <conditionalFormatting sqref="AK181">
    <cfRule type="cellIs" dxfId="5956" priority="76292" stopIfTrue="1" operator="notEqual">
      <formula>"En cours"</formula>
    </cfRule>
  </conditionalFormatting>
  <conditionalFormatting sqref="AJ150">
    <cfRule type="cellIs" dxfId="5807" priority="298289" stopIfTrue="1" operator="equal">
      <formula>"En cours"</formula>
    </cfRule>
  </conditionalFormatting>
  <conditionalFormatting sqref="AJ150">
    <cfRule type="cellIs" dxfId="5806" priority="298290" stopIfTrue="1" operator="notEqual">
      <formula>"En cours"</formula>
    </cfRule>
  </conditionalFormatting>
  <conditionalFormatting sqref="AK150">
    <cfRule type="cellIs" dxfId="5805" priority="298291" stopIfTrue="1" operator="equal">
      <formula>"En cours"</formula>
    </cfRule>
  </conditionalFormatting>
  <conditionalFormatting sqref="AK150">
    <cfRule type="cellIs" dxfId="5804" priority="298292" stopIfTrue="1" operator="notEqual">
      <formula>"En cours"</formula>
    </cfRule>
  </conditionalFormatting>
  <conditionalFormatting sqref="AJ151">
    <cfRule type="cellIs" dxfId="5803" priority="298293" stopIfTrue="1" operator="equal">
      <formula>"En cours"</formula>
    </cfRule>
  </conditionalFormatting>
  <conditionalFormatting sqref="AJ151">
    <cfRule type="cellIs" dxfId="5802" priority="298294" stopIfTrue="1" operator="notEqual">
      <formula>"En cours"</formula>
    </cfRule>
  </conditionalFormatting>
  <conditionalFormatting sqref="AK151">
    <cfRule type="cellIs" dxfId="5801" priority="298295" stopIfTrue="1" operator="equal">
      <formula>"En cours"</formula>
    </cfRule>
  </conditionalFormatting>
  <conditionalFormatting sqref="AK151">
    <cfRule type="cellIs" dxfId="5800" priority="298296" stopIfTrue="1" operator="notEqual">
      <formula>"En cours"</formula>
    </cfRule>
  </conditionalFormatting>
  <conditionalFormatting sqref="AJ149">
    <cfRule type="cellIs" dxfId="5799" priority="298309" stopIfTrue="1" operator="equal">
      <formula>"En cours"</formula>
    </cfRule>
  </conditionalFormatting>
  <conditionalFormatting sqref="AJ149">
    <cfRule type="cellIs" dxfId="5798" priority="298310" stopIfTrue="1" operator="notEqual">
      <formula>"En cours"</formula>
    </cfRule>
  </conditionalFormatting>
  <conditionalFormatting sqref="AK149">
    <cfRule type="cellIs" dxfId="5797" priority="298311" stopIfTrue="1" operator="equal">
      <formula>"En cours"</formula>
    </cfRule>
  </conditionalFormatting>
  <conditionalFormatting sqref="AK149">
    <cfRule type="cellIs" dxfId="5796" priority="298312" stopIfTrue="1" operator="notEqual">
      <formula>"En cours"</formula>
    </cfRule>
  </conditionalFormatting>
  <conditionalFormatting sqref="AJ152">
    <cfRule type="cellIs" dxfId="5791" priority="298345" stopIfTrue="1" operator="equal">
      <formula>"En cours"</formula>
    </cfRule>
  </conditionalFormatting>
  <conditionalFormatting sqref="AJ152">
    <cfRule type="cellIs" dxfId="5790" priority="298346" stopIfTrue="1" operator="notEqual">
      <formula>"En cours"</formula>
    </cfRule>
  </conditionalFormatting>
  <conditionalFormatting sqref="AK152">
    <cfRule type="cellIs" dxfId="5789" priority="298347" stopIfTrue="1" operator="equal">
      <formula>"En cours"</formula>
    </cfRule>
  </conditionalFormatting>
  <conditionalFormatting sqref="AK152">
    <cfRule type="cellIs" dxfId="5788" priority="298348" stopIfTrue="1" operator="notEqual">
      <formula>"En cours"</formula>
    </cfRule>
  </conditionalFormatting>
  <conditionalFormatting sqref="AJ157">
    <cfRule type="cellIs" dxfId="5779" priority="298405" stopIfTrue="1" operator="equal">
      <formula>"En cours"</formula>
    </cfRule>
  </conditionalFormatting>
  <conditionalFormatting sqref="AJ157">
    <cfRule type="cellIs" dxfId="5778" priority="298406" stopIfTrue="1" operator="notEqual">
      <formula>"En cours"</formula>
    </cfRule>
  </conditionalFormatting>
  <conditionalFormatting sqref="AK157">
    <cfRule type="cellIs" dxfId="5777" priority="298407" stopIfTrue="1" operator="equal">
      <formula>"En cours"</formula>
    </cfRule>
  </conditionalFormatting>
  <conditionalFormatting sqref="AK157">
    <cfRule type="cellIs" dxfId="5776" priority="298408" stopIfTrue="1" operator="notEqual">
      <formula>"En cours"</formula>
    </cfRule>
  </conditionalFormatting>
  <conditionalFormatting sqref="AJ161">
    <cfRule type="cellIs" dxfId="5775" priority="298441" stopIfTrue="1" operator="equal">
      <formula>"En cours"</formula>
    </cfRule>
  </conditionalFormatting>
  <conditionalFormatting sqref="AJ161">
    <cfRule type="cellIs" dxfId="5774" priority="298442" stopIfTrue="1" operator="notEqual">
      <formula>"En cours"</formula>
    </cfRule>
  </conditionalFormatting>
  <conditionalFormatting sqref="AK161">
    <cfRule type="cellIs" dxfId="5773" priority="298443" stopIfTrue="1" operator="equal">
      <formula>"En cours"</formula>
    </cfRule>
  </conditionalFormatting>
  <conditionalFormatting sqref="AK161">
    <cfRule type="cellIs" dxfId="5772" priority="298444" stopIfTrue="1" operator="notEqual">
      <formula>"En cours"</formula>
    </cfRule>
  </conditionalFormatting>
  <conditionalFormatting sqref="AJ164">
    <cfRule type="cellIs" dxfId="5771" priority="298457" stopIfTrue="1" operator="equal">
      <formula>"En cours"</formula>
    </cfRule>
  </conditionalFormatting>
  <conditionalFormatting sqref="AJ164">
    <cfRule type="cellIs" dxfId="5770" priority="298458" stopIfTrue="1" operator="notEqual">
      <formula>"En cours"</formula>
    </cfRule>
  </conditionalFormatting>
  <conditionalFormatting sqref="AK164">
    <cfRule type="cellIs" dxfId="5769" priority="298459" stopIfTrue="1" operator="equal">
      <formula>"En cours"</formula>
    </cfRule>
  </conditionalFormatting>
  <conditionalFormatting sqref="AK164">
    <cfRule type="cellIs" dxfId="5768" priority="298460" stopIfTrue="1" operator="notEqual">
      <formula>"En cours"</formula>
    </cfRule>
  </conditionalFormatting>
  <conditionalFormatting sqref="AJ167">
    <cfRule type="cellIs" dxfId="5767" priority="298725" stopIfTrue="1" operator="equal">
      <formula>"En cours"</formula>
    </cfRule>
  </conditionalFormatting>
  <conditionalFormatting sqref="AJ167">
    <cfRule type="cellIs" dxfId="5766" priority="298726" stopIfTrue="1" operator="notEqual">
      <formula>"En cours"</formula>
    </cfRule>
  </conditionalFormatting>
  <conditionalFormatting sqref="AK167">
    <cfRule type="cellIs" dxfId="5765" priority="298727" stopIfTrue="1" operator="equal">
      <formula>"En cours"</formula>
    </cfRule>
  </conditionalFormatting>
  <conditionalFormatting sqref="AK167">
    <cfRule type="cellIs" dxfId="5764" priority="298728" stopIfTrue="1" operator="notEqual">
      <formula>"En cours"</formula>
    </cfRule>
  </conditionalFormatting>
  <conditionalFormatting sqref="AJ169">
    <cfRule type="cellIs" dxfId="5751" priority="298765" stopIfTrue="1" operator="equal">
      <formula>"En cours"</formula>
    </cfRule>
  </conditionalFormatting>
  <conditionalFormatting sqref="AJ169">
    <cfRule type="cellIs" dxfId="5750" priority="298766" stopIfTrue="1" operator="notEqual">
      <formula>"En cours"</formula>
    </cfRule>
  </conditionalFormatting>
  <conditionalFormatting sqref="AK169">
    <cfRule type="cellIs" dxfId="5749" priority="298767" stopIfTrue="1" operator="equal">
      <formula>"En cours"</formula>
    </cfRule>
  </conditionalFormatting>
  <conditionalFormatting sqref="AK169">
    <cfRule type="cellIs" dxfId="5748" priority="298768" stopIfTrue="1" operator="notEqual">
      <formula>"En cours"</formula>
    </cfRule>
  </conditionalFormatting>
  <conditionalFormatting sqref="AJ156">
    <cfRule type="cellIs" dxfId="5723" priority="298877" stopIfTrue="1" operator="equal">
      <formula>"En cours"</formula>
    </cfRule>
  </conditionalFormatting>
  <conditionalFormatting sqref="AJ156">
    <cfRule type="cellIs" dxfId="5722" priority="298878" stopIfTrue="1" operator="notEqual">
      <formula>"En cours"</formula>
    </cfRule>
  </conditionalFormatting>
  <conditionalFormatting sqref="AK156">
    <cfRule type="cellIs" dxfId="5721" priority="298879" stopIfTrue="1" operator="equal">
      <formula>"En cours"</formula>
    </cfRule>
  </conditionalFormatting>
  <conditionalFormatting sqref="AK156">
    <cfRule type="cellIs" dxfId="5720" priority="298880" stopIfTrue="1" operator="notEqual">
      <formula>"En cours"</formula>
    </cfRule>
  </conditionalFormatting>
  <conditionalFormatting sqref="AJ163">
    <cfRule type="cellIs" dxfId="5715" priority="298917" stopIfTrue="1" operator="equal">
      <formula>"En cours"</formula>
    </cfRule>
  </conditionalFormatting>
  <conditionalFormatting sqref="AJ163">
    <cfRule type="cellIs" dxfId="5714" priority="298918" stopIfTrue="1" operator="notEqual">
      <formula>"En cours"</formula>
    </cfRule>
  </conditionalFormatting>
  <conditionalFormatting sqref="AK163">
    <cfRule type="cellIs" dxfId="5713" priority="298919" stopIfTrue="1" operator="equal">
      <formula>"En cours"</formula>
    </cfRule>
  </conditionalFormatting>
  <conditionalFormatting sqref="AK163">
    <cfRule type="cellIs" dxfId="5712" priority="298920" stopIfTrue="1" operator="notEqual">
      <formula>"En cours"</formula>
    </cfRule>
  </conditionalFormatting>
  <conditionalFormatting sqref="AJ171">
    <cfRule type="cellIs" dxfId="5711" priority="298949" stopIfTrue="1" operator="equal">
      <formula>"En cours"</formula>
    </cfRule>
  </conditionalFormatting>
  <conditionalFormatting sqref="AJ171">
    <cfRule type="cellIs" dxfId="5710" priority="298950" stopIfTrue="1" operator="notEqual">
      <formula>"En cours"</formula>
    </cfRule>
  </conditionalFormatting>
  <conditionalFormatting sqref="AK171">
    <cfRule type="cellIs" dxfId="5709" priority="298951" stopIfTrue="1" operator="equal">
      <formula>"En cours"</formula>
    </cfRule>
  </conditionalFormatting>
  <conditionalFormatting sqref="AK171">
    <cfRule type="cellIs" dxfId="5708" priority="298952" stopIfTrue="1" operator="notEqual">
      <formula>"En cours"</formula>
    </cfRule>
  </conditionalFormatting>
  <conditionalFormatting sqref="AJ154">
    <cfRule type="cellIs" dxfId="5707" priority="298953" stopIfTrue="1" operator="equal">
      <formula>"En cours"</formula>
    </cfRule>
  </conditionalFormatting>
  <conditionalFormatting sqref="AJ154">
    <cfRule type="cellIs" dxfId="5706" priority="298954" stopIfTrue="1" operator="notEqual">
      <formula>"En cours"</formula>
    </cfRule>
  </conditionalFormatting>
  <conditionalFormatting sqref="AK154">
    <cfRule type="cellIs" dxfId="5705" priority="298955" stopIfTrue="1" operator="equal">
      <formula>"En cours"</formula>
    </cfRule>
  </conditionalFormatting>
  <conditionalFormatting sqref="AK154">
    <cfRule type="cellIs" dxfId="5704" priority="298956" stopIfTrue="1" operator="notEqual">
      <formula>"En cours"</formula>
    </cfRule>
  </conditionalFormatting>
  <conditionalFormatting sqref="AJ170">
    <cfRule type="cellIs" dxfId="5683" priority="299273" stopIfTrue="1" operator="equal">
      <formula>"En cours"</formula>
    </cfRule>
  </conditionalFormatting>
  <conditionalFormatting sqref="AJ170">
    <cfRule type="cellIs" dxfId="5682" priority="299274" stopIfTrue="1" operator="notEqual">
      <formula>"En cours"</formula>
    </cfRule>
  </conditionalFormatting>
  <conditionalFormatting sqref="AK170">
    <cfRule type="cellIs" dxfId="5681" priority="299275" stopIfTrue="1" operator="equal">
      <formula>"En cours"</formula>
    </cfRule>
  </conditionalFormatting>
  <conditionalFormatting sqref="AK170">
    <cfRule type="cellIs" dxfId="5680" priority="299276" stopIfTrue="1" operator="notEqual">
      <formula>"En cours"</formula>
    </cfRule>
  </conditionalFormatting>
  <conditionalFormatting sqref="AJ148">
    <cfRule type="cellIs" dxfId="5663" priority="299325" stopIfTrue="1" operator="equal">
      <formula>"En cours"</formula>
    </cfRule>
  </conditionalFormatting>
  <conditionalFormatting sqref="AJ148">
    <cfRule type="cellIs" dxfId="5662" priority="299326" stopIfTrue="1" operator="notEqual">
      <formula>"En cours"</formula>
    </cfRule>
  </conditionalFormatting>
  <conditionalFormatting sqref="AK148">
    <cfRule type="cellIs" dxfId="5661" priority="299327" stopIfTrue="1" operator="equal">
      <formula>"En cours"</formula>
    </cfRule>
  </conditionalFormatting>
  <conditionalFormatting sqref="AK148">
    <cfRule type="cellIs" dxfId="5660" priority="299328" stopIfTrue="1" operator="notEqual">
      <formula>"En cours"</formula>
    </cfRule>
  </conditionalFormatting>
  <conditionalFormatting sqref="AJ159">
    <cfRule type="cellIs" dxfId="5643" priority="299397" stopIfTrue="1" operator="equal">
      <formula>"En cours"</formula>
    </cfRule>
  </conditionalFormatting>
  <conditionalFormatting sqref="AJ159">
    <cfRule type="cellIs" dxfId="5642" priority="299398" stopIfTrue="1" operator="notEqual">
      <formula>"En cours"</formula>
    </cfRule>
  </conditionalFormatting>
  <conditionalFormatting sqref="AK159">
    <cfRule type="cellIs" dxfId="5641" priority="299399" stopIfTrue="1" operator="equal">
      <formula>"En cours"</formula>
    </cfRule>
  </conditionalFormatting>
  <conditionalFormatting sqref="AK159">
    <cfRule type="cellIs" dxfId="5640" priority="299400" stopIfTrue="1" operator="notEqual">
      <formula>"En cours"</formula>
    </cfRule>
  </conditionalFormatting>
  <conditionalFormatting sqref="AJ160">
    <cfRule type="cellIs" dxfId="5635" priority="299429" stopIfTrue="1" operator="equal">
      <formula>"En cours"</formula>
    </cfRule>
  </conditionalFormatting>
  <conditionalFormatting sqref="AJ160">
    <cfRule type="cellIs" dxfId="5634" priority="299430" stopIfTrue="1" operator="notEqual">
      <formula>"En cours"</formula>
    </cfRule>
  </conditionalFormatting>
  <conditionalFormatting sqref="AK160">
    <cfRule type="cellIs" dxfId="5633" priority="299431" stopIfTrue="1" operator="equal">
      <formula>"En cours"</formula>
    </cfRule>
  </conditionalFormatting>
  <conditionalFormatting sqref="AK160">
    <cfRule type="cellIs" dxfId="5632" priority="299432" stopIfTrue="1" operator="notEqual">
      <formula>"En cours"</formula>
    </cfRule>
  </conditionalFormatting>
  <conditionalFormatting sqref="AJ165">
    <cfRule type="cellIs" dxfId="5615" priority="299837" stopIfTrue="1" operator="equal">
      <formula>"En cours"</formula>
    </cfRule>
  </conditionalFormatting>
  <conditionalFormatting sqref="AJ165">
    <cfRule type="cellIs" dxfId="5614" priority="299838" stopIfTrue="1" operator="notEqual">
      <formula>"En cours"</formula>
    </cfRule>
  </conditionalFormatting>
  <conditionalFormatting sqref="AK165">
    <cfRule type="cellIs" dxfId="5613" priority="299839" stopIfTrue="1" operator="equal">
      <formula>"En cours"</formula>
    </cfRule>
  </conditionalFormatting>
  <conditionalFormatting sqref="AK165">
    <cfRule type="cellIs" dxfId="5612" priority="299840" stopIfTrue="1" operator="notEqual">
      <formula>"En cours"</formula>
    </cfRule>
  </conditionalFormatting>
  <conditionalFormatting sqref="AJ166">
    <cfRule type="cellIs" dxfId="5603" priority="299849" stopIfTrue="1" operator="equal">
      <formula>"En cours"</formula>
    </cfRule>
  </conditionalFormatting>
  <conditionalFormatting sqref="AJ166">
    <cfRule type="cellIs" dxfId="5602" priority="299850" stopIfTrue="1" operator="notEqual">
      <formula>"En cours"</formula>
    </cfRule>
  </conditionalFormatting>
  <conditionalFormatting sqref="AK166">
    <cfRule type="cellIs" dxfId="5601" priority="299851" stopIfTrue="1" operator="equal">
      <formula>"En cours"</formula>
    </cfRule>
  </conditionalFormatting>
  <conditionalFormatting sqref="AK166">
    <cfRule type="cellIs" dxfId="5600" priority="299852" stopIfTrue="1" operator="notEqual">
      <formula>"En cours"</formula>
    </cfRule>
  </conditionalFormatting>
  <conditionalFormatting sqref="AJ172">
    <cfRule type="cellIs" dxfId="5599" priority="299853" stopIfTrue="1" operator="equal">
      <formula>"En cours"</formula>
    </cfRule>
  </conditionalFormatting>
  <conditionalFormatting sqref="AJ172">
    <cfRule type="cellIs" dxfId="5598" priority="299854" stopIfTrue="1" operator="notEqual">
      <formula>"En cours"</formula>
    </cfRule>
  </conditionalFormatting>
  <conditionalFormatting sqref="AK172">
    <cfRule type="cellIs" dxfId="5597" priority="299855" stopIfTrue="1" operator="equal">
      <formula>"En cours"</formula>
    </cfRule>
  </conditionalFormatting>
  <conditionalFormatting sqref="AK172">
    <cfRule type="cellIs" dxfId="5596" priority="299856" stopIfTrue="1" operator="notEqual">
      <formula>"En cours"</formula>
    </cfRule>
  </conditionalFormatting>
  <conditionalFormatting sqref="AJ173">
    <cfRule type="cellIs" dxfId="5595" priority="299857" stopIfTrue="1" operator="equal">
      <formula>"En cours"</formula>
    </cfRule>
  </conditionalFormatting>
  <conditionalFormatting sqref="AJ173">
    <cfRule type="cellIs" dxfId="5594" priority="299858" stopIfTrue="1" operator="notEqual">
      <formula>"En cours"</formula>
    </cfRule>
  </conditionalFormatting>
  <conditionalFormatting sqref="AK173">
    <cfRule type="cellIs" dxfId="5593" priority="299859" stopIfTrue="1" operator="equal">
      <formula>"En cours"</formula>
    </cfRule>
  </conditionalFormatting>
  <conditionalFormatting sqref="AK173">
    <cfRule type="cellIs" dxfId="5592" priority="299860" stopIfTrue="1" operator="notEqual">
      <formula>"En cours"</formula>
    </cfRule>
  </conditionalFormatting>
  <conditionalFormatting sqref="AJ177">
    <cfRule type="cellIs" dxfId="5579" priority="299873" stopIfTrue="1" operator="equal">
      <formula>"En cours"</formula>
    </cfRule>
  </conditionalFormatting>
  <conditionalFormatting sqref="AJ177">
    <cfRule type="cellIs" dxfId="5578" priority="299874" stopIfTrue="1" operator="notEqual">
      <formula>"En cours"</formula>
    </cfRule>
  </conditionalFormatting>
  <conditionalFormatting sqref="AK177">
    <cfRule type="cellIs" dxfId="5577" priority="299875" stopIfTrue="1" operator="equal">
      <formula>"En cours"</formula>
    </cfRule>
  </conditionalFormatting>
  <conditionalFormatting sqref="AK177">
    <cfRule type="cellIs" dxfId="5576" priority="299876" stopIfTrue="1" operator="notEqual">
      <formula>"En cours"</formula>
    </cfRule>
  </conditionalFormatting>
  <conditionalFormatting sqref="AJ174">
    <cfRule type="cellIs" dxfId="5559" priority="299893" stopIfTrue="1" operator="equal">
      <formula>"En cours"</formula>
    </cfRule>
  </conditionalFormatting>
  <conditionalFormatting sqref="AJ174">
    <cfRule type="cellIs" dxfId="5558" priority="299894" stopIfTrue="1" operator="notEqual">
      <formula>"En cours"</formula>
    </cfRule>
  </conditionalFormatting>
  <conditionalFormatting sqref="AK174">
    <cfRule type="cellIs" dxfId="5557" priority="299895" stopIfTrue="1" operator="equal">
      <formula>"En cours"</formula>
    </cfRule>
  </conditionalFormatting>
  <conditionalFormatting sqref="AK174">
    <cfRule type="cellIs" dxfId="5556" priority="299896" stopIfTrue="1" operator="notEqual">
      <formula>"En cours"</formula>
    </cfRule>
  </conditionalFormatting>
  <conditionalFormatting sqref="AJ168">
    <cfRule type="cellIs" dxfId="5535" priority="299917" stopIfTrue="1" operator="equal">
      <formula>"En cours"</formula>
    </cfRule>
  </conditionalFormatting>
  <conditionalFormatting sqref="AJ168">
    <cfRule type="cellIs" dxfId="5534" priority="299918" stopIfTrue="1" operator="notEqual">
      <formula>"En cours"</formula>
    </cfRule>
  </conditionalFormatting>
  <conditionalFormatting sqref="AK168">
    <cfRule type="cellIs" dxfId="5533" priority="299919" stopIfTrue="1" operator="equal">
      <formula>"En cours"</formula>
    </cfRule>
  </conditionalFormatting>
  <conditionalFormatting sqref="AK168">
    <cfRule type="cellIs" dxfId="5532" priority="299920" stopIfTrue="1" operator="notEqual">
      <formula>"En cours"</formula>
    </cfRule>
  </conditionalFormatting>
  <conditionalFormatting sqref="AJ178">
    <cfRule type="cellIs" dxfId="5463" priority="299989" stopIfTrue="1" operator="equal">
      <formula>"En cours"</formula>
    </cfRule>
  </conditionalFormatting>
  <conditionalFormatting sqref="AJ178">
    <cfRule type="cellIs" dxfId="5462" priority="299990" stopIfTrue="1" operator="notEqual">
      <formula>"En cours"</formula>
    </cfRule>
  </conditionalFormatting>
  <conditionalFormatting sqref="AK178">
    <cfRule type="cellIs" dxfId="5461" priority="299991" stopIfTrue="1" operator="equal">
      <formula>"En cours"</formula>
    </cfRule>
  </conditionalFormatting>
  <conditionalFormatting sqref="AK178">
    <cfRule type="cellIs" dxfId="5460" priority="299992" stopIfTrue="1" operator="notEqual">
      <formula>"En cours"</formula>
    </cfRule>
  </conditionalFormatting>
  <conditionalFormatting sqref="AJ179">
    <cfRule type="cellIs" dxfId="5411" priority="300041" stopIfTrue="1" operator="equal">
      <formula>"En cours"</formula>
    </cfRule>
  </conditionalFormatting>
  <conditionalFormatting sqref="AJ179">
    <cfRule type="cellIs" dxfId="5410" priority="300042" stopIfTrue="1" operator="notEqual">
      <formula>"En cours"</formula>
    </cfRule>
  </conditionalFormatting>
  <conditionalFormatting sqref="AK179">
    <cfRule type="cellIs" dxfId="5409" priority="300043" stopIfTrue="1" operator="equal">
      <formula>"En cours"</formula>
    </cfRule>
  </conditionalFormatting>
  <conditionalFormatting sqref="AK179">
    <cfRule type="cellIs" dxfId="5408" priority="300044" stopIfTrue="1" operator="notEqual">
      <formula>"En cours"</formula>
    </cfRule>
  </conditionalFormatting>
  <conditionalFormatting sqref="AJ155">
    <cfRule type="cellIs" dxfId="5399" priority="300053" stopIfTrue="1" operator="equal">
      <formula>"En cours"</formula>
    </cfRule>
  </conditionalFormatting>
  <conditionalFormatting sqref="AJ155">
    <cfRule type="cellIs" dxfId="5398" priority="300054" stopIfTrue="1" operator="notEqual">
      <formula>"En cours"</formula>
    </cfRule>
  </conditionalFormatting>
  <conditionalFormatting sqref="AK155">
    <cfRule type="cellIs" dxfId="5397" priority="300055" stopIfTrue="1" operator="equal">
      <formula>"En cours"</formula>
    </cfRule>
  </conditionalFormatting>
  <conditionalFormatting sqref="AK155">
    <cfRule type="cellIs" dxfId="5396" priority="300056" stopIfTrue="1" operator="notEqual">
      <formula>"En cours"</formula>
    </cfRule>
  </conditionalFormatting>
  <conditionalFormatting sqref="AJ175">
    <cfRule type="cellIs" dxfId="5383" priority="300069" stopIfTrue="1" operator="equal">
      <formula>"En cours"</formula>
    </cfRule>
    <cfRule type="cellIs" dxfId="5382" priority="300070" stopIfTrue="1" operator="notEqual">
      <formula>"En cours"</formula>
    </cfRule>
  </conditionalFormatting>
  <conditionalFormatting sqref="AK175">
    <cfRule type="cellIs" dxfId="5381" priority="300071" stopIfTrue="1" operator="equal">
      <formula>"En cours"</formula>
    </cfRule>
    <cfRule type="cellIs" dxfId="5380" priority="300072" stopIfTrue="1" operator="notEqual">
      <formula>"En cours"</formula>
    </cfRule>
  </conditionalFormatting>
  <conditionalFormatting sqref="AJ176">
    <cfRule type="cellIs" dxfId="5379" priority="300073" stopIfTrue="1" operator="equal">
      <formula>"En cours"</formula>
    </cfRule>
    <cfRule type="cellIs" dxfId="5378" priority="300074" stopIfTrue="1" operator="notEqual">
      <formula>"En cours"</formula>
    </cfRule>
  </conditionalFormatting>
  <conditionalFormatting sqref="AK176">
    <cfRule type="cellIs" dxfId="5377" priority="300075" stopIfTrue="1" operator="equal">
      <formula>"En cours"</formula>
    </cfRule>
    <cfRule type="cellIs" dxfId="5376" priority="300076" stopIfTrue="1" operator="notEqual">
      <formula>"En cours"</formula>
    </cfRule>
  </conditionalFormatting>
  <conditionalFormatting sqref="AJ158">
    <cfRule type="cellIs" dxfId="5367" priority="300085" stopIfTrue="1" operator="equal">
      <formula>"En cours"</formula>
    </cfRule>
  </conditionalFormatting>
  <conditionalFormatting sqref="AJ158">
    <cfRule type="cellIs" dxfId="5366" priority="300086" stopIfTrue="1" operator="notEqual">
      <formula>"En cours"</formula>
    </cfRule>
  </conditionalFormatting>
  <conditionalFormatting sqref="AK158">
    <cfRule type="cellIs" dxfId="5365" priority="300087" stopIfTrue="1" operator="equal">
      <formula>"En cours"</formula>
    </cfRule>
  </conditionalFormatting>
  <conditionalFormatting sqref="AK158">
    <cfRule type="cellIs" dxfId="5364" priority="300088" stopIfTrue="1" operator="notEqual">
      <formula>"En cours"</formula>
    </cfRule>
  </conditionalFormatting>
  <conditionalFormatting sqref="AJ162">
    <cfRule type="cellIs" dxfId="5359" priority="300093" stopIfTrue="1" operator="equal">
      <formula>"En cours"</formula>
    </cfRule>
  </conditionalFormatting>
  <conditionalFormatting sqref="AJ162">
    <cfRule type="cellIs" dxfId="5358" priority="300094" stopIfTrue="1" operator="notEqual">
      <formula>"En cours"</formula>
    </cfRule>
  </conditionalFormatting>
  <conditionalFormatting sqref="AK162">
    <cfRule type="cellIs" dxfId="5357" priority="300095" stopIfTrue="1" operator="equal">
      <formula>"En cours"</formula>
    </cfRule>
  </conditionalFormatting>
  <conditionalFormatting sqref="AK162">
    <cfRule type="cellIs" dxfId="5356" priority="300096" stopIfTrue="1" operator="notEqual">
      <formula>"En cours"</formula>
    </cfRule>
  </conditionalFormatting>
  <conditionalFormatting sqref="AJ153">
    <cfRule type="cellIs" dxfId="5327" priority="300125" stopIfTrue="1" operator="equal">
      <formula>"En cours"</formula>
    </cfRule>
  </conditionalFormatting>
  <conditionalFormatting sqref="AJ153">
    <cfRule type="cellIs" dxfId="5326" priority="300126" stopIfTrue="1" operator="notEqual">
      <formula>"En cours"</formula>
    </cfRule>
  </conditionalFormatting>
  <conditionalFormatting sqref="AK153">
    <cfRule type="cellIs" dxfId="5325" priority="300127" stopIfTrue="1" operator="equal">
      <formula>"En cours"</formula>
    </cfRule>
  </conditionalFormatting>
  <conditionalFormatting sqref="AK153">
    <cfRule type="cellIs" dxfId="5324" priority="300128" stopIfTrue="1" operator="notEqual">
      <formula>"En cours"</formula>
    </cfRule>
  </conditionalFormatting>
  <conditionalFormatting sqref="AJ180">
    <cfRule type="cellIs" dxfId="5267" priority="300185" stopIfTrue="1" operator="equal">
      <formula>"En cours"</formula>
    </cfRule>
  </conditionalFormatting>
  <conditionalFormatting sqref="AJ180">
    <cfRule type="cellIs" dxfId="5266" priority="300186" stopIfTrue="1" operator="notEqual">
      <formula>"En cours"</formula>
    </cfRule>
  </conditionalFormatting>
  <conditionalFormatting sqref="AK180">
    <cfRule type="cellIs" dxfId="5265" priority="300187" stopIfTrue="1" operator="equal">
      <formula>"En cours"</formula>
    </cfRule>
  </conditionalFormatting>
  <conditionalFormatting sqref="AK180">
    <cfRule type="cellIs" dxfId="5264" priority="300188" stopIfTrue="1" operator="notEqual">
      <formula>"En cours"</formula>
    </cfRule>
  </conditionalFormatting>
  <conditionalFormatting sqref="AJ7">
    <cfRule type="cellIs" dxfId="2299" priority="303153" stopIfTrue="1" operator="equal">
      <formula>"En cours"</formula>
    </cfRule>
  </conditionalFormatting>
  <conditionalFormatting sqref="AJ7">
    <cfRule type="cellIs" dxfId="2298" priority="303154" stopIfTrue="1" operator="notEqual">
      <formula>"En cours"</formula>
    </cfRule>
  </conditionalFormatting>
  <conditionalFormatting sqref="AK7">
    <cfRule type="cellIs" dxfId="2297" priority="303155" stopIfTrue="1" operator="equal">
      <formula>"En cours"</formula>
    </cfRule>
  </conditionalFormatting>
  <conditionalFormatting sqref="AK7">
    <cfRule type="cellIs" dxfId="2296" priority="303156" stopIfTrue="1" operator="notEqual">
      <formula>"En cours"</formula>
    </cfRule>
  </conditionalFormatting>
  <conditionalFormatting sqref="AJ10">
    <cfRule type="cellIs" dxfId="2295" priority="303157" stopIfTrue="1" operator="equal">
      <formula>"En cours"</formula>
    </cfRule>
  </conditionalFormatting>
  <conditionalFormatting sqref="AJ10">
    <cfRule type="cellIs" dxfId="2294" priority="303158" stopIfTrue="1" operator="notEqual">
      <formula>"En cours"</formula>
    </cfRule>
  </conditionalFormatting>
  <conditionalFormatting sqref="AK10">
    <cfRule type="cellIs" dxfId="2293" priority="303159" stopIfTrue="1" operator="equal">
      <formula>"En cours"</formula>
    </cfRule>
  </conditionalFormatting>
  <conditionalFormatting sqref="AK10">
    <cfRule type="cellIs" dxfId="2292" priority="303160" stopIfTrue="1" operator="notEqual">
      <formula>"En cours"</formula>
    </cfRule>
  </conditionalFormatting>
  <conditionalFormatting sqref="AJ8">
    <cfRule type="cellIs" dxfId="2291" priority="303161" stopIfTrue="1" operator="equal">
      <formula>"En cours"</formula>
    </cfRule>
  </conditionalFormatting>
  <conditionalFormatting sqref="AJ8">
    <cfRule type="cellIs" dxfId="2290" priority="303162" stopIfTrue="1" operator="notEqual">
      <formula>"En cours"</formula>
    </cfRule>
  </conditionalFormatting>
  <conditionalFormatting sqref="AK8">
    <cfRule type="cellIs" dxfId="2289" priority="303163" stopIfTrue="1" operator="equal">
      <formula>"En cours"</formula>
    </cfRule>
  </conditionalFormatting>
  <conditionalFormatting sqref="AK8">
    <cfRule type="cellIs" dxfId="2288" priority="303164" stopIfTrue="1" operator="notEqual">
      <formula>"En cours"</formula>
    </cfRule>
  </conditionalFormatting>
  <conditionalFormatting sqref="AJ18">
    <cfRule type="cellIs" dxfId="2251" priority="303201" stopIfTrue="1" operator="equal">
      <formula>"En cours"</formula>
    </cfRule>
  </conditionalFormatting>
  <conditionalFormatting sqref="AJ18">
    <cfRule type="cellIs" dxfId="2250" priority="303202" stopIfTrue="1" operator="notEqual">
      <formula>"En cours"</formula>
    </cfRule>
  </conditionalFormatting>
  <conditionalFormatting sqref="AK18">
    <cfRule type="cellIs" dxfId="2249" priority="303203" stopIfTrue="1" operator="equal">
      <formula>"En cours"</formula>
    </cfRule>
  </conditionalFormatting>
  <conditionalFormatting sqref="AK18">
    <cfRule type="cellIs" dxfId="2248" priority="303204" stopIfTrue="1" operator="notEqual">
      <formula>"En cours"</formula>
    </cfRule>
  </conditionalFormatting>
  <conditionalFormatting sqref="AJ23">
    <cfRule type="cellIs" dxfId="2235" priority="303217" stopIfTrue="1" operator="equal">
      <formula>"En cours"</formula>
    </cfRule>
  </conditionalFormatting>
  <conditionalFormatting sqref="AJ23">
    <cfRule type="cellIs" dxfId="2234" priority="303218" stopIfTrue="1" operator="notEqual">
      <formula>"En cours"</formula>
    </cfRule>
  </conditionalFormatting>
  <conditionalFormatting sqref="AK23">
    <cfRule type="cellIs" dxfId="2233" priority="303219" stopIfTrue="1" operator="equal">
      <formula>"En cours"</formula>
    </cfRule>
  </conditionalFormatting>
  <conditionalFormatting sqref="AK23">
    <cfRule type="cellIs" dxfId="2232" priority="303220" stopIfTrue="1" operator="notEqual">
      <formula>"En cours"</formula>
    </cfRule>
  </conditionalFormatting>
  <conditionalFormatting sqref="AJ28">
    <cfRule type="cellIs" dxfId="2215" priority="303237" stopIfTrue="1" operator="equal">
      <formula>"En cours"</formula>
    </cfRule>
    <cfRule type="cellIs" dxfId="2214" priority="303238" stopIfTrue="1" operator="notEqual">
      <formula>"En cours"</formula>
    </cfRule>
  </conditionalFormatting>
  <conditionalFormatting sqref="AK28">
    <cfRule type="cellIs" dxfId="2213" priority="303239" stopIfTrue="1" operator="equal">
      <formula>"En cours"</formula>
    </cfRule>
  </conditionalFormatting>
  <conditionalFormatting sqref="AK28">
    <cfRule type="cellIs" dxfId="2212" priority="303240" stopIfTrue="1" operator="notEqual">
      <formula>"En cours"</formula>
    </cfRule>
  </conditionalFormatting>
  <conditionalFormatting sqref="AJ33">
    <cfRule type="cellIs" dxfId="2159" priority="303293" stopIfTrue="1" operator="equal">
      <formula>"En cours"</formula>
    </cfRule>
  </conditionalFormatting>
  <conditionalFormatting sqref="AJ33">
    <cfRule type="cellIs" dxfId="2158" priority="303294" stopIfTrue="1" operator="notEqual">
      <formula>"En cours"</formula>
    </cfRule>
  </conditionalFormatting>
  <conditionalFormatting sqref="AK33">
    <cfRule type="cellIs" dxfId="2157" priority="303295" stopIfTrue="1" operator="equal">
      <formula>"En cours"</formula>
    </cfRule>
  </conditionalFormatting>
  <conditionalFormatting sqref="AK33">
    <cfRule type="cellIs" dxfId="2156" priority="303296" stopIfTrue="1" operator="notEqual">
      <formula>"En cours"</formula>
    </cfRule>
  </conditionalFormatting>
  <conditionalFormatting sqref="AJ42">
    <cfRule type="cellIs" dxfId="2151" priority="303301" stopIfTrue="1" operator="equal">
      <formula>"En cours"</formula>
    </cfRule>
  </conditionalFormatting>
  <conditionalFormatting sqref="AJ42">
    <cfRule type="cellIs" dxfId="2150" priority="303302" stopIfTrue="1" operator="notEqual">
      <formula>"En cours"</formula>
    </cfRule>
  </conditionalFormatting>
  <conditionalFormatting sqref="AK42">
    <cfRule type="cellIs" dxfId="2149" priority="303303" stopIfTrue="1" operator="equal">
      <formula>"En cours"</formula>
    </cfRule>
  </conditionalFormatting>
  <conditionalFormatting sqref="AK42">
    <cfRule type="cellIs" dxfId="2148" priority="303304" stopIfTrue="1" operator="notEqual">
      <formula>"En cours"</formula>
    </cfRule>
  </conditionalFormatting>
  <conditionalFormatting sqref="AJ49">
    <cfRule type="cellIs" dxfId="2147" priority="303305" stopIfTrue="1" operator="equal">
      <formula>"En cours"</formula>
    </cfRule>
    <cfRule type="cellIs" dxfId="2146" priority="303306" stopIfTrue="1" operator="notEqual">
      <formula>"En cours"</formula>
    </cfRule>
  </conditionalFormatting>
  <conditionalFormatting sqref="AK49">
    <cfRule type="cellIs" dxfId="2145" priority="303307" stopIfTrue="1" operator="equal">
      <formula>"En cours"</formula>
    </cfRule>
    <cfRule type="cellIs" dxfId="2144" priority="303308" stopIfTrue="1" operator="notEqual">
      <formula>"En cours"</formula>
    </cfRule>
  </conditionalFormatting>
  <conditionalFormatting sqref="AJ48">
    <cfRule type="cellIs" dxfId="2139" priority="303313" stopIfTrue="1" operator="equal">
      <formula>"En cours"</formula>
    </cfRule>
    <cfRule type="cellIs" dxfId="2138" priority="303314" stopIfTrue="1" operator="notEqual">
      <formula>"En cours"</formula>
    </cfRule>
  </conditionalFormatting>
  <conditionalFormatting sqref="AK48">
    <cfRule type="cellIs" dxfId="2137" priority="303315" stopIfTrue="1" operator="equal">
      <formula>"En cours"</formula>
    </cfRule>
    <cfRule type="cellIs" dxfId="2136" priority="303316" stopIfTrue="1" operator="notEqual">
      <formula>"En cours"</formula>
    </cfRule>
  </conditionalFormatting>
  <conditionalFormatting sqref="AJ56">
    <cfRule type="cellIs" dxfId="2079" priority="303373" stopIfTrue="1" operator="equal">
      <formula>"En cours"</formula>
    </cfRule>
  </conditionalFormatting>
  <conditionalFormatting sqref="AJ56">
    <cfRule type="cellIs" dxfId="2078" priority="303374" stopIfTrue="1" operator="notEqual">
      <formula>"En cours"</formula>
    </cfRule>
  </conditionalFormatting>
  <conditionalFormatting sqref="AK56">
    <cfRule type="cellIs" dxfId="2077" priority="303375" stopIfTrue="1" operator="equal">
      <formula>"En cours"</formula>
    </cfRule>
  </conditionalFormatting>
  <conditionalFormatting sqref="AK56">
    <cfRule type="cellIs" dxfId="2076" priority="303376" stopIfTrue="1" operator="notEqual">
      <formula>"En cours"</formula>
    </cfRule>
  </conditionalFormatting>
  <conditionalFormatting sqref="AJ62">
    <cfRule type="cellIs" dxfId="2059" priority="303393" stopIfTrue="1" operator="equal">
      <formula>"En cours"</formula>
    </cfRule>
  </conditionalFormatting>
  <conditionalFormatting sqref="AJ62">
    <cfRule type="cellIs" dxfId="2058" priority="303394" stopIfTrue="1" operator="notEqual">
      <formula>"En cours"</formula>
    </cfRule>
  </conditionalFormatting>
  <conditionalFormatting sqref="AK62">
    <cfRule type="cellIs" dxfId="2057" priority="303395" stopIfTrue="1" operator="equal">
      <formula>"En cours"</formula>
    </cfRule>
  </conditionalFormatting>
  <conditionalFormatting sqref="AK62">
    <cfRule type="cellIs" dxfId="2056" priority="303396" stopIfTrue="1" operator="notEqual">
      <formula>"En cours"</formula>
    </cfRule>
  </conditionalFormatting>
  <conditionalFormatting sqref="AJ77">
    <cfRule type="cellIs" dxfId="2011" priority="303441" stopIfTrue="1" operator="equal">
      <formula>"En cours"</formula>
    </cfRule>
  </conditionalFormatting>
  <conditionalFormatting sqref="AJ77">
    <cfRule type="cellIs" dxfId="2010" priority="303442" stopIfTrue="1" operator="notEqual">
      <formula>"En cours"</formula>
    </cfRule>
  </conditionalFormatting>
  <conditionalFormatting sqref="AK77">
    <cfRule type="cellIs" dxfId="2009" priority="303443" stopIfTrue="1" operator="equal">
      <formula>"En cours"</formula>
    </cfRule>
  </conditionalFormatting>
  <conditionalFormatting sqref="AK77">
    <cfRule type="cellIs" dxfId="2008" priority="303444" stopIfTrue="1" operator="notEqual">
      <formula>"En cours"</formula>
    </cfRule>
  </conditionalFormatting>
  <conditionalFormatting sqref="AJ12">
    <cfRule type="cellIs" dxfId="2003" priority="303449" stopIfTrue="1" operator="equal">
      <formula>"En cours"</formula>
    </cfRule>
  </conditionalFormatting>
  <conditionalFormatting sqref="AJ12">
    <cfRule type="cellIs" dxfId="2002" priority="303450" stopIfTrue="1" operator="notEqual">
      <formula>"En cours"</formula>
    </cfRule>
  </conditionalFormatting>
  <conditionalFormatting sqref="AK12">
    <cfRule type="cellIs" dxfId="2001" priority="303451" stopIfTrue="1" operator="equal">
      <formula>"En cours"</formula>
    </cfRule>
  </conditionalFormatting>
  <conditionalFormatting sqref="AK12">
    <cfRule type="cellIs" dxfId="2000" priority="303452" stopIfTrue="1" operator="notEqual">
      <formula>"En cours"</formula>
    </cfRule>
  </conditionalFormatting>
  <conditionalFormatting sqref="AJ5">
    <cfRule type="cellIs" dxfId="1999" priority="303453" stopIfTrue="1" operator="equal">
      <formula>"En cours"</formula>
    </cfRule>
  </conditionalFormatting>
  <conditionalFormatting sqref="AJ5">
    <cfRule type="cellIs" dxfId="1998" priority="303454" stopIfTrue="1" operator="notEqual">
      <formula>"En cours"</formula>
    </cfRule>
  </conditionalFormatting>
  <conditionalFormatting sqref="AK5">
    <cfRule type="cellIs" dxfId="1997" priority="303455" stopIfTrue="1" operator="equal">
      <formula>"En cours"</formula>
    </cfRule>
  </conditionalFormatting>
  <conditionalFormatting sqref="AK5">
    <cfRule type="cellIs" dxfId="1996" priority="303456" stopIfTrue="1" operator="notEqual">
      <formula>"En cours"</formula>
    </cfRule>
  </conditionalFormatting>
  <conditionalFormatting sqref="AJ20">
    <cfRule type="cellIs" dxfId="1995" priority="303457" stopIfTrue="1" operator="equal">
      <formula>"En cours"</formula>
    </cfRule>
    <cfRule type="cellIs" dxfId="1994" priority="303458" stopIfTrue="1" operator="notEqual">
      <formula>"En cours"</formula>
    </cfRule>
  </conditionalFormatting>
  <conditionalFormatting sqref="AK20">
    <cfRule type="cellIs" dxfId="1993" priority="303459" stopIfTrue="1" operator="equal">
      <formula>"En cours"</formula>
    </cfRule>
    <cfRule type="cellIs" dxfId="1992" priority="303460" stopIfTrue="1" operator="notEqual">
      <formula>"En cours"</formula>
    </cfRule>
  </conditionalFormatting>
  <conditionalFormatting sqref="AJ82">
    <cfRule type="cellIs" dxfId="1991" priority="303461" stopIfTrue="1" operator="equal">
      <formula>"En cours"</formula>
    </cfRule>
  </conditionalFormatting>
  <conditionalFormatting sqref="AJ82">
    <cfRule type="cellIs" dxfId="1990" priority="303462" stopIfTrue="1" operator="notEqual">
      <formula>"En cours"</formula>
    </cfRule>
  </conditionalFormatting>
  <conditionalFormatting sqref="AK82">
    <cfRule type="cellIs" dxfId="1989" priority="303463" stopIfTrue="1" operator="equal">
      <formula>"En cours"</formula>
    </cfRule>
  </conditionalFormatting>
  <conditionalFormatting sqref="AK82">
    <cfRule type="cellIs" dxfId="1988" priority="303464" stopIfTrue="1" operator="notEqual">
      <formula>"En cours"</formula>
    </cfRule>
  </conditionalFormatting>
  <conditionalFormatting sqref="AJ17">
    <cfRule type="cellIs" dxfId="1987" priority="303465" stopIfTrue="1" operator="equal">
      <formula>"En cours"</formula>
    </cfRule>
    <cfRule type="cellIs" dxfId="1986" priority="303466" stopIfTrue="1" operator="notEqual">
      <formula>"En cours"</formula>
    </cfRule>
  </conditionalFormatting>
  <conditionalFormatting sqref="AK17">
    <cfRule type="cellIs" dxfId="1985" priority="303467" stopIfTrue="1" operator="equal">
      <formula>"En cours"</formula>
    </cfRule>
    <cfRule type="cellIs" dxfId="1984" priority="303468" stopIfTrue="1" operator="notEqual">
      <formula>"En cours"</formula>
    </cfRule>
  </conditionalFormatting>
  <conditionalFormatting sqref="AJ78">
    <cfRule type="cellIs" dxfId="1979" priority="303473" stopIfTrue="1" operator="equal">
      <formula>"En cours"</formula>
    </cfRule>
  </conditionalFormatting>
  <conditionalFormatting sqref="AJ78">
    <cfRule type="cellIs" dxfId="1978" priority="303474" stopIfTrue="1" operator="notEqual">
      <formula>"En cours"</formula>
    </cfRule>
  </conditionalFormatting>
  <conditionalFormatting sqref="AK78">
    <cfRule type="cellIs" dxfId="1977" priority="303475" stopIfTrue="1" operator="equal">
      <formula>"En cours"</formula>
    </cfRule>
  </conditionalFormatting>
  <conditionalFormatting sqref="AK78">
    <cfRule type="cellIs" dxfId="1976" priority="303476" stopIfTrue="1" operator="notEqual">
      <formula>"En cours"</formula>
    </cfRule>
  </conditionalFormatting>
  <conditionalFormatting sqref="AJ80">
    <cfRule type="cellIs" dxfId="1975" priority="303477" stopIfTrue="1" operator="equal">
      <formula>"En cours"</formula>
    </cfRule>
  </conditionalFormatting>
  <conditionalFormatting sqref="AJ80">
    <cfRule type="cellIs" dxfId="1974" priority="303478" stopIfTrue="1" operator="notEqual">
      <formula>"En cours"</formula>
    </cfRule>
  </conditionalFormatting>
  <conditionalFormatting sqref="AK80">
    <cfRule type="cellIs" dxfId="1973" priority="303479" stopIfTrue="1" operator="equal">
      <formula>"En cours"</formula>
    </cfRule>
  </conditionalFormatting>
  <conditionalFormatting sqref="AK80">
    <cfRule type="cellIs" dxfId="1972" priority="303480" stopIfTrue="1" operator="notEqual">
      <formula>"En cours"</formula>
    </cfRule>
  </conditionalFormatting>
  <conditionalFormatting sqref="AJ79">
    <cfRule type="cellIs" dxfId="1971" priority="303481" stopIfTrue="1" operator="equal">
      <formula>"En cours"</formula>
    </cfRule>
  </conditionalFormatting>
  <conditionalFormatting sqref="AJ79">
    <cfRule type="cellIs" dxfId="1970" priority="303482" stopIfTrue="1" operator="notEqual">
      <formula>"En cours"</formula>
    </cfRule>
  </conditionalFormatting>
  <conditionalFormatting sqref="AK79">
    <cfRule type="cellIs" dxfId="1969" priority="303483" stopIfTrue="1" operator="equal">
      <formula>"En cours"</formula>
    </cfRule>
  </conditionalFormatting>
  <conditionalFormatting sqref="AK79">
    <cfRule type="cellIs" dxfId="1968" priority="303484" stopIfTrue="1" operator="notEqual">
      <formula>"En cours"</formula>
    </cfRule>
  </conditionalFormatting>
  <conditionalFormatting sqref="AJ15">
    <cfRule type="cellIs" dxfId="1967" priority="303485" stopIfTrue="1" operator="equal">
      <formula>"En cours"</formula>
    </cfRule>
  </conditionalFormatting>
  <conditionalFormatting sqref="AJ15">
    <cfRule type="cellIs" dxfId="1966" priority="303486" stopIfTrue="1" operator="notEqual">
      <formula>"En cours"</formula>
    </cfRule>
  </conditionalFormatting>
  <conditionalFormatting sqref="AK15">
    <cfRule type="cellIs" dxfId="1965" priority="303487" stopIfTrue="1" operator="equal">
      <formula>"En cours"</formula>
    </cfRule>
  </conditionalFormatting>
  <conditionalFormatting sqref="AK15">
    <cfRule type="cellIs" dxfId="1964" priority="303488" stopIfTrue="1" operator="notEqual">
      <formula>"En cours"</formula>
    </cfRule>
  </conditionalFormatting>
  <conditionalFormatting sqref="AJ4">
    <cfRule type="cellIs" dxfId="1959" priority="303493" stopIfTrue="1" operator="equal">
      <formula>"En cours"</formula>
    </cfRule>
  </conditionalFormatting>
  <conditionalFormatting sqref="AJ4">
    <cfRule type="cellIs" dxfId="1958" priority="303494" stopIfTrue="1" operator="notEqual">
      <formula>"En cours"</formula>
    </cfRule>
  </conditionalFormatting>
  <conditionalFormatting sqref="AK4">
    <cfRule type="cellIs" dxfId="1957" priority="303495" stopIfTrue="1" operator="equal">
      <formula>"En cours"</formula>
    </cfRule>
  </conditionalFormatting>
  <conditionalFormatting sqref="AK4">
    <cfRule type="cellIs" dxfId="1956" priority="303496" stopIfTrue="1" operator="notEqual">
      <formula>"En cours"</formula>
    </cfRule>
  </conditionalFormatting>
  <conditionalFormatting sqref="AJ81">
    <cfRule type="cellIs" dxfId="1955" priority="303497" stopIfTrue="1" operator="equal">
      <formula>"En cours"</formula>
    </cfRule>
  </conditionalFormatting>
  <conditionalFormatting sqref="AJ81">
    <cfRule type="cellIs" dxfId="1954" priority="303498" stopIfTrue="1" operator="notEqual">
      <formula>"En cours"</formula>
    </cfRule>
  </conditionalFormatting>
  <conditionalFormatting sqref="AK81">
    <cfRule type="cellIs" dxfId="1953" priority="303499" stopIfTrue="1" operator="equal">
      <formula>"En cours"</formula>
    </cfRule>
  </conditionalFormatting>
  <conditionalFormatting sqref="AK81">
    <cfRule type="cellIs" dxfId="1952" priority="303500" stopIfTrue="1" operator="notEqual">
      <formula>"En cours"</formula>
    </cfRule>
  </conditionalFormatting>
  <conditionalFormatting sqref="AJ9">
    <cfRule type="cellIs" dxfId="1951" priority="303501" stopIfTrue="1" operator="equal">
      <formula>"En cours"</formula>
    </cfRule>
  </conditionalFormatting>
  <conditionalFormatting sqref="AJ9">
    <cfRule type="cellIs" dxfId="1950" priority="303502" stopIfTrue="1" operator="notEqual">
      <formula>"En cours"</formula>
    </cfRule>
  </conditionalFormatting>
  <conditionalFormatting sqref="AK9">
    <cfRule type="cellIs" dxfId="1949" priority="303503" stopIfTrue="1" operator="equal">
      <formula>"En cours"</formula>
    </cfRule>
  </conditionalFormatting>
  <conditionalFormatting sqref="AK9">
    <cfRule type="cellIs" dxfId="1948" priority="303504" stopIfTrue="1" operator="notEqual">
      <formula>"En cours"</formula>
    </cfRule>
  </conditionalFormatting>
  <conditionalFormatting sqref="AJ30">
    <cfRule type="cellIs" dxfId="1947" priority="303505" stopIfTrue="1" operator="equal">
      <formula>"En cours"</formula>
    </cfRule>
  </conditionalFormatting>
  <conditionalFormatting sqref="AJ30">
    <cfRule type="cellIs" dxfId="1946" priority="303506" stopIfTrue="1" operator="notEqual">
      <formula>"En cours"</formula>
    </cfRule>
  </conditionalFormatting>
  <conditionalFormatting sqref="AK30">
    <cfRule type="cellIs" dxfId="1945" priority="303507" stopIfTrue="1" operator="equal">
      <formula>"En cours"</formula>
    </cfRule>
  </conditionalFormatting>
  <conditionalFormatting sqref="AK30">
    <cfRule type="cellIs" dxfId="1944" priority="303508" stopIfTrue="1" operator="notEqual">
      <formula>"En cours"</formula>
    </cfRule>
  </conditionalFormatting>
  <conditionalFormatting sqref="AJ25">
    <cfRule type="cellIs" dxfId="1943" priority="303509" stopIfTrue="1" operator="equal">
      <formula>"En cours"</formula>
    </cfRule>
  </conditionalFormatting>
  <conditionalFormatting sqref="AJ25">
    <cfRule type="cellIs" dxfId="1942" priority="303510" stopIfTrue="1" operator="notEqual">
      <formula>"En cours"</formula>
    </cfRule>
  </conditionalFormatting>
  <conditionalFormatting sqref="AK25">
    <cfRule type="cellIs" dxfId="1941" priority="303511" stopIfTrue="1" operator="equal">
      <formula>"En cours"</formula>
    </cfRule>
  </conditionalFormatting>
  <conditionalFormatting sqref="AK25">
    <cfRule type="cellIs" dxfId="1940" priority="303512" stopIfTrue="1" operator="notEqual">
      <formula>"En cours"</formula>
    </cfRule>
  </conditionalFormatting>
  <conditionalFormatting sqref="AJ87">
    <cfRule type="cellIs" dxfId="1935" priority="303517" stopIfTrue="1" operator="equal">
      <formula>"En cours"</formula>
    </cfRule>
  </conditionalFormatting>
  <conditionalFormatting sqref="AJ87">
    <cfRule type="cellIs" dxfId="1934" priority="303518" stopIfTrue="1" operator="notEqual">
      <formula>"En cours"</formula>
    </cfRule>
  </conditionalFormatting>
  <conditionalFormatting sqref="AK87">
    <cfRule type="cellIs" dxfId="1933" priority="303519" stopIfTrue="1" operator="equal">
      <formula>"En cours"</formula>
    </cfRule>
  </conditionalFormatting>
  <conditionalFormatting sqref="AK87">
    <cfRule type="cellIs" dxfId="1932" priority="303520" stopIfTrue="1" operator="notEqual">
      <formula>"En cours"</formula>
    </cfRule>
  </conditionalFormatting>
  <conditionalFormatting sqref="AJ84">
    <cfRule type="cellIs" dxfId="1927" priority="303525" stopIfTrue="1" operator="equal">
      <formula>"En cours"</formula>
    </cfRule>
  </conditionalFormatting>
  <conditionalFormatting sqref="AJ84">
    <cfRule type="cellIs" dxfId="1926" priority="303526" stopIfTrue="1" operator="notEqual">
      <formula>"En cours"</formula>
    </cfRule>
  </conditionalFormatting>
  <conditionalFormatting sqref="AK84">
    <cfRule type="cellIs" dxfId="1925" priority="303527" stopIfTrue="1" operator="equal">
      <formula>"En cours"</formula>
    </cfRule>
  </conditionalFormatting>
  <conditionalFormatting sqref="AK84">
    <cfRule type="cellIs" dxfId="1924" priority="303528" stopIfTrue="1" operator="notEqual">
      <formula>"En cours"</formula>
    </cfRule>
  </conditionalFormatting>
  <conditionalFormatting sqref="AJ85">
    <cfRule type="cellIs" dxfId="1911" priority="303541" stopIfTrue="1" operator="equal">
      <formula>"En cours"</formula>
    </cfRule>
  </conditionalFormatting>
  <conditionalFormatting sqref="AJ85">
    <cfRule type="cellIs" dxfId="1910" priority="303542" stopIfTrue="1" operator="notEqual">
      <formula>"En cours"</formula>
    </cfRule>
  </conditionalFormatting>
  <conditionalFormatting sqref="AK85">
    <cfRule type="cellIs" dxfId="1909" priority="303543" stopIfTrue="1" operator="equal">
      <formula>"En cours"</formula>
    </cfRule>
  </conditionalFormatting>
  <conditionalFormatting sqref="AK85">
    <cfRule type="cellIs" dxfId="1908" priority="303544" stopIfTrue="1" operator="notEqual">
      <formula>"En cours"</formula>
    </cfRule>
  </conditionalFormatting>
  <conditionalFormatting sqref="AJ34">
    <cfRule type="cellIs" dxfId="1903" priority="303549" stopIfTrue="1" operator="equal">
      <formula>"En cours"</formula>
    </cfRule>
  </conditionalFormatting>
  <conditionalFormatting sqref="AJ34">
    <cfRule type="cellIs" dxfId="1902" priority="303550" stopIfTrue="1" operator="notEqual">
      <formula>"En cours"</formula>
    </cfRule>
  </conditionalFormatting>
  <conditionalFormatting sqref="AK34">
    <cfRule type="cellIs" dxfId="1901" priority="303551" stopIfTrue="1" operator="equal">
      <formula>"En cours"</formula>
    </cfRule>
  </conditionalFormatting>
  <conditionalFormatting sqref="AK34">
    <cfRule type="cellIs" dxfId="1900" priority="303552" stopIfTrue="1" operator="notEqual">
      <formula>"En cours"</formula>
    </cfRule>
  </conditionalFormatting>
  <conditionalFormatting sqref="AJ91">
    <cfRule type="cellIs" dxfId="1899" priority="303553" stopIfTrue="1" operator="equal">
      <formula>"En cours"</formula>
    </cfRule>
  </conditionalFormatting>
  <conditionalFormatting sqref="AJ91">
    <cfRule type="cellIs" dxfId="1898" priority="303554" stopIfTrue="1" operator="notEqual">
      <formula>"En cours"</formula>
    </cfRule>
  </conditionalFormatting>
  <conditionalFormatting sqref="AK91">
    <cfRule type="cellIs" dxfId="1897" priority="303555" stopIfTrue="1" operator="equal">
      <formula>"En cours"</formula>
    </cfRule>
  </conditionalFormatting>
  <conditionalFormatting sqref="AK91">
    <cfRule type="cellIs" dxfId="1896" priority="303556" stopIfTrue="1" operator="notEqual">
      <formula>"En cours"</formula>
    </cfRule>
  </conditionalFormatting>
  <conditionalFormatting sqref="AJ88">
    <cfRule type="cellIs" dxfId="1883" priority="303569" stopIfTrue="1" operator="equal">
      <formula>"En cours"</formula>
    </cfRule>
  </conditionalFormatting>
  <conditionalFormatting sqref="AJ88">
    <cfRule type="cellIs" dxfId="1882" priority="303570" stopIfTrue="1" operator="notEqual">
      <formula>"En cours"</formula>
    </cfRule>
  </conditionalFormatting>
  <conditionalFormatting sqref="AK88">
    <cfRule type="cellIs" dxfId="1881" priority="303571" stopIfTrue="1" operator="equal">
      <formula>"En cours"</formula>
    </cfRule>
  </conditionalFormatting>
  <conditionalFormatting sqref="AK88">
    <cfRule type="cellIs" dxfId="1880" priority="303572" stopIfTrue="1" operator="notEqual">
      <formula>"En cours"</formula>
    </cfRule>
  </conditionalFormatting>
  <conditionalFormatting sqref="AJ36">
    <cfRule type="cellIs" dxfId="1875" priority="303577" stopIfTrue="1" operator="equal">
      <formula>"En cours"</formula>
    </cfRule>
  </conditionalFormatting>
  <conditionalFormatting sqref="AJ36">
    <cfRule type="cellIs" dxfId="1874" priority="303578" stopIfTrue="1" operator="notEqual">
      <formula>"En cours"</formula>
    </cfRule>
  </conditionalFormatting>
  <conditionalFormatting sqref="AK36">
    <cfRule type="cellIs" dxfId="1873" priority="303579" stopIfTrue="1" operator="equal">
      <formula>"En cours"</formula>
    </cfRule>
  </conditionalFormatting>
  <conditionalFormatting sqref="AK36">
    <cfRule type="cellIs" dxfId="1872" priority="303580" stopIfTrue="1" operator="notEqual">
      <formula>"En cours"</formula>
    </cfRule>
  </conditionalFormatting>
  <conditionalFormatting sqref="AJ55">
    <cfRule type="cellIs" dxfId="1867" priority="303585" stopIfTrue="1" operator="equal">
      <formula>"En cours"</formula>
    </cfRule>
  </conditionalFormatting>
  <conditionalFormatting sqref="AJ55">
    <cfRule type="cellIs" dxfId="1866" priority="303586" stopIfTrue="1" operator="notEqual">
      <formula>"En cours"</formula>
    </cfRule>
  </conditionalFormatting>
  <conditionalFormatting sqref="AK55">
    <cfRule type="cellIs" dxfId="1865" priority="303587" stopIfTrue="1" operator="equal">
      <formula>"En cours"</formula>
    </cfRule>
  </conditionalFormatting>
  <conditionalFormatting sqref="AK55">
    <cfRule type="cellIs" dxfId="1864" priority="303588" stopIfTrue="1" operator="notEqual">
      <formula>"En cours"</formula>
    </cfRule>
  </conditionalFormatting>
  <conditionalFormatting sqref="AJ31">
    <cfRule type="cellIs" dxfId="1851" priority="303601" stopIfTrue="1" operator="equal">
      <formula>"En cours"</formula>
    </cfRule>
  </conditionalFormatting>
  <conditionalFormatting sqref="AJ31">
    <cfRule type="cellIs" dxfId="1850" priority="303602" stopIfTrue="1" operator="notEqual">
      <formula>"En cours"</formula>
    </cfRule>
  </conditionalFormatting>
  <conditionalFormatting sqref="AK31">
    <cfRule type="cellIs" dxfId="1849" priority="303603" stopIfTrue="1" operator="equal">
      <formula>"En cours"</formula>
    </cfRule>
  </conditionalFormatting>
  <conditionalFormatting sqref="AK31">
    <cfRule type="cellIs" dxfId="1848" priority="303604" stopIfTrue="1" operator="notEqual">
      <formula>"En cours"</formula>
    </cfRule>
  </conditionalFormatting>
  <conditionalFormatting sqref="AJ96">
    <cfRule type="cellIs" dxfId="1839" priority="303613" stopIfTrue="1" operator="equal">
      <formula>"En cours"</formula>
    </cfRule>
  </conditionalFormatting>
  <conditionalFormatting sqref="AJ96">
    <cfRule type="cellIs" dxfId="1838" priority="303614" stopIfTrue="1" operator="notEqual">
      <formula>"En cours"</formula>
    </cfRule>
  </conditionalFormatting>
  <conditionalFormatting sqref="AK96">
    <cfRule type="cellIs" dxfId="1837" priority="303615" stopIfTrue="1" operator="equal">
      <formula>"En cours"</formula>
    </cfRule>
  </conditionalFormatting>
  <conditionalFormatting sqref="AK96">
    <cfRule type="cellIs" dxfId="1836" priority="303616" stopIfTrue="1" operator="notEqual">
      <formula>"En cours"</formula>
    </cfRule>
  </conditionalFormatting>
  <conditionalFormatting sqref="AJ98">
    <cfRule type="cellIs" dxfId="1835" priority="303617" stopIfTrue="1" operator="equal">
      <formula>"En cours"</formula>
    </cfRule>
  </conditionalFormatting>
  <conditionalFormatting sqref="AJ98">
    <cfRule type="cellIs" dxfId="1834" priority="303618" stopIfTrue="1" operator="notEqual">
      <formula>"En cours"</formula>
    </cfRule>
  </conditionalFormatting>
  <conditionalFormatting sqref="AK98">
    <cfRule type="cellIs" dxfId="1833" priority="303619" stopIfTrue="1" operator="equal">
      <formula>"En cours"</formula>
    </cfRule>
  </conditionalFormatting>
  <conditionalFormatting sqref="AK98">
    <cfRule type="cellIs" dxfId="1832" priority="303620" stopIfTrue="1" operator="notEqual">
      <formula>"En cours"</formula>
    </cfRule>
  </conditionalFormatting>
  <conditionalFormatting sqref="AJ93">
    <cfRule type="cellIs" dxfId="1827" priority="303625" stopIfTrue="1" operator="equal">
      <formula>"En cours"</formula>
    </cfRule>
  </conditionalFormatting>
  <conditionalFormatting sqref="AJ93">
    <cfRule type="cellIs" dxfId="1826" priority="303626" stopIfTrue="1" operator="notEqual">
      <formula>"En cours"</formula>
    </cfRule>
  </conditionalFormatting>
  <conditionalFormatting sqref="AK93">
    <cfRule type="cellIs" dxfId="1825" priority="303627" stopIfTrue="1" operator="equal">
      <formula>"En cours"</formula>
    </cfRule>
  </conditionalFormatting>
  <conditionalFormatting sqref="AK93">
    <cfRule type="cellIs" dxfId="1824" priority="303628" stopIfTrue="1" operator="notEqual">
      <formula>"En cours"</formula>
    </cfRule>
  </conditionalFormatting>
  <conditionalFormatting sqref="AJ44">
    <cfRule type="cellIs" dxfId="1811" priority="303641" stopIfTrue="1" operator="equal">
      <formula>"En cours"</formula>
    </cfRule>
  </conditionalFormatting>
  <conditionalFormatting sqref="AJ44">
    <cfRule type="cellIs" dxfId="1810" priority="303642" stopIfTrue="1" operator="notEqual">
      <formula>"En cours"</formula>
    </cfRule>
  </conditionalFormatting>
  <conditionalFormatting sqref="AK44">
    <cfRule type="cellIs" dxfId="1809" priority="303643" stopIfTrue="1" operator="equal">
      <formula>"En cours"</formula>
    </cfRule>
  </conditionalFormatting>
  <conditionalFormatting sqref="AK44">
    <cfRule type="cellIs" dxfId="1808" priority="303644" stopIfTrue="1" operator="notEqual">
      <formula>"En cours"</formula>
    </cfRule>
  </conditionalFormatting>
  <conditionalFormatting sqref="AJ21">
    <cfRule type="cellIs" dxfId="1791" priority="303661" stopIfTrue="1" operator="equal">
      <formula>"En cours"</formula>
    </cfRule>
    <cfRule type="cellIs" dxfId="1790" priority="303662" stopIfTrue="1" operator="notEqual">
      <formula>"En cours"</formula>
    </cfRule>
  </conditionalFormatting>
  <conditionalFormatting sqref="AK21">
    <cfRule type="cellIs" dxfId="1789" priority="303663" stopIfTrue="1" operator="equal">
      <formula>"En cours"</formula>
    </cfRule>
    <cfRule type="cellIs" dxfId="1788" priority="303664" stopIfTrue="1" operator="notEqual">
      <formula>"En cours"</formula>
    </cfRule>
  </conditionalFormatting>
  <conditionalFormatting sqref="AJ100">
    <cfRule type="cellIs" dxfId="1787" priority="303665" stopIfTrue="1" operator="equal">
      <formula>"En cours"</formula>
    </cfRule>
  </conditionalFormatting>
  <conditionalFormatting sqref="AJ100">
    <cfRule type="cellIs" dxfId="1786" priority="303666" stopIfTrue="1" operator="notEqual">
      <formula>"En cours"</formula>
    </cfRule>
  </conditionalFormatting>
  <conditionalFormatting sqref="AK100">
    <cfRule type="cellIs" dxfId="1785" priority="303667" stopIfTrue="1" operator="equal">
      <formula>"En cours"</formula>
    </cfRule>
  </conditionalFormatting>
  <conditionalFormatting sqref="AK100">
    <cfRule type="cellIs" dxfId="1784" priority="303668" stopIfTrue="1" operator="notEqual">
      <formula>"En cours"</formula>
    </cfRule>
  </conditionalFormatting>
  <conditionalFormatting sqref="AJ102">
    <cfRule type="cellIs" dxfId="1775" priority="303677" stopIfTrue="1" operator="equal">
      <formula>"En cours"</formula>
    </cfRule>
  </conditionalFormatting>
  <conditionalFormatting sqref="AJ102">
    <cfRule type="cellIs" dxfId="1774" priority="303678" stopIfTrue="1" operator="notEqual">
      <formula>"En cours"</formula>
    </cfRule>
  </conditionalFormatting>
  <conditionalFormatting sqref="AK102">
    <cfRule type="cellIs" dxfId="1773" priority="303679" stopIfTrue="1" operator="equal">
      <formula>"En cours"</formula>
    </cfRule>
  </conditionalFormatting>
  <conditionalFormatting sqref="AK102">
    <cfRule type="cellIs" dxfId="1772" priority="303680" stopIfTrue="1" operator="notEqual">
      <formula>"En cours"</formula>
    </cfRule>
  </conditionalFormatting>
  <conditionalFormatting sqref="AJ106">
    <cfRule type="cellIs" dxfId="1759" priority="303693" stopIfTrue="1" operator="equal">
      <formula>"En cours"</formula>
    </cfRule>
  </conditionalFormatting>
  <conditionalFormatting sqref="AJ106">
    <cfRule type="cellIs" dxfId="1758" priority="303694" stopIfTrue="1" operator="notEqual">
      <formula>"En cours"</formula>
    </cfRule>
  </conditionalFormatting>
  <conditionalFormatting sqref="AK106">
    <cfRule type="cellIs" dxfId="1757" priority="303695" stopIfTrue="1" operator="equal">
      <formula>"En cours"</formula>
    </cfRule>
  </conditionalFormatting>
  <conditionalFormatting sqref="AK106">
    <cfRule type="cellIs" dxfId="1756" priority="303696" stopIfTrue="1" operator="notEqual">
      <formula>"En cours"</formula>
    </cfRule>
  </conditionalFormatting>
  <conditionalFormatting sqref="AJ108">
    <cfRule type="cellIs" dxfId="1755" priority="303697" stopIfTrue="1" operator="equal">
      <formula>"En cours"</formula>
    </cfRule>
  </conditionalFormatting>
  <conditionalFormatting sqref="AJ108">
    <cfRule type="cellIs" dxfId="1754" priority="303698" stopIfTrue="1" operator="notEqual">
      <formula>"En cours"</formula>
    </cfRule>
  </conditionalFormatting>
  <conditionalFormatting sqref="AK108">
    <cfRule type="cellIs" dxfId="1753" priority="303699" stopIfTrue="1" operator="equal">
      <formula>"En cours"</formula>
    </cfRule>
  </conditionalFormatting>
  <conditionalFormatting sqref="AK108">
    <cfRule type="cellIs" dxfId="1752" priority="303700" stopIfTrue="1" operator="notEqual">
      <formula>"En cours"</formula>
    </cfRule>
  </conditionalFormatting>
  <conditionalFormatting sqref="AJ75">
    <cfRule type="cellIs" dxfId="1751" priority="303701" stopIfTrue="1" operator="equal">
      <formula>"En cours"</formula>
    </cfRule>
  </conditionalFormatting>
  <conditionalFormatting sqref="AJ75">
    <cfRule type="cellIs" dxfId="1750" priority="303702" stopIfTrue="1" operator="notEqual">
      <formula>"En cours"</formula>
    </cfRule>
  </conditionalFormatting>
  <conditionalFormatting sqref="AK75">
    <cfRule type="cellIs" dxfId="1749" priority="303703" stopIfTrue="1" operator="equal">
      <formula>"En cours"</formula>
    </cfRule>
  </conditionalFormatting>
  <conditionalFormatting sqref="AK75">
    <cfRule type="cellIs" dxfId="1748" priority="303704" stopIfTrue="1" operator="notEqual">
      <formula>"En cours"</formula>
    </cfRule>
  </conditionalFormatting>
  <conditionalFormatting sqref="AJ107">
    <cfRule type="cellIs" dxfId="1747" priority="303705" stopIfTrue="1" operator="equal">
      <formula>"En cours"</formula>
    </cfRule>
  </conditionalFormatting>
  <conditionalFormatting sqref="AJ107">
    <cfRule type="cellIs" dxfId="1746" priority="303706" stopIfTrue="1" operator="notEqual">
      <formula>"En cours"</formula>
    </cfRule>
  </conditionalFormatting>
  <conditionalFormatting sqref="AK107">
    <cfRule type="cellIs" dxfId="1745" priority="303707" stopIfTrue="1" operator="equal">
      <formula>"En cours"</formula>
    </cfRule>
  </conditionalFormatting>
  <conditionalFormatting sqref="AK107">
    <cfRule type="cellIs" dxfId="1744" priority="303708" stopIfTrue="1" operator="notEqual">
      <formula>"En cours"</formula>
    </cfRule>
  </conditionalFormatting>
  <conditionalFormatting sqref="AJ111">
    <cfRule type="cellIs" dxfId="1743" priority="303709" stopIfTrue="1" operator="equal">
      <formula>"En cours"</formula>
    </cfRule>
  </conditionalFormatting>
  <conditionalFormatting sqref="AJ111">
    <cfRule type="cellIs" dxfId="1742" priority="303710" stopIfTrue="1" operator="notEqual">
      <formula>"En cours"</formula>
    </cfRule>
  </conditionalFormatting>
  <conditionalFormatting sqref="AK111">
    <cfRule type="cellIs" dxfId="1741" priority="303711" stopIfTrue="1" operator="equal">
      <formula>"En cours"</formula>
    </cfRule>
  </conditionalFormatting>
  <conditionalFormatting sqref="AK111">
    <cfRule type="cellIs" dxfId="1740" priority="303712" stopIfTrue="1" operator="notEqual">
      <formula>"En cours"</formula>
    </cfRule>
  </conditionalFormatting>
  <conditionalFormatting sqref="AJ71">
    <cfRule type="cellIs" dxfId="1739" priority="303713" stopIfTrue="1" operator="equal">
      <formula>"En cours"</formula>
    </cfRule>
  </conditionalFormatting>
  <conditionalFormatting sqref="AJ71">
    <cfRule type="cellIs" dxfId="1738" priority="303714" stopIfTrue="1" operator="notEqual">
      <formula>"En cours"</formula>
    </cfRule>
  </conditionalFormatting>
  <conditionalFormatting sqref="AK71">
    <cfRule type="cellIs" dxfId="1737" priority="303715" stopIfTrue="1" operator="equal">
      <formula>"En cours"</formula>
    </cfRule>
  </conditionalFormatting>
  <conditionalFormatting sqref="AK71">
    <cfRule type="cellIs" dxfId="1736" priority="303716" stopIfTrue="1" operator="notEqual">
      <formula>"En cours"</formula>
    </cfRule>
  </conditionalFormatting>
  <conditionalFormatting sqref="AJ104">
    <cfRule type="cellIs" dxfId="1735" priority="303717" stopIfTrue="1" operator="equal">
      <formula>"En cours"</formula>
    </cfRule>
  </conditionalFormatting>
  <conditionalFormatting sqref="AJ104">
    <cfRule type="cellIs" dxfId="1734" priority="303718" stopIfTrue="1" operator="notEqual">
      <formula>"En cours"</formula>
    </cfRule>
  </conditionalFormatting>
  <conditionalFormatting sqref="AK104">
    <cfRule type="cellIs" dxfId="1733" priority="303719" stopIfTrue="1" operator="equal">
      <formula>"En cours"</formula>
    </cfRule>
  </conditionalFormatting>
  <conditionalFormatting sqref="AK104">
    <cfRule type="cellIs" dxfId="1732" priority="303720" stopIfTrue="1" operator="notEqual">
      <formula>"En cours"</formula>
    </cfRule>
  </conditionalFormatting>
  <conditionalFormatting sqref="AJ101">
    <cfRule type="cellIs" dxfId="1727" priority="303725" stopIfTrue="1" operator="equal">
      <formula>"En cours"</formula>
    </cfRule>
  </conditionalFormatting>
  <conditionalFormatting sqref="AJ101">
    <cfRule type="cellIs" dxfId="1726" priority="303726" stopIfTrue="1" operator="notEqual">
      <formula>"En cours"</formula>
    </cfRule>
  </conditionalFormatting>
  <conditionalFormatting sqref="AK101">
    <cfRule type="cellIs" dxfId="1725" priority="303727" stopIfTrue="1" operator="equal">
      <formula>"En cours"</formula>
    </cfRule>
  </conditionalFormatting>
  <conditionalFormatting sqref="AK101">
    <cfRule type="cellIs" dxfId="1724" priority="303728" stopIfTrue="1" operator="notEqual">
      <formula>"En cours"</formula>
    </cfRule>
  </conditionalFormatting>
  <conditionalFormatting sqref="AJ57">
    <cfRule type="cellIs" dxfId="1723" priority="303729" stopIfTrue="1" operator="equal">
      <formula>"En cours"</formula>
    </cfRule>
  </conditionalFormatting>
  <conditionalFormatting sqref="AJ57">
    <cfRule type="cellIs" dxfId="1722" priority="303730" stopIfTrue="1" operator="notEqual">
      <formula>"En cours"</formula>
    </cfRule>
  </conditionalFormatting>
  <conditionalFormatting sqref="AK57">
    <cfRule type="cellIs" dxfId="1721" priority="303731" stopIfTrue="1" operator="equal">
      <formula>"En cours"</formula>
    </cfRule>
  </conditionalFormatting>
  <conditionalFormatting sqref="AK57">
    <cfRule type="cellIs" dxfId="1720" priority="303732" stopIfTrue="1" operator="notEqual">
      <formula>"En cours"</formula>
    </cfRule>
  </conditionalFormatting>
  <conditionalFormatting sqref="AJ61">
    <cfRule type="cellIs" dxfId="1719" priority="303733" stopIfTrue="1" operator="equal">
      <formula>"En cours"</formula>
    </cfRule>
  </conditionalFormatting>
  <conditionalFormatting sqref="AJ61">
    <cfRule type="cellIs" dxfId="1718" priority="303734" stopIfTrue="1" operator="notEqual">
      <formula>"En cours"</formula>
    </cfRule>
  </conditionalFormatting>
  <conditionalFormatting sqref="AK61">
    <cfRule type="cellIs" dxfId="1717" priority="303735" stopIfTrue="1" operator="equal">
      <formula>"En cours"</formula>
    </cfRule>
  </conditionalFormatting>
  <conditionalFormatting sqref="AK61">
    <cfRule type="cellIs" dxfId="1716" priority="303736" stopIfTrue="1" operator="notEqual">
      <formula>"En cours"</formula>
    </cfRule>
  </conditionalFormatting>
  <conditionalFormatting sqref="AJ105">
    <cfRule type="cellIs" dxfId="1703" priority="303749" stopIfTrue="1" operator="equal">
      <formula>"En cours"</formula>
    </cfRule>
  </conditionalFormatting>
  <conditionalFormatting sqref="AJ105">
    <cfRule type="cellIs" dxfId="1702" priority="303750" stopIfTrue="1" operator="notEqual">
      <formula>"En cours"</formula>
    </cfRule>
  </conditionalFormatting>
  <conditionalFormatting sqref="AK105">
    <cfRule type="cellIs" dxfId="1701" priority="303751" stopIfTrue="1" operator="equal">
      <formula>"En cours"</formula>
    </cfRule>
  </conditionalFormatting>
  <conditionalFormatting sqref="AK105">
    <cfRule type="cellIs" dxfId="1700" priority="303752" stopIfTrue="1" operator="notEqual">
      <formula>"En cours"</formula>
    </cfRule>
  </conditionalFormatting>
  <conditionalFormatting sqref="AJ112">
    <cfRule type="cellIs" dxfId="1699" priority="303753" stopIfTrue="1" operator="equal">
      <formula>"En cours"</formula>
    </cfRule>
  </conditionalFormatting>
  <conditionalFormatting sqref="AJ112">
    <cfRule type="cellIs" dxfId="1698" priority="303754" stopIfTrue="1" operator="notEqual">
      <formula>"En cours"</formula>
    </cfRule>
  </conditionalFormatting>
  <conditionalFormatting sqref="AK112">
    <cfRule type="cellIs" dxfId="1697" priority="303755" stopIfTrue="1" operator="equal">
      <formula>"En cours"</formula>
    </cfRule>
  </conditionalFormatting>
  <conditionalFormatting sqref="AK112">
    <cfRule type="cellIs" dxfId="1696" priority="303756" stopIfTrue="1" operator="notEqual">
      <formula>"En cours"</formula>
    </cfRule>
  </conditionalFormatting>
  <conditionalFormatting sqref="AJ115">
    <cfRule type="cellIs" dxfId="1695" priority="303757" stopIfTrue="1" operator="equal">
      <formula>"En cours"</formula>
    </cfRule>
  </conditionalFormatting>
  <conditionalFormatting sqref="AJ115">
    <cfRule type="cellIs" dxfId="1694" priority="303758" stopIfTrue="1" operator="notEqual">
      <formula>"En cours"</formula>
    </cfRule>
  </conditionalFormatting>
  <conditionalFormatting sqref="AK115">
    <cfRule type="cellIs" dxfId="1693" priority="303759" stopIfTrue="1" operator="equal">
      <formula>"En cours"</formula>
    </cfRule>
  </conditionalFormatting>
  <conditionalFormatting sqref="AK115">
    <cfRule type="cellIs" dxfId="1692" priority="303760" stopIfTrue="1" operator="notEqual">
      <formula>"En cours"</formula>
    </cfRule>
  </conditionalFormatting>
  <conditionalFormatting sqref="AJ109">
    <cfRule type="cellIs" dxfId="1691" priority="303761" stopIfTrue="1" operator="equal">
      <formula>"En cours"</formula>
    </cfRule>
  </conditionalFormatting>
  <conditionalFormatting sqref="AJ109">
    <cfRule type="cellIs" dxfId="1690" priority="303762" stopIfTrue="1" operator="notEqual">
      <formula>"En cours"</formula>
    </cfRule>
  </conditionalFormatting>
  <conditionalFormatting sqref="AK109">
    <cfRule type="cellIs" dxfId="1689" priority="303763" stopIfTrue="1" operator="equal">
      <formula>"En cours"</formula>
    </cfRule>
  </conditionalFormatting>
  <conditionalFormatting sqref="AK109">
    <cfRule type="cellIs" dxfId="1688" priority="303764" stopIfTrue="1" operator="notEqual">
      <formula>"En cours"</formula>
    </cfRule>
  </conditionalFormatting>
  <conditionalFormatting sqref="AJ68">
    <cfRule type="cellIs" dxfId="1679" priority="303773" stopIfTrue="1" operator="equal">
      <formula>"En cours"</formula>
    </cfRule>
  </conditionalFormatting>
  <conditionalFormatting sqref="AJ68">
    <cfRule type="cellIs" dxfId="1678" priority="303774" stopIfTrue="1" operator="notEqual">
      <formula>"En cours"</formula>
    </cfRule>
  </conditionalFormatting>
  <conditionalFormatting sqref="AK68">
    <cfRule type="cellIs" dxfId="1677" priority="303775" stopIfTrue="1" operator="equal">
      <formula>"En cours"</formula>
    </cfRule>
  </conditionalFormatting>
  <conditionalFormatting sqref="AK68">
    <cfRule type="cellIs" dxfId="1676" priority="303776" stopIfTrue="1" operator="notEqual">
      <formula>"En cours"</formula>
    </cfRule>
  </conditionalFormatting>
  <conditionalFormatting sqref="AJ64">
    <cfRule type="cellIs" dxfId="1671" priority="303781" stopIfTrue="1" operator="equal">
      <formula>"En cours"</formula>
    </cfRule>
  </conditionalFormatting>
  <conditionalFormatting sqref="AJ64">
    <cfRule type="cellIs" dxfId="1670" priority="303782" stopIfTrue="1" operator="notEqual">
      <formula>"En cours"</formula>
    </cfRule>
  </conditionalFormatting>
  <conditionalFormatting sqref="AK64">
    <cfRule type="cellIs" dxfId="1669" priority="303783" stopIfTrue="1" operator="equal">
      <formula>"En cours"</formula>
    </cfRule>
  </conditionalFormatting>
  <conditionalFormatting sqref="AK64">
    <cfRule type="cellIs" dxfId="1668" priority="303784" stopIfTrue="1" operator="notEqual">
      <formula>"En cours"</formula>
    </cfRule>
  </conditionalFormatting>
  <conditionalFormatting sqref="AJ58">
    <cfRule type="cellIs" dxfId="1663" priority="303789" stopIfTrue="1" operator="equal">
      <formula>"En cours"</formula>
    </cfRule>
  </conditionalFormatting>
  <conditionalFormatting sqref="AJ58">
    <cfRule type="cellIs" dxfId="1662" priority="303790" stopIfTrue="1" operator="notEqual">
      <formula>"En cours"</formula>
    </cfRule>
  </conditionalFormatting>
  <conditionalFormatting sqref="AK58">
    <cfRule type="cellIs" dxfId="1661" priority="303791" stopIfTrue="1" operator="equal">
      <formula>"En cours"</formula>
    </cfRule>
  </conditionalFormatting>
  <conditionalFormatting sqref="AK58">
    <cfRule type="cellIs" dxfId="1660" priority="303792" stopIfTrue="1" operator="notEqual">
      <formula>"En cours"</formula>
    </cfRule>
  </conditionalFormatting>
  <conditionalFormatting sqref="AJ67">
    <cfRule type="cellIs" dxfId="1655" priority="303797" stopIfTrue="1" operator="equal">
      <formula>"En cours"</formula>
    </cfRule>
  </conditionalFormatting>
  <conditionalFormatting sqref="AJ67">
    <cfRule type="cellIs" dxfId="1654" priority="303798" stopIfTrue="1" operator="notEqual">
      <formula>"En cours"</formula>
    </cfRule>
  </conditionalFormatting>
  <conditionalFormatting sqref="AK67">
    <cfRule type="cellIs" dxfId="1653" priority="303799" stopIfTrue="1" operator="equal">
      <formula>"En cours"</formula>
    </cfRule>
  </conditionalFormatting>
  <conditionalFormatting sqref="AK67">
    <cfRule type="cellIs" dxfId="1652" priority="303800" stopIfTrue="1" operator="notEqual">
      <formula>"En cours"</formula>
    </cfRule>
  </conditionalFormatting>
  <conditionalFormatting sqref="AJ63">
    <cfRule type="cellIs" dxfId="1651" priority="303801" stopIfTrue="1" operator="equal">
      <formula>"En cours"</formula>
    </cfRule>
  </conditionalFormatting>
  <conditionalFormatting sqref="AJ63">
    <cfRule type="cellIs" dxfId="1650" priority="303802" stopIfTrue="1" operator="notEqual">
      <formula>"En cours"</formula>
    </cfRule>
  </conditionalFormatting>
  <conditionalFormatting sqref="AK63">
    <cfRule type="cellIs" dxfId="1649" priority="303803" stopIfTrue="1" operator="equal">
      <formula>"En cours"</formula>
    </cfRule>
  </conditionalFormatting>
  <conditionalFormatting sqref="AK63">
    <cfRule type="cellIs" dxfId="1648" priority="303804" stopIfTrue="1" operator="notEqual">
      <formula>"En cours"</formula>
    </cfRule>
  </conditionalFormatting>
  <conditionalFormatting sqref="AJ73">
    <cfRule type="cellIs" dxfId="1647" priority="303805" stopIfTrue="1" operator="equal">
      <formula>"En cours"</formula>
    </cfRule>
  </conditionalFormatting>
  <conditionalFormatting sqref="AJ73">
    <cfRule type="cellIs" dxfId="1646" priority="303806" stopIfTrue="1" operator="notEqual">
      <formula>"En cours"</formula>
    </cfRule>
  </conditionalFormatting>
  <conditionalFormatting sqref="AK73">
    <cfRule type="cellIs" dxfId="1645" priority="303807" stopIfTrue="1" operator="equal">
      <formula>"En cours"</formula>
    </cfRule>
  </conditionalFormatting>
  <conditionalFormatting sqref="AK73">
    <cfRule type="cellIs" dxfId="1644" priority="303808" stopIfTrue="1" operator="notEqual">
      <formula>"En cours"</formula>
    </cfRule>
  </conditionalFormatting>
  <conditionalFormatting sqref="AJ120">
    <cfRule type="cellIs" dxfId="1643" priority="303809" stopIfTrue="1" operator="equal">
      <formula>"En cours"</formula>
    </cfRule>
  </conditionalFormatting>
  <conditionalFormatting sqref="AJ120">
    <cfRule type="cellIs" dxfId="1642" priority="303810" stopIfTrue="1" operator="notEqual">
      <formula>"En cours"</formula>
    </cfRule>
  </conditionalFormatting>
  <conditionalFormatting sqref="AK120">
    <cfRule type="cellIs" dxfId="1641" priority="303811" stopIfTrue="1" operator="equal">
      <formula>"En cours"</formula>
    </cfRule>
  </conditionalFormatting>
  <conditionalFormatting sqref="AK120">
    <cfRule type="cellIs" dxfId="1640" priority="303812" stopIfTrue="1" operator="notEqual">
      <formula>"En cours"</formula>
    </cfRule>
  </conditionalFormatting>
  <conditionalFormatting sqref="AJ118">
    <cfRule type="cellIs" dxfId="1631" priority="303821" stopIfTrue="1" operator="equal">
      <formula>"En cours"</formula>
    </cfRule>
  </conditionalFormatting>
  <conditionalFormatting sqref="AJ118">
    <cfRule type="cellIs" dxfId="1630" priority="303822" stopIfTrue="1" operator="notEqual">
      <formula>"En cours"</formula>
    </cfRule>
  </conditionalFormatting>
  <conditionalFormatting sqref="AK118">
    <cfRule type="cellIs" dxfId="1629" priority="303823" stopIfTrue="1" operator="equal">
      <formula>"En cours"</formula>
    </cfRule>
  </conditionalFormatting>
  <conditionalFormatting sqref="AK118">
    <cfRule type="cellIs" dxfId="1628" priority="303824" stopIfTrue="1" operator="notEqual">
      <formula>"En cours"</formula>
    </cfRule>
  </conditionalFormatting>
  <conditionalFormatting sqref="AJ121">
    <cfRule type="cellIs" dxfId="1627" priority="303825" stopIfTrue="1" operator="equal">
      <formula>"En cours"</formula>
    </cfRule>
  </conditionalFormatting>
  <conditionalFormatting sqref="AJ121">
    <cfRule type="cellIs" dxfId="1626" priority="303826" stopIfTrue="1" operator="notEqual">
      <formula>"En cours"</formula>
    </cfRule>
  </conditionalFormatting>
  <conditionalFormatting sqref="AK121">
    <cfRule type="cellIs" dxfId="1625" priority="303827" stopIfTrue="1" operator="equal">
      <formula>"En cours"</formula>
    </cfRule>
  </conditionalFormatting>
  <conditionalFormatting sqref="AK121">
    <cfRule type="cellIs" dxfId="1624" priority="303828" stopIfTrue="1" operator="notEqual">
      <formula>"En cours"</formula>
    </cfRule>
  </conditionalFormatting>
  <conditionalFormatting sqref="AJ6">
    <cfRule type="cellIs" dxfId="1623" priority="303829" stopIfTrue="1" operator="equal">
      <formula>"En cours"</formula>
    </cfRule>
  </conditionalFormatting>
  <conditionalFormatting sqref="AJ6">
    <cfRule type="cellIs" dxfId="1622" priority="303830" stopIfTrue="1" operator="notEqual">
      <formula>"En cours"</formula>
    </cfRule>
  </conditionalFormatting>
  <conditionalFormatting sqref="AK6">
    <cfRule type="cellIs" dxfId="1621" priority="303831" stopIfTrue="1" operator="equal">
      <formula>"En cours"</formula>
    </cfRule>
  </conditionalFormatting>
  <conditionalFormatting sqref="AK6">
    <cfRule type="cellIs" dxfId="1620" priority="303832" stopIfTrue="1" operator="notEqual">
      <formula>"En cours"</formula>
    </cfRule>
  </conditionalFormatting>
  <conditionalFormatting sqref="AJ16">
    <cfRule type="cellIs" dxfId="1619" priority="303833" stopIfTrue="1" operator="equal">
      <formula>"En cours"</formula>
    </cfRule>
  </conditionalFormatting>
  <conditionalFormatting sqref="AJ16">
    <cfRule type="cellIs" dxfId="1618" priority="303834" stopIfTrue="1" operator="notEqual">
      <formula>"En cours"</formula>
    </cfRule>
  </conditionalFormatting>
  <conditionalFormatting sqref="AK16">
    <cfRule type="cellIs" dxfId="1617" priority="303835" stopIfTrue="1" operator="equal">
      <formula>"En cours"</formula>
    </cfRule>
  </conditionalFormatting>
  <conditionalFormatting sqref="AK16">
    <cfRule type="cellIs" dxfId="1616" priority="303836" stopIfTrue="1" operator="notEqual">
      <formula>"En cours"</formula>
    </cfRule>
  </conditionalFormatting>
  <conditionalFormatting sqref="AJ123">
    <cfRule type="cellIs" dxfId="1615" priority="303837" stopIfTrue="1" operator="equal">
      <formula>"En cours"</formula>
    </cfRule>
  </conditionalFormatting>
  <conditionalFormatting sqref="AJ123">
    <cfRule type="cellIs" dxfId="1614" priority="303838" stopIfTrue="1" operator="notEqual">
      <formula>"En cours"</formula>
    </cfRule>
  </conditionalFormatting>
  <conditionalFormatting sqref="AK123">
    <cfRule type="cellIs" dxfId="1613" priority="303839" stopIfTrue="1" operator="equal">
      <formula>"En cours"</formula>
    </cfRule>
  </conditionalFormatting>
  <conditionalFormatting sqref="AK123">
    <cfRule type="cellIs" dxfId="1612" priority="303840" stopIfTrue="1" operator="notEqual">
      <formula>"En cours"</formula>
    </cfRule>
  </conditionalFormatting>
  <conditionalFormatting sqref="AJ19">
    <cfRule type="cellIs" dxfId="1611" priority="303841" stopIfTrue="1" operator="equal">
      <formula>"En cours"</formula>
    </cfRule>
    <cfRule type="cellIs" dxfId="1610" priority="303842" stopIfTrue="1" operator="notEqual">
      <formula>"En cours"</formula>
    </cfRule>
  </conditionalFormatting>
  <conditionalFormatting sqref="AK19">
    <cfRule type="cellIs" dxfId="1609" priority="303843" stopIfTrue="1" operator="equal">
      <formula>"En cours"</formula>
    </cfRule>
    <cfRule type="cellIs" dxfId="1608" priority="303844" stopIfTrue="1" operator="notEqual">
      <formula>"En cours"</formula>
    </cfRule>
  </conditionalFormatting>
  <conditionalFormatting sqref="AJ13">
    <cfRule type="cellIs" dxfId="1607" priority="303845" stopIfTrue="1" operator="equal">
      <formula>"En cours"</formula>
    </cfRule>
  </conditionalFormatting>
  <conditionalFormatting sqref="AJ13">
    <cfRule type="cellIs" dxfId="1606" priority="303846" stopIfTrue="1" operator="notEqual">
      <formula>"En cours"</formula>
    </cfRule>
  </conditionalFormatting>
  <conditionalFormatting sqref="AK13">
    <cfRule type="cellIs" dxfId="1605" priority="303847" stopIfTrue="1" operator="equal">
      <formula>"En cours"</formula>
    </cfRule>
  </conditionalFormatting>
  <conditionalFormatting sqref="AK13">
    <cfRule type="cellIs" dxfId="1604" priority="303848" stopIfTrue="1" operator="notEqual">
      <formula>"En cours"</formula>
    </cfRule>
  </conditionalFormatting>
  <conditionalFormatting sqref="AJ122">
    <cfRule type="cellIs" dxfId="1603" priority="303849" stopIfTrue="1" operator="equal">
      <formula>"En cours"</formula>
    </cfRule>
  </conditionalFormatting>
  <conditionalFormatting sqref="AJ122">
    <cfRule type="cellIs" dxfId="1602" priority="303850" stopIfTrue="1" operator="notEqual">
      <formula>"En cours"</formula>
    </cfRule>
  </conditionalFormatting>
  <conditionalFormatting sqref="AK122">
    <cfRule type="cellIs" dxfId="1601" priority="303851" stopIfTrue="1" operator="equal">
      <formula>"En cours"</formula>
    </cfRule>
  </conditionalFormatting>
  <conditionalFormatting sqref="AK122">
    <cfRule type="cellIs" dxfId="1600" priority="303852" stopIfTrue="1" operator="notEqual">
      <formula>"En cours"</formula>
    </cfRule>
  </conditionalFormatting>
  <conditionalFormatting sqref="AJ124">
    <cfRule type="cellIs" dxfId="1599" priority="303853" stopIfTrue="1" operator="equal">
      <formula>"En cours"</formula>
    </cfRule>
  </conditionalFormatting>
  <conditionalFormatting sqref="AJ124">
    <cfRule type="cellIs" dxfId="1598" priority="303854" stopIfTrue="1" operator="notEqual">
      <formula>"En cours"</formula>
    </cfRule>
  </conditionalFormatting>
  <conditionalFormatting sqref="AK124">
    <cfRule type="cellIs" dxfId="1597" priority="303855" stopIfTrue="1" operator="equal">
      <formula>"En cours"</formula>
    </cfRule>
  </conditionalFormatting>
  <conditionalFormatting sqref="AK124">
    <cfRule type="cellIs" dxfId="1596" priority="303856" stopIfTrue="1" operator="notEqual">
      <formula>"En cours"</formula>
    </cfRule>
  </conditionalFormatting>
  <conditionalFormatting sqref="AJ11">
    <cfRule type="cellIs" dxfId="1595" priority="303857" stopIfTrue="1" operator="equal">
      <formula>"En cours"</formula>
    </cfRule>
  </conditionalFormatting>
  <conditionalFormatting sqref="AJ11">
    <cfRule type="cellIs" dxfId="1594" priority="303858" stopIfTrue="1" operator="notEqual">
      <formula>"En cours"</formula>
    </cfRule>
  </conditionalFormatting>
  <conditionalFormatting sqref="AK11">
    <cfRule type="cellIs" dxfId="1593" priority="303859" stopIfTrue="1" operator="equal">
      <formula>"En cours"</formula>
    </cfRule>
  </conditionalFormatting>
  <conditionalFormatting sqref="AK11">
    <cfRule type="cellIs" dxfId="1592" priority="303860" stopIfTrue="1" operator="notEqual">
      <formula>"En cours"</formula>
    </cfRule>
  </conditionalFormatting>
  <conditionalFormatting sqref="AJ14">
    <cfRule type="cellIs" dxfId="1591" priority="303861" stopIfTrue="1" operator="equal">
      <formula>"En cours"</formula>
    </cfRule>
  </conditionalFormatting>
  <conditionalFormatting sqref="AJ14">
    <cfRule type="cellIs" dxfId="1590" priority="303862" stopIfTrue="1" operator="notEqual">
      <formula>"En cours"</formula>
    </cfRule>
  </conditionalFormatting>
  <conditionalFormatting sqref="AK14">
    <cfRule type="cellIs" dxfId="1589" priority="303863" stopIfTrue="1" operator="equal">
      <formula>"En cours"</formula>
    </cfRule>
  </conditionalFormatting>
  <conditionalFormatting sqref="AK14">
    <cfRule type="cellIs" dxfId="1588" priority="303864" stopIfTrue="1" operator="notEqual">
      <formula>"En cours"</formula>
    </cfRule>
  </conditionalFormatting>
  <conditionalFormatting sqref="AJ125">
    <cfRule type="cellIs" dxfId="1587" priority="303865" stopIfTrue="1" operator="equal">
      <formula>"En cours"</formula>
    </cfRule>
  </conditionalFormatting>
  <conditionalFormatting sqref="AJ125">
    <cfRule type="cellIs" dxfId="1586" priority="303866" stopIfTrue="1" operator="notEqual">
      <formula>"En cours"</formula>
    </cfRule>
  </conditionalFormatting>
  <conditionalFormatting sqref="AK125">
    <cfRule type="cellIs" dxfId="1585" priority="303867" stopIfTrue="1" operator="equal">
      <formula>"En cours"</formula>
    </cfRule>
  </conditionalFormatting>
  <conditionalFormatting sqref="AK125">
    <cfRule type="cellIs" dxfId="1584" priority="303868" stopIfTrue="1" operator="notEqual">
      <formula>"En cours"</formula>
    </cfRule>
  </conditionalFormatting>
  <conditionalFormatting sqref="AJ24">
    <cfRule type="cellIs" dxfId="1583" priority="303869" stopIfTrue="1" operator="equal">
      <formula>"En cours"</formula>
    </cfRule>
  </conditionalFormatting>
  <conditionalFormatting sqref="AJ24">
    <cfRule type="cellIs" dxfId="1582" priority="303870" stopIfTrue="1" operator="notEqual">
      <formula>"En cours"</formula>
    </cfRule>
  </conditionalFormatting>
  <conditionalFormatting sqref="AK24">
    <cfRule type="cellIs" dxfId="1581" priority="303871" stopIfTrue="1" operator="equal">
      <formula>"En cours"</formula>
    </cfRule>
  </conditionalFormatting>
  <conditionalFormatting sqref="AK24">
    <cfRule type="cellIs" dxfId="1580" priority="303872" stopIfTrue="1" operator="notEqual">
      <formula>"En cours"</formula>
    </cfRule>
  </conditionalFormatting>
  <conditionalFormatting sqref="AJ128">
    <cfRule type="cellIs" dxfId="1579" priority="303873" stopIfTrue="1" operator="equal">
      <formula>"En cours"</formula>
    </cfRule>
  </conditionalFormatting>
  <conditionalFormatting sqref="AJ128">
    <cfRule type="cellIs" dxfId="1578" priority="303874" stopIfTrue="1" operator="notEqual">
      <formula>"En cours"</formula>
    </cfRule>
  </conditionalFormatting>
  <conditionalFormatting sqref="AK128">
    <cfRule type="cellIs" dxfId="1577" priority="303875" stopIfTrue="1" operator="equal">
      <formula>"En cours"</formula>
    </cfRule>
  </conditionalFormatting>
  <conditionalFormatting sqref="AK128">
    <cfRule type="cellIs" dxfId="1576" priority="303876" stopIfTrue="1" operator="notEqual">
      <formula>"En cours"</formula>
    </cfRule>
  </conditionalFormatting>
  <conditionalFormatting sqref="AJ39">
    <cfRule type="cellIs" dxfId="1575" priority="303877" stopIfTrue="1" operator="equal">
      <formula>"En cours"</formula>
    </cfRule>
  </conditionalFormatting>
  <conditionalFormatting sqref="AJ39">
    <cfRule type="cellIs" dxfId="1574" priority="303878" stopIfTrue="1" operator="notEqual">
      <formula>"En cours"</formula>
    </cfRule>
  </conditionalFormatting>
  <conditionalFormatting sqref="AK39">
    <cfRule type="cellIs" dxfId="1573" priority="303879" stopIfTrue="1" operator="equal">
      <formula>"En cours"</formula>
    </cfRule>
  </conditionalFormatting>
  <conditionalFormatting sqref="AK39">
    <cfRule type="cellIs" dxfId="1572" priority="303880" stopIfTrue="1" operator="notEqual">
      <formula>"En cours"</formula>
    </cfRule>
  </conditionalFormatting>
  <conditionalFormatting sqref="AJ29">
    <cfRule type="cellIs" dxfId="1571" priority="303881" stopIfTrue="1" operator="equal">
      <formula>"En cours"</formula>
    </cfRule>
  </conditionalFormatting>
  <conditionalFormatting sqref="AJ29">
    <cfRule type="cellIs" dxfId="1570" priority="303882" stopIfTrue="1" operator="notEqual">
      <formula>"En cours"</formula>
    </cfRule>
  </conditionalFormatting>
  <conditionalFormatting sqref="AK29">
    <cfRule type="cellIs" dxfId="1569" priority="303883" stopIfTrue="1" operator="equal">
      <formula>"En cours"</formula>
    </cfRule>
  </conditionalFormatting>
  <conditionalFormatting sqref="AK29">
    <cfRule type="cellIs" dxfId="1568" priority="303884" stopIfTrue="1" operator="notEqual">
      <formula>"En cours"</formula>
    </cfRule>
  </conditionalFormatting>
  <conditionalFormatting sqref="AJ40">
    <cfRule type="cellIs" dxfId="1567" priority="303885" stopIfTrue="1" operator="equal">
      <formula>"En cours"</formula>
    </cfRule>
  </conditionalFormatting>
  <conditionalFormatting sqref="AJ40">
    <cfRule type="cellIs" dxfId="1566" priority="303886" stopIfTrue="1" operator="notEqual">
      <formula>"En cours"</formula>
    </cfRule>
  </conditionalFormatting>
  <conditionalFormatting sqref="AK40">
    <cfRule type="cellIs" dxfId="1565" priority="303887" stopIfTrue="1" operator="equal">
      <formula>"En cours"</formula>
    </cfRule>
  </conditionalFormatting>
  <conditionalFormatting sqref="AK40">
    <cfRule type="cellIs" dxfId="1564" priority="303888" stopIfTrue="1" operator="notEqual">
      <formula>"En cours"</formula>
    </cfRule>
  </conditionalFormatting>
  <conditionalFormatting sqref="AJ95">
    <cfRule type="cellIs" dxfId="1563" priority="303889" stopIfTrue="1" operator="equal">
      <formula>"En cours"</formula>
    </cfRule>
  </conditionalFormatting>
  <conditionalFormatting sqref="AJ95">
    <cfRule type="cellIs" dxfId="1562" priority="303890" stopIfTrue="1" operator="notEqual">
      <formula>"En cours"</formula>
    </cfRule>
  </conditionalFormatting>
  <conditionalFormatting sqref="AK95">
    <cfRule type="cellIs" dxfId="1561" priority="303891" stopIfTrue="1" operator="equal">
      <formula>"En cours"</formula>
    </cfRule>
  </conditionalFormatting>
  <conditionalFormatting sqref="AK95">
    <cfRule type="cellIs" dxfId="1560" priority="303892" stopIfTrue="1" operator="notEqual">
      <formula>"En cours"</formula>
    </cfRule>
  </conditionalFormatting>
  <conditionalFormatting sqref="AJ127">
    <cfRule type="cellIs" dxfId="1559" priority="303893" stopIfTrue="1" operator="equal">
      <formula>"En cours"</formula>
    </cfRule>
  </conditionalFormatting>
  <conditionalFormatting sqref="AJ127">
    <cfRule type="cellIs" dxfId="1558" priority="303894" stopIfTrue="1" operator="notEqual">
      <formula>"En cours"</formula>
    </cfRule>
  </conditionalFormatting>
  <conditionalFormatting sqref="AK127">
    <cfRule type="cellIs" dxfId="1557" priority="303895" stopIfTrue="1" operator="equal">
      <formula>"En cours"</formula>
    </cfRule>
  </conditionalFormatting>
  <conditionalFormatting sqref="AK127">
    <cfRule type="cellIs" dxfId="1556" priority="303896" stopIfTrue="1" operator="notEqual">
      <formula>"En cours"</formula>
    </cfRule>
  </conditionalFormatting>
  <conditionalFormatting sqref="AJ126">
    <cfRule type="cellIs" dxfId="1555" priority="303897" stopIfTrue="1" operator="equal">
      <formula>"En cours"</formula>
    </cfRule>
  </conditionalFormatting>
  <conditionalFormatting sqref="AJ126">
    <cfRule type="cellIs" dxfId="1554" priority="303898" stopIfTrue="1" operator="notEqual">
      <formula>"En cours"</formula>
    </cfRule>
  </conditionalFormatting>
  <conditionalFormatting sqref="AK126">
    <cfRule type="cellIs" dxfId="1553" priority="303899" stopIfTrue="1" operator="equal">
      <formula>"En cours"</formula>
    </cfRule>
  </conditionalFormatting>
  <conditionalFormatting sqref="AK126">
    <cfRule type="cellIs" dxfId="1552" priority="303900" stopIfTrue="1" operator="notEqual">
      <formula>"En cours"</formula>
    </cfRule>
  </conditionalFormatting>
  <conditionalFormatting sqref="AJ99">
    <cfRule type="cellIs" dxfId="1551" priority="303901" stopIfTrue="1" operator="equal">
      <formula>"En cours"</formula>
    </cfRule>
  </conditionalFormatting>
  <conditionalFormatting sqref="AJ99">
    <cfRule type="cellIs" dxfId="1550" priority="303902" stopIfTrue="1" operator="notEqual">
      <formula>"En cours"</formula>
    </cfRule>
  </conditionalFormatting>
  <conditionalFormatting sqref="AK99">
    <cfRule type="cellIs" dxfId="1549" priority="303903" stopIfTrue="1" operator="equal">
      <formula>"En cours"</formula>
    </cfRule>
  </conditionalFormatting>
  <conditionalFormatting sqref="AK99">
    <cfRule type="cellIs" dxfId="1548" priority="303904" stopIfTrue="1" operator="notEqual">
      <formula>"En cours"</formula>
    </cfRule>
  </conditionalFormatting>
  <conditionalFormatting sqref="AJ27">
    <cfRule type="cellIs" dxfId="1547" priority="303905" stopIfTrue="1" operator="equal">
      <formula>"En cours"</formula>
    </cfRule>
  </conditionalFormatting>
  <conditionalFormatting sqref="AJ27">
    <cfRule type="cellIs" dxfId="1546" priority="303906" stopIfTrue="1" operator="notEqual">
      <formula>"En cours"</formula>
    </cfRule>
  </conditionalFormatting>
  <conditionalFormatting sqref="AK27">
    <cfRule type="cellIs" dxfId="1545" priority="303907" stopIfTrue="1" operator="equal">
      <formula>"En cours"</formula>
    </cfRule>
  </conditionalFormatting>
  <conditionalFormatting sqref="AK27">
    <cfRule type="cellIs" dxfId="1544" priority="303908" stopIfTrue="1" operator="notEqual">
      <formula>"En cours"</formula>
    </cfRule>
  </conditionalFormatting>
  <conditionalFormatting sqref="AJ37">
    <cfRule type="cellIs" dxfId="1543" priority="303909" stopIfTrue="1" operator="equal">
      <formula>"En cours"</formula>
    </cfRule>
  </conditionalFormatting>
  <conditionalFormatting sqref="AJ37">
    <cfRule type="cellIs" dxfId="1542" priority="303910" stopIfTrue="1" operator="notEqual">
      <formula>"En cours"</formula>
    </cfRule>
  </conditionalFormatting>
  <conditionalFormatting sqref="AK37">
    <cfRule type="cellIs" dxfId="1541" priority="303911" stopIfTrue="1" operator="equal">
      <formula>"En cours"</formula>
    </cfRule>
  </conditionalFormatting>
  <conditionalFormatting sqref="AK37">
    <cfRule type="cellIs" dxfId="1540" priority="303912" stopIfTrue="1" operator="notEqual">
      <formula>"En cours"</formula>
    </cfRule>
  </conditionalFormatting>
  <conditionalFormatting sqref="AJ86">
    <cfRule type="cellIs" dxfId="1539" priority="303913" stopIfTrue="1" operator="equal">
      <formula>"En cours"</formula>
    </cfRule>
  </conditionalFormatting>
  <conditionalFormatting sqref="AJ86">
    <cfRule type="cellIs" dxfId="1538" priority="303914" stopIfTrue="1" operator="notEqual">
      <formula>"En cours"</formula>
    </cfRule>
  </conditionalFormatting>
  <conditionalFormatting sqref="AK86">
    <cfRule type="cellIs" dxfId="1537" priority="303915" stopIfTrue="1" operator="equal">
      <formula>"En cours"</formula>
    </cfRule>
  </conditionalFormatting>
  <conditionalFormatting sqref="AK86">
    <cfRule type="cellIs" dxfId="1536" priority="303916" stopIfTrue="1" operator="notEqual">
      <formula>"En cours"</formula>
    </cfRule>
  </conditionalFormatting>
  <conditionalFormatting sqref="AJ131">
    <cfRule type="cellIs" dxfId="1535" priority="303917" stopIfTrue="1" operator="equal">
      <formula>"En cours"</formula>
    </cfRule>
  </conditionalFormatting>
  <conditionalFormatting sqref="AJ131">
    <cfRule type="cellIs" dxfId="1534" priority="303918" stopIfTrue="1" operator="notEqual">
      <formula>"En cours"</formula>
    </cfRule>
  </conditionalFormatting>
  <conditionalFormatting sqref="AK131">
    <cfRule type="cellIs" dxfId="1533" priority="303919" stopIfTrue="1" operator="equal">
      <formula>"En cours"</formula>
    </cfRule>
  </conditionalFormatting>
  <conditionalFormatting sqref="AK131">
    <cfRule type="cellIs" dxfId="1532" priority="303920" stopIfTrue="1" operator="notEqual">
      <formula>"En cours"</formula>
    </cfRule>
  </conditionalFormatting>
  <conditionalFormatting sqref="AJ35">
    <cfRule type="cellIs" dxfId="1531" priority="303921" stopIfTrue="1" operator="equal">
      <formula>"En cours"</formula>
    </cfRule>
  </conditionalFormatting>
  <conditionalFormatting sqref="AJ35">
    <cfRule type="cellIs" dxfId="1530" priority="303922" stopIfTrue="1" operator="notEqual">
      <formula>"En cours"</formula>
    </cfRule>
  </conditionalFormatting>
  <conditionalFormatting sqref="AK35">
    <cfRule type="cellIs" dxfId="1529" priority="303923" stopIfTrue="1" operator="equal">
      <formula>"En cours"</formula>
    </cfRule>
  </conditionalFormatting>
  <conditionalFormatting sqref="AK35">
    <cfRule type="cellIs" dxfId="1528" priority="303924" stopIfTrue="1" operator="notEqual">
      <formula>"En cours"</formula>
    </cfRule>
  </conditionalFormatting>
  <conditionalFormatting sqref="AJ83">
    <cfRule type="cellIs" dxfId="1527" priority="303925" stopIfTrue="1" operator="equal">
      <formula>"En cours"</formula>
    </cfRule>
  </conditionalFormatting>
  <conditionalFormatting sqref="AJ83">
    <cfRule type="cellIs" dxfId="1526" priority="303926" stopIfTrue="1" operator="notEqual">
      <formula>"En cours"</formula>
    </cfRule>
  </conditionalFormatting>
  <conditionalFormatting sqref="AK83">
    <cfRule type="cellIs" dxfId="1525" priority="303927" stopIfTrue="1" operator="equal">
      <formula>"En cours"</formula>
    </cfRule>
  </conditionalFormatting>
  <conditionalFormatting sqref="AK83">
    <cfRule type="cellIs" dxfId="1524" priority="303928" stopIfTrue="1" operator="notEqual">
      <formula>"En cours"</formula>
    </cfRule>
  </conditionalFormatting>
  <conditionalFormatting sqref="AJ41">
    <cfRule type="cellIs" dxfId="1523" priority="303929" stopIfTrue="1" operator="equal">
      <formula>"En cours"</formula>
    </cfRule>
  </conditionalFormatting>
  <conditionalFormatting sqref="AJ41">
    <cfRule type="cellIs" dxfId="1522" priority="303930" stopIfTrue="1" operator="notEqual">
      <formula>"En cours"</formula>
    </cfRule>
  </conditionalFormatting>
  <conditionalFormatting sqref="AK41">
    <cfRule type="cellIs" dxfId="1521" priority="303931" stopIfTrue="1" operator="equal">
      <formula>"En cours"</formula>
    </cfRule>
  </conditionalFormatting>
  <conditionalFormatting sqref="AK41">
    <cfRule type="cellIs" dxfId="1520" priority="303932" stopIfTrue="1" operator="notEqual">
      <formula>"En cours"</formula>
    </cfRule>
  </conditionalFormatting>
  <conditionalFormatting sqref="AJ53">
    <cfRule type="cellIs" dxfId="1519" priority="303933" stopIfTrue="1" operator="equal">
      <formula>"En cours"</formula>
    </cfRule>
  </conditionalFormatting>
  <conditionalFormatting sqref="AJ53">
    <cfRule type="cellIs" dxfId="1518" priority="303934" stopIfTrue="1" operator="notEqual">
      <formula>"En cours"</formula>
    </cfRule>
  </conditionalFormatting>
  <conditionalFormatting sqref="AK53">
    <cfRule type="cellIs" dxfId="1517" priority="303935" stopIfTrue="1" operator="equal">
      <formula>"En cours"</formula>
    </cfRule>
  </conditionalFormatting>
  <conditionalFormatting sqref="AK53">
    <cfRule type="cellIs" dxfId="1516" priority="303936" stopIfTrue="1" operator="notEqual">
      <formula>"En cours"</formula>
    </cfRule>
  </conditionalFormatting>
  <conditionalFormatting sqref="AJ130">
    <cfRule type="cellIs" dxfId="1515" priority="303937" stopIfTrue="1" operator="equal">
      <formula>"En cours"</formula>
    </cfRule>
  </conditionalFormatting>
  <conditionalFormatting sqref="AJ130">
    <cfRule type="cellIs" dxfId="1514" priority="303938" stopIfTrue="1" operator="notEqual">
      <formula>"En cours"</formula>
    </cfRule>
  </conditionalFormatting>
  <conditionalFormatting sqref="AK130">
    <cfRule type="cellIs" dxfId="1513" priority="303939" stopIfTrue="1" operator="equal">
      <formula>"En cours"</formula>
    </cfRule>
  </conditionalFormatting>
  <conditionalFormatting sqref="AK130">
    <cfRule type="cellIs" dxfId="1512" priority="303940" stopIfTrue="1" operator="notEqual">
      <formula>"En cours"</formula>
    </cfRule>
  </conditionalFormatting>
  <conditionalFormatting sqref="AJ90">
    <cfRule type="cellIs" dxfId="1511" priority="303941" stopIfTrue="1" operator="equal">
      <formula>"En cours"</formula>
    </cfRule>
  </conditionalFormatting>
  <conditionalFormatting sqref="AJ90">
    <cfRule type="cellIs" dxfId="1510" priority="303942" stopIfTrue="1" operator="notEqual">
      <formula>"En cours"</formula>
    </cfRule>
  </conditionalFormatting>
  <conditionalFormatting sqref="AK90">
    <cfRule type="cellIs" dxfId="1509" priority="303943" stopIfTrue="1" operator="equal">
      <formula>"En cours"</formula>
    </cfRule>
  </conditionalFormatting>
  <conditionalFormatting sqref="AK90">
    <cfRule type="cellIs" dxfId="1508" priority="303944" stopIfTrue="1" operator="notEqual">
      <formula>"En cours"</formula>
    </cfRule>
  </conditionalFormatting>
  <conditionalFormatting sqref="AJ26">
    <cfRule type="cellIs" dxfId="1507" priority="303945" stopIfTrue="1" operator="equal">
      <formula>"En cours"</formula>
    </cfRule>
  </conditionalFormatting>
  <conditionalFormatting sqref="AJ26">
    <cfRule type="cellIs" dxfId="1506" priority="303946" stopIfTrue="1" operator="notEqual">
      <formula>"En cours"</formula>
    </cfRule>
  </conditionalFormatting>
  <conditionalFormatting sqref="AK26">
    <cfRule type="cellIs" dxfId="1505" priority="303947" stopIfTrue="1" operator="equal">
      <formula>"En cours"</formula>
    </cfRule>
  </conditionalFormatting>
  <conditionalFormatting sqref="AK26">
    <cfRule type="cellIs" dxfId="1504" priority="303948" stopIfTrue="1" operator="notEqual">
      <formula>"En cours"</formula>
    </cfRule>
  </conditionalFormatting>
  <conditionalFormatting sqref="AJ47">
    <cfRule type="cellIs" dxfId="1503" priority="303949" stopIfTrue="1" operator="equal">
      <formula>"En cours"</formula>
    </cfRule>
  </conditionalFormatting>
  <conditionalFormatting sqref="AJ47">
    <cfRule type="cellIs" dxfId="1502" priority="303950" stopIfTrue="1" operator="notEqual">
      <formula>"En cours"</formula>
    </cfRule>
  </conditionalFormatting>
  <conditionalFormatting sqref="AK47">
    <cfRule type="cellIs" dxfId="1501" priority="303951" stopIfTrue="1" operator="equal">
      <formula>"En cours"</formula>
    </cfRule>
  </conditionalFormatting>
  <conditionalFormatting sqref="AK47">
    <cfRule type="cellIs" dxfId="1500" priority="303952" stopIfTrue="1" operator="notEqual">
      <formula>"En cours"</formula>
    </cfRule>
  </conditionalFormatting>
  <conditionalFormatting sqref="AJ46">
    <cfRule type="cellIs" dxfId="1499" priority="303953" stopIfTrue="1" operator="equal">
      <formula>"En cours"</formula>
    </cfRule>
  </conditionalFormatting>
  <conditionalFormatting sqref="AJ46">
    <cfRule type="cellIs" dxfId="1498" priority="303954" stopIfTrue="1" operator="notEqual">
      <formula>"En cours"</formula>
    </cfRule>
  </conditionalFormatting>
  <conditionalFormatting sqref="AK46">
    <cfRule type="cellIs" dxfId="1497" priority="303955" stopIfTrue="1" operator="equal">
      <formula>"En cours"</formula>
    </cfRule>
  </conditionalFormatting>
  <conditionalFormatting sqref="AK46">
    <cfRule type="cellIs" dxfId="1496" priority="303956" stopIfTrue="1" operator="notEqual">
      <formula>"En cours"</formula>
    </cfRule>
  </conditionalFormatting>
  <conditionalFormatting sqref="AJ129">
    <cfRule type="cellIs" dxfId="1495" priority="303957" stopIfTrue="1" operator="equal">
      <formula>"En cours"</formula>
    </cfRule>
  </conditionalFormatting>
  <conditionalFormatting sqref="AJ129">
    <cfRule type="cellIs" dxfId="1494" priority="303958" stopIfTrue="1" operator="notEqual">
      <formula>"En cours"</formula>
    </cfRule>
  </conditionalFormatting>
  <conditionalFormatting sqref="AK129">
    <cfRule type="cellIs" dxfId="1493" priority="303959" stopIfTrue="1" operator="equal">
      <formula>"En cours"</formula>
    </cfRule>
  </conditionalFormatting>
  <conditionalFormatting sqref="AK129">
    <cfRule type="cellIs" dxfId="1492" priority="303960" stopIfTrue="1" operator="notEqual">
      <formula>"En cours"</formula>
    </cfRule>
  </conditionalFormatting>
  <conditionalFormatting sqref="AJ92">
    <cfRule type="cellIs" dxfId="1491" priority="303961" stopIfTrue="1" operator="equal">
      <formula>"En cours"</formula>
    </cfRule>
  </conditionalFormatting>
  <conditionalFormatting sqref="AJ92">
    <cfRule type="cellIs" dxfId="1490" priority="303962" stopIfTrue="1" operator="notEqual">
      <formula>"En cours"</formula>
    </cfRule>
  </conditionalFormatting>
  <conditionalFormatting sqref="AK92">
    <cfRule type="cellIs" dxfId="1489" priority="303963" stopIfTrue="1" operator="equal">
      <formula>"En cours"</formula>
    </cfRule>
  </conditionalFormatting>
  <conditionalFormatting sqref="AK92">
    <cfRule type="cellIs" dxfId="1488" priority="303964" stopIfTrue="1" operator="notEqual">
      <formula>"En cours"</formula>
    </cfRule>
  </conditionalFormatting>
  <conditionalFormatting sqref="AJ38">
    <cfRule type="cellIs" dxfId="1487" priority="303965" stopIfTrue="1" operator="equal">
      <formula>"En cours"</formula>
    </cfRule>
  </conditionalFormatting>
  <conditionalFormatting sqref="AJ38">
    <cfRule type="cellIs" dxfId="1486" priority="303966" stopIfTrue="1" operator="notEqual">
      <formula>"En cours"</formula>
    </cfRule>
  </conditionalFormatting>
  <conditionalFormatting sqref="AK38">
    <cfRule type="cellIs" dxfId="1485" priority="303967" stopIfTrue="1" operator="equal">
      <formula>"En cours"</formula>
    </cfRule>
  </conditionalFormatting>
  <conditionalFormatting sqref="AK38">
    <cfRule type="cellIs" dxfId="1484" priority="303968" stopIfTrue="1" operator="notEqual">
      <formula>"En cours"</formula>
    </cfRule>
  </conditionalFormatting>
  <conditionalFormatting sqref="AJ32">
    <cfRule type="cellIs" dxfId="1483" priority="303969" stopIfTrue="1" operator="equal">
      <formula>"En cours"</formula>
    </cfRule>
  </conditionalFormatting>
  <conditionalFormatting sqref="AJ32">
    <cfRule type="cellIs" dxfId="1482" priority="303970" stopIfTrue="1" operator="notEqual">
      <formula>"En cours"</formula>
    </cfRule>
  </conditionalFormatting>
  <conditionalFormatting sqref="AK32">
    <cfRule type="cellIs" dxfId="1481" priority="303971" stopIfTrue="1" operator="equal">
      <formula>"En cours"</formula>
    </cfRule>
  </conditionalFormatting>
  <conditionalFormatting sqref="AK32">
    <cfRule type="cellIs" dxfId="1480" priority="303972" stopIfTrue="1" operator="notEqual">
      <formula>"En cours"</formula>
    </cfRule>
  </conditionalFormatting>
  <conditionalFormatting sqref="AJ132">
    <cfRule type="cellIs" dxfId="1479" priority="303973" stopIfTrue="1" operator="equal">
      <formula>"En cours"</formula>
    </cfRule>
  </conditionalFormatting>
  <conditionalFormatting sqref="AJ132">
    <cfRule type="cellIs" dxfId="1478" priority="303974" stopIfTrue="1" operator="notEqual">
      <formula>"En cours"</formula>
    </cfRule>
  </conditionalFormatting>
  <conditionalFormatting sqref="AK132">
    <cfRule type="cellIs" dxfId="1477" priority="303975" stopIfTrue="1" operator="equal">
      <formula>"En cours"</formula>
    </cfRule>
  </conditionalFormatting>
  <conditionalFormatting sqref="AK132">
    <cfRule type="cellIs" dxfId="1476" priority="303976" stopIfTrue="1" operator="notEqual">
      <formula>"En cours"</formula>
    </cfRule>
  </conditionalFormatting>
  <conditionalFormatting sqref="AJ97">
    <cfRule type="cellIs" dxfId="1475" priority="303977" stopIfTrue="1" operator="equal">
      <formula>"En cours"</formula>
    </cfRule>
  </conditionalFormatting>
  <conditionalFormatting sqref="AJ97">
    <cfRule type="cellIs" dxfId="1474" priority="303978" stopIfTrue="1" operator="notEqual">
      <formula>"En cours"</formula>
    </cfRule>
  </conditionalFormatting>
  <conditionalFormatting sqref="AK97">
    <cfRule type="cellIs" dxfId="1473" priority="303979" stopIfTrue="1" operator="equal">
      <formula>"En cours"</formula>
    </cfRule>
  </conditionalFormatting>
  <conditionalFormatting sqref="AK97">
    <cfRule type="cellIs" dxfId="1472" priority="303980" stopIfTrue="1" operator="notEqual">
      <formula>"En cours"</formula>
    </cfRule>
  </conditionalFormatting>
  <conditionalFormatting sqref="AJ94">
    <cfRule type="cellIs" dxfId="1471" priority="303981" stopIfTrue="1" operator="equal">
      <formula>"En cours"</formula>
    </cfRule>
  </conditionalFormatting>
  <conditionalFormatting sqref="AJ94">
    <cfRule type="cellIs" dxfId="1470" priority="303982" stopIfTrue="1" operator="notEqual">
      <formula>"En cours"</formula>
    </cfRule>
  </conditionalFormatting>
  <conditionalFormatting sqref="AK94">
    <cfRule type="cellIs" dxfId="1469" priority="303983" stopIfTrue="1" operator="equal">
      <formula>"En cours"</formula>
    </cfRule>
  </conditionalFormatting>
  <conditionalFormatting sqref="AK94">
    <cfRule type="cellIs" dxfId="1468" priority="303984" stopIfTrue="1" operator="notEqual">
      <formula>"En cours"</formula>
    </cfRule>
  </conditionalFormatting>
  <conditionalFormatting sqref="AJ50">
    <cfRule type="cellIs" dxfId="1467" priority="303985" stopIfTrue="1" operator="equal">
      <formula>"En cours"</formula>
    </cfRule>
  </conditionalFormatting>
  <conditionalFormatting sqref="AJ50">
    <cfRule type="cellIs" dxfId="1466" priority="303986" stopIfTrue="1" operator="notEqual">
      <formula>"En cours"</formula>
    </cfRule>
  </conditionalFormatting>
  <conditionalFormatting sqref="AK50">
    <cfRule type="cellIs" dxfId="1465" priority="303987" stopIfTrue="1" operator="equal">
      <formula>"En cours"</formula>
    </cfRule>
  </conditionalFormatting>
  <conditionalFormatting sqref="AK50">
    <cfRule type="cellIs" dxfId="1464" priority="303988" stopIfTrue="1" operator="notEqual">
      <formula>"En cours"</formula>
    </cfRule>
  </conditionalFormatting>
  <conditionalFormatting sqref="AJ54">
    <cfRule type="cellIs" dxfId="1463" priority="303989" stopIfTrue="1" operator="equal">
      <formula>"En cours"</formula>
    </cfRule>
  </conditionalFormatting>
  <conditionalFormatting sqref="AJ54">
    <cfRule type="cellIs" dxfId="1462" priority="303990" stopIfTrue="1" operator="notEqual">
      <formula>"En cours"</formula>
    </cfRule>
  </conditionalFormatting>
  <conditionalFormatting sqref="AK54">
    <cfRule type="cellIs" dxfId="1461" priority="303991" stopIfTrue="1" operator="equal">
      <formula>"En cours"</formula>
    </cfRule>
  </conditionalFormatting>
  <conditionalFormatting sqref="AK54">
    <cfRule type="cellIs" dxfId="1460" priority="303992" stopIfTrue="1" operator="notEqual">
      <formula>"En cours"</formula>
    </cfRule>
  </conditionalFormatting>
  <conditionalFormatting sqref="AJ22">
    <cfRule type="cellIs" dxfId="1459" priority="303993" stopIfTrue="1" operator="equal">
      <formula>"En cours"</formula>
    </cfRule>
    <cfRule type="cellIs" dxfId="1458" priority="303994" stopIfTrue="1" operator="notEqual">
      <formula>"En cours"</formula>
    </cfRule>
  </conditionalFormatting>
  <conditionalFormatting sqref="AK22">
    <cfRule type="cellIs" dxfId="1457" priority="303995" stopIfTrue="1" operator="equal">
      <formula>"En cours"</formula>
    </cfRule>
    <cfRule type="cellIs" dxfId="1456" priority="303996" stopIfTrue="1" operator="notEqual">
      <formula>"En cours"</formula>
    </cfRule>
  </conditionalFormatting>
  <conditionalFormatting sqref="AJ51">
    <cfRule type="cellIs" dxfId="1455" priority="303997" stopIfTrue="1" operator="equal">
      <formula>"En cours"</formula>
    </cfRule>
  </conditionalFormatting>
  <conditionalFormatting sqref="AJ51">
    <cfRule type="cellIs" dxfId="1454" priority="303998" stopIfTrue="1" operator="notEqual">
      <formula>"En cours"</formula>
    </cfRule>
  </conditionalFormatting>
  <conditionalFormatting sqref="AK51">
    <cfRule type="cellIs" dxfId="1453" priority="303999" stopIfTrue="1" operator="equal">
      <formula>"En cours"</formula>
    </cfRule>
  </conditionalFormatting>
  <conditionalFormatting sqref="AK51">
    <cfRule type="cellIs" dxfId="1452" priority="304000" stopIfTrue="1" operator="notEqual">
      <formula>"En cours"</formula>
    </cfRule>
  </conditionalFormatting>
  <conditionalFormatting sqref="AJ43">
    <cfRule type="cellIs" dxfId="1451" priority="304001" stopIfTrue="1" operator="equal">
      <formula>"En cours"</formula>
    </cfRule>
  </conditionalFormatting>
  <conditionalFormatting sqref="AJ43">
    <cfRule type="cellIs" dxfId="1450" priority="304002" stopIfTrue="1" operator="notEqual">
      <formula>"En cours"</formula>
    </cfRule>
  </conditionalFormatting>
  <conditionalFormatting sqref="AK43">
    <cfRule type="cellIs" dxfId="1449" priority="304003" stopIfTrue="1" operator="equal">
      <formula>"En cours"</formula>
    </cfRule>
  </conditionalFormatting>
  <conditionalFormatting sqref="AK43">
    <cfRule type="cellIs" dxfId="1448" priority="304004" stopIfTrue="1" operator="notEqual">
      <formula>"En cours"</formula>
    </cfRule>
  </conditionalFormatting>
  <conditionalFormatting sqref="AJ45">
    <cfRule type="cellIs" dxfId="1447" priority="304005" stopIfTrue="1" operator="equal">
      <formula>"En cours"</formula>
    </cfRule>
  </conditionalFormatting>
  <conditionalFormatting sqref="AJ45">
    <cfRule type="cellIs" dxfId="1446" priority="304006" stopIfTrue="1" operator="notEqual">
      <formula>"En cours"</formula>
    </cfRule>
  </conditionalFormatting>
  <conditionalFormatting sqref="AK45">
    <cfRule type="cellIs" dxfId="1445" priority="304007" stopIfTrue="1" operator="equal">
      <formula>"En cours"</formula>
    </cfRule>
  </conditionalFormatting>
  <conditionalFormatting sqref="AK45">
    <cfRule type="cellIs" dxfId="1444" priority="304008" stopIfTrue="1" operator="notEqual">
      <formula>"En cours"</formula>
    </cfRule>
  </conditionalFormatting>
  <conditionalFormatting sqref="AJ52">
    <cfRule type="cellIs" dxfId="1443" priority="304009" stopIfTrue="1" operator="equal">
      <formula>"En cours"</formula>
    </cfRule>
  </conditionalFormatting>
  <conditionalFormatting sqref="AJ52">
    <cfRule type="cellIs" dxfId="1442" priority="304010" stopIfTrue="1" operator="notEqual">
      <formula>"En cours"</formula>
    </cfRule>
  </conditionalFormatting>
  <conditionalFormatting sqref="AK52">
    <cfRule type="cellIs" dxfId="1441" priority="304011" stopIfTrue="1" operator="equal">
      <formula>"En cours"</formula>
    </cfRule>
  </conditionalFormatting>
  <conditionalFormatting sqref="AK52">
    <cfRule type="cellIs" dxfId="1440" priority="304012" stopIfTrue="1" operator="notEqual">
      <formula>"En cours"</formula>
    </cfRule>
  </conditionalFormatting>
  <conditionalFormatting sqref="AJ133">
    <cfRule type="cellIs" dxfId="1439" priority="304013" stopIfTrue="1" operator="equal">
      <formula>"En cours"</formula>
    </cfRule>
  </conditionalFormatting>
  <conditionalFormatting sqref="AJ133">
    <cfRule type="cellIs" dxfId="1438" priority="304014" stopIfTrue="1" operator="notEqual">
      <formula>"En cours"</formula>
    </cfRule>
  </conditionalFormatting>
  <conditionalFormatting sqref="AK133">
    <cfRule type="cellIs" dxfId="1437" priority="304015" stopIfTrue="1" operator="equal">
      <formula>"En cours"</formula>
    </cfRule>
  </conditionalFormatting>
  <conditionalFormatting sqref="AK133">
    <cfRule type="cellIs" dxfId="1436" priority="304016" stopIfTrue="1" operator="notEqual">
      <formula>"En cours"</formula>
    </cfRule>
  </conditionalFormatting>
  <conditionalFormatting sqref="AJ134">
    <cfRule type="cellIs" dxfId="1435" priority="304017" stopIfTrue="1" operator="equal">
      <formula>"En cours"</formula>
    </cfRule>
  </conditionalFormatting>
  <conditionalFormatting sqref="AJ134">
    <cfRule type="cellIs" dxfId="1434" priority="304018" stopIfTrue="1" operator="notEqual">
      <formula>"En cours"</formula>
    </cfRule>
  </conditionalFormatting>
  <conditionalFormatting sqref="AK134">
    <cfRule type="cellIs" dxfId="1433" priority="304019" stopIfTrue="1" operator="equal">
      <formula>"En cours"</formula>
    </cfRule>
  </conditionalFormatting>
  <conditionalFormatting sqref="AK134">
    <cfRule type="cellIs" dxfId="1432" priority="304020" stopIfTrue="1" operator="notEqual">
      <formula>"En cours"</formula>
    </cfRule>
  </conditionalFormatting>
  <conditionalFormatting sqref="AJ89">
    <cfRule type="cellIs" dxfId="1431" priority="304021" stopIfTrue="1" operator="equal">
      <formula>"En cours"</formula>
    </cfRule>
  </conditionalFormatting>
  <conditionalFormatting sqref="AJ89">
    <cfRule type="cellIs" dxfId="1430" priority="304022" stopIfTrue="1" operator="notEqual">
      <formula>"En cours"</formula>
    </cfRule>
  </conditionalFormatting>
  <conditionalFormatting sqref="AK89">
    <cfRule type="cellIs" dxfId="1429" priority="304023" stopIfTrue="1" operator="equal">
      <formula>"En cours"</formula>
    </cfRule>
  </conditionalFormatting>
  <conditionalFormatting sqref="AK89">
    <cfRule type="cellIs" dxfId="1428" priority="304024" stopIfTrue="1" operator="notEqual">
      <formula>"En cours"</formula>
    </cfRule>
  </conditionalFormatting>
  <conditionalFormatting sqref="AJ135">
    <cfRule type="cellIs" dxfId="1427" priority="304025" stopIfTrue="1" operator="equal">
      <formula>"En cours"</formula>
    </cfRule>
  </conditionalFormatting>
  <conditionalFormatting sqref="AJ135">
    <cfRule type="cellIs" dxfId="1426" priority="304026" stopIfTrue="1" operator="notEqual">
      <formula>"En cours"</formula>
    </cfRule>
  </conditionalFormatting>
  <conditionalFormatting sqref="AK135">
    <cfRule type="cellIs" dxfId="1425" priority="304027" stopIfTrue="1" operator="equal">
      <formula>"En cours"</formula>
    </cfRule>
  </conditionalFormatting>
  <conditionalFormatting sqref="AK135">
    <cfRule type="cellIs" dxfId="1424" priority="304028" stopIfTrue="1" operator="notEqual">
      <formula>"En cours"</formula>
    </cfRule>
  </conditionalFormatting>
  <conditionalFormatting sqref="AJ136">
    <cfRule type="cellIs" dxfId="1423" priority="304029" stopIfTrue="1" operator="equal">
      <formula>"En cours"</formula>
    </cfRule>
  </conditionalFormatting>
  <conditionalFormatting sqref="AJ136">
    <cfRule type="cellIs" dxfId="1422" priority="304030" stopIfTrue="1" operator="notEqual">
      <formula>"En cours"</formula>
    </cfRule>
  </conditionalFormatting>
  <conditionalFormatting sqref="AK136">
    <cfRule type="cellIs" dxfId="1421" priority="304031" stopIfTrue="1" operator="equal">
      <formula>"En cours"</formula>
    </cfRule>
  </conditionalFormatting>
  <conditionalFormatting sqref="AK136">
    <cfRule type="cellIs" dxfId="1420" priority="304032" stopIfTrue="1" operator="notEqual">
      <formula>"En cours"</formula>
    </cfRule>
  </conditionalFormatting>
  <conditionalFormatting sqref="AJ138">
    <cfRule type="cellIs" dxfId="1419" priority="304033" stopIfTrue="1" operator="equal">
      <formula>"En cours"</formula>
    </cfRule>
  </conditionalFormatting>
  <conditionalFormatting sqref="AJ138">
    <cfRule type="cellIs" dxfId="1418" priority="304034" stopIfTrue="1" operator="notEqual">
      <formula>"En cours"</formula>
    </cfRule>
  </conditionalFormatting>
  <conditionalFormatting sqref="AK138">
    <cfRule type="cellIs" dxfId="1417" priority="304035" stopIfTrue="1" operator="equal">
      <formula>"En cours"</formula>
    </cfRule>
  </conditionalFormatting>
  <conditionalFormatting sqref="AK138">
    <cfRule type="cellIs" dxfId="1416" priority="304036" stopIfTrue="1" operator="notEqual">
      <formula>"En cours"</formula>
    </cfRule>
  </conditionalFormatting>
  <conditionalFormatting sqref="AJ70">
    <cfRule type="cellIs" dxfId="1415" priority="304037" stopIfTrue="1" operator="equal">
      <formula>"En cours"</formula>
    </cfRule>
  </conditionalFormatting>
  <conditionalFormatting sqref="AJ70">
    <cfRule type="cellIs" dxfId="1414" priority="304038" stopIfTrue="1" operator="notEqual">
      <formula>"En cours"</formula>
    </cfRule>
  </conditionalFormatting>
  <conditionalFormatting sqref="AK70">
    <cfRule type="cellIs" dxfId="1413" priority="304039" stopIfTrue="1" operator="equal">
      <formula>"En cours"</formula>
    </cfRule>
  </conditionalFormatting>
  <conditionalFormatting sqref="AK70">
    <cfRule type="cellIs" dxfId="1412" priority="304040" stopIfTrue="1" operator="notEqual">
      <formula>"En cours"</formula>
    </cfRule>
  </conditionalFormatting>
  <conditionalFormatting sqref="AJ103">
    <cfRule type="cellIs" dxfId="1411" priority="304041" stopIfTrue="1" operator="equal">
      <formula>"En cours"</formula>
    </cfRule>
  </conditionalFormatting>
  <conditionalFormatting sqref="AJ103">
    <cfRule type="cellIs" dxfId="1410" priority="304042" stopIfTrue="1" operator="notEqual">
      <formula>"En cours"</formula>
    </cfRule>
  </conditionalFormatting>
  <conditionalFormatting sqref="AK103">
    <cfRule type="cellIs" dxfId="1409" priority="304043" stopIfTrue="1" operator="equal">
      <formula>"En cours"</formula>
    </cfRule>
  </conditionalFormatting>
  <conditionalFormatting sqref="AK103">
    <cfRule type="cellIs" dxfId="1408" priority="304044" stopIfTrue="1" operator="notEqual">
      <formula>"En cours"</formula>
    </cfRule>
  </conditionalFormatting>
  <conditionalFormatting sqref="AJ119">
    <cfRule type="cellIs" dxfId="1407" priority="304045" stopIfTrue="1" operator="equal">
      <formula>"En cours"</formula>
    </cfRule>
  </conditionalFormatting>
  <conditionalFormatting sqref="AJ119">
    <cfRule type="cellIs" dxfId="1406" priority="304046" stopIfTrue="1" operator="notEqual">
      <formula>"En cours"</formula>
    </cfRule>
  </conditionalFormatting>
  <conditionalFormatting sqref="AK119">
    <cfRule type="cellIs" dxfId="1405" priority="304047" stopIfTrue="1" operator="equal">
      <formula>"En cours"</formula>
    </cfRule>
  </conditionalFormatting>
  <conditionalFormatting sqref="AK119">
    <cfRule type="cellIs" dxfId="1404" priority="304048" stopIfTrue="1" operator="notEqual">
      <formula>"En cours"</formula>
    </cfRule>
  </conditionalFormatting>
  <conditionalFormatting sqref="AJ59">
    <cfRule type="cellIs" dxfId="1403" priority="304049" stopIfTrue="1" operator="equal">
      <formula>"En cours"</formula>
    </cfRule>
  </conditionalFormatting>
  <conditionalFormatting sqref="AJ59">
    <cfRule type="cellIs" dxfId="1402" priority="304050" stopIfTrue="1" operator="notEqual">
      <formula>"En cours"</formula>
    </cfRule>
  </conditionalFormatting>
  <conditionalFormatting sqref="AK59">
    <cfRule type="cellIs" dxfId="1401" priority="304051" stopIfTrue="1" operator="equal">
      <formula>"En cours"</formula>
    </cfRule>
  </conditionalFormatting>
  <conditionalFormatting sqref="AK59">
    <cfRule type="cellIs" dxfId="1400" priority="304052" stopIfTrue="1" operator="notEqual">
      <formula>"En cours"</formula>
    </cfRule>
  </conditionalFormatting>
  <conditionalFormatting sqref="AJ137">
    <cfRule type="cellIs" dxfId="1399" priority="304053" stopIfTrue="1" operator="equal">
      <formula>"En cours"</formula>
    </cfRule>
  </conditionalFormatting>
  <conditionalFormatting sqref="AJ137">
    <cfRule type="cellIs" dxfId="1398" priority="304054" stopIfTrue="1" operator="notEqual">
      <formula>"En cours"</formula>
    </cfRule>
  </conditionalFormatting>
  <conditionalFormatting sqref="AK137">
    <cfRule type="cellIs" dxfId="1397" priority="304055" stopIfTrue="1" operator="equal">
      <formula>"En cours"</formula>
    </cfRule>
  </conditionalFormatting>
  <conditionalFormatting sqref="AK137">
    <cfRule type="cellIs" dxfId="1396" priority="304056" stopIfTrue="1" operator="notEqual">
      <formula>"En cours"</formula>
    </cfRule>
  </conditionalFormatting>
  <conditionalFormatting sqref="AJ117">
    <cfRule type="cellIs" dxfId="1395" priority="304057" stopIfTrue="1" operator="equal">
      <formula>"En cours"</formula>
    </cfRule>
  </conditionalFormatting>
  <conditionalFormatting sqref="AJ117">
    <cfRule type="cellIs" dxfId="1394" priority="304058" stopIfTrue="1" operator="notEqual">
      <formula>"En cours"</formula>
    </cfRule>
  </conditionalFormatting>
  <conditionalFormatting sqref="AK117">
    <cfRule type="cellIs" dxfId="1393" priority="304059" stopIfTrue="1" operator="equal">
      <formula>"En cours"</formula>
    </cfRule>
  </conditionalFormatting>
  <conditionalFormatting sqref="AK117">
    <cfRule type="cellIs" dxfId="1392" priority="304060" stopIfTrue="1" operator="notEqual">
      <formula>"En cours"</formula>
    </cfRule>
  </conditionalFormatting>
  <conditionalFormatting sqref="AJ65">
    <cfRule type="cellIs" dxfId="1391" priority="304061" stopIfTrue="1" operator="equal">
      <formula>"En cours"</formula>
    </cfRule>
  </conditionalFormatting>
  <conditionalFormatting sqref="AJ65">
    <cfRule type="cellIs" dxfId="1390" priority="304062" stopIfTrue="1" operator="notEqual">
      <formula>"En cours"</formula>
    </cfRule>
  </conditionalFormatting>
  <conditionalFormatting sqref="AK65">
    <cfRule type="cellIs" dxfId="1389" priority="304063" stopIfTrue="1" operator="equal">
      <formula>"En cours"</formula>
    </cfRule>
  </conditionalFormatting>
  <conditionalFormatting sqref="AK65">
    <cfRule type="cellIs" dxfId="1388" priority="304064" stopIfTrue="1" operator="notEqual">
      <formula>"En cours"</formula>
    </cfRule>
  </conditionalFormatting>
  <conditionalFormatting sqref="AJ141">
    <cfRule type="cellIs" dxfId="1387" priority="304065" stopIfTrue="1" operator="equal">
      <formula>"En cours"</formula>
    </cfRule>
  </conditionalFormatting>
  <conditionalFormatting sqref="AJ141">
    <cfRule type="cellIs" dxfId="1386" priority="304066" stopIfTrue="1" operator="notEqual">
      <formula>"En cours"</formula>
    </cfRule>
  </conditionalFormatting>
  <conditionalFormatting sqref="AK141">
    <cfRule type="cellIs" dxfId="1385" priority="304067" stopIfTrue="1" operator="equal">
      <formula>"En cours"</formula>
    </cfRule>
  </conditionalFormatting>
  <conditionalFormatting sqref="AK141">
    <cfRule type="cellIs" dxfId="1384" priority="304068" stopIfTrue="1" operator="notEqual">
      <formula>"En cours"</formula>
    </cfRule>
  </conditionalFormatting>
  <conditionalFormatting sqref="AJ66">
    <cfRule type="cellIs" dxfId="1383" priority="304069" stopIfTrue="1" operator="equal">
      <formula>"En cours"</formula>
    </cfRule>
  </conditionalFormatting>
  <conditionalFormatting sqref="AJ66">
    <cfRule type="cellIs" dxfId="1382" priority="304070" stopIfTrue="1" operator="notEqual">
      <formula>"En cours"</formula>
    </cfRule>
  </conditionalFormatting>
  <conditionalFormatting sqref="AK66">
    <cfRule type="cellIs" dxfId="1381" priority="304071" stopIfTrue="1" operator="equal">
      <formula>"En cours"</formula>
    </cfRule>
  </conditionalFormatting>
  <conditionalFormatting sqref="AK66">
    <cfRule type="cellIs" dxfId="1380" priority="304072" stopIfTrue="1" operator="notEqual">
      <formula>"En cours"</formula>
    </cfRule>
  </conditionalFormatting>
  <conditionalFormatting sqref="AJ113">
    <cfRule type="cellIs" dxfId="1379" priority="304073" stopIfTrue="1" operator="equal">
      <formula>"En cours"</formula>
    </cfRule>
  </conditionalFormatting>
  <conditionalFormatting sqref="AJ113">
    <cfRule type="cellIs" dxfId="1378" priority="304074" stopIfTrue="1" operator="notEqual">
      <formula>"En cours"</formula>
    </cfRule>
  </conditionalFormatting>
  <conditionalFormatting sqref="AK113">
    <cfRule type="cellIs" dxfId="1377" priority="304075" stopIfTrue="1" operator="equal">
      <formula>"En cours"</formula>
    </cfRule>
  </conditionalFormatting>
  <conditionalFormatting sqref="AK113">
    <cfRule type="cellIs" dxfId="1376" priority="304076" stopIfTrue="1" operator="notEqual">
      <formula>"En cours"</formula>
    </cfRule>
  </conditionalFormatting>
  <conditionalFormatting sqref="AJ69">
    <cfRule type="cellIs" dxfId="1375" priority="304077" stopIfTrue="1" operator="equal">
      <formula>"En cours"</formula>
    </cfRule>
  </conditionalFormatting>
  <conditionalFormatting sqref="AJ69">
    <cfRule type="cellIs" dxfId="1374" priority="304078" stopIfTrue="1" operator="notEqual">
      <formula>"En cours"</formula>
    </cfRule>
  </conditionalFormatting>
  <conditionalFormatting sqref="AK69">
    <cfRule type="cellIs" dxfId="1373" priority="304079" stopIfTrue="1" operator="equal">
      <formula>"En cours"</formula>
    </cfRule>
  </conditionalFormatting>
  <conditionalFormatting sqref="AK69">
    <cfRule type="cellIs" dxfId="1372" priority="304080" stopIfTrue="1" operator="notEqual">
      <formula>"En cours"</formula>
    </cfRule>
  </conditionalFormatting>
  <conditionalFormatting sqref="AJ110">
    <cfRule type="cellIs" dxfId="1371" priority="304081" stopIfTrue="1" operator="equal">
      <formula>"En cours"</formula>
    </cfRule>
  </conditionalFormatting>
  <conditionalFormatting sqref="AJ110">
    <cfRule type="cellIs" dxfId="1370" priority="304082" stopIfTrue="1" operator="notEqual">
      <formula>"En cours"</formula>
    </cfRule>
  </conditionalFormatting>
  <conditionalFormatting sqref="AK110">
    <cfRule type="cellIs" dxfId="1369" priority="304083" stopIfTrue="1" operator="equal">
      <formula>"En cours"</formula>
    </cfRule>
  </conditionalFormatting>
  <conditionalFormatting sqref="AK110">
    <cfRule type="cellIs" dxfId="1368" priority="304084" stopIfTrue="1" operator="notEqual">
      <formula>"En cours"</formula>
    </cfRule>
  </conditionalFormatting>
  <conditionalFormatting sqref="AJ116">
    <cfRule type="cellIs" dxfId="1367" priority="304085" stopIfTrue="1" operator="equal">
      <formula>"En cours"</formula>
    </cfRule>
  </conditionalFormatting>
  <conditionalFormatting sqref="AJ116">
    <cfRule type="cellIs" dxfId="1366" priority="304086" stopIfTrue="1" operator="notEqual">
      <formula>"En cours"</formula>
    </cfRule>
  </conditionalFormatting>
  <conditionalFormatting sqref="AK116">
    <cfRule type="cellIs" dxfId="1365" priority="304087" stopIfTrue="1" operator="equal">
      <formula>"En cours"</formula>
    </cfRule>
  </conditionalFormatting>
  <conditionalFormatting sqref="AK116">
    <cfRule type="cellIs" dxfId="1364" priority="304088" stopIfTrue="1" operator="notEqual">
      <formula>"En cours"</formula>
    </cfRule>
  </conditionalFormatting>
  <conditionalFormatting sqref="AJ144">
    <cfRule type="cellIs" dxfId="1363" priority="304089" stopIfTrue="1" operator="equal">
      <formula>"En cours"</formula>
    </cfRule>
  </conditionalFormatting>
  <conditionalFormatting sqref="AJ144">
    <cfRule type="cellIs" dxfId="1362" priority="304090" stopIfTrue="1" operator="notEqual">
      <formula>"En cours"</formula>
    </cfRule>
  </conditionalFormatting>
  <conditionalFormatting sqref="AK144">
    <cfRule type="cellIs" dxfId="1361" priority="304091" stopIfTrue="1" operator="equal">
      <formula>"En cours"</formula>
    </cfRule>
  </conditionalFormatting>
  <conditionalFormatting sqref="AK144">
    <cfRule type="cellIs" dxfId="1360" priority="304092" stopIfTrue="1" operator="notEqual">
      <formula>"En cours"</formula>
    </cfRule>
  </conditionalFormatting>
  <conditionalFormatting sqref="AJ76">
    <cfRule type="cellIs" dxfId="1359" priority="304093" stopIfTrue="1" operator="equal">
      <formula>"En cours"</formula>
    </cfRule>
  </conditionalFormatting>
  <conditionalFormatting sqref="AJ76">
    <cfRule type="cellIs" dxfId="1358" priority="304094" stopIfTrue="1" operator="notEqual">
      <formula>"En cours"</formula>
    </cfRule>
  </conditionalFormatting>
  <conditionalFormatting sqref="AK76">
    <cfRule type="cellIs" dxfId="1357" priority="304095" stopIfTrue="1" operator="equal">
      <formula>"En cours"</formula>
    </cfRule>
  </conditionalFormatting>
  <conditionalFormatting sqref="AK76">
    <cfRule type="cellIs" dxfId="1356" priority="304096" stopIfTrue="1" operator="notEqual">
      <formula>"En cours"</formula>
    </cfRule>
  </conditionalFormatting>
  <conditionalFormatting sqref="AJ145">
    <cfRule type="cellIs" dxfId="1355" priority="304097" stopIfTrue="1" operator="equal">
      <formula>"En cours"</formula>
    </cfRule>
  </conditionalFormatting>
  <conditionalFormatting sqref="AJ145">
    <cfRule type="cellIs" dxfId="1354" priority="304098" stopIfTrue="1" operator="notEqual">
      <formula>"En cours"</formula>
    </cfRule>
  </conditionalFormatting>
  <conditionalFormatting sqref="AK145">
    <cfRule type="cellIs" dxfId="1353" priority="304099" stopIfTrue="1" operator="equal">
      <formula>"En cours"</formula>
    </cfRule>
  </conditionalFormatting>
  <conditionalFormatting sqref="AK145">
    <cfRule type="cellIs" dxfId="1352" priority="304100" stopIfTrue="1" operator="notEqual">
      <formula>"En cours"</formula>
    </cfRule>
  </conditionalFormatting>
  <conditionalFormatting sqref="AJ143">
    <cfRule type="cellIs" dxfId="1351" priority="304101" stopIfTrue="1" operator="equal">
      <formula>"En cours"</formula>
    </cfRule>
  </conditionalFormatting>
  <conditionalFormatting sqref="AJ143">
    <cfRule type="cellIs" dxfId="1350" priority="304102" stopIfTrue="1" operator="notEqual">
      <formula>"En cours"</formula>
    </cfRule>
  </conditionalFormatting>
  <conditionalFormatting sqref="AK143">
    <cfRule type="cellIs" dxfId="1349" priority="304103" stopIfTrue="1" operator="equal">
      <formula>"En cours"</formula>
    </cfRule>
  </conditionalFormatting>
  <conditionalFormatting sqref="AK143">
    <cfRule type="cellIs" dxfId="1348" priority="304104" stopIfTrue="1" operator="notEqual">
      <formula>"En cours"</formula>
    </cfRule>
  </conditionalFormatting>
  <conditionalFormatting sqref="AJ146">
    <cfRule type="cellIs" dxfId="1347" priority="304105" stopIfTrue="1" operator="equal">
      <formula>"En cours"</formula>
    </cfRule>
  </conditionalFormatting>
  <conditionalFormatting sqref="AJ146">
    <cfRule type="cellIs" dxfId="1346" priority="304106" stopIfTrue="1" operator="notEqual">
      <formula>"En cours"</formula>
    </cfRule>
  </conditionalFormatting>
  <conditionalFormatting sqref="AK146">
    <cfRule type="cellIs" dxfId="1345" priority="304107" stopIfTrue="1" operator="equal">
      <formula>"En cours"</formula>
    </cfRule>
  </conditionalFormatting>
  <conditionalFormatting sqref="AK146">
    <cfRule type="cellIs" dxfId="1344" priority="304108" stopIfTrue="1" operator="notEqual">
      <formula>"En cours"</formula>
    </cfRule>
  </conditionalFormatting>
  <conditionalFormatting sqref="AJ142">
    <cfRule type="cellIs" dxfId="1343" priority="304109" stopIfTrue="1" operator="equal">
      <formula>"En cours"</formula>
    </cfRule>
  </conditionalFormatting>
  <conditionalFormatting sqref="AJ142">
    <cfRule type="cellIs" dxfId="1342" priority="304110" stopIfTrue="1" operator="notEqual">
      <formula>"En cours"</formula>
    </cfRule>
  </conditionalFormatting>
  <conditionalFormatting sqref="AK142">
    <cfRule type="cellIs" dxfId="1341" priority="304111" stopIfTrue="1" operator="equal">
      <formula>"En cours"</formula>
    </cfRule>
  </conditionalFormatting>
  <conditionalFormatting sqref="AK142">
    <cfRule type="cellIs" dxfId="1340" priority="304112" stopIfTrue="1" operator="notEqual">
      <formula>"En cours"</formula>
    </cfRule>
  </conditionalFormatting>
  <conditionalFormatting sqref="AJ140">
    <cfRule type="cellIs" dxfId="1339" priority="304113" stopIfTrue="1" operator="equal">
      <formula>"En cours"</formula>
    </cfRule>
  </conditionalFormatting>
  <conditionalFormatting sqref="AJ140">
    <cfRule type="cellIs" dxfId="1338" priority="304114" stopIfTrue="1" operator="notEqual">
      <formula>"En cours"</formula>
    </cfRule>
  </conditionalFormatting>
  <conditionalFormatting sqref="AK140">
    <cfRule type="cellIs" dxfId="1337" priority="304115" stopIfTrue="1" operator="equal">
      <formula>"En cours"</formula>
    </cfRule>
  </conditionalFormatting>
  <conditionalFormatting sqref="AK140">
    <cfRule type="cellIs" dxfId="1336" priority="304116" stopIfTrue="1" operator="notEqual">
      <formula>"En cours"</formula>
    </cfRule>
  </conditionalFormatting>
  <conditionalFormatting sqref="AJ72">
    <cfRule type="cellIs" dxfId="1335" priority="304117" stopIfTrue="1" operator="equal">
      <formula>"En cours"</formula>
    </cfRule>
  </conditionalFormatting>
  <conditionalFormatting sqref="AJ72">
    <cfRule type="cellIs" dxfId="1334" priority="304118" stopIfTrue="1" operator="notEqual">
      <formula>"En cours"</formula>
    </cfRule>
  </conditionalFormatting>
  <conditionalFormatting sqref="AK72">
    <cfRule type="cellIs" dxfId="1333" priority="304119" stopIfTrue="1" operator="equal">
      <formula>"En cours"</formula>
    </cfRule>
  </conditionalFormatting>
  <conditionalFormatting sqref="AK72">
    <cfRule type="cellIs" dxfId="1332" priority="304120" stopIfTrue="1" operator="notEqual">
      <formula>"En cours"</formula>
    </cfRule>
  </conditionalFormatting>
  <conditionalFormatting sqref="AJ114">
    <cfRule type="cellIs" dxfId="1331" priority="304121" stopIfTrue="1" operator="equal">
      <formula>"En cours"</formula>
    </cfRule>
  </conditionalFormatting>
  <conditionalFormatting sqref="AJ114">
    <cfRule type="cellIs" dxfId="1330" priority="304122" stopIfTrue="1" operator="notEqual">
      <formula>"En cours"</formula>
    </cfRule>
  </conditionalFormatting>
  <conditionalFormatting sqref="AK114">
    <cfRule type="cellIs" dxfId="1329" priority="304123" stopIfTrue="1" operator="equal">
      <formula>"En cours"</formula>
    </cfRule>
  </conditionalFormatting>
  <conditionalFormatting sqref="AK114">
    <cfRule type="cellIs" dxfId="1328" priority="304124" stopIfTrue="1" operator="notEqual">
      <formula>"En cours"</formula>
    </cfRule>
  </conditionalFormatting>
  <conditionalFormatting sqref="AJ60">
    <cfRule type="cellIs" dxfId="1327" priority="304125" stopIfTrue="1" operator="equal">
      <formula>"En cours"</formula>
    </cfRule>
  </conditionalFormatting>
  <conditionalFormatting sqref="AJ60">
    <cfRule type="cellIs" dxfId="1326" priority="304126" stopIfTrue="1" operator="notEqual">
      <formula>"En cours"</formula>
    </cfRule>
  </conditionalFormatting>
  <conditionalFormatting sqref="AK60">
    <cfRule type="cellIs" dxfId="1325" priority="304127" stopIfTrue="1" operator="equal">
      <formula>"En cours"</formula>
    </cfRule>
  </conditionalFormatting>
  <conditionalFormatting sqref="AK60">
    <cfRule type="cellIs" dxfId="1324" priority="304128" stopIfTrue="1" operator="notEqual">
      <formula>"En cours"</formula>
    </cfRule>
  </conditionalFormatting>
  <conditionalFormatting sqref="AJ147">
    <cfRule type="cellIs" dxfId="1323" priority="304129" stopIfTrue="1" operator="equal">
      <formula>"En cours"</formula>
    </cfRule>
  </conditionalFormatting>
  <conditionalFormatting sqref="AJ147">
    <cfRule type="cellIs" dxfId="1322" priority="304130" stopIfTrue="1" operator="notEqual">
      <formula>"En cours"</formula>
    </cfRule>
  </conditionalFormatting>
  <conditionalFormatting sqref="AK147">
    <cfRule type="cellIs" dxfId="1321" priority="304131" stopIfTrue="1" operator="equal">
      <formula>"En cours"</formula>
    </cfRule>
  </conditionalFormatting>
  <conditionalFormatting sqref="AK147">
    <cfRule type="cellIs" dxfId="1320" priority="304132" stopIfTrue="1" operator="notEqual">
      <formula>"En cours"</formula>
    </cfRule>
  </conditionalFormatting>
  <conditionalFormatting sqref="AJ139">
    <cfRule type="cellIs" dxfId="1319" priority="304133" stopIfTrue="1" operator="equal">
      <formula>"En cours"</formula>
    </cfRule>
  </conditionalFormatting>
  <conditionalFormatting sqref="AJ139">
    <cfRule type="cellIs" dxfId="1318" priority="304134" stopIfTrue="1" operator="notEqual">
      <formula>"En cours"</formula>
    </cfRule>
  </conditionalFormatting>
  <conditionalFormatting sqref="AK139">
    <cfRule type="cellIs" dxfId="1317" priority="304135" stopIfTrue="1" operator="equal">
      <formula>"En cours"</formula>
    </cfRule>
  </conditionalFormatting>
  <conditionalFormatting sqref="AK139">
    <cfRule type="cellIs" dxfId="1316" priority="304136" stopIfTrue="1" operator="notEqual">
      <formula>"En cours"</formula>
    </cfRule>
  </conditionalFormatting>
  <conditionalFormatting sqref="AJ74">
    <cfRule type="cellIs" dxfId="1315" priority="304137" stopIfTrue="1" operator="equal">
      <formula>"En cours"</formula>
    </cfRule>
  </conditionalFormatting>
  <conditionalFormatting sqref="AJ74">
    <cfRule type="cellIs" dxfId="1314" priority="304138" stopIfTrue="1" operator="notEqual">
      <formula>"En cours"</formula>
    </cfRule>
  </conditionalFormatting>
  <conditionalFormatting sqref="AK74">
    <cfRule type="cellIs" dxfId="1313" priority="304139" stopIfTrue="1" operator="equal">
      <formula>"En cours"</formula>
    </cfRule>
  </conditionalFormatting>
  <conditionalFormatting sqref="AK74">
    <cfRule type="cellIs" dxfId="1312" priority="30414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5" sqref="B5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3" t="s">
        <v>18</v>
      </c>
      <c r="G2" s="194"/>
      <c r="H2" s="194"/>
      <c r="I2" s="195"/>
      <c r="J2" s="196" t="s">
        <v>19</v>
      </c>
      <c r="K2" s="197"/>
      <c r="L2" s="197"/>
      <c r="M2" s="198"/>
      <c r="N2" s="199" t="s">
        <v>20</v>
      </c>
      <c r="O2" s="194"/>
      <c r="P2" s="194"/>
      <c r="Q2" s="195"/>
      <c r="R2" s="196" t="s">
        <v>21</v>
      </c>
      <c r="S2" s="197"/>
      <c r="T2" s="197"/>
      <c r="U2" s="198"/>
      <c r="V2" s="199" t="s">
        <v>22</v>
      </c>
      <c r="W2" s="194"/>
      <c r="X2" s="194"/>
      <c r="Y2" s="195"/>
      <c r="Z2" s="196" t="s">
        <v>23</v>
      </c>
      <c r="AA2" s="197"/>
      <c r="AB2" s="197"/>
      <c r="AC2" s="200"/>
      <c r="AD2" s="186" t="s">
        <v>24</v>
      </c>
      <c r="AE2" s="187"/>
      <c r="AF2" s="188" t="s">
        <v>17</v>
      </c>
      <c r="AG2" s="189"/>
      <c r="AH2" s="189"/>
      <c r="AI2" s="190"/>
      <c r="AJ2" s="191" t="s">
        <v>25</v>
      </c>
      <c r="AK2" s="192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5" t="str">
        <f>IF(MIN(F4,J4,N4,R4,V4,Z4)&lt;&gt;0,MIN(F4,J4,N4,R4,V4,Z4),"")</f>
        <v/>
      </c>
      <c r="AE4" s="165" t="str">
        <f>IF(MIN(H4,L4,P4,T4,X4,AB4)&lt;&gt;0,MIN(H4,L4,P4,T4,X4,AB4),"")</f>
        <v/>
      </c>
      <c r="AF4" s="165"/>
      <c r="AG4" s="164"/>
      <c r="AH4" s="165"/>
      <c r="AI4" s="164"/>
      <c r="AJ4" s="163" t="str">
        <f>IF(AD4="","",IF(ISBLANK(AF4),"En cours",AD4+AF4))</f>
        <v/>
      </c>
      <c r="AK4" s="163" t="str">
        <f>IF(AE4="","",IF(ISBLANK(AH4),"En cours",AE4+AH4))</f>
        <v/>
      </c>
    </row>
    <row r="5" spans="2:37" ht="21" x14ac:dyDescent="0.35"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A5" s="164"/>
      <c r="AB5" s="164"/>
      <c r="AC5" s="164"/>
      <c r="AD5" s="165" t="str">
        <f>IF(MIN(F5,J5,N5,R5,V5,Z5)&lt;&gt;0,MIN(F5,J5,N5,R5,V5,Z5),"")</f>
        <v/>
      </c>
      <c r="AE5" s="165" t="str">
        <f>IF(MIN(H5,L5,P5,T5,X5,AB5)&lt;&gt;0,MIN(H5,L5,P5,T5,X5,AB5),"")</f>
        <v/>
      </c>
      <c r="AF5" s="165"/>
      <c r="AG5" s="164"/>
      <c r="AH5" s="165"/>
      <c r="AI5" s="164"/>
      <c r="AJ5" s="163" t="str">
        <f>IF(AD5="","",IF(ISBLANK(AF5),"En cours",AD5+AF5))</f>
        <v/>
      </c>
      <c r="AK5" s="163" t="str">
        <f>IF(AE5="","",IF(ISBLANK(AH5),"En cours",AE5+AH5))</f>
        <v/>
      </c>
    </row>
    <row r="6" spans="2:37" ht="21" x14ac:dyDescent="0.35"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5" t="str">
        <f>IF(MIN(F6,J6,N6,R6,V6,Z6)&lt;&gt;0,MIN(F6,J6,N6,R6,V6,Z6),"")</f>
        <v/>
      </c>
      <c r="AE6" s="165" t="str">
        <f>IF(MIN(H6,L6,P6,T6,X6,AB6)&lt;&gt;0,MIN(H6,L6,P6,T6,X6,AB6),"")</f>
        <v/>
      </c>
      <c r="AF6" s="165"/>
      <c r="AG6" s="164"/>
      <c r="AH6" s="165"/>
      <c r="AI6" s="164"/>
      <c r="AJ6" s="163" t="str">
        <f>IF(AD6="","",IF(ISBLANK(AF6),"En cours",AD6+AF6))</f>
        <v/>
      </c>
      <c r="AK6" s="163" t="str">
        <f>IF(AE6="","",IF(ISBLANK(AH6),"En cours",AE6+AH6))</f>
        <v/>
      </c>
    </row>
    <row r="7" spans="2:37" ht="21" x14ac:dyDescent="0.35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5" t="str">
        <f>IF(MIN(F7,J7,N7,R7,V7,Z7)&lt;&gt;0,MIN(F7,J7,N7,R7,V7,Z7),"")</f>
        <v/>
      </c>
      <c r="AE7" s="165" t="str">
        <f>IF(MIN(H7,L7,P7,T7,X7,AB7)&lt;&gt;0,MIN(H7,L7,P7,T7,X7,AB7),"")</f>
        <v/>
      </c>
      <c r="AF7" s="165"/>
      <c r="AG7" s="164"/>
      <c r="AH7" s="165"/>
      <c r="AI7" s="164"/>
      <c r="AJ7" s="163" t="str">
        <f>IF(AD7="","",IF(ISBLANK(AF7),"En cours",AD7+AF7))</f>
        <v/>
      </c>
      <c r="AK7" s="163" t="str">
        <f>IF(AE7="","",IF(ISBLANK(AH7),"En cours",AE7+AH7))</f>
        <v/>
      </c>
    </row>
    <row r="8" spans="2:37" ht="21" x14ac:dyDescent="0.35">
      <c r="B8" s="164"/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165" t="str">
        <f>IF(MIN(F8,J8,N8,R8,V8,Z8)&lt;&gt;0,MIN(F8,J8,N8,R8,V8,Z8),"")</f>
        <v/>
      </c>
      <c r="AE8" s="165" t="str">
        <f>IF(MIN(H8,L8,P8,T8,X8,AB8)&lt;&gt;0,MIN(H8,L8,P8,T8,X8,AB8),"")</f>
        <v/>
      </c>
      <c r="AF8" s="165"/>
      <c r="AG8" s="164"/>
      <c r="AH8" s="165"/>
      <c r="AI8" s="164"/>
      <c r="AJ8" s="163" t="str">
        <f>IF(AD8="","",IF(ISBLANK(AF8),"En cours",AD8+AF8))</f>
        <v/>
      </c>
      <c r="AK8" s="163" t="str">
        <f>IF(AE8="","",IF(ISBLANK(AH8),"En cours",AE8+AH8))</f>
        <v/>
      </c>
    </row>
    <row r="9" spans="2:37" ht="21" x14ac:dyDescent="0.35">
      <c r="B9" s="164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5" t="str">
        <f>IF(MIN(F9,J9,N9,R9,V9,Z9)&lt;&gt;0,MIN(F9,J9,N9,R9,V9,Z9),"")</f>
        <v/>
      </c>
      <c r="AE9" s="165" t="str">
        <f>IF(MIN(H9,L9,P9,T9,X9,AB9)&lt;&gt;0,MIN(H9,L9,P9,T9,X9,AB9),"")</f>
        <v/>
      </c>
      <c r="AF9" s="165"/>
      <c r="AG9" s="164"/>
      <c r="AH9" s="165"/>
      <c r="AI9" s="164"/>
      <c r="AJ9" s="163" t="str">
        <f>IF(AD9="","",IF(ISBLANK(AF9),"En cours",AD9+AF9))</f>
        <v/>
      </c>
      <c r="AK9" s="163" t="str">
        <f>IF(AE9="","",IF(ISBLANK(AH9),"En cours",AE9+AH9))</f>
        <v/>
      </c>
    </row>
    <row r="10" spans="2:37" ht="21" x14ac:dyDescent="0.35">
      <c r="B10" s="164"/>
      <c r="C10" s="164"/>
      <c r="D10" s="164"/>
      <c r="E10" s="164"/>
      <c r="F10" s="164"/>
      <c r="G10" s="164"/>
      <c r="H10" s="164"/>
      <c r="I10" s="164"/>
      <c r="J10" s="164"/>
      <c r="K10" s="164"/>
      <c r="L10" s="164"/>
      <c r="M10" s="164"/>
      <c r="N10" s="164"/>
      <c r="O10" s="164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4"/>
      <c r="AA10" s="164"/>
      <c r="AB10" s="164"/>
      <c r="AC10" s="164"/>
      <c r="AD10" s="165" t="str">
        <f>IF(MIN(F10,J10,N10,R10,V10,Z10)&lt;&gt;0,MIN(F10,J10,N10,R10,V10,Z10),"")</f>
        <v/>
      </c>
      <c r="AE10" s="165" t="str">
        <f>IF(MIN(H10,L10,P10,T10,X10,AB10)&lt;&gt;0,MIN(H10,L10,P10,T10,X10,AB10),"")</f>
        <v/>
      </c>
      <c r="AF10" s="165"/>
      <c r="AG10" s="164"/>
      <c r="AH10" s="165"/>
      <c r="AI10" s="164"/>
      <c r="AJ10" s="163" t="str">
        <f>IF(AD10="","",IF(ISBLANK(AF10),"En cours",AD10+AF10))</f>
        <v/>
      </c>
      <c r="AK10" s="163" t="str">
        <f>IF(AE10="","",IF(ISBLANK(AH10),"En cours",AE10+AH10))</f>
        <v/>
      </c>
    </row>
    <row r="11" spans="2:37" ht="21" x14ac:dyDescent="0.35"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5" t="str">
        <f>IF(MIN(F11,J11,N11,R11,V11,Z11)&lt;&gt;0,MIN(F11,J11,N11,R11,V11,Z11),"")</f>
        <v/>
      </c>
      <c r="AE11" s="165" t="str">
        <f>IF(MIN(H11,L11,P11,T11,X11,AB11)&lt;&gt;0,MIN(H11,L11,P11,T11,X11,AB11),"")</f>
        <v/>
      </c>
      <c r="AF11" s="165"/>
      <c r="AG11" s="164"/>
      <c r="AH11" s="165"/>
      <c r="AI11" s="164"/>
      <c r="AJ11" s="163" t="str">
        <f>IF(AD11="","",IF(ISBLANK(AF11),"En cours",AD11+AF11))</f>
        <v/>
      </c>
      <c r="AK11" s="163" t="str">
        <f>IF(AE11="","",IF(ISBLANK(AH11),"En cours",AE11+AH11))</f>
        <v/>
      </c>
    </row>
    <row r="12" spans="2:37" ht="21" x14ac:dyDescent="0.35">
      <c r="B12" s="164"/>
      <c r="C12" s="164"/>
      <c r="D12" s="164"/>
      <c r="E12" s="164"/>
      <c r="F12" s="164"/>
      <c r="G12" s="164"/>
      <c r="H12" s="164"/>
      <c r="I12" s="164"/>
      <c r="J12" s="164"/>
      <c r="K12" s="164"/>
      <c r="L12" s="164"/>
      <c r="M12" s="164"/>
      <c r="N12" s="164"/>
      <c r="O12" s="164"/>
      <c r="P12" s="164"/>
      <c r="Q12" s="164"/>
      <c r="R12" s="164"/>
      <c r="S12" s="164"/>
      <c r="T12" s="164"/>
      <c r="U12" s="164"/>
      <c r="V12" s="164"/>
      <c r="W12" s="164"/>
      <c r="X12" s="164"/>
      <c r="Y12" s="164"/>
      <c r="Z12" s="164"/>
      <c r="AA12" s="164"/>
      <c r="AB12" s="164"/>
      <c r="AC12" s="164"/>
      <c r="AD12" s="165" t="str">
        <f>IF(MIN(F12,J12,N12,R12,V12,Z12)&lt;&gt;0,MIN(F12,J12,N12,R12,V12,Z12),"")</f>
        <v/>
      </c>
      <c r="AE12" s="165" t="str">
        <f>IF(MIN(H12,L12,P12,T12,X12,AB12)&lt;&gt;0,MIN(H12,L12,P12,T12,X12,AB12),"")</f>
        <v/>
      </c>
      <c r="AF12" s="165"/>
      <c r="AG12" s="164"/>
      <c r="AH12" s="165"/>
      <c r="AI12" s="164"/>
      <c r="AJ12" s="163" t="str">
        <f>IF(AD12="","",IF(ISBLANK(AF12),"En cours",AD12+AF12))</f>
        <v/>
      </c>
      <c r="AK12" s="163" t="str">
        <f>IF(AE12="","",IF(ISBLANK(AH12),"En cours",AE12+AH12))</f>
        <v/>
      </c>
    </row>
    <row r="13" spans="2:37" ht="21" x14ac:dyDescent="0.35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5" t="str">
        <f>IF(MIN(F13,J13,N13,R13,V13,Z13)&lt;&gt;0,MIN(F13,J13,N13,R13,V13,Z13),"")</f>
        <v/>
      </c>
      <c r="AE13" s="165" t="str">
        <f>IF(MIN(H13,L13,P13,T13,X13,AB13)&lt;&gt;0,MIN(H13,L13,P13,T13,X13,AB13),"")</f>
        <v/>
      </c>
      <c r="AF13" s="165"/>
      <c r="AG13" s="164"/>
      <c r="AH13" s="165"/>
      <c r="AI13" s="164"/>
      <c r="AJ13" s="163" t="str">
        <f>IF(AD13="","",IF(ISBLANK(AF13),"En cours",AD13+AF13))</f>
        <v/>
      </c>
      <c r="AK13" s="163" t="str">
        <f>IF(AE13="","",IF(ISBLANK(AH13),"En cours",AE13+AH13))</f>
        <v/>
      </c>
    </row>
    <row r="14" spans="2:37" ht="21" x14ac:dyDescent="0.35">
      <c r="B14" s="164"/>
      <c r="C14" s="164"/>
      <c r="D14" s="164"/>
      <c r="E14" s="164"/>
      <c r="F14" s="164"/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5" t="str">
        <f>IF(MIN(F14,J14,N14,R14,V14,Z14)&lt;&gt;0,MIN(F14,J14,N14,R14,V14,Z14),"")</f>
        <v/>
      </c>
      <c r="AE14" s="165" t="str">
        <f>IF(MIN(H14,L14,P14,T14,X14,AB14)&lt;&gt;0,MIN(H14,L14,P14,T14,X14,AB14),"")</f>
        <v/>
      </c>
      <c r="AF14" s="165"/>
      <c r="AG14" s="164"/>
      <c r="AH14" s="165"/>
      <c r="AI14" s="164"/>
      <c r="AJ14" s="163" t="str">
        <f>IF(AD14="","",IF(ISBLANK(AF14),"En cours",AD14+AF14))</f>
        <v/>
      </c>
      <c r="AK14" s="163" t="str">
        <f>IF(AE14="","",IF(ISBLANK(AH14),"En cours",AE14+AH14))</f>
        <v/>
      </c>
    </row>
    <row r="15" spans="2:37" ht="21" x14ac:dyDescent="0.35">
      <c r="B15" s="164"/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5" t="str">
        <f>IF(MIN(F15,J15,N15,R15,V15,Z15)&lt;&gt;0,MIN(F15,J15,N15,R15,V15,Z15),"")</f>
        <v/>
      </c>
      <c r="AE15" s="165" t="str">
        <f>IF(MIN(H15,L15,P15,T15,X15,AB15)&lt;&gt;0,MIN(H15,L15,P15,T15,X15,AB15),"")</f>
        <v/>
      </c>
      <c r="AF15" s="165"/>
      <c r="AG15" s="164"/>
      <c r="AH15" s="165"/>
      <c r="AI15" s="164"/>
      <c r="AJ15" s="163" t="str">
        <f>IF(AD15="","",IF(ISBLANK(AF15),"En cours",AD15+AF15))</f>
        <v/>
      </c>
      <c r="AK15" s="163" t="str">
        <f>IF(AE15="","",IF(ISBLANK(AH15),"En cours",AE15+AH15))</f>
        <v/>
      </c>
    </row>
    <row r="16" spans="2:37" ht="21" x14ac:dyDescent="0.35">
      <c r="B16" s="164"/>
      <c r="C16" s="164"/>
      <c r="D16" s="164"/>
      <c r="E16" s="164"/>
      <c r="F16" s="164"/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5" t="str">
        <f>IF(MIN(F16,J16,N16,R16,V16,Z16)&lt;&gt;0,MIN(F16,J16,N16,R16,V16,Z16),"")</f>
        <v/>
      </c>
      <c r="AE16" s="165" t="str">
        <f>IF(MIN(H16,L16,P16,T16,X16,AB16)&lt;&gt;0,MIN(H16,L16,P16,T16,X16,AB16),"")</f>
        <v/>
      </c>
      <c r="AF16" s="165"/>
      <c r="AG16" s="164"/>
      <c r="AH16" s="165"/>
      <c r="AI16" s="164"/>
      <c r="AJ16" s="163" t="str">
        <f>IF(AD16="","",IF(ISBLANK(AF16),"En cours",AD16+AF16))</f>
        <v/>
      </c>
      <c r="AK16" s="163" t="str">
        <f>IF(AE16="","",IF(ISBLANK(AH16),"En cours",AE16+AH16))</f>
        <v/>
      </c>
    </row>
    <row r="17" spans="2:37" ht="21" x14ac:dyDescent="0.35">
      <c r="B17" s="164"/>
      <c r="C17" s="164"/>
      <c r="D17" s="164"/>
      <c r="E17" s="164"/>
      <c r="F17" s="164"/>
      <c r="G17" s="164"/>
      <c r="H17" s="164"/>
      <c r="I17" s="164"/>
      <c r="J17" s="164"/>
      <c r="K17" s="164"/>
      <c r="L17" s="164"/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  <c r="X17" s="164"/>
      <c r="Y17" s="164"/>
      <c r="Z17" s="164"/>
      <c r="AA17" s="164"/>
      <c r="AB17" s="164"/>
      <c r="AC17" s="164"/>
      <c r="AD17" s="165" t="str">
        <f>IF(MIN(F17,J17,N17,R17,V17,Z17)&lt;&gt;0,MIN(F17,J17,N17,R17,V17,Z17),"")</f>
        <v/>
      </c>
      <c r="AE17" s="165" t="str">
        <f>IF(MIN(H17,L17,P17,T17,X17,AB17)&lt;&gt;0,MIN(H17,L17,P17,T17,X17,AB17),"")</f>
        <v/>
      </c>
      <c r="AF17" s="165"/>
      <c r="AG17" s="164"/>
      <c r="AH17" s="165"/>
      <c r="AI17" s="164"/>
      <c r="AJ17" s="163" t="str">
        <f>IF(AD17="","",IF(ISBLANK(AF17),"En cours",AD17+AF17))</f>
        <v/>
      </c>
      <c r="AK17" s="163" t="str">
        <f>IF(AE17="","",IF(ISBLANK(AH17),"En cours",AE17+AH17))</f>
        <v/>
      </c>
    </row>
    <row r="18" spans="2:37" ht="21" x14ac:dyDescent="0.35">
      <c r="B18" s="164"/>
      <c r="C18" s="164"/>
      <c r="D18" s="164"/>
      <c r="E18" s="164"/>
      <c r="F18" s="164"/>
      <c r="G18" s="164"/>
      <c r="H18" s="164"/>
      <c r="I18" s="164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  <c r="X18" s="164"/>
      <c r="Y18" s="164"/>
      <c r="Z18" s="164"/>
      <c r="AA18" s="164"/>
      <c r="AB18" s="164"/>
      <c r="AC18" s="164"/>
      <c r="AD18" s="165" t="str">
        <f>IF(MIN(F18,J18,N18,R18,V18,Z18)&lt;&gt;0,MIN(F18,J18,N18,R18,V18,Z18),"")</f>
        <v/>
      </c>
      <c r="AE18" s="165" t="str">
        <f>IF(MIN(H18,L18,P18,T18,X18,AB18)&lt;&gt;0,MIN(H18,L18,P18,T18,X18,AB18),"")</f>
        <v/>
      </c>
      <c r="AF18" s="165"/>
      <c r="AG18" s="164"/>
      <c r="AH18" s="165"/>
      <c r="AI18" s="164"/>
      <c r="AJ18" s="163" t="str">
        <f>IF(AD18="","",IF(ISBLANK(AF18),"En cours",AD18+AF18))</f>
        <v/>
      </c>
      <c r="AK18" s="163" t="str">
        <f>IF(AE18="","",IF(ISBLANK(AH18),"En cours",AE18+AH18))</f>
        <v/>
      </c>
    </row>
    <row r="19" spans="2:37" ht="21" x14ac:dyDescent="0.35">
      <c r="B19" s="164"/>
      <c r="C19" s="164"/>
      <c r="D19" s="164"/>
      <c r="E19" s="164"/>
      <c r="F19" s="164"/>
      <c r="G19" s="164"/>
      <c r="H19" s="164"/>
      <c r="I19" s="164"/>
      <c r="J19" s="164"/>
      <c r="K19" s="164"/>
      <c r="L19" s="164"/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  <c r="AD19" s="165" t="str">
        <f>IF(MIN(F19,J19,N19,R19,V19,Z19)&lt;&gt;0,MIN(F19,J19,N19,R19,V19,Z19),"")</f>
        <v/>
      </c>
      <c r="AE19" s="165" t="str">
        <f>IF(MIN(H19,L19,P19,T19,X19,AB19)&lt;&gt;0,MIN(H19,L19,P19,T19,X19,AB19),"")</f>
        <v/>
      </c>
      <c r="AF19" s="165"/>
      <c r="AG19" s="164"/>
      <c r="AH19" s="165"/>
      <c r="AI19" s="164"/>
      <c r="AJ19" s="163" t="str">
        <f>IF(AD19="","",IF(ISBLANK(AF19),"En cours",AD19+AF19))</f>
        <v/>
      </c>
      <c r="AK19" s="163" t="str">
        <f>IF(AE19="","",IF(ISBLANK(AH19),"En cours",AE19+AH19))</f>
        <v/>
      </c>
    </row>
    <row r="20" spans="2:37" ht="21" x14ac:dyDescent="0.35">
      <c r="B20" s="164"/>
      <c r="C20" s="164"/>
      <c r="D20" s="164"/>
      <c r="E20" s="164"/>
      <c r="F20" s="164"/>
      <c r="G20" s="164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4"/>
      <c r="U20" s="164"/>
      <c r="V20" s="164"/>
      <c r="W20" s="164"/>
      <c r="X20" s="164"/>
      <c r="Y20" s="164"/>
      <c r="Z20" s="164"/>
      <c r="AA20" s="164"/>
      <c r="AB20" s="164"/>
      <c r="AC20" s="164"/>
      <c r="AD20" s="165" t="str">
        <f>IF(MIN(F20,J20,N20,R20,V20,Z20)&lt;&gt;0,MIN(F20,J20,N20,R20,V20,Z20),"")</f>
        <v/>
      </c>
      <c r="AE20" s="165" t="str">
        <f>IF(MIN(H20,L20,P20,T20,X20,AB20)&lt;&gt;0,MIN(H20,L20,P20,T20,X20,AB20),"")</f>
        <v/>
      </c>
      <c r="AF20" s="165"/>
      <c r="AG20" s="164"/>
      <c r="AH20" s="165"/>
      <c r="AI20" s="164"/>
      <c r="AJ20" s="163" t="str">
        <f>IF(AD20="","",IF(ISBLANK(AF20),"En cours",AD20+AF20))</f>
        <v/>
      </c>
      <c r="AK20" s="163" t="str">
        <f>IF(AE20="","",IF(ISBLANK(AH20),"En cours",AE20+AH20))</f>
        <v/>
      </c>
    </row>
    <row r="21" spans="2:37" ht="21" x14ac:dyDescent="0.35">
      <c r="B21" s="164"/>
      <c r="C21" s="164"/>
      <c r="D21" s="164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  <c r="S21" s="164"/>
      <c r="T21" s="164"/>
      <c r="U21" s="164"/>
      <c r="V21" s="164"/>
      <c r="W21" s="164"/>
      <c r="X21" s="164"/>
      <c r="Y21" s="164"/>
      <c r="Z21" s="164"/>
      <c r="AA21" s="164"/>
      <c r="AB21" s="164"/>
      <c r="AC21" s="164"/>
      <c r="AD21" s="165" t="str">
        <f>IF(MIN(F21,J21,N21,R21,V21,Z21)&lt;&gt;0,MIN(F21,J21,N21,R21,V21,Z21),"")</f>
        <v/>
      </c>
      <c r="AE21" s="165" t="str">
        <f>IF(MIN(H21,L21,P21,T21,X21,AB21)&lt;&gt;0,MIN(H21,L21,P21,T21,X21,AB21),"")</f>
        <v/>
      </c>
      <c r="AF21" s="165"/>
      <c r="AG21" s="164"/>
      <c r="AH21" s="165"/>
      <c r="AI21" s="164"/>
      <c r="AJ21" s="163" t="str">
        <f>IF(AD21="","",IF(ISBLANK(AF21),"En cours",AD21+AF21))</f>
        <v/>
      </c>
      <c r="AK21" s="163" t="str">
        <f>IF(AE21="","",IF(ISBLANK(AH21),"En cours",AE21+AH21))</f>
        <v/>
      </c>
    </row>
    <row r="22" spans="2:37" ht="21" x14ac:dyDescent="0.35">
      <c r="B22" s="164"/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5" t="str">
        <f>IF(MIN(F22,J22,N22,R22,V22,Z22)&lt;&gt;0,MIN(F22,J22,N22,R22,V22,Z22),"")</f>
        <v/>
      </c>
      <c r="AE22" s="165" t="str">
        <f>IF(MIN(H22,L22,P22,T22,X22,AB22)&lt;&gt;0,MIN(H22,L22,P22,T22,X22,AB22),"")</f>
        <v/>
      </c>
      <c r="AF22" s="165"/>
      <c r="AG22" s="164"/>
      <c r="AH22" s="165"/>
      <c r="AI22" s="164"/>
      <c r="AJ22" s="163" t="str">
        <f>IF(AD22="","",IF(ISBLANK(AF22),"En cours",AD22+AF22))</f>
        <v/>
      </c>
      <c r="AK22" s="163" t="str">
        <f>IF(AE22="","",IF(ISBLANK(AH22),"En cours",AE22+AH22))</f>
        <v/>
      </c>
    </row>
    <row r="23" spans="2:37" ht="21" x14ac:dyDescent="0.35">
      <c r="B23" s="164"/>
      <c r="C23" s="164"/>
      <c r="D23" s="164"/>
      <c r="E23" s="164"/>
      <c r="F23" s="164"/>
      <c r="G23" s="164"/>
      <c r="H23" s="164"/>
      <c r="I23" s="164"/>
      <c r="J23" s="164"/>
      <c r="K23" s="164"/>
      <c r="L23" s="164"/>
      <c r="M23" s="164"/>
      <c r="N23" s="164"/>
      <c r="O23" s="164"/>
      <c r="P23" s="164"/>
      <c r="Q23" s="164"/>
      <c r="R23" s="164"/>
      <c r="S23" s="164"/>
      <c r="T23" s="164"/>
      <c r="U23" s="164"/>
      <c r="V23" s="164"/>
      <c r="W23" s="164"/>
      <c r="X23" s="164"/>
      <c r="Y23" s="164"/>
      <c r="Z23" s="164"/>
      <c r="AA23" s="164"/>
      <c r="AB23" s="164"/>
      <c r="AC23" s="164"/>
      <c r="AD23" s="165" t="str">
        <f>IF(MIN(F23,J23,N23,R23,V23,Z23)&lt;&gt;0,MIN(F23,J23,N23,R23,V23,Z23),"")</f>
        <v/>
      </c>
      <c r="AE23" s="165" t="str">
        <f>IF(MIN(H23,L23,P23,T23,X23,AB23)&lt;&gt;0,MIN(H23,L23,P23,T23,X23,AB23),"")</f>
        <v/>
      </c>
      <c r="AF23" s="165"/>
      <c r="AG23" s="164"/>
      <c r="AH23" s="165"/>
      <c r="AI23" s="164"/>
      <c r="AJ23" s="163" t="str">
        <f>IF(AD23="","",IF(ISBLANK(AF23),"En cours",AD23+AF23))</f>
        <v/>
      </c>
      <c r="AK23" s="163" t="str">
        <f>IF(AE23="","",IF(ISBLANK(AH23),"En cours",AE23+AH23))</f>
        <v/>
      </c>
    </row>
    <row r="24" spans="2:37" ht="21" x14ac:dyDescent="0.35">
      <c r="B24" s="164"/>
      <c r="C24" s="164"/>
      <c r="D24" s="164"/>
      <c r="E24" s="164"/>
      <c r="F24" s="164"/>
      <c r="G24" s="164"/>
      <c r="H24" s="164"/>
      <c r="I24" s="164"/>
      <c r="J24" s="164"/>
      <c r="K24" s="164"/>
      <c r="L24" s="164"/>
      <c r="M24" s="164"/>
      <c r="N24" s="164"/>
      <c r="O24" s="164"/>
      <c r="P24" s="164"/>
      <c r="Q24" s="164"/>
      <c r="R24" s="164"/>
      <c r="S24" s="164"/>
      <c r="T24" s="164"/>
      <c r="U24" s="164"/>
      <c r="V24" s="164"/>
      <c r="W24" s="164"/>
      <c r="X24" s="164"/>
      <c r="Y24" s="164"/>
      <c r="Z24" s="164"/>
      <c r="AA24" s="164"/>
      <c r="AB24" s="164"/>
      <c r="AC24" s="164"/>
      <c r="AD24" s="165" t="str">
        <f>IF(MIN(F24,J24,N24,R24,V24,Z24)&lt;&gt;0,MIN(F24,J24,N24,R24,V24,Z24),"")</f>
        <v/>
      </c>
      <c r="AE24" s="165" t="str">
        <f>IF(MIN(H24,L24,P24,T24,X24,AB24)&lt;&gt;0,MIN(H24,L24,P24,T24,X24,AB24),"")</f>
        <v/>
      </c>
      <c r="AF24" s="165"/>
      <c r="AG24" s="164"/>
      <c r="AH24" s="165"/>
      <c r="AI24" s="164"/>
      <c r="AJ24" s="163" t="str">
        <f>IF(AD24="","",IF(ISBLANK(AF24),"En cours",AD24+AF24))</f>
        <v/>
      </c>
      <c r="AK24" s="163" t="str">
        <f>IF(AE24="","",IF(ISBLANK(AH24),"En cours",AE24+AH24))</f>
        <v/>
      </c>
    </row>
    <row r="25" spans="2:37" ht="21" x14ac:dyDescent="0.35">
      <c r="B25" s="164"/>
      <c r="C25" s="164"/>
      <c r="D25" s="164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64"/>
      <c r="X25" s="164"/>
      <c r="Y25" s="164"/>
      <c r="Z25" s="164"/>
      <c r="AA25" s="164"/>
      <c r="AB25" s="164"/>
      <c r="AC25" s="164"/>
      <c r="AD25" s="165" t="str">
        <f>IF(MIN(F25,J25,N25,R25,V25,Z25)&lt;&gt;0,MIN(F25,J25,N25,R25,V25,Z25),"")</f>
        <v/>
      </c>
      <c r="AE25" s="165" t="str">
        <f>IF(MIN(H25,L25,P25,T25,X25,AB25)&lt;&gt;0,MIN(H25,L25,P25,T25,X25,AB25),"")</f>
        <v/>
      </c>
      <c r="AF25" s="165"/>
      <c r="AG25" s="164"/>
      <c r="AH25" s="165"/>
      <c r="AI25" s="164"/>
      <c r="AJ25" s="163" t="str">
        <f>IF(AD25="","",IF(ISBLANK(AF25),"En cours",AD25+AF25))</f>
        <v/>
      </c>
      <c r="AK25" s="163" t="str">
        <f>IF(AE25="","",IF(ISBLANK(AH25),"En cours",AE25+AH25))</f>
        <v/>
      </c>
    </row>
    <row r="26" spans="2:37" ht="21" x14ac:dyDescent="0.35">
      <c r="B26" s="164"/>
      <c r="C26" s="164"/>
      <c r="D26" s="164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5" t="str">
        <f>IF(MIN(F26,J26,N26,R26,V26,Z26)&lt;&gt;0,MIN(F26,J26,N26,R26,V26,Z26),"")</f>
        <v/>
      </c>
      <c r="AE26" s="165" t="str">
        <f>IF(MIN(H26,L26,P26,T26,X26,AB26)&lt;&gt;0,MIN(H26,L26,P26,T26,X26,AB26),"")</f>
        <v/>
      </c>
      <c r="AF26" s="165"/>
      <c r="AG26" s="164"/>
      <c r="AH26" s="165"/>
      <c r="AI26" s="164"/>
      <c r="AJ26" s="163" t="str">
        <f>IF(AD26="","",IF(ISBLANK(AF26),"En cours",AD26+AF26))</f>
        <v/>
      </c>
      <c r="AK26" s="163" t="str">
        <f>IF(AE26="","",IF(ISBLANK(AH26),"En cours",AE26+AH26))</f>
        <v/>
      </c>
    </row>
    <row r="27" spans="2:37" ht="21" x14ac:dyDescent="0.35">
      <c r="B27" s="164"/>
      <c r="C27" s="164"/>
      <c r="D27" s="164"/>
      <c r="E27" s="164"/>
      <c r="F27" s="164"/>
      <c r="G27" s="164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164"/>
      <c r="X27" s="164"/>
      <c r="Y27" s="164"/>
      <c r="Z27" s="164"/>
      <c r="AA27" s="164"/>
      <c r="AB27" s="164"/>
      <c r="AC27" s="164"/>
      <c r="AD27" s="165" t="str">
        <f>IF(MIN(F27,J27,N27,R27,V27,Z27)&lt;&gt;0,MIN(F27,J27,N27,R27,V27,Z27),"")</f>
        <v/>
      </c>
      <c r="AE27" s="165" t="str">
        <f>IF(MIN(H27,L27,P27,T27,X27,AB27)&lt;&gt;0,MIN(H27,L27,P27,T27,X27,AB27),"")</f>
        <v/>
      </c>
      <c r="AF27" s="165"/>
      <c r="AG27" s="164"/>
      <c r="AH27" s="165"/>
      <c r="AI27" s="164"/>
      <c r="AJ27" s="163" t="str">
        <f>IF(AD27="","",IF(ISBLANK(AF27),"En cours",AD27+AF27))</f>
        <v/>
      </c>
      <c r="AK27" s="163" t="str">
        <f>IF(AE27="","",IF(ISBLANK(AH27),"En cours",AE27+AH27))</f>
        <v/>
      </c>
    </row>
    <row r="28" spans="2:37" ht="21" x14ac:dyDescent="0.35">
      <c r="B28" s="164"/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164"/>
      <c r="X28" s="164"/>
      <c r="Y28" s="164"/>
      <c r="Z28" s="164"/>
      <c r="AA28" s="164"/>
      <c r="AB28" s="164"/>
      <c r="AC28" s="164"/>
      <c r="AD28" s="165" t="str">
        <f>IF(MIN(F28,J28,N28,R28,V28,Z28)&lt;&gt;0,MIN(F28,J28,N28,R28,V28,Z28),"")</f>
        <v/>
      </c>
      <c r="AE28" s="165" t="str">
        <f>IF(MIN(H28,L28,P28,T28,X28,AB28)&lt;&gt;0,MIN(H28,L28,P28,T28,X28,AB28),"")</f>
        <v/>
      </c>
      <c r="AF28" s="165"/>
      <c r="AG28" s="164"/>
      <c r="AH28" s="165"/>
      <c r="AI28" s="164"/>
      <c r="AJ28" s="163" t="str">
        <f>IF(AD28="","",IF(ISBLANK(AF28),"En cours",AD28+AF28))</f>
        <v/>
      </c>
      <c r="AK28" s="163" t="str">
        <f>IF(AE28="","",IF(ISBLANK(AH28),"En cours",AE28+AH28))</f>
        <v/>
      </c>
    </row>
    <row r="29" spans="2:37" ht="21" x14ac:dyDescent="0.35">
      <c r="B29" s="164"/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164"/>
      <c r="X29" s="164"/>
      <c r="Y29" s="164"/>
      <c r="Z29" s="164"/>
      <c r="AA29" s="164"/>
      <c r="AB29" s="164"/>
      <c r="AC29" s="164"/>
      <c r="AD29" s="165" t="str">
        <f>IF(MIN(F29,J29,N29,R29,V29,Z29)&lt;&gt;0,MIN(F29,J29,N29,R29,V29,Z29),"")</f>
        <v/>
      </c>
      <c r="AE29" s="165" t="str">
        <f>IF(MIN(H29,L29,P29,T29,X29,AB29)&lt;&gt;0,MIN(H29,L29,P29,T29,X29,AB29),"")</f>
        <v/>
      </c>
      <c r="AF29" s="165"/>
      <c r="AG29" s="164"/>
      <c r="AH29" s="165"/>
      <c r="AI29" s="164"/>
      <c r="AJ29" s="163" t="str">
        <f>IF(AD29="","",IF(ISBLANK(AF29),"En cours",AD29+AF29))</f>
        <v/>
      </c>
      <c r="AK29" s="163" t="str">
        <f>IF(AE29="","",IF(ISBLANK(AH29),"En cours",AE29+AH29))</f>
        <v/>
      </c>
    </row>
    <row r="30" spans="2:37" ht="21" x14ac:dyDescent="0.35">
      <c r="B30" s="164"/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5" t="str">
        <f>IF(MIN(F30,J30,N30,R30,V30,Z30)&lt;&gt;0,MIN(F30,J30,N30,R30,V30,Z30),"")</f>
        <v/>
      </c>
      <c r="AE30" s="165" t="str">
        <f>IF(MIN(H30,L30,P30,T30,X30,AB30)&lt;&gt;0,MIN(H30,L30,P30,T30,X30,AB30),"")</f>
        <v/>
      </c>
      <c r="AF30" s="165"/>
      <c r="AG30" s="164"/>
      <c r="AH30" s="165"/>
      <c r="AI30" s="164"/>
      <c r="AJ30" s="163" t="str">
        <f>IF(AD30="","",IF(ISBLANK(AF30),"En cours",AD30+AF30))</f>
        <v/>
      </c>
      <c r="AK30" s="163" t="str">
        <f>IF(AE30="","",IF(ISBLANK(AH30),"En cours",AE30+AH30))</f>
        <v/>
      </c>
    </row>
    <row r="31" spans="2:37" ht="21" x14ac:dyDescent="0.35">
      <c r="B31" s="164"/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5" t="str">
        <f t="shared" ref="AD4:AD33" si="0">IF(MIN(F31,J31,N31,R31,V31,Z31)&lt;&gt;0,MIN(F31,J31,N31,R31,V31,Z31),"")</f>
        <v/>
      </c>
      <c r="AE31" s="165" t="str">
        <f t="shared" ref="AE4:AE33" si="1">IF(MIN(H31,L31,P31,T31,X31,AB31)&lt;&gt;0,MIN(H31,L31,P31,T31,X31,AB31),"")</f>
        <v/>
      </c>
      <c r="AF31" s="165"/>
      <c r="AG31" s="164"/>
      <c r="AH31" s="165"/>
      <c r="AI31" s="164"/>
      <c r="AJ31" s="163" t="str">
        <f t="shared" ref="AJ4:AJ33" si="2">IF(AD31="","",IF(ISBLANK(AF31),"En cours",AD31+AF31))</f>
        <v/>
      </c>
      <c r="AK31" s="163" t="str">
        <f t="shared" ref="AK4:AK33" si="3">IF(AE31="","",IF(ISBLANK(AH31),"En cours",AE31+AH31))</f>
        <v/>
      </c>
    </row>
    <row r="32" spans="2:37" ht="21" x14ac:dyDescent="0.35">
      <c r="B32" s="164"/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5" t="str">
        <f t="shared" si="0"/>
        <v/>
      </c>
      <c r="AE32" s="165" t="str">
        <f t="shared" si="1"/>
        <v/>
      </c>
      <c r="AF32" s="165"/>
      <c r="AG32" s="164"/>
      <c r="AH32" s="165"/>
      <c r="AI32" s="164"/>
      <c r="AJ32" s="163" t="str">
        <f t="shared" si="2"/>
        <v/>
      </c>
      <c r="AK32" s="163" t="str">
        <f t="shared" si="3"/>
        <v/>
      </c>
    </row>
    <row r="33" spans="2:37" ht="21" x14ac:dyDescent="0.35">
      <c r="B33" s="164"/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164"/>
      <c r="AB33" s="164"/>
      <c r="AC33" s="164"/>
      <c r="AD33" s="165" t="str">
        <f t="shared" si="0"/>
        <v/>
      </c>
      <c r="AE33" s="165" t="str">
        <f t="shared" si="1"/>
        <v/>
      </c>
      <c r="AF33" s="165"/>
      <c r="AG33" s="164"/>
      <c r="AH33" s="165"/>
      <c r="AI33" s="164"/>
      <c r="AJ33" s="163" t="str">
        <f t="shared" si="2"/>
        <v/>
      </c>
      <c r="AK33" s="163" t="str">
        <f t="shared" si="3"/>
        <v/>
      </c>
    </row>
    <row r="34" spans="2:37" ht="21" x14ac:dyDescent="0.35">
      <c r="B34" s="164"/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164"/>
      <c r="AA34" s="164"/>
      <c r="AB34" s="164"/>
      <c r="AC34" s="164"/>
      <c r="AD34" s="165" t="str">
        <f t="shared" ref="AD34:AD35" si="4">IF(MIN(F34,J34,N34,R34,V34,Z34)&lt;&gt;0,MIN(F34,J34,N34,R34,V34,Z34),"")</f>
        <v/>
      </c>
      <c r="AE34" s="165" t="str">
        <f t="shared" ref="AE34:AE35" si="5">IF(MIN(H34,L34,P34,T34,X34,AB34)&lt;&gt;0,MIN(H34,L34,P34,T34,X34,AB34),"")</f>
        <v/>
      </c>
      <c r="AF34" s="165"/>
      <c r="AG34" s="164"/>
      <c r="AH34" s="165"/>
      <c r="AI34" s="164"/>
      <c r="AJ34" s="163" t="str">
        <f t="shared" ref="AJ34:AJ35" si="6">IF(AD34="","",IF(ISBLANK(AF34),"En cours",AD34+AF34))</f>
        <v/>
      </c>
      <c r="AK34" s="163" t="str">
        <f t="shared" ref="AK34:AK35" si="7">IF(AE34="","",IF(ISBLANK(AH34),"En cours",AE34+AH34))</f>
        <v/>
      </c>
    </row>
    <row r="35" spans="2:37" ht="21" x14ac:dyDescent="0.35">
      <c r="B35" s="164"/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5" t="str">
        <f t="shared" si="4"/>
        <v/>
      </c>
      <c r="AE35" s="165" t="str">
        <f t="shared" si="5"/>
        <v/>
      </c>
      <c r="AF35" s="165"/>
      <c r="AG35" s="164"/>
      <c r="AH35" s="165"/>
      <c r="AI35" s="164"/>
      <c r="AJ35" s="163" t="str">
        <f t="shared" si="6"/>
        <v/>
      </c>
      <c r="AK35" s="163" t="str">
        <f t="shared" si="7"/>
        <v/>
      </c>
    </row>
    <row r="36" spans="2:37" ht="21" x14ac:dyDescent="0.35">
      <c r="B36" s="164"/>
      <c r="C36" s="164"/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164"/>
      <c r="X36" s="164"/>
      <c r="Y36" s="164"/>
      <c r="Z36" s="164"/>
      <c r="AA36" s="164"/>
      <c r="AB36" s="164"/>
      <c r="AC36" s="164"/>
      <c r="AD36" s="165" t="str">
        <f t="shared" ref="AD36:AD67" si="8">IF(MIN(F36,J36,N36,R36,V36,Z36)&lt;&gt;0,MIN(F36,J36,N36,R36,V36,Z36),"")</f>
        <v/>
      </c>
      <c r="AE36" s="165" t="str">
        <f t="shared" ref="AE36:AE67" si="9">IF(MIN(H36,L36,P36,T36,X36,AB36)&lt;&gt;0,MIN(H36,L36,P36,T36,X36,AB36),"")</f>
        <v/>
      </c>
      <c r="AF36" s="165"/>
      <c r="AG36" s="164"/>
      <c r="AH36" s="165"/>
      <c r="AI36" s="164"/>
      <c r="AJ36" s="163" t="str">
        <f t="shared" ref="AJ36:AJ67" si="10">IF(AD36="","",IF(ISBLANK(AF36),"En cours",AD36+AF36))</f>
        <v/>
      </c>
      <c r="AK36" s="163" t="str">
        <f t="shared" ref="AK36:AK67" si="11">IF(AE36="","",IF(ISBLANK(AH36),"En cours",AE36+AH36))</f>
        <v/>
      </c>
    </row>
    <row r="37" spans="2:37" ht="21" x14ac:dyDescent="0.35">
      <c r="B37" s="164"/>
      <c r="C37" s="164"/>
      <c r="D37" s="164"/>
      <c r="E37" s="164"/>
      <c r="F37" s="164"/>
      <c r="G37" s="164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5" t="str">
        <f t="shared" si="8"/>
        <v/>
      </c>
      <c r="AE37" s="165" t="str">
        <f t="shared" si="9"/>
        <v/>
      </c>
      <c r="AF37" s="165"/>
      <c r="AG37" s="164"/>
      <c r="AH37" s="165"/>
      <c r="AI37" s="164"/>
      <c r="AJ37" s="163" t="str">
        <f t="shared" si="10"/>
        <v/>
      </c>
      <c r="AK37" s="163" t="str">
        <f t="shared" si="11"/>
        <v/>
      </c>
    </row>
    <row r="38" spans="2:37" ht="21" x14ac:dyDescent="0.35">
      <c r="B38" s="164"/>
      <c r="C38" s="164"/>
      <c r="D38" s="164"/>
      <c r="E38" s="164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5" t="str">
        <f t="shared" si="8"/>
        <v/>
      </c>
      <c r="AE38" s="165" t="str">
        <f t="shared" si="9"/>
        <v/>
      </c>
      <c r="AF38" s="165"/>
      <c r="AG38" s="164"/>
      <c r="AH38" s="165"/>
      <c r="AI38" s="164"/>
      <c r="AJ38" s="163" t="str">
        <f t="shared" si="10"/>
        <v/>
      </c>
      <c r="AK38" s="163" t="str">
        <f t="shared" si="11"/>
        <v/>
      </c>
    </row>
    <row r="39" spans="2:37" ht="21" x14ac:dyDescent="0.35">
      <c r="B39" s="164"/>
      <c r="C39" s="164"/>
      <c r="D39" s="164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5" t="str">
        <f t="shared" si="8"/>
        <v/>
      </c>
      <c r="AE39" s="165" t="str">
        <f t="shared" si="9"/>
        <v/>
      </c>
      <c r="AF39" s="165"/>
      <c r="AG39" s="164"/>
      <c r="AH39" s="165"/>
      <c r="AI39" s="164"/>
      <c r="AJ39" s="163" t="str">
        <f t="shared" si="10"/>
        <v/>
      </c>
      <c r="AK39" s="163" t="str">
        <f t="shared" si="11"/>
        <v/>
      </c>
    </row>
    <row r="40" spans="2:37" ht="21" x14ac:dyDescent="0.35"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5" t="str">
        <f t="shared" si="8"/>
        <v/>
      </c>
      <c r="AE40" s="165" t="str">
        <f t="shared" si="9"/>
        <v/>
      </c>
      <c r="AF40" s="165"/>
      <c r="AG40" s="164"/>
      <c r="AH40" s="165"/>
      <c r="AI40" s="164"/>
      <c r="AJ40" s="163" t="str">
        <f t="shared" si="10"/>
        <v/>
      </c>
      <c r="AK40" s="163" t="str">
        <f t="shared" si="11"/>
        <v/>
      </c>
    </row>
    <row r="41" spans="2:37" ht="21" x14ac:dyDescent="0.35">
      <c r="B41" s="164"/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5" t="str">
        <f t="shared" si="8"/>
        <v/>
      </c>
      <c r="AE41" s="165" t="str">
        <f t="shared" si="9"/>
        <v/>
      </c>
      <c r="AF41" s="165"/>
      <c r="AG41" s="164"/>
      <c r="AH41" s="165"/>
      <c r="AI41" s="164"/>
      <c r="AJ41" s="163" t="str">
        <f t="shared" si="10"/>
        <v/>
      </c>
      <c r="AK41" s="163" t="str">
        <f t="shared" si="11"/>
        <v/>
      </c>
    </row>
    <row r="42" spans="2:37" ht="21" x14ac:dyDescent="0.35">
      <c r="B42" s="164"/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5" t="str">
        <f t="shared" si="8"/>
        <v/>
      </c>
      <c r="AE42" s="165" t="str">
        <f t="shared" si="9"/>
        <v/>
      </c>
      <c r="AF42" s="165"/>
      <c r="AG42" s="164"/>
      <c r="AH42" s="165"/>
      <c r="AI42" s="164"/>
      <c r="AJ42" s="163" t="str">
        <f t="shared" si="10"/>
        <v/>
      </c>
      <c r="AK42" s="163" t="str">
        <f t="shared" si="11"/>
        <v/>
      </c>
    </row>
    <row r="43" spans="2:37" ht="21" x14ac:dyDescent="0.35">
      <c r="B43" s="164"/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5" t="str">
        <f t="shared" si="8"/>
        <v/>
      </c>
      <c r="AE43" s="165" t="str">
        <f t="shared" si="9"/>
        <v/>
      </c>
      <c r="AF43" s="165"/>
      <c r="AG43" s="164"/>
      <c r="AH43" s="165"/>
      <c r="AI43" s="164"/>
      <c r="AJ43" s="163" t="str">
        <f t="shared" si="10"/>
        <v/>
      </c>
      <c r="AK43" s="163" t="str">
        <f t="shared" si="11"/>
        <v/>
      </c>
    </row>
    <row r="44" spans="2:37" ht="21" x14ac:dyDescent="0.35">
      <c r="B44" s="164"/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4"/>
      <c r="Y44" s="164"/>
      <c r="Z44" s="164"/>
      <c r="AA44" s="164"/>
      <c r="AB44" s="164"/>
      <c r="AC44" s="164"/>
      <c r="AD44" s="165" t="str">
        <f t="shared" si="8"/>
        <v/>
      </c>
      <c r="AE44" s="165" t="str">
        <f t="shared" si="9"/>
        <v/>
      </c>
      <c r="AF44" s="165"/>
      <c r="AG44" s="164"/>
      <c r="AH44" s="165"/>
      <c r="AI44" s="164"/>
      <c r="AJ44" s="163" t="str">
        <f t="shared" si="10"/>
        <v/>
      </c>
      <c r="AK44" s="163" t="str">
        <f t="shared" si="11"/>
        <v/>
      </c>
    </row>
    <row r="45" spans="2:37" ht="21" x14ac:dyDescent="0.35">
      <c r="B45" s="164"/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4"/>
      <c r="Z45" s="164"/>
      <c r="AA45" s="164"/>
      <c r="AB45" s="164"/>
      <c r="AC45" s="164"/>
      <c r="AD45" s="165" t="str">
        <f t="shared" si="8"/>
        <v/>
      </c>
      <c r="AE45" s="165" t="str">
        <f t="shared" si="9"/>
        <v/>
      </c>
      <c r="AF45" s="165"/>
      <c r="AG45" s="164"/>
      <c r="AH45" s="165"/>
      <c r="AI45" s="164"/>
      <c r="AJ45" s="163" t="str">
        <f t="shared" si="10"/>
        <v/>
      </c>
      <c r="AK45" s="163" t="str">
        <f t="shared" si="11"/>
        <v/>
      </c>
    </row>
    <row r="46" spans="2:37" ht="21" x14ac:dyDescent="0.35">
      <c r="B46" s="164"/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5" t="str">
        <f t="shared" si="8"/>
        <v/>
      </c>
      <c r="AE46" s="165" t="str">
        <f t="shared" si="9"/>
        <v/>
      </c>
      <c r="AF46" s="165"/>
      <c r="AG46" s="164"/>
      <c r="AH46" s="165"/>
      <c r="AI46" s="164"/>
      <c r="AJ46" s="163" t="str">
        <f t="shared" si="10"/>
        <v/>
      </c>
      <c r="AK46" s="163" t="str">
        <f t="shared" si="11"/>
        <v/>
      </c>
    </row>
    <row r="47" spans="2:37" ht="21" x14ac:dyDescent="0.35">
      <c r="B47" s="164"/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164"/>
      <c r="X47" s="164"/>
      <c r="Y47" s="164"/>
      <c r="Z47" s="164"/>
      <c r="AA47" s="164"/>
      <c r="AB47" s="164"/>
      <c r="AC47" s="164"/>
      <c r="AD47" s="165" t="str">
        <f t="shared" si="8"/>
        <v/>
      </c>
      <c r="AE47" s="165" t="str">
        <f t="shared" si="9"/>
        <v/>
      </c>
      <c r="AF47" s="165"/>
      <c r="AG47" s="164"/>
      <c r="AH47" s="165"/>
      <c r="AI47" s="164"/>
      <c r="AJ47" s="163" t="str">
        <f t="shared" si="10"/>
        <v/>
      </c>
      <c r="AK47" s="163" t="str">
        <f t="shared" si="11"/>
        <v/>
      </c>
    </row>
    <row r="48" spans="2:37" ht="21" x14ac:dyDescent="0.35">
      <c r="B48" s="164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5" t="str">
        <f t="shared" si="8"/>
        <v/>
      </c>
      <c r="AE48" s="165" t="str">
        <f t="shared" si="9"/>
        <v/>
      </c>
      <c r="AF48" s="165"/>
      <c r="AG48" s="164"/>
      <c r="AH48" s="165"/>
      <c r="AI48" s="164"/>
      <c r="AJ48" s="163" t="str">
        <f t="shared" si="10"/>
        <v/>
      </c>
      <c r="AK48" s="163" t="str">
        <f t="shared" si="11"/>
        <v/>
      </c>
    </row>
    <row r="49" spans="2:37" ht="21" x14ac:dyDescent="0.35">
      <c r="B49" s="164"/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5" t="str">
        <f t="shared" si="8"/>
        <v/>
      </c>
      <c r="AE49" s="165" t="str">
        <f t="shared" si="9"/>
        <v/>
      </c>
      <c r="AF49" s="165"/>
      <c r="AG49" s="164"/>
      <c r="AH49" s="165"/>
      <c r="AI49" s="164"/>
      <c r="AJ49" s="163" t="str">
        <f t="shared" si="10"/>
        <v/>
      </c>
      <c r="AK49" s="163" t="str">
        <f t="shared" si="11"/>
        <v/>
      </c>
    </row>
    <row r="50" spans="2:37" ht="21" x14ac:dyDescent="0.35">
      <c r="B50" s="164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5" t="str">
        <f t="shared" si="8"/>
        <v/>
      </c>
      <c r="AE50" s="165" t="str">
        <f t="shared" si="9"/>
        <v/>
      </c>
      <c r="AF50" s="165"/>
      <c r="AG50" s="164"/>
      <c r="AH50" s="165"/>
      <c r="AI50" s="164"/>
      <c r="AJ50" s="163" t="str">
        <f t="shared" si="10"/>
        <v/>
      </c>
      <c r="AK50" s="163" t="str">
        <f t="shared" si="11"/>
        <v/>
      </c>
    </row>
    <row r="51" spans="2:37" ht="21" x14ac:dyDescent="0.35">
      <c r="B51" s="164"/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5" t="str">
        <f t="shared" si="8"/>
        <v/>
      </c>
      <c r="AE51" s="165" t="str">
        <f t="shared" si="9"/>
        <v/>
      </c>
      <c r="AF51" s="165"/>
      <c r="AG51" s="164"/>
      <c r="AH51" s="165"/>
      <c r="AI51" s="164"/>
      <c r="AJ51" s="163" t="str">
        <f t="shared" si="10"/>
        <v/>
      </c>
      <c r="AK51" s="163" t="str">
        <f t="shared" si="11"/>
        <v/>
      </c>
    </row>
    <row r="52" spans="2:37" ht="21" x14ac:dyDescent="0.35">
      <c r="B52" s="164"/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5" t="str">
        <f t="shared" si="8"/>
        <v/>
      </c>
      <c r="AE52" s="165" t="str">
        <f t="shared" si="9"/>
        <v/>
      </c>
      <c r="AF52" s="165"/>
      <c r="AG52" s="164"/>
      <c r="AH52" s="165"/>
      <c r="AI52" s="164"/>
      <c r="AJ52" s="163" t="str">
        <f t="shared" si="10"/>
        <v/>
      </c>
      <c r="AK52" s="163" t="str">
        <f t="shared" si="11"/>
        <v/>
      </c>
    </row>
    <row r="53" spans="2:37" ht="21" x14ac:dyDescent="0.35">
      <c r="B53" s="164"/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5" t="str">
        <f t="shared" si="8"/>
        <v/>
      </c>
      <c r="AE53" s="165" t="str">
        <f t="shared" si="9"/>
        <v/>
      </c>
      <c r="AF53" s="165"/>
      <c r="AG53" s="164"/>
      <c r="AH53" s="165"/>
      <c r="AI53" s="164"/>
      <c r="AJ53" s="163" t="str">
        <f t="shared" si="10"/>
        <v/>
      </c>
      <c r="AK53" s="163" t="str">
        <f t="shared" si="11"/>
        <v/>
      </c>
    </row>
    <row r="54" spans="2:37" ht="21" x14ac:dyDescent="0.35">
      <c r="B54" s="164"/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5" t="str">
        <f t="shared" si="8"/>
        <v/>
      </c>
      <c r="AE54" s="165" t="str">
        <f t="shared" si="9"/>
        <v/>
      </c>
      <c r="AF54" s="165"/>
      <c r="AG54" s="164"/>
      <c r="AH54" s="165"/>
      <c r="AI54" s="164"/>
      <c r="AJ54" s="163" t="str">
        <f t="shared" si="10"/>
        <v/>
      </c>
      <c r="AK54" s="163" t="str">
        <f t="shared" si="11"/>
        <v/>
      </c>
    </row>
    <row r="55" spans="2:37" ht="21" x14ac:dyDescent="0.35">
      <c r="B55" s="164"/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5" t="str">
        <f t="shared" si="8"/>
        <v/>
      </c>
      <c r="AE55" s="165" t="str">
        <f t="shared" si="9"/>
        <v/>
      </c>
      <c r="AF55" s="165"/>
      <c r="AG55" s="164"/>
      <c r="AH55" s="165"/>
      <c r="AI55" s="164"/>
      <c r="AJ55" s="163" t="str">
        <f t="shared" si="10"/>
        <v/>
      </c>
      <c r="AK55" s="163" t="str">
        <f t="shared" si="11"/>
        <v/>
      </c>
    </row>
    <row r="56" spans="2:37" ht="21" x14ac:dyDescent="0.35">
      <c r="B56" s="164"/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5" t="str">
        <f t="shared" si="8"/>
        <v/>
      </c>
      <c r="AE56" s="165" t="str">
        <f t="shared" si="9"/>
        <v/>
      </c>
      <c r="AF56" s="165"/>
      <c r="AG56" s="164"/>
      <c r="AH56" s="165"/>
      <c r="AI56" s="164"/>
      <c r="AJ56" s="163" t="str">
        <f t="shared" si="10"/>
        <v/>
      </c>
      <c r="AK56" s="163" t="str">
        <f t="shared" si="11"/>
        <v/>
      </c>
    </row>
    <row r="57" spans="2:37" ht="21" x14ac:dyDescent="0.35">
      <c r="B57" s="164"/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5" t="str">
        <f t="shared" si="8"/>
        <v/>
      </c>
      <c r="AE57" s="165" t="str">
        <f t="shared" si="9"/>
        <v/>
      </c>
      <c r="AF57" s="165"/>
      <c r="AG57" s="164"/>
      <c r="AH57" s="165"/>
      <c r="AI57" s="164"/>
      <c r="AJ57" s="163" t="str">
        <f t="shared" si="10"/>
        <v/>
      </c>
      <c r="AK57" s="163" t="str">
        <f t="shared" si="11"/>
        <v/>
      </c>
    </row>
    <row r="58" spans="2:37" ht="21" x14ac:dyDescent="0.35">
      <c r="B58" s="164"/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5" t="str">
        <f t="shared" si="8"/>
        <v/>
      </c>
      <c r="AE58" s="165" t="str">
        <f t="shared" si="9"/>
        <v/>
      </c>
      <c r="AF58" s="165"/>
      <c r="AG58" s="164"/>
      <c r="AH58" s="165"/>
      <c r="AI58" s="164"/>
      <c r="AJ58" s="163" t="str">
        <f t="shared" si="10"/>
        <v/>
      </c>
      <c r="AK58" s="163" t="str">
        <f t="shared" si="11"/>
        <v/>
      </c>
    </row>
    <row r="59" spans="2:37" ht="21" x14ac:dyDescent="0.35">
      <c r="B59" s="164"/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5" t="str">
        <f t="shared" si="8"/>
        <v/>
      </c>
      <c r="AE59" s="165" t="str">
        <f t="shared" si="9"/>
        <v/>
      </c>
      <c r="AF59" s="165"/>
      <c r="AG59" s="164"/>
      <c r="AH59" s="165"/>
      <c r="AI59" s="164"/>
      <c r="AJ59" s="163" t="str">
        <f t="shared" si="10"/>
        <v/>
      </c>
      <c r="AK59" s="163" t="str">
        <f t="shared" si="11"/>
        <v/>
      </c>
    </row>
    <row r="60" spans="2:37" ht="21" x14ac:dyDescent="0.35">
      <c r="B60" s="164"/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5" t="str">
        <f t="shared" si="8"/>
        <v/>
      </c>
      <c r="AE60" s="165" t="str">
        <f t="shared" si="9"/>
        <v/>
      </c>
      <c r="AF60" s="165"/>
      <c r="AG60" s="164"/>
      <c r="AH60" s="165"/>
      <c r="AI60" s="164"/>
      <c r="AJ60" s="163" t="str">
        <f t="shared" si="10"/>
        <v/>
      </c>
      <c r="AK60" s="163" t="str">
        <f t="shared" si="11"/>
        <v/>
      </c>
    </row>
    <row r="61" spans="2:37" ht="21" x14ac:dyDescent="0.35">
      <c r="B61" s="164"/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5" t="str">
        <f t="shared" si="8"/>
        <v/>
      </c>
      <c r="AE61" s="165" t="str">
        <f t="shared" si="9"/>
        <v/>
      </c>
      <c r="AF61" s="165"/>
      <c r="AG61" s="164"/>
      <c r="AH61" s="165"/>
      <c r="AI61" s="164"/>
      <c r="AJ61" s="163" t="str">
        <f t="shared" si="10"/>
        <v/>
      </c>
      <c r="AK61" s="163" t="str">
        <f t="shared" si="11"/>
        <v/>
      </c>
    </row>
    <row r="62" spans="2:37" ht="21" x14ac:dyDescent="0.35">
      <c r="B62" s="164"/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5" t="str">
        <f t="shared" si="8"/>
        <v/>
      </c>
      <c r="AE62" s="165" t="str">
        <f t="shared" si="9"/>
        <v/>
      </c>
      <c r="AF62" s="165"/>
      <c r="AG62" s="164"/>
      <c r="AH62" s="165"/>
      <c r="AI62" s="164"/>
      <c r="AJ62" s="163" t="str">
        <f t="shared" si="10"/>
        <v/>
      </c>
      <c r="AK62" s="163" t="str">
        <f t="shared" si="11"/>
        <v/>
      </c>
    </row>
    <row r="63" spans="2:37" ht="21" x14ac:dyDescent="0.35">
      <c r="B63" s="164"/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5" t="str">
        <f t="shared" si="8"/>
        <v/>
      </c>
      <c r="AE63" s="165" t="str">
        <f t="shared" si="9"/>
        <v/>
      </c>
      <c r="AF63" s="165"/>
      <c r="AG63" s="164"/>
      <c r="AH63" s="165"/>
      <c r="AI63" s="164"/>
      <c r="AJ63" s="163" t="str">
        <f t="shared" si="10"/>
        <v/>
      </c>
      <c r="AK63" s="163" t="str">
        <f t="shared" si="11"/>
        <v/>
      </c>
    </row>
    <row r="64" spans="2:37" ht="21" x14ac:dyDescent="0.35">
      <c r="B64" s="164"/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4"/>
      <c r="Y64" s="164"/>
      <c r="Z64" s="164"/>
      <c r="AA64" s="164"/>
      <c r="AB64" s="164"/>
      <c r="AC64" s="164"/>
      <c r="AD64" s="165" t="str">
        <f t="shared" si="8"/>
        <v/>
      </c>
      <c r="AE64" s="165" t="str">
        <f t="shared" si="9"/>
        <v/>
      </c>
      <c r="AF64" s="165"/>
      <c r="AG64" s="164"/>
      <c r="AH64" s="165"/>
      <c r="AI64" s="164"/>
      <c r="AJ64" s="163" t="str">
        <f t="shared" si="10"/>
        <v/>
      </c>
      <c r="AK64" s="163" t="str">
        <f t="shared" si="11"/>
        <v/>
      </c>
    </row>
    <row r="65" spans="2:37" ht="21" x14ac:dyDescent="0.35">
      <c r="B65" s="164"/>
      <c r="C65" s="164"/>
      <c r="D65" s="164"/>
      <c r="E65" s="164"/>
      <c r="F65" s="164"/>
      <c r="G65" s="164"/>
      <c r="H65" s="164"/>
      <c r="I65" s="164"/>
      <c r="J65" s="164"/>
      <c r="K65" s="164"/>
      <c r="L65" s="164"/>
      <c r="M65" s="164"/>
      <c r="N65" s="164"/>
      <c r="O65" s="164"/>
      <c r="P65" s="164"/>
      <c r="Q65" s="164"/>
      <c r="R65" s="164"/>
      <c r="S65" s="164"/>
      <c r="T65" s="164"/>
      <c r="U65" s="164"/>
      <c r="V65" s="164"/>
      <c r="W65" s="164"/>
      <c r="X65" s="164"/>
      <c r="Y65" s="164"/>
      <c r="Z65" s="164"/>
      <c r="AA65" s="164"/>
      <c r="AB65" s="164"/>
      <c r="AC65" s="164"/>
      <c r="AD65" s="165" t="str">
        <f t="shared" si="8"/>
        <v/>
      </c>
      <c r="AE65" s="165" t="str">
        <f t="shared" si="9"/>
        <v/>
      </c>
      <c r="AF65" s="165"/>
      <c r="AG65" s="164"/>
      <c r="AH65" s="165"/>
      <c r="AI65" s="164"/>
      <c r="AJ65" s="163" t="str">
        <f t="shared" si="10"/>
        <v/>
      </c>
      <c r="AK65" s="163" t="str">
        <f t="shared" si="11"/>
        <v/>
      </c>
    </row>
    <row r="66" spans="2:37" ht="21" x14ac:dyDescent="0.35">
      <c r="B66" s="164"/>
      <c r="C66" s="164"/>
      <c r="D66" s="164"/>
      <c r="E66" s="164"/>
      <c r="F66" s="164"/>
      <c r="G66" s="164"/>
      <c r="H66" s="164"/>
      <c r="I66" s="164"/>
      <c r="J66" s="164"/>
      <c r="K66" s="164"/>
      <c r="L66" s="164"/>
      <c r="M66" s="164"/>
      <c r="N66" s="164"/>
      <c r="O66" s="164"/>
      <c r="P66" s="164"/>
      <c r="Q66" s="164"/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5" t="str">
        <f t="shared" si="8"/>
        <v/>
      </c>
      <c r="AE66" s="165" t="str">
        <f t="shared" si="9"/>
        <v/>
      </c>
      <c r="AF66" s="165"/>
      <c r="AG66" s="164"/>
      <c r="AH66" s="165"/>
      <c r="AI66" s="164"/>
      <c r="AJ66" s="163" t="str">
        <f t="shared" si="10"/>
        <v/>
      </c>
      <c r="AK66" s="163" t="str">
        <f t="shared" si="11"/>
        <v/>
      </c>
    </row>
    <row r="67" spans="2:37" ht="21" x14ac:dyDescent="0.35"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4"/>
      <c r="P67" s="164"/>
      <c r="Q67" s="164"/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5" t="str">
        <f t="shared" si="8"/>
        <v/>
      </c>
      <c r="AE67" s="165" t="str">
        <f t="shared" si="9"/>
        <v/>
      </c>
      <c r="AF67" s="165"/>
      <c r="AG67" s="164"/>
      <c r="AH67" s="165"/>
      <c r="AI67" s="164"/>
      <c r="AJ67" s="163" t="str">
        <f t="shared" si="10"/>
        <v/>
      </c>
      <c r="AK67" s="163" t="str">
        <f t="shared" si="11"/>
        <v/>
      </c>
    </row>
    <row r="68" spans="2:37" ht="21" x14ac:dyDescent="0.35">
      <c r="B68" s="164"/>
      <c r="C68" s="164"/>
      <c r="D68" s="164"/>
      <c r="E68" s="164"/>
      <c r="F68" s="164"/>
      <c r="G68" s="164"/>
      <c r="H68" s="164"/>
      <c r="I68" s="164"/>
      <c r="J68" s="164"/>
      <c r="K68" s="164"/>
      <c r="L68" s="164"/>
      <c r="M68" s="164"/>
      <c r="N68" s="164"/>
      <c r="O68" s="164"/>
      <c r="P68" s="164"/>
      <c r="Q68" s="164"/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5" t="str">
        <f t="shared" ref="AD68:AD94" si="12">IF(MIN(F68,J68,N68,R68,V68,Z68)&lt;&gt;0,MIN(F68,J68,N68,R68,V68,Z68),"")</f>
        <v/>
      </c>
      <c r="AE68" s="165" t="str">
        <f t="shared" ref="AE68:AE94" si="13">IF(MIN(H68,L68,P68,T68,X68,AB68)&lt;&gt;0,MIN(H68,L68,P68,T68,X68,AB68),"")</f>
        <v/>
      </c>
      <c r="AF68" s="165"/>
      <c r="AG68" s="164"/>
      <c r="AH68" s="165"/>
      <c r="AI68" s="164"/>
      <c r="AJ68" s="163" t="str">
        <f t="shared" ref="AJ68:AJ94" si="14">IF(AD68="","",IF(ISBLANK(AF68),"En cours",AD68+AF68))</f>
        <v/>
      </c>
      <c r="AK68" s="163" t="str">
        <f t="shared" ref="AK68:AK94" si="15">IF(AE68="","",IF(ISBLANK(AH68),"En cours",AE68+AH68))</f>
        <v/>
      </c>
    </row>
    <row r="69" spans="2:37" ht="21" x14ac:dyDescent="0.35">
      <c r="B69" s="164"/>
      <c r="C69" s="164"/>
      <c r="D69" s="164"/>
      <c r="E69" s="164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5" t="str">
        <f t="shared" si="12"/>
        <v/>
      </c>
      <c r="AE69" s="165" t="str">
        <f t="shared" si="13"/>
        <v/>
      </c>
      <c r="AF69" s="165"/>
      <c r="AG69" s="164"/>
      <c r="AH69" s="165"/>
      <c r="AI69" s="164"/>
      <c r="AJ69" s="163" t="str">
        <f t="shared" si="14"/>
        <v/>
      </c>
      <c r="AK69" s="163" t="str">
        <f t="shared" si="15"/>
        <v/>
      </c>
    </row>
    <row r="70" spans="2:37" ht="21" x14ac:dyDescent="0.35">
      <c r="B70" s="164"/>
      <c r="C70" s="164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5" t="str">
        <f t="shared" si="12"/>
        <v/>
      </c>
      <c r="AE70" s="165" t="str">
        <f t="shared" si="13"/>
        <v/>
      </c>
      <c r="AF70" s="165"/>
      <c r="AG70" s="164"/>
      <c r="AH70" s="165"/>
      <c r="AI70" s="164"/>
      <c r="AJ70" s="163" t="str">
        <f t="shared" si="14"/>
        <v/>
      </c>
      <c r="AK70" s="163" t="str">
        <f t="shared" si="15"/>
        <v/>
      </c>
    </row>
    <row r="71" spans="2:37" ht="21" x14ac:dyDescent="0.35">
      <c r="B71" s="164"/>
      <c r="C71" s="164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5" t="str">
        <f t="shared" si="12"/>
        <v/>
      </c>
      <c r="AE71" s="165" t="str">
        <f t="shared" si="13"/>
        <v/>
      </c>
      <c r="AF71" s="165"/>
      <c r="AG71" s="164"/>
      <c r="AH71" s="165"/>
      <c r="AI71" s="164"/>
      <c r="AJ71" s="163" t="str">
        <f t="shared" si="14"/>
        <v/>
      </c>
      <c r="AK71" s="163" t="str">
        <f t="shared" si="15"/>
        <v/>
      </c>
    </row>
    <row r="72" spans="2:37" ht="21" x14ac:dyDescent="0.35">
      <c r="B72" s="164"/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5" t="str">
        <f t="shared" si="12"/>
        <v/>
      </c>
      <c r="AE72" s="165" t="str">
        <f t="shared" si="13"/>
        <v/>
      </c>
      <c r="AF72" s="165"/>
      <c r="AG72" s="164"/>
      <c r="AH72" s="165"/>
      <c r="AI72" s="164"/>
      <c r="AJ72" s="163" t="str">
        <f t="shared" si="14"/>
        <v/>
      </c>
      <c r="AK72" s="163" t="str">
        <f t="shared" si="15"/>
        <v/>
      </c>
    </row>
    <row r="73" spans="2:37" ht="21" x14ac:dyDescent="0.35">
      <c r="B73" s="164"/>
      <c r="C73" s="164"/>
      <c r="D73" s="164"/>
      <c r="E73" s="164"/>
      <c r="F73" s="164"/>
      <c r="G73" s="164"/>
      <c r="H73" s="164"/>
      <c r="I73" s="164"/>
      <c r="J73" s="164"/>
      <c r="K73" s="164"/>
      <c r="L73" s="164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5" t="str">
        <f t="shared" si="12"/>
        <v/>
      </c>
      <c r="AE73" s="165" t="str">
        <f t="shared" si="13"/>
        <v/>
      </c>
      <c r="AF73" s="165"/>
      <c r="AG73" s="164"/>
      <c r="AH73" s="165"/>
      <c r="AI73" s="164"/>
      <c r="AJ73" s="163" t="str">
        <f t="shared" si="14"/>
        <v/>
      </c>
      <c r="AK73" s="163" t="str">
        <f t="shared" si="15"/>
        <v/>
      </c>
    </row>
    <row r="74" spans="2:37" ht="21" x14ac:dyDescent="0.35">
      <c r="B74" s="164"/>
      <c r="C74" s="164"/>
      <c r="D74" s="164"/>
      <c r="E74" s="164"/>
      <c r="F74" s="164"/>
      <c r="G74" s="164"/>
      <c r="H74" s="164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5" t="str">
        <f t="shared" si="12"/>
        <v/>
      </c>
      <c r="AE74" s="165" t="str">
        <f t="shared" si="13"/>
        <v/>
      </c>
      <c r="AF74" s="165"/>
      <c r="AG74" s="164"/>
      <c r="AH74" s="165"/>
      <c r="AI74" s="164"/>
      <c r="AJ74" s="163" t="str">
        <f t="shared" si="14"/>
        <v/>
      </c>
      <c r="AK74" s="163" t="str">
        <f t="shared" si="15"/>
        <v/>
      </c>
    </row>
    <row r="75" spans="2:37" ht="21" x14ac:dyDescent="0.35">
      <c r="B75" s="164"/>
      <c r="C75" s="164"/>
      <c r="D75" s="164"/>
      <c r="E75" s="164"/>
      <c r="F75" s="164"/>
      <c r="G75" s="164"/>
      <c r="H75" s="164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5" t="str">
        <f t="shared" si="12"/>
        <v/>
      </c>
      <c r="AE75" s="165" t="str">
        <f t="shared" si="13"/>
        <v/>
      </c>
      <c r="AF75" s="165"/>
      <c r="AG75" s="164"/>
      <c r="AH75" s="165"/>
      <c r="AI75" s="164"/>
      <c r="AJ75" s="163" t="str">
        <f t="shared" si="14"/>
        <v/>
      </c>
      <c r="AK75" s="163" t="str">
        <f t="shared" si="15"/>
        <v/>
      </c>
    </row>
    <row r="76" spans="2:37" ht="21" x14ac:dyDescent="0.35">
      <c r="B76" s="164"/>
      <c r="C76" s="164"/>
      <c r="D76" s="164"/>
      <c r="E76" s="164"/>
      <c r="F76" s="164"/>
      <c r="G76" s="164"/>
      <c r="H76" s="164"/>
      <c r="I76" s="164"/>
      <c r="J76" s="164"/>
      <c r="K76" s="164"/>
      <c r="L76" s="164"/>
      <c r="M76" s="164"/>
      <c r="N76" s="164"/>
      <c r="O76" s="164"/>
      <c r="P76" s="164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5" t="str">
        <f t="shared" si="12"/>
        <v/>
      </c>
      <c r="AE76" s="165" t="str">
        <f t="shared" si="13"/>
        <v/>
      </c>
      <c r="AF76" s="165"/>
      <c r="AG76" s="164"/>
      <c r="AH76" s="165"/>
      <c r="AI76" s="164"/>
      <c r="AJ76" s="163" t="str">
        <f t="shared" si="14"/>
        <v/>
      </c>
      <c r="AK76" s="163" t="str">
        <f t="shared" si="15"/>
        <v/>
      </c>
    </row>
    <row r="77" spans="2:37" ht="21" x14ac:dyDescent="0.35">
      <c r="B77" s="164"/>
      <c r="C77" s="164"/>
      <c r="D77" s="164"/>
      <c r="E77" s="164"/>
      <c r="F77" s="164"/>
      <c r="G77" s="164"/>
      <c r="H77" s="164"/>
      <c r="I77" s="164"/>
      <c r="J77" s="164"/>
      <c r="K77" s="164"/>
      <c r="L77" s="164"/>
      <c r="M77" s="164"/>
      <c r="N77" s="164"/>
      <c r="O77" s="164"/>
      <c r="P77" s="164"/>
      <c r="Q77" s="164"/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5" t="str">
        <f t="shared" si="12"/>
        <v/>
      </c>
      <c r="AE77" s="165" t="str">
        <f t="shared" si="13"/>
        <v/>
      </c>
      <c r="AF77" s="165"/>
      <c r="AG77" s="164"/>
      <c r="AH77" s="165"/>
      <c r="AI77" s="164"/>
      <c r="AJ77" s="163" t="str">
        <f t="shared" si="14"/>
        <v/>
      </c>
      <c r="AK77" s="163" t="str">
        <f t="shared" si="15"/>
        <v/>
      </c>
    </row>
    <row r="78" spans="2:37" ht="21" x14ac:dyDescent="0.35">
      <c r="B78" s="164"/>
      <c r="C78" s="164"/>
      <c r="D78" s="164"/>
      <c r="E78" s="164"/>
      <c r="F78" s="164"/>
      <c r="G78" s="164"/>
      <c r="H78" s="164"/>
      <c r="I78" s="164"/>
      <c r="J78" s="164"/>
      <c r="K78" s="164"/>
      <c r="L78" s="164"/>
      <c r="M78" s="164"/>
      <c r="N78" s="164"/>
      <c r="O78" s="164"/>
      <c r="P78" s="164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5" t="str">
        <f t="shared" si="12"/>
        <v/>
      </c>
      <c r="AE78" s="165" t="str">
        <f t="shared" si="13"/>
        <v/>
      </c>
      <c r="AF78" s="165"/>
      <c r="AG78" s="164"/>
      <c r="AH78" s="165"/>
      <c r="AI78" s="164"/>
      <c r="AJ78" s="163" t="str">
        <f t="shared" si="14"/>
        <v/>
      </c>
      <c r="AK78" s="163" t="str">
        <f t="shared" si="15"/>
        <v/>
      </c>
    </row>
    <row r="79" spans="2:37" ht="21" x14ac:dyDescent="0.35">
      <c r="B79" s="164"/>
      <c r="C79" s="164"/>
      <c r="D79" s="164"/>
      <c r="E79" s="164"/>
      <c r="F79" s="164"/>
      <c r="G79" s="164"/>
      <c r="H79" s="164"/>
      <c r="I79" s="164"/>
      <c r="J79" s="164"/>
      <c r="K79" s="164"/>
      <c r="L79" s="164"/>
      <c r="M79" s="164"/>
      <c r="N79" s="164"/>
      <c r="O79" s="164"/>
      <c r="P79" s="164"/>
      <c r="Q79" s="164"/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5" t="str">
        <f t="shared" si="12"/>
        <v/>
      </c>
      <c r="AE79" s="165" t="str">
        <f t="shared" si="13"/>
        <v/>
      </c>
      <c r="AF79" s="165"/>
      <c r="AG79" s="164"/>
      <c r="AH79" s="165"/>
      <c r="AI79" s="164"/>
      <c r="AJ79" s="163" t="str">
        <f t="shared" si="14"/>
        <v/>
      </c>
      <c r="AK79" s="163" t="str">
        <f t="shared" si="15"/>
        <v/>
      </c>
    </row>
    <row r="80" spans="2:37" ht="21" x14ac:dyDescent="0.35">
      <c r="B80" s="164"/>
      <c r="C80" s="164"/>
      <c r="D80" s="164"/>
      <c r="E80" s="164"/>
      <c r="F80" s="164"/>
      <c r="G80" s="164"/>
      <c r="H80" s="164"/>
      <c r="I80" s="164"/>
      <c r="J80" s="164"/>
      <c r="K80" s="164"/>
      <c r="L80" s="164"/>
      <c r="M80" s="164"/>
      <c r="N80" s="164"/>
      <c r="O80" s="164"/>
      <c r="P80" s="164"/>
      <c r="Q80" s="164"/>
      <c r="R80" s="164"/>
      <c r="S80" s="164"/>
      <c r="T80" s="164"/>
      <c r="U80" s="164"/>
      <c r="V80" s="164"/>
      <c r="W80" s="164"/>
      <c r="X80" s="164"/>
      <c r="Y80" s="164"/>
      <c r="Z80" s="164"/>
      <c r="AA80" s="164"/>
      <c r="AB80" s="164"/>
      <c r="AC80" s="164"/>
      <c r="AD80" s="165" t="str">
        <f t="shared" si="12"/>
        <v/>
      </c>
      <c r="AE80" s="165" t="str">
        <f t="shared" si="13"/>
        <v/>
      </c>
      <c r="AF80" s="165"/>
      <c r="AG80" s="164"/>
      <c r="AH80" s="165"/>
      <c r="AI80" s="164"/>
      <c r="AJ80" s="163" t="str">
        <f t="shared" si="14"/>
        <v/>
      </c>
      <c r="AK80" s="163" t="str">
        <f t="shared" si="15"/>
        <v/>
      </c>
    </row>
    <row r="81" spans="2:37" ht="21" x14ac:dyDescent="0.35">
      <c r="B81" s="164"/>
      <c r="C81" s="164"/>
      <c r="D81" s="164"/>
      <c r="E81" s="164"/>
      <c r="F81" s="164"/>
      <c r="G81" s="164"/>
      <c r="H81" s="164"/>
      <c r="I81" s="164"/>
      <c r="J81" s="164"/>
      <c r="K81" s="164"/>
      <c r="L81" s="164"/>
      <c r="M81" s="164"/>
      <c r="N81" s="164"/>
      <c r="O81" s="164"/>
      <c r="P81" s="164"/>
      <c r="Q81" s="164"/>
      <c r="R81" s="164"/>
      <c r="S81" s="164"/>
      <c r="T81" s="164"/>
      <c r="U81" s="164"/>
      <c r="V81" s="164"/>
      <c r="W81" s="164"/>
      <c r="X81" s="164"/>
      <c r="Y81" s="164"/>
      <c r="Z81" s="164"/>
      <c r="AA81" s="164"/>
      <c r="AB81" s="164"/>
      <c r="AC81" s="164"/>
      <c r="AD81" s="165" t="str">
        <f t="shared" si="12"/>
        <v/>
      </c>
      <c r="AE81" s="165" t="str">
        <f t="shared" si="13"/>
        <v/>
      </c>
      <c r="AF81" s="165"/>
      <c r="AG81" s="164"/>
      <c r="AH81" s="165"/>
      <c r="AI81" s="164"/>
      <c r="AJ81" s="163" t="str">
        <f t="shared" si="14"/>
        <v/>
      </c>
      <c r="AK81" s="163" t="str">
        <f t="shared" si="15"/>
        <v/>
      </c>
    </row>
    <row r="82" spans="2:37" ht="21" x14ac:dyDescent="0.35">
      <c r="B82" s="164"/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164"/>
      <c r="AA82" s="164"/>
      <c r="AB82" s="164"/>
      <c r="AC82" s="164"/>
      <c r="AD82" s="165" t="str">
        <f t="shared" si="12"/>
        <v/>
      </c>
      <c r="AE82" s="165" t="str">
        <f t="shared" si="13"/>
        <v/>
      </c>
      <c r="AF82" s="165"/>
      <c r="AG82" s="164"/>
      <c r="AH82" s="165"/>
      <c r="AI82" s="164"/>
      <c r="AJ82" s="163" t="str">
        <f t="shared" si="14"/>
        <v/>
      </c>
      <c r="AK82" s="163" t="str">
        <f t="shared" si="15"/>
        <v/>
      </c>
    </row>
    <row r="83" spans="2:37" ht="21" x14ac:dyDescent="0.35">
      <c r="B83" s="164"/>
      <c r="C83" s="164"/>
      <c r="D83" s="164"/>
      <c r="E83" s="164"/>
      <c r="F83" s="164"/>
      <c r="G83" s="164"/>
      <c r="H83" s="164"/>
      <c r="I83" s="164"/>
      <c r="J83" s="164"/>
      <c r="K83" s="164"/>
      <c r="L83" s="164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5" t="str">
        <f t="shared" si="12"/>
        <v/>
      </c>
      <c r="AE83" s="165" t="str">
        <f t="shared" si="13"/>
        <v/>
      </c>
      <c r="AF83" s="165"/>
      <c r="AG83" s="164"/>
      <c r="AH83" s="165"/>
      <c r="AI83" s="164"/>
      <c r="AJ83" s="163" t="str">
        <f t="shared" si="14"/>
        <v/>
      </c>
      <c r="AK83" s="163" t="str">
        <f t="shared" si="15"/>
        <v/>
      </c>
    </row>
    <row r="84" spans="2:37" ht="21" x14ac:dyDescent="0.35">
      <c r="B84" s="164"/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5" t="str">
        <f t="shared" si="12"/>
        <v/>
      </c>
      <c r="AE84" s="165" t="str">
        <f t="shared" si="13"/>
        <v/>
      </c>
      <c r="AF84" s="165"/>
      <c r="AG84" s="164"/>
      <c r="AH84" s="165"/>
      <c r="AI84" s="164"/>
      <c r="AJ84" s="163" t="str">
        <f t="shared" si="14"/>
        <v/>
      </c>
      <c r="AK84" s="163" t="str">
        <f t="shared" si="15"/>
        <v/>
      </c>
    </row>
    <row r="85" spans="2:37" ht="21" x14ac:dyDescent="0.35">
      <c r="B85" s="164"/>
      <c r="C85" s="164"/>
      <c r="D85" s="164"/>
      <c r="E85" s="164"/>
      <c r="F85" s="164"/>
      <c r="G85" s="164"/>
      <c r="H85" s="164"/>
      <c r="I85" s="164"/>
      <c r="J85" s="164"/>
      <c r="K85" s="164"/>
      <c r="L85" s="164"/>
      <c r="M85" s="164"/>
      <c r="N85" s="164"/>
      <c r="O85" s="164"/>
      <c r="P85" s="164"/>
      <c r="Q85" s="164"/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5" t="str">
        <f t="shared" si="12"/>
        <v/>
      </c>
      <c r="AE85" s="165" t="str">
        <f t="shared" si="13"/>
        <v/>
      </c>
      <c r="AF85" s="165"/>
      <c r="AG85" s="164"/>
      <c r="AH85" s="165"/>
      <c r="AI85" s="164"/>
      <c r="AJ85" s="163" t="str">
        <f t="shared" si="14"/>
        <v/>
      </c>
      <c r="AK85" s="163" t="str">
        <f t="shared" si="15"/>
        <v/>
      </c>
    </row>
    <row r="86" spans="2:37" ht="21" x14ac:dyDescent="0.35">
      <c r="B86" s="164"/>
      <c r="C86" s="164"/>
      <c r="D86" s="164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64"/>
      <c r="Q86" s="164"/>
      <c r="R86" s="164"/>
      <c r="S86" s="164"/>
      <c r="T86" s="164"/>
      <c r="U86" s="164"/>
      <c r="V86" s="164"/>
      <c r="W86" s="164"/>
      <c r="X86" s="164"/>
      <c r="Y86" s="164"/>
      <c r="Z86" s="164"/>
      <c r="AA86" s="164"/>
      <c r="AB86" s="164"/>
      <c r="AC86" s="164"/>
      <c r="AD86" s="165" t="str">
        <f t="shared" si="12"/>
        <v/>
      </c>
      <c r="AE86" s="165" t="str">
        <f t="shared" si="13"/>
        <v/>
      </c>
      <c r="AF86" s="165"/>
      <c r="AG86" s="164"/>
      <c r="AH86" s="165"/>
      <c r="AI86" s="164"/>
      <c r="AJ86" s="163" t="str">
        <f t="shared" si="14"/>
        <v/>
      </c>
      <c r="AK86" s="163" t="str">
        <f t="shared" si="15"/>
        <v/>
      </c>
    </row>
    <row r="87" spans="2:37" ht="21" x14ac:dyDescent="0.35">
      <c r="B87" s="164"/>
      <c r="C87" s="164"/>
      <c r="D87" s="164"/>
      <c r="E87" s="164"/>
      <c r="F87" s="164"/>
      <c r="G87" s="164"/>
      <c r="H87" s="164"/>
      <c r="I87" s="164"/>
      <c r="J87" s="164"/>
      <c r="K87" s="164"/>
      <c r="L87" s="164"/>
      <c r="M87" s="164"/>
      <c r="N87" s="164"/>
      <c r="O87" s="164"/>
      <c r="P87" s="164"/>
      <c r="Q87" s="164"/>
      <c r="R87" s="164"/>
      <c r="S87" s="164"/>
      <c r="T87" s="164"/>
      <c r="U87" s="164"/>
      <c r="V87" s="164"/>
      <c r="W87" s="164"/>
      <c r="X87" s="164"/>
      <c r="Y87" s="164"/>
      <c r="Z87" s="164"/>
      <c r="AA87" s="164"/>
      <c r="AB87" s="164"/>
      <c r="AC87" s="164"/>
      <c r="AD87" s="165" t="str">
        <f t="shared" si="12"/>
        <v/>
      </c>
      <c r="AE87" s="165" t="str">
        <f t="shared" si="13"/>
        <v/>
      </c>
      <c r="AF87" s="165"/>
      <c r="AG87" s="164"/>
      <c r="AH87" s="165"/>
      <c r="AI87" s="164"/>
      <c r="AJ87" s="163" t="str">
        <f t="shared" si="14"/>
        <v/>
      </c>
      <c r="AK87" s="163" t="str">
        <f t="shared" si="15"/>
        <v/>
      </c>
    </row>
    <row r="88" spans="2:37" ht="21" x14ac:dyDescent="0.35">
      <c r="B88" s="164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  <c r="U88" s="164"/>
      <c r="V88" s="164"/>
      <c r="W88" s="164"/>
      <c r="X88" s="164"/>
      <c r="Y88" s="164"/>
      <c r="Z88" s="164"/>
      <c r="AA88" s="164"/>
      <c r="AB88" s="164"/>
      <c r="AC88" s="164"/>
      <c r="AD88" s="165" t="str">
        <f t="shared" si="12"/>
        <v/>
      </c>
      <c r="AE88" s="165" t="str">
        <f t="shared" si="13"/>
        <v/>
      </c>
      <c r="AF88" s="165"/>
      <c r="AG88" s="164"/>
      <c r="AH88" s="165"/>
      <c r="AI88" s="164"/>
      <c r="AJ88" s="163" t="str">
        <f t="shared" si="14"/>
        <v/>
      </c>
      <c r="AK88" s="163" t="str">
        <f t="shared" si="15"/>
        <v/>
      </c>
    </row>
    <row r="89" spans="2:37" ht="21" x14ac:dyDescent="0.35">
      <c r="B89" s="164"/>
      <c r="C89" s="164"/>
      <c r="D89" s="164"/>
      <c r="E89" s="164"/>
      <c r="F89" s="164"/>
      <c r="G89" s="164"/>
      <c r="H89" s="164"/>
      <c r="I89" s="164"/>
      <c r="J89" s="164"/>
      <c r="K89" s="164"/>
      <c r="L89" s="164"/>
      <c r="M89" s="164"/>
      <c r="N89" s="164"/>
      <c r="O89" s="164"/>
      <c r="P89" s="164"/>
      <c r="Q89" s="164"/>
      <c r="R89" s="164"/>
      <c r="S89" s="164"/>
      <c r="T89" s="164"/>
      <c r="U89" s="164"/>
      <c r="V89" s="164"/>
      <c r="W89" s="164"/>
      <c r="X89" s="164"/>
      <c r="Y89" s="164"/>
      <c r="Z89" s="164"/>
      <c r="AA89" s="164"/>
      <c r="AB89" s="164"/>
      <c r="AC89" s="164"/>
      <c r="AD89" s="165" t="str">
        <f t="shared" si="12"/>
        <v/>
      </c>
      <c r="AE89" s="165" t="str">
        <f t="shared" si="13"/>
        <v/>
      </c>
      <c r="AF89" s="165"/>
      <c r="AG89" s="164"/>
      <c r="AH89" s="165"/>
      <c r="AI89" s="164"/>
      <c r="AJ89" s="163" t="str">
        <f t="shared" si="14"/>
        <v/>
      </c>
      <c r="AK89" s="163" t="str">
        <f t="shared" si="15"/>
        <v/>
      </c>
    </row>
    <row r="90" spans="2:37" ht="21" x14ac:dyDescent="0.35">
      <c r="B90" s="164"/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4"/>
      <c r="U90" s="164"/>
      <c r="V90" s="164"/>
      <c r="W90" s="164"/>
      <c r="X90" s="164"/>
      <c r="Y90" s="164"/>
      <c r="Z90" s="164"/>
      <c r="AA90" s="164"/>
      <c r="AB90" s="164"/>
      <c r="AC90" s="164"/>
      <c r="AD90" s="165" t="str">
        <f t="shared" si="12"/>
        <v/>
      </c>
      <c r="AE90" s="165" t="str">
        <f t="shared" si="13"/>
        <v/>
      </c>
      <c r="AF90" s="165"/>
      <c r="AG90" s="164"/>
      <c r="AH90" s="165"/>
      <c r="AI90" s="164"/>
      <c r="AJ90" s="163" t="str">
        <f t="shared" si="14"/>
        <v/>
      </c>
      <c r="AK90" s="163" t="str">
        <f t="shared" si="15"/>
        <v/>
      </c>
    </row>
    <row r="91" spans="2:37" ht="21" x14ac:dyDescent="0.35">
      <c r="B91" s="164"/>
      <c r="C91" s="164"/>
      <c r="D91" s="164"/>
      <c r="E91" s="164"/>
      <c r="F91" s="164"/>
      <c r="G91" s="164"/>
      <c r="H91" s="164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164"/>
      <c r="X91" s="164"/>
      <c r="Y91" s="164"/>
      <c r="Z91" s="164"/>
      <c r="AA91" s="164"/>
      <c r="AB91" s="164"/>
      <c r="AC91" s="164"/>
      <c r="AD91" s="165" t="str">
        <f t="shared" si="12"/>
        <v/>
      </c>
      <c r="AE91" s="165" t="str">
        <f t="shared" si="13"/>
        <v/>
      </c>
      <c r="AF91" s="165"/>
      <c r="AG91" s="164"/>
      <c r="AH91" s="165"/>
      <c r="AI91" s="164"/>
      <c r="AJ91" s="163" t="str">
        <f t="shared" si="14"/>
        <v/>
      </c>
      <c r="AK91" s="163" t="str">
        <f t="shared" si="15"/>
        <v/>
      </c>
    </row>
    <row r="92" spans="2:37" ht="21" x14ac:dyDescent="0.35">
      <c r="B92" s="164"/>
      <c r="C92" s="164"/>
      <c r="D92" s="164"/>
      <c r="E92" s="164"/>
      <c r="F92" s="164"/>
      <c r="G92" s="164"/>
      <c r="H92" s="164"/>
      <c r="I92" s="164"/>
      <c r="J92" s="164"/>
      <c r="K92" s="164"/>
      <c r="L92" s="164"/>
      <c r="M92" s="164"/>
      <c r="N92" s="164"/>
      <c r="O92" s="164"/>
      <c r="P92" s="164"/>
      <c r="Q92" s="164"/>
      <c r="R92" s="164"/>
      <c r="S92" s="164"/>
      <c r="T92" s="164"/>
      <c r="U92" s="164"/>
      <c r="V92" s="164"/>
      <c r="W92" s="164"/>
      <c r="X92" s="164"/>
      <c r="Y92" s="164"/>
      <c r="Z92" s="164"/>
      <c r="AA92" s="164"/>
      <c r="AB92" s="164"/>
      <c r="AC92" s="164"/>
      <c r="AD92" s="165" t="str">
        <f t="shared" si="12"/>
        <v/>
      </c>
      <c r="AE92" s="165" t="str">
        <f t="shared" si="13"/>
        <v/>
      </c>
      <c r="AF92" s="165"/>
      <c r="AG92" s="164"/>
      <c r="AH92" s="165"/>
      <c r="AI92" s="164"/>
      <c r="AJ92" s="163" t="str">
        <f t="shared" si="14"/>
        <v/>
      </c>
      <c r="AK92" s="163" t="str">
        <f t="shared" si="15"/>
        <v/>
      </c>
    </row>
    <row r="93" spans="2:37" ht="21" x14ac:dyDescent="0.35">
      <c r="B93" s="164"/>
      <c r="C93" s="164"/>
      <c r="D93" s="164"/>
      <c r="E93" s="164"/>
      <c r="F93" s="164"/>
      <c r="G93" s="164"/>
      <c r="H93" s="164"/>
      <c r="I93" s="164"/>
      <c r="J93" s="164"/>
      <c r="K93" s="164"/>
      <c r="L93" s="164"/>
      <c r="M93" s="164"/>
      <c r="N93" s="164"/>
      <c r="O93" s="164"/>
      <c r="P93" s="164"/>
      <c r="Q93" s="164"/>
      <c r="R93" s="164"/>
      <c r="S93" s="164"/>
      <c r="T93" s="164"/>
      <c r="U93" s="164"/>
      <c r="V93" s="164"/>
      <c r="W93" s="164"/>
      <c r="X93" s="164"/>
      <c r="Y93" s="164"/>
      <c r="Z93" s="164"/>
      <c r="AA93" s="164"/>
      <c r="AB93" s="164"/>
      <c r="AC93" s="164"/>
      <c r="AD93" s="165" t="str">
        <f t="shared" si="12"/>
        <v/>
      </c>
      <c r="AE93" s="165" t="str">
        <f t="shared" si="13"/>
        <v/>
      </c>
      <c r="AF93" s="165"/>
      <c r="AG93" s="164"/>
      <c r="AH93" s="165"/>
      <c r="AI93" s="164"/>
      <c r="AJ93" s="163" t="str">
        <f t="shared" si="14"/>
        <v/>
      </c>
      <c r="AK93" s="163" t="str">
        <f t="shared" si="15"/>
        <v/>
      </c>
    </row>
    <row r="94" spans="2:37" ht="21" x14ac:dyDescent="0.35"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4"/>
      <c r="P94" s="164"/>
      <c r="Q94" s="164"/>
      <c r="R94" s="164"/>
      <c r="S94" s="164"/>
      <c r="T94" s="164"/>
      <c r="U94" s="164"/>
      <c r="V94" s="164"/>
      <c r="W94" s="164"/>
      <c r="X94" s="164"/>
      <c r="Y94" s="164"/>
      <c r="Z94" s="164"/>
      <c r="AA94" s="164"/>
      <c r="AB94" s="164"/>
      <c r="AC94" s="164"/>
      <c r="AD94" s="165" t="str">
        <f t="shared" si="12"/>
        <v/>
      </c>
      <c r="AE94" s="165" t="str">
        <f t="shared" si="13"/>
        <v/>
      </c>
      <c r="AF94" s="165"/>
      <c r="AG94" s="164"/>
      <c r="AH94" s="165"/>
      <c r="AI94" s="164"/>
      <c r="AJ94" s="163" t="str">
        <f t="shared" si="14"/>
        <v/>
      </c>
      <c r="AK94" s="163" t="str">
        <f t="shared" si="15"/>
        <v/>
      </c>
    </row>
    <row r="95" spans="2:37" ht="21" x14ac:dyDescent="0.35">
      <c r="B95" s="164"/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64"/>
      <c r="N95" s="164"/>
      <c r="O95" s="164"/>
      <c r="P95" s="164"/>
      <c r="Q95" s="164"/>
      <c r="R95" s="164"/>
      <c r="S95" s="164"/>
      <c r="T95" s="164"/>
      <c r="U95" s="164"/>
      <c r="V95" s="164"/>
      <c r="W95" s="164"/>
      <c r="X95" s="164"/>
      <c r="Y95" s="164"/>
      <c r="Z95" s="164"/>
      <c r="AA95" s="164"/>
      <c r="AB95" s="164"/>
      <c r="AC95" s="164"/>
      <c r="AD95" s="165" t="str">
        <f t="shared" ref="AD95:AD102" si="16">IF(MIN(F95,J95,N95,R95,V95,Z95)&lt;&gt;0,MIN(F95,J95,N95,R95,V95,Z95),"")</f>
        <v/>
      </c>
      <c r="AE95" s="165" t="str">
        <f t="shared" ref="AE95:AE102" si="17">IF(MIN(H95,L95,P95,T95,X95,AB95)&lt;&gt;0,MIN(H95,L95,P95,T95,X95,AB95),"")</f>
        <v/>
      </c>
      <c r="AF95" s="165"/>
      <c r="AG95" s="164"/>
      <c r="AH95" s="165"/>
      <c r="AI95" s="164"/>
      <c r="AJ95" s="163" t="str">
        <f t="shared" ref="AJ95:AJ102" si="18">IF(AD95="","",IF(ISBLANK(AF95),"En cours",AD95+AF95))</f>
        <v/>
      </c>
      <c r="AK95" s="163" t="str">
        <f t="shared" ref="AK95:AK102" si="19">IF(AE95="","",IF(ISBLANK(AH95),"En cours",AE95+AH95))</f>
        <v/>
      </c>
    </row>
    <row r="96" spans="2:37" ht="21" x14ac:dyDescent="0.35">
      <c r="B96" s="164"/>
      <c r="C96" s="164"/>
      <c r="D96" s="164"/>
      <c r="E96" s="164"/>
      <c r="F96" s="164"/>
      <c r="G96" s="164"/>
      <c r="H96" s="164"/>
      <c r="I96" s="164"/>
      <c r="J96" s="164"/>
      <c r="K96" s="164"/>
      <c r="L96" s="164"/>
      <c r="M96" s="164"/>
      <c r="N96" s="164"/>
      <c r="O96" s="164"/>
      <c r="P96" s="164"/>
      <c r="Q96" s="164"/>
      <c r="R96" s="164"/>
      <c r="S96" s="164"/>
      <c r="T96" s="164"/>
      <c r="U96" s="164"/>
      <c r="V96" s="164"/>
      <c r="W96" s="164"/>
      <c r="X96" s="164"/>
      <c r="Y96" s="164"/>
      <c r="Z96" s="164"/>
      <c r="AA96" s="164"/>
      <c r="AB96" s="164"/>
      <c r="AC96" s="164"/>
      <c r="AD96" s="165" t="str">
        <f t="shared" si="16"/>
        <v/>
      </c>
      <c r="AE96" s="165" t="str">
        <f t="shared" si="17"/>
        <v/>
      </c>
      <c r="AF96" s="165"/>
      <c r="AG96" s="164"/>
      <c r="AH96" s="165"/>
      <c r="AI96" s="164"/>
      <c r="AJ96" s="163" t="str">
        <f t="shared" si="18"/>
        <v/>
      </c>
      <c r="AK96" s="163" t="str">
        <f t="shared" si="19"/>
        <v/>
      </c>
    </row>
    <row r="97" spans="2:37" ht="21" x14ac:dyDescent="0.35">
      <c r="B97" s="164"/>
      <c r="C97" s="164"/>
      <c r="D97" s="164"/>
      <c r="E97" s="164"/>
      <c r="F97" s="164"/>
      <c r="G97" s="164"/>
      <c r="H97" s="164"/>
      <c r="I97" s="164"/>
      <c r="J97" s="164"/>
      <c r="K97" s="164"/>
      <c r="L97" s="164"/>
      <c r="M97" s="164"/>
      <c r="N97" s="164"/>
      <c r="O97" s="164"/>
      <c r="P97" s="164"/>
      <c r="Q97" s="164"/>
      <c r="R97" s="164"/>
      <c r="S97" s="164"/>
      <c r="T97" s="164"/>
      <c r="U97" s="164"/>
      <c r="V97" s="164"/>
      <c r="W97" s="164"/>
      <c r="X97" s="164"/>
      <c r="Y97" s="164"/>
      <c r="Z97" s="164"/>
      <c r="AA97" s="164"/>
      <c r="AB97" s="164"/>
      <c r="AC97" s="164"/>
      <c r="AD97" s="165" t="str">
        <f t="shared" si="16"/>
        <v/>
      </c>
      <c r="AE97" s="165" t="str">
        <f t="shared" si="17"/>
        <v/>
      </c>
      <c r="AF97" s="165"/>
      <c r="AG97" s="164"/>
      <c r="AH97" s="165"/>
      <c r="AI97" s="164"/>
      <c r="AJ97" s="163" t="str">
        <f t="shared" si="18"/>
        <v/>
      </c>
      <c r="AK97" s="163" t="str">
        <f t="shared" si="19"/>
        <v/>
      </c>
    </row>
    <row r="98" spans="2:37" ht="21" x14ac:dyDescent="0.35">
      <c r="B98" s="164"/>
      <c r="C98" s="164"/>
      <c r="D98" s="164"/>
      <c r="E98" s="164"/>
      <c r="F98" s="164"/>
      <c r="G98" s="164"/>
      <c r="H98" s="164"/>
      <c r="I98" s="164"/>
      <c r="J98" s="164"/>
      <c r="K98" s="164"/>
      <c r="L98" s="164"/>
      <c r="M98" s="164"/>
      <c r="N98" s="164"/>
      <c r="O98" s="164"/>
      <c r="P98" s="164"/>
      <c r="Q98" s="164"/>
      <c r="R98" s="164"/>
      <c r="S98" s="164"/>
      <c r="T98" s="164"/>
      <c r="U98" s="164"/>
      <c r="V98" s="164"/>
      <c r="W98" s="164"/>
      <c r="X98" s="164"/>
      <c r="Y98" s="164"/>
      <c r="Z98" s="164"/>
      <c r="AA98" s="164"/>
      <c r="AB98" s="164"/>
      <c r="AC98" s="164"/>
      <c r="AD98" s="165" t="str">
        <f t="shared" si="16"/>
        <v/>
      </c>
      <c r="AE98" s="165" t="str">
        <f t="shared" si="17"/>
        <v/>
      </c>
      <c r="AF98" s="165"/>
      <c r="AG98" s="164"/>
      <c r="AH98" s="165"/>
      <c r="AI98" s="164"/>
      <c r="AJ98" s="163" t="str">
        <f t="shared" si="18"/>
        <v/>
      </c>
      <c r="AK98" s="163" t="str">
        <f t="shared" si="19"/>
        <v/>
      </c>
    </row>
    <row r="99" spans="2:37" ht="21" x14ac:dyDescent="0.35">
      <c r="B99" s="164"/>
      <c r="C99" s="164"/>
      <c r="D99" s="164"/>
      <c r="E99" s="164"/>
      <c r="F99" s="164"/>
      <c r="G99" s="164"/>
      <c r="H99" s="164"/>
      <c r="I99" s="164"/>
      <c r="J99" s="164"/>
      <c r="K99" s="164"/>
      <c r="L99" s="164"/>
      <c r="M99" s="164"/>
      <c r="N99" s="164"/>
      <c r="O99" s="164"/>
      <c r="P99" s="164"/>
      <c r="Q99" s="164"/>
      <c r="R99" s="164"/>
      <c r="S99" s="164"/>
      <c r="T99" s="164"/>
      <c r="U99" s="164"/>
      <c r="V99" s="164"/>
      <c r="W99" s="164"/>
      <c r="X99" s="164"/>
      <c r="Y99" s="164"/>
      <c r="Z99" s="164"/>
      <c r="AA99" s="164"/>
      <c r="AB99" s="164"/>
      <c r="AC99" s="164"/>
      <c r="AD99" s="165" t="str">
        <f t="shared" si="16"/>
        <v/>
      </c>
      <c r="AE99" s="165" t="str">
        <f t="shared" si="17"/>
        <v/>
      </c>
      <c r="AF99" s="165"/>
      <c r="AG99" s="164"/>
      <c r="AH99" s="165"/>
      <c r="AI99" s="164"/>
      <c r="AJ99" s="163" t="str">
        <f t="shared" si="18"/>
        <v/>
      </c>
      <c r="AK99" s="163" t="str">
        <f t="shared" si="19"/>
        <v/>
      </c>
    </row>
    <row r="100" spans="2:37" ht="21" x14ac:dyDescent="0.35">
      <c r="B100" s="164"/>
      <c r="C100" s="164"/>
      <c r="D100" s="164"/>
      <c r="E100" s="164"/>
      <c r="F100" s="164"/>
      <c r="G100" s="164"/>
      <c r="H100" s="164"/>
      <c r="I100" s="164"/>
      <c r="J100" s="164"/>
      <c r="K100" s="164"/>
      <c r="L100" s="164"/>
      <c r="M100" s="164"/>
      <c r="N100" s="164"/>
      <c r="O100" s="164"/>
      <c r="P100" s="164"/>
      <c r="Q100" s="164"/>
      <c r="R100" s="164"/>
      <c r="S100" s="164"/>
      <c r="T100" s="164"/>
      <c r="U100" s="164"/>
      <c r="V100" s="164"/>
      <c r="W100" s="164"/>
      <c r="X100" s="164"/>
      <c r="Y100" s="164"/>
      <c r="Z100" s="164"/>
      <c r="AA100" s="164"/>
      <c r="AB100" s="164"/>
      <c r="AC100" s="164"/>
      <c r="AD100" s="165" t="str">
        <f t="shared" si="16"/>
        <v/>
      </c>
      <c r="AE100" s="165" t="str">
        <f t="shared" si="17"/>
        <v/>
      </c>
      <c r="AF100" s="165"/>
      <c r="AG100" s="164"/>
      <c r="AH100" s="165"/>
      <c r="AI100" s="164"/>
      <c r="AJ100" s="163" t="str">
        <f t="shared" si="18"/>
        <v/>
      </c>
      <c r="AK100" s="163" t="str">
        <f t="shared" si="19"/>
        <v/>
      </c>
    </row>
    <row r="101" spans="2:37" ht="21" x14ac:dyDescent="0.35">
      <c r="B101" s="164"/>
      <c r="C101" s="164"/>
      <c r="D101" s="164"/>
      <c r="E101" s="164"/>
      <c r="F101" s="164"/>
      <c r="G101" s="164"/>
      <c r="H101" s="164"/>
      <c r="I101" s="164"/>
      <c r="J101" s="164"/>
      <c r="K101" s="164"/>
      <c r="L101" s="164"/>
      <c r="M101" s="164"/>
      <c r="N101" s="164"/>
      <c r="O101" s="164"/>
      <c r="P101" s="164"/>
      <c r="Q101" s="164"/>
      <c r="R101" s="164"/>
      <c r="S101" s="164"/>
      <c r="T101" s="164"/>
      <c r="U101" s="164"/>
      <c r="V101" s="164"/>
      <c r="W101" s="164"/>
      <c r="X101" s="164"/>
      <c r="Y101" s="164"/>
      <c r="Z101" s="164"/>
      <c r="AA101" s="164"/>
      <c r="AB101" s="164"/>
      <c r="AC101" s="164"/>
      <c r="AD101" s="165" t="str">
        <f t="shared" si="16"/>
        <v/>
      </c>
      <c r="AE101" s="165" t="str">
        <f t="shared" si="17"/>
        <v/>
      </c>
      <c r="AF101" s="165"/>
      <c r="AG101" s="164"/>
      <c r="AH101" s="165"/>
      <c r="AI101" s="164"/>
      <c r="AJ101" s="163" t="str">
        <f t="shared" si="18"/>
        <v/>
      </c>
      <c r="AK101" s="163" t="str">
        <f t="shared" si="19"/>
        <v/>
      </c>
    </row>
    <row r="102" spans="2:37" ht="21" x14ac:dyDescent="0.35">
      <c r="B102" s="164"/>
      <c r="C102" s="164"/>
      <c r="D102" s="164"/>
      <c r="E102" s="164"/>
      <c r="F102" s="164"/>
      <c r="G102" s="164"/>
      <c r="H102" s="164"/>
      <c r="I102" s="164"/>
      <c r="J102" s="164"/>
      <c r="K102" s="164"/>
      <c r="L102" s="164"/>
      <c r="M102" s="164"/>
      <c r="N102" s="164"/>
      <c r="O102" s="164"/>
      <c r="P102" s="164"/>
      <c r="Q102" s="164"/>
      <c r="R102" s="164"/>
      <c r="S102" s="164"/>
      <c r="T102" s="164"/>
      <c r="U102" s="164"/>
      <c r="V102" s="164"/>
      <c r="W102" s="164"/>
      <c r="X102" s="164"/>
      <c r="Y102" s="164"/>
      <c r="Z102" s="164"/>
      <c r="AA102" s="164"/>
      <c r="AB102" s="164"/>
      <c r="AC102" s="164"/>
      <c r="AD102" s="165" t="str">
        <f t="shared" si="16"/>
        <v/>
      </c>
      <c r="AE102" s="165" t="str">
        <f t="shared" si="17"/>
        <v/>
      </c>
      <c r="AF102" s="165"/>
      <c r="AG102" s="164"/>
      <c r="AH102" s="165"/>
      <c r="AI102" s="164"/>
      <c r="AJ102" s="163" t="str">
        <f t="shared" si="18"/>
        <v/>
      </c>
      <c r="AK102" s="163" t="str">
        <f t="shared" si="19"/>
        <v/>
      </c>
    </row>
    <row r="103" spans="2:37" ht="21" x14ac:dyDescent="0.35">
      <c r="B103" s="159"/>
      <c r="C103" s="160"/>
      <c r="D103" s="160"/>
      <c r="E103" s="160"/>
      <c r="F103" s="160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160"/>
      <c r="R103" s="160"/>
      <c r="S103" s="160"/>
      <c r="T103" s="160"/>
      <c r="U103" s="160"/>
      <c r="V103" s="160"/>
      <c r="W103" s="160"/>
      <c r="X103" s="160"/>
      <c r="Y103" s="160"/>
      <c r="Z103" s="160"/>
      <c r="AA103" s="160"/>
      <c r="AB103" s="160"/>
      <c r="AC103" s="160"/>
      <c r="AD103" s="161" t="str">
        <f t="shared" ref="AD103:AD121" si="20">IF(MIN(F103,J103,N103,R103,V103,Z103)&lt;&gt;0,MIN(F103,J103,N103,R103,V103,Z103),"")</f>
        <v/>
      </c>
      <c r="AE103" s="161" t="str">
        <f t="shared" ref="AE103:AE121" si="21">IF(MIN(H103,L103,P103,T103,X103,AB103)&lt;&gt;0,MIN(H103,L103,P103,T103,X103,AB103),"")</f>
        <v/>
      </c>
      <c r="AF103" s="161"/>
      <c r="AG103" s="160"/>
      <c r="AH103" s="161"/>
      <c r="AI103" s="160"/>
      <c r="AJ103" s="162" t="str">
        <f t="shared" ref="AJ103:AJ121" si="22">IF(AD103="","",IF(ISBLANK(AF103),"En cours",AD103+AF103))</f>
        <v/>
      </c>
      <c r="AK103" s="163" t="str">
        <f t="shared" ref="AK103:AK121" si="23">IF(AE103="","",IF(ISBLANK(AH103),"En cours",AE103+AH103))</f>
        <v/>
      </c>
    </row>
    <row r="104" spans="2:37" ht="21" x14ac:dyDescent="0.35">
      <c r="B104" s="159"/>
      <c r="C104" s="160"/>
      <c r="D104" s="160"/>
      <c r="E104" s="160"/>
      <c r="F104" s="160"/>
      <c r="G104" s="160"/>
      <c r="H104" s="160"/>
      <c r="I104" s="160"/>
      <c r="J104" s="160"/>
      <c r="K104" s="160"/>
      <c r="L104" s="160"/>
      <c r="M104" s="160"/>
      <c r="N104" s="160"/>
      <c r="O104" s="160"/>
      <c r="P104" s="160"/>
      <c r="Q104" s="160"/>
      <c r="R104" s="160"/>
      <c r="S104" s="160"/>
      <c r="T104" s="160"/>
      <c r="U104" s="160"/>
      <c r="V104" s="160"/>
      <c r="W104" s="160"/>
      <c r="X104" s="160"/>
      <c r="Y104" s="160"/>
      <c r="Z104" s="160"/>
      <c r="AA104" s="160"/>
      <c r="AB104" s="160"/>
      <c r="AC104" s="160"/>
      <c r="AD104" s="161" t="str">
        <f t="shared" si="20"/>
        <v/>
      </c>
      <c r="AE104" s="161" t="str">
        <f t="shared" si="21"/>
        <v/>
      </c>
      <c r="AF104" s="161"/>
      <c r="AG104" s="160"/>
      <c r="AH104" s="161"/>
      <c r="AI104" s="160"/>
      <c r="AJ104" s="162" t="str">
        <f t="shared" si="22"/>
        <v/>
      </c>
      <c r="AK104" s="163" t="str">
        <f t="shared" si="23"/>
        <v/>
      </c>
    </row>
    <row r="105" spans="2:37" ht="21" x14ac:dyDescent="0.35">
      <c r="B105" s="159"/>
      <c r="C105" s="160"/>
      <c r="D105" s="160"/>
      <c r="E105" s="160"/>
      <c r="F105" s="160"/>
      <c r="G105" s="160"/>
      <c r="H105" s="160"/>
      <c r="I105" s="160"/>
      <c r="J105" s="160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160"/>
      <c r="W105" s="160"/>
      <c r="X105" s="160"/>
      <c r="Y105" s="160"/>
      <c r="Z105" s="160"/>
      <c r="AA105" s="160"/>
      <c r="AB105" s="160"/>
      <c r="AC105" s="160"/>
      <c r="AD105" s="161" t="str">
        <f t="shared" si="20"/>
        <v/>
      </c>
      <c r="AE105" s="161" t="str">
        <f t="shared" si="21"/>
        <v/>
      </c>
      <c r="AF105" s="161"/>
      <c r="AG105" s="160"/>
      <c r="AH105" s="161"/>
      <c r="AI105" s="160"/>
      <c r="AJ105" s="162" t="str">
        <f t="shared" si="22"/>
        <v/>
      </c>
      <c r="AK105" s="163" t="str">
        <f t="shared" si="23"/>
        <v/>
      </c>
    </row>
    <row r="106" spans="2:37" ht="21" x14ac:dyDescent="0.35">
      <c r="B106" s="159"/>
      <c r="C106" s="160"/>
      <c r="D106" s="160"/>
      <c r="E106" s="160"/>
      <c r="F106" s="160"/>
      <c r="G106" s="160"/>
      <c r="H106" s="160"/>
      <c r="I106" s="160"/>
      <c r="J106" s="160"/>
      <c r="K106" s="160"/>
      <c r="L106" s="160"/>
      <c r="M106" s="160"/>
      <c r="N106" s="160"/>
      <c r="O106" s="160"/>
      <c r="P106" s="160"/>
      <c r="Q106" s="160"/>
      <c r="R106" s="160"/>
      <c r="S106" s="160"/>
      <c r="T106" s="160"/>
      <c r="U106" s="160"/>
      <c r="V106" s="160"/>
      <c r="W106" s="160"/>
      <c r="X106" s="160"/>
      <c r="Y106" s="160"/>
      <c r="Z106" s="160"/>
      <c r="AA106" s="160"/>
      <c r="AB106" s="160"/>
      <c r="AC106" s="160"/>
      <c r="AD106" s="161" t="str">
        <f t="shared" si="20"/>
        <v/>
      </c>
      <c r="AE106" s="161" t="str">
        <f t="shared" si="21"/>
        <v/>
      </c>
      <c r="AF106" s="161"/>
      <c r="AG106" s="160"/>
      <c r="AH106" s="161"/>
      <c r="AI106" s="160"/>
      <c r="AJ106" s="162" t="str">
        <f t="shared" si="22"/>
        <v/>
      </c>
      <c r="AK106" s="163" t="str">
        <f t="shared" si="23"/>
        <v/>
      </c>
    </row>
    <row r="107" spans="2:37" ht="21" x14ac:dyDescent="0.35">
      <c r="B107" s="159"/>
      <c r="C107" s="160"/>
      <c r="D107" s="160"/>
      <c r="E107" s="160"/>
      <c r="F107" s="160"/>
      <c r="G107" s="160"/>
      <c r="H107" s="160"/>
      <c r="I107" s="160"/>
      <c r="J107" s="160"/>
      <c r="K107" s="160"/>
      <c r="L107" s="160"/>
      <c r="M107" s="160"/>
      <c r="N107" s="160"/>
      <c r="O107" s="160"/>
      <c r="P107" s="160"/>
      <c r="Q107" s="160"/>
      <c r="R107" s="160"/>
      <c r="S107" s="160"/>
      <c r="T107" s="160"/>
      <c r="U107" s="160"/>
      <c r="V107" s="160"/>
      <c r="W107" s="160"/>
      <c r="X107" s="160"/>
      <c r="Y107" s="160"/>
      <c r="Z107" s="160"/>
      <c r="AA107" s="160"/>
      <c r="AB107" s="160"/>
      <c r="AC107" s="160"/>
      <c r="AD107" s="161" t="str">
        <f t="shared" si="20"/>
        <v/>
      </c>
      <c r="AE107" s="161" t="str">
        <f t="shared" si="21"/>
        <v/>
      </c>
      <c r="AF107" s="161"/>
      <c r="AG107" s="160"/>
      <c r="AH107" s="161"/>
      <c r="AI107" s="160"/>
      <c r="AJ107" s="162" t="str">
        <f t="shared" si="22"/>
        <v/>
      </c>
      <c r="AK107" s="163" t="str">
        <f t="shared" si="23"/>
        <v/>
      </c>
    </row>
    <row r="108" spans="2:37" ht="21" x14ac:dyDescent="0.35">
      <c r="B108" s="159"/>
      <c r="C108" s="160"/>
      <c r="D108" s="160"/>
      <c r="E108" s="160"/>
      <c r="F108" s="160"/>
      <c r="G108" s="160"/>
      <c r="H108" s="160"/>
      <c r="I108" s="160"/>
      <c r="J108" s="160"/>
      <c r="K108" s="160"/>
      <c r="L108" s="160"/>
      <c r="M108" s="160"/>
      <c r="N108" s="160"/>
      <c r="O108" s="160"/>
      <c r="P108" s="160"/>
      <c r="Q108" s="160"/>
      <c r="R108" s="160"/>
      <c r="S108" s="160"/>
      <c r="T108" s="160"/>
      <c r="U108" s="160"/>
      <c r="V108" s="160"/>
      <c r="W108" s="160"/>
      <c r="X108" s="160"/>
      <c r="Y108" s="160"/>
      <c r="Z108" s="160"/>
      <c r="AA108" s="160"/>
      <c r="AB108" s="160"/>
      <c r="AC108" s="160"/>
      <c r="AD108" s="161" t="str">
        <f t="shared" si="20"/>
        <v/>
      </c>
      <c r="AE108" s="161" t="str">
        <f t="shared" si="21"/>
        <v/>
      </c>
      <c r="AF108" s="161"/>
      <c r="AG108" s="160"/>
      <c r="AH108" s="161"/>
      <c r="AI108" s="160"/>
      <c r="AJ108" s="162" t="str">
        <f t="shared" si="22"/>
        <v/>
      </c>
      <c r="AK108" s="163" t="str">
        <f t="shared" si="23"/>
        <v/>
      </c>
    </row>
    <row r="109" spans="2:37" ht="21" x14ac:dyDescent="0.35">
      <c r="B109" s="159"/>
      <c r="C109" s="160"/>
      <c r="D109" s="160"/>
      <c r="E109" s="160"/>
      <c r="F109" s="160"/>
      <c r="G109" s="160"/>
      <c r="H109" s="160"/>
      <c r="I109" s="160"/>
      <c r="J109" s="160"/>
      <c r="K109" s="160"/>
      <c r="L109" s="160"/>
      <c r="M109" s="160"/>
      <c r="N109" s="160"/>
      <c r="O109" s="160"/>
      <c r="P109" s="160"/>
      <c r="Q109" s="160"/>
      <c r="R109" s="160"/>
      <c r="S109" s="160"/>
      <c r="T109" s="160"/>
      <c r="U109" s="160"/>
      <c r="V109" s="160"/>
      <c r="W109" s="160"/>
      <c r="X109" s="160"/>
      <c r="Y109" s="160"/>
      <c r="Z109" s="160"/>
      <c r="AA109" s="160"/>
      <c r="AB109" s="160"/>
      <c r="AC109" s="160"/>
      <c r="AD109" s="161" t="str">
        <f t="shared" si="20"/>
        <v/>
      </c>
      <c r="AE109" s="161" t="str">
        <f t="shared" si="21"/>
        <v/>
      </c>
      <c r="AF109" s="161"/>
      <c r="AG109" s="160"/>
      <c r="AH109" s="161"/>
      <c r="AI109" s="160"/>
      <c r="AJ109" s="162" t="str">
        <f t="shared" si="22"/>
        <v/>
      </c>
      <c r="AK109" s="163" t="str">
        <f t="shared" si="23"/>
        <v/>
      </c>
    </row>
    <row r="110" spans="2:37" ht="21" x14ac:dyDescent="0.35">
      <c r="B110" s="159"/>
      <c r="C110" s="160"/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0"/>
      <c r="O110" s="160"/>
      <c r="P110" s="160"/>
      <c r="Q110" s="160"/>
      <c r="R110" s="160"/>
      <c r="S110" s="160"/>
      <c r="T110" s="160"/>
      <c r="U110" s="160"/>
      <c r="V110" s="160"/>
      <c r="W110" s="160"/>
      <c r="X110" s="160"/>
      <c r="Y110" s="160"/>
      <c r="Z110" s="160"/>
      <c r="AA110" s="160"/>
      <c r="AB110" s="160"/>
      <c r="AC110" s="160"/>
      <c r="AD110" s="161" t="str">
        <f t="shared" si="20"/>
        <v/>
      </c>
      <c r="AE110" s="161" t="str">
        <f t="shared" si="21"/>
        <v/>
      </c>
      <c r="AF110" s="161"/>
      <c r="AG110" s="160"/>
      <c r="AH110" s="161"/>
      <c r="AI110" s="160"/>
      <c r="AJ110" s="162" t="str">
        <f t="shared" si="22"/>
        <v/>
      </c>
      <c r="AK110" s="163" t="str">
        <f t="shared" si="23"/>
        <v/>
      </c>
    </row>
    <row r="111" spans="2:37" ht="21" x14ac:dyDescent="0.35">
      <c r="B111" s="159"/>
      <c r="C111" s="160"/>
      <c r="D111" s="160"/>
      <c r="E111" s="160"/>
      <c r="F111" s="160"/>
      <c r="G111" s="160"/>
      <c r="H111" s="160"/>
      <c r="I111" s="160"/>
      <c r="J111" s="160"/>
      <c r="K111" s="160"/>
      <c r="L111" s="160"/>
      <c r="M111" s="160"/>
      <c r="N111" s="160"/>
      <c r="O111" s="160"/>
      <c r="P111" s="160"/>
      <c r="Q111" s="160"/>
      <c r="R111" s="160"/>
      <c r="S111" s="160"/>
      <c r="T111" s="160"/>
      <c r="U111" s="160"/>
      <c r="V111" s="160"/>
      <c r="W111" s="160"/>
      <c r="X111" s="160"/>
      <c r="Y111" s="160"/>
      <c r="Z111" s="160"/>
      <c r="AA111" s="160"/>
      <c r="AB111" s="160"/>
      <c r="AC111" s="160"/>
      <c r="AD111" s="161" t="str">
        <f t="shared" si="20"/>
        <v/>
      </c>
      <c r="AE111" s="161" t="str">
        <f t="shared" si="21"/>
        <v/>
      </c>
      <c r="AF111" s="161"/>
      <c r="AG111" s="160"/>
      <c r="AH111" s="161"/>
      <c r="AI111" s="160"/>
      <c r="AJ111" s="162" t="str">
        <f t="shared" si="22"/>
        <v/>
      </c>
      <c r="AK111" s="163" t="str">
        <f t="shared" si="23"/>
        <v/>
      </c>
    </row>
    <row r="112" spans="2:37" ht="21" x14ac:dyDescent="0.35">
      <c r="B112" s="159"/>
      <c r="C112" s="160"/>
      <c r="D112" s="160"/>
      <c r="E112" s="160"/>
      <c r="F112" s="160"/>
      <c r="G112" s="160"/>
      <c r="H112" s="160"/>
      <c r="I112" s="160"/>
      <c r="J112" s="160"/>
      <c r="K112" s="160"/>
      <c r="L112" s="160"/>
      <c r="M112" s="160"/>
      <c r="N112" s="160"/>
      <c r="O112" s="160"/>
      <c r="P112" s="160"/>
      <c r="Q112" s="160"/>
      <c r="R112" s="160"/>
      <c r="S112" s="160"/>
      <c r="T112" s="160"/>
      <c r="U112" s="160"/>
      <c r="V112" s="160"/>
      <c r="W112" s="160"/>
      <c r="X112" s="160"/>
      <c r="Y112" s="160"/>
      <c r="Z112" s="160"/>
      <c r="AA112" s="160"/>
      <c r="AB112" s="160"/>
      <c r="AC112" s="160"/>
      <c r="AD112" s="161" t="str">
        <f t="shared" si="20"/>
        <v/>
      </c>
      <c r="AE112" s="161" t="str">
        <f t="shared" si="21"/>
        <v/>
      </c>
      <c r="AF112" s="161"/>
      <c r="AG112" s="160"/>
      <c r="AH112" s="161"/>
      <c r="AI112" s="160"/>
      <c r="AJ112" s="162" t="str">
        <f t="shared" si="22"/>
        <v/>
      </c>
      <c r="AK112" s="163" t="str">
        <f t="shared" si="23"/>
        <v/>
      </c>
    </row>
    <row r="113" spans="2:37" ht="21" x14ac:dyDescent="0.35">
      <c r="B113" s="159"/>
      <c r="C113" s="160"/>
      <c r="D113" s="160"/>
      <c r="E113" s="160"/>
      <c r="F113" s="160"/>
      <c r="G113" s="160"/>
      <c r="H113" s="160"/>
      <c r="I113" s="160"/>
      <c r="J113" s="160"/>
      <c r="K113" s="160"/>
      <c r="L113" s="160"/>
      <c r="M113" s="160"/>
      <c r="N113" s="160"/>
      <c r="O113" s="160"/>
      <c r="P113" s="160"/>
      <c r="Q113" s="160"/>
      <c r="R113" s="160"/>
      <c r="S113" s="160"/>
      <c r="T113" s="160"/>
      <c r="U113" s="160"/>
      <c r="V113" s="160"/>
      <c r="W113" s="160"/>
      <c r="X113" s="160"/>
      <c r="Y113" s="160"/>
      <c r="Z113" s="160"/>
      <c r="AA113" s="160"/>
      <c r="AB113" s="160"/>
      <c r="AC113" s="160"/>
      <c r="AD113" s="161" t="str">
        <f t="shared" si="20"/>
        <v/>
      </c>
      <c r="AE113" s="161" t="str">
        <f t="shared" si="21"/>
        <v/>
      </c>
      <c r="AF113" s="161"/>
      <c r="AG113" s="160"/>
      <c r="AH113" s="161"/>
      <c r="AI113" s="160"/>
      <c r="AJ113" s="162" t="str">
        <f t="shared" si="22"/>
        <v/>
      </c>
      <c r="AK113" s="163" t="str">
        <f t="shared" si="23"/>
        <v/>
      </c>
    </row>
    <row r="114" spans="2:37" ht="21" x14ac:dyDescent="0.35">
      <c r="B114" s="159"/>
      <c r="C114" s="160"/>
      <c r="D114" s="160"/>
      <c r="E114" s="160"/>
      <c r="F114" s="160"/>
      <c r="G114" s="160"/>
      <c r="H114" s="160"/>
      <c r="I114" s="160"/>
      <c r="J114" s="160"/>
      <c r="K114" s="160"/>
      <c r="L114" s="160"/>
      <c r="M114" s="160"/>
      <c r="N114" s="160"/>
      <c r="O114" s="160"/>
      <c r="P114" s="160"/>
      <c r="Q114" s="160"/>
      <c r="R114" s="160"/>
      <c r="S114" s="160"/>
      <c r="T114" s="160"/>
      <c r="U114" s="160"/>
      <c r="V114" s="160"/>
      <c r="W114" s="160"/>
      <c r="X114" s="160"/>
      <c r="Y114" s="160"/>
      <c r="Z114" s="160"/>
      <c r="AA114" s="160"/>
      <c r="AB114" s="160"/>
      <c r="AC114" s="160"/>
      <c r="AD114" s="161" t="str">
        <f t="shared" si="20"/>
        <v/>
      </c>
      <c r="AE114" s="161" t="str">
        <f t="shared" si="21"/>
        <v/>
      </c>
      <c r="AF114" s="161"/>
      <c r="AG114" s="160"/>
      <c r="AH114" s="161"/>
      <c r="AI114" s="160"/>
      <c r="AJ114" s="162" t="str">
        <f t="shared" si="22"/>
        <v/>
      </c>
      <c r="AK114" s="163" t="str">
        <f t="shared" si="23"/>
        <v/>
      </c>
    </row>
    <row r="115" spans="2:37" ht="21" x14ac:dyDescent="0.35">
      <c r="B115" s="159"/>
      <c r="C115" s="160"/>
      <c r="D115" s="160"/>
      <c r="E115" s="160"/>
      <c r="F115" s="160"/>
      <c r="G115" s="160"/>
      <c r="H115" s="160"/>
      <c r="I115" s="160"/>
      <c r="J115" s="160"/>
      <c r="K115" s="160"/>
      <c r="L115" s="160"/>
      <c r="M115" s="160"/>
      <c r="N115" s="160"/>
      <c r="O115" s="160"/>
      <c r="P115" s="160"/>
      <c r="Q115" s="160"/>
      <c r="R115" s="160"/>
      <c r="S115" s="160"/>
      <c r="T115" s="160"/>
      <c r="U115" s="160"/>
      <c r="V115" s="160"/>
      <c r="W115" s="160"/>
      <c r="X115" s="160"/>
      <c r="Y115" s="160"/>
      <c r="Z115" s="160"/>
      <c r="AA115" s="160"/>
      <c r="AB115" s="160"/>
      <c r="AC115" s="160"/>
      <c r="AD115" s="161" t="str">
        <f t="shared" si="20"/>
        <v/>
      </c>
      <c r="AE115" s="161" t="str">
        <f t="shared" si="21"/>
        <v/>
      </c>
      <c r="AF115" s="161"/>
      <c r="AG115" s="160"/>
      <c r="AH115" s="161"/>
      <c r="AI115" s="160"/>
      <c r="AJ115" s="162" t="str">
        <f t="shared" si="22"/>
        <v/>
      </c>
      <c r="AK115" s="163" t="str">
        <f t="shared" si="23"/>
        <v/>
      </c>
    </row>
    <row r="116" spans="2:37" ht="21" x14ac:dyDescent="0.35">
      <c r="B116" s="159"/>
      <c r="C116" s="160"/>
      <c r="D116" s="160"/>
      <c r="E116" s="160"/>
      <c r="F116" s="160"/>
      <c r="G116" s="160"/>
      <c r="H116" s="160"/>
      <c r="I116" s="160"/>
      <c r="J116" s="160"/>
      <c r="K116" s="160"/>
      <c r="L116" s="160"/>
      <c r="M116" s="160"/>
      <c r="N116" s="160"/>
      <c r="O116" s="160"/>
      <c r="P116" s="160"/>
      <c r="Q116" s="160"/>
      <c r="R116" s="160"/>
      <c r="S116" s="160"/>
      <c r="T116" s="160"/>
      <c r="U116" s="160"/>
      <c r="V116" s="160"/>
      <c r="W116" s="160"/>
      <c r="X116" s="160"/>
      <c r="Y116" s="160"/>
      <c r="Z116" s="160"/>
      <c r="AA116" s="160"/>
      <c r="AB116" s="160"/>
      <c r="AC116" s="160"/>
      <c r="AD116" s="161" t="str">
        <f t="shared" si="20"/>
        <v/>
      </c>
      <c r="AE116" s="161" t="str">
        <f t="shared" si="21"/>
        <v/>
      </c>
      <c r="AF116" s="161"/>
      <c r="AG116" s="160"/>
      <c r="AH116" s="161"/>
      <c r="AI116" s="160"/>
      <c r="AJ116" s="162" t="str">
        <f t="shared" si="22"/>
        <v/>
      </c>
      <c r="AK116" s="163" t="str">
        <f t="shared" si="23"/>
        <v/>
      </c>
    </row>
    <row r="117" spans="2:37" ht="21" x14ac:dyDescent="0.35">
      <c r="B117" s="159"/>
      <c r="C117" s="160"/>
      <c r="D117" s="160"/>
      <c r="E117" s="160"/>
      <c r="F117" s="160"/>
      <c r="G117" s="160"/>
      <c r="H117" s="160"/>
      <c r="I117" s="160"/>
      <c r="J117" s="160"/>
      <c r="K117" s="160"/>
      <c r="L117" s="160"/>
      <c r="M117" s="160"/>
      <c r="N117" s="160"/>
      <c r="O117" s="160"/>
      <c r="P117" s="160"/>
      <c r="Q117" s="160"/>
      <c r="R117" s="160"/>
      <c r="S117" s="160"/>
      <c r="T117" s="160"/>
      <c r="U117" s="160"/>
      <c r="V117" s="160"/>
      <c r="W117" s="160"/>
      <c r="X117" s="160"/>
      <c r="Y117" s="160"/>
      <c r="Z117" s="160"/>
      <c r="AA117" s="160"/>
      <c r="AB117" s="160"/>
      <c r="AC117" s="160"/>
      <c r="AD117" s="161" t="str">
        <f t="shared" si="20"/>
        <v/>
      </c>
      <c r="AE117" s="161" t="str">
        <f t="shared" si="21"/>
        <v/>
      </c>
      <c r="AF117" s="161"/>
      <c r="AG117" s="160"/>
      <c r="AH117" s="161"/>
      <c r="AI117" s="160"/>
      <c r="AJ117" s="162" t="str">
        <f t="shared" si="22"/>
        <v/>
      </c>
      <c r="AK117" s="163" t="str">
        <f t="shared" si="23"/>
        <v/>
      </c>
    </row>
    <row r="118" spans="2:37" ht="21" x14ac:dyDescent="0.35">
      <c r="B118" s="159"/>
      <c r="C118" s="160"/>
      <c r="D118" s="160"/>
      <c r="E118" s="160"/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0"/>
      <c r="W118" s="160"/>
      <c r="X118" s="160"/>
      <c r="Y118" s="160"/>
      <c r="Z118" s="160"/>
      <c r="AA118" s="160"/>
      <c r="AB118" s="160"/>
      <c r="AC118" s="160"/>
      <c r="AD118" s="161" t="str">
        <f t="shared" si="20"/>
        <v/>
      </c>
      <c r="AE118" s="161" t="str">
        <f t="shared" si="21"/>
        <v/>
      </c>
      <c r="AF118" s="161"/>
      <c r="AG118" s="160"/>
      <c r="AH118" s="161"/>
      <c r="AI118" s="160"/>
      <c r="AJ118" s="162" t="str">
        <f t="shared" si="22"/>
        <v/>
      </c>
      <c r="AK118" s="163" t="str">
        <f t="shared" si="23"/>
        <v/>
      </c>
    </row>
    <row r="119" spans="2:37" ht="21" x14ac:dyDescent="0.35">
      <c r="B119" s="159"/>
      <c r="C119" s="160"/>
      <c r="D119" s="160"/>
      <c r="E119" s="160"/>
      <c r="F119" s="160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0"/>
      <c r="W119" s="160"/>
      <c r="X119" s="160"/>
      <c r="Y119" s="160"/>
      <c r="Z119" s="160"/>
      <c r="AA119" s="160"/>
      <c r="AB119" s="160"/>
      <c r="AC119" s="160"/>
      <c r="AD119" s="161" t="str">
        <f t="shared" si="20"/>
        <v/>
      </c>
      <c r="AE119" s="161" t="str">
        <f t="shared" si="21"/>
        <v/>
      </c>
      <c r="AF119" s="161"/>
      <c r="AG119" s="160"/>
      <c r="AH119" s="161"/>
      <c r="AI119" s="160"/>
      <c r="AJ119" s="162" t="str">
        <f t="shared" si="22"/>
        <v/>
      </c>
      <c r="AK119" s="163" t="str">
        <f t="shared" si="23"/>
        <v/>
      </c>
    </row>
    <row r="120" spans="2:37" ht="21" x14ac:dyDescent="0.35">
      <c r="B120" s="159"/>
      <c r="C120" s="160"/>
      <c r="D120" s="160"/>
      <c r="E120" s="160"/>
      <c r="F120" s="160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0"/>
      <c r="W120" s="160"/>
      <c r="X120" s="160"/>
      <c r="Y120" s="160"/>
      <c r="Z120" s="160"/>
      <c r="AA120" s="160"/>
      <c r="AB120" s="160"/>
      <c r="AC120" s="160"/>
      <c r="AD120" s="161" t="str">
        <f t="shared" si="20"/>
        <v/>
      </c>
      <c r="AE120" s="161" t="str">
        <f t="shared" si="21"/>
        <v/>
      </c>
      <c r="AF120" s="161"/>
      <c r="AG120" s="160"/>
      <c r="AH120" s="161"/>
      <c r="AI120" s="160"/>
      <c r="AJ120" s="162" t="str">
        <f t="shared" si="22"/>
        <v/>
      </c>
      <c r="AK120" s="163" t="str">
        <f t="shared" si="23"/>
        <v/>
      </c>
    </row>
    <row r="121" spans="2:37" ht="21" x14ac:dyDescent="0.35">
      <c r="B121" s="159"/>
      <c r="C121" s="160"/>
      <c r="D121" s="160"/>
      <c r="E121" s="160"/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0"/>
      <c r="W121" s="160"/>
      <c r="X121" s="160"/>
      <c r="Y121" s="160"/>
      <c r="Z121" s="160"/>
      <c r="AA121" s="160"/>
      <c r="AB121" s="160"/>
      <c r="AC121" s="160"/>
      <c r="AD121" s="161" t="str">
        <f t="shared" si="20"/>
        <v/>
      </c>
      <c r="AE121" s="161" t="str">
        <f t="shared" si="21"/>
        <v/>
      </c>
      <c r="AF121" s="161"/>
      <c r="AG121" s="160"/>
      <c r="AH121" s="161"/>
      <c r="AI121" s="160"/>
      <c r="AJ121" s="162" t="str">
        <f t="shared" si="22"/>
        <v/>
      </c>
      <c r="AK121" s="163" t="str">
        <f t="shared" si="23"/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 t="shared" ref="AD122:AD131" si="24">IF(MIN(F122,J122,N122,R122,V122,Z122)&lt;&gt;0,MIN(F122,J122,N122,R122,V122,Z122),"")</f>
        <v/>
      </c>
      <c r="AE122" s="76" t="str">
        <f t="shared" ref="AE122:AE131" si="25">IF(MIN(H122,L122,P122,T122,X122,AB122)&lt;&gt;0,MIN(H122,L122,P122,T122,X122,AB122),"")</f>
        <v/>
      </c>
      <c r="AF122" s="77"/>
      <c r="AG122" s="73"/>
      <c r="AH122" s="77"/>
      <c r="AI122" s="73"/>
      <c r="AJ122" s="78" t="str">
        <f t="shared" ref="AJ122:AJ131" si="26">IF(AD122="","",IF(ISBLANK(AF122),"En cours",AD122+AF122))</f>
        <v/>
      </c>
      <c r="AK122" s="79" t="str">
        <f t="shared" ref="AK122:AK131" si="27">IF(AE122="","",IF(ISBLANK(AH122),"En cours",AE122+AH122))</f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 t="shared" si="24"/>
        <v/>
      </c>
      <c r="AE123" s="76" t="str">
        <f t="shared" si="25"/>
        <v/>
      </c>
      <c r="AF123" s="77"/>
      <c r="AG123" s="73"/>
      <c r="AH123" s="77"/>
      <c r="AI123" s="73"/>
      <c r="AJ123" s="78" t="str">
        <f t="shared" si="26"/>
        <v/>
      </c>
      <c r="AK123" s="79" t="str">
        <f t="shared" si="27"/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 t="shared" si="24"/>
        <v/>
      </c>
      <c r="AE124" s="76" t="str">
        <f t="shared" si="25"/>
        <v/>
      </c>
      <c r="AF124" s="77"/>
      <c r="AG124" s="73"/>
      <c r="AH124" s="77"/>
      <c r="AI124" s="73"/>
      <c r="AJ124" s="78" t="str">
        <f t="shared" si="26"/>
        <v/>
      </c>
      <c r="AK124" s="79" t="str">
        <f t="shared" si="27"/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 t="shared" si="24"/>
        <v/>
      </c>
      <c r="AE125" s="76" t="str">
        <f t="shared" si="25"/>
        <v/>
      </c>
      <c r="AF125" s="77"/>
      <c r="AG125" s="73"/>
      <c r="AH125" s="77"/>
      <c r="AI125" s="73"/>
      <c r="AJ125" s="78" t="str">
        <f t="shared" si="26"/>
        <v/>
      </c>
      <c r="AK125" s="79" t="str">
        <f t="shared" si="27"/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 t="shared" si="24"/>
        <v/>
      </c>
      <c r="AE126" s="76" t="str">
        <f t="shared" si="25"/>
        <v/>
      </c>
      <c r="AF126" s="77"/>
      <c r="AG126" s="73"/>
      <c r="AH126" s="77"/>
      <c r="AI126" s="73"/>
      <c r="AJ126" s="78" t="str">
        <f t="shared" si="26"/>
        <v/>
      </c>
      <c r="AK126" s="79" t="str">
        <f t="shared" si="27"/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 t="shared" si="24"/>
        <v/>
      </c>
      <c r="AE127" s="76" t="str">
        <f t="shared" si="25"/>
        <v/>
      </c>
      <c r="AF127" s="77"/>
      <c r="AG127" s="73"/>
      <c r="AH127" s="77"/>
      <c r="AI127" s="73"/>
      <c r="AJ127" s="78" t="str">
        <f t="shared" si="26"/>
        <v/>
      </c>
      <c r="AK127" s="79" t="str">
        <f t="shared" si="27"/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 t="shared" si="24"/>
        <v/>
      </c>
      <c r="AE128" s="76" t="str">
        <f t="shared" si="25"/>
        <v/>
      </c>
      <c r="AF128" s="77"/>
      <c r="AG128" s="73"/>
      <c r="AH128" s="77"/>
      <c r="AI128" s="73"/>
      <c r="AJ128" s="78" t="str">
        <f t="shared" si="26"/>
        <v/>
      </c>
      <c r="AK128" s="79" t="str">
        <f t="shared" si="27"/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 t="shared" si="24"/>
        <v/>
      </c>
      <c r="AE129" s="76" t="str">
        <f t="shared" si="25"/>
        <v/>
      </c>
      <c r="AF129" s="77"/>
      <c r="AG129" s="73"/>
      <c r="AH129" s="77"/>
      <c r="AI129" s="73"/>
      <c r="AJ129" s="78" t="str">
        <f t="shared" si="26"/>
        <v/>
      </c>
      <c r="AK129" s="79" t="str">
        <f t="shared" si="27"/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 t="shared" si="24"/>
        <v/>
      </c>
      <c r="AE130" s="76" t="str">
        <f t="shared" si="25"/>
        <v/>
      </c>
      <c r="AF130" s="77"/>
      <c r="AG130" s="73"/>
      <c r="AH130" s="77"/>
      <c r="AI130" s="73"/>
      <c r="AJ130" s="78" t="str">
        <f t="shared" si="26"/>
        <v/>
      </c>
      <c r="AK130" s="79" t="str">
        <f t="shared" si="27"/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 t="shared" si="24"/>
        <v/>
      </c>
      <c r="AE131" s="76" t="str">
        <f t="shared" si="25"/>
        <v/>
      </c>
      <c r="AF131" s="77"/>
      <c r="AG131" s="73"/>
      <c r="AH131" s="77"/>
      <c r="AI131" s="73"/>
      <c r="AJ131" s="78" t="str">
        <f t="shared" si="26"/>
        <v/>
      </c>
      <c r="AK131" s="79" t="str">
        <f t="shared" si="27"/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 t="shared" ref="AD132:AD195" si="28">IF(MIN(F132,J132,N132,R132,V132,Z132)&lt;&gt;0,MIN(F132,J132,N132,R132,V132,Z132),"")</f>
        <v/>
      </c>
      <c r="AE132" s="76" t="str">
        <f t="shared" ref="AE132:AE195" si="29">IF(MIN(H132,L132,P132,T132,X132,AB132)&lt;&gt;0,MIN(H132,L132,P132,T132,X132,AB132),"")</f>
        <v/>
      </c>
      <c r="AF132" s="77"/>
      <c r="AG132" s="73"/>
      <c r="AH132" s="77"/>
      <c r="AI132" s="73"/>
      <c r="AJ132" s="78" t="str">
        <f t="shared" ref="AJ132:AJ195" si="30">IF(AD132="","",IF(ISBLANK(AF132),"En cours",AD132+AF132))</f>
        <v/>
      </c>
      <c r="AK132" s="79" t="str">
        <f t="shared" ref="AK132:AK195" si="31"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 t="shared" si="28"/>
        <v/>
      </c>
      <c r="AE133" s="76" t="str">
        <f t="shared" si="29"/>
        <v/>
      </c>
      <c r="AF133" s="77"/>
      <c r="AG133" s="73"/>
      <c r="AH133" s="77"/>
      <c r="AI133" s="73"/>
      <c r="AJ133" s="78" t="str">
        <f t="shared" si="30"/>
        <v/>
      </c>
      <c r="AK133" s="79" t="str">
        <f t="shared" si="31"/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 t="shared" si="28"/>
        <v/>
      </c>
      <c r="AE134" s="76" t="str">
        <f t="shared" si="29"/>
        <v/>
      </c>
      <c r="AF134" s="77"/>
      <c r="AG134" s="73"/>
      <c r="AH134" s="77"/>
      <c r="AI134" s="73"/>
      <c r="AJ134" s="78" t="str">
        <f t="shared" si="30"/>
        <v/>
      </c>
      <c r="AK134" s="79" t="str">
        <f t="shared" si="31"/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 t="shared" si="28"/>
        <v/>
      </c>
      <c r="AE135" s="76" t="str">
        <f t="shared" si="29"/>
        <v/>
      </c>
      <c r="AF135" s="77"/>
      <c r="AG135" s="73"/>
      <c r="AH135" s="77"/>
      <c r="AI135" s="73"/>
      <c r="AJ135" s="78" t="str">
        <f t="shared" si="30"/>
        <v/>
      </c>
      <c r="AK135" s="79" t="str">
        <f t="shared" si="31"/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 t="shared" si="28"/>
        <v/>
      </c>
      <c r="AE136" s="76" t="str">
        <f t="shared" si="29"/>
        <v/>
      </c>
      <c r="AF136" s="77"/>
      <c r="AG136" s="73"/>
      <c r="AH136" s="77"/>
      <c r="AI136" s="73"/>
      <c r="AJ136" s="78" t="str">
        <f t="shared" si="30"/>
        <v/>
      </c>
      <c r="AK136" s="79" t="str">
        <f t="shared" si="31"/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 t="shared" si="28"/>
        <v/>
      </c>
      <c r="AE137" s="76" t="str">
        <f t="shared" si="29"/>
        <v/>
      </c>
      <c r="AF137" s="77"/>
      <c r="AG137" s="73"/>
      <c r="AH137" s="77"/>
      <c r="AI137" s="73"/>
      <c r="AJ137" s="78" t="str">
        <f t="shared" si="30"/>
        <v/>
      </c>
      <c r="AK137" s="79" t="str">
        <f t="shared" si="31"/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 t="shared" si="28"/>
        <v/>
      </c>
      <c r="AE138" s="76" t="str">
        <f t="shared" si="29"/>
        <v/>
      </c>
      <c r="AF138" s="77"/>
      <c r="AG138" s="73"/>
      <c r="AH138" s="77"/>
      <c r="AI138" s="73"/>
      <c r="AJ138" s="78" t="str">
        <f t="shared" si="30"/>
        <v/>
      </c>
      <c r="AK138" s="79" t="str">
        <f t="shared" si="31"/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 t="shared" si="28"/>
        <v/>
      </c>
      <c r="AE139" s="76" t="str">
        <f t="shared" si="29"/>
        <v/>
      </c>
      <c r="AF139" s="77"/>
      <c r="AG139" s="73"/>
      <c r="AH139" s="77"/>
      <c r="AI139" s="73"/>
      <c r="AJ139" s="78" t="str">
        <f t="shared" si="30"/>
        <v/>
      </c>
      <c r="AK139" s="79" t="str">
        <f t="shared" si="31"/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 t="shared" si="28"/>
        <v/>
      </c>
      <c r="AE140" s="76" t="str">
        <f t="shared" si="29"/>
        <v/>
      </c>
      <c r="AF140" s="77"/>
      <c r="AG140" s="73"/>
      <c r="AH140" s="77"/>
      <c r="AI140" s="73"/>
      <c r="AJ140" s="78" t="str">
        <f t="shared" si="30"/>
        <v/>
      </c>
      <c r="AK140" s="79" t="str">
        <f t="shared" si="31"/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 t="shared" si="28"/>
        <v/>
      </c>
      <c r="AE141" s="76" t="str">
        <f t="shared" si="29"/>
        <v/>
      </c>
      <c r="AF141" s="77"/>
      <c r="AG141" s="73"/>
      <c r="AH141" s="77"/>
      <c r="AI141" s="73"/>
      <c r="AJ141" s="78" t="str">
        <f t="shared" si="30"/>
        <v/>
      </c>
      <c r="AK141" s="79" t="str">
        <f t="shared" si="31"/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 t="shared" si="28"/>
        <v/>
      </c>
      <c r="AE142" s="76" t="str">
        <f t="shared" si="29"/>
        <v/>
      </c>
      <c r="AF142" s="77"/>
      <c r="AG142" s="73"/>
      <c r="AH142" s="77"/>
      <c r="AI142" s="73"/>
      <c r="AJ142" s="78" t="str">
        <f t="shared" si="30"/>
        <v/>
      </c>
      <c r="AK142" s="79" t="str">
        <f t="shared" si="31"/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 t="shared" si="28"/>
        <v/>
      </c>
      <c r="AE143" s="76" t="str">
        <f t="shared" si="29"/>
        <v/>
      </c>
      <c r="AF143" s="77"/>
      <c r="AG143" s="73"/>
      <c r="AH143" s="77"/>
      <c r="AI143" s="73"/>
      <c r="AJ143" s="78" t="str">
        <f t="shared" si="30"/>
        <v/>
      </c>
      <c r="AK143" s="79" t="str">
        <f t="shared" si="31"/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 t="shared" si="28"/>
        <v/>
      </c>
      <c r="AE144" s="76" t="str">
        <f t="shared" si="29"/>
        <v/>
      </c>
      <c r="AF144" s="77"/>
      <c r="AG144" s="73"/>
      <c r="AH144" s="77"/>
      <c r="AI144" s="73"/>
      <c r="AJ144" s="78" t="str">
        <f t="shared" si="30"/>
        <v/>
      </c>
      <c r="AK144" s="79" t="str">
        <f t="shared" si="31"/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 t="shared" si="28"/>
        <v/>
      </c>
      <c r="AE145" s="76" t="str">
        <f t="shared" si="29"/>
        <v/>
      </c>
      <c r="AF145" s="77"/>
      <c r="AG145" s="73"/>
      <c r="AH145" s="77"/>
      <c r="AI145" s="73"/>
      <c r="AJ145" s="78" t="str">
        <f t="shared" si="30"/>
        <v/>
      </c>
      <c r="AK145" s="79" t="str">
        <f t="shared" si="31"/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 t="shared" si="28"/>
        <v/>
      </c>
      <c r="AE146" s="76" t="str">
        <f t="shared" si="29"/>
        <v/>
      </c>
      <c r="AF146" s="77"/>
      <c r="AG146" s="73"/>
      <c r="AH146" s="77"/>
      <c r="AI146" s="73"/>
      <c r="AJ146" s="78" t="str">
        <f t="shared" si="30"/>
        <v/>
      </c>
      <c r="AK146" s="79" t="str">
        <f t="shared" si="31"/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 t="shared" si="28"/>
        <v/>
      </c>
      <c r="AE147" s="76" t="str">
        <f t="shared" si="29"/>
        <v/>
      </c>
      <c r="AF147" s="77"/>
      <c r="AG147" s="73"/>
      <c r="AH147" s="77"/>
      <c r="AI147" s="73"/>
      <c r="AJ147" s="78" t="str">
        <f t="shared" si="30"/>
        <v/>
      </c>
      <c r="AK147" s="79" t="str">
        <f t="shared" si="31"/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 t="shared" si="28"/>
        <v/>
      </c>
      <c r="AE148" s="76" t="str">
        <f t="shared" si="29"/>
        <v/>
      </c>
      <c r="AF148" s="77"/>
      <c r="AG148" s="73"/>
      <c r="AH148" s="77"/>
      <c r="AI148" s="73"/>
      <c r="AJ148" s="78" t="str">
        <f t="shared" si="30"/>
        <v/>
      </c>
      <c r="AK148" s="79" t="str">
        <f t="shared" si="31"/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 t="shared" si="28"/>
        <v/>
      </c>
      <c r="AE149" s="76" t="str">
        <f t="shared" si="29"/>
        <v/>
      </c>
      <c r="AF149" s="77"/>
      <c r="AG149" s="73"/>
      <c r="AH149" s="77"/>
      <c r="AI149" s="73"/>
      <c r="AJ149" s="78" t="str">
        <f t="shared" si="30"/>
        <v/>
      </c>
      <c r="AK149" s="79" t="str">
        <f t="shared" si="31"/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 t="shared" si="28"/>
        <v/>
      </c>
      <c r="AE150" s="76" t="str">
        <f t="shared" si="29"/>
        <v/>
      </c>
      <c r="AF150" s="77"/>
      <c r="AG150" s="73"/>
      <c r="AH150" s="77"/>
      <c r="AI150" s="73"/>
      <c r="AJ150" s="78" t="str">
        <f t="shared" si="30"/>
        <v/>
      </c>
      <c r="AK150" s="79" t="str">
        <f t="shared" si="31"/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 t="shared" si="28"/>
        <v/>
      </c>
      <c r="AE151" s="76" t="str">
        <f t="shared" si="29"/>
        <v/>
      </c>
      <c r="AF151" s="77"/>
      <c r="AG151" s="73"/>
      <c r="AH151" s="77"/>
      <c r="AI151" s="73"/>
      <c r="AJ151" s="78" t="str">
        <f t="shared" si="30"/>
        <v/>
      </c>
      <c r="AK151" s="79" t="str">
        <f t="shared" si="31"/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 t="shared" si="28"/>
        <v/>
      </c>
      <c r="AE152" s="76" t="str">
        <f t="shared" si="29"/>
        <v/>
      </c>
      <c r="AF152" s="77"/>
      <c r="AG152" s="73"/>
      <c r="AH152" s="77"/>
      <c r="AI152" s="73"/>
      <c r="AJ152" s="78" t="str">
        <f t="shared" si="30"/>
        <v/>
      </c>
      <c r="AK152" s="79" t="str">
        <f t="shared" si="31"/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 t="shared" si="28"/>
        <v/>
      </c>
      <c r="AE153" s="76" t="str">
        <f t="shared" si="29"/>
        <v/>
      </c>
      <c r="AF153" s="77"/>
      <c r="AG153" s="73"/>
      <c r="AH153" s="77"/>
      <c r="AI153" s="73"/>
      <c r="AJ153" s="78" t="str">
        <f t="shared" si="30"/>
        <v/>
      </c>
      <c r="AK153" s="79" t="str">
        <f t="shared" si="31"/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 t="shared" si="28"/>
        <v/>
      </c>
      <c r="AE154" s="76" t="str">
        <f t="shared" si="29"/>
        <v/>
      </c>
      <c r="AF154" s="77"/>
      <c r="AG154" s="73"/>
      <c r="AH154" s="77"/>
      <c r="AI154" s="73"/>
      <c r="AJ154" s="78" t="str">
        <f t="shared" si="30"/>
        <v/>
      </c>
      <c r="AK154" s="79" t="str">
        <f t="shared" si="31"/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 t="shared" si="28"/>
        <v/>
      </c>
      <c r="AE155" s="76" t="str">
        <f t="shared" si="29"/>
        <v/>
      </c>
      <c r="AF155" s="77"/>
      <c r="AG155" s="73"/>
      <c r="AH155" s="77"/>
      <c r="AI155" s="73"/>
      <c r="AJ155" s="78" t="str">
        <f t="shared" si="30"/>
        <v/>
      </c>
      <c r="AK155" s="79" t="str">
        <f t="shared" si="31"/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 t="shared" si="28"/>
        <v/>
      </c>
      <c r="AE156" s="76" t="str">
        <f t="shared" si="29"/>
        <v/>
      </c>
      <c r="AF156" s="77"/>
      <c r="AG156" s="73"/>
      <c r="AH156" s="77"/>
      <c r="AI156" s="73"/>
      <c r="AJ156" s="78" t="str">
        <f t="shared" si="30"/>
        <v/>
      </c>
      <c r="AK156" s="79" t="str">
        <f t="shared" si="31"/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 t="shared" si="28"/>
        <v/>
      </c>
      <c r="AE157" s="76" t="str">
        <f t="shared" si="29"/>
        <v/>
      </c>
      <c r="AF157" s="77"/>
      <c r="AG157" s="73"/>
      <c r="AH157" s="77"/>
      <c r="AI157" s="73"/>
      <c r="AJ157" s="78" t="str">
        <f t="shared" si="30"/>
        <v/>
      </c>
      <c r="AK157" s="79" t="str">
        <f t="shared" si="31"/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 t="shared" si="28"/>
        <v/>
      </c>
      <c r="AE158" s="76" t="str">
        <f t="shared" si="29"/>
        <v/>
      </c>
      <c r="AF158" s="77"/>
      <c r="AG158" s="73"/>
      <c r="AH158" s="77"/>
      <c r="AI158" s="73"/>
      <c r="AJ158" s="78" t="str">
        <f t="shared" si="30"/>
        <v/>
      </c>
      <c r="AK158" s="79" t="str">
        <f t="shared" si="31"/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 t="shared" si="28"/>
        <v/>
      </c>
      <c r="AE159" s="76" t="str">
        <f t="shared" si="29"/>
        <v/>
      </c>
      <c r="AF159" s="77"/>
      <c r="AG159" s="73"/>
      <c r="AH159" s="77"/>
      <c r="AI159" s="73"/>
      <c r="AJ159" s="78" t="str">
        <f t="shared" si="30"/>
        <v/>
      </c>
      <c r="AK159" s="79" t="str">
        <f t="shared" si="31"/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 t="shared" si="28"/>
        <v/>
      </c>
      <c r="AE160" s="76" t="str">
        <f t="shared" si="29"/>
        <v/>
      </c>
      <c r="AF160" s="77"/>
      <c r="AG160" s="73"/>
      <c r="AH160" s="77"/>
      <c r="AI160" s="73"/>
      <c r="AJ160" s="78" t="str">
        <f t="shared" si="30"/>
        <v/>
      </c>
      <c r="AK160" s="79" t="str">
        <f t="shared" si="31"/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 t="shared" si="28"/>
        <v/>
      </c>
      <c r="AE161" s="76" t="str">
        <f t="shared" si="29"/>
        <v/>
      </c>
      <c r="AF161" s="77"/>
      <c r="AG161" s="73"/>
      <c r="AH161" s="77"/>
      <c r="AI161" s="73"/>
      <c r="AJ161" s="78" t="str">
        <f t="shared" si="30"/>
        <v/>
      </c>
      <c r="AK161" s="79" t="str">
        <f t="shared" si="31"/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 t="shared" si="28"/>
        <v/>
      </c>
      <c r="AE162" s="76" t="str">
        <f t="shared" si="29"/>
        <v/>
      </c>
      <c r="AF162" s="77"/>
      <c r="AG162" s="73"/>
      <c r="AH162" s="77"/>
      <c r="AI162" s="73"/>
      <c r="AJ162" s="78" t="str">
        <f t="shared" si="30"/>
        <v/>
      </c>
      <c r="AK162" s="79" t="str">
        <f t="shared" si="31"/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 t="shared" si="28"/>
        <v/>
      </c>
      <c r="AE163" s="76" t="str">
        <f t="shared" si="29"/>
        <v/>
      </c>
      <c r="AF163" s="77"/>
      <c r="AG163" s="73"/>
      <c r="AH163" s="77"/>
      <c r="AI163" s="73"/>
      <c r="AJ163" s="78" t="str">
        <f t="shared" si="30"/>
        <v/>
      </c>
      <c r="AK163" s="79" t="str">
        <f t="shared" si="31"/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 t="shared" si="28"/>
        <v/>
      </c>
      <c r="AE164" s="76" t="str">
        <f t="shared" si="29"/>
        <v/>
      </c>
      <c r="AF164" s="77"/>
      <c r="AG164" s="73"/>
      <c r="AH164" s="77"/>
      <c r="AI164" s="73"/>
      <c r="AJ164" s="78" t="str">
        <f t="shared" si="30"/>
        <v/>
      </c>
      <c r="AK164" s="79" t="str">
        <f t="shared" si="31"/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 t="shared" si="28"/>
        <v/>
      </c>
      <c r="AE165" s="76" t="str">
        <f t="shared" si="29"/>
        <v/>
      </c>
      <c r="AF165" s="77"/>
      <c r="AG165" s="73"/>
      <c r="AH165" s="77"/>
      <c r="AI165" s="73"/>
      <c r="AJ165" s="78" t="str">
        <f t="shared" si="30"/>
        <v/>
      </c>
      <c r="AK165" s="79" t="str">
        <f t="shared" si="31"/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 t="shared" si="28"/>
        <v/>
      </c>
      <c r="AE166" s="76" t="str">
        <f t="shared" si="29"/>
        <v/>
      </c>
      <c r="AF166" s="77"/>
      <c r="AG166" s="73"/>
      <c r="AH166" s="77"/>
      <c r="AI166" s="73"/>
      <c r="AJ166" s="78" t="str">
        <f t="shared" si="30"/>
        <v/>
      </c>
      <c r="AK166" s="79" t="str">
        <f t="shared" si="31"/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 t="shared" si="28"/>
        <v/>
      </c>
      <c r="AE167" s="76" t="str">
        <f t="shared" si="29"/>
        <v/>
      </c>
      <c r="AF167" s="77"/>
      <c r="AG167" s="73"/>
      <c r="AH167" s="77"/>
      <c r="AI167" s="73"/>
      <c r="AJ167" s="78" t="str">
        <f t="shared" si="30"/>
        <v/>
      </c>
      <c r="AK167" s="79" t="str">
        <f t="shared" si="31"/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 t="shared" si="28"/>
        <v/>
      </c>
      <c r="AE168" s="76" t="str">
        <f t="shared" si="29"/>
        <v/>
      </c>
      <c r="AF168" s="77"/>
      <c r="AG168" s="73"/>
      <c r="AH168" s="77"/>
      <c r="AI168" s="73"/>
      <c r="AJ168" s="78" t="str">
        <f t="shared" si="30"/>
        <v/>
      </c>
      <c r="AK168" s="79" t="str">
        <f t="shared" si="31"/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 t="shared" si="28"/>
        <v/>
      </c>
      <c r="AE169" s="76" t="str">
        <f t="shared" si="29"/>
        <v/>
      </c>
      <c r="AF169" s="77"/>
      <c r="AG169" s="73"/>
      <c r="AH169" s="77"/>
      <c r="AI169" s="73"/>
      <c r="AJ169" s="78" t="str">
        <f t="shared" si="30"/>
        <v/>
      </c>
      <c r="AK169" s="79" t="str">
        <f t="shared" si="31"/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 t="shared" si="28"/>
        <v/>
      </c>
      <c r="AE170" s="76" t="str">
        <f t="shared" si="29"/>
        <v/>
      </c>
      <c r="AF170" s="77"/>
      <c r="AG170" s="73"/>
      <c r="AH170" s="77"/>
      <c r="AI170" s="73"/>
      <c r="AJ170" s="78" t="str">
        <f t="shared" si="30"/>
        <v/>
      </c>
      <c r="AK170" s="79" t="str">
        <f t="shared" si="31"/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 t="shared" si="28"/>
        <v/>
      </c>
      <c r="AE171" s="76" t="str">
        <f t="shared" si="29"/>
        <v/>
      </c>
      <c r="AF171" s="77"/>
      <c r="AG171" s="73"/>
      <c r="AH171" s="77"/>
      <c r="AI171" s="73"/>
      <c r="AJ171" s="78" t="str">
        <f t="shared" si="30"/>
        <v/>
      </c>
      <c r="AK171" s="79" t="str">
        <f t="shared" si="31"/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 t="shared" si="28"/>
        <v/>
      </c>
      <c r="AE172" s="76" t="str">
        <f t="shared" si="29"/>
        <v/>
      </c>
      <c r="AF172" s="77"/>
      <c r="AG172" s="73"/>
      <c r="AH172" s="77"/>
      <c r="AI172" s="73"/>
      <c r="AJ172" s="78" t="str">
        <f t="shared" si="30"/>
        <v/>
      </c>
      <c r="AK172" s="79" t="str">
        <f t="shared" si="31"/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 t="shared" si="28"/>
        <v/>
      </c>
      <c r="AE173" s="76" t="str">
        <f t="shared" si="29"/>
        <v/>
      </c>
      <c r="AF173" s="77"/>
      <c r="AG173" s="73"/>
      <c r="AH173" s="77"/>
      <c r="AI173" s="73"/>
      <c r="AJ173" s="78" t="str">
        <f t="shared" si="30"/>
        <v/>
      </c>
      <c r="AK173" s="79" t="str">
        <f t="shared" si="31"/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 t="shared" si="28"/>
        <v/>
      </c>
      <c r="AE174" s="76" t="str">
        <f t="shared" si="29"/>
        <v/>
      </c>
      <c r="AF174" s="77"/>
      <c r="AG174" s="73"/>
      <c r="AH174" s="77"/>
      <c r="AI174" s="73"/>
      <c r="AJ174" s="78" t="str">
        <f t="shared" si="30"/>
        <v/>
      </c>
      <c r="AK174" s="79" t="str">
        <f t="shared" si="31"/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 t="shared" si="28"/>
        <v/>
      </c>
      <c r="AE175" s="76" t="str">
        <f t="shared" si="29"/>
        <v/>
      </c>
      <c r="AF175" s="77"/>
      <c r="AG175" s="73"/>
      <c r="AH175" s="77"/>
      <c r="AI175" s="73"/>
      <c r="AJ175" s="78" t="str">
        <f t="shared" si="30"/>
        <v/>
      </c>
      <c r="AK175" s="79" t="str">
        <f t="shared" si="31"/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 t="shared" si="28"/>
        <v/>
      </c>
      <c r="AE176" s="76" t="str">
        <f t="shared" si="29"/>
        <v/>
      </c>
      <c r="AF176" s="77"/>
      <c r="AG176" s="73"/>
      <c r="AH176" s="77"/>
      <c r="AI176" s="73"/>
      <c r="AJ176" s="78" t="str">
        <f t="shared" si="30"/>
        <v/>
      </c>
      <c r="AK176" s="79" t="str">
        <f t="shared" si="31"/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 t="shared" si="28"/>
        <v/>
      </c>
      <c r="AE177" s="76" t="str">
        <f t="shared" si="29"/>
        <v/>
      </c>
      <c r="AF177" s="77"/>
      <c r="AG177" s="73"/>
      <c r="AH177" s="77"/>
      <c r="AI177" s="73"/>
      <c r="AJ177" s="78" t="str">
        <f t="shared" si="30"/>
        <v/>
      </c>
      <c r="AK177" s="79" t="str">
        <f t="shared" si="31"/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 t="shared" si="28"/>
        <v/>
      </c>
      <c r="AE178" s="76" t="str">
        <f t="shared" si="29"/>
        <v/>
      </c>
      <c r="AF178" s="77"/>
      <c r="AG178" s="73"/>
      <c r="AH178" s="77"/>
      <c r="AI178" s="73"/>
      <c r="AJ178" s="78" t="str">
        <f t="shared" si="30"/>
        <v/>
      </c>
      <c r="AK178" s="79" t="str">
        <f t="shared" si="31"/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 t="shared" si="28"/>
        <v/>
      </c>
      <c r="AE179" s="76" t="str">
        <f t="shared" si="29"/>
        <v/>
      </c>
      <c r="AF179" s="77"/>
      <c r="AG179" s="73"/>
      <c r="AH179" s="77"/>
      <c r="AI179" s="73"/>
      <c r="AJ179" s="78" t="str">
        <f t="shared" si="30"/>
        <v/>
      </c>
      <c r="AK179" s="79" t="str">
        <f t="shared" si="31"/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 t="shared" si="28"/>
        <v/>
      </c>
      <c r="AE180" s="76" t="str">
        <f t="shared" si="29"/>
        <v/>
      </c>
      <c r="AF180" s="77"/>
      <c r="AG180" s="73"/>
      <c r="AH180" s="77"/>
      <c r="AI180" s="73"/>
      <c r="AJ180" s="78" t="str">
        <f t="shared" si="30"/>
        <v/>
      </c>
      <c r="AK180" s="79" t="str">
        <f t="shared" si="31"/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 t="shared" si="28"/>
        <v/>
      </c>
      <c r="AE181" s="76" t="str">
        <f t="shared" si="29"/>
        <v/>
      </c>
      <c r="AF181" s="77"/>
      <c r="AG181" s="73"/>
      <c r="AH181" s="77"/>
      <c r="AI181" s="73"/>
      <c r="AJ181" s="78" t="str">
        <f t="shared" si="30"/>
        <v/>
      </c>
      <c r="AK181" s="79" t="str">
        <f t="shared" si="31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28"/>
        <v/>
      </c>
      <c r="AE182" s="76" t="str">
        <f t="shared" si="29"/>
        <v/>
      </c>
      <c r="AF182" s="77"/>
      <c r="AG182" s="73"/>
      <c r="AH182" s="77"/>
      <c r="AI182" s="73"/>
      <c r="AJ182" s="78" t="str">
        <f t="shared" si="30"/>
        <v/>
      </c>
      <c r="AK182" s="79" t="str">
        <f t="shared" si="31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28"/>
        <v/>
      </c>
      <c r="AE183" s="76" t="str">
        <f t="shared" si="29"/>
        <v/>
      </c>
      <c r="AF183" s="77"/>
      <c r="AG183" s="73"/>
      <c r="AH183" s="77"/>
      <c r="AI183" s="73"/>
      <c r="AJ183" s="78" t="str">
        <f t="shared" si="30"/>
        <v/>
      </c>
      <c r="AK183" s="79" t="str">
        <f t="shared" si="31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28"/>
        <v/>
      </c>
      <c r="AE184" s="76" t="str">
        <f t="shared" si="29"/>
        <v/>
      </c>
      <c r="AF184" s="77"/>
      <c r="AG184" s="73"/>
      <c r="AH184" s="77"/>
      <c r="AI184" s="73"/>
      <c r="AJ184" s="78" t="str">
        <f t="shared" si="30"/>
        <v/>
      </c>
      <c r="AK184" s="79" t="str">
        <f t="shared" si="31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28"/>
        <v/>
      </c>
      <c r="AE185" s="76" t="str">
        <f t="shared" si="29"/>
        <v/>
      </c>
      <c r="AF185" s="77"/>
      <c r="AG185" s="73"/>
      <c r="AH185" s="77"/>
      <c r="AI185" s="73"/>
      <c r="AJ185" s="78" t="str">
        <f t="shared" si="30"/>
        <v/>
      </c>
      <c r="AK185" s="79" t="str">
        <f t="shared" si="31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28"/>
        <v/>
      </c>
      <c r="AE186" s="76" t="str">
        <f t="shared" si="29"/>
        <v/>
      </c>
      <c r="AF186" s="77"/>
      <c r="AG186" s="73"/>
      <c r="AH186" s="77"/>
      <c r="AI186" s="73"/>
      <c r="AJ186" s="78" t="str">
        <f t="shared" si="30"/>
        <v/>
      </c>
      <c r="AK186" s="79" t="str">
        <f t="shared" si="31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28"/>
        <v/>
      </c>
      <c r="AE187" s="76" t="str">
        <f t="shared" si="29"/>
        <v/>
      </c>
      <c r="AF187" s="77"/>
      <c r="AG187" s="73"/>
      <c r="AH187" s="77"/>
      <c r="AI187" s="73"/>
      <c r="AJ187" s="78" t="str">
        <f t="shared" si="30"/>
        <v/>
      </c>
      <c r="AK187" s="79" t="str">
        <f t="shared" si="31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28"/>
        <v/>
      </c>
      <c r="AE188" s="76" t="str">
        <f t="shared" si="29"/>
        <v/>
      </c>
      <c r="AF188" s="77"/>
      <c r="AG188" s="73"/>
      <c r="AH188" s="77"/>
      <c r="AI188" s="73"/>
      <c r="AJ188" s="78" t="str">
        <f t="shared" si="30"/>
        <v/>
      </c>
      <c r="AK188" s="79" t="str">
        <f t="shared" si="31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28"/>
        <v/>
      </c>
      <c r="AE189" s="76" t="str">
        <f t="shared" si="29"/>
        <v/>
      </c>
      <c r="AF189" s="77"/>
      <c r="AG189" s="73"/>
      <c r="AH189" s="77"/>
      <c r="AI189" s="73"/>
      <c r="AJ189" s="78" t="str">
        <f t="shared" si="30"/>
        <v/>
      </c>
      <c r="AK189" s="79" t="str">
        <f t="shared" si="31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28"/>
        <v/>
      </c>
      <c r="AE190" s="76" t="str">
        <f t="shared" si="29"/>
        <v/>
      </c>
      <c r="AF190" s="77"/>
      <c r="AG190" s="73"/>
      <c r="AH190" s="77"/>
      <c r="AI190" s="73"/>
      <c r="AJ190" s="78" t="str">
        <f t="shared" si="30"/>
        <v/>
      </c>
      <c r="AK190" s="79" t="str">
        <f t="shared" si="31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28"/>
        <v/>
      </c>
      <c r="AE191" s="76" t="str">
        <f t="shared" si="29"/>
        <v/>
      </c>
      <c r="AF191" s="77"/>
      <c r="AG191" s="73"/>
      <c r="AH191" s="77"/>
      <c r="AI191" s="73"/>
      <c r="AJ191" s="78" t="str">
        <f t="shared" si="30"/>
        <v/>
      </c>
      <c r="AK191" s="79" t="str">
        <f t="shared" si="31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28"/>
        <v/>
      </c>
      <c r="AE192" s="76" t="str">
        <f t="shared" si="29"/>
        <v/>
      </c>
      <c r="AF192" s="77"/>
      <c r="AG192" s="73"/>
      <c r="AH192" s="77"/>
      <c r="AI192" s="73"/>
      <c r="AJ192" s="78" t="str">
        <f t="shared" si="30"/>
        <v/>
      </c>
      <c r="AK192" s="79" t="str">
        <f t="shared" si="31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28"/>
        <v/>
      </c>
      <c r="AE193" s="76" t="str">
        <f t="shared" si="29"/>
        <v/>
      </c>
      <c r="AF193" s="77"/>
      <c r="AG193" s="73"/>
      <c r="AH193" s="77"/>
      <c r="AI193" s="73"/>
      <c r="AJ193" s="78" t="str">
        <f t="shared" si="30"/>
        <v/>
      </c>
      <c r="AK193" s="79" t="str">
        <f t="shared" si="31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28"/>
        <v/>
      </c>
      <c r="AE194" s="76" t="str">
        <f t="shared" si="29"/>
        <v/>
      </c>
      <c r="AF194" s="77"/>
      <c r="AG194" s="73"/>
      <c r="AH194" s="77"/>
      <c r="AI194" s="73"/>
      <c r="AJ194" s="78" t="str">
        <f t="shared" si="30"/>
        <v/>
      </c>
      <c r="AK194" s="79" t="str">
        <f t="shared" si="31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28"/>
        <v/>
      </c>
      <c r="AE195" s="76" t="str">
        <f t="shared" si="29"/>
        <v/>
      </c>
      <c r="AF195" s="77"/>
      <c r="AG195" s="73"/>
      <c r="AH195" s="77"/>
      <c r="AI195" s="73"/>
      <c r="AJ195" s="78" t="str">
        <f t="shared" si="30"/>
        <v/>
      </c>
      <c r="AK195" s="79" t="str">
        <f t="shared" si="31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32">IF(MIN(F196,J196,N196,R196,V196,Z196)&lt;&gt;0,MIN(F196,J196,N196,R196,V196,Z196),"")</f>
        <v/>
      </c>
      <c r="AE196" s="76" t="str">
        <f t="shared" ref="AE196:AE259" si="33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34">IF(AD196="","",IF(ISBLANK(AF196),"En cours",AD196+AF196))</f>
        <v/>
      </c>
      <c r="AK196" s="79" t="str">
        <f t="shared" ref="AK196:AK259" si="35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32"/>
        <v/>
      </c>
      <c r="AE197" s="76" t="str">
        <f t="shared" si="33"/>
        <v/>
      </c>
      <c r="AF197" s="77"/>
      <c r="AG197" s="73"/>
      <c r="AH197" s="77"/>
      <c r="AI197" s="73"/>
      <c r="AJ197" s="78" t="str">
        <f t="shared" si="34"/>
        <v/>
      </c>
      <c r="AK197" s="79" t="str">
        <f t="shared" si="35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32"/>
        <v/>
      </c>
      <c r="AE198" s="76" t="str">
        <f t="shared" si="33"/>
        <v/>
      </c>
      <c r="AF198" s="77"/>
      <c r="AG198" s="73"/>
      <c r="AH198" s="77"/>
      <c r="AI198" s="73"/>
      <c r="AJ198" s="78" t="str">
        <f t="shared" si="34"/>
        <v/>
      </c>
      <c r="AK198" s="79" t="str">
        <f t="shared" si="35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32"/>
        <v/>
      </c>
      <c r="AE199" s="76" t="str">
        <f t="shared" si="33"/>
        <v/>
      </c>
      <c r="AF199" s="77"/>
      <c r="AG199" s="73"/>
      <c r="AH199" s="77"/>
      <c r="AI199" s="73"/>
      <c r="AJ199" s="78" t="str">
        <f t="shared" si="34"/>
        <v/>
      </c>
      <c r="AK199" s="79" t="str">
        <f t="shared" si="35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32"/>
        <v/>
      </c>
      <c r="AE200" s="76" t="str">
        <f t="shared" si="33"/>
        <v/>
      </c>
      <c r="AF200" s="77"/>
      <c r="AG200" s="73"/>
      <c r="AH200" s="77"/>
      <c r="AI200" s="73"/>
      <c r="AJ200" s="78" t="str">
        <f t="shared" si="34"/>
        <v/>
      </c>
      <c r="AK200" s="79" t="str">
        <f t="shared" si="35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32"/>
        <v/>
      </c>
      <c r="AE201" s="76" t="str">
        <f t="shared" si="33"/>
        <v/>
      </c>
      <c r="AF201" s="77"/>
      <c r="AG201" s="73"/>
      <c r="AH201" s="77"/>
      <c r="AI201" s="73"/>
      <c r="AJ201" s="78" t="str">
        <f t="shared" si="34"/>
        <v/>
      </c>
      <c r="AK201" s="79" t="str">
        <f t="shared" si="35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32"/>
        <v/>
      </c>
      <c r="AE202" s="76" t="str">
        <f t="shared" si="33"/>
        <v/>
      </c>
      <c r="AF202" s="77"/>
      <c r="AG202" s="73"/>
      <c r="AH202" s="77"/>
      <c r="AI202" s="73"/>
      <c r="AJ202" s="78" t="str">
        <f t="shared" si="34"/>
        <v/>
      </c>
      <c r="AK202" s="79" t="str">
        <f t="shared" si="35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32"/>
        <v/>
      </c>
      <c r="AE203" s="76" t="str">
        <f t="shared" si="33"/>
        <v/>
      </c>
      <c r="AF203" s="77"/>
      <c r="AG203" s="73"/>
      <c r="AH203" s="77"/>
      <c r="AI203" s="73"/>
      <c r="AJ203" s="78" t="str">
        <f t="shared" si="34"/>
        <v/>
      </c>
      <c r="AK203" s="79" t="str">
        <f t="shared" si="35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32"/>
        <v/>
      </c>
      <c r="AE204" s="76" t="str">
        <f t="shared" si="33"/>
        <v/>
      </c>
      <c r="AF204" s="77"/>
      <c r="AG204" s="73"/>
      <c r="AH204" s="77"/>
      <c r="AI204" s="73"/>
      <c r="AJ204" s="78" t="str">
        <f t="shared" si="34"/>
        <v/>
      </c>
      <c r="AK204" s="79" t="str">
        <f t="shared" si="35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32"/>
        <v/>
      </c>
      <c r="AE205" s="76" t="str">
        <f t="shared" si="33"/>
        <v/>
      </c>
      <c r="AF205" s="77"/>
      <c r="AG205" s="73"/>
      <c r="AH205" s="77"/>
      <c r="AI205" s="73"/>
      <c r="AJ205" s="78" t="str">
        <f t="shared" si="34"/>
        <v/>
      </c>
      <c r="AK205" s="79" t="str">
        <f t="shared" si="35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32"/>
        <v/>
      </c>
      <c r="AE206" s="76" t="str">
        <f t="shared" si="33"/>
        <v/>
      </c>
      <c r="AF206" s="77"/>
      <c r="AG206" s="73"/>
      <c r="AH206" s="77"/>
      <c r="AI206" s="73"/>
      <c r="AJ206" s="78" t="str">
        <f t="shared" si="34"/>
        <v/>
      </c>
      <c r="AK206" s="79" t="str">
        <f t="shared" si="35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32"/>
        <v/>
      </c>
      <c r="AE207" s="76" t="str">
        <f t="shared" si="33"/>
        <v/>
      </c>
      <c r="AF207" s="77"/>
      <c r="AG207" s="73"/>
      <c r="AH207" s="77"/>
      <c r="AI207" s="73"/>
      <c r="AJ207" s="78" t="str">
        <f t="shared" si="34"/>
        <v/>
      </c>
      <c r="AK207" s="79" t="str">
        <f t="shared" si="35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32"/>
        <v/>
      </c>
      <c r="AE208" s="76" t="str">
        <f t="shared" si="33"/>
        <v/>
      </c>
      <c r="AF208" s="77"/>
      <c r="AG208" s="73"/>
      <c r="AH208" s="77"/>
      <c r="AI208" s="73"/>
      <c r="AJ208" s="78" t="str">
        <f t="shared" si="34"/>
        <v/>
      </c>
      <c r="AK208" s="79" t="str">
        <f t="shared" si="35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32"/>
        <v/>
      </c>
      <c r="AE209" s="76" t="str">
        <f t="shared" si="33"/>
        <v/>
      </c>
      <c r="AF209" s="77"/>
      <c r="AG209" s="73"/>
      <c r="AH209" s="77"/>
      <c r="AI209" s="73"/>
      <c r="AJ209" s="78" t="str">
        <f t="shared" si="34"/>
        <v/>
      </c>
      <c r="AK209" s="79" t="str">
        <f t="shared" si="35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32"/>
        <v/>
      </c>
      <c r="AE210" s="76" t="str">
        <f t="shared" si="33"/>
        <v/>
      </c>
      <c r="AF210" s="77"/>
      <c r="AG210" s="73"/>
      <c r="AH210" s="77"/>
      <c r="AI210" s="73"/>
      <c r="AJ210" s="78" t="str">
        <f t="shared" si="34"/>
        <v/>
      </c>
      <c r="AK210" s="79" t="str">
        <f t="shared" si="35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32"/>
        <v/>
      </c>
      <c r="AE211" s="76" t="str">
        <f t="shared" si="33"/>
        <v/>
      </c>
      <c r="AF211" s="77"/>
      <c r="AG211" s="73"/>
      <c r="AH211" s="77"/>
      <c r="AI211" s="73"/>
      <c r="AJ211" s="78" t="str">
        <f t="shared" si="34"/>
        <v/>
      </c>
      <c r="AK211" s="79" t="str">
        <f t="shared" si="35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32"/>
        <v/>
      </c>
      <c r="AE212" s="76" t="str">
        <f t="shared" si="33"/>
        <v/>
      </c>
      <c r="AF212" s="77"/>
      <c r="AG212" s="73"/>
      <c r="AH212" s="77"/>
      <c r="AI212" s="73"/>
      <c r="AJ212" s="78" t="str">
        <f t="shared" si="34"/>
        <v/>
      </c>
      <c r="AK212" s="79" t="str">
        <f t="shared" si="35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32"/>
        <v/>
      </c>
      <c r="AE213" s="76" t="str">
        <f t="shared" si="33"/>
        <v/>
      </c>
      <c r="AF213" s="77"/>
      <c r="AG213" s="73"/>
      <c r="AH213" s="77"/>
      <c r="AI213" s="73"/>
      <c r="AJ213" s="78" t="str">
        <f t="shared" si="34"/>
        <v/>
      </c>
      <c r="AK213" s="79" t="str">
        <f t="shared" si="35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32"/>
        <v/>
      </c>
      <c r="AE214" s="76" t="str">
        <f t="shared" si="33"/>
        <v/>
      </c>
      <c r="AF214" s="77"/>
      <c r="AG214" s="73"/>
      <c r="AH214" s="77"/>
      <c r="AI214" s="73"/>
      <c r="AJ214" s="78" t="str">
        <f t="shared" si="34"/>
        <v/>
      </c>
      <c r="AK214" s="79" t="str">
        <f t="shared" si="35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32"/>
        <v/>
      </c>
      <c r="AE215" s="76" t="str">
        <f t="shared" si="33"/>
        <v/>
      </c>
      <c r="AF215" s="77"/>
      <c r="AG215" s="73"/>
      <c r="AH215" s="77"/>
      <c r="AI215" s="73"/>
      <c r="AJ215" s="78" t="str">
        <f t="shared" si="34"/>
        <v/>
      </c>
      <c r="AK215" s="79" t="str">
        <f t="shared" si="35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32"/>
        <v/>
      </c>
      <c r="AE216" s="76" t="str">
        <f t="shared" si="33"/>
        <v/>
      </c>
      <c r="AF216" s="77"/>
      <c r="AG216" s="73"/>
      <c r="AH216" s="77"/>
      <c r="AI216" s="73"/>
      <c r="AJ216" s="78" t="str">
        <f t="shared" si="34"/>
        <v/>
      </c>
      <c r="AK216" s="79" t="str">
        <f t="shared" si="35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32"/>
        <v/>
      </c>
      <c r="AE217" s="76" t="str">
        <f t="shared" si="33"/>
        <v/>
      </c>
      <c r="AF217" s="77"/>
      <c r="AG217" s="73"/>
      <c r="AH217" s="77"/>
      <c r="AI217" s="73"/>
      <c r="AJ217" s="78" t="str">
        <f t="shared" si="34"/>
        <v/>
      </c>
      <c r="AK217" s="79" t="str">
        <f t="shared" si="35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32"/>
        <v/>
      </c>
      <c r="AE218" s="76" t="str">
        <f t="shared" si="33"/>
        <v/>
      </c>
      <c r="AF218" s="77"/>
      <c r="AG218" s="73"/>
      <c r="AH218" s="77"/>
      <c r="AI218" s="73"/>
      <c r="AJ218" s="78" t="str">
        <f t="shared" si="34"/>
        <v/>
      </c>
      <c r="AK218" s="79" t="str">
        <f t="shared" si="35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32"/>
        <v/>
      </c>
      <c r="AE219" s="76" t="str">
        <f t="shared" si="33"/>
        <v/>
      </c>
      <c r="AF219" s="77"/>
      <c r="AG219" s="73"/>
      <c r="AH219" s="77"/>
      <c r="AI219" s="73"/>
      <c r="AJ219" s="78" t="str">
        <f t="shared" si="34"/>
        <v/>
      </c>
      <c r="AK219" s="79" t="str">
        <f t="shared" si="35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32"/>
        <v/>
      </c>
      <c r="AE220" s="76" t="str">
        <f t="shared" si="33"/>
        <v/>
      </c>
      <c r="AF220" s="77"/>
      <c r="AG220" s="73"/>
      <c r="AH220" s="77"/>
      <c r="AI220" s="73"/>
      <c r="AJ220" s="78" t="str">
        <f t="shared" si="34"/>
        <v/>
      </c>
      <c r="AK220" s="79" t="str">
        <f t="shared" si="35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32"/>
        <v/>
      </c>
      <c r="AE221" s="76" t="str">
        <f t="shared" si="33"/>
        <v/>
      </c>
      <c r="AF221" s="77"/>
      <c r="AG221" s="73"/>
      <c r="AH221" s="77"/>
      <c r="AI221" s="73"/>
      <c r="AJ221" s="78" t="str">
        <f t="shared" si="34"/>
        <v/>
      </c>
      <c r="AK221" s="79" t="str">
        <f t="shared" si="35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32"/>
        <v/>
      </c>
      <c r="AE222" s="76" t="str">
        <f t="shared" si="33"/>
        <v/>
      </c>
      <c r="AF222" s="77"/>
      <c r="AG222" s="73"/>
      <c r="AH222" s="77"/>
      <c r="AI222" s="73"/>
      <c r="AJ222" s="78" t="str">
        <f t="shared" si="34"/>
        <v/>
      </c>
      <c r="AK222" s="79" t="str">
        <f t="shared" si="35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32"/>
        <v/>
      </c>
      <c r="AE223" s="76" t="str">
        <f t="shared" si="33"/>
        <v/>
      </c>
      <c r="AF223" s="77"/>
      <c r="AG223" s="73"/>
      <c r="AH223" s="77"/>
      <c r="AI223" s="73"/>
      <c r="AJ223" s="78" t="str">
        <f t="shared" si="34"/>
        <v/>
      </c>
      <c r="AK223" s="79" t="str">
        <f t="shared" si="35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32"/>
        <v/>
      </c>
      <c r="AE224" s="76" t="str">
        <f t="shared" si="33"/>
        <v/>
      </c>
      <c r="AF224" s="77"/>
      <c r="AG224" s="73"/>
      <c r="AH224" s="77"/>
      <c r="AI224" s="73"/>
      <c r="AJ224" s="78" t="str">
        <f t="shared" si="34"/>
        <v/>
      </c>
      <c r="AK224" s="79" t="str">
        <f t="shared" si="35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32"/>
        <v/>
      </c>
      <c r="AE225" s="76" t="str">
        <f t="shared" si="33"/>
        <v/>
      </c>
      <c r="AF225" s="77"/>
      <c r="AG225" s="73"/>
      <c r="AH225" s="77"/>
      <c r="AI225" s="73"/>
      <c r="AJ225" s="78" t="str">
        <f t="shared" si="34"/>
        <v/>
      </c>
      <c r="AK225" s="79" t="str">
        <f t="shared" si="35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32"/>
        <v/>
      </c>
      <c r="AE226" s="76" t="str">
        <f t="shared" si="33"/>
        <v/>
      </c>
      <c r="AF226" s="77"/>
      <c r="AG226" s="73"/>
      <c r="AH226" s="77"/>
      <c r="AI226" s="73"/>
      <c r="AJ226" s="78" t="str">
        <f t="shared" si="34"/>
        <v/>
      </c>
      <c r="AK226" s="79" t="str">
        <f t="shared" si="35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32"/>
        <v/>
      </c>
      <c r="AE227" s="76" t="str">
        <f t="shared" si="33"/>
        <v/>
      </c>
      <c r="AF227" s="77"/>
      <c r="AG227" s="73"/>
      <c r="AH227" s="77"/>
      <c r="AI227" s="73"/>
      <c r="AJ227" s="78" t="str">
        <f t="shared" si="34"/>
        <v/>
      </c>
      <c r="AK227" s="79" t="str">
        <f t="shared" si="35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32"/>
        <v/>
      </c>
      <c r="AE228" s="76" t="str">
        <f t="shared" si="33"/>
        <v/>
      </c>
      <c r="AF228" s="77"/>
      <c r="AG228" s="73"/>
      <c r="AH228" s="77"/>
      <c r="AI228" s="73"/>
      <c r="AJ228" s="78" t="str">
        <f t="shared" si="34"/>
        <v/>
      </c>
      <c r="AK228" s="79" t="str">
        <f t="shared" si="35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32"/>
        <v/>
      </c>
      <c r="AE229" s="76" t="str">
        <f t="shared" si="33"/>
        <v/>
      </c>
      <c r="AF229" s="77"/>
      <c r="AG229" s="73"/>
      <c r="AH229" s="77"/>
      <c r="AI229" s="73"/>
      <c r="AJ229" s="78" t="str">
        <f t="shared" si="34"/>
        <v/>
      </c>
      <c r="AK229" s="79" t="str">
        <f t="shared" si="35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32"/>
        <v/>
      </c>
      <c r="AE230" s="76" t="str">
        <f t="shared" si="33"/>
        <v/>
      </c>
      <c r="AF230" s="77"/>
      <c r="AG230" s="73"/>
      <c r="AH230" s="77"/>
      <c r="AI230" s="73"/>
      <c r="AJ230" s="78" t="str">
        <f t="shared" si="34"/>
        <v/>
      </c>
      <c r="AK230" s="79" t="str">
        <f t="shared" si="35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32"/>
        <v/>
      </c>
      <c r="AE231" s="76" t="str">
        <f t="shared" si="33"/>
        <v/>
      </c>
      <c r="AF231" s="77"/>
      <c r="AG231" s="73"/>
      <c r="AH231" s="77"/>
      <c r="AI231" s="73"/>
      <c r="AJ231" s="78" t="str">
        <f t="shared" si="34"/>
        <v/>
      </c>
      <c r="AK231" s="79" t="str">
        <f t="shared" si="35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32"/>
        <v/>
      </c>
      <c r="AE232" s="76" t="str">
        <f t="shared" si="33"/>
        <v/>
      </c>
      <c r="AF232" s="77"/>
      <c r="AG232" s="73"/>
      <c r="AH232" s="77"/>
      <c r="AI232" s="73"/>
      <c r="AJ232" s="78" t="str">
        <f t="shared" si="34"/>
        <v/>
      </c>
      <c r="AK232" s="79" t="str">
        <f t="shared" si="35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32"/>
        <v/>
      </c>
      <c r="AE233" s="76" t="str">
        <f t="shared" si="33"/>
        <v/>
      </c>
      <c r="AF233" s="77"/>
      <c r="AG233" s="73"/>
      <c r="AH233" s="77"/>
      <c r="AI233" s="73"/>
      <c r="AJ233" s="78" t="str">
        <f t="shared" si="34"/>
        <v/>
      </c>
      <c r="AK233" s="79" t="str">
        <f t="shared" si="35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32"/>
        <v/>
      </c>
      <c r="AE234" s="76" t="str">
        <f t="shared" si="33"/>
        <v/>
      </c>
      <c r="AF234" s="77"/>
      <c r="AG234" s="73"/>
      <c r="AH234" s="77"/>
      <c r="AI234" s="73"/>
      <c r="AJ234" s="78" t="str">
        <f t="shared" si="34"/>
        <v/>
      </c>
      <c r="AK234" s="79" t="str">
        <f t="shared" si="35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32"/>
        <v/>
      </c>
      <c r="AE235" s="76" t="str">
        <f t="shared" si="33"/>
        <v/>
      </c>
      <c r="AF235" s="77"/>
      <c r="AG235" s="73"/>
      <c r="AH235" s="77"/>
      <c r="AI235" s="73"/>
      <c r="AJ235" s="78" t="str">
        <f t="shared" si="34"/>
        <v/>
      </c>
      <c r="AK235" s="79" t="str">
        <f t="shared" si="35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32"/>
        <v/>
      </c>
      <c r="AE236" s="76" t="str">
        <f t="shared" si="33"/>
        <v/>
      </c>
      <c r="AF236" s="77"/>
      <c r="AG236" s="73"/>
      <c r="AH236" s="77"/>
      <c r="AI236" s="73"/>
      <c r="AJ236" s="78" t="str">
        <f t="shared" si="34"/>
        <v/>
      </c>
      <c r="AK236" s="79" t="str">
        <f t="shared" si="35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32"/>
        <v/>
      </c>
      <c r="AE237" s="76" t="str">
        <f t="shared" si="33"/>
        <v/>
      </c>
      <c r="AF237" s="77"/>
      <c r="AG237" s="73"/>
      <c r="AH237" s="77"/>
      <c r="AI237" s="73"/>
      <c r="AJ237" s="78" t="str">
        <f t="shared" si="34"/>
        <v/>
      </c>
      <c r="AK237" s="79" t="str">
        <f t="shared" si="35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32"/>
        <v/>
      </c>
      <c r="AE238" s="76" t="str">
        <f t="shared" si="33"/>
        <v/>
      </c>
      <c r="AF238" s="77"/>
      <c r="AG238" s="73"/>
      <c r="AH238" s="77"/>
      <c r="AI238" s="73"/>
      <c r="AJ238" s="78" t="str">
        <f t="shared" si="34"/>
        <v/>
      </c>
      <c r="AK238" s="79" t="str">
        <f t="shared" si="35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32"/>
        <v/>
      </c>
      <c r="AE239" s="76" t="str">
        <f t="shared" si="33"/>
        <v/>
      </c>
      <c r="AF239" s="77"/>
      <c r="AG239" s="73"/>
      <c r="AH239" s="77"/>
      <c r="AI239" s="73"/>
      <c r="AJ239" s="78" t="str">
        <f t="shared" si="34"/>
        <v/>
      </c>
      <c r="AK239" s="79" t="str">
        <f t="shared" si="35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32"/>
        <v/>
      </c>
      <c r="AE240" s="76" t="str">
        <f t="shared" si="33"/>
        <v/>
      </c>
      <c r="AF240" s="77"/>
      <c r="AG240" s="73"/>
      <c r="AH240" s="77"/>
      <c r="AI240" s="73"/>
      <c r="AJ240" s="78" t="str">
        <f t="shared" si="34"/>
        <v/>
      </c>
      <c r="AK240" s="79" t="str">
        <f t="shared" si="35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32"/>
        <v/>
      </c>
      <c r="AE241" s="76" t="str">
        <f t="shared" si="33"/>
        <v/>
      </c>
      <c r="AF241" s="77"/>
      <c r="AG241" s="73"/>
      <c r="AH241" s="77"/>
      <c r="AI241" s="73"/>
      <c r="AJ241" s="78" t="str">
        <f t="shared" si="34"/>
        <v/>
      </c>
      <c r="AK241" s="79" t="str">
        <f t="shared" si="35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32"/>
        <v/>
      </c>
      <c r="AE242" s="76" t="str">
        <f t="shared" si="33"/>
        <v/>
      </c>
      <c r="AF242" s="77"/>
      <c r="AG242" s="73"/>
      <c r="AH242" s="77"/>
      <c r="AI242" s="73"/>
      <c r="AJ242" s="78" t="str">
        <f t="shared" si="34"/>
        <v/>
      </c>
      <c r="AK242" s="79" t="str">
        <f t="shared" si="35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32"/>
        <v/>
      </c>
      <c r="AE243" s="76" t="str">
        <f t="shared" si="33"/>
        <v/>
      </c>
      <c r="AF243" s="77"/>
      <c r="AG243" s="73"/>
      <c r="AH243" s="77"/>
      <c r="AI243" s="73"/>
      <c r="AJ243" s="78" t="str">
        <f t="shared" si="34"/>
        <v/>
      </c>
      <c r="AK243" s="79" t="str">
        <f t="shared" si="35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32"/>
        <v/>
      </c>
      <c r="AE244" s="76" t="str">
        <f t="shared" si="33"/>
        <v/>
      </c>
      <c r="AF244" s="77"/>
      <c r="AG244" s="73"/>
      <c r="AH244" s="77"/>
      <c r="AI244" s="73"/>
      <c r="AJ244" s="78" t="str">
        <f t="shared" si="34"/>
        <v/>
      </c>
      <c r="AK244" s="79" t="str">
        <f t="shared" si="35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32"/>
        <v/>
      </c>
      <c r="AE245" s="76" t="str">
        <f t="shared" si="33"/>
        <v/>
      </c>
      <c r="AF245" s="77"/>
      <c r="AG245" s="73"/>
      <c r="AH245" s="77"/>
      <c r="AI245" s="73"/>
      <c r="AJ245" s="78" t="str">
        <f t="shared" si="34"/>
        <v/>
      </c>
      <c r="AK245" s="79" t="str">
        <f t="shared" si="35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32"/>
        <v/>
      </c>
      <c r="AE246" s="76" t="str">
        <f t="shared" si="33"/>
        <v/>
      </c>
      <c r="AF246" s="77"/>
      <c r="AG246" s="73"/>
      <c r="AH246" s="77"/>
      <c r="AI246" s="73"/>
      <c r="AJ246" s="78" t="str">
        <f t="shared" si="34"/>
        <v/>
      </c>
      <c r="AK246" s="79" t="str">
        <f t="shared" si="35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32"/>
        <v/>
      </c>
      <c r="AE247" s="76" t="str">
        <f t="shared" si="33"/>
        <v/>
      </c>
      <c r="AF247" s="77"/>
      <c r="AG247" s="73"/>
      <c r="AH247" s="77"/>
      <c r="AI247" s="73"/>
      <c r="AJ247" s="78" t="str">
        <f t="shared" si="34"/>
        <v/>
      </c>
      <c r="AK247" s="79" t="str">
        <f t="shared" si="35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32"/>
        <v/>
      </c>
      <c r="AE248" s="76" t="str">
        <f t="shared" si="33"/>
        <v/>
      </c>
      <c r="AF248" s="77"/>
      <c r="AG248" s="73"/>
      <c r="AH248" s="77"/>
      <c r="AI248" s="73"/>
      <c r="AJ248" s="78" t="str">
        <f t="shared" si="34"/>
        <v/>
      </c>
      <c r="AK248" s="79" t="str">
        <f t="shared" si="35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32"/>
        <v/>
      </c>
      <c r="AE249" s="76" t="str">
        <f t="shared" si="33"/>
        <v/>
      </c>
      <c r="AF249" s="77"/>
      <c r="AG249" s="73"/>
      <c r="AH249" s="77"/>
      <c r="AI249" s="73"/>
      <c r="AJ249" s="78" t="str">
        <f t="shared" si="34"/>
        <v/>
      </c>
      <c r="AK249" s="79" t="str">
        <f t="shared" si="35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32"/>
        <v/>
      </c>
      <c r="AE250" s="76" t="str">
        <f t="shared" si="33"/>
        <v/>
      </c>
      <c r="AF250" s="77"/>
      <c r="AG250" s="73"/>
      <c r="AH250" s="77"/>
      <c r="AI250" s="73"/>
      <c r="AJ250" s="78" t="str">
        <f t="shared" si="34"/>
        <v/>
      </c>
      <c r="AK250" s="79" t="str">
        <f t="shared" si="35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32"/>
        <v/>
      </c>
      <c r="AE251" s="76" t="str">
        <f t="shared" si="33"/>
        <v/>
      </c>
      <c r="AF251" s="77"/>
      <c r="AG251" s="73"/>
      <c r="AH251" s="77"/>
      <c r="AI251" s="73"/>
      <c r="AJ251" s="78" t="str">
        <f t="shared" si="34"/>
        <v/>
      </c>
      <c r="AK251" s="79" t="str">
        <f t="shared" si="35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32"/>
        <v/>
      </c>
      <c r="AE252" s="76" t="str">
        <f t="shared" si="33"/>
        <v/>
      </c>
      <c r="AF252" s="77"/>
      <c r="AG252" s="73"/>
      <c r="AH252" s="77"/>
      <c r="AI252" s="73"/>
      <c r="AJ252" s="78" t="str">
        <f t="shared" si="34"/>
        <v/>
      </c>
      <c r="AK252" s="79" t="str">
        <f t="shared" si="35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32"/>
        <v/>
      </c>
      <c r="AE253" s="76" t="str">
        <f t="shared" si="33"/>
        <v/>
      </c>
      <c r="AF253" s="77"/>
      <c r="AG253" s="73"/>
      <c r="AH253" s="77"/>
      <c r="AI253" s="73"/>
      <c r="AJ253" s="78" t="str">
        <f t="shared" si="34"/>
        <v/>
      </c>
      <c r="AK253" s="79" t="str">
        <f t="shared" si="35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32"/>
        <v/>
      </c>
      <c r="AE254" s="76" t="str">
        <f t="shared" si="33"/>
        <v/>
      </c>
      <c r="AF254" s="77"/>
      <c r="AG254" s="73"/>
      <c r="AH254" s="77"/>
      <c r="AI254" s="73"/>
      <c r="AJ254" s="78" t="str">
        <f t="shared" si="34"/>
        <v/>
      </c>
      <c r="AK254" s="79" t="str">
        <f t="shared" si="35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32"/>
        <v/>
      </c>
      <c r="AE255" s="76" t="str">
        <f t="shared" si="33"/>
        <v/>
      </c>
      <c r="AF255" s="77"/>
      <c r="AG255" s="73"/>
      <c r="AH255" s="77"/>
      <c r="AI255" s="73"/>
      <c r="AJ255" s="78" t="str">
        <f t="shared" si="34"/>
        <v/>
      </c>
      <c r="AK255" s="79" t="str">
        <f t="shared" si="35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32"/>
        <v/>
      </c>
      <c r="AE256" s="76" t="str">
        <f t="shared" si="33"/>
        <v/>
      </c>
      <c r="AF256" s="77"/>
      <c r="AG256" s="73"/>
      <c r="AH256" s="77"/>
      <c r="AI256" s="73"/>
      <c r="AJ256" s="78" t="str">
        <f t="shared" si="34"/>
        <v/>
      </c>
      <c r="AK256" s="79" t="str">
        <f t="shared" si="35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32"/>
        <v/>
      </c>
      <c r="AE257" s="76" t="str">
        <f t="shared" si="33"/>
        <v/>
      </c>
      <c r="AF257" s="77"/>
      <c r="AG257" s="73"/>
      <c r="AH257" s="77"/>
      <c r="AI257" s="73"/>
      <c r="AJ257" s="78" t="str">
        <f t="shared" si="34"/>
        <v/>
      </c>
      <c r="AK257" s="79" t="str">
        <f t="shared" si="35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32"/>
        <v/>
      </c>
      <c r="AE258" s="76" t="str">
        <f t="shared" si="33"/>
        <v/>
      </c>
      <c r="AF258" s="77"/>
      <c r="AG258" s="73"/>
      <c r="AH258" s="77"/>
      <c r="AI258" s="73"/>
      <c r="AJ258" s="78" t="str">
        <f t="shared" si="34"/>
        <v/>
      </c>
      <c r="AK258" s="79" t="str">
        <f t="shared" si="35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32"/>
        <v/>
      </c>
      <c r="AE259" s="76" t="str">
        <f t="shared" si="33"/>
        <v/>
      </c>
      <c r="AF259" s="77"/>
      <c r="AG259" s="73"/>
      <c r="AH259" s="77"/>
      <c r="AI259" s="73"/>
      <c r="AJ259" s="78" t="str">
        <f t="shared" si="34"/>
        <v/>
      </c>
      <c r="AK259" s="79" t="str">
        <f t="shared" si="35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36">IF(MIN(F260,J260,N260,R260,V260,Z260)&lt;&gt;0,MIN(F260,J260,N260,R260,V260,Z260),"")</f>
        <v/>
      </c>
      <c r="AE260" s="76" t="str">
        <f t="shared" ref="AE260:AE323" si="37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38">IF(AD260="","",IF(ISBLANK(AF260),"En cours",AD260+AF260))</f>
        <v/>
      </c>
      <c r="AK260" s="79" t="str">
        <f t="shared" ref="AK260:AK323" si="39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36"/>
        <v/>
      </c>
      <c r="AE261" s="76" t="str">
        <f t="shared" si="37"/>
        <v/>
      </c>
      <c r="AF261" s="77"/>
      <c r="AG261" s="73"/>
      <c r="AH261" s="77"/>
      <c r="AI261" s="73"/>
      <c r="AJ261" s="78" t="str">
        <f t="shared" si="38"/>
        <v/>
      </c>
      <c r="AK261" s="79" t="str">
        <f t="shared" si="39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36"/>
        <v/>
      </c>
      <c r="AE262" s="76" t="str">
        <f t="shared" si="37"/>
        <v/>
      </c>
      <c r="AF262" s="77"/>
      <c r="AG262" s="73"/>
      <c r="AH262" s="77"/>
      <c r="AI262" s="73"/>
      <c r="AJ262" s="78" t="str">
        <f t="shared" si="38"/>
        <v/>
      </c>
      <c r="AK262" s="79" t="str">
        <f t="shared" si="39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36"/>
        <v/>
      </c>
      <c r="AE263" s="76" t="str">
        <f t="shared" si="37"/>
        <v/>
      </c>
      <c r="AF263" s="77"/>
      <c r="AG263" s="73"/>
      <c r="AH263" s="77"/>
      <c r="AI263" s="73"/>
      <c r="AJ263" s="78" t="str">
        <f t="shared" si="38"/>
        <v/>
      </c>
      <c r="AK263" s="79" t="str">
        <f t="shared" si="39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36"/>
        <v/>
      </c>
      <c r="AE264" s="76" t="str">
        <f t="shared" si="37"/>
        <v/>
      </c>
      <c r="AF264" s="77"/>
      <c r="AG264" s="73"/>
      <c r="AH264" s="77"/>
      <c r="AI264" s="73"/>
      <c r="AJ264" s="78" t="str">
        <f t="shared" si="38"/>
        <v/>
      </c>
      <c r="AK264" s="79" t="str">
        <f t="shared" si="39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36"/>
        <v/>
      </c>
      <c r="AE265" s="76" t="str">
        <f t="shared" si="37"/>
        <v/>
      </c>
      <c r="AF265" s="77"/>
      <c r="AG265" s="73"/>
      <c r="AH265" s="77"/>
      <c r="AI265" s="73"/>
      <c r="AJ265" s="78" t="str">
        <f t="shared" si="38"/>
        <v/>
      </c>
      <c r="AK265" s="79" t="str">
        <f t="shared" si="39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36"/>
        <v/>
      </c>
      <c r="AE266" s="76" t="str">
        <f t="shared" si="37"/>
        <v/>
      </c>
      <c r="AF266" s="77"/>
      <c r="AG266" s="73"/>
      <c r="AH266" s="77"/>
      <c r="AI266" s="73"/>
      <c r="AJ266" s="78" t="str">
        <f t="shared" si="38"/>
        <v/>
      </c>
      <c r="AK266" s="79" t="str">
        <f t="shared" si="39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36"/>
        <v/>
      </c>
      <c r="AE267" s="76" t="str">
        <f t="shared" si="37"/>
        <v/>
      </c>
      <c r="AF267" s="77"/>
      <c r="AG267" s="73"/>
      <c r="AH267" s="77"/>
      <c r="AI267" s="73"/>
      <c r="AJ267" s="78" t="str">
        <f t="shared" si="38"/>
        <v/>
      </c>
      <c r="AK267" s="79" t="str">
        <f t="shared" si="39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36"/>
        <v/>
      </c>
      <c r="AE268" s="76" t="str">
        <f t="shared" si="37"/>
        <v/>
      </c>
      <c r="AF268" s="77"/>
      <c r="AG268" s="73"/>
      <c r="AH268" s="77"/>
      <c r="AI268" s="73"/>
      <c r="AJ268" s="78" t="str">
        <f t="shared" si="38"/>
        <v/>
      </c>
      <c r="AK268" s="79" t="str">
        <f t="shared" si="39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36"/>
        <v/>
      </c>
      <c r="AE269" s="76" t="str">
        <f t="shared" si="37"/>
        <v/>
      </c>
      <c r="AF269" s="77"/>
      <c r="AG269" s="73"/>
      <c r="AH269" s="77"/>
      <c r="AI269" s="73"/>
      <c r="AJ269" s="78" t="str">
        <f t="shared" si="38"/>
        <v/>
      </c>
      <c r="AK269" s="79" t="str">
        <f t="shared" si="39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36"/>
        <v/>
      </c>
      <c r="AE270" s="76" t="str">
        <f t="shared" si="37"/>
        <v/>
      </c>
      <c r="AF270" s="77"/>
      <c r="AG270" s="73"/>
      <c r="AH270" s="77"/>
      <c r="AI270" s="73"/>
      <c r="AJ270" s="78" t="str">
        <f t="shared" si="38"/>
        <v/>
      </c>
      <c r="AK270" s="79" t="str">
        <f t="shared" si="39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36"/>
        <v/>
      </c>
      <c r="AE271" s="76" t="str">
        <f t="shared" si="37"/>
        <v/>
      </c>
      <c r="AF271" s="77"/>
      <c r="AG271" s="73"/>
      <c r="AH271" s="77"/>
      <c r="AI271" s="73"/>
      <c r="AJ271" s="78" t="str">
        <f t="shared" si="38"/>
        <v/>
      </c>
      <c r="AK271" s="79" t="str">
        <f t="shared" si="39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36"/>
        <v/>
      </c>
      <c r="AE272" s="76" t="str">
        <f t="shared" si="37"/>
        <v/>
      </c>
      <c r="AF272" s="77"/>
      <c r="AG272" s="73"/>
      <c r="AH272" s="77"/>
      <c r="AI272" s="73"/>
      <c r="AJ272" s="78" t="str">
        <f t="shared" si="38"/>
        <v/>
      </c>
      <c r="AK272" s="79" t="str">
        <f t="shared" si="39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36"/>
        <v/>
      </c>
      <c r="AE273" s="76" t="str">
        <f t="shared" si="37"/>
        <v/>
      </c>
      <c r="AF273" s="77"/>
      <c r="AG273" s="73"/>
      <c r="AH273" s="77"/>
      <c r="AI273" s="73"/>
      <c r="AJ273" s="78" t="str">
        <f t="shared" si="38"/>
        <v/>
      </c>
      <c r="AK273" s="79" t="str">
        <f t="shared" si="39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36"/>
        <v/>
      </c>
      <c r="AE274" s="76" t="str">
        <f t="shared" si="37"/>
        <v/>
      </c>
      <c r="AF274" s="77"/>
      <c r="AG274" s="73"/>
      <c r="AH274" s="77"/>
      <c r="AI274" s="73"/>
      <c r="AJ274" s="78" t="str">
        <f t="shared" si="38"/>
        <v/>
      </c>
      <c r="AK274" s="79" t="str">
        <f t="shared" si="39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36"/>
        <v/>
      </c>
      <c r="AE275" s="76" t="str">
        <f t="shared" si="37"/>
        <v/>
      </c>
      <c r="AF275" s="77"/>
      <c r="AG275" s="73"/>
      <c r="AH275" s="77"/>
      <c r="AI275" s="73"/>
      <c r="AJ275" s="78" t="str">
        <f t="shared" si="38"/>
        <v/>
      </c>
      <c r="AK275" s="79" t="str">
        <f t="shared" si="39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36"/>
        <v/>
      </c>
      <c r="AE276" s="76" t="str">
        <f t="shared" si="37"/>
        <v/>
      </c>
      <c r="AF276" s="77"/>
      <c r="AG276" s="73"/>
      <c r="AH276" s="77"/>
      <c r="AI276" s="73"/>
      <c r="AJ276" s="78" t="str">
        <f t="shared" si="38"/>
        <v/>
      </c>
      <c r="AK276" s="79" t="str">
        <f t="shared" si="39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36"/>
        <v/>
      </c>
      <c r="AE277" s="76" t="str">
        <f t="shared" si="37"/>
        <v/>
      </c>
      <c r="AF277" s="77"/>
      <c r="AG277" s="73"/>
      <c r="AH277" s="77"/>
      <c r="AI277" s="73"/>
      <c r="AJ277" s="78" t="str">
        <f t="shared" si="38"/>
        <v/>
      </c>
      <c r="AK277" s="79" t="str">
        <f t="shared" si="39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36"/>
        <v/>
      </c>
      <c r="AE278" s="76" t="str">
        <f t="shared" si="37"/>
        <v/>
      </c>
      <c r="AF278" s="77"/>
      <c r="AG278" s="73"/>
      <c r="AH278" s="77"/>
      <c r="AI278" s="73"/>
      <c r="AJ278" s="78" t="str">
        <f t="shared" si="38"/>
        <v/>
      </c>
      <c r="AK278" s="79" t="str">
        <f t="shared" si="39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36"/>
        <v/>
      </c>
      <c r="AE279" s="76" t="str">
        <f t="shared" si="37"/>
        <v/>
      </c>
      <c r="AF279" s="77"/>
      <c r="AG279" s="73"/>
      <c r="AH279" s="77"/>
      <c r="AI279" s="73"/>
      <c r="AJ279" s="78" t="str">
        <f t="shared" si="38"/>
        <v/>
      </c>
      <c r="AK279" s="79" t="str">
        <f t="shared" si="39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36"/>
        <v/>
      </c>
      <c r="AE280" s="76" t="str">
        <f t="shared" si="37"/>
        <v/>
      </c>
      <c r="AF280" s="77"/>
      <c r="AG280" s="73"/>
      <c r="AH280" s="77"/>
      <c r="AI280" s="73"/>
      <c r="AJ280" s="78" t="str">
        <f t="shared" si="38"/>
        <v/>
      </c>
      <c r="AK280" s="79" t="str">
        <f t="shared" si="39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36"/>
        <v/>
      </c>
      <c r="AE281" s="76" t="str">
        <f t="shared" si="37"/>
        <v/>
      </c>
      <c r="AF281" s="77"/>
      <c r="AG281" s="73"/>
      <c r="AH281" s="77"/>
      <c r="AI281" s="73"/>
      <c r="AJ281" s="78" t="str">
        <f t="shared" si="38"/>
        <v/>
      </c>
      <c r="AK281" s="79" t="str">
        <f t="shared" si="39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36"/>
        <v/>
      </c>
      <c r="AE282" s="76" t="str">
        <f t="shared" si="37"/>
        <v/>
      </c>
      <c r="AF282" s="77"/>
      <c r="AG282" s="73"/>
      <c r="AH282" s="77"/>
      <c r="AI282" s="73"/>
      <c r="AJ282" s="78" t="str">
        <f t="shared" si="38"/>
        <v/>
      </c>
      <c r="AK282" s="79" t="str">
        <f t="shared" si="39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36"/>
        <v/>
      </c>
      <c r="AE283" s="76" t="str">
        <f t="shared" si="37"/>
        <v/>
      </c>
      <c r="AF283" s="77"/>
      <c r="AG283" s="73"/>
      <c r="AH283" s="77"/>
      <c r="AI283" s="73"/>
      <c r="AJ283" s="78" t="str">
        <f t="shared" si="38"/>
        <v/>
      </c>
      <c r="AK283" s="79" t="str">
        <f t="shared" si="39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36"/>
        <v/>
      </c>
      <c r="AE284" s="76" t="str">
        <f t="shared" si="37"/>
        <v/>
      </c>
      <c r="AF284" s="77"/>
      <c r="AG284" s="73"/>
      <c r="AH284" s="77"/>
      <c r="AI284" s="73"/>
      <c r="AJ284" s="78" t="str">
        <f t="shared" si="38"/>
        <v/>
      </c>
      <c r="AK284" s="79" t="str">
        <f t="shared" si="39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36"/>
        <v/>
      </c>
      <c r="AE285" s="76" t="str">
        <f t="shared" si="37"/>
        <v/>
      </c>
      <c r="AF285" s="77"/>
      <c r="AG285" s="73"/>
      <c r="AH285" s="77"/>
      <c r="AI285" s="73"/>
      <c r="AJ285" s="78" t="str">
        <f t="shared" si="38"/>
        <v/>
      </c>
      <c r="AK285" s="79" t="str">
        <f t="shared" si="39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36"/>
        <v/>
      </c>
      <c r="AE286" s="76" t="str">
        <f t="shared" si="37"/>
        <v/>
      </c>
      <c r="AF286" s="77"/>
      <c r="AG286" s="73"/>
      <c r="AH286" s="77"/>
      <c r="AI286" s="73"/>
      <c r="AJ286" s="78" t="str">
        <f t="shared" si="38"/>
        <v/>
      </c>
      <c r="AK286" s="79" t="str">
        <f t="shared" si="39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36"/>
        <v/>
      </c>
      <c r="AE287" s="76" t="str">
        <f t="shared" si="37"/>
        <v/>
      </c>
      <c r="AF287" s="77"/>
      <c r="AG287" s="73"/>
      <c r="AH287" s="77"/>
      <c r="AI287" s="73"/>
      <c r="AJ287" s="78" t="str">
        <f t="shared" si="38"/>
        <v/>
      </c>
      <c r="AK287" s="79" t="str">
        <f t="shared" si="39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36"/>
        <v/>
      </c>
      <c r="AE288" s="76" t="str">
        <f t="shared" si="37"/>
        <v/>
      </c>
      <c r="AF288" s="77"/>
      <c r="AG288" s="73"/>
      <c r="AH288" s="77"/>
      <c r="AI288" s="73"/>
      <c r="AJ288" s="78" t="str">
        <f t="shared" si="38"/>
        <v/>
      </c>
      <c r="AK288" s="79" t="str">
        <f t="shared" si="39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36"/>
        <v/>
      </c>
      <c r="AE289" s="76" t="str">
        <f t="shared" si="37"/>
        <v/>
      </c>
      <c r="AF289" s="77"/>
      <c r="AG289" s="73"/>
      <c r="AH289" s="77"/>
      <c r="AI289" s="73"/>
      <c r="AJ289" s="78" t="str">
        <f t="shared" si="38"/>
        <v/>
      </c>
      <c r="AK289" s="79" t="str">
        <f t="shared" si="39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36"/>
        <v/>
      </c>
      <c r="AE290" s="76" t="str">
        <f t="shared" si="37"/>
        <v/>
      </c>
      <c r="AF290" s="77"/>
      <c r="AG290" s="73"/>
      <c r="AH290" s="77"/>
      <c r="AI290" s="73"/>
      <c r="AJ290" s="78" t="str">
        <f t="shared" si="38"/>
        <v/>
      </c>
      <c r="AK290" s="79" t="str">
        <f t="shared" si="39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36"/>
        <v/>
      </c>
      <c r="AE291" s="76" t="str">
        <f t="shared" si="37"/>
        <v/>
      </c>
      <c r="AF291" s="77"/>
      <c r="AG291" s="73"/>
      <c r="AH291" s="77"/>
      <c r="AI291" s="73"/>
      <c r="AJ291" s="78" t="str">
        <f t="shared" si="38"/>
        <v/>
      </c>
      <c r="AK291" s="79" t="str">
        <f t="shared" si="39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36"/>
        <v/>
      </c>
      <c r="AE292" s="76" t="str">
        <f t="shared" si="37"/>
        <v/>
      </c>
      <c r="AF292" s="77"/>
      <c r="AG292" s="73"/>
      <c r="AH292" s="77"/>
      <c r="AI292" s="73"/>
      <c r="AJ292" s="78" t="str">
        <f t="shared" si="38"/>
        <v/>
      </c>
      <c r="AK292" s="79" t="str">
        <f t="shared" si="39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36"/>
        <v/>
      </c>
      <c r="AE293" s="76" t="str">
        <f t="shared" si="37"/>
        <v/>
      </c>
      <c r="AF293" s="77"/>
      <c r="AG293" s="73"/>
      <c r="AH293" s="77"/>
      <c r="AI293" s="73"/>
      <c r="AJ293" s="78" t="str">
        <f t="shared" si="38"/>
        <v/>
      </c>
      <c r="AK293" s="79" t="str">
        <f t="shared" si="39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36"/>
        <v/>
      </c>
      <c r="AE294" s="76" t="str">
        <f t="shared" si="37"/>
        <v/>
      </c>
      <c r="AF294" s="77"/>
      <c r="AG294" s="73"/>
      <c r="AH294" s="77"/>
      <c r="AI294" s="73"/>
      <c r="AJ294" s="78" t="str">
        <f t="shared" si="38"/>
        <v/>
      </c>
      <c r="AK294" s="79" t="str">
        <f t="shared" si="39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36"/>
        <v/>
      </c>
      <c r="AE295" s="76" t="str">
        <f t="shared" si="37"/>
        <v/>
      </c>
      <c r="AF295" s="77"/>
      <c r="AG295" s="73"/>
      <c r="AH295" s="77"/>
      <c r="AI295" s="73"/>
      <c r="AJ295" s="78" t="str">
        <f t="shared" si="38"/>
        <v/>
      </c>
      <c r="AK295" s="79" t="str">
        <f t="shared" si="39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36"/>
        <v/>
      </c>
      <c r="AE296" s="76" t="str">
        <f t="shared" si="37"/>
        <v/>
      </c>
      <c r="AF296" s="77"/>
      <c r="AG296" s="73"/>
      <c r="AH296" s="77"/>
      <c r="AI296" s="73"/>
      <c r="AJ296" s="78" t="str">
        <f t="shared" si="38"/>
        <v/>
      </c>
      <c r="AK296" s="79" t="str">
        <f t="shared" si="39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36"/>
        <v/>
      </c>
      <c r="AE297" s="76" t="str">
        <f t="shared" si="37"/>
        <v/>
      </c>
      <c r="AF297" s="77"/>
      <c r="AG297" s="73"/>
      <c r="AH297" s="77"/>
      <c r="AI297" s="73"/>
      <c r="AJ297" s="78" t="str">
        <f t="shared" si="38"/>
        <v/>
      </c>
      <c r="AK297" s="79" t="str">
        <f t="shared" si="39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36"/>
        <v/>
      </c>
      <c r="AE298" s="76" t="str">
        <f t="shared" si="37"/>
        <v/>
      </c>
      <c r="AF298" s="77"/>
      <c r="AG298" s="73"/>
      <c r="AH298" s="77"/>
      <c r="AI298" s="73"/>
      <c r="AJ298" s="78" t="str">
        <f t="shared" si="38"/>
        <v/>
      </c>
      <c r="AK298" s="79" t="str">
        <f t="shared" si="39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36"/>
        <v/>
      </c>
      <c r="AE299" s="76" t="str">
        <f t="shared" si="37"/>
        <v/>
      </c>
      <c r="AF299" s="77"/>
      <c r="AG299" s="73"/>
      <c r="AH299" s="77"/>
      <c r="AI299" s="73"/>
      <c r="AJ299" s="78" t="str">
        <f t="shared" si="38"/>
        <v/>
      </c>
      <c r="AK299" s="79" t="str">
        <f t="shared" si="39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36"/>
        <v/>
      </c>
      <c r="AE300" s="76" t="str">
        <f t="shared" si="37"/>
        <v/>
      </c>
      <c r="AF300" s="77"/>
      <c r="AG300" s="73"/>
      <c r="AH300" s="77"/>
      <c r="AI300" s="73"/>
      <c r="AJ300" s="78" t="str">
        <f t="shared" si="38"/>
        <v/>
      </c>
      <c r="AK300" s="79" t="str">
        <f t="shared" si="39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36"/>
        <v/>
      </c>
      <c r="AE301" s="76" t="str">
        <f t="shared" si="37"/>
        <v/>
      </c>
      <c r="AF301" s="77"/>
      <c r="AG301" s="73"/>
      <c r="AH301" s="77"/>
      <c r="AI301" s="73"/>
      <c r="AJ301" s="78" t="str">
        <f t="shared" si="38"/>
        <v/>
      </c>
      <c r="AK301" s="79" t="str">
        <f t="shared" si="39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36"/>
        <v/>
      </c>
      <c r="AE302" s="76" t="str">
        <f t="shared" si="37"/>
        <v/>
      </c>
      <c r="AF302" s="77"/>
      <c r="AG302" s="73"/>
      <c r="AH302" s="77"/>
      <c r="AI302" s="73"/>
      <c r="AJ302" s="78" t="str">
        <f t="shared" si="38"/>
        <v/>
      </c>
      <c r="AK302" s="79" t="str">
        <f t="shared" si="39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36"/>
        <v/>
      </c>
      <c r="AE303" s="76" t="str">
        <f t="shared" si="37"/>
        <v/>
      </c>
      <c r="AF303" s="77"/>
      <c r="AG303" s="73"/>
      <c r="AH303" s="77"/>
      <c r="AI303" s="73"/>
      <c r="AJ303" s="78" t="str">
        <f t="shared" si="38"/>
        <v/>
      </c>
      <c r="AK303" s="79" t="str">
        <f t="shared" si="39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36"/>
        <v/>
      </c>
      <c r="AE304" s="76" t="str">
        <f t="shared" si="37"/>
        <v/>
      </c>
      <c r="AF304" s="77"/>
      <c r="AG304" s="73"/>
      <c r="AH304" s="77"/>
      <c r="AI304" s="73"/>
      <c r="AJ304" s="78" t="str">
        <f t="shared" si="38"/>
        <v/>
      </c>
      <c r="AK304" s="79" t="str">
        <f t="shared" si="39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36"/>
        <v/>
      </c>
      <c r="AE305" s="76" t="str">
        <f t="shared" si="37"/>
        <v/>
      </c>
      <c r="AF305" s="77"/>
      <c r="AG305" s="73"/>
      <c r="AH305" s="77"/>
      <c r="AI305" s="73"/>
      <c r="AJ305" s="78" t="str">
        <f t="shared" si="38"/>
        <v/>
      </c>
      <c r="AK305" s="79" t="str">
        <f t="shared" si="39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36"/>
        <v/>
      </c>
      <c r="AE306" s="76" t="str">
        <f t="shared" si="37"/>
        <v/>
      </c>
      <c r="AF306" s="77"/>
      <c r="AG306" s="73"/>
      <c r="AH306" s="77"/>
      <c r="AI306" s="73"/>
      <c r="AJ306" s="78" t="str">
        <f t="shared" si="38"/>
        <v/>
      </c>
      <c r="AK306" s="79" t="str">
        <f t="shared" si="39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36"/>
        <v/>
      </c>
      <c r="AE307" s="76" t="str">
        <f t="shared" si="37"/>
        <v/>
      </c>
      <c r="AF307" s="77"/>
      <c r="AG307" s="73"/>
      <c r="AH307" s="77"/>
      <c r="AI307" s="73"/>
      <c r="AJ307" s="78" t="str">
        <f t="shared" si="38"/>
        <v/>
      </c>
      <c r="AK307" s="79" t="str">
        <f t="shared" si="39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36"/>
        <v/>
      </c>
      <c r="AE308" s="76" t="str">
        <f t="shared" si="37"/>
        <v/>
      </c>
      <c r="AF308" s="77"/>
      <c r="AG308" s="73"/>
      <c r="AH308" s="77"/>
      <c r="AI308" s="73"/>
      <c r="AJ308" s="78" t="str">
        <f t="shared" si="38"/>
        <v/>
      </c>
      <c r="AK308" s="79" t="str">
        <f t="shared" si="39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36"/>
        <v/>
      </c>
      <c r="AE309" s="76" t="str">
        <f t="shared" si="37"/>
        <v/>
      </c>
      <c r="AF309" s="77"/>
      <c r="AG309" s="73"/>
      <c r="AH309" s="77"/>
      <c r="AI309" s="73"/>
      <c r="AJ309" s="78" t="str">
        <f t="shared" si="38"/>
        <v/>
      </c>
      <c r="AK309" s="79" t="str">
        <f t="shared" si="39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36"/>
        <v/>
      </c>
      <c r="AE310" s="76" t="str">
        <f t="shared" si="37"/>
        <v/>
      </c>
      <c r="AF310" s="77"/>
      <c r="AG310" s="73"/>
      <c r="AH310" s="77"/>
      <c r="AI310" s="73"/>
      <c r="AJ310" s="78" t="str">
        <f t="shared" si="38"/>
        <v/>
      </c>
      <c r="AK310" s="79" t="str">
        <f t="shared" si="39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36"/>
        <v/>
      </c>
      <c r="AE311" s="76" t="str">
        <f t="shared" si="37"/>
        <v/>
      </c>
      <c r="AF311" s="77"/>
      <c r="AG311" s="73"/>
      <c r="AH311" s="77"/>
      <c r="AI311" s="73"/>
      <c r="AJ311" s="78" t="str">
        <f t="shared" si="38"/>
        <v/>
      </c>
      <c r="AK311" s="79" t="str">
        <f t="shared" si="39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36"/>
        <v/>
      </c>
      <c r="AE312" s="76" t="str">
        <f t="shared" si="37"/>
        <v/>
      </c>
      <c r="AF312" s="77"/>
      <c r="AG312" s="73"/>
      <c r="AH312" s="77"/>
      <c r="AI312" s="73"/>
      <c r="AJ312" s="78" t="str">
        <f t="shared" si="38"/>
        <v/>
      </c>
      <c r="AK312" s="79" t="str">
        <f t="shared" si="39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36"/>
        <v/>
      </c>
      <c r="AE313" s="76" t="str">
        <f t="shared" si="37"/>
        <v/>
      </c>
      <c r="AF313" s="77"/>
      <c r="AG313" s="73"/>
      <c r="AH313" s="77"/>
      <c r="AI313" s="73"/>
      <c r="AJ313" s="78" t="str">
        <f t="shared" si="38"/>
        <v/>
      </c>
      <c r="AK313" s="79" t="str">
        <f t="shared" si="39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36"/>
        <v/>
      </c>
      <c r="AE314" s="76" t="str">
        <f t="shared" si="37"/>
        <v/>
      </c>
      <c r="AF314" s="77"/>
      <c r="AG314" s="73"/>
      <c r="AH314" s="77"/>
      <c r="AI314" s="73"/>
      <c r="AJ314" s="78" t="str">
        <f t="shared" si="38"/>
        <v/>
      </c>
      <c r="AK314" s="79" t="str">
        <f t="shared" si="39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36"/>
        <v/>
      </c>
      <c r="AE315" s="76" t="str">
        <f t="shared" si="37"/>
        <v/>
      </c>
      <c r="AF315" s="77"/>
      <c r="AG315" s="73"/>
      <c r="AH315" s="77"/>
      <c r="AI315" s="73"/>
      <c r="AJ315" s="78" t="str">
        <f t="shared" si="38"/>
        <v/>
      </c>
      <c r="AK315" s="79" t="str">
        <f t="shared" si="39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36"/>
        <v/>
      </c>
      <c r="AE316" s="76" t="str">
        <f t="shared" si="37"/>
        <v/>
      </c>
      <c r="AF316" s="77"/>
      <c r="AG316" s="73"/>
      <c r="AH316" s="77"/>
      <c r="AI316" s="73"/>
      <c r="AJ316" s="78" t="str">
        <f t="shared" si="38"/>
        <v/>
      </c>
      <c r="AK316" s="79" t="str">
        <f t="shared" si="39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36"/>
        <v/>
      </c>
      <c r="AE317" s="76" t="str">
        <f t="shared" si="37"/>
        <v/>
      </c>
      <c r="AF317" s="77"/>
      <c r="AG317" s="73"/>
      <c r="AH317" s="77"/>
      <c r="AI317" s="73"/>
      <c r="AJ317" s="78" t="str">
        <f t="shared" si="38"/>
        <v/>
      </c>
      <c r="AK317" s="79" t="str">
        <f t="shared" si="39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36"/>
        <v/>
      </c>
      <c r="AE318" s="76" t="str">
        <f t="shared" si="37"/>
        <v/>
      </c>
      <c r="AF318" s="77"/>
      <c r="AG318" s="73"/>
      <c r="AH318" s="77"/>
      <c r="AI318" s="73"/>
      <c r="AJ318" s="78" t="str">
        <f t="shared" si="38"/>
        <v/>
      </c>
      <c r="AK318" s="79" t="str">
        <f t="shared" si="39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36"/>
        <v/>
      </c>
      <c r="AE319" s="76" t="str">
        <f t="shared" si="37"/>
        <v/>
      </c>
      <c r="AF319" s="77"/>
      <c r="AG319" s="73"/>
      <c r="AH319" s="77"/>
      <c r="AI319" s="73"/>
      <c r="AJ319" s="78" t="str">
        <f t="shared" si="38"/>
        <v/>
      </c>
      <c r="AK319" s="79" t="str">
        <f t="shared" si="39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36"/>
        <v/>
      </c>
      <c r="AE320" s="76" t="str">
        <f t="shared" si="37"/>
        <v/>
      </c>
      <c r="AF320" s="77"/>
      <c r="AG320" s="73"/>
      <c r="AH320" s="77"/>
      <c r="AI320" s="73"/>
      <c r="AJ320" s="78" t="str">
        <f t="shared" si="38"/>
        <v/>
      </c>
      <c r="AK320" s="79" t="str">
        <f t="shared" si="39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36"/>
        <v/>
      </c>
      <c r="AE321" s="76" t="str">
        <f t="shared" si="37"/>
        <v/>
      </c>
      <c r="AF321" s="77"/>
      <c r="AG321" s="73"/>
      <c r="AH321" s="77"/>
      <c r="AI321" s="73"/>
      <c r="AJ321" s="78" t="str">
        <f t="shared" si="38"/>
        <v/>
      </c>
      <c r="AK321" s="79" t="str">
        <f t="shared" si="39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36"/>
        <v/>
      </c>
      <c r="AE322" s="76" t="str">
        <f t="shared" si="37"/>
        <v/>
      </c>
      <c r="AF322" s="77"/>
      <c r="AG322" s="73"/>
      <c r="AH322" s="77"/>
      <c r="AI322" s="73"/>
      <c r="AJ322" s="78" t="str">
        <f t="shared" si="38"/>
        <v/>
      </c>
      <c r="AK322" s="79" t="str">
        <f t="shared" si="39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36"/>
        <v/>
      </c>
      <c r="AE323" s="76" t="str">
        <f t="shared" si="37"/>
        <v/>
      </c>
      <c r="AF323" s="77"/>
      <c r="AG323" s="73"/>
      <c r="AH323" s="77"/>
      <c r="AI323" s="73"/>
      <c r="AJ323" s="78" t="str">
        <f t="shared" si="38"/>
        <v/>
      </c>
      <c r="AK323" s="79" t="str">
        <f t="shared" si="39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40">IF(MIN(F324,J324,N324,R324,V324,Z324)&lt;&gt;0,MIN(F324,J324,N324,R324,V324,Z324),"")</f>
        <v/>
      </c>
      <c r="AE324" s="76" t="str">
        <f t="shared" ref="AE324:AE350" si="41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42">IF(AD324="","",IF(ISBLANK(AF324),"En cours",AD324+AF324))</f>
        <v/>
      </c>
      <c r="AK324" s="79" t="str">
        <f t="shared" ref="AK324:AK350" si="43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40"/>
        <v/>
      </c>
      <c r="AE325" s="76" t="str">
        <f t="shared" si="41"/>
        <v/>
      </c>
      <c r="AF325" s="77"/>
      <c r="AG325" s="73"/>
      <c r="AH325" s="77"/>
      <c r="AI325" s="73"/>
      <c r="AJ325" s="78" t="str">
        <f t="shared" si="42"/>
        <v/>
      </c>
      <c r="AK325" s="79" t="str">
        <f t="shared" si="43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40"/>
        <v/>
      </c>
      <c r="AE326" s="76" t="str">
        <f t="shared" si="41"/>
        <v/>
      </c>
      <c r="AF326" s="77"/>
      <c r="AG326" s="73"/>
      <c r="AH326" s="77"/>
      <c r="AI326" s="73"/>
      <c r="AJ326" s="78" t="str">
        <f t="shared" si="42"/>
        <v/>
      </c>
      <c r="AK326" s="79" t="str">
        <f t="shared" si="43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40"/>
        <v/>
      </c>
      <c r="AE327" s="76" t="str">
        <f t="shared" si="41"/>
        <v/>
      </c>
      <c r="AF327" s="77"/>
      <c r="AG327" s="73"/>
      <c r="AH327" s="77"/>
      <c r="AI327" s="73"/>
      <c r="AJ327" s="78" t="str">
        <f t="shared" si="42"/>
        <v/>
      </c>
      <c r="AK327" s="79" t="str">
        <f t="shared" si="43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40"/>
        <v/>
      </c>
      <c r="AE328" s="76" t="str">
        <f t="shared" si="41"/>
        <v/>
      </c>
      <c r="AF328" s="77"/>
      <c r="AG328" s="73"/>
      <c r="AH328" s="77"/>
      <c r="AI328" s="73"/>
      <c r="AJ328" s="78" t="str">
        <f t="shared" si="42"/>
        <v/>
      </c>
      <c r="AK328" s="79" t="str">
        <f t="shared" si="43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40"/>
        <v/>
      </c>
      <c r="AE329" s="76" t="str">
        <f t="shared" si="41"/>
        <v/>
      </c>
      <c r="AF329" s="77"/>
      <c r="AG329" s="73"/>
      <c r="AH329" s="77"/>
      <c r="AI329" s="73"/>
      <c r="AJ329" s="78" t="str">
        <f t="shared" si="42"/>
        <v/>
      </c>
      <c r="AK329" s="79" t="str">
        <f t="shared" si="43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40"/>
        <v/>
      </c>
      <c r="AE330" s="76" t="str">
        <f t="shared" si="41"/>
        <v/>
      </c>
      <c r="AF330" s="77"/>
      <c r="AG330" s="73"/>
      <c r="AH330" s="77"/>
      <c r="AI330" s="73"/>
      <c r="AJ330" s="78" t="str">
        <f t="shared" si="42"/>
        <v/>
      </c>
      <c r="AK330" s="79" t="str">
        <f t="shared" si="43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40"/>
        <v/>
      </c>
      <c r="AE331" s="76" t="str">
        <f t="shared" si="41"/>
        <v/>
      </c>
      <c r="AF331" s="77"/>
      <c r="AG331" s="73"/>
      <c r="AH331" s="77"/>
      <c r="AI331" s="73"/>
      <c r="AJ331" s="78" t="str">
        <f t="shared" si="42"/>
        <v/>
      </c>
      <c r="AK331" s="79" t="str">
        <f t="shared" si="43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40"/>
        <v/>
      </c>
      <c r="AE332" s="76" t="str">
        <f t="shared" si="41"/>
        <v/>
      </c>
      <c r="AF332" s="77"/>
      <c r="AG332" s="73"/>
      <c r="AH332" s="77"/>
      <c r="AI332" s="73"/>
      <c r="AJ332" s="78" t="str">
        <f t="shared" si="42"/>
        <v/>
      </c>
      <c r="AK332" s="79" t="str">
        <f t="shared" si="43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40"/>
        <v/>
      </c>
      <c r="AE333" s="76" t="str">
        <f t="shared" si="41"/>
        <v/>
      </c>
      <c r="AF333" s="77"/>
      <c r="AG333" s="73"/>
      <c r="AH333" s="77"/>
      <c r="AI333" s="73"/>
      <c r="AJ333" s="78" t="str">
        <f t="shared" si="42"/>
        <v/>
      </c>
      <c r="AK333" s="79" t="str">
        <f t="shared" si="43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40"/>
        <v/>
      </c>
      <c r="AE334" s="76" t="str">
        <f t="shared" si="41"/>
        <v/>
      </c>
      <c r="AF334" s="77"/>
      <c r="AG334" s="73"/>
      <c r="AH334" s="77"/>
      <c r="AI334" s="73"/>
      <c r="AJ334" s="78" t="str">
        <f t="shared" si="42"/>
        <v/>
      </c>
      <c r="AK334" s="79" t="str">
        <f t="shared" si="43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40"/>
        <v/>
      </c>
      <c r="AE335" s="76" t="str">
        <f t="shared" si="41"/>
        <v/>
      </c>
      <c r="AF335" s="77"/>
      <c r="AG335" s="73"/>
      <c r="AH335" s="77"/>
      <c r="AI335" s="73"/>
      <c r="AJ335" s="78" t="str">
        <f t="shared" si="42"/>
        <v/>
      </c>
      <c r="AK335" s="79" t="str">
        <f t="shared" si="43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40"/>
        <v/>
      </c>
      <c r="AE336" s="76" t="str">
        <f t="shared" si="41"/>
        <v/>
      </c>
      <c r="AF336" s="77"/>
      <c r="AG336" s="73"/>
      <c r="AH336" s="77"/>
      <c r="AI336" s="73"/>
      <c r="AJ336" s="78" t="str">
        <f t="shared" si="42"/>
        <v/>
      </c>
      <c r="AK336" s="79" t="str">
        <f t="shared" si="43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40"/>
        <v/>
      </c>
      <c r="AE337" s="76" t="str">
        <f t="shared" si="41"/>
        <v/>
      </c>
      <c r="AF337" s="77"/>
      <c r="AG337" s="73"/>
      <c r="AH337" s="77"/>
      <c r="AI337" s="73"/>
      <c r="AJ337" s="78" t="str">
        <f t="shared" si="42"/>
        <v/>
      </c>
      <c r="AK337" s="79" t="str">
        <f t="shared" si="43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40"/>
        <v/>
      </c>
      <c r="AE338" s="76" t="str">
        <f t="shared" si="41"/>
        <v/>
      </c>
      <c r="AF338" s="77"/>
      <c r="AG338" s="73"/>
      <c r="AH338" s="77"/>
      <c r="AI338" s="73"/>
      <c r="AJ338" s="78" t="str">
        <f t="shared" si="42"/>
        <v/>
      </c>
      <c r="AK338" s="79" t="str">
        <f t="shared" si="43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40"/>
        <v/>
      </c>
      <c r="AE339" s="76" t="str">
        <f t="shared" si="41"/>
        <v/>
      </c>
      <c r="AF339" s="77"/>
      <c r="AG339" s="73"/>
      <c r="AH339" s="77"/>
      <c r="AI339" s="73"/>
      <c r="AJ339" s="78" t="str">
        <f t="shared" si="42"/>
        <v/>
      </c>
      <c r="AK339" s="79" t="str">
        <f t="shared" si="43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40"/>
        <v/>
      </c>
      <c r="AE340" s="76" t="str">
        <f t="shared" si="41"/>
        <v/>
      </c>
      <c r="AF340" s="77"/>
      <c r="AG340" s="73"/>
      <c r="AH340" s="77"/>
      <c r="AI340" s="73"/>
      <c r="AJ340" s="78" t="str">
        <f t="shared" si="42"/>
        <v/>
      </c>
      <c r="AK340" s="79" t="str">
        <f t="shared" si="43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40"/>
        <v/>
      </c>
      <c r="AE341" s="76" t="str">
        <f t="shared" si="41"/>
        <v/>
      </c>
      <c r="AF341" s="77"/>
      <c r="AG341" s="73"/>
      <c r="AH341" s="77"/>
      <c r="AI341" s="73"/>
      <c r="AJ341" s="78" t="str">
        <f t="shared" si="42"/>
        <v/>
      </c>
      <c r="AK341" s="79" t="str">
        <f t="shared" si="43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40"/>
        <v/>
      </c>
      <c r="AE342" s="76" t="str">
        <f t="shared" si="41"/>
        <v/>
      </c>
      <c r="AF342" s="77"/>
      <c r="AG342" s="73"/>
      <c r="AH342" s="77"/>
      <c r="AI342" s="73"/>
      <c r="AJ342" s="78" t="str">
        <f t="shared" si="42"/>
        <v/>
      </c>
      <c r="AK342" s="79" t="str">
        <f t="shared" si="43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40"/>
        <v/>
      </c>
      <c r="AE343" s="76" t="str">
        <f t="shared" si="41"/>
        <v/>
      </c>
      <c r="AF343" s="77"/>
      <c r="AG343" s="73"/>
      <c r="AH343" s="77"/>
      <c r="AI343" s="73"/>
      <c r="AJ343" s="78" t="str">
        <f t="shared" si="42"/>
        <v/>
      </c>
      <c r="AK343" s="79" t="str">
        <f t="shared" si="43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40"/>
        <v/>
      </c>
      <c r="AE344" s="76" t="str">
        <f t="shared" si="41"/>
        <v/>
      </c>
      <c r="AF344" s="77"/>
      <c r="AG344" s="73"/>
      <c r="AH344" s="77"/>
      <c r="AI344" s="73"/>
      <c r="AJ344" s="78" t="str">
        <f t="shared" si="42"/>
        <v/>
      </c>
      <c r="AK344" s="79" t="str">
        <f t="shared" si="43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40"/>
        <v/>
      </c>
      <c r="AE345" s="76" t="str">
        <f t="shared" si="41"/>
        <v/>
      </c>
      <c r="AF345" s="77"/>
      <c r="AG345" s="73"/>
      <c r="AH345" s="77"/>
      <c r="AI345" s="73"/>
      <c r="AJ345" s="78" t="str">
        <f t="shared" si="42"/>
        <v/>
      </c>
      <c r="AK345" s="79" t="str">
        <f t="shared" si="43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40"/>
        <v/>
      </c>
      <c r="AE346" s="76" t="str">
        <f t="shared" si="41"/>
        <v/>
      </c>
      <c r="AF346" s="77"/>
      <c r="AG346" s="73"/>
      <c r="AH346" s="77"/>
      <c r="AI346" s="73"/>
      <c r="AJ346" s="78" t="str">
        <f t="shared" si="42"/>
        <v/>
      </c>
      <c r="AK346" s="79" t="str">
        <f t="shared" si="43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40"/>
        <v/>
      </c>
      <c r="AE347" s="76" t="str">
        <f t="shared" si="41"/>
        <v/>
      </c>
      <c r="AF347" s="77"/>
      <c r="AG347" s="73"/>
      <c r="AH347" s="77"/>
      <c r="AI347" s="73"/>
      <c r="AJ347" s="78" t="str">
        <f t="shared" si="42"/>
        <v/>
      </c>
      <c r="AK347" s="79" t="str">
        <f t="shared" si="43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40"/>
        <v/>
      </c>
      <c r="AE348" s="76" t="str">
        <f t="shared" si="41"/>
        <v/>
      </c>
      <c r="AF348" s="77"/>
      <c r="AG348" s="73"/>
      <c r="AH348" s="77"/>
      <c r="AI348" s="73"/>
      <c r="AJ348" s="78" t="str">
        <f t="shared" si="42"/>
        <v/>
      </c>
      <c r="AK348" s="79" t="str">
        <f t="shared" si="43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40"/>
        <v/>
      </c>
      <c r="AE349" s="76" t="str">
        <f t="shared" si="41"/>
        <v/>
      </c>
      <c r="AF349" s="77"/>
      <c r="AG349" s="73"/>
      <c r="AH349" s="77"/>
      <c r="AI349" s="73"/>
      <c r="AJ349" s="78" t="str">
        <f t="shared" si="42"/>
        <v/>
      </c>
      <c r="AK349" s="79" t="str">
        <f t="shared" si="43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40"/>
        <v/>
      </c>
      <c r="AE350" s="76" t="str">
        <f t="shared" si="41"/>
        <v/>
      </c>
      <c r="AF350" s="77"/>
      <c r="AG350" s="73"/>
      <c r="AH350" s="77"/>
      <c r="AI350" s="73"/>
      <c r="AJ350" s="78" t="str">
        <f t="shared" si="42"/>
        <v/>
      </c>
      <c r="AK350" s="79" t="str">
        <f t="shared" si="43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 link="1"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103">
    <cfRule type="cellIs" dxfId="1311" priority="74637" stopIfTrue="1" operator="equal">
      <formula>"En cours"</formula>
    </cfRule>
  </conditionalFormatting>
  <conditionalFormatting sqref="AJ103">
    <cfRule type="cellIs" dxfId="1310" priority="74638" stopIfTrue="1" operator="notEqual">
      <formula>"En cours"</formula>
    </cfRule>
  </conditionalFormatting>
  <conditionalFormatting sqref="AK103">
    <cfRule type="cellIs" dxfId="1309" priority="74639" stopIfTrue="1" operator="equal">
      <formula>"En cours"</formula>
    </cfRule>
  </conditionalFormatting>
  <conditionalFormatting sqref="AK103">
    <cfRule type="cellIs" dxfId="1308" priority="74640" stopIfTrue="1" operator="notEqual">
      <formula>"En cours"</formula>
    </cfRule>
  </conditionalFormatting>
  <conditionalFormatting sqref="AJ106">
    <cfRule type="cellIs" dxfId="1307" priority="74641" stopIfTrue="1" operator="equal">
      <formula>"En cours"</formula>
    </cfRule>
  </conditionalFormatting>
  <conditionalFormatting sqref="AJ106">
    <cfRule type="cellIs" dxfId="1306" priority="74642" stopIfTrue="1" operator="notEqual">
      <formula>"En cours"</formula>
    </cfRule>
  </conditionalFormatting>
  <conditionalFormatting sqref="AK106">
    <cfRule type="cellIs" dxfId="1305" priority="74643" stopIfTrue="1" operator="equal">
      <formula>"En cours"</formula>
    </cfRule>
  </conditionalFormatting>
  <conditionalFormatting sqref="AK106">
    <cfRule type="cellIs" dxfId="1304" priority="74644" stopIfTrue="1" operator="notEqual">
      <formula>"En cours"</formula>
    </cfRule>
  </conditionalFormatting>
  <conditionalFormatting sqref="AJ104">
    <cfRule type="cellIs" dxfId="1303" priority="74649" stopIfTrue="1" operator="equal">
      <formula>"En cours"</formula>
    </cfRule>
  </conditionalFormatting>
  <conditionalFormatting sqref="AJ104">
    <cfRule type="cellIs" dxfId="1302" priority="74650" stopIfTrue="1" operator="notEqual">
      <formula>"En cours"</formula>
    </cfRule>
  </conditionalFormatting>
  <conditionalFormatting sqref="AK104">
    <cfRule type="cellIs" dxfId="1301" priority="74651" stopIfTrue="1" operator="equal">
      <formula>"En cours"</formula>
    </cfRule>
  </conditionalFormatting>
  <conditionalFormatting sqref="AK104">
    <cfRule type="cellIs" dxfId="1300" priority="74652" stopIfTrue="1" operator="notEqual">
      <formula>"En cours"</formula>
    </cfRule>
  </conditionalFormatting>
  <conditionalFormatting sqref="AJ110">
    <cfRule type="cellIs" dxfId="1299" priority="74653" stopIfTrue="1" operator="equal">
      <formula>"En cours"</formula>
    </cfRule>
    <cfRule type="cellIs" dxfId="1298" priority="74654" stopIfTrue="1" operator="notEqual">
      <formula>"En cours"</formula>
    </cfRule>
  </conditionalFormatting>
  <conditionalFormatting sqref="AK110">
    <cfRule type="cellIs" dxfId="1297" priority="74655" stopIfTrue="1" operator="equal">
      <formula>"En cours"</formula>
    </cfRule>
    <cfRule type="cellIs" dxfId="1296" priority="74656" stopIfTrue="1" operator="notEqual">
      <formula>"En cours"</formula>
    </cfRule>
  </conditionalFormatting>
  <conditionalFormatting sqref="AJ105">
    <cfRule type="cellIs" dxfId="1295" priority="74661" stopIfTrue="1" operator="equal">
      <formula>"En cours"</formula>
    </cfRule>
  </conditionalFormatting>
  <conditionalFormatting sqref="AJ105">
    <cfRule type="cellIs" dxfId="1294" priority="74662" stopIfTrue="1" operator="notEqual">
      <formula>"En cours"</formula>
    </cfRule>
  </conditionalFormatting>
  <conditionalFormatting sqref="AK105">
    <cfRule type="cellIs" dxfId="1293" priority="74663" stopIfTrue="1" operator="equal">
      <formula>"En cours"</formula>
    </cfRule>
  </conditionalFormatting>
  <conditionalFormatting sqref="AK105">
    <cfRule type="cellIs" dxfId="1292" priority="74664" stopIfTrue="1" operator="notEqual">
      <formula>"En cours"</formula>
    </cfRule>
  </conditionalFormatting>
  <conditionalFormatting sqref="AJ114">
    <cfRule type="cellIs" dxfId="1291" priority="74665" stopIfTrue="1" operator="equal">
      <formula>"En cours"</formula>
    </cfRule>
    <cfRule type="cellIs" dxfId="1290" priority="74666" stopIfTrue="1" operator="notEqual">
      <formula>"En cours"</formula>
    </cfRule>
  </conditionalFormatting>
  <conditionalFormatting sqref="AK114">
    <cfRule type="cellIs" dxfId="1289" priority="74667" stopIfTrue="1" operator="equal">
      <formula>"En cours"</formula>
    </cfRule>
    <cfRule type="cellIs" dxfId="1288" priority="74668" stopIfTrue="1" operator="notEqual">
      <formula>"En cours"</formula>
    </cfRule>
  </conditionalFormatting>
  <conditionalFormatting sqref="AJ109">
    <cfRule type="cellIs" dxfId="1287" priority="74673" stopIfTrue="1" operator="equal">
      <formula>"En cours"</formula>
    </cfRule>
  </conditionalFormatting>
  <conditionalFormatting sqref="AJ109">
    <cfRule type="cellIs" dxfId="1286" priority="74674" stopIfTrue="1" operator="notEqual">
      <formula>"En cours"</formula>
    </cfRule>
  </conditionalFormatting>
  <conditionalFormatting sqref="AK109">
    <cfRule type="cellIs" dxfId="1285" priority="74675" stopIfTrue="1" operator="equal">
      <formula>"En cours"</formula>
    </cfRule>
  </conditionalFormatting>
  <conditionalFormatting sqref="AK109">
    <cfRule type="cellIs" dxfId="1284" priority="74676" stopIfTrue="1" operator="notEqual">
      <formula>"En cours"</formula>
    </cfRule>
  </conditionalFormatting>
  <conditionalFormatting sqref="AJ119">
    <cfRule type="cellIs" dxfId="1283" priority="74681" stopIfTrue="1" operator="equal">
      <formula>"En cours"</formula>
    </cfRule>
  </conditionalFormatting>
  <conditionalFormatting sqref="AJ119">
    <cfRule type="cellIs" dxfId="1282" priority="74682" stopIfTrue="1" operator="notEqual">
      <formula>"En cours"</formula>
    </cfRule>
  </conditionalFormatting>
  <conditionalFormatting sqref="AK119">
    <cfRule type="cellIs" dxfId="1281" priority="74683" stopIfTrue="1" operator="equal">
      <formula>"En cours"</formula>
    </cfRule>
  </conditionalFormatting>
  <conditionalFormatting sqref="AK119">
    <cfRule type="cellIs" dxfId="1280" priority="74684" stopIfTrue="1" operator="notEqual">
      <formula>"En cours"</formula>
    </cfRule>
  </conditionalFormatting>
  <conditionalFormatting sqref="AJ112">
    <cfRule type="cellIs" dxfId="1279" priority="74689" stopIfTrue="1" operator="equal">
      <formula>"En cours"</formula>
    </cfRule>
    <cfRule type="cellIs" dxfId="1278" priority="74690" stopIfTrue="1" operator="notEqual">
      <formula>"En cours"</formula>
    </cfRule>
  </conditionalFormatting>
  <conditionalFormatting sqref="AK112">
    <cfRule type="cellIs" dxfId="1277" priority="74691" stopIfTrue="1" operator="equal">
      <formula>"En cours"</formula>
    </cfRule>
    <cfRule type="cellIs" dxfId="1276" priority="74692" stopIfTrue="1" operator="notEqual">
      <formula>"En cours"</formula>
    </cfRule>
  </conditionalFormatting>
  <conditionalFormatting sqref="AJ115">
    <cfRule type="cellIs" dxfId="1275" priority="74693" stopIfTrue="1" operator="equal">
      <formula>"En cours"</formula>
    </cfRule>
  </conditionalFormatting>
  <conditionalFormatting sqref="AJ115">
    <cfRule type="cellIs" dxfId="1274" priority="74694" stopIfTrue="1" operator="notEqual">
      <formula>"En cours"</formula>
    </cfRule>
  </conditionalFormatting>
  <conditionalFormatting sqref="AK115">
    <cfRule type="cellIs" dxfId="1273" priority="74695" stopIfTrue="1" operator="equal">
      <formula>"En cours"</formula>
    </cfRule>
  </conditionalFormatting>
  <conditionalFormatting sqref="AK115">
    <cfRule type="cellIs" dxfId="1272" priority="74696" stopIfTrue="1" operator="notEqual">
      <formula>"En cours"</formula>
    </cfRule>
  </conditionalFormatting>
  <conditionalFormatting sqref="AJ116">
    <cfRule type="cellIs" dxfId="1271" priority="74697" stopIfTrue="1" operator="equal">
      <formula>"En cours"</formula>
    </cfRule>
  </conditionalFormatting>
  <conditionalFormatting sqref="AJ116">
    <cfRule type="cellIs" dxfId="1270" priority="74698" stopIfTrue="1" operator="notEqual">
      <formula>"En cours"</formula>
    </cfRule>
  </conditionalFormatting>
  <conditionalFormatting sqref="AK116">
    <cfRule type="cellIs" dxfId="1269" priority="74699" stopIfTrue="1" operator="equal">
      <formula>"En cours"</formula>
    </cfRule>
  </conditionalFormatting>
  <conditionalFormatting sqref="AK116">
    <cfRule type="cellIs" dxfId="1268" priority="74700" stopIfTrue="1" operator="notEqual">
      <formula>"En cours"</formula>
    </cfRule>
  </conditionalFormatting>
  <conditionalFormatting sqref="AJ117">
    <cfRule type="cellIs" dxfId="1267" priority="74705" stopIfTrue="1" operator="equal">
      <formula>"En cours"</formula>
    </cfRule>
  </conditionalFormatting>
  <conditionalFormatting sqref="AJ117">
    <cfRule type="cellIs" dxfId="1266" priority="74706" stopIfTrue="1" operator="notEqual">
      <formula>"En cours"</formula>
    </cfRule>
  </conditionalFormatting>
  <conditionalFormatting sqref="AK117">
    <cfRule type="cellIs" dxfId="1265" priority="74707" stopIfTrue="1" operator="equal">
      <formula>"En cours"</formula>
    </cfRule>
  </conditionalFormatting>
  <conditionalFormatting sqref="AK117">
    <cfRule type="cellIs" dxfId="1264" priority="74708" stopIfTrue="1" operator="notEqual">
      <formula>"En cours"</formula>
    </cfRule>
  </conditionalFormatting>
  <conditionalFormatting sqref="AJ113">
    <cfRule type="cellIs" dxfId="1263" priority="74709" stopIfTrue="1" operator="equal">
      <formula>"En cours"</formula>
    </cfRule>
    <cfRule type="cellIs" dxfId="1262" priority="74710" stopIfTrue="1" operator="notEqual">
      <formula>"En cours"</formula>
    </cfRule>
  </conditionalFormatting>
  <conditionalFormatting sqref="AK113">
    <cfRule type="cellIs" dxfId="1261" priority="74711" stopIfTrue="1" operator="equal">
      <formula>"En cours"</formula>
    </cfRule>
    <cfRule type="cellIs" dxfId="1260" priority="74712" stopIfTrue="1" operator="notEqual">
      <formula>"En cours"</formula>
    </cfRule>
  </conditionalFormatting>
  <conditionalFormatting sqref="AJ118">
    <cfRule type="cellIs" dxfId="1259" priority="74713" stopIfTrue="1" operator="equal">
      <formula>"En cours"</formula>
    </cfRule>
    <cfRule type="cellIs" dxfId="1258" priority="74714" stopIfTrue="1" operator="notEqual">
      <formula>"En cours"</formula>
    </cfRule>
  </conditionalFormatting>
  <conditionalFormatting sqref="AK118">
    <cfRule type="cellIs" dxfId="1257" priority="74715" stopIfTrue="1" operator="equal">
      <formula>"En cours"</formula>
    </cfRule>
    <cfRule type="cellIs" dxfId="1256" priority="74716" stopIfTrue="1" operator="notEqual">
      <formula>"En cours"</formula>
    </cfRule>
  </conditionalFormatting>
  <conditionalFormatting sqref="AJ111">
    <cfRule type="cellIs" dxfId="1255" priority="74717" stopIfTrue="1" operator="equal">
      <formula>"En cours"</formula>
    </cfRule>
    <cfRule type="cellIs" dxfId="1254" priority="74718" stopIfTrue="1" operator="notEqual">
      <formula>"En cours"</formula>
    </cfRule>
  </conditionalFormatting>
  <conditionalFormatting sqref="AK111">
    <cfRule type="cellIs" dxfId="1253" priority="74719" stopIfTrue="1" operator="equal">
      <formula>"En cours"</formula>
    </cfRule>
    <cfRule type="cellIs" dxfId="1252" priority="74720" stopIfTrue="1" operator="notEqual">
      <formula>"En cours"</formula>
    </cfRule>
  </conditionalFormatting>
  <conditionalFormatting sqref="AJ108">
    <cfRule type="cellIs" dxfId="1251" priority="74721" stopIfTrue="1" operator="equal">
      <formula>"En cours"</formula>
    </cfRule>
  </conditionalFormatting>
  <conditionalFormatting sqref="AJ108">
    <cfRule type="cellIs" dxfId="1250" priority="74722" stopIfTrue="1" operator="notEqual">
      <formula>"En cours"</formula>
    </cfRule>
  </conditionalFormatting>
  <conditionalFormatting sqref="AK108">
    <cfRule type="cellIs" dxfId="1249" priority="74723" stopIfTrue="1" operator="equal">
      <formula>"En cours"</formula>
    </cfRule>
  </conditionalFormatting>
  <conditionalFormatting sqref="AK108">
    <cfRule type="cellIs" dxfId="1248" priority="74724" stopIfTrue="1" operator="notEqual">
      <formula>"En cours"</formula>
    </cfRule>
  </conditionalFormatting>
  <conditionalFormatting sqref="AJ120">
    <cfRule type="cellIs" dxfId="1247" priority="74729" stopIfTrue="1" operator="equal">
      <formula>"En cours"</formula>
    </cfRule>
  </conditionalFormatting>
  <conditionalFormatting sqref="AJ120">
    <cfRule type="cellIs" dxfId="1246" priority="74730" stopIfTrue="1" operator="notEqual">
      <formula>"En cours"</formula>
    </cfRule>
  </conditionalFormatting>
  <conditionalFormatting sqref="AK120">
    <cfRule type="cellIs" dxfId="1245" priority="74731" stopIfTrue="1" operator="equal">
      <formula>"En cours"</formula>
    </cfRule>
  </conditionalFormatting>
  <conditionalFormatting sqref="AK120">
    <cfRule type="cellIs" dxfId="1244" priority="74732" stopIfTrue="1" operator="notEqual">
      <formula>"En cours"</formula>
    </cfRule>
  </conditionalFormatting>
  <conditionalFormatting sqref="AJ121">
    <cfRule type="cellIs" dxfId="1243" priority="74737" stopIfTrue="1" operator="equal">
      <formula>"En cours"</formula>
    </cfRule>
  </conditionalFormatting>
  <conditionalFormatting sqref="AJ121">
    <cfRule type="cellIs" dxfId="1242" priority="74738" stopIfTrue="1" operator="notEqual">
      <formula>"En cours"</formula>
    </cfRule>
  </conditionalFormatting>
  <conditionalFormatting sqref="AK121">
    <cfRule type="cellIs" dxfId="1241" priority="74739" stopIfTrue="1" operator="equal">
      <formula>"En cours"</formula>
    </cfRule>
  </conditionalFormatting>
  <conditionalFormatting sqref="AK121">
    <cfRule type="cellIs" dxfId="1240" priority="74740" stopIfTrue="1" operator="notEqual">
      <formula>"En cours"</formula>
    </cfRule>
  </conditionalFormatting>
  <conditionalFormatting sqref="AJ107">
    <cfRule type="cellIs" dxfId="1239" priority="74741" stopIfTrue="1" operator="equal">
      <formula>"En cours"</formula>
    </cfRule>
  </conditionalFormatting>
  <conditionalFormatting sqref="AJ107">
    <cfRule type="cellIs" dxfId="1238" priority="74742" stopIfTrue="1" operator="notEqual">
      <formula>"En cours"</formula>
    </cfRule>
  </conditionalFormatting>
  <conditionalFormatting sqref="AK107">
    <cfRule type="cellIs" dxfId="1237" priority="74743" stopIfTrue="1" operator="equal">
      <formula>"En cours"</formula>
    </cfRule>
  </conditionalFormatting>
  <conditionalFormatting sqref="AK107">
    <cfRule type="cellIs" dxfId="1236" priority="74744" stopIfTrue="1" operator="notEqual">
      <formula>"En cours"</formula>
    </cfRule>
  </conditionalFormatting>
  <conditionalFormatting sqref="AJ97">
    <cfRule type="cellIs" dxfId="1235" priority="75565" stopIfTrue="1" operator="equal">
      <formula>"En cours"</formula>
    </cfRule>
  </conditionalFormatting>
  <conditionalFormatting sqref="AJ97">
    <cfRule type="cellIs" dxfId="1234" priority="75566" stopIfTrue="1" operator="notEqual">
      <formula>"En cours"</formula>
    </cfRule>
  </conditionalFormatting>
  <conditionalFormatting sqref="AK97">
    <cfRule type="cellIs" dxfId="1233" priority="75567" stopIfTrue="1" operator="equal">
      <formula>"En cours"</formula>
    </cfRule>
  </conditionalFormatting>
  <conditionalFormatting sqref="AK97">
    <cfRule type="cellIs" dxfId="1232" priority="75568" stopIfTrue="1" operator="notEqual">
      <formula>"En cours"</formula>
    </cfRule>
  </conditionalFormatting>
  <conditionalFormatting sqref="AJ95">
    <cfRule type="cellIs" dxfId="1231" priority="75569" stopIfTrue="1" operator="equal">
      <formula>"En cours"</formula>
    </cfRule>
  </conditionalFormatting>
  <conditionalFormatting sqref="AJ95">
    <cfRule type="cellIs" dxfId="1230" priority="75570" stopIfTrue="1" operator="notEqual">
      <formula>"En cours"</formula>
    </cfRule>
  </conditionalFormatting>
  <conditionalFormatting sqref="AK95">
    <cfRule type="cellIs" dxfId="1229" priority="75571" stopIfTrue="1" operator="equal">
      <formula>"En cours"</formula>
    </cfRule>
  </conditionalFormatting>
  <conditionalFormatting sqref="AK95">
    <cfRule type="cellIs" dxfId="1228" priority="75572" stopIfTrue="1" operator="notEqual">
      <formula>"En cours"</formula>
    </cfRule>
  </conditionalFormatting>
  <conditionalFormatting sqref="AJ99">
    <cfRule type="cellIs" dxfId="1227" priority="75589" stopIfTrue="1" operator="equal">
      <formula>"En cours"</formula>
    </cfRule>
  </conditionalFormatting>
  <conditionalFormatting sqref="AJ99">
    <cfRule type="cellIs" dxfId="1226" priority="75590" stopIfTrue="1" operator="notEqual">
      <formula>"En cours"</formula>
    </cfRule>
  </conditionalFormatting>
  <conditionalFormatting sqref="AK99">
    <cfRule type="cellIs" dxfId="1225" priority="75591" stopIfTrue="1" operator="equal">
      <formula>"En cours"</formula>
    </cfRule>
  </conditionalFormatting>
  <conditionalFormatting sqref="AK99">
    <cfRule type="cellIs" dxfId="1224" priority="75592" stopIfTrue="1" operator="notEqual">
      <formula>"En cours"</formula>
    </cfRule>
  </conditionalFormatting>
  <conditionalFormatting sqref="AJ101">
    <cfRule type="cellIs" dxfId="1223" priority="75613" stopIfTrue="1" operator="equal">
      <formula>"En cours"</formula>
    </cfRule>
  </conditionalFormatting>
  <conditionalFormatting sqref="AJ101">
    <cfRule type="cellIs" dxfId="1222" priority="75614" stopIfTrue="1" operator="notEqual">
      <formula>"En cours"</formula>
    </cfRule>
  </conditionalFormatting>
  <conditionalFormatting sqref="AK101">
    <cfRule type="cellIs" dxfId="1221" priority="75615" stopIfTrue="1" operator="equal">
      <formula>"En cours"</formula>
    </cfRule>
  </conditionalFormatting>
  <conditionalFormatting sqref="AK101">
    <cfRule type="cellIs" dxfId="1220" priority="75616" stopIfTrue="1" operator="notEqual">
      <formula>"En cours"</formula>
    </cfRule>
  </conditionalFormatting>
  <conditionalFormatting sqref="AJ96">
    <cfRule type="cellIs" dxfId="1219" priority="75617" stopIfTrue="1" operator="equal">
      <formula>"En cours"</formula>
    </cfRule>
  </conditionalFormatting>
  <conditionalFormatting sqref="AJ96">
    <cfRule type="cellIs" dxfId="1218" priority="75618" stopIfTrue="1" operator="notEqual">
      <formula>"En cours"</formula>
    </cfRule>
  </conditionalFormatting>
  <conditionalFormatting sqref="AK96">
    <cfRule type="cellIs" dxfId="1217" priority="75619" stopIfTrue="1" operator="equal">
      <formula>"En cours"</formula>
    </cfRule>
  </conditionalFormatting>
  <conditionalFormatting sqref="AK96">
    <cfRule type="cellIs" dxfId="1216" priority="75620" stopIfTrue="1" operator="notEqual">
      <formula>"En cours"</formula>
    </cfRule>
  </conditionalFormatting>
  <conditionalFormatting sqref="AJ100">
    <cfRule type="cellIs" dxfId="1215" priority="75621" stopIfTrue="1" operator="equal">
      <formula>"En cours"</formula>
    </cfRule>
  </conditionalFormatting>
  <conditionalFormatting sqref="AJ100">
    <cfRule type="cellIs" dxfId="1214" priority="75622" stopIfTrue="1" operator="notEqual">
      <formula>"En cours"</formula>
    </cfRule>
  </conditionalFormatting>
  <conditionalFormatting sqref="AK100">
    <cfRule type="cellIs" dxfId="1213" priority="75623" stopIfTrue="1" operator="equal">
      <formula>"En cours"</formula>
    </cfRule>
  </conditionalFormatting>
  <conditionalFormatting sqref="AK100">
    <cfRule type="cellIs" dxfId="1212" priority="75624" stopIfTrue="1" operator="notEqual">
      <formula>"En cours"</formula>
    </cfRule>
  </conditionalFormatting>
  <conditionalFormatting sqref="AJ98">
    <cfRule type="cellIs" dxfId="1211" priority="75625" stopIfTrue="1" operator="equal">
      <formula>"En cours"</formula>
    </cfRule>
  </conditionalFormatting>
  <conditionalFormatting sqref="AJ98">
    <cfRule type="cellIs" dxfId="1210" priority="75626" stopIfTrue="1" operator="notEqual">
      <formula>"En cours"</formula>
    </cfRule>
  </conditionalFormatting>
  <conditionalFormatting sqref="AK98">
    <cfRule type="cellIs" dxfId="1209" priority="75627" stopIfTrue="1" operator="equal">
      <formula>"En cours"</formula>
    </cfRule>
  </conditionalFormatting>
  <conditionalFormatting sqref="AK98">
    <cfRule type="cellIs" dxfId="1208" priority="75628" stopIfTrue="1" operator="notEqual">
      <formula>"En cours"</formula>
    </cfRule>
  </conditionalFormatting>
  <conditionalFormatting sqref="AJ102">
    <cfRule type="cellIs" dxfId="1207" priority="75633" stopIfTrue="1" operator="equal">
      <formula>"En cours"</formula>
    </cfRule>
  </conditionalFormatting>
  <conditionalFormatting sqref="AJ102">
    <cfRule type="cellIs" dxfId="1206" priority="75634" stopIfTrue="1" operator="notEqual">
      <formula>"En cours"</formula>
    </cfRule>
  </conditionalFormatting>
  <conditionalFormatting sqref="AK102">
    <cfRule type="cellIs" dxfId="1205" priority="75635" stopIfTrue="1" operator="equal">
      <formula>"En cours"</formula>
    </cfRule>
  </conditionalFormatting>
  <conditionalFormatting sqref="AK102">
    <cfRule type="cellIs" dxfId="1204" priority="75636" stopIfTrue="1" operator="notEqual">
      <formula>"En cours"</formula>
    </cfRule>
  </conditionalFormatting>
  <conditionalFormatting sqref="AJ37">
    <cfRule type="cellIs" dxfId="1203" priority="82805" stopIfTrue="1" operator="equal">
      <formula>"En cours"</formula>
    </cfRule>
  </conditionalFormatting>
  <conditionalFormatting sqref="AJ37">
    <cfRule type="cellIs" dxfId="1202" priority="82806" stopIfTrue="1" operator="notEqual">
      <formula>"En cours"</formula>
    </cfRule>
  </conditionalFormatting>
  <conditionalFormatting sqref="AK37">
    <cfRule type="cellIs" dxfId="1201" priority="82807" stopIfTrue="1" operator="equal">
      <formula>"En cours"</formula>
    </cfRule>
  </conditionalFormatting>
  <conditionalFormatting sqref="AK37">
    <cfRule type="cellIs" dxfId="1200" priority="82808" stopIfTrue="1" operator="notEqual">
      <formula>"En cours"</formula>
    </cfRule>
  </conditionalFormatting>
  <conditionalFormatting sqref="AJ35">
    <cfRule type="cellIs" dxfId="1199" priority="82833" stopIfTrue="1" operator="equal">
      <formula>"En cours"</formula>
    </cfRule>
  </conditionalFormatting>
  <conditionalFormatting sqref="AJ35">
    <cfRule type="cellIs" dxfId="1198" priority="82834" stopIfTrue="1" operator="notEqual">
      <formula>"En cours"</formula>
    </cfRule>
  </conditionalFormatting>
  <conditionalFormatting sqref="AK35">
    <cfRule type="cellIs" dxfId="1197" priority="82835" stopIfTrue="1" operator="equal">
      <formula>"En cours"</formula>
    </cfRule>
  </conditionalFormatting>
  <conditionalFormatting sqref="AK35">
    <cfRule type="cellIs" dxfId="1196" priority="82836" stopIfTrue="1" operator="notEqual">
      <formula>"En cours"</formula>
    </cfRule>
  </conditionalFormatting>
  <conditionalFormatting sqref="AJ36">
    <cfRule type="cellIs" dxfId="1195" priority="82837" stopIfTrue="1" operator="equal">
      <formula>"En cours"</formula>
    </cfRule>
  </conditionalFormatting>
  <conditionalFormatting sqref="AJ36">
    <cfRule type="cellIs" dxfId="1194" priority="82838" stopIfTrue="1" operator="notEqual">
      <formula>"En cours"</formula>
    </cfRule>
  </conditionalFormatting>
  <conditionalFormatting sqref="AK36">
    <cfRule type="cellIs" dxfId="1193" priority="82839" stopIfTrue="1" operator="equal">
      <formula>"En cours"</formula>
    </cfRule>
  </conditionalFormatting>
  <conditionalFormatting sqref="AK36">
    <cfRule type="cellIs" dxfId="1192" priority="82840" stopIfTrue="1" operator="notEqual">
      <formula>"En cours"</formula>
    </cfRule>
  </conditionalFormatting>
  <conditionalFormatting sqref="AJ34">
    <cfRule type="cellIs" dxfId="1191" priority="82845" stopIfTrue="1" operator="equal">
      <formula>"En cours"</formula>
    </cfRule>
  </conditionalFormatting>
  <conditionalFormatting sqref="AJ34">
    <cfRule type="cellIs" dxfId="1190" priority="82846" stopIfTrue="1" operator="notEqual">
      <formula>"En cours"</formula>
    </cfRule>
  </conditionalFormatting>
  <conditionalFormatting sqref="AK34">
    <cfRule type="cellIs" dxfId="1189" priority="82847" stopIfTrue="1" operator="equal">
      <formula>"En cours"</formula>
    </cfRule>
  </conditionalFormatting>
  <conditionalFormatting sqref="AK34">
    <cfRule type="cellIs" dxfId="1188" priority="82848" stopIfTrue="1" operator="notEqual">
      <formula>"En cours"</formula>
    </cfRule>
  </conditionalFormatting>
  <conditionalFormatting sqref="AJ40">
    <cfRule type="cellIs" dxfId="1187" priority="82849" stopIfTrue="1" operator="equal">
      <formula>"En cours"</formula>
    </cfRule>
  </conditionalFormatting>
  <conditionalFormatting sqref="AJ40">
    <cfRule type="cellIs" dxfId="1186" priority="82850" stopIfTrue="1" operator="notEqual">
      <formula>"En cours"</formula>
    </cfRule>
  </conditionalFormatting>
  <conditionalFormatting sqref="AK40">
    <cfRule type="cellIs" dxfId="1185" priority="82851" stopIfTrue="1" operator="equal">
      <formula>"En cours"</formula>
    </cfRule>
  </conditionalFormatting>
  <conditionalFormatting sqref="AK40">
    <cfRule type="cellIs" dxfId="1184" priority="82852" stopIfTrue="1" operator="notEqual">
      <formula>"En cours"</formula>
    </cfRule>
  </conditionalFormatting>
  <conditionalFormatting sqref="AJ42">
    <cfRule type="cellIs" dxfId="1183" priority="82853" stopIfTrue="1" operator="equal">
      <formula>"En cours"</formula>
    </cfRule>
  </conditionalFormatting>
  <conditionalFormatting sqref="AJ42">
    <cfRule type="cellIs" dxfId="1182" priority="82854" stopIfTrue="1" operator="notEqual">
      <formula>"En cours"</formula>
    </cfRule>
  </conditionalFormatting>
  <conditionalFormatting sqref="AK42">
    <cfRule type="cellIs" dxfId="1181" priority="82855" stopIfTrue="1" operator="equal">
      <formula>"En cours"</formula>
    </cfRule>
  </conditionalFormatting>
  <conditionalFormatting sqref="AK42">
    <cfRule type="cellIs" dxfId="1180" priority="82856" stopIfTrue="1" operator="notEqual">
      <formula>"En cours"</formula>
    </cfRule>
  </conditionalFormatting>
  <conditionalFormatting sqref="AJ41">
    <cfRule type="cellIs" dxfId="1179" priority="82857" stopIfTrue="1" operator="equal">
      <formula>"En cours"</formula>
    </cfRule>
  </conditionalFormatting>
  <conditionalFormatting sqref="AJ41">
    <cfRule type="cellIs" dxfId="1178" priority="82858" stopIfTrue="1" operator="notEqual">
      <formula>"En cours"</formula>
    </cfRule>
  </conditionalFormatting>
  <conditionalFormatting sqref="AK41">
    <cfRule type="cellIs" dxfId="1177" priority="82859" stopIfTrue="1" operator="equal">
      <formula>"En cours"</formula>
    </cfRule>
  </conditionalFormatting>
  <conditionalFormatting sqref="AK41">
    <cfRule type="cellIs" dxfId="1176" priority="82860" stopIfTrue="1" operator="notEqual">
      <formula>"En cours"</formula>
    </cfRule>
  </conditionalFormatting>
  <conditionalFormatting sqref="AJ43">
    <cfRule type="cellIs" dxfId="1175" priority="82861" stopIfTrue="1" operator="equal">
      <formula>"En cours"</formula>
    </cfRule>
  </conditionalFormatting>
  <conditionalFormatting sqref="AJ43">
    <cfRule type="cellIs" dxfId="1174" priority="82862" stopIfTrue="1" operator="notEqual">
      <formula>"En cours"</formula>
    </cfRule>
  </conditionalFormatting>
  <conditionalFormatting sqref="AK43">
    <cfRule type="cellIs" dxfId="1173" priority="82863" stopIfTrue="1" operator="equal">
      <formula>"En cours"</formula>
    </cfRule>
  </conditionalFormatting>
  <conditionalFormatting sqref="AK43">
    <cfRule type="cellIs" dxfId="1172" priority="82864" stopIfTrue="1" operator="notEqual">
      <formula>"En cours"</formula>
    </cfRule>
  </conditionalFormatting>
  <conditionalFormatting sqref="AJ38">
    <cfRule type="cellIs" dxfId="1171" priority="82865" stopIfTrue="1" operator="equal">
      <formula>"En cours"</formula>
    </cfRule>
  </conditionalFormatting>
  <conditionalFormatting sqref="AJ38">
    <cfRule type="cellIs" dxfId="1170" priority="82866" stopIfTrue="1" operator="notEqual">
      <formula>"En cours"</formula>
    </cfRule>
  </conditionalFormatting>
  <conditionalFormatting sqref="AK38">
    <cfRule type="cellIs" dxfId="1169" priority="82867" stopIfTrue="1" operator="equal">
      <formula>"En cours"</formula>
    </cfRule>
  </conditionalFormatting>
  <conditionalFormatting sqref="AK38">
    <cfRule type="cellIs" dxfId="1168" priority="82868" stopIfTrue="1" operator="notEqual">
      <formula>"En cours"</formula>
    </cfRule>
  </conditionalFormatting>
  <conditionalFormatting sqref="AJ45">
    <cfRule type="cellIs" dxfId="1167" priority="82869" stopIfTrue="1" operator="equal">
      <formula>"En cours"</formula>
    </cfRule>
  </conditionalFormatting>
  <conditionalFormatting sqref="AJ45">
    <cfRule type="cellIs" dxfId="1166" priority="82870" stopIfTrue="1" operator="notEqual">
      <formula>"En cours"</formula>
    </cfRule>
  </conditionalFormatting>
  <conditionalFormatting sqref="AK45">
    <cfRule type="cellIs" dxfId="1165" priority="82871" stopIfTrue="1" operator="equal">
      <formula>"En cours"</formula>
    </cfRule>
  </conditionalFormatting>
  <conditionalFormatting sqref="AK45">
    <cfRule type="cellIs" dxfId="1164" priority="82872" stopIfTrue="1" operator="notEqual">
      <formula>"En cours"</formula>
    </cfRule>
  </conditionalFormatting>
  <conditionalFormatting sqref="AJ51">
    <cfRule type="cellIs" dxfId="1163" priority="82873" stopIfTrue="1" operator="equal">
      <formula>"En cours"</formula>
    </cfRule>
  </conditionalFormatting>
  <conditionalFormatting sqref="AJ51">
    <cfRule type="cellIs" dxfId="1162" priority="82874" stopIfTrue="1" operator="notEqual">
      <formula>"En cours"</formula>
    </cfRule>
  </conditionalFormatting>
  <conditionalFormatting sqref="AK51">
    <cfRule type="cellIs" dxfId="1161" priority="82875" stopIfTrue="1" operator="equal">
      <formula>"En cours"</formula>
    </cfRule>
  </conditionalFormatting>
  <conditionalFormatting sqref="AK51">
    <cfRule type="cellIs" dxfId="1160" priority="82876" stopIfTrue="1" operator="notEqual">
      <formula>"En cours"</formula>
    </cfRule>
  </conditionalFormatting>
  <conditionalFormatting sqref="AJ46">
    <cfRule type="cellIs" dxfId="1159" priority="82877" stopIfTrue="1" operator="equal">
      <formula>"En cours"</formula>
    </cfRule>
  </conditionalFormatting>
  <conditionalFormatting sqref="AJ46">
    <cfRule type="cellIs" dxfId="1158" priority="82878" stopIfTrue="1" operator="notEqual">
      <formula>"En cours"</formula>
    </cfRule>
  </conditionalFormatting>
  <conditionalFormatting sqref="AK46">
    <cfRule type="cellIs" dxfId="1157" priority="82879" stopIfTrue="1" operator="equal">
      <formula>"En cours"</formula>
    </cfRule>
  </conditionalFormatting>
  <conditionalFormatting sqref="AK46">
    <cfRule type="cellIs" dxfId="1156" priority="82880" stopIfTrue="1" operator="notEqual">
      <formula>"En cours"</formula>
    </cfRule>
  </conditionalFormatting>
  <conditionalFormatting sqref="AJ47">
    <cfRule type="cellIs" dxfId="1155" priority="82881" stopIfTrue="1" operator="equal">
      <formula>"En cours"</formula>
    </cfRule>
  </conditionalFormatting>
  <conditionalFormatting sqref="AJ47">
    <cfRule type="cellIs" dxfId="1154" priority="82882" stopIfTrue="1" operator="notEqual">
      <formula>"En cours"</formula>
    </cfRule>
  </conditionalFormatting>
  <conditionalFormatting sqref="AK47">
    <cfRule type="cellIs" dxfId="1153" priority="82883" stopIfTrue="1" operator="equal">
      <formula>"En cours"</formula>
    </cfRule>
  </conditionalFormatting>
  <conditionalFormatting sqref="AK47">
    <cfRule type="cellIs" dxfId="1152" priority="82884" stopIfTrue="1" operator="notEqual">
      <formula>"En cours"</formula>
    </cfRule>
  </conditionalFormatting>
  <conditionalFormatting sqref="AJ58">
    <cfRule type="cellIs" dxfId="1151" priority="82885" stopIfTrue="1" operator="equal">
      <formula>"En cours"</formula>
    </cfRule>
  </conditionalFormatting>
  <conditionalFormatting sqref="AJ58">
    <cfRule type="cellIs" dxfId="1150" priority="82886" stopIfTrue="1" operator="notEqual">
      <formula>"En cours"</formula>
    </cfRule>
  </conditionalFormatting>
  <conditionalFormatting sqref="AK58">
    <cfRule type="cellIs" dxfId="1149" priority="82887" stopIfTrue="1" operator="equal">
      <formula>"En cours"</formula>
    </cfRule>
  </conditionalFormatting>
  <conditionalFormatting sqref="AK58">
    <cfRule type="cellIs" dxfId="1148" priority="82888" stopIfTrue="1" operator="notEqual">
      <formula>"En cours"</formula>
    </cfRule>
  </conditionalFormatting>
  <conditionalFormatting sqref="AJ39">
    <cfRule type="cellIs" dxfId="1147" priority="82889" stopIfTrue="1" operator="equal">
      <formula>"En cours"</formula>
    </cfRule>
  </conditionalFormatting>
  <conditionalFormatting sqref="AJ39">
    <cfRule type="cellIs" dxfId="1146" priority="82890" stopIfTrue="1" operator="notEqual">
      <formula>"En cours"</formula>
    </cfRule>
  </conditionalFormatting>
  <conditionalFormatting sqref="AK39">
    <cfRule type="cellIs" dxfId="1145" priority="82891" stopIfTrue="1" operator="equal">
      <formula>"En cours"</formula>
    </cfRule>
  </conditionalFormatting>
  <conditionalFormatting sqref="AK39">
    <cfRule type="cellIs" dxfId="1144" priority="82892" stopIfTrue="1" operator="notEqual">
      <formula>"En cours"</formula>
    </cfRule>
  </conditionalFormatting>
  <conditionalFormatting sqref="AJ54">
    <cfRule type="cellIs" dxfId="1143" priority="82893" stopIfTrue="1" operator="equal">
      <formula>"En cours"</formula>
    </cfRule>
  </conditionalFormatting>
  <conditionalFormatting sqref="AJ54">
    <cfRule type="cellIs" dxfId="1142" priority="82894" stopIfTrue="1" operator="notEqual">
      <formula>"En cours"</formula>
    </cfRule>
  </conditionalFormatting>
  <conditionalFormatting sqref="AK54">
    <cfRule type="cellIs" dxfId="1141" priority="82895" stopIfTrue="1" operator="equal">
      <formula>"En cours"</formula>
    </cfRule>
  </conditionalFormatting>
  <conditionalFormatting sqref="AK54">
    <cfRule type="cellIs" dxfId="1140" priority="82896" stopIfTrue="1" operator="notEqual">
      <formula>"En cours"</formula>
    </cfRule>
  </conditionalFormatting>
  <conditionalFormatting sqref="AJ55">
    <cfRule type="cellIs" dxfId="1139" priority="82897" stopIfTrue="1" operator="equal">
      <formula>"En cours"</formula>
    </cfRule>
  </conditionalFormatting>
  <conditionalFormatting sqref="AJ55">
    <cfRule type="cellIs" dxfId="1138" priority="82898" stopIfTrue="1" operator="notEqual">
      <formula>"En cours"</formula>
    </cfRule>
  </conditionalFormatting>
  <conditionalFormatting sqref="AK55">
    <cfRule type="cellIs" dxfId="1137" priority="82899" stopIfTrue="1" operator="equal">
      <formula>"En cours"</formula>
    </cfRule>
  </conditionalFormatting>
  <conditionalFormatting sqref="AK55">
    <cfRule type="cellIs" dxfId="1136" priority="82900" stopIfTrue="1" operator="notEqual">
      <formula>"En cours"</formula>
    </cfRule>
  </conditionalFormatting>
  <conditionalFormatting sqref="AJ44">
    <cfRule type="cellIs" dxfId="1135" priority="82901" stopIfTrue="1" operator="equal">
      <formula>"En cours"</formula>
    </cfRule>
  </conditionalFormatting>
  <conditionalFormatting sqref="AJ44">
    <cfRule type="cellIs" dxfId="1134" priority="82902" stopIfTrue="1" operator="notEqual">
      <formula>"En cours"</formula>
    </cfRule>
  </conditionalFormatting>
  <conditionalFormatting sqref="AK44">
    <cfRule type="cellIs" dxfId="1133" priority="82903" stopIfTrue="1" operator="equal">
      <formula>"En cours"</formula>
    </cfRule>
  </conditionalFormatting>
  <conditionalFormatting sqref="AK44">
    <cfRule type="cellIs" dxfId="1132" priority="82904" stopIfTrue="1" operator="notEqual">
      <formula>"En cours"</formula>
    </cfRule>
  </conditionalFormatting>
  <conditionalFormatting sqref="AJ52">
    <cfRule type="cellIs" dxfId="1131" priority="82905" stopIfTrue="1" operator="equal">
      <formula>"En cours"</formula>
    </cfRule>
  </conditionalFormatting>
  <conditionalFormatting sqref="AJ52">
    <cfRule type="cellIs" dxfId="1130" priority="82906" stopIfTrue="1" operator="notEqual">
      <formula>"En cours"</formula>
    </cfRule>
  </conditionalFormatting>
  <conditionalFormatting sqref="AK52">
    <cfRule type="cellIs" dxfId="1129" priority="82907" stopIfTrue="1" operator="equal">
      <formula>"En cours"</formula>
    </cfRule>
  </conditionalFormatting>
  <conditionalFormatting sqref="AK52">
    <cfRule type="cellIs" dxfId="1128" priority="82908" stopIfTrue="1" operator="notEqual">
      <formula>"En cours"</formula>
    </cfRule>
  </conditionalFormatting>
  <conditionalFormatting sqref="AJ56">
    <cfRule type="cellIs" dxfId="1127" priority="82909" stopIfTrue="1" operator="equal">
      <formula>"En cours"</formula>
    </cfRule>
  </conditionalFormatting>
  <conditionalFormatting sqref="AJ56">
    <cfRule type="cellIs" dxfId="1126" priority="82910" stopIfTrue="1" operator="notEqual">
      <formula>"En cours"</formula>
    </cfRule>
  </conditionalFormatting>
  <conditionalFormatting sqref="AK56">
    <cfRule type="cellIs" dxfId="1125" priority="82911" stopIfTrue="1" operator="equal">
      <formula>"En cours"</formula>
    </cfRule>
  </conditionalFormatting>
  <conditionalFormatting sqref="AK56">
    <cfRule type="cellIs" dxfId="1124" priority="82912" stopIfTrue="1" operator="notEqual">
      <formula>"En cours"</formula>
    </cfRule>
  </conditionalFormatting>
  <conditionalFormatting sqref="AJ63">
    <cfRule type="cellIs" dxfId="1123" priority="82913" stopIfTrue="1" operator="equal">
      <formula>"En cours"</formula>
    </cfRule>
  </conditionalFormatting>
  <conditionalFormatting sqref="AJ63">
    <cfRule type="cellIs" dxfId="1122" priority="82914" stopIfTrue="1" operator="notEqual">
      <formula>"En cours"</formula>
    </cfRule>
  </conditionalFormatting>
  <conditionalFormatting sqref="AK63">
    <cfRule type="cellIs" dxfId="1121" priority="82915" stopIfTrue="1" operator="equal">
      <formula>"En cours"</formula>
    </cfRule>
  </conditionalFormatting>
  <conditionalFormatting sqref="AK63">
    <cfRule type="cellIs" dxfId="1120" priority="82916" stopIfTrue="1" operator="notEqual">
      <formula>"En cours"</formula>
    </cfRule>
  </conditionalFormatting>
  <conditionalFormatting sqref="AJ48">
    <cfRule type="cellIs" dxfId="1119" priority="82917" stopIfTrue="1" operator="equal">
      <formula>"En cours"</formula>
    </cfRule>
  </conditionalFormatting>
  <conditionalFormatting sqref="AJ48">
    <cfRule type="cellIs" dxfId="1118" priority="82918" stopIfTrue="1" operator="notEqual">
      <formula>"En cours"</formula>
    </cfRule>
  </conditionalFormatting>
  <conditionalFormatting sqref="AK48">
    <cfRule type="cellIs" dxfId="1117" priority="82919" stopIfTrue="1" operator="equal">
      <formula>"En cours"</formula>
    </cfRule>
  </conditionalFormatting>
  <conditionalFormatting sqref="AK48">
    <cfRule type="cellIs" dxfId="1116" priority="82920" stopIfTrue="1" operator="notEqual">
      <formula>"En cours"</formula>
    </cfRule>
  </conditionalFormatting>
  <conditionalFormatting sqref="AJ49">
    <cfRule type="cellIs" dxfId="1115" priority="82921" stopIfTrue="1" operator="equal">
      <formula>"En cours"</formula>
    </cfRule>
  </conditionalFormatting>
  <conditionalFormatting sqref="AJ49">
    <cfRule type="cellIs" dxfId="1114" priority="82922" stopIfTrue="1" operator="notEqual">
      <formula>"En cours"</formula>
    </cfRule>
  </conditionalFormatting>
  <conditionalFormatting sqref="AK49">
    <cfRule type="cellIs" dxfId="1113" priority="82923" stopIfTrue="1" operator="equal">
      <formula>"En cours"</formula>
    </cfRule>
  </conditionalFormatting>
  <conditionalFormatting sqref="AK49">
    <cfRule type="cellIs" dxfId="1112" priority="82924" stopIfTrue="1" operator="notEqual">
      <formula>"En cours"</formula>
    </cfRule>
  </conditionalFormatting>
  <conditionalFormatting sqref="AJ50">
    <cfRule type="cellIs" dxfId="1111" priority="82925" stopIfTrue="1" operator="equal">
      <formula>"En cours"</formula>
    </cfRule>
  </conditionalFormatting>
  <conditionalFormatting sqref="AJ50">
    <cfRule type="cellIs" dxfId="1110" priority="82926" stopIfTrue="1" operator="notEqual">
      <formula>"En cours"</formula>
    </cfRule>
  </conditionalFormatting>
  <conditionalFormatting sqref="AK50">
    <cfRule type="cellIs" dxfId="1109" priority="82927" stopIfTrue="1" operator="equal">
      <formula>"En cours"</formula>
    </cfRule>
  </conditionalFormatting>
  <conditionalFormatting sqref="AK50">
    <cfRule type="cellIs" dxfId="1108" priority="82928" stopIfTrue="1" operator="notEqual">
      <formula>"En cours"</formula>
    </cfRule>
  </conditionalFormatting>
  <conditionalFormatting sqref="AJ57">
    <cfRule type="cellIs" dxfId="1107" priority="82929" stopIfTrue="1" operator="equal">
      <formula>"En cours"</formula>
    </cfRule>
  </conditionalFormatting>
  <conditionalFormatting sqref="AJ57">
    <cfRule type="cellIs" dxfId="1106" priority="82930" stopIfTrue="1" operator="notEqual">
      <formula>"En cours"</formula>
    </cfRule>
  </conditionalFormatting>
  <conditionalFormatting sqref="AK57">
    <cfRule type="cellIs" dxfId="1105" priority="82931" stopIfTrue="1" operator="equal">
      <formula>"En cours"</formula>
    </cfRule>
  </conditionalFormatting>
  <conditionalFormatting sqref="AK57">
    <cfRule type="cellIs" dxfId="1104" priority="82932" stopIfTrue="1" operator="notEqual">
      <formula>"En cours"</formula>
    </cfRule>
  </conditionalFormatting>
  <conditionalFormatting sqref="AJ59">
    <cfRule type="cellIs" dxfId="1103" priority="82933" stopIfTrue="1" operator="equal">
      <formula>"En cours"</formula>
    </cfRule>
  </conditionalFormatting>
  <conditionalFormatting sqref="AJ59">
    <cfRule type="cellIs" dxfId="1102" priority="82934" stopIfTrue="1" operator="notEqual">
      <formula>"En cours"</formula>
    </cfRule>
  </conditionalFormatting>
  <conditionalFormatting sqref="AK59">
    <cfRule type="cellIs" dxfId="1101" priority="82935" stopIfTrue="1" operator="equal">
      <formula>"En cours"</formula>
    </cfRule>
  </conditionalFormatting>
  <conditionalFormatting sqref="AK59">
    <cfRule type="cellIs" dxfId="1100" priority="82936" stopIfTrue="1" operator="notEqual">
      <formula>"En cours"</formula>
    </cfRule>
  </conditionalFormatting>
  <conditionalFormatting sqref="AJ66">
    <cfRule type="cellIs" dxfId="1099" priority="82937" stopIfTrue="1" operator="equal">
      <formula>"En cours"</formula>
    </cfRule>
  </conditionalFormatting>
  <conditionalFormatting sqref="AJ66">
    <cfRule type="cellIs" dxfId="1098" priority="82938" stopIfTrue="1" operator="notEqual">
      <formula>"En cours"</formula>
    </cfRule>
  </conditionalFormatting>
  <conditionalFormatting sqref="AK66">
    <cfRule type="cellIs" dxfId="1097" priority="82939" stopIfTrue="1" operator="equal">
      <formula>"En cours"</formula>
    </cfRule>
  </conditionalFormatting>
  <conditionalFormatting sqref="AK66">
    <cfRule type="cellIs" dxfId="1096" priority="82940" stopIfTrue="1" operator="notEqual">
      <formula>"En cours"</formula>
    </cfRule>
  </conditionalFormatting>
  <conditionalFormatting sqref="AJ53">
    <cfRule type="cellIs" dxfId="1095" priority="82941" stopIfTrue="1" operator="equal">
      <formula>"En cours"</formula>
    </cfRule>
  </conditionalFormatting>
  <conditionalFormatting sqref="AJ53">
    <cfRule type="cellIs" dxfId="1094" priority="82942" stopIfTrue="1" operator="notEqual">
      <formula>"En cours"</formula>
    </cfRule>
  </conditionalFormatting>
  <conditionalFormatting sqref="AK53">
    <cfRule type="cellIs" dxfId="1093" priority="82943" stopIfTrue="1" operator="equal">
      <formula>"En cours"</formula>
    </cfRule>
  </conditionalFormatting>
  <conditionalFormatting sqref="AK53">
    <cfRule type="cellIs" dxfId="1092" priority="82944" stopIfTrue="1" operator="notEqual">
      <formula>"En cours"</formula>
    </cfRule>
  </conditionalFormatting>
  <conditionalFormatting sqref="AJ65">
    <cfRule type="cellIs" dxfId="1091" priority="82945" stopIfTrue="1" operator="equal">
      <formula>"En cours"</formula>
    </cfRule>
  </conditionalFormatting>
  <conditionalFormatting sqref="AJ65">
    <cfRule type="cellIs" dxfId="1090" priority="82946" stopIfTrue="1" operator="notEqual">
      <formula>"En cours"</formula>
    </cfRule>
  </conditionalFormatting>
  <conditionalFormatting sqref="AK65">
    <cfRule type="cellIs" dxfId="1089" priority="82947" stopIfTrue="1" operator="equal">
      <formula>"En cours"</formula>
    </cfRule>
  </conditionalFormatting>
  <conditionalFormatting sqref="AK65">
    <cfRule type="cellIs" dxfId="1088" priority="82948" stopIfTrue="1" operator="notEqual">
      <formula>"En cours"</formula>
    </cfRule>
  </conditionalFormatting>
  <conditionalFormatting sqref="AJ62">
    <cfRule type="cellIs" dxfId="1087" priority="82949" stopIfTrue="1" operator="equal">
      <formula>"En cours"</formula>
    </cfRule>
  </conditionalFormatting>
  <conditionalFormatting sqref="AJ62">
    <cfRule type="cellIs" dxfId="1086" priority="82950" stopIfTrue="1" operator="notEqual">
      <formula>"En cours"</formula>
    </cfRule>
  </conditionalFormatting>
  <conditionalFormatting sqref="AK62">
    <cfRule type="cellIs" dxfId="1085" priority="82951" stopIfTrue="1" operator="equal">
      <formula>"En cours"</formula>
    </cfRule>
  </conditionalFormatting>
  <conditionalFormatting sqref="AK62">
    <cfRule type="cellIs" dxfId="1084" priority="82952" stopIfTrue="1" operator="notEqual">
      <formula>"En cours"</formula>
    </cfRule>
  </conditionalFormatting>
  <conditionalFormatting sqref="AJ61">
    <cfRule type="cellIs" dxfId="1083" priority="82953" stopIfTrue="1" operator="equal">
      <formula>"En cours"</formula>
    </cfRule>
  </conditionalFormatting>
  <conditionalFormatting sqref="AJ61">
    <cfRule type="cellIs" dxfId="1082" priority="82954" stopIfTrue="1" operator="notEqual">
      <formula>"En cours"</formula>
    </cfRule>
  </conditionalFormatting>
  <conditionalFormatting sqref="AK61">
    <cfRule type="cellIs" dxfId="1081" priority="82955" stopIfTrue="1" operator="equal">
      <formula>"En cours"</formula>
    </cfRule>
  </conditionalFormatting>
  <conditionalFormatting sqref="AK61">
    <cfRule type="cellIs" dxfId="1080" priority="82956" stopIfTrue="1" operator="notEqual">
      <formula>"En cours"</formula>
    </cfRule>
  </conditionalFormatting>
  <conditionalFormatting sqref="AJ67">
    <cfRule type="cellIs" dxfId="1079" priority="82957" stopIfTrue="1" operator="equal">
      <formula>"En cours"</formula>
    </cfRule>
  </conditionalFormatting>
  <conditionalFormatting sqref="AJ67">
    <cfRule type="cellIs" dxfId="1078" priority="82958" stopIfTrue="1" operator="notEqual">
      <formula>"En cours"</formula>
    </cfRule>
  </conditionalFormatting>
  <conditionalFormatting sqref="AK67">
    <cfRule type="cellIs" dxfId="1077" priority="82959" stopIfTrue="1" operator="equal">
      <formula>"En cours"</formula>
    </cfRule>
  </conditionalFormatting>
  <conditionalFormatting sqref="AK67">
    <cfRule type="cellIs" dxfId="1076" priority="82960" stopIfTrue="1" operator="notEqual">
      <formula>"En cours"</formula>
    </cfRule>
  </conditionalFormatting>
  <conditionalFormatting sqref="AJ60">
    <cfRule type="cellIs" dxfId="1075" priority="82961" stopIfTrue="1" operator="equal">
      <formula>"En cours"</formula>
    </cfRule>
  </conditionalFormatting>
  <conditionalFormatting sqref="AJ60">
    <cfRule type="cellIs" dxfId="1074" priority="82962" stopIfTrue="1" operator="notEqual">
      <formula>"En cours"</formula>
    </cfRule>
  </conditionalFormatting>
  <conditionalFormatting sqref="AK60">
    <cfRule type="cellIs" dxfId="1073" priority="82963" stopIfTrue="1" operator="equal">
      <formula>"En cours"</formula>
    </cfRule>
  </conditionalFormatting>
  <conditionalFormatting sqref="AK60">
    <cfRule type="cellIs" dxfId="1072" priority="82964" stopIfTrue="1" operator="notEqual">
      <formula>"En cours"</formula>
    </cfRule>
  </conditionalFormatting>
  <conditionalFormatting sqref="AJ64">
    <cfRule type="cellIs" dxfId="1071" priority="82965" stopIfTrue="1" operator="equal">
      <formula>"En cours"</formula>
    </cfRule>
  </conditionalFormatting>
  <conditionalFormatting sqref="AJ64">
    <cfRule type="cellIs" dxfId="1070" priority="82966" stopIfTrue="1" operator="notEqual">
      <formula>"En cours"</formula>
    </cfRule>
  </conditionalFormatting>
  <conditionalFormatting sqref="AK64">
    <cfRule type="cellIs" dxfId="1069" priority="82967" stopIfTrue="1" operator="equal">
      <formula>"En cours"</formula>
    </cfRule>
  </conditionalFormatting>
  <conditionalFormatting sqref="AK64">
    <cfRule type="cellIs" dxfId="1068" priority="82968" stopIfTrue="1" operator="notEqual">
      <formula>"En cours"</formula>
    </cfRule>
  </conditionalFormatting>
  <conditionalFormatting sqref="AJ68">
    <cfRule type="cellIs" dxfId="1067" priority="82969" stopIfTrue="1" operator="equal">
      <formula>"En cours"</formula>
    </cfRule>
  </conditionalFormatting>
  <conditionalFormatting sqref="AJ68">
    <cfRule type="cellIs" dxfId="1066" priority="82970" stopIfTrue="1" operator="notEqual">
      <formula>"En cours"</formula>
    </cfRule>
  </conditionalFormatting>
  <conditionalFormatting sqref="AK68">
    <cfRule type="cellIs" dxfId="1065" priority="82971" stopIfTrue="1" operator="equal">
      <formula>"En cours"</formula>
    </cfRule>
  </conditionalFormatting>
  <conditionalFormatting sqref="AK68">
    <cfRule type="cellIs" dxfId="1064" priority="82972" stopIfTrue="1" operator="notEqual">
      <formula>"En cours"</formula>
    </cfRule>
  </conditionalFormatting>
  <conditionalFormatting sqref="AJ71">
    <cfRule type="cellIs" dxfId="1063" priority="82973" stopIfTrue="1" operator="equal">
      <formula>"En cours"</formula>
    </cfRule>
  </conditionalFormatting>
  <conditionalFormatting sqref="AJ71">
    <cfRule type="cellIs" dxfId="1062" priority="82974" stopIfTrue="1" operator="notEqual">
      <formula>"En cours"</formula>
    </cfRule>
  </conditionalFormatting>
  <conditionalFormatting sqref="AK71">
    <cfRule type="cellIs" dxfId="1061" priority="82975" stopIfTrue="1" operator="equal">
      <formula>"En cours"</formula>
    </cfRule>
  </conditionalFormatting>
  <conditionalFormatting sqref="AK71">
    <cfRule type="cellIs" dxfId="1060" priority="82976" stopIfTrue="1" operator="notEqual">
      <formula>"En cours"</formula>
    </cfRule>
  </conditionalFormatting>
  <conditionalFormatting sqref="AJ69">
    <cfRule type="cellIs" dxfId="1059" priority="82977" stopIfTrue="1" operator="equal">
      <formula>"En cours"</formula>
    </cfRule>
  </conditionalFormatting>
  <conditionalFormatting sqref="AJ69">
    <cfRule type="cellIs" dxfId="1058" priority="82978" stopIfTrue="1" operator="notEqual">
      <formula>"En cours"</formula>
    </cfRule>
  </conditionalFormatting>
  <conditionalFormatting sqref="AK69">
    <cfRule type="cellIs" dxfId="1057" priority="82979" stopIfTrue="1" operator="equal">
      <formula>"En cours"</formula>
    </cfRule>
  </conditionalFormatting>
  <conditionalFormatting sqref="AK69">
    <cfRule type="cellIs" dxfId="1056" priority="82980" stopIfTrue="1" operator="notEqual">
      <formula>"En cours"</formula>
    </cfRule>
  </conditionalFormatting>
  <conditionalFormatting sqref="AJ72">
    <cfRule type="cellIs" dxfId="1055" priority="82981" stopIfTrue="1" operator="equal">
      <formula>"En cours"</formula>
    </cfRule>
  </conditionalFormatting>
  <conditionalFormatting sqref="AJ72">
    <cfRule type="cellIs" dxfId="1054" priority="82982" stopIfTrue="1" operator="notEqual">
      <formula>"En cours"</formula>
    </cfRule>
  </conditionalFormatting>
  <conditionalFormatting sqref="AK72">
    <cfRule type="cellIs" dxfId="1053" priority="82983" stopIfTrue="1" operator="equal">
      <formula>"En cours"</formula>
    </cfRule>
  </conditionalFormatting>
  <conditionalFormatting sqref="AK72">
    <cfRule type="cellIs" dxfId="1052" priority="82984" stopIfTrue="1" operator="notEqual">
      <formula>"En cours"</formula>
    </cfRule>
  </conditionalFormatting>
  <conditionalFormatting sqref="AJ70">
    <cfRule type="cellIs" dxfId="1051" priority="82985" stopIfTrue="1" operator="equal">
      <formula>"En cours"</formula>
    </cfRule>
  </conditionalFormatting>
  <conditionalFormatting sqref="AJ70">
    <cfRule type="cellIs" dxfId="1050" priority="82986" stopIfTrue="1" operator="notEqual">
      <formula>"En cours"</formula>
    </cfRule>
  </conditionalFormatting>
  <conditionalFormatting sqref="AK70">
    <cfRule type="cellIs" dxfId="1049" priority="82987" stopIfTrue="1" operator="equal">
      <formula>"En cours"</formula>
    </cfRule>
  </conditionalFormatting>
  <conditionalFormatting sqref="AK70">
    <cfRule type="cellIs" dxfId="1048" priority="82988" stopIfTrue="1" operator="notEqual">
      <formula>"En cours"</formula>
    </cfRule>
  </conditionalFormatting>
  <conditionalFormatting sqref="AJ74">
    <cfRule type="cellIs" dxfId="1047" priority="82989" stopIfTrue="1" operator="equal">
      <formula>"En cours"</formula>
    </cfRule>
  </conditionalFormatting>
  <conditionalFormatting sqref="AJ74">
    <cfRule type="cellIs" dxfId="1046" priority="82990" stopIfTrue="1" operator="notEqual">
      <formula>"En cours"</formula>
    </cfRule>
  </conditionalFormatting>
  <conditionalFormatting sqref="AK74">
    <cfRule type="cellIs" dxfId="1045" priority="82991" stopIfTrue="1" operator="equal">
      <formula>"En cours"</formula>
    </cfRule>
  </conditionalFormatting>
  <conditionalFormatting sqref="AK74">
    <cfRule type="cellIs" dxfId="1044" priority="82992" stopIfTrue="1" operator="notEqual">
      <formula>"En cours"</formula>
    </cfRule>
  </conditionalFormatting>
  <conditionalFormatting sqref="AJ75">
    <cfRule type="cellIs" dxfId="1043" priority="82993" stopIfTrue="1" operator="equal">
      <formula>"En cours"</formula>
    </cfRule>
  </conditionalFormatting>
  <conditionalFormatting sqref="AJ75">
    <cfRule type="cellIs" dxfId="1042" priority="82994" stopIfTrue="1" operator="notEqual">
      <formula>"En cours"</formula>
    </cfRule>
  </conditionalFormatting>
  <conditionalFormatting sqref="AK75">
    <cfRule type="cellIs" dxfId="1041" priority="82995" stopIfTrue="1" operator="equal">
      <formula>"En cours"</formula>
    </cfRule>
  </conditionalFormatting>
  <conditionalFormatting sqref="AK75">
    <cfRule type="cellIs" dxfId="1040" priority="82996" stopIfTrue="1" operator="notEqual">
      <formula>"En cours"</formula>
    </cfRule>
  </conditionalFormatting>
  <conditionalFormatting sqref="AJ83">
    <cfRule type="cellIs" dxfId="1039" priority="82997" stopIfTrue="1" operator="equal">
      <formula>"En cours"</formula>
    </cfRule>
  </conditionalFormatting>
  <conditionalFormatting sqref="AJ83">
    <cfRule type="cellIs" dxfId="1038" priority="82998" stopIfTrue="1" operator="notEqual">
      <formula>"En cours"</formula>
    </cfRule>
  </conditionalFormatting>
  <conditionalFormatting sqref="AK83">
    <cfRule type="cellIs" dxfId="1037" priority="82999" stopIfTrue="1" operator="equal">
      <formula>"En cours"</formula>
    </cfRule>
  </conditionalFormatting>
  <conditionalFormatting sqref="AK83">
    <cfRule type="cellIs" dxfId="1036" priority="83000" stopIfTrue="1" operator="notEqual">
      <formula>"En cours"</formula>
    </cfRule>
  </conditionalFormatting>
  <conditionalFormatting sqref="AJ77">
    <cfRule type="cellIs" dxfId="1035" priority="83001" stopIfTrue="1" operator="equal">
      <formula>"En cours"</formula>
    </cfRule>
  </conditionalFormatting>
  <conditionalFormatting sqref="AJ77">
    <cfRule type="cellIs" dxfId="1034" priority="83002" stopIfTrue="1" operator="notEqual">
      <formula>"En cours"</formula>
    </cfRule>
  </conditionalFormatting>
  <conditionalFormatting sqref="AK77">
    <cfRule type="cellIs" dxfId="1033" priority="83003" stopIfTrue="1" operator="equal">
      <formula>"En cours"</formula>
    </cfRule>
  </conditionalFormatting>
  <conditionalFormatting sqref="AK77">
    <cfRule type="cellIs" dxfId="1032" priority="83004" stopIfTrue="1" operator="notEqual">
      <formula>"En cours"</formula>
    </cfRule>
  </conditionalFormatting>
  <conditionalFormatting sqref="AJ73">
    <cfRule type="cellIs" dxfId="1031" priority="83005" stopIfTrue="1" operator="equal">
      <formula>"En cours"</formula>
    </cfRule>
  </conditionalFormatting>
  <conditionalFormatting sqref="AJ73">
    <cfRule type="cellIs" dxfId="1030" priority="83006" stopIfTrue="1" operator="notEqual">
      <formula>"En cours"</formula>
    </cfRule>
  </conditionalFormatting>
  <conditionalFormatting sqref="AK73">
    <cfRule type="cellIs" dxfId="1029" priority="83007" stopIfTrue="1" operator="equal">
      <formula>"En cours"</formula>
    </cfRule>
  </conditionalFormatting>
  <conditionalFormatting sqref="AK73">
    <cfRule type="cellIs" dxfId="1028" priority="83008" stopIfTrue="1" operator="notEqual">
      <formula>"En cours"</formula>
    </cfRule>
  </conditionalFormatting>
  <conditionalFormatting sqref="AJ84">
    <cfRule type="cellIs" dxfId="1027" priority="83009" stopIfTrue="1" operator="equal">
      <formula>"En cours"</formula>
    </cfRule>
  </conditionalFormatting>
  <conditionalFormatting sqref="AJ84">
    <cfRule type="cellIs" dxfId="1026" priority="83010" stopIfTrue="1" operator="notEqual">
      <formula>"En cours"</formula>
    </cfRule>
  </conditionalFormatting>
  <conditionalFormatting sqref="AK84">
    <cfRule type="cellIs" dxfId="1025" priority="83011" stopIfTrue="1" operator="equal">
      <formula>"En cours"</formula>
    </cfRule>
  </conditionalFormatting>
  <conditionalFormatting sqref="AK84">
    <cfRule type="cellIs" dxfId="1024" priority="83012" stopIfTrue="1" operator="notEqual">
      <formula>"En cours"</formula>
    </cfRule>
  </conditionalFormatting>
  <conditionalFormatting sqref="AJ76">
    <cfRule type="cellIs" dxfId="1023" priority="83013" stopIfTrue="1" operator="equal">
      <formula>"En cours"</formula>
    </cfRule>
  </conditionalFormatting>
  <conditionalFormatting sqref="AJ76">
    <cfRule type="cellIs" dxfId="1022" priority="83014" stopIfTrue="1" operator="notEqual">
      <formula>"En cours"</formula>
    </cfRule>
  </conditionalFormatting>
  <conditionalFormatting sqref="AK76">
    <cfRule type="cellIs" dxfId="1021" priority="83015" stopIfTrue="1" operator="equal">
      <formula>"En cours"</formula>
    </cfRule>
  </conditionalFormatting>
  <conditionalFormatting sqref="AK76">
    <cfRule type="cellIs" dxfId="1020" priority="83016" stopIfTrue="1" operator="notEqual">
      <formula>"En cours"</formula>
    </cfRule>
  </conditionalFormatting>
  <conditionalFormatting sqref="AJ87">
    <cfRule type="cellIs" dxfId="1019" priority="83017" stopIfTrue="1" operator="equal">
      <formula>"En cours"</formula>
    </cfRule>
  </conditionalFormatting>
  <conditionalFormatting sqref="AJ87">
    <cfRule type="cellIs" dxfId="1018" priority="83018" stopIfTrue="1" operator="notEqual">
      <formula>"En cours"</formula>
    </cfRule>
  </conditionalFormatting>
  <conditionalFormatting sqref="AK87">
    <cfRule type="cellIs" dxfId="1017" priority="83019" stopIfTrue="1" operator="equal">
      <formula>"En cours"</formula>
    </cfRule>
  </conditionalFormatting>
  <conditionalFormatting sqref="AK87">
    <cfRule type="cellIs" dxfId="1016" priority="83020" stopIfTrue="1" operator="notEqual">
      <formula>"En cours"</formula>
    </cfRule>
  </conditionalFormatting>
  <conditionalFormatting sqref="AJ82">
    <cfRule type="cellIs" dxfId="1015" priority="83021" stopIfTrue="1" operator="equal">
      <formula>"En cours"</formula>
    </cfRule>
  </conditionalFormatting>
  <conditionalFormatting sqref="AJ82">
    <cfRule type="cellIs" dxfId="1014" priority="83022" stopIfTrue="1" operator="notEqual">
      <formula>"En cours"</formula>
    </cfRule>
  </conditionalFormatting>
  <conditionalFormatting sqref="AK82">
    <cfRule type="cellIs" dxfId="1013" priority="83023" stopIfTrue="1" operator="equal">
      <formula>"En cours"</formula>
    </cfRule>
  </conditionalFormatting>
  <conditionalFormatting sqref="AK82">
    <cfRule type="cellIs" dxfId="1012" priority="83024" stopIfTrue="1" operator="notEqual">
      <formula>"En cours"</formula>
    </cfRule>
  </conditionalFormatting>
  <conditionalFormatting sqref="AJ79">
    <cfRule type="cellIs" dxfId="1011" priority="83025" stopIfTrue="1" operator="equal">
      <formula>"En cours"</formula>
    </cfRule>
  </conditionalFormatting>
  <conditionalFormatting sqref="AJ79">
    <cfRule type="cellIs" dxfId="1010" priority="83026" stopIfTrue="1" operator="notEqual">
      <formula>"En cours"</formula>
    </cfRule>
  </conditionalFormatting>
  <conditionalFormatting sqref="AK79">
    <cfRule type="cellIs" dxfId="1009" priority="83027" stopIfTrue="1" operator="equal">
      <formula>"En cours"</formula>
    </cfRule>
  </conditionalFormatting>
  <conditionalFormatting sqref="AK79">
    <cfRule type="cellIs" dxfId="1008" priority="83028" stopIfTrue="1" operator="notEqual">
      <formula>"En cours"</formula>
    </cfRule>
  </conditionalFormatting>
  <conditionalFormatting sqref="AJ81">
    <cfRule type="cellIs" dxfId="1007" priority="83029" stopIfTrue="1" operator="equal">
      <formula>"En cours"</formula>
    </cfRule>
  </conditionalFormatting>
  <conditionalFormatting sqref="AJ81">
    <cfRule type="cellIs" dxfId="1006" priority="83030" stopIfTrue="1" operator="notEqual">
      <formula>"En cours"</formula>
    </cfRule>
  </conditionalFormatting>
  <conditionalFormatting sqref="AK81">
    <cfRule type="cellIs" dxfId="1005" priority="83031" stopIfTrue="1" operator="equal">
      <formula>"En cours"</formula>
    </cfRule>
  </conditionalFormatting>
  <conditionalFormatting sqref="AK81">
    <cfRule type="cellIs" dxfId="1004" priority="83032" stopIfTrue="1" operator="notEqual">
      <formula>"En cours"</formula>
    </cfRule>
  </conditionalFormatting>
  <conditionalFormatting sqref="AJ89">
    <cfRule type="cellIs" dxfId="1003" priority="83033" stopIfTrue="1" operator="equal">
      <formula>"En cours"</formula>
    </cfRule>
  </conditionalFormatting>
  <conditionalFormatting sqref="AJ89">
    <cfRule type="cellIs" dxfId="1002" priority="83034" stopIfTrue="1" operator="notEqual">
      <formula>"En cours"</formula>
    </cfRule>
  </conditionalFormatting>
  <conditionalFormatting sqref="AK89">
    <cfRule type="cellIs" dxfId="1001" priority="83035" stopIfTrue="1" operator="equal">
      <formula>"En cours"</formula>
    </cfRule>
  </conditionalFormatting>
  <conditionalFormatting sqref="AK89">
    <cfRule type="cellIs" dxfId="1000" priority="83036" stopIfTrue="1" operator="notEqual">
      <formula>"En cours"</formula>
    </cfRule>
  </conditionalFormatting>
  <conditionalFormatting sqref="AJ78">
    <cfRule type="cellIs" dxfId="999" priority="83037" stopIfTrue="1" operator="equal">
      <formula>"En cours"</formula>
    </cfRule>
  </conditionalFormatting>
  <conditionalFormatting sqref="AJ78">
    <cfRule type="cellIs" dxfId="998" priority="83038" stopIfTrue="1" operator="notEqual">
      <formula>"En cours"</formula>
    </cfRule>
  </conditionalFormatting>
  <conditionalFormatting sqref="AK78">
    <cfRule type="cellIs" dxfId="997" priority="83039" stopIfTrue="1" operator="equal">
      <formula>"En cours"</formula>
    </cfRule>
  </conditionalFormatting>
  <conditionalFormatting sqref="AK78">
    <cfRule type="cellIs" dxfId="996" priority="83040" stopIfTrue="1" operator="notEqual">
      <formula>"En cours"</formula>
    </cfRule>
  </conditionalFormatting>
  <conditionalFormatting sqref="AJ85">
    <cfRule type="cellIs" dxfId="995" priority="83041" stopIfTrue="1" operator="equal">
      <formula>"En cours"</formula>
    </cfRule>
  </conditionalFormatting>
  <conditionalFormatting sqref="AJ85">
    <cfRule type="cellIs" dxfId="994" priority="83042" stopIfTrue="1" operator="notEqual">
      <formula>"En cours"</formula>
    </cfRule>
  </conditionalFormatting>
  <conditionalFormatting sqref="AK85">
    <cfRule type="cellIs" dxfId="993" priority="83043" stopIfTrue="1" operator="equal">
      <formula>"En cours"</formula>
    </cfRule>
  </conditionalFormatting>
  <conditionalFormatting sqref="AK85">
    <cfRule type="cellIs" dxfId="992" priority="83044" stopIfTrue="1" operator="notEqual">
      <formula>"En cours"</formula>
    </cfRule>
  </conditionalFormatting>
  <conditionalFormatting sqref="AJ86">
    <cfRule type="cellIs" dxfId="991" priority="83045" stopIfTrue="1" operator="equal">
      <formula>"En cours"</formula>
    </cfRule>
  </conditionalFormatting>
  <conditionalFormatting sqref="AJ86">
    <cfRule type="cellIs" dxfId="990" priority="83046" stopIfTrue="1" operator="notEqual">
      <formula>"En cours"</formula>
    </cfRule>
  </conditionalFormatting>
  <conditionalFormatting sqref="AK86">
    <cfRule type="cellIs" dxfId="989" priority="83047" stopIfTrue="1" operator="equal">
      <formula>"En cours"</formula>
    </cfRule>
  </conditionalFormatting>
  <conditionalFormatting sqref="AK86">
    <cfRule type="cellIs" dxfId="988" priority="83048" stopIfTrue="1" operator="notEqual">
      <formula>"En cours"</formula>
    </cfRule>
  </conditionalFormatting>
  <conditionalFormatting sqref="AJ80">
    <cfRule type="cellIs" dxfId="987" priority="83049" stopIfTrue="1" operator="equal">
      <formula>"En cours"</formula>
    </cfRule>
  </conditionalFormatting>
  <conditionalFormatting sqref="AJ80">
    <cfRule type="cellIs" dxfId="986" priority="83050" stopIfTrue="1" operator="notEqual">
      <formula>"En cours"</formula>
    </cfRule>
  </conditionalFormatting>
  <conditionalFormatting sqref="AK80">
    <cfRule type="cellIs" dxfId="985" priority="83051" stopIfTrue="1" operator="equal">
      <formula>"En cours"</formula>
    </cfRule>
  </conditionalFormatting>
  <conditionalFormatting sqref="AK80">
    <cfRule type="cellIs" dxfId="984" priority="83052" stopIfTrue="1" operator="notEqual">
      <formula>"En cours"</formula>
    </cfRule>
  </conditionalFormatting>
  <conditionalFormatting sqref="AJ88">
    <cfRule type="cellIs" dxfId="983" priority="83053" stopIfTrue="1" operator="equal">
      <formula>"En cours"</formula>
    </cfRule>
  </conditionalFormatting>
  <conditionalFormatting sqref="AJ88">
    <cfRule type="cellIs" dxfId="982" priority="83054" stopIfTrue="1" operator="notEqual">
      <formula>"En cours"</formula>
    </cfRule>
  </conditionalFormatting>
  <conditionalFormatting sqref="AK88">
    <cfRule type="cellIs" dxfId="981" priority="83055" stopIfTrue="1" operator="equal">
      <formula>"En cours"</formula>
    </cfRule>
  </conditionalFormatting>
  <conditionalFormatting sqref="AK88">
    <cfRule type="cellIs" dxfId="980" priority="83056" stopIfTrue="1" operator="notEqual">
      <formula>"En cours"</formula>
    </cfRule>
  </conditionalFormatting>
  <conditionalFormatting sqref="AJ90">
    <cfRule type="cellIs" dxfId="979" priority="83057" stopIfTrue="1" operator="equal">
      <formula>"En cours"</formula>
    </cfRule>
  </conditionalFormatting>
  <conditionalFormatting sqref="AJ90">
    <cfRule type="cellIs" dxfId="978" priority="83058" stopIfTrue="1" operator="notEqual">
      <formula>"En cours"</formula>
    </cfRule>
  </conditionalFormatting>
  <conditionalFormatting sqref="AK90">
    <cfRule type="cellIs" dxfId="977" priority="83059" stopIfTrue="1" operator="equal">
      <formula>"En cours"</formula>
    </cfRule>
  </conditionalFormatting>
  <conditionalFormatting sqref="AK90">
    <cfRule type="cellIs" dxfId="976" priority="83060" stopIfTrue="1" operator="notEqual">
      <formula>"En cours"</formula>
    </cfRule>
  </conditionalFormatting>
  <conditionalFormatting sqref="AJ93">
    <cfRule type="cellIs" dxfId="975" priority="83061" stopIfTrue="1" operator="equal">
      <formula>"En cours"</formula>
    </cfRule>
  </conditionalFormatting>
  <conditionalFormatting sqref="AJ93">
    <cfRule type="cellIs" dxfId="974" priority="83062" stopIfTrue="1" operator="notEqual">
      <formula>"En cours"</formula>
    </cfRule>
  </conditionalFormatting>
  <conditionalFormatting sqref="AK93">
    <cfRule type="cellIs" dxfId="973" priority="83063" stopIfTrue="1" operator="equal">
      <formula>"En cours"</formula>
    </cfRule>
  </conditionalFormatting>
  <conditionalFormatting sqref="AK93">
    <cfRule type="cellIs" dxfId="972" priority="83064" stopIfTrue="1" operator="notEqual">
      <formula>"En cours"</formula>
    </cfRule>
  </conditionalFormatting>
  <conditionalFormatting sqref="AJ91">
    <cfRule type="cellIs" dxfId="971" priority="83065" stopIfTrue="1" operator="equal">
      <formula>"En cours"</formula>
    </cfRule>
  </conditionalFormatting>
  <conditionalFormatting sqref="AJ91">
    <cfRule type="cellIs" dxfId="970" priority="83066" stopIfTrue="1" operator="notEqual">
      <formula>"En cours"</formula>
    </cfRule>
  </conditionalFormatting>
  <conditionalFormatting sqref="AK91">
    <cfRule type="cellIs" dxfId="969" priority="83067" stopIfTrue="1" operator="equal">
      <formula>"En cours"</formula>
    </cfRule>
  </conditionalFormatting>
  <conditionalFormatting sqref="AK91">
    <cfRule type="cellIs" dxfId="968" priority="83068" stopIfTrue="1" operator="notEqual">
      <formula>"En cours"</formula>
    </cfRule>
  </conditionalFormatting>
  <conditionalFormatting sqref="AJ92">
    <cfRule type="cellIs" dxfId="967" priority="83069" stopIfTrue="1" operator="equal">
      <formula>"En cours"</formula>
    </cfRule>
  </conditionalFormatting>
  <conditionalFormatting sqref="AJ92">
    <cfRule type="cellIs" dxfId="966" priority="83070" stopIfTrue="1" operator="notEqual">
      <formula>"En cours"</formula>
    </cfRule>
  </conditionalFormatting>
  <conditionalFormatting sqref="AK92">
    <cfRule type="cellIs" dxfId="965" priority="83071" stopIfTrue="1" operator="equal">
      <formula>"En cours"</formula>
    </cfRule>
  </conditionalFormatting>
  <conditionalFormatting sqref="AK92">
    <cfRule type="cellIs" dxfId="964" priority="83072" stopIfTrue="1" operator="notEqual">
      <formula>"En cours"</formula>
    </cfRule>
  </conditionalFormatting>
  <conditionalFormatting sqref="AJ94">
    <cfRule type="cellIs" dxfId="963" priority="83073" stopIfTrue="1" operator="equal">
      <formula>"En cours"</formula>
    </cfRule>
  </conditionalFormatting>
  <conditionalFormatting sqref="AJ94">
    <cfRule type="cellIs" dxfId="962" priority="83074" stopIfTrue="1" operator="notEqual">
      <formula>"En cours"</formula>
    </cfRule>
  </conditionalFormatting>
  <conditionalFormatting sqref="AK94">
    <cfRule type="cellIs" dxfId="961" priority="83075" stopIfTrue="1" operator="equal">
      <formula>"En cours"</formula>
    </cfRule>
  </conditionalFormatting>
  <conditionalFormatting sqref="AK94">
    <cfRule type="cellIs" dxfId="960" priority="83076" stopIfTrue="1" operator="notEqual">
      <formula>"En cours"</formula>
    </cfRule>
  </conditionalFormatting>
  <conditionalFormatting sqref="AJ32">
    <cfRule type="cellIs" dxfId="943" priority="91905" stopIfTrue="1" operator="equal">
      <formula>"En cours"</formula>
    </cfRule>
  </conditionalFormatting>
  <conditionalFormatting sqref="AJ32">
    <cfRule type="cellIs" dxfId="942" priority="91906" stopIfTrue="1" operator="notEqual">
      <formula>"En cours"</formula>
    </cfRule>
  </conditionalFormatting>
  <conditionalFormatting sqref="AK32">
    <cfRule type="cellIs" dxfId="941" priority="91907" stopIfTrue="1" operator="equal">
      <formula>"En cours"</formula>
    </cfRule>
  </conditionalFormatting>
  <conditionalFormatting sqref="AK32">
    <cfRule type="cellIs" dxfId="940" priority="91908" stopIfTrue="1" operator="notEqual">
      <formula>"En cours"</formula>
    </cfRule>
  </conditionalFormatting>
  <conditionalFormatting sqref="AJ31">
    <cfRule type="cellIs" dxfId="931" priority="92137" stopIfTrue="1" operator="equal">
      <formula>"En cours"</formula>
    </cfRule>
  </conditionalFormatting>
  <conditionalFormatting sqref="AJ31">
    <cfRule type="cellIs" dxfId="930" priority="92138" stopIfTrue="1" operator="notEqual">
      <formula>"En cours"</formula>
    </cfRule>
  </conditionalFormatting>
  <conditionalFormatting sqref="AK31">
    <cfRule type="cellIs" dxfId="929" priority="92139" stopIfTrue="1" operator="equal">
      <formula>"En cours"</formula>
    </cfRule>
  </conditionalFormatting>
  <conditionalFormatting sqref="AK31">
    <cfRule type="cellIs" dxfId="928" priority="92140" stopIfTrue="1" operator="notEqual">
      <formula>"En cours"</formula>
    </cfRule>
  </conditionalFormatting>
  <conditionalFormatting sqref="AJ33">
    <cfRule type="cellIs" dxfId="851" priority="92217" stopIfTrue="1" operator="equal">
      <formula>"En cours"</formula>
    </cfRule>
  </conditionalFormatting>
  <conditionalFormatting sqref="AJ33">
    <cfRule type="cellIs" dxfId="850" priority="92218" stopIfTrue="1" operator="notEqual">
      <formula>"En cours"</formula>
    </cfRule>
  </conditionalFormatting>
  <conditionalFormatting sqref="AK33">
    <cfRule type="cellIs" dxfId="849" priority="92219" stopIfTrue="1" operator="equal">
      <formula>"En cours"</formula>
    </cfRule>
  </conditionalFormatting>
  <conditionalFormatting sqref="AK33">
    <cfRule type="cellIs" dxfId="848" priority="92220" stopIfTrue="1" operator="notEqual">
      <formula>"En cours"</formula>
    </cfRule>
  </conditionalFormatting>
  <conditionalFormatting sqref="AJ20">
    <cfRule type="cellIs" dxfId="131" priority="92937" stopIfTrue="1" operator="equal">
      <formula>"En cours"</formula>
    </cfRule>
  </conditionalFormatting>
  <conditionalFormatting sqref="AJ20">
    <cfRule type="cellIs" dxfId="130" priority="92938" stopIfTrue="1" operator="notEqual">
      <formula>"En cours"</formula>
    </cfRule>
  </conditionalFormatting>
  <conditionalFormatting sqref="AK20">
    <cfRule type="cellIs" dxfId="129" priority="92939" stopIfTrue="1" operator="equal">
      <formula>"En cours"</formula>
    </cfRule>
  </conditionalFormatting>
  <conditionalFormatting sqref="AK20">
    <cfRule type="cellIs" dxfId="128" priority="92940" stopIfTrue="1" operator="notEqual">
      <formula>"En cours"</formula>
    </cfRule>
  </conditionalFormatting>
  <conditionalFormatting sqref="AJ21">
    <cfRule type="cellIs" dxfId="123" priority="92945" stopIfTrue="1" operator="equal">
      <formula>"En cours"</formula>
    </cfRule>
  </conditionalFormatting>
  <conditionalFormatting sqref="AJ21">
    <cfRule type="cellIs" dxfId="122" priority="92946" stopIfTrue="1" operator="notEqual">
      <formula>"En cours"</formula>
    </cfRule>
  </conditionalFormatting>
  <conditionalFormatting sqref="AK21">
    <cfRule type="cellIs" dxfId="121" priority="92947" stopIfTrue="1" operator="equal">
      <formula>"En cours"</formula>
    </cfRule>
  </conditionalFormatting>
  <conditionalFormatting sqref="AK21">
    <cfRule type="cellIs" dxfId="120" priority="92948" stopIfTrue="1" operator="notEqual">
      <formula>"En cours"</formula>
    </cfRule>
  </conditionalFormatting>
  <conditionalFormatting sqref="AJ4">
    <cfRule type="cellIs" dxfId="115" priority="92953" stopIfTrue="1" operator="equal">
      <formula>"En cours"</formula>
    </cfRule>
  </conditionalFormatting>
  <conditionalFormatting sqref="AJ4">
    <cfRule type="cellIs" dxfId="114" priority="92954" stopIfTrue="1" operator="notEqual">
      <formula>"En cours"</formula>
    </cfRule>
  </conditionalFormatting>
  <conditionalFormatting sqref="AK4">
    <cfRule type="cellIs" dxfId="113" priority="92955" stopIfTrue="1" operator="equal">
      <formula>"En cours"</formula>
    </cfRule>
  </conditionalFormatting>
  <conditionalFormatting sqref="AK4">
    <cfRule type="cellIs" dxfId="112" priority="92956" stopIfTrue="1" operator="notEqual">
      <formula>"En cours"</formula>
    </cfRule>
  </conditionalFormatting>
  <conditionalFormatting sqref="AJ22">
    <cfRule type="cellIs" dxfId="111" priority="92957" stopIfTrue="1" operator="equal">
      <formula>"En cours"</formula>
    </cfRule>
  </conditionalFormatting>
  <conditionalFormatting sqref="AJ22">
    <cfRule type="cellIs" dxfId="110" priority="92958" stopIfTrue="1" operator="notEqual">
      <formula>"En cours"</formula>
    </cfRule>
  </conditionalFormatting>
  <conditionalFormatting sqref="AK22">
    <cfRule type="cellIs" dxfId="109" priority="92959" stopIfTrue="1" operator="equal">
      <formula>"En cours"</formula>
    </cfRule>
  </conditionalFormatting>
  <conditionalFormatting sqref="AK22">
    <cfRule type="cellIs" dxfId="108" priority="92960" stopIfTrue="1" operator="notEqual">
      <formula>"En cours"</formula>
    </cfRule>
  </conditionalFormatting>
  <conditionalFormatting sqref="AJ9">
    <cfRule type="cellIs" dxfId="107" priority="92961" stopIfTrue="1" operator="equal">
      <formula>"En cours"</formula>
    </cfRule>
  </conditionalFormatting>
  <conditionalFormatting sqref="AJ9">
    <cfRule type="cellIs" dxfId="106" priority="92962" stopIfTrue="1" operator="notEqual">
      <formula>"En cours"</formula>
    </cfRule>
  </conditionalFormatting>
  <conditionalFormatting sqref="AK9">
    <cfRule type="cellIs" dxfId="105" priority="92963" stopIfTrue="1" operator="equal">
      <formula>"En cours"</formula>
    </cfRule>
  </conditionalFormatting>
  <conditionalFormatting sqref="AK9">
    <cfRule type="cellIs" dxfId="104" priority="92964" stopIfTrue="1" operator="notEqual">
      <formula>"En cours"</formula>
    </cfRule>
  </conditionalFormatting>
  <conditionalFormatting sqref="AJ6">
    <cfRule type="cellIs" dxfId="95" priority="92973" stopIfTrue="1" operator="equal">
      <formula>"En cours"</formula>
    </cfRule>
  </conditionalFormatting>
  <conditionalFormatting sqref="AJ6">
    <cfRule type="cellIs" dxfId="94" priority="92974" stopIfTrue="1" operator="notEqual">
      <formula>"En cours"</formula>
    </cfRule>
  </conditionalFormatting>
  <conditionalFormatting sqref="AK6">
    <cfRule type="cellIs" dxfId="93" priority="92975" stopIfTrue="1" operator="equal">
      <formula>"En cours"</formula>
    </cfRule>
  </conditionalFormatting>
  <conditionalFormatting sqref="AK6">
    <cfRule type="cellIs" dxfId="92" priority="92976" stopIfTrue="1" operator="notEqual">
      <formula>"En cours"</formula>
    </cfRule>
  </conditionalFormatting>
  <conditionalFormatting sqref="AJ7">
    <cfRule type="cellIs" dxfId="91" priority="92977" stopIfTrue="1" operator="equal">
      <formula>"En cours"</formula>
    </cfRule>
  </conditionalFormatting>
  <conditionalFormatting sqref="AJ7">
    <cfRule type="cellIs" dxfId="90" priority="92978" stopIfTrue="1" operator="notEqual">
      <formula>"En cours"</formula>
    </cfRule>
  </conditionalFormatting>
  <conditionalFormatting sqref="AK7">
    <cfRule type="cellIs" dxfId="89" priority="92979" stopIfTrue="1" operator="equal">
      <formula>"En cours"</formula>
    </cfRule>
  </conditionalFormatting>
  <conditionalFormatting sqref="AK7">
    <cfRule type="cellIs" dxfId="88" priority="92980" stopIfTrue="1" operator="notEqual">
      <formula>"En cours"</formula>
    </cfRule>
  </conditionalFormatting>
  <conditionalFormatting sqref="AJ11">
    <cfRule type="cellIs" dxfId="87" priority="92981" stopIfTrue="1" operator="equal">
      <formula>"En cours"</formula>
    </cfRule>
  </conditionalFormatting>
  <conditionalFormatting sqref="AJ11">
    <cfRule type="cellIs" dxfId="86" priority="92982" stopIfTrue="1" operator="notEqual">
      <formula>"En cours"</formula>
    </cfRule>
  </conditionalFormatting>
  <conditionalFormatting sqref="AK11">
    <cfRule type="cellIs" dxfId="85" priority="92983" stopIfTrue="1" operator="equal">
      <formula>"En cours"</formula>
    </cfRule>
  </conditionalFormatting>
  <conditionalFormatting sqref="AK11">
    <cfRule type="cellIs" dxfId="84" priority="92984" stopIfTrue="1" operator="notEqual">
      <formula>"En cours"</formula>
    </cfRule>
  </conditionalFormatting>
  <conditionalFormatting sqref="AJ16">
    <cfRule type="cellIs" dxfId="83" priority="92985" stopIfTrue="1" operator="equal">
      <formula>"En cours"</formula>
    </cfRule>
  </conditionalFormatting>
  <conditionalFormatting sqref="AJ16">
    <cfRule type="cellIs" dxfId="82" priority="92986" stopIfTrue="1" operator="notEqual">
      <formula>"En cours"</formula>
    </cfRule>
  </conditionalFormatting>
  <conditionalFormatting sqref="AK16">
    <cfRule type="cellIs" dxfId="81" priority="92987" stopIfTrue="1" operator="equal">
      <formula>"En cours"</formula>
    </cfRule>
  </conditionalFormatting>
  <conditionalFormatting sqref="AK16">
    <cfRule type="cellIs" dxfId="80" priority="92988" stopIfTrue="1" operator="notEqual">
      <formula>"En cours"</formula>
    </cfRule>
  </conditionalFormatting>
  <conditionalFormatting sqref="AJ15">
    <cfRule type="cellIs" dxfId="79" priority="92989" stopIfTrue="1" operator="equal">
      <formula>"En cours"</formula>
    </cfRule>
  </conditionalFormatting>
  <conditionalFormatting sqref="AJ15">
    <cfRule type="cellIs" dxfId="78" priority="92990" stopIfTrue="1" operator="notEqual">
      <formula>"En cours"</formula>
    </cfRule>
  </conditionalFormatting>
  <conditionalFormatting sqref="AK15">
    <cfRule type="cellIs" dxfId="77" priority="92991" stopIfTrue="1" operator="equal">
      <formula>"En cours"</formula>
    </cfRule>
  </conditionalFormatting>
  <conditionalFormatting sqref="AK15">
    <cfRule type="cellIs" dxfId="76" priority="92992" stopIfTrue="1" operator="notEqual">
      <formula>"En cours"</formula>
    </cfRule>
  </conditionalFormatting>
  <conditionalFormatting sqref="AJ26">
    <cfRule type="cellIs" dxfId="75" priority="92993" stopIfTrue="1" operator="equal">
      <formula>"En cours"</formula>
    </cfRule>
  </conditionalFormatting>
  <conditionalFormatting sqref="AJ26">
    <cfRule type="cellIs" dxfId="74" priority="92994" stopIfTrue="1" operator="notEqual">
      <formula>"En cours"</formula>
    </cfRule>
  </conditionalFormatting>
  <conditionalFormatting sqref="AK26">
    <cfRule type="cellIs" dxfId="73" priority="92995" stopIfTrue="1" operator="equal">
      <formula>"En cours"</formula>
    </cfRule>
  </conditionalFormatting>
  <conditionalFormatting sqref="AK26">
    <cfRule type="cellIs" dxfId="72" priority="92996" stopIfTrue="1" operator="notEqual">
      <formula>"En cours"</formula>
    </cfRule>
  </conditionalFormatting>
  <conditionalFormatting sqref="AJ19">
    <cfRule type="cellIs" dxfId="71" priority="92997" stopIfTrue="1" operator="equal">
      <formula>"En cours"</formula>
    </cfRule>
  </conditionalFormatting>
  <conditionalFormatting sqref="AJ19">
    <cfRule type="cellIs" dxfId="70" priority="92998" stopIfTrue="1" operator="notEqual">
      <formula>"En cours"</formula>
    </cfRule>
  </conditionalFormatting>
  <conditionalFormatting sqref="AK19">
    <cfRule type="cellIs" dxfId="69" priority="92999" stopIfTrue="1" operator="equal">
      <formula>"En cours"</formula>
    </cfRule>
  </conditionalFormatting>
  <conditionalFormatting sqref="AK19">
    <cfRule type="cellIs" dxfId="68" priority="93000" stopIfTrue="1" operator="notEqual">
      <formula>"En cours"</formula>
    </cfRule>
  </conditionalFormatting>
  <conditionalFormatting sqref="AJ14">
    <cfRule type="cellIs" dxfId="59" priority="93009" stopIfTrue="1" operator="equal">
      <formula>"En cours"</formula>
    </cfRule>
  </conditionalFormatting>
  <conditionalFormatting sqref="AJ14">
    <cfRule type="cellIs" dxfId="58" priority="93010" stopIfTrue="1" operator="notEqual">
      <formula>"En cours"</formula>
    </cfRule>
  </conditionalFormatting>
  <conditionalFormatting sqref="AK14">
    <cfRule type="cellIs" dxfId="57" priority="93011" stopIfTrue="1" operator="equal">
      <formula>"En cours"</formula>
    </cfRule>
  </conditionalFormatting>
  <conditionalFormatting sqref="AK14">
    <cfRule type="cellIs" dxfId="56" priority="93012" stopIfTrue="1" operator="notEqual">
      <formula>"En cours"</formula>
    </cfRule>
  </conditionalFormatting>
  <conditionalFormatting sqref="AJ13">
    <cfRule type="cellIs" dxfId="55" priority="93013" stopIfTrue="1" operator="equal">
      <formula>"En cours"</formula>
    </cfRule>
  </conditionalFormatting>
  <conditionalFormatting sqref="AJ13">
    <cfRule type="cellIs" dxfId="54" priority="93014" stopIfTrue="1" operator="notEqual">
      <formula>"En cours"</formula>
    </cfRule>
  </conditionalFormatting>
  <conditionalFormatting sqref="AK13">
    <cfRule type="cellIs" dxfId="53" priority="93015" stopIfTrue="1" operator="equal">
      <formula>"En cours"</formula>
    </cfRule>
  </conditionalFormatting>
  <conditionalFormatting sqref="AK13">
    <cfRule type="cellIs" dxfId="52" priority="93016" stopIfTrue="1" operator="notEqual">
      <formula>"En cours"</formula>
    </cfRule>
  </conditionalFormatting>
  <conditionalFormatting sqref="AJ27">
    <cfRule type="cellIs" dxfId="51" priority="93017" stopIfTrue="1" operator="equal">
      <formula>"En cours"</formula>
    </cfRule>
  </conditionalFormatting>
  <conditionalFormatting sqref="AJ27">
    <cfRule type="cellIs" dxfId="50" priority="93018" stopIfTrue="1" operator="notEqual">
      <formula>"En cours"</formula>
    </cfRule>
  </conditionalFormatting>
  <conditionalFormatting sqref="AK27">
    <cfRule type="cellIs" dxfId="49" priority="93019" stopIfTrue="1" operator="equal">
      <formula>"En cours"</formula>
    </cfRule>
  </conditionalFormatting>
  <conditionalFormatting sqref="AK27">
    <cfRule type="cellIs" dxfId="48" priority="93020" stopIfTrue="1" operator="notEqual">
      <formula>"En cours"</formula>
    </cfRule>
  </conditionalFormatting>
  <conditionalFormatting sqref="AJ17">
    <cfRule type="cellIs" dxfId="47" priority="93021" stopIfTrue="1" operator="equal">
      <formula>"En cours"</formula>
    </cfRule>
  </conditionalFormatting>
  <conditionalFormatting sqref="AJ17">
    <cfRule type="cellIs" dxfId="46" priority="93022" stopIfTrue="1" operator="notEqual">
      <formula>"En cours"</formula>
    </cfRule>
  </conditionalFormatting>
  <conditionalFormatting sqref="AK17">
    <cfRule type="cellIs" dxfId="45" priority="93023" stopIfTrue="1" operator="equal">
      <formula>"En cours"</formula>
    </cfRule>
  </conditionalFormatting>
  <conditionalFormatting sqref="AK17">
    <cfRule type="cellIs" dxfId="44" priority="93024" stopIfTrue="1" operator="notEqual">
      <formula>"En cours"</formula>
    </cfRule>
  </conditionalFormatting>
  <conditionalFormatting sqref="AJ25">
    <cfRule type="cellIs" dxfId="43" priority="93025" stopIfTrue="1" operator="equal">
      <formula>"En cours"</formula>
    </cfRule>
  </conditionalFormatting>
  <conditionalFormatting sqref="AJ25">
    <cfRule type="cellIs" dxfId="42" priority="93026" stopIfTrue="1" operator="notEqual">
      <formula>"En cours"</formula>
    </cfRule>
  </conditionalFormatting>
  <conditionalFormatting sqref="AK25">
    <cfRule type="cellIs" dxfId="41" priority="93027" stopIfTrue="1" operator="equal">
      <formula>"En cours"</formula>
    </cfRule>
  </conditionalFormatting>
  <conditionalFormatting sqref="AK25">
    <cfRule type="cellIs" dxfId="40" priority="93028" stopIfTrue="1" operator="notEqual">
      <formula>"En cours"</formula>
    </cfRule>
  </conditionalFormatting>
  <conditionalFormatting sqref="AJ28">
    <cfRule type="cellIs" dxfId="39" priority="93029" stopIfTrue="1" operator="equal">
      <formula>"En cours"</formula>
    </cfRule>
  </conditionalFormatting>
  <conditionalFormatting sqref="AJ28">
    <cfRule type="cellIs" dxfId="38" priority="93030" stopIfTrue="1" operator="notEqual">
      <formula>"En cours"</formula>
    </cfRule>
  </conditionalFormatting>
  <conditionalFormatting sqref="AK28">
    <cfRule type="cellIs" dxfId="37" priority="93031" stopIfTrue="1" operator="equal">
      <formula>"En cours"</formula>
    </cfRule>
  </conditionalFormatting>
  <conditionalFormatting sqref="AK28">
    <cfRule type="cellIs" dxfId="36" priority="93032" stopIfTrue="1" operator="notEqual">
      <formula>"En cours"</formula>
    </cfRule>
  </conditionalFormatting>
  <conditionalFormatting sqref="AJ18">
    <cfRule type="cellIs" dxfId="35" priority="93033" stopIfTrue="1" operator="equal">
      <formula>"En cours"</formula>
    </cfRule>
  </conditionalFormatting>
  <conditionalFormatting sqref="AJ18">
    <cfRule type="cellIs" dxfId="34" priority="93034" stopIfTrue="1" operator="notEqual">
      <formula>"En cours"</formula>
    </cfRule>
  </conditionalFormatting>
  <conditionalFormatting sqref="AK18">
    <cfRule type="cellIs" dxfId="33" priority="93035" stopIfTrue="1" operator="equal">
      <formula>"En cours"</formula>
    </cfRule>
  </conditionalFormatting>
  <conditionalFormatting sqref="AK18">
    <cfRule type="cellIs" dxfId="32" priority="93036" stopIfTrue="1" operator="notEqual">
      <formula>"En cours"</formula>
    </cfRule>
  </conditionalFormatting>
  <conditionalFormatting sqref="AJ5">
    <cfRule type="cellIs" dxfId="31" priority="93037" stopIfTrue="1" operator="equal">
      <formula>"En cours"</formula>
    </cfRule>
  </conditionalFormatting>
  <conditionalFormatting sqref="AJ5">
    <cfRule type="cellIs" dxfId="30" priority="93038" stopIfTrue="1" operator="notEqual">
      <formula>"En cours"</formula>
    </cfRule>
  </conditionalFormatting>
  <conditionalFormatting sqref="AK5">
    <cfRule type="cellIs" dxfId="29" priority="93039" stopIfTrue="1" operator="equal">
      <formula>"En cours"</formula>
    </cfRule>
  </conditionalFormatting>
  <conditionalFormatting sqref="AK5">
    <cfRule type="cellIs" dxfId="28" priority="93040" stopIfTrue="1" operator="notEqual">
      <formula>"En cours"</formula>
    </cfRule>
  </conditionalFormatting>
  <conditionalFormatting sqref="AJ8">
    <cfRule type="cellIs" dxfId="27" priority="93041" stopIfTrue="1" operator="equal">
      <formula>"En cours"</formula>
    </cfRule>
  </conditionalFormatting>
  <conditionalFormatting sqref="AJ8">
    <cfRule type="cellIs" dxfId="26" priority="93042" stopIfTrue="1" operator="notEqual">
      <formula>"En cours"</formula>
    </cfRule>
  </conditionalFormatting>
  <conditionalFormatting sqref="AK8">
    <cfRule type="cellIs" dxfId="25" priority="93043" stopIfTrue="1" operator="equal">
      <formula>"En cours"</formula>
    </cfRule>
  </conditionalFormatting>
  <conditionalFormatting sqref="AK8">
    <cfRule type="cellIs" dxfId="24" priority="93044" stopIfTrue="1" operator="notEqual">
      <formula>"En cours"</formula>
    </cfRule>
  </conditionalFormatting>
  <conditionalFormatting sqref="AJ10">
    <cfRule type="cellIs" dxfId="23" priority="93045" stopIfTrue="1" operator="equal">
      <formula>"En cours"</formula>
    </cfRule>
  </conditionalFormatting>
  <conditionalFormatting sqref="AJ10">
    <cfRule type="cellIs" dxfId="22" priority="93046" stopIfTrue="1" operator="notEqual">
      <formula>"En cours"</formula>
    </cfRule>
  </conditionalFormatting>
  <conditionalFormatting sqref="AK10">
    <cfRule type="cellIs" dxfId="21" priority="93047" stopIfTrue="1" operator="equal">
      <formula>"En cours"</formula>
    </cfRule>
  </conditionalFormatting>
  <conditionalFormatting sqref="AK10">
    <cfRule type="cellIs" dxfId="20" priority="93048" stopIfTrue="1" operator="notEqual">
      <formula>"En cours"</formula>
    </cfRule>
  </conditionalFormatting>
  <conditionalFormatting sqref="AJ23">
    <cfRule type="cellIs" dxfId="19" priority="93049" stopIfTrue="1" operator="equal">
      <formula>"En cours"</formula>
    </cfRule>
  </conditionalFormatting>
  <conditionalFormatting sqref="AJ23">
    <cfRule type="cellIs" dxfId="18" priority="93050" stopIfTrue="1" operator="notEqual">
      <formula>"En cours"</formula>
    </cfRule>
  </conditionalFormatting>
  <conditionalFormatting sqref="AK23">
    <cfRule type="cellIs" dxfId="17" priority="93051" stopIfTrue="1" operator="equal">
      <formula>"En cours"</formula>
    </cfRule>
  </conditionalFormatting>
  <conditionalFormatting sqref="AK23">
    <cfRule type="cellIs" dxfId="16" priority="93052" stopIfTrue="1" operator="notEqual">
      <formula>"En cours"</formula>
    </cfRule>
  </conditionalFormatting>
  <conditionalFormatting sqref="AJ29">
    <cfRule type="cellIs" dxfId="15" priority="93053" stopIfTrue="1" operator="equal">
      <formula>"En cours"</formula>
    </cfRule>
  </conditionalFormatting>
  <conditionalFormatting sqref="AJ29">
    <cfRule type="cellIs" dxfId="14" priority="93054" stopIfTrue="1" operator="notEqual">
      <formula>"En cours"</formula>
    </cfRule>
  </conditionalFormatting>
  <conditionalFormatting sqref="AK29">
    <cfRule type="cellIs" dxfId="13" priority="93055" stopIfTrue="1" operator="equal">
      <formula>"En cours"</formula>
    </cfRule>
  </conditionalFormatting>
  <conditionalFormatting sqref="AK29">
    <cfRule type="cellIs" dxfId="12" priority="93056" stopIfTrue="1" operator="notEqual">
      <formula>"En cours"</formula>
    </cfRule>
  </conditionalFormatting>
  <conditionalFormatting sqref="AJ12">
    <cfRule type="cellIs" dxfId="11" priority="93057" stopIfTrue="1" operator="equal">
      <formula>"En cours"</formula>
    </cfRule>
  </conditionalFormatting>
  <conditionalFormatting sqref="AJ12">
    <cfRule type="cellIs" dxfId="10" priority="93058" stopIfTrue="1" operator="notEqual">
      <formula>"En cours"</formula>
    </cfRule>
  </conditionalFormatting>
  <conditionalFormatting sqref="AK12">
    <cfRule type="cellIs" dxfId="9" priority="93059" stopIfTrue="1" operator="equal">
      <formula>"En cours"</formula>
    </cfRule>
  </conditionalFormatting>
  <conditionalFormatting sqref="AK12">
    <cfRule type="cellIs" dxfId="8" priority="93060" stopIfTrue="1" operator="notEqual">
      <formula>"En cours"</formula>
    </cfRule>
  </conditionalFormatting>
  <conditionalFormatting sqref="AJ24">
    <cfRule type="cellIs" dxfId="7" priority="93061" stopIfTrue="1" operator="equal">
      <formula>"En cours"</formula>
    </cfRule>
  </conditionalFormatting>
  <conditionalFormatting sqref="AJ24">
    <cfRule type="cellIs" dxfId="6" priority="93062" stopIfTrue="1" operator="notEqual">
      <formula>"En cours"</formula>
    </cfRule>
  </conditionalFormatting>
  <conditionalFormatting sqref="AK24">
    <cfRule type="cellIs" dxfId="5" priority="93063" stopIfTrue="1" operator="equal">
      <formula>"En cours"</formula>
    </cfRule>
  </conditionalFormatting>
  <conditionalFormatting sqref="AK24">
    <cfRule type="cellIs" dxfId="4" priority="93064" stopIfTrue="1" operator="notEqual">
      <formula>"En cours"</formula>
    </cfRule>
  </conditionalFormatting>
  <conditionalFormatting sqref="AJ30">
    <cfRule type="cellIs" dxfId="3" priority="93065" stopIfTrue="1" operator="equal">
      <formula>"En cours"</formula>
    </cfRule>
  </conditionalFormatting>
  <conditionalFormatting sqref="AJ30">
    <cfRule type="cellIs" dxfId="2" priority="93066" stopIfTrue="1" operator="notEqual">
      <formula>"En cours"</formula>
    </cfRule>
  </conditionalFormatting>
  <conditionalFormatting sqref="AK30">
    <cfRule type="cellIs" dxfId="1" priority="93067" stopIfTrue="1" operator="equal">
      <formula>"En cours"</formula>
    </cfRule>
  </conditionalFormatting>
  <conditionalFormatting sqref="AK30">
    <cfRule type="cellIs" dxfId="0" priority="93068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1538"/>
  <sheetViews>
    <sheetView topLeftCell="B1" workbookViewId="0">
      <pane ySplit="4" topLeftCell="A5" activePane="bottomLeft" state="frozen"/>
      <selection pane="bottomLeft" activeCell="B52" sqref="B52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95" t="s">
        <v>70</v>
      </c>
      <c r="C4" s="95" t="s">
        <v>78</v>
      </c>
      <c r="D4" s="95" t="s">
        <v>79</v>
      </c>
      <c r="E4" s="95" t="s">
        <v>71</v>
      </c>
      <c r="F4" s="95" t="s">
        <v>72</v>
      </c>
    </row>
    <row r="5" spans="2:6" x14ac:dyDescent="0.25">
      <c r="B5" t="s">
        <v>113</v>
      </c>
      <c r="C5" t="s">
        <v>105</v>
      </c>
      <c r="D5" t="s">
        <v>105</v>
      </c>
      <c r="E5" t="s">
        <v>114</v>
      </c>
      <c r="F5" s="158">
        <v>45516.797743055555</v>
      </c>
    </row>
    <row r="6" spans="2:6" x14ac:dyDescent="0.25">
      <c r="B6" t="s">
        <v>111</v>
      </c>
      <c r="C6" t="s">
        <v>105</v>
      </c>
      <c r="D6" t="s">
        <v>105</v>
      </c>
      <c r="E6" t="s">
        <v>105</v>
      </c>
      <c r="F6" s="158">
        <v>45516.797743055555</v>
      </c>
    </row>
    <row r="7" spans="2:6" x14ac:dyDescent="0.25">
      <c r="B7" t="s">
        <v>109</v>
      </c>
      <c r="C7" t="s">
        <v>105</v>
      </c>
      <c r="D7" t="s">
        <v>105</v>
      </c>
      <c r="E7" t="s">
        <v>105</v>
      </c>
      <c r="F7" s="158">
        <v>45516.797743055555</v>
      </c>
    </row>
    <row r="8" spans="2:6" x14ac:dyDescent="0.25">
      <c r="B8" t="s">
        <v>115</v>
      </c>
      <c r="C8" t="s">
        <v>100</v>
      </c>
      <c r="D8" t="s">
        <v>100</v>
      </c>
      <c r="E8" t="s">
        <v>103</v>
      </c>
      <c r="F8" s="158">
        <v>45516.797743055555</v>
      </c>
    </row>
    <row r="9" spans="2:6" x14ac:dyDescent="0.25">
      <c r="B9" t="s">
        <v>104</v>
      </c>
      <c r="C9" t="s">
        <v>100</v>
      </c>
      <c r="D9" t="s">
        <v>105</v>
      </c>
      <c r="E9" t="s">
        <v>105</v>
      </c>
      <c r="F9" s="158">
        <v>45516.797766203701</v>
      </c>
    </row>
    <row r="10" spans="2:6" x14ac:dyDescent="0.25">
      <c r="B10" t="s">
        <v>104</v>
      </c>
      <c r="C10" t="s">
        <v>106</v>
      </c>
      <c r="D10" t="s">
        <v>91</v>
      </c>
      <c r="E10" t="s">
        <v>105</v>
      </c>
      <c r="F10" s="158">
        <v>45516.797766203701</v>
      </c>
    </row>
    <row r="11" spans="2:6" x14ac:dyDescent="0.25">
      <c r="B11" t="s">
        <v>104</v>
      </c>
      <c r="C11" t="s">
        <v>107</v>
      </c>
      <c r="D11" t="s">
        <v>92</v>
      </c>
      <c r="E11" t="s">
        <v>105</v>
      </c>
      <c r="F11" s="158">
        <v>45516.797766203701</v>
      </c>
    </row>
    <row r="12" spans="2:6" x14ac:dyDescent="0.25">
      <c r="B12" t="s">
        <v>111</v>
      </c>
      <c r="C12" t="s">
        <v>105</v>
      </c>
      <c r="D12" t="s">
        <v>105</v>
      </c>
      <c r="E12" t="s">
        <v>105</v>
      </c>
      <c r="F12" s="158">
        <v>45516.797777777778</v>
      </c>
    </row>
    <row r="13" spans="2:6" x14ac:dyDescent="0.25">
      <c r="B13" t="s">
        <v>109</v>
      </c>
      <c r="C13" t="s">
        <v>105</v>
      </c>
      <c r="D13" t="s">
        <v>105</v>
      </c>
      <c r="E13" t="s">
        <v>105</v>
      </c>
      <c r="F13" s="158">
        <v>45516.797777777778</v>
      </c>
    </row>
    <row r="14" spans="2:6" x14ac:dyDescent="0.25">
      <c r="B14" t="s">
        <v>116</v>
      </c>
      <c r="C14" t="s">
        <v>100</v>
      </c>
      <c r="D14" t="s">
        <v>100</v>
      </c>
      <c r="E14" t="s">
        <v>117</v>
      </c>
      <c r="F14" s="158">
        <v>45516.797777777778</v>
      </c>
    </row>
    <row r="15" spans="2:6" x14ac:dyDescent="0.25">
      <c r="B15" t="s">
        <v>118</v>
      </c>
      <c r="C15" t="s">
        <v>100</v>
      </c>
      <c r="D15" t="s">
        <v>105</v>
      </c>
      <c r="E15" t="s">
        <v>105</v>
      </c>
      <c r="F15" s="158">
        <v>45516.797800925924</v>
      </c>
    </row>
    <row r="16" spans="2:6" x14ac:dyDescent="0.25">
      <c r="B16" t="s">
        <v>118</v>
      </c>
      <c r="C16" t="s">
        <v>106</v>
      </c>
      <c r="D16" t="s">
        <v>91</v>
      </c>
      <c r="E16" t="s">
        <v>105</v>
      </c>
      <c r="F16" s="158">
        <v>45516.797800925924</v>
      </c>
    </row>
    <row r="17" spans="2:6" x14ac:dyDescent="0.25">
      <c r="B17" t="s">
        <v>118</v>
      </c>
      <c r="C17" t="s">
        <v>107</v>
      </c>
      <c r="D17" t="s">
        <v>92</v>
      </c>
      <c r="E17" t="s">
        <v>105</v>
      </c>
      <c r="F17" s="158">
        <v>45516.797800925924</v>
      </c>
    </row>
    <row r="18" spans="2:6" x14ac:dyDescent="0.25">
      <c r="B18" t="s">
        <v>111</v>
      </c>
      <c r="C18" t="s">
        <v>105</v>
      </c>
      <c r="D18" t="s">
        <v>105</v>
      </c>
      <c r="E18" t="s">
        <v>105</v>
      </c>
      <c r="F18" s="158">
        <v>45516.797812500001</v>
      </c>
    </row>
    <row r="19" spans="2:6" x14ac:dyDescent="0.25">
      <c r="B19" t="s">
        <v>109</v>
      </c>
      <c r="C19" t="s">
        <v>105</v>
      </c>
      <c r="D19" t="s">
        <v>105</v>
      </c>
      <c r="E19" t="s">
        <v>105</v>
      </c>
      <c r="F19" s="158">
        <v>45516.797812500001</v>
      </c>
    </row>
    <row r="20" spans="2:6" x14ac:dyDescent="0.25">
      <c r="B20" t="s">
        <v>119</v>
      </c>
      <c r="C20" t="s">
        <v>100</v>
      </c>
      <c r="D20" t="s">
        <v>100</v>
      </c>
      <c r="E20" t="s">
        <v>120</v>
      </c>
      <c r="F20" s="158">
        <v>45516.797812500001</v>
      </c>
    </row>
    <row r="21" spans="2:6" x14ac:dyDescent="0.25">
      <c r="B21" t="s">
        <v>121</v>
      </c>
      <c r="C21" t="s">
        <v>100</v>
      </c>
      <c r="D21" t="s">
        <v>105</v>
      </c>
      <c r="E21" t="s">
        <v>105</v>
      </c>
      <c r="F21" s="158">
        <v>45516.797847222224</v>
      </c>
    </row>
    <row r="22" spans="2:6" x14ac:dyDescent="0.25">
      <c r="B22" t="s">
        <v>121</v>
      </c>
      <c r="C22" t="s">
        <v>106</v>
      </c>
      <c r="D22" t="s">
        <v>91</v>
      </c>
      <c r="E22" t="s">
        <v>105</v>
      </c>
      <c r="F22" s="158">
        <v>45516.797847222224</v>
      </c>
    </row>
    <row r="23" spans="2:6" x14ac:dyDescent="0.25">
      <c r="B23" t="s">
        <v>121</v>
      </c>
      <c r="C23" t="s">
        <v>107</v>
      </c>
      <c r="D23" t="s">
        <v>92</v>
      </c>
      <c r="E23" t="s">
        <v>105</v>
      </c>
      <c r="F23" s="158">
        <v>45516.797847222224</v>
      </c>
    </row>
    <row r="24" spans="2:6" x14ac:dyDescent="0.25">
      <c r="B24" t="s">
        <v>111</v>
      </c>
      <c r="C24" t="s">
        <v>105</v>
      </c>
      <c r="D24" t="s">
        <v>105</v>
      </c>
      <c r="E24" t="s">
        <v>105</v>
      </c>
      <c r="F24" s="158">
        <v>45516.797858796293</v>
      </c>
    </row>
    <row r="25" spans="2:6" x14ac:dyDescent="0.25">
      <c r="B25" t="s">
        <v>109</v>
      </c>
      <c r="C25" t="s">
        <v>105</v>
      </c>
      <c r="D25" t="s">
        <v>105</v>
      </c>
      <c r="E25" t="s">
        <v>105</v>
      </c>
      <c r="F25" s="158">
        <v>45516.797858796293</v>
      </c>
    </row>
    <row r="26" spans="2:6" x14ac:dyDescent="0.25">
      <c r="B26" t="s">
        <v>122</v>
      </c>
      <c r="C26" t="s">
        <v>100</v>
      </c>
      <c r="D26" t="s">
        <v>100</v>
      </c>
      <c r="E26" t="s">
        <v>123</v>
      </c>
      <c r="F26" s="158">
        <v>45516.797858796293</v>
      </c>
    </row>
    <row r="27" spans="2:6" x14ac:dyDescent="0.25">
      <c r="B27" t="s">
        <v>124</v>
      </c>
      <c r="C27" t="s">
        <v>100</v>
      </c>
      <c r="D27" t="s">
        <v>105</v>
      </c>
      <c r="E27" t="s">
        <v>105</v>
      </c>
      <c r="F27" s="158">
        <v>45516.797881944447</v>
      </c>
    </row>
    <row r="28" spans="2:6" x14ac:dyDescent="0.25">
      <c r="B28" t="s">
        <v>124</v>
      </c>
      <c r="C28" t="s">
        <v>106</v>
      </c>
      <c r="D28" t="s">
        <v>91</v>
      </c>
      <c r="E28" t="s">
        <v>105</v>
      </c>
      <c r="F28" s="158">
        <v>45516.797881944447</v>
      </c>
    </row>
    <row r="29" spans="2:6" x14ac:dyDescent="0.25">
      <c r="B29" t="s">
        <v>124</v>
      </c>
      <c r="C29" t="s">
        <v>107</v>
      </c>
      <c r="D29" t="s">
        <v>92</v>
      </c>
      <c r="E29" t="s">
        <v>105</v>
      </c>
      <c r="F29" s="158">
        <v>45516.797881944447</v>
      </c>
    </row>
    <row r="30" spans="2:6" x14ac:dyDescent="0.25">
      <c r="B30" t="s">
        <v>111</v>
      </c>
      <c r="C30" t="s">
        <v>105</v>
      </c>
      <c r="D30" t="s">
        <v>105</v>
      </c>
      <c r="E30" t="s">
        <v>105</v>
      </c>
      <c r="F30" s="158">
        <v>45516.797893518517</v>
      </c>
    </row>
    <row r="31" spans="2:6" x14ac:dyDescent="0.25">
      <c r="B31" t="s">
        <v>109</v>
      </c>
      <c r="C31" t="s">
        <v>105</v>
      </c>
      <c r="D31" t="s">
        <v>105</v>
      </c>
      <c r="E31" t="s">
        <v>105</v>
      </c>
      <c r="F31" s="158">
        <v>45516.797893518517</v>
      </c>
    </row>
    <row r="32" spans="2:6" x14ac:dyDescent="0.25">
      <c r="B32" t="s">
        <v>125</v>
      </c>
      <c r="C32" t="s">
        <v>100</v>
      </c>
      <c r="D32" t="s">
        <v>100</v>
      </c>
      <c r="E32" t="s">
        <v>126</v>
      </c>
      <c r="F32" s="158">
        <v>45516.797893518517</v>
      </c>
    </row>
    <row r="33" spans="2:6" x14ac:dyDescent="0.25">
      <c r="B33" t="s">
        <v>127</v>
      </c>
      <c r="C33" t="s">
        <v>100</v>
      </c>
      <c r="D33" t="s">
        <v>105</v>
      </c>
      <c r="E33" t="s">
        <v>105</v>
      </c>
      <c r="F33" s="158">
        <v>45516.79791666667</v>
      </c>
    </row>
    <row r="34" spans="2:6" x14ac:dyDescent="0.25">
      <c r="B34" t="s">
        <v>127</v>
      </c>
      <c r="C34" t="s">
        <v>106</v>
      </c>
      <c r="D34" t="s">
        <v>91</v>
      </c>
      <c r="E34" t="s">
        <v>105</v>
      </c>
      <c r="F34" s="158">
        <v>45516.79791666667</v>
      </c>
    </row>
    <row r="35" spans="2:6" x14ac:dyDescent="0.25">
      <c r="B35" t="s">
        <v>127</v>
      </c>
      <c r="C35" t="s">
        <v>107</v>
      </c>
      <c r="D35" t="s">
        <v>92</v>
      </c>
      <c r="E35" t="s">
        <v>105</v>
      </c>
      <c r="F35" s="158">
        <v>45516.79791666667</v>
      </c>
    </row>
    <row r="36" spans="2:6" x14ac:dyDescent="0.25">
      <c r="B36" t="s">
        <v>111</v>
      </c>
      <c r="C36" t="s">
        <v>105</v>
      </c>
      <c r="D36" t="s">
        <v>105</v>
      </c>
      <c r="E36" t="s">
        <v>105</v>
      </c>
      <c r="F36" s="158">
        <v>45516.79792824074</v>
      </c>
    </row>
    <row r="37" spans="2:6" x14ac:dyDescent="0.25">
      <c r="B37" t="s">
        <v>109</v>
      </c>
      <c r="C37" t="s">
        <v>105</v>
      </c>
      <c r="D37" t="s">
        <v>105</v>
      </c>
      <c r="E37" t="s">
        <v>105</v>
      </c>
      <c r="F37" s="158">
        <v>45516.79792824074</v>
      </c>
    </row>
    <row r="38" spans="2:6" x14ac:dyDescent="0.25">
      <c r="B38" t="s">
        <v>128</v>
      </c>
      <c r="C38" t="s">
        <v>100</v>
      </c>
      <c r="D38" t="s">
        <v>100</v>
      </c>
      <c r="E38" t="s">
        <v>129</v>
      </c>
      <c r="F38" s="158">
        <v>45516.79792824074</v>
      </c>
    </row>
    <row r="39" spans="2:6" x14ac:dyDescent="0.25">
      <c r="B39" t="s">
        <v>130</v>
      </c>
      <c r="C39" t="s">
        <v>100</v>
      </c>
      <c r="D39" t="s">
        <v>105</v>
      </c>
      <c r="E39" t="s">
        <v>105</v>
      </c>
      <c r="F39" s="158">
        <v>45516.797951388886</v>
      </c>
    </row>
    <row r="40" spans="2:6" x14ac:dyDescent="0.25">
      <c r="B40" t="s">
        <v>130</v>
      </c>
      <c r="C40" t="s">
        <v>106</v>
      </c>
      <c r="D40" t="s">
        <v>91</v>
      </c>
      <c r="E40" t="s">
        <v>105</v>
      </c>
      <c r="F40" s="158">
        <v>45516.797951388886</v>
      </c>
    </row>
    <row r="41" spans="2:6" x14ac:dyDescent="0.25">
      <c r="B41" t="s">
        <v>130</v>
      </c>
      <c r="C41" t="s">
        <v>107</v>
      </c>
      <c r="D41" t="s">
        <v>92</v>
      </c>
      <c r="E41" t="s">
        <v>105</v>
      </c>
      <c r="F41" s="158">
        <v>45516.797951388886</v>
      </c>
    </row>
    <row r="42" spans="2:6" x14ac:dyDescent="0.25">
      <c r="B42" t="s">
        <v>111</v>
      </c>
      <c r="C42" t="s">
        <v>105</v>
      </c>
      <c r="D42" t="s">
        <v>105</v>
      </c>
      <c r="E42" t="s">
        <v>105</v>
      </c>
      <c r="F42" s="158">
        <v>45516.797962962963</v>
      </c>
    </row>
    <row r="43" spans="2:6" x14ac:dyDescent="0.25">
      <c r="B43" t="s">
        <v>109</v>
      </c>
      <c r="C43" t="s">
        <v>105</v>
      </c>
      <c r="D43" t="s">
        <v>105</v>
      </c>
      <c r="E43" t="s">
        <v>105</v>
      </c>
      <c r="F43" s="158">
        <v>45516.797962962963</v>
      </c>
    </row>
    <row r="44" spans="2:6" x14ac:dyDescent="0.25">
      <c r="B44" t="s">
        <v>131</v>
      </c>
      <c r="C44" t="s">
        <v>100</v>
      </c>
      <c r="D44" t="s">
        <v>100</v>
      </c>
      <c r="E44" t="s">
        <v>132</v>
      </c>
      <c r="F44" s="158">
        <v>45516.797962962963</v>
      </c>
    </row>
    <row r="45" spans="2:6" x14ac:dyDescent="0.25">
      <c r="B45" t="s">
        <v>133</v>
      </c>
      <c r="C45" t="s">
        <v>100</v>
      </c>
      <c r="D45" t="s">
        <v>105</v>
      </c>
      <c r="E45" t="s">
        <v>105</v>
      </c>
      <c r="F45" s="158">
        <v>45516.797997685186</v>
      </c>
    </row>
    <row r="46" spans="2:6" x14ac:dyDescent="0.25">
      <c r="B46" t="s">
        <v>133</v>
      </c>
      <c r="C46" t="s">
        <v>106</v>
      </c>
      <c r="D46" t="s">
        <v>91</v>
      </c>
      <c r="E46" t="s">
        <v>105</v>
      </c>
      <c r="F46" s="158">
        <v>45516.797997685186</v>
      </c>
    </row>
    <row r="47" spans="2:6" x14ac:dyDescent="0.25">
      <c r="B47" t="s">
        <v>133</v>
      </c>
      <c r="C47" t="s">
        <v>107</v>
      </c>
      <c r="D47" t="s">
        <v>92</v>
      </c>
      <c r="E47" t="s">
        <v>105</v>
      </c>
      <c r="F47" s="158">
        <v>45516.797997685186</v>
      </c>
    </row>
    <row r="48" spans="2:6" x14ac:dyDescent="0.25">
      <c r="B48" t="s">
        <v>111</v>
      </c>
      <c r="C48" t="s">
        <v>105</v>
      </c>
      <c r="D48" t="s">
        <v>105</v>
      </c>
      <c r="E48" t="s">
        <v>105</v>
      </c>
      <c r="F48" s="158">
        <v>45516.798009259262</v>
      </c>
    </row>
    <row r="49" spans="2:6" x14ac:dyDescent="0.25">
      <c r="B49" t="s">
        <v>108</v>
      </c>
      <c r="C49" t="s">
        <v>105</v>
      </c>
      <c r="D49" t="s">
        <v>105</v>
      </c>
      <c r="E49" t="s">
        <v>105</v>
      </c>
      <c r="F49" s="158">
        <v>45516.798645833333</v>
      </c>
    </row>
    <row r="50" spans="2:6" x14ac:dyDescent="0.25">
      <c r="B50" t="s">
        <v>109</v>
      </c>
      <c r="C50" t="s">
        <v>105</v>
      </c>
      <c r="D50" t="s">
        <v>105</v>
      </c>
      <c r="E50" t="s">
        <v>105</v>
      </c>
      <c r="F50" s="158">
        <v>45516.798645833333</v>
      </c>
    </row>
    <row r="51" spans="2:6" x14ac:dyDescent="0.25">
      <c r="B51" t="s">
        <v>110</v>
      </c>
      <c r="C51" t="s">
        <v>105</v>
      </c>
      <c r="D51" t="s">
        <v>92</v>
      </c>
      <c r="E51" t="s">
        <v>105</v>
      </c>
      <c r="F51" s="158">
        <v>45516.798645833333</v>
      </c>
    </row>
    <row r="52" spans="2:6" x14ac:dyDescent="0.25">
      <c r="B52" t="s">
        <v>110</v>
      </c>
      <c r="C52" t="s">
        <v>105</v>
      </c>
      <c r="D52" t="s">
        <v>91</v>
      </c>
      <c r="E52" t="s">
        <v>105</v>
      </c>
      <c r="F52" s="158">
        <v>45516.798645833333</v>
      </c>
    </row>
    <row r="53" spans="2:6" x14ac:dyDescent="0.25">
      <c r="B53" t="s">
        <v>102</v>
      </c>
      <c r="C53" t="s">
        <v>100</v>
      </c>
      <c r="D53" t="s">
        <v>100</v>
      </c>
      <c r="E53" t="s">
        <v>132</v>
      </c>
      <c r="F53" s="158">
        <v>45516.798819444448</v>
      </c>
    </row>
    <row r="54" spans="2:6" x14ac:dyDescent="0.25">
      <c r="B54" t="s">
        <v>104</v>
      </c>
      <c r="C54" t="s">
        <v>100</v>
      </c>
      <c r="D54" t="s">
        <v>105</v>
      </c>
      <c r="E54" t="s">
        <v>105</v>
      </c>
      <c r="F54" s="158">
        <v>45516.798854166664</v>
      </c>
    </row>
    <row r="55" spans="2:6" x14ac:dyDescent="0.25">
      <c r="B55" t="s">
        <v>104</v>
      </c>
      <c r="C55" t="s">
        <v>106</v>
      </c>
      <c r="D55" t="s">
        <v>91</v>
      </c>
      <c r="E55" t="s">
        <v>105</v>
      </c>
      <c r="F55" s="158">
        <v>45516.798854166664</v>
      </c>
    </row>
    <row r="56" spans="2:6" x14ac:dyDescent="0.25">
      <c r="B56" t="s">
        <v>104</v>
      </c>
      <c r="C56" t="s">
        <v>107</v>
      </c>
      <c r="D56" t="s">
        <v>92</v>
      </c>
      <c r="E56" t="s">
        <v>105</v>
      </c>
      <c r="F56" s="158">
        <v>45516.79886574074</v>
      </c>
    </row>
    <row r="57" spans="2:6" x14ac:dyDescent="0.25">
      <c r="B57" t="s">
        <v>108</v>
      </c>
      <c r="C57" t="s">
        <v>105</v>
      </c>
      <c r="D57" t="s">
        <v>105</v>
      </c>
      <c r="E57" t="s">
        <v>105</v>
      </c>
      <c r="F57" s="158">
        <v>45516.798993055556</v>
      </c>
    </row>
    <row r="58" spans="2:6" x14ac:dyDescent="0.25">
      <c r="B58" t="s">
        <v>109</v>
      </c>
      <c r="C58" t="s">
        <v>105</v>
      </c>
      <c r="D58" t="s">
        <v>105</v>
      </c>
      <c r="E58" t="s">
        <v>105</v>
      </c>
      <c r="F58" s="158">
        <v>45516.798993055556</v>
      </c>
    </row>
    <row r="59" spans="2:6" x14ac:dyDescent="0.25">
      <c r="B59" t="s">
        <v>110</v>
      </c>
      <c r="C59" t="s">
        <v>105</v>
      </c>
      <c r="D59" t="s">
        <v>92</v>
      </c>
      <c r="E59" t="s">
        <v>105</v>
      </c>
      <c r="F59" s="158">
        <v>45516.798993055556</v>
      </c>
    </row>
    <row r="60" spans="2:6" x14ac:dyDescent="0.25">
      <c r="B60" t="s">
        <v>110</v>
      </c>
      <c r="C60" t="s">
        <v>105</v>
      </c>
      <c r="D60" t="s">
        <v>91</v>
      </c>
      <c r="E60" t="s">
        <v>105</v>
      </c>
      <c r="F60" s="158">
        <v>45516.798993055556</v>
      </c>
    </row>
    <row r="61" spans="2:6" x14ac:dyDescent="0.25">
      <c r="B61" t="s">
        <v>134</v>
      </c>
      <c r="C61" t="s">
        <v>100</v>
      </c>
      <c r="D61" t="s">
        <v>100</v>
      </c>
      <c r="E61" t="s">
        <v>132</v>
      </c>
      <c r="F61" s="158">
        <v>45516.799039351848</v>
      </c>
    </row>
    <row r="62" spans="2:6" x14ac:dyDescent="0.25">
      <c r="B62" t="s">
        <v>133</v>
      </c>
      <c r="C62" t="s">
        <v>100</v>
      </c>
      <c r="D62" t="s">
        <v>105</v>
      </c>
      <c r="E62" t="s">
        <v>105</v>
      </c>
      <c r="F62" s="158">
        <v>45516.799074074072</v>
      </c>
    </row>
    <row r="63" spans="2:6" x14ac:dyDescent="0.25">
      <c r="B63" t="s">
        <v>133</v>
      </c>
      <c r="C63" t="s">
        <v>106</v>
      </c>
      <c r="D63" t="s">
        <v>91</v>
      </c>
      <c r="E63" t="s">
        <v>105</v>
      </c>
      <c r="F63" s="158">
        <v>45516.799074074072</v>
      </c>
    </row>
    <row r="64" spans="2:6" x14ac:dyDescent="0.25">
      <c r="B64" t="s">
        <v>133</v>
      </c>
      <c r="C64" t="s">
        <v>107</v>
      </c>
      <c r="D64" t="s">
        <v>92</v>
      </c>
      <c r="E64" t="s">
        <v>105</v>
      </c>
      <c r="F64" s="158">
        <v>45516.799085648148</v>
      </c>
    </row>
    <row r="65" spans="2:6" x14ac:dyDescent="0.25">
      <c r="B65" t="s">
        <v>108</v>
      </c>
      <c r="C65" t="s">
        <v>105</v>
      </c>
      <c r="D65" t="s">
        <v>105</v>
      </c>
      <c r="E65" t="s">
        <v>105</v>
      </c>
      <c r="F65" s="158">
        <v>45516.800925925927</v>
      </c>
    </row>
    <row r="66" spans="2:6" x14ac:dyDescent="0.25">
      <c r="B66" t="s">
        <v>109</v>
      </c>
      <c r="C66" t="s">
        <v>105</v>
      </c>
      <c r="D66" t="s">
        <v>105</v>
      </c>
      <c r="E66" t="s">
        <v>105</v>
      </c>
      <c r="F66" s="158">
        <v>45516.800925925927</v>
      </c>
    </row>
    <row r="67" spans="2:6" x14ac:dyDescent="0.25">
      <c r="B67" t="s">
        <v>110</v>
      </c>
      <c r="C67" t="s">
        <v>105</v>
      </c>
      <c r="D67" t="s">
        <v>92</v>
      </c>
      <c r="E67" t="s">
        <v>105</v>
      </c>
      <c r="F67" s="158">
        <v>45516.800925925927</v>
      </c>
    </row>
    <row r="68" spans="2:6" x14ac:dyDescent="0.25">
      <c r="B68" t="s">
        <v>110</v>
      </c>
      <c r="C68" t="s">
        <v>105</v>
      </c>
      <c r="D68" t="s">
        <v>91</v>
      </c>
      <c r="E68" t="s">
        <v>105</v>
      </c>
      <c r="F68" s="158">
        <v>45516.800925925927</v>
      </c>
    </row>
    <row r="69" spans="2:6" x14ac:dyDescent="0.25">
      <c r="B69" t="s">
        <v>112</v>
      </c>
      <c r="C69" t="s">
        <v>100</v>
      </c>
      <c r="D69" t="s">
        <v>100</v>
      </c>
      <c r="E69" t="s">
        <v>132</v>
      </c>
      <c r="F69" s="158">
        <v>45516.800983796296</v>
      </c>
    </row>
    <row r="70" spans="2:6" x14ac:dyDescent="0.25">
      <c r="B70" t="s">
        <v>133</v>
      </c>
      <c r="C70" t="s">
        <v>100</v>
      </c>
      <c r="D70" t="s">
        <v>105</v>
      </c>
      <c r="E70" t="s">
        <v>105</v>
      </c>
      <c r="F70" s="158">
        <v>45516.801412037035</v>
      </c>
    </row>
    <row r="71" spans="2:6" x14ac:dyDescent="0.25">
      <c r="B71" t="s">
        <v>133</v>
      </c>
      <c r="C71" t="s">
        <v>106</v>
      </c>
      <c r="D71" t="s">
        <v>91</v>
      </c>
      <c r="E71" t="s">
        <v>105</v>
      </c>
      <c r="F71" s="158">
        <v>45516.801412037035</v>
      </c>
    </row>
    <row r="72" spans="2:6" x14ac:dyDescent="0.25">
      <c r="B72" t="s">
        <v>133</v>
      </c>
      <c r="C72" t="s">
        <v>107</v>
      </c>
      <c r="D72" t="s">
        <v>92</v>
      </c>
      <c r="E72" t="s">
        <v>105</v>
      </c>
      <c r="F72" s="158">
        <v>45516.801412037035</v>
      </c>
    </row>
    <row r="73" spans="2:6" x14ac:dyDescent="0.25">
      <c r="B73" t="s">
        <v>108</v>
      </c>
      <c r="C73" t="s">
        <v>105</v>
      </c>
      <c r="D73" t="s">
        <v>105</v>
      </c>
      <c r="E73" t="s">
        <v>105</v>
      </c>
      <c r="F73" s="158">
        <v>45516.803900462961</v>
      </c>
    </row>
    <row r="74" spans="2:6" x14ac:dyDescent="0.25">
      <c r="B74" t="s">
        <v>109</v>
      </c>
      <c r="C74" t="s">
        <v>105</v>
      </c>
      <c r="D74" t="s">
        <v>105</v>
      </c>
      <c r="E74" t="s">
        <v>105</v>
      </c>
      <c r="F74" s="158">
        <v>45516.803912037038</v>
      </c>
    </row>
    <row r="75" spans="2:6" x14ac:dyDescent="0.25">
      <c r="B75" t="s">
        <v>110</v>
      </c>
      <c r="C75" t="s">
        <v>105</v>
      </c>
      <c r="D75" t="s">
        <v>92</v>
      </c>
      <c r="E75" t="s">
        <v>105</v>
      </c>
      <c r="F75" s="158">
        <v>45516.803912037038</v>
      </c>
    </row>
    <row r="76" spans="2:6" x14ac:dyDescent="0.25">
      <c r="B76" t="s">
        <v>110</v>
      </c>
      <c r="C76" t="s">
        <v>105</v>
      </c>
      <c r="D76" t="s">
        <v>91</v>
      </c>
      <c r="E76" t="s">
        <v>105</v>
      </c>
      <c r="F76" s="158">
        <v>45516.803912037038</v>
      </c>
    </row>
    <row r="77" spans="2:6" x14ac:dyDescent="0.25">
      <c r="B77" t="s">
        <v>112</v>
      </c>
      <c r="C77" t="s">
        <v>100</v>
      </c>
      <c r="D77" t="s">
        <v>100</v>
      </c>
      <c r="E77" t="s">
        <v>132</v>
      </c>
      <c r="F77" s="158">
        <v>45516.803946759261</v>
      </c>
    </row>
    <row r="78" spans="2:6" x14ac:dyDescent="0.25">
      <c r="B78" t="s">
        <v>108</v>
      </c>
      <c r="C78" t="s">
        <v>105</v>
      </c>
      <c r="D78" t="s">
        <v>105</v>
      </c>
      <c r="E78" t="s">
        <v>105</v>
      </c>
      <c r="F78" s="158">
        <v>45516.804456018515</v>
      </c>
    </row>
    <row r="79" spans="2:6" x14ac:dyDescent="0.25">
      <c r="B79" t="s">
        <v>109</v>
      </c>
      <c r="C79" t="s">
        <v>105</v>
      </c>
      <c r="D79" t="s">
        <v>105</v>
      </c>
      <c r="E79" t="s">
        <v>105</v>
      </c>
      <c r="F79" s="158">
        <v>45516.804456018515</v>
      </c>
    </row>
    <row r="80" spans="2:6" x14ac:dyDescent="0.25">
      <c r="B80" t="s">
        <v>110</v>
      </c>
      <c r="C80" t="s">
        <v>105</v>
      </c>
      <c r="D80" t="s">
        <v>92</v>
      </c>
      <c r="E80" t="s">
        <v>105</v>
      </c>
      <c r="F80" s="158">
        <v>45516.804467592592</v>
      </c>
    </row>
    <row r="81" spans="2:6" x14ac:dyDescent="0.25">
      <c r="B81" t="s">
        <v>110</v>
      </c>
      <c r="C81" t="s">
        <v>105</v>
      </c>
      <c r="D81" t="s">
        <v>91</v>
      </c>
      <c r="E81" t="s">
        <v>105</v>
      </c>
      <c r="F81" s="158">
        <v>45516.804467592592</v>
      </c>
    </row>
    <row r="82" spans="2:6" x14ac:dyDescent="0.25">
      <c r="B82" t="s">
        <v>112</v>
      </c>
      <c r="C82" t="s">
        <v>100</v>
      </c>
      <c r="D82" t="s">
        <v>100</v>
      </c>
      <c r="E82" t="s">
        <v>132</v>
      </c>
      <c r="F82" s="158">
        <v>45516.804490740738</v>
      </c>
    </row>
    <row r="83" spans="2:6" x14ac:dyDescent="0.25">
      <c r="B83" t="s">
        <v>108</v>
      </c>
      <c r="C83" t="s">
        <v>105</v>
      </c>
      <c r="D83" t="s">
        <v>105</v>
      </c>
      <c r="E83" t="s">
        <v>105</v>
      </c>
      <c r="F83" s="158">
        <v>45516.80909722222</v>
      </c>
    </row>
    <row r="84" spans="2:6" x14ac:dyDescent="0.25">
      <c r="B84" t="s">
        <v>109</v>
      </c>
      <c r="C84" t="s">
        <v>105</v>
      </c>
      <c r="D84" t="s">
        <v>105</v>
      </c>
      <c r="E84" t="s">
        <v>105</v>
      </c>
      <c r="F84" s="158">
        <v>45516.80909722222</v>
      </c>
    </row>
    <row r="85" spans="2:6" x14ac:dyDescent="0.25">
      <c r="B85" t="s">
        <v>110</v>
      </c>
      <c r="C85" t="s">
        <v>105</v>
      </c>
      <c r="D85" t="s">
        <v>92</v>
      </c>
      <c r="E85" t="s">
        <v>105</v>
      </c>
      <c r="F85" s="158">
        <v>45516.80909722222</v>
      </c>
    </row>
    <row r="86" spans="2:6" x14ac:dyDescent="0.25">
      <c r="B86" t="s">
        <v>110</v>
      </c>
      <c r="C86" t="s">
        <v>105</v>
      </c>
      <c r="D86" t="s">
        <v>91</v>
      </c>
      <c r="E86" t="s">
        <v>105</v>
      </c>
      <c r="F86" s="158">
        <v>45516.80909722222</v>
      </c>
    </row>
    <row r="87" spans="2:6" x14ac:dyDescent="0.25">
      <c r="B87" t="s">
        <v>102</v>
      </c>
      <c r="C87" t="s">
        <v>100</v>
      </c>
      <c r="D87" t="s">
        <v>100</v>
      </c>
      <c r="E87" t="s">
        <v>103</v>
      </c>
      <c r="F87" s="158">
        <v>45516.809189814812</v>
      </c>
    </row>
    <row r="88" spans="2:6" x14ac:dyDescent="0.25">
      <c r="B88" t="s">
        <v>104</v>
      </c>
      <c r="C88" t="s">
        <v>100</v>
      </c>
      <c r="D88" t="s">
        <v>105</v>
      </c>
      <c r="E88" t="s">
        <v>105</v>
      </c>
      <c r="F88" s="158">
        <v>45516.809224537035</v>
      </c>
    </row>
    <row r="89" spans="2:6" x14ac:dyDescent="0.25">
      <c r="B89" t="s">
        <v>104</v>
      </c>
      <c r="C89" t="s">
        <v>106</v>
      </c>
      <c r="D89" t="s">
        <v>91</v>
      </c>
      <c r="E89" t="s">
        <v>105</v>
      </c>
      <c r="F89" s="158">
        <v>45516.809224537035</v>
      </c>
    </row>
    <row r="90" spans="2:6" x14ac:dyDescent="0.25">
      <c r="B90" t="s">
        <v>104</v>
      </c>
      <c r="C90" t="s">
        <v>107</v>
      </c>
      <c r="D90" t="s">
        <v>92</v>
      </c>
      <c r="E90" t="s">
        <v>105</v>
      </c>
      <c r="F90" s="158">
        <v>45516.809224537035</v>
      </c>
    </row>
    <row r="91" spans="2:6" x14ac:dyDescent="0.25">
      <c r="B91" t="s">
        <v>108</v>
      </c>
      <c r="C91" t="s">
        <v>105</v>
      </c>
      <c r="D91" t="s">
        <v>105</v>
      </c>
      <c r="E91" t="s">
        <v>105</v>
      </c>
      <c r="F91" s="158">
        <v>45516.810231481482</v>
      </c>
    </row>
    <row r="92" spans="2:6" x14ac:dyDescent="0.25">
      <c r="B92" t="s">
        <v>109</v>
      </c>
      <c r="C92" t="s">
        <v>105</v>
      </c>
      <c r="D92" t="s">
        <v>105</v>
      </c>
      <c r="E92" t="s">
        <v>105</v>
      </c>
      <c r="F92" s="158">
        <v>45516.810231481482</v>
      </c>
    </row>
    <row r="93" spans="2:6" x14ac:dyDescent="0.25">
      <c r="B93" t="s">
        <v>110</v>
      </c>
      <c r="C93" t="s">
        <v>105</v>
      </c>
      <c r="D93" t="s">
        <v>92</v>
      </c>
      <c r="E93" t="s">
        <v>105</v>
      </c>
      <c r="F93" s="158">
        <v>45516.810231481482</v>
      </c>
    </row>
    <row r="94" spans="2:6" x14ac:dyDescent="0.25">
      <c r="B94" t="s">
        <v>110</v>
      </c>
      <c r="C94" t="s">
        <v>105</v>
      </c>
      <c r="D94" t="s">
        <v>91</v>
      </c>
      <c r="E94" t="s">
        <v>105</v>
      </c>
      <c r="F94" s="158">
        <v>45516.810231481482</v>
      </c>
    </row>
    <row r="95" spans="2:6" x14ac:dyDescent="0.25">
      <c r="B95" t="s">
        <v>102</v>
      </c>
      <c r="C95" t="s">
        <v>100</v>
      </c>
      <c r="D95" t="s">
        <v>100</v>
      </c>
      <c r="E95" t="s">
        <v>103</v>
      </c>
      <c r="F95" s="158">
        <v>45516.810277777775</v>
      </c>
    </row>
    <row r="96" spans="2:6" x14ac:dyDescent="0.25">
      <c r="B96" t="s">
        <v>104</v>
      </c>
      <c r="C96" t="s">
        <v>100</v>
      </c>
      <c r="D96" t="s">
        <v>105</v>
      </c>
      <c r="E96" t="s">
        <v>105</v>
      </c>
      <c r="F96" s="158">
        <v>45516.810300925928</v>
      </c>
    </row>
    <row r="97" spans="2:6" x14ac:dyDescent="0.25">
      <c r="B97" t="s">
        <v>104</v>
      </c>
      <c r="C97" t="s">
        <v>106</v>
      </c>
      <c r="D97" t="s">
        <v>91</v>
      </c>
      <c r="E97" t="s">
        <v>105</v>
      </c>
      <c r="F97" s="158">
        <v>45516.810300925928</v>
      </c>
    </row>
    <row r="98" spans="2:6" x14ac:dyDescent="0.25">
      <c r="B98" t="s">
        <v>104</v>
      </c>
      <c r="C98" t="s">
        <v>107</v>
      </c>
      <c r="D98" t="s">
        <v>92</v>
      </c>
      <c r="E98" t="s">
        <v>105</v>
      </c>
      <c r="F98" s="158">
        <v>45516.810312499998</v>
      </c>
    </row>
    <row r="99" spans="2:6" x14ac:dyDescent="0.25">
      <c r="B99" t="s">
        <v>108</v>
      </c>
      <c r="C99" t="s">
        <v>105</v>
      </c>
      <c r="D99" t="s">
        <v>105</v>
      </c>
      <c r="E99" t="s">
        <v>105</v>
      </c>
      <c r="F99" s="158">
        <v>45516.810370370367</v>
      </c>
    </row>
    <row r="100" spans="2:6" x14ac:dyDescent="0.25">
      <c r="B100" t="s">
        <v>109</v>
      </c>
      <c r="C100" t="s">
        <v>105</v>
      </c>
      <c r="D100" t="s">
        <v>105</v>
      </c>
      <c r="E100" t="s">
        <v>105</v>
      </c>
      <c r="F100" s="158">
        <v>45516.810370370367</v>
      </c>
    </row>
    <row r="101" spans="2:6" x14ac:dyDescent="0.25">
      <c r="B101" t="s">
        <v>110</v>
      </c>
      <c r="C101" t="s">
        <v>105</v>
      </c>
      <c r="D101" t="s">
        <v>92</v>
      </c>
      <c r="E101" t="s">
        <v>105</v>
      </c>
      <c r="F101" s="158">
        <v>45516.810370370367</v>
      </c>
    </row>
    <row r="102" spans="2:6" x14ac:dyDescent="0.25">
      <c r="B102" t="s">
        <v>110</v>
      </c>
      <c r="C102" t="s">
        <v>105</v>
      </c>
      <c r="D102" t="s">
        <v>91</v>
      </c>
      <c r="E102" t="s">
        <v>105</v>
      </c>
      <c r="F102" s="158">
        <v>45516.810370370367</v>
      </c>
    </row>
    <row r="103" spans="2:6" x14ac:dyDescent="0.25">
      <c r="B103" t="s">
        <v>108</v>
      </c>
      <c r="C103" t="s">
        <v>105</v>
      </c>
      <c r="D103" t="s">
        <v>105</v>
      </c>
      <c r="E103" t="s">
        <v>105</v>
      </c>
      <c r="F103" s="158">
        <v>45516.810694444444</v>
      </c>
    </row>
    <row r="104" spans="2:6" x14ac:dyDescent="0.25">
      <c r="B104" t="s">
        <v>109</v>
      </c>
      <c r="C104" t="s">
        <v>105</v>
      </c>
      <c r="D104" t="s">
        <v>105</v>
      </c>
      <c r="E104" t="s">
        <v>105</v>
      </c>
      <c r="F104" s="158">
        <v>45516.810694444444</v>
      </c>
    </row>
    <row r="105" spans="2:6" x14ac:dyDescent="0.25">
      <c r="B105" t="s">
        <v>110</v>
      </c>
      <c r="C105" t="s">
        <v>105</v>
      </c>
      <c r="D105" t="s">
        <v>92</v>
      </c>
      <c r="E105" t="s">
        <v>105</v>
      </c>
      <c r="F105" s="158">
        <v>45516.810694444444</v>
      </c>
    </row>
    <row r="106" spans="2:6" x14ac:dyDescent="0.25">
      <c r="B106" t="s">
        <v>110</v>
      </c>
      <c r="C106" t="s">
        <v>105</v>
      </c>
      <c r="D106" t="s">
        <v>91</v>
      </c>
      <c r="E106" t="s">
        <v>105</v>
      </c>
      <c r="F106" s="158">
        <v>45516.810694444444</v>
      </c>
    </row>
    <row r="107" spans="2:6" x14ac:dyDescent="0.25">
      <c r="B107" t="s">
        <v>102</v>
      </c>
      <c r="C107" t="s">
        <v>100</v>
      </c>
      <c r="D107" t="s">
        <v>100</v>
      </c>
      <c r="E107" t="s">
        <v>103</v>
      </c>
      <c r="F107" s="158">
        <v>45516.810729166667</v>
      </c>
    </row>
    <row r="108" spans="2:6" x14ac:dyDescent="0.25">
      <c r="B108" t="s">
        <v>104</v>
      </c>
      <c r="C108" t="s">
        <v>100</v>
      </c>
      <c r="D108" t="s">
        <v>105</v>
      </c>
      <c r="E108" t="s">
        <v>105</v>
      </c>
      <c r="F108" s="158">
        <v>45516.810763888891</v>
      </c>
    </row>
    <row r="109" spans="2:6" x14ac:dyDescent="0.25">
      <c r="B109" t="s">
        <v>104</v>
      </c>
      <c r="C109" t="s">
        <v>106</v>
      </c>
      <c r="D109" t="s">
        <v>91</v>
      </c>
      <c r="E109" t="s">
        <v>105</v>
      </c>
      <c r="F109" s="158">
        <v>45516.810763888891</v>
      </c>
    </row>
    <row r="110" spans="2:6" x14ac:dyDescent="0.25">
      <c r="B110" t="s">
        <v>104</v>
      </c>
      <c r="C110" t="s">
        <v>107</v>
      </c>
      <c r="D110" t="s">
        <v>92</v>
      </c>
      <c r="E110" t="s">
        <v>105</v>
      </c>
      <c r="F110" s="158">
        <v>45516.810763888891</v>
      </c>
    </row>
    <row r="111" spans="2:6" x14ac:dyDescent="0.25">
      <c r="B111" t="s">
        <v>108</v>
      </c>
      <c r="C111" t="s">
        <v>105</v>
      </c>
      <c r="D111" t="s">
        <v>105</v>
      </c>
      <c r="E111" t="s">
        <v>105</v>
      </c>
      <c r="F111" s="158">
        <v>45516.810972222222</v>
      </c>
    </row>
    <row r="112" spans="2:6" x14ac:dyDescent="0.25">
      <c r="B112" t="s">
        <v>109</v>
      </c>
      <c r="C112" t="s">
        <v>105</v>
      </c>
      <c r="D112" t="s">
        <v>105</v>
      </c>
      <c r="E112" t="s">
        <v>105</v>
      </c>
      <c r="F112" s="158">
        <v>45516.810972222222</v>
      </c>
    </row>
    <row r="113" spans="2:6" x14ac:dyDescent="0.25">
      <c r="B113" t="s">
        <v>110</v>
      </c>
      <c r="C113" t="s">
        <v>105</v>
      </c>
      <c r="D113" t="s">
        <v>92</v>
      </c>
      <c r="E113" t="s">
        <v>105</v>
      </c>
      <c r="F113" s="158">
        <v>45516.810972222222</v>
      </c>
    </row>
    <row r="114" spans="2:6" x14ac:dyDescent="0.25">
      <c r="B114" t="s">
        <v>110</v>
      </c>
      <c r="C114" t="s">
        <v>105</v>
      </c>
      <c r="D114" t="s">
        <v>91</v>
      </c>
      <c r="E114" t="s">
        <v>105</v>
      </c>
      <c r="F114" s="158">
        <v>45516.810972222222</v>
      </c>
    </row>
    <row r="115" spans="2:6" x14ac:dyDescent="0.25">
      <c r="B115" t="s">
        <v>102</v>
      </c>
      <c r="C115" t="s">
        <v>100</v>
      </c>
      <c r="D115" t="s">
        <v>100</v>
      </c>
      <c r="E115" t="s">
        <v>103</v>
      </c>
      <c r="F115" s="158">
        <v>45516.811018518521</v>
      </c>
    </row>
    <row r="116" spans="2:6" x14ac:dyDescent="0.25">
      <c r="B116" t="s">
        <v>104</v>
      </c>
      <c r="C116" t="s">
        <v>100</v>
      </c>
      <c r="D116" t="s">
        <v>105</v>
      </c>
      <c r="E116" t="s">
        <v>105</v>
      </c>
      <c r="F116" s="158">
        <v>45516.811053240737</v>
      </c>
    </row>
    <row r="117" spans="2:6" x14ac:dyDescent="0.25">
      <c r="B117" t="s">
        <v>104</v>
      </c>
      <c r="C117" t="s">
        <v>106</v>
      </c>
      <c r="D117" t="s">
        <v>91</v>
      </c>
      <c r="E117" t="s">
        <v>105</v>
      </c>
      <c r="F117" s="158">
        <v>45516.811053240737</v>
      </c>
    </row>
    <row r="118" spans="2:6" x14ac:dyDescent="0.25">
      <c r="B118" t="s">
        <v>104</v>
      </c>
      <c r="C118" t="s">
        <v>107</v>
      </c>
      <c r="D118" t="s">
        <v>92</v>
      </c>
      <c r="E118" t="s">
        <v>105</v>
      </c>
      <c r="F118" s="158">
        <v>45516.811053240737</v>
      </c>
    </row>
    <row r="119" spans="2:6" x14ac:dyDescent="0.25">
      <c r="B119" t="s">
        <v>108</v>
      </c>
      <c r="C119" t="s">
        <v>105</v>
      </c>
      <c r="D119" t="s">
        <v>105</v>
      </c>
      <c r="E119" t="s">
        <v>105</v>
      </c>
      <c r="F119" s="158">
        <v>45516.811377314814</v>
      </c>
    </row>
    <row r="120" spans="2:6" x14ac:dyDescent="0.25">
      <c r="B120" t="s">
        <v>109</v>
      </c>
      <c r="C120" t="s">
        <v>105</v>
      </c>
      <c r="D120" t="s">
        <v>105</v>
      </c>
      <c r="E120" t="s">
        <v>105</v>
      </c>
      <c r="F120" s="158">
        <v>45516.811377314814</v>
      </c>
    </row>
    <row r="121" spans="2:6" x14ac:dyDescent="0.25">
      <c r="B121" t="s">
        <v>110</v>
      </c>
      <c r="C121" t="s">
        <v>105</v>
      </c>
      <c r="D121" t="s">
        <v>92</v>
      </c>
      <c r="E121" t="s">
        <v>105</v>
      </c>
      <c r="F121" s="158">
        <v>45516.811377314814</v>
      </c>
    </row>
    <row r="122" spans="2:6" x14ac:dyDescent="0.25">
      <c r="B122" t="s">
        <v>110</v>
      </c>
      <c r="C122" t="s">
        <v>105</v>
      </c>
      <c r="D122" t="s">
        <v>91</v>
      </c>
      <c r="E122" t="s">
        <v>105</v>
      </c>
      <c r="F122" s="158">
        <v>45516.811388888891</v>
      </c>
    </row>
    <row r="123" spans="2:6" x14ac:dyDescent="0.25">
      <c r="B123" t="s">
        <v>102</v>
      </c>
      <c r="C123" t="s">
        <v>100</v>
      </c>
      <c r="D123" t="s">
        <v>100</v>
      </c>
      <c r="E123" t="s">
        <v>103</v>
      </c>
      <c r="F123" s="158">
        <v>45516.81144675926</v>
      </c>
    </row>
    <row r="124" spans="2:6" x14ac:dyDescent="0.25">
      <c r="B124" t="s">
        <v>104</v>
      </c>
      <c r="C124" t="s">
        <v>100</v>
      </c>
      <c r="D124" t="s">
        <v>105</v>
      </c>
      <c r="E124" t="s">
        <v>105</v>
      </c>
      <c r="F124" s="158">
        <v>45516.811469907407</v>
      </c>
    </row>
    <row r="125" spans="2:6" x14ac:dyDescent="0.25">
      <c r="B125" t="s">
        <v>104</v>
      </c>
      <c r="C125" t="s">
        <v>106</v>
      </c>
      <c r="D125" t="s">
        <v>91</v>
      </c>
      <c r="E125" t="s">
        <v>105</v>
      </c>
      <c r="F125" s="158">
        <v>45516.811469907407</v>
      </c>
    </row>
    <row r="126" spans="2:6" x14ac:dyDescent="0.25">
      <c r="B126" t="s">
        <v>104</v>
      </c>
      <c r="C126" t="s">
        <v>107</v>
      </c>
      <c r="D126" t="s">
        <v>91</v>
      </c>
      <c r="E126" t="s">
        <v>105</v>
      </c>
      <c r="F126" s="158">
        <v>45516.811481481483</v>
      </c>
    </row>
    <row r="127" spans="2:6" x14ac:dyDescent="0.25">
      <c r="B127" t="s">
        <v>108</v>
      </c>
      <c r="C127" t="s">
        <v>105</v>
      </c>
      <c r="D127" t="s">
        <v>105</v>
      </c>
      <c r="E127" t="s">
        <v>105</v>
      </c>
      <c r="F127" s="158">
        <v>45516.811620370368</v>
      </c>
    </row>
    <row r="128" spans="2:6" x14ac:dyDescent="0.25">
      <c r="B128" t="s">
        <v>109</v>
      </c>
      <c r="C128" t="s">
        <v>105</v>
      </c>
      <c r="D128" t="s">
        <v>105</v>
      </c>
      <c r="E128" t="s">
        <v>105</v>
      </c>
      <c r="F128" s="158">
        <v>45516.811620370368</v>
      </c>
    </row>
    <row r="129" spans="2:6" x14ac:dyDescent="0.25">
      <c r="B129" t="s">
        <v>110</v>
      </c>
      <c r="C129" t="s">
        <v>105</v>
      </c>
      <c r="D129" t="s">
        <v>92</v>
      </c>
      <c r="E129" t="s">
        <v>105</v>
      </c>
      <c r="F129" s="158">
        <v>45516.811620370368</v>
      </c>
    </row>
    <row r="130" spans="2:6" x14ac:dyDescent="0.25">
      <c r="B130" t="s">
        <v>110</v>
      </c>
      <c r="C130" t="s">
        <v>105</v>
      </c>
      <c r="D130" t="s">
        <v>91</v>
      </c>
      <c r="E130" t="s">
        <v>105</v>
      </c>
      <c r="F130" s="158">
        <v>45516.811620370368</v>
      </c>
    </row>
    <row r="131" spans="2:6" x14ac:dyDescent="0.25">
      <c r="B131" t="s">
        <v>102</v>
      </c>
      <c r="C131" t="s">
        <v>100</v>
      </c>
      <c r="D131" t="s">
        <v>100</v>
      </c>
      <c r="E131" t="s">
        <v>103</v>
      </c>
      <c r="F131" s="158">
        <v>45516.811701388891</v>
      </c>
    </row>
    <row r="132" spans="2:6" x14ac:dyDescent="0.25">
      <c r="B132" t="s">
        <v>104</v>
      </c>
      <c r="C132" t="s">
        <v>100</v>
      </c>
      <c r="D132" t="s">
        <v>105</v>
      </c>
      <c r="E132" t="s">
        <v>105</v>
      </c>
      <c r="F132" s="158">
        <v>45516.811736111114</v>
      </c>
    </row>
    <row r="133" spans="2:6" x14ac:dyDescent="0.25">
      <c r="B133" t="s">
        <v>104</v>
      </c>
      <c r="C133" t="s">
        <v>106</v>
      </c>
      <c r="D133" t="s">
        <v>91</v>
      </c>
      <c r="E133" t="s">
        <v>105</v>
      </c>
      <c r="F133" s="158">
        <v>45516.811736111114</v>
      </c>
    </row>
    <row r="134" spans="2:6" x14ac:dyDescent="0.25">
      <c r="B134" t="s">
        <v>104</v>
      </c>
      <c r="C134" t="s">
        <v>107</v>
      </c>
      <c r="D134" t="s">
        <v>92</v>
      </c>
      <c r="E134" t="s">
        <v>105</v>
      </c>
      <c r="F134" s="158">
        <v>45516.811747685184</v>
      </c>
    </row>
    <row r="135" spans="2:6" x14ac:dyDescent="0.25">
      <c r="B135" t="s">
        <v>108</v>
      </c>
      <c r="C135" t="s">
        <v>105</v>
      </c>
      <c r="D135" t="s">
        <v>105</v>
      </c>
      <c r="E135" t="s">
        <v>105</v>
      </c>
      <c r="F135" s="158">
        <v>45516.812650462962</v>
      </c>
    </row>
    <row r="136" spans="2:6" x14ac:dyDescent="0.25">
      <c r="B136" t="s">
        <v>109</v>
      </c>
      <c r="C136" t="s">
        <v>105</v>
      </c>
      <c r="D136" t="s">
        <v>105</v>
      </c>
      <c r="E136" t="s">
        <v>105</v>
      </c>
      <c r="F136" s="158">
        <v>45516.812650462962</v>
      </c>
    </row>
    <row r="137" spans="2:6" x14ac:dyDescent="0.25">
      <c r="B137" t="s">
        <v>110</v>
      </c>
      <c r="C137" t="s">
        <v>105</v>
      </c>
      <c r="D137" t="s">
        <v>92</v>
      </c>
      <c r="E137" t="s">
        <v>105</v>
      </c>
      <c r="F137" s="158">
        <v>45516.812650462962</v>
      </c>
    </row>
    <row r="138" spans="2:6" x14ac:dyDescent="0.25">
      <c r="B138" t="s">
        <v>110</v>
      </c>
      <c r="C138" t="s">
        <v>105</v>
      </c>
      <c r="D138" t="s">
        <v>91</v>
      </c>
      <c r="E138" t="s">
        <v>105</v>
      </c>
      <c r="F138" s="158">
        <v>45516.812650462962</v>
      </c>
    </row>
    <row r="139" spans="2:6" x14ac:dyDescent="0.25">
      <c r="B139" t="s">
        <v>113</v>
      </c>
      <c r="C139" t="s">
        <v>105</v>
      </c>
      <c r="D139" t="s">
        <v>105</v>
      </c>
      <c r="E139" t="s">
        <v>114</v>
      </c>
      <c r="F139" s="158">
        <v>45516.812847222223</v>
      </c>
    </row>
    <row r="140" spans="2:6" x14ac:dyDescent="0.25">
      <c r="B140" t="s">
        <v>111</v>
      </c>
      <c r="C140" t="s">
        <v>105</v>
      </c>
      <c r="D140" t="s">
        <v>105</v>
      </c>
      <c r="E140" t="s">
        <v>105</v>
      </c>
      <c r="F140" s="158">
        <v>45516.812847222223</v>
      </c>
    </row>
    <row r="141" spans="2:6" x14ac:dyDescent="0.25">
      <c r="B141" t="s">
        <v>109</v>
      </c>
      <c r="C141" t="s">
        <v>105</v>
      </c>
      <c r="D141" t="s">
        <v>105</v>
      </c>
      <c r="E141" t="s">
        <v>105</v>
      </c>
      <c r="F141" s="158">
        <v>45516.812847222223</v>
      </c>
    </row>
    <row r="142" spans="2:6" x14ac:dyDescent="0.25">
      <c r="B142" t="s">
        <v>115</v>
      </c>
      <c r="C142" t="s">
        <v>100</v>
      </c>
      <c r="D142" t="s">
        <v>100</v>
      </c>
      <c r="E142" t="s">
        <v>103</v>
      </c>
      <c r="F142" s="158">
        <v>45516.812847222223</v>
      </c>
    </row>
    <row r="143" spans="2:6" x14ac:dyDescent="0.25">
      <c r="B143" t="s">
        <v>104</v>
      </c>
      <c r="C143" t="s">
        <v>100</v>
      </c>
      <c r="D143" t="s">
        <v>105</v>
      </c>
      <c r="E143" t="s">
        <v>105</v>
      </c>
      <c r="F143" s="158">
        <v>45516.81287037037</v>
      </c>
    </row>
    <row r="144" spans="2:6" x14ac:dyDescent="0.25">
      <c r="B144" t="s">
        <v>104</v>
      </c>
      <c r="C144" t="s">
        <v>106</v>
      </c>
      <c r="D144" t="s">
        <v>91</v>
      </c>
      <c r="E144" t="s">
        <v>105</v>
      </c>
      <c r="F144" s="158">
        <v>45516.81287037037</v>
      </c>
    </row>
    <row r="145" spans="2:6" x14ac:dyDescent="0.25">
      <c r="B145" t="s">
        <v>104</v>
      </c>
      <c r="C145" t="s">
        <v>107</v>
      </c>
      <c r="D145" t="s">
        <v>92</v>
      </c>
      <c r="E145" t="s">
        <v>105</v>
      </c>
      <c r="F145" s="158">
        <v>45516.81287037037</v>
      </c>
    </row>
    <row r="146" spans="2:6" x14ac:dyDescent="0.25">
      <c r="B146" t="s">
        <v>111</v>
      </c>
      <c r="C146" t="s">
        <v>105</v>
      </c>
      <c r="D146" t="s">
        <v>105</v>
      </c>
      <c r="E146" t="s">
        <v>105</v>
      </c>
      <c r="F146" s="158">
        <v>45516.812881944446</v>
      </c>
    </row>
    <row r="147" spans="2:6" x14ac:dyDescent="0.25">
      <c r="B147" t="s">
        <v>109</v>
      </c>
      <c r="C147" t="s">
        <v>105</v>
      </c>
      <c r="D147" t="s">
        <v>105</v>
      </c>
      <c r="E147" t="s">
        <v>105</v>
      </c>
      <c r="F147" s="158">
        <v>45516.812881944446</v>
      </c>
    </row>
    <row r="148" spans="2:6" x14ac:dyDescent="0.25">
      <c r="B148" t="s">
        <v>116</v>
      </c>
      <c r="C148" t="s">
        <v>100</v>
      </c>
      <c r="D148" t="s">
        <v>100</v>
      </c>
      <c r="E148" t="s">
        <v>117</v>
      </c>
      <c r="F148" s="158">
        <v>45516.812881944446</v>
      </c>
    </row>
    <row r="149" spans="2:6" x14ac:dyDescent="0.25">
      <c r="B149" t="s">
        <v>118</v>
      </c>
      <c r="C149" t="s">
        <v>100</v>
      </c>
      <c r="D149" t="s">
        <v>105</v>
      </c>
      <c r="E149" t="s">
        <v>105</v>
      </c>
      <c r="F149" s="158">
        <v>45516.812905092593</v>
      </c>
    </row>
    <row r="150" spans="2:6" x14ac:dyDescent="0.25">
      <c r="B150" t="s">
        <v>118</v>
      </c>
      <c r="C150" t="s">
        <v>106</v>
      </c>
      <c r="D150" t="s">
        <v>91</v>
      </c>
      <c r="E150" t="s">
        <v>105</v>
      </c>
      <c r="F150" s="158">
        <v>45516.812905092593</v>
      </c>
    </row>
    <row r="151" spans="2:6" x14ac:dyDescent="0.25">
      <c r="B151" t="s">
        <v>118</v>
      </c>
      <c r="C151" t="s">
        <v>107</v>
      </c>
      <c r="D151" t="s">
        <v>92</v>
      </c>
      <c r="E151" t="s">
        <v>105</v>
      </c>
      <c r="F151" s="158">
        <v>45516.812905092593</v>
      </c>
    </row>
    <row r="152" spans="2:6" x14ac:dyDescent="0.25">
      <c r="B152" t="s">
        <v>111</v>
      </c>
      <c r="C152" t="s">
        <v>105</v>
      </c>
      <c r="D152" t="s">
        <v>105</v>
      </c>
      <c r="E152" t="s">
        <v>105</v>
      </c>
      <c r="F152" s="158">
        <v>45516.812916666669</v>
      </c>
    </row>
    <row r="153" spans="2:6" x14ac:dyDescent="0.25">
      <c r="B153" t="s">
        <v>109</v>
      </c>
      <c r="C153" t="s">
        <v>105</v>
      </c>
      <c r="D153" t="s">
        <v>105</v>
      </c>
      <c r="E153" t="s">
        <v>105</v>
      </c>
      <c r="F153" s="158">
        <v>45516.812916666669</v>
      </c>
    </row>
    <row r="154" spans="2:6" x14ac:dyDescent="0.25">
      <c r="B154" t="s">
        <v>119</v>
      </c>
      <c r="C154" t="s">
        <v>100</v>
      </c>
      <c r="D154" t="s">
        <v>100</v>
      </c>
      <c r="E154" t="s">
        <v>120</v>
      </c>
      <c r="F154" s="158">
        <v>45516.812916666669</v>
      </c>
    </row>
    <row r="155" spans="2:6" x14ac:dyDescent="0.25">
      <c r="B155" t="s">
        <v>121</v>
      </c>
      <c r="C155" t="s">
        <v>100</v>
      </c>
      <c r="D155" t="s">
        <v>105</v>
      </c>
      <c r="E155" t="s">
        <v>105</v>
      </c>
      <c r="F155" s="158">
        <v>45516.812939814816</v>
      </c>
    </row>
    <row r="156" spans="2:6" x14ac:dyDescent="0.25">
      <c r="B156" t="s">
        <v>121</v>
      </c>
      <c r="C156" t="s">
        <v>106</v>
      </c>
      <c r="D156" t="s">
        <v>91</v>
      </c>
      <c r="E156" t="s">
        <v>105</v>
      </c>
      <c r="F156" s="158">
        <v>45516.812939814816</v>
      </c>
    </row>
    <row r="157" spans="2:6" x14ac:dyDescent="0.25">
      <c r="B157" t="s">
        <v>121</v>
      </c>
      <c r="C157" t="s">
        <v>107</v>
      </c>
      <c r="D157" t="s">
        <v>92</v>
      </c>
      <c r="E157" t="s">
        <v>105</v>
      </c>
      <c r="F157" s="158">
        <v>45516.812939814816</v>
      </c>
    </row>
    <row r="158" spans="2:6" x14ac:dyDescent="0.25">
      <c r="B158" t="s">
        <v>111</v>
      </c>
      <c r="C158" t="s">
        <v>105</v>
      </c>
      <c r="D158" t="s">
        <v>105</v>
      </c>
      <c r="E158" t="s">
        <v>105</v>
      </c>
      <c r="F158" s="158">
        <v>45516.812951388885</v>
      </c>
    </row>
    <row r="159" spans="2:6" x14ac:dyDescent="0.25">
      <c r="B159" t="s">
        <v>109</v>
      </c>
      <c r="C159" t="s">
        <v>105</v>
      </c>
      <c r="D159" t="s">
        <v>105</v>
      </c>
      <c r="E159" t="s">
        <v>105</v>
      </c>
      <c r="F159" s="158">
        <v>45516.812951388885</v>
      </c>
    </row>
    <row r="160" spans="2:6" x14ac:dyDescent="0.25">
      <c r="B160" t="s">
        <v>122</v>
      </c>
      <c r="C160" t="s">
        <v>100</v>
      </c>
      <c r="D160" t="s">
        <v>100</v>
      </c>
      <c r="E160" t="s">
        <v>123</v>
      </c>
      <c r="F160" s="158">
        <v>45516.812951388885</v>
      </c>
    </row>
    <row r="161" spans="2:6" x14ac:dyDescent="0.25">
      <c r="B161" t="s">
        <v>124</v>
      </c>
      <c r="C161" t="s">
        <v>100</v>
      </c>
      <c r="D161" t="s">
        <v>105</v>
      </c>
      <c r="E161" t="s">
        <v>105</v>
      </c>
      <c r="F161" s="158">
        <v>45516.812974537039</v>
      </c>
    </row>
    <row r="162" spans="2:6" x14ac:dyDescent="0.25">
      <c r="B162" t="s">
        <v>124</v>
      </c>
      <c r="C162" t="s">
        <v>106</v>
      </c>
      <c r="D162" t="s">
        <v>91</v>
      </c>
      <c r="E162" t="s">
        <v>105</v>
      </c>
      <c r="F162" s="158">
        <v>45516.812974537039</v>
      </c>
    </row>
    <row r="163" spans="2:6" x14ac:dyDescent="0.25">
      <c r="B163" t="s">
        <v>124</v>
      </c>
      <c r="C163" t="s">
        <v>107</v>
      </c>
      <c r="D163" t="s">
        <v>92</v>
      </c>
      <c r="E163" t="s">
        <v>105</v>
      </c>
      <c r="F163" s="158">
        <v>45516.812974537039</v>
      </c>
    </row>
    <row r="164" spans="2:6" x14ac:dyDescent="0.25">
      <c r="B164" t="s">
        <v>111</v>
      </c>
      <c r="C164" t="s">
        <v>105</v>
      </c>
      <c r="D164" t="s">
        <v>105</v>
      </c>
      <c r="E164" t="s">
        <v>105</v>
      </c>
      <c r="F164" s="158">
        <v>45516.812986111108</v>
      </c>
    </row>
    <row r="165" spans="2:6" x14ac:dyDescent="0.25">
      <c r="B165" t="s">
        <v>109</v>
      </c>
      <c r="C165" t="s">
        <v>105</v>
      </c>
      <c r="D165" t="s">
        <v>105</v>
      </c>
      <c r="E165" t="s">
        <v>105</v>
      </c>
      <c r="F165" s="158">
        <v>45516.812986111108</v>
      </c>
    </row>
    <row r="166" spans="2:6" x14ac:dyDescent="0.25">
      <c r="B166" t="s">
        <v>125</v>
      </c>
      <c r="C166" t="s">
        <v>100</v>
      </c>
      <c r="D166" t="s">
        <v>100</v>
      </c>
      <c r="E166" t="s">
        <v>126</v>
      </c>
      <c r="F166" s="158">
        <v>45516.812986111108</v>
      </c>
    </row>
    <row r="167" spans="2:6" x14ac:dyDescent="0.25">
      <c r="B167" t="s">
        <v>127</v>
      </c>
      <c r="C167" t="s">
        <v>100</v>
      </c>
      <c r="D167" t="s">
        <v>105</v>
      </c>
      <c r="E167" t="s">
        <v>105</v>
      </c>
      <c r="F167" s="158">
        <v>45516.813009259262</v>
      </c>
    </row>
    <row r="168" spans="2:6" x14ac:dyDescent="0.25">
      <c r="B168" t="s">
        <v>127</v>
      </c>
      <c r="C168" t="s">
        <v>106</v>
      </c>
      <c r="D168" t="s">
        <v>91</v>
      </c>
      <c r="E168" t="s">
        <v>105</v>
      </c>
      <c r="F168" s="158">
        <v>45516.813009259262</v>
      </c>
    </row>
    <row r="169" spans="2:6" x14ac:dyDescent="0.25">
      <c r="B169" t="s">
        <v>127</v>
      </c>
      <c r="C169" t="s">
        <v>107</v>
      </c>
      <c r="D169" t="s">
        <v>92</v>
      </c>
      <c r="E169" t="s">
        <v>105</v>
      </c>
      <c r="F169" s="158">
        <v>45516.813009259262</v>
      </c>
    </row>
    <row r="170" spans="2:6" x14ac:dyDescent="0.25">
      <c r="B170" t="s">
        <v>111</v>
      </c>
      <c r="C170" t="s">
        <v>105</v>
      </c>
      <c r="D170" t="s">
        <v>105</v>
      </c>
      <c r="E170" t="s">
        <v>105</v>
      </c>
      <c r="F170" s="158">
        <v>45516.813020833331</v>
      </c>
    </row>
    <row r="171" spans="2:6" x14ac:dyDescent="0.25">
      <c r="B171" t="s">
        <v>109</v>
      </c>
      <c r="C171" t="s">
        <v>105</v>
      </c>
      <c r="D171" t="s">
        <v>105</v>
      </c>
      <c r="E171" t="s">
        <v>105</v>
      </c>
      <c r="F171" s="158">
        <v>45516.813020833331</v>
      </c>
    </row>
    <row r="172" spans="2:6" x14ac:dyDescent="0.25">
      <c r="B172" t="s">
        <v>128</v>
      </c>
      <c r="C172" t="s">
        <v>100</v>
      </c>
      <c r="D172" t="s">
        <v>100</v>
      </c>
      <c r="E172" t="s">
        <v>129</v>
      </c>
      <c r="F172" s="158">
        <v>45516.813020833331</v>
      </c>
    </row>
    <row r="173" spans="2:6" x14ac:dyDescent="0.25">
      <c r="B173" t="s">
        <v>130</v>
      </c>
      <c r="C173" t="s">
        <v>100</v>
      </c>
      <c r="D173" t="s">
        <v>105</v>
      </c>
      <c r="E173" t="s">
        <v>105</v>
      </c>
      <c r="F173" s="158">
        <v>45516.813032407408</v>
      </c>
    </row>
    <row r="174" spans="2:6" x14ac:dyDescent="0.25">
      <c r="B174" t="s">
        <v>130</v>
      </c>
      <c r="C174" t="s">
        <v>106</v>
      </c>
      <c r="D174" t="s">
        <v>91</v>
      </c>
      <c r="E174" t="s">
        <v>105</v>
      </c>
      <c r="F174" s="158">
        <v>45516.813032407408</v>
      </c>
    </row>
    <row r="175" spans="2:6" x14ac:dyDescent="0.25">
      <c r="B175" t="s">
        <v>130</v>
      </c>
      <c r="C175" t="s">
        <v>107</v>
      </c>
      <c r="D175" t="s">
        <v>92</v>
      </c>
      <c r="E175" t="s">
        <v>105</v>
      </c>
      <c r="F175" s="158">
        <v>45516.813043981485</v>
      </c>
    </row>
    <row r="176" spans="2:6" x14ac:dyDescent="0.25">
      <c r="B176" t="s">
        <v>111</v>
      </c>
      <c r="C176" t="s">
        <v>105</v>
      </c>
      <c r="D176" t="s">
        <v>105</v>
      </c>
      <c r="E176" t="s">
        <v>105</v>
      </c>
      <c r="F176" s="158">
        <v>45516.813043981485</v>
      </c>
    </row>
    <row r="177" spans="2:6" x14ac:dyDescent="0.25">
      <c r="B177" t="s">
        <v>109</v>
      </c>
      <c r="C177" t="s">
        <v>105</v>
      </c>
      <c r="D177" t="s">
        <v>105</v>
      </c>
      <c r="E177" t="s">
        <v>105</v>
      </c>
      <c r="F177" s="158">
        <v>45516.813043981485</v>
      </c>
    </row>
    <row r="178" spans="2:6" x14ac:dyDescent="0.25">
      <c r="B178" t="s">
        <v>131</v>
      </c>
      <c r="C178" t="s">
        <v>100</v>
      </c>
      <c r="D178" t="s">
        <v>100</v>
      </c>
      <c r="E178" t="s">
        <v>132</v>
      </c>
      <c r="F178" s="158">
        <v>45516.813043981485</v>
      </c>
    </row>
    <row r="179" spans="2:6" x14ac:dyDescent="0.25">
      <c r="B179" t="s">
        <v>133</v>
      </c>
      <c r="C179" t="s">
        <v>100</v>
      </c>
      <c r="D179" t="s">
        <v>105</v>
      </c>
      <c r="E179" t="s">
        <v>105</v>
      </c>
      <c r="F179" s="158">
        <v>45516.813078703701</v>
      </c>
    </row>
    <row r="180" spans="2:6" x14ac:dyDescent="0.25">
      <c r="B180" t="s">
        <v>133</v>
      </c>
      <c r="C180" t="s">
        <v>106</v>
      </c>
      <c r="D180" t="s">
        <v>91</v>
      </c>
      <c r="E180" t="s">
        <v>105</v>
      </c>
      <c r="F180" s="158">
        <v>45516.813078703701</v>
      </c>
    </row>
    <row r="181" spans="2:6" x14ac:dyDescent="0.25">
      <c r="B181" t="s">
        <v>133</v>
      </c>
      <c r="C181" t="s">
        <v>107</v>
      </c>
      <c r="D181" t="s">
        <v>92</v>
      </c>
      <c r="E181" t="s">
        <v>105</v>
      </c>
      <c r="F181" s="158">
        <v>45516.813078703701</v>
      </c>
    </row>
    <row r="182" spans="2:6" x14ac:dyDescent="0.25">
      <c r="B182" t="s">
        <v>111</v>
      </c>
      <c r="C182" t="s">
        <v>105</v>
      </c>
      <c r="D182" t="s">
        <v>105</v>
      </c>
      <c r="E182" t="s">
        <v>105</v>
      </c>
      <c r="F182" s="158">
        <v>45516.813090277778</v>
      </c>
    </row>
    <row r="183" spans="2:6" x14ac:dyDescent="0.25">
      <c r="B183" t="s">
        <v>112</v>
      </c>
      <c r="C183" t="s">
        <v>100</v>
      </c>
      <c r="D183" t="s">
        <v>100</v>
      </c>
      <c r="E183" t="s">
        <v>103</v>
      </c>
      <c r="F183" s="158">
        <v>45516.819513888891</v>
      </c>
    </row>
    <row r="184" spans="2:6" x14ac:dyDescent="0.25">
      <c r="B184" t="s">
        <v>104</v>
      </c>
      <c r="C184" t="s">
        <v>100</v>
      </c>
      <c r="D184" t="s">
        <v>105</v>
      </c>
      <c r="E184" t="s">
        <v>105</v>
      </c>
      <c r="F184" s="158">
        <v>45516.819571759261</v>
      </c>
    </row>
    <row r="185" spans="2:6" x14ac:dyDescent="0.25">
      <c r="B185" t="s">
        <v>104</v>
      </c>
      <c r="C185" t="s">
        <v>106</v>
      </c>
      <c r="D185" t="s">
        <v>91</v>
      </c>
      <c r="E185" t="s">
        <v>105</v>
      </c>
      <c r="F185" s="158">
        <v>45516.819571759261</v>
      </c>
    </row>
    <row r="186" spans="2:6" x14ac:dyDescent="0.25">
      <c r="B186" t="s">
        <v>104</v>
      </c>
      <c r="C186" t="s">
        <v>107</v>
      </c>
      <c r="D186" t="s">
        <v>92</v>
      </c>
      <c r="E186" t="s">
        <v>105</v>
      </c>
      <c r="F186" s="158">
        <v>45516.819571759261</v>
      </c>
    </row>
    <row r="187" spans="2:6" x14ac:dyDescent="0.25">
      <c r="B187" t="s">
        <v>108</v>
      </c>
      <c r="C187" t="s">
        <v>105</v>
      </c>
      <c r="D187" t="s">
        <v>105</v>
      </c>
      <c r="E187" t="s">
        <v>105</v>
      </c>
      <c r="F187" s="158">
        <v>45516.820405092592</v>
      </c>
    </row>
    <row r="188" spans="2:6" x14ac:dyDescent="0.25">
      <c r="B188" t="s">
        <v>109</v>
      </c>
      <c r="C188" t="s">
        <v>105</v>
      </c>
      <c r="D188" t="s">
        <v>105</v>
      </c>
      <c r="E188" t="s">
        <v>105</v>
      </c>
      <c r="F188" s="158">
        <v>45516.820405092592</v>
      </c>
    </row>
    <row r="189" spans="2:6" x14ac:dyDescent="0.25">
      <c r="B189" t="s">
        <v>110</v>
      </c>
      <c r="C189" t="s">
        <v>105</v>
      </c>
      <c r="D189" t="s">
        <v>92</v>
      </c>
      <c r="E189" t="s">
        <v>105</v>
      </c>
      <c r="F189" s="158">
        <v>45516.820405092592</v>
      </c>
    </row>
    <row r="190" spans="2:6" x14ac:dyDescent="0.25">
      <c r="B190" t="s">
        <v>110</v>
      </c>
      <c r="C190" t="s">
        <v>105</v>
      </c>
      <c r="D190" t="s">
        <v>91</v>
      </c>
      <c r="E190" t="s">
        <v>105</v>
      </c>
      <c r="F190" s="158">
        <v>45516.820405092592</v>
      </c>
    </row>
    <row r="191" spans="2:6" x14ac:dyDescent="0.25">
      <c r="B191" t="s">
        <v>112</v>
      </c>
      <c r="C191" t="s">
        <v>100</v>
      </c>
      <c r="D191" t="s">
        <v>100</v>
      </c>
      <c r="E191" t="s">
        <v>103</v>
      </c>
      <c r="F191" s="158">
        <v>45516.820486111108</v>
      </c>
    </row>
    <row r="192" spans="2:6" x14ac:dyDescent="0.25">
      <c r="B192" t="s">
        <v>104</v>
      </c>
      <c r="C192" t="s">
        <v>100</v>
      </c>
      <c r="D192" t="s">
        <v>105</v>
      </c>
      <c r="E192" t="s">
        <v>105</v>
      </c>
      <c r="F192" s="158">
        <v>45516.820543981485</v>
      </c>
    </row>
    <row r="193" spans="2:6" x14ac:dyDescent="0.25">
      <c r="B193" t="s">
        <v>104</v>
      </c>
      <c r="C193" t="s">
        <v>106</v>
      </c>
      <c r="D193" t="s">
        <v>91</v>
      </c>
      <c r="E193" t="s">
        <v>105</v>
      </c>
      <c r="F193" s="158">
        <v>45516.820543981485</v>
      </c>
    </row>
    <row r="194" spans="2:6" x14ac:dyDescent="0.25">
      <c r="B194" t="s">
        <v>104</v>
      </c>
      <c r="C194" t="s">
        <v>107</v>
      </c>
      <c r="D194" t="s">
        <v>92</v>
      </c>
      <c r="E194" t="s">
        <v>105</v>
      </c>
      <c r="F194" s="158">
        <v>45516.820555555554</v>
      </c>
    </row>
    <row r="195" spans="2:6" x14ac:dyDescent="0.25">
      <c r="B195" t="s">
        <v>108</v>
      </c>
      <c r="C195" t="s">
        <v>105</v>
      </c>
      <c r="D195" t="s">
        <v>105</v>
      </c>
      <c r="E195" t="s">
        <v>105</v>
      </c>
      <c r="F195" s="158">
        <v>45516.820613425924</v>
      </c>
    </row>
    <row r="196" spans="2:6" x14ac:dyDescent="0.25">
      <c r="B196" t="s">
        <v>109</v>
      </c>
      <c r="C196" t="s">
        <v>105</v>
      </c>
      <c r="D196" t="s">
        <v>105</v>
      </c>
      <c r="E196" t="s">
        <v>105</v>
      </c>
      <c r="F196" s="158">
        <v>45516.820613425924</v>
      </c>
    </row>
    <row r="197" spans="2:6" x14ac:dyDescent="0.25">
      <c r="B197" t="s">
        <v>110</v>
      </c>
      <c r="C197" t="s">
        <v>105</v>
      </c>
      <c r="D197" t="s">
        <v>92</v>
      </c>
      <c r="E197" t="s">
        <v>105</v>
      </c>
      <c r="F197" s="158">
        <v>45516.820613425924</v>
      </c>
    </row>
    <row r="198" spans="2:6" x14ac:dyDescent="0.25">
      <c r="B198" t="s">
        <v>110</v>
      </c>
      <c r="C198" t="s">
        <v>105</v>
      </c>
      <c r="D198" t="s">
        <v>91</v>
      </c>
      <c r="E198" t="s">
        <v>105</v>
      </c>
      <c r="F198" s="158">
        <v>45516.820625</v>
      </c>
    </row>
    <row r="199" spans="2:6" x14ac:dyDescent="0.25">
      <c r="B199" t="s">
        <v>108</v>
      </c>
      <c r="C199" t="s">
        <v>105</v>
      </c>
      <c r="D199" t="s">
        <v>105</v>
      </c>
      <c r="E199" t="s">
        <v>105</v>
      </c>
      <c r="F199" s="158">
        <v>45516.822326388887</v>
      </c>
    </row>
    <row r="200" spans="2:6" x14ac:dyDescent="0.25">
      <c r="B200" t="s">
        <v>109</v>
      </c>
      <c r="C200" t="s">
        <v>105</v>
      </c>
      <c r="D200" t="s">
        <v>105</v>
      </c>
      <c r="E200" t="s">
        <v>105</v>
      </c>
      <c r="F200" s="158">
        <v>45516.822326388887</v>
      </c>
    </row>
    <row r="201" spans="2:6" x14ac:dyDescent="0.25">
      <c r="B201" t="s">
        <v>110</v>
      </c>
      <c r="C201" t="s">
        <v>105</v>
      </c>
      <c r="D201" t="s">
        <v>92</v>
      </c>
      <c r="E201" t="s">
        <v>105</v>
      </c>
      <c r="F201" s="158">
        <v>45516.822326388887</v>
      </c>
    </row>
    <row r="202" spans="2:6" x14ac:dyDescent="0.25">
      <c r="B202" t="s">
        <v>110</v>
      </c>
      <c r="C202" t="s">
        <v>105</v>
      </c>
      <c r="D202" t="s">
        <v>91</v>
      </c>
      <c r="E202" t="s">
        <v>105</v>
      </c>
      <c r="F202" s="158">
        <v>45516.822326388887</v>
      </c>
    </row>
    <row r="203" spans="2:6" x14ac:dyDescent="0.25">
      <c r="B203" t="s">
        <v>108</v>
      </c>
      <c r="C203" t="s">
        <v>105</v>
      </c>
      <c r="D203" t="s">
        <v>105</v>
      </c>
      <c r="E203" t="s">
        <v>105</v>
      </c>
      <c r="F203" s="158">
        <v>45516.823796296296</v>
      </c>
    </row>
    <row r="204" spans="2:6" x14ac:dyDescent="0.25">
      <c r="B204" t="s">
        <v>109</v>
      </c>
      <c r="C204" t="s">
        <v>105</v>
      </c>
      <c r="D204" t="s">
        <v>105</v>
      </c>
      <c r="E204" t="s">
        <v>105</v>
      </c>
      <c r="F204" s="158">
        <v>45516.823796296296</v>
      </c>
    </row>
    <row r="205" spans="2:6" x14ac:dyDescent="0.25">
      <c r="B205" t="s">
        <v>110</v>
      </c>
      <c r="C205" t="s">
        <v>105</v>
      </c>
      <c r="D205" t="s">
        <v>92</v>
      </c>
      <c r="E205" t="s">
        <v>105</v>
      </c>
      <c r="F205" s="158">
        <v>45516.823796296296</v>
      </c>
    </row>
    <row r="206" spans="2:6" x14ac:dyDescent="0.25">
      <c r="B206" t="s">
        <v>110</v>
      </c>
      <c r="C206" t="s">
        <v>105</v>
      </c>
      <c r="D206" t="s">
        <v>91</v>
      </c>
      <c r="E206" t="s">
        <v>105</v>
      </c>
      <c r="F206" s="158">
        <v>45516.823796296296</v>
      </c>
    </row>
    <row r="207" spans="2:6" x14ac:dyDescent="0.25">
      <c r="B207" t="s">
        <v>112</v>
      </c>
      <c r="C207" t="s">
        <v>100</v>
      </c>
      <c r="D207" t="s">
        <v>100</v>
      </c>
      <c r="E207" t="s">
        <v>103</v>
      </c>
      <c r="F207" s="158">
        <v>45516.82402777778</v>
      </c>
    </row>
    <row r="208" spans="2:6" x14ac:dyDescent="0.25">
      <c r="B208" t="s">
        <v>108</v>
      </c>
      <c r="C208" t="s">
        <v>105</v>
      </c>
      <c r="D208" t="s">
        <v>105</v>
      </c>
      <c r="E208" t="s">
        <v>105</v>
      </c>
      <c r="F208" s="158">
        <v>45516.824641203704</v>
      </c>
    </row>
    <row r="209" spans="2:6" x14ac:dyDescent="0.25">
      <c r="B209" t="s">
        <v>109</v>
      </c>
      <c r="C209" t="s">
        <v>105</v>
      </c>
      <c r="D209" t="s">
        <v>105</v>
      </c>
      <c r="E209" t="s">
        <v>105</v>
      </c>
      <c r="F209" s="158">
        <v>45516.824641203704</v>
      </c>
    </row>
    <row r="210" spans="2:6" x14ac:dyDescent="0.25">
      <c r="B210" t="s">
        <v>110</v>
      </c>
      <c r="C210" t="s">
        <v>105</v>
      </c>
      <c r="D210" t="s">
        <v>92</v>
      </c>
      <c r="E210" t="s">
        <v>105</v>
      </c>
      <c r="F210" s="158">
        <v>45516.824641203704</v>
      </c>
    </row>
    <row r="211" spans="2:6" x14ac:dyDescent="0.25">
      <c r="B211" t="s">
        <v>110</v>
      </c>
      <c r="C211" t="s">
        <v>105</v>
      </c>
      <c r="D211" t="s">
        <v>91</v>
      </c>
      <c r="E211" t="s">
        <v>105</v>
      </c>
      <c r="F211" s="158">
        <v>45516.824641203704</v>
      </c>
    </row>
    <row r="212" spans="2:6" x14ac:dyDescent="0.25">
      <c r="B212" t="s">
        <v>112</v>
      </c>
      <c r="C212" t="s">
        <v>100</v>
      </c>
      <c r="D212" t="s">
        <v>100</v>
      </c>
      <c r="E212" t="s">
        <v>103</v>
      </c>
      <c r="F212" s="158">
        <v>45516.824687499997</v>
      </c>
    </row>
    <row r="213" spans="2:6" x14ac:dyDescent="0.25">
      <c r="B213" t="s">
        <v>108</v>
      </c>
      <c r="C213" t="s">
        <v>105</v>
      </c>
      <c r="D213" t="s">
        <v>105</v>
      </c>
      <c r="E213" t="s">
        <v>105</v>
      </c>
      <c r="F213" s="158">
        <v>45516.825902777775</v>
      </c>
    </row>
    <row r="214" spans="2:6" x14ac:dyDescent="0.25">
      <c r="B214" t="s">
        <v>109</v>
      </c>
      <c r="C214" t="s">
        <v>105</v>
      </c>
      <c r="D214" t="s">
        <v>105</v>
      </c>
      <c r="E214" t="s">
        <v>105</v>
      </c>
      <c r="F214" s="158">
        <v>45516.825902777775</v>
      </c>
    </row>
    <row r="215" spans="2:6" x14ac:dyDescent="0.25">
      <c r="B215" t="s">
        <v>110</v>
      </c>
      <c r="C215" t="s">
        <v>105</v>
      </c>
      <c r="D215" t="s">
        <v>92</v>
      </c>
      <c r="E215" t="s">
        <v>105</v>
      </c>
      <c r="F215" s="158">
        <v>45516.825902777775</v>
      </c>
    </row>
    <row r="216" spans="2:6" x14ac:dyDescent="0.25">
      <c r="B216" t="s">
        <v>110</v>
      </c>
      <c r="C216" t="s">
        <v>105</v>
      </c>
      <c r="D216" t="s">
        <v>91</v>
      </c>
      <c r="E216" t="s">
        <v>105</v>
      </c>
      <c r="F216" s="158">
        <v>45516.825902777775</v>
      </c>
    </row>
    <row r="217" spans="2:6" x14ac:dyDescent="0.25">
      <c r="B217" t="s">
        <v>135</v>
      </c>
      <c r="C217" t="s">
        <v>100</v>
      </c>
      <c r="D217" t="s">
        <v>100</v>
      </c>
      <c r="E217" t="s">
        <v>103</v>
      </c>
      <c r="F217" s="158">
        <v>45516.825937499998</v>
      </c>
    </row>
    <row r="218" spans="2:6" x14ac:dyDescent="0.25">
      <c r="B218" t="s">
        <v>104</v>
      </c>
      <c r="C218" t="s">
        <v>100</v>
      </c>
      <c r="D218" t="s">
        <v>105</v>
      </c>
      <c r="E218" t="s">
        <v>105</v>
      </c>
      <c r="F218" s="158">
        <v>45516.826006944444</v>
      </c>
    </row>
    <row r="219" spans="2:6" x14ac:dyDescent="0.25">
      <c r="B219" t="s">
        <v>104</v>
      </c>
      <c r="C219" t="s">
        <v>106</v>
      </c>
      <c r="D219" t="s">
        <v>91</v>
      </c>
      <c r="E219" t="s">
        <v>105</v>
      </c>
      <c r="F219" s="158">
        <v>45516.826006944444</v>
      </c>
    </row>
    <row r="220" spans="2:6" x14ac:dyDescent="0.25">
      <c r="B220" t="s">
        <v>104</v>
      </c>
      <c r="C220" t="s">
        <v>107</v>
      </c>
      <c r="D220" t="s">
        <v>92</v>
      </c>
      <c r="E220" t="s">
        <v>105</v>
      </c>
      <c r="F220" s="158">
        <v>45516.826006944444</v>
      </c>
    </row>
    <row r="221" spans="2:6" x14ac:dyDescent="0.25">
      <c r="B221" t="s">
        <v>108</v>
      </c>
      <c r="C221" t="s">
        <v>105</v>
      </c>
      <c r="D221" t="s">
        <v>105</v>
      </c>
      <c r="E221" t="s">
        <v>105</v>
      </c>
      <c r="F221" s="158">
        <v>45516.826388888891</v>
      </c>
    </row>
    <row r="222" spans="2:6" x14ac:dyDescent="0.25">
      <c r="B222" t="s">
        <v>109</v>
      </c>
      <c r="C222" t="s">
        <v>105</v>
      </c>
      <c r="D222" t="s">
        <v>105</v>
      </c>
      <c r="E222" t="s">
        <v>105</v>
      </c>
      <c r="F222" s="158">
        <v>45516.826388888891</v>
      </c>
    </row>
    <row r="223" spans="2:6" x14ac:dyDescent="0.25">
      <c r="B223" t="s">
        <v>110</v>
      </c>
      <c r="C223" t="s">
        <v>105</v>
      </c>
      <c r="D223" t="s">
        <v>92</v>
      </c>
      <c r="E223" t="s">
        <v>105</v>
      </c>
      <c r="F223" s="158">
        <v>45516.826388888891</v>
      </c>
    </row>
    <row r="224" spans="2:6" x14ac:dyDescent="0.25">
      <c r="B224" t="s">
        <v>110</v>
      </c>
      <c r="C224" t="s">
        <v>105</v>
      </c>
      <c r="D224" t="s">
        <v>91</v>
      </c>
      <c r="E224" t="s">
        <v>105</v>
      </c>
      <c r="F224" s="158">
        <v>45516.826388888891</v>
      </c>
    </row>
    <row r="225" spans="2:6" x14ac:dyDescent="0.25">
      <c r="B225" t="s">
        <v>135</v>
      </c>
      <c r="C225" t="s">
        <v>100</v>
      </c>
      <c r="D225" t="s">
        <v>100</v>
      </c>
      <c r="E225" t="s">
        <v>103</v>
      </c>
      <c r="F225" s="158">
        <v>45516.840543981481</v>
      </c>
    </row>
    <row r="226" spans="2:6" x14ac:dyDescent="0.25">
      <c r="B226" t="s">
        <v>108</v>
      </c>
      <c r="C226" t="s">
        <v>105</v>
      </c>
      <c r="D226" t="s">
        <v>105</v>
      </c>
      <c r="E226" t="s">
        <v>105</v>
      </c>
      <c r="F226" s="158">
        <v>45516.840636574074</v>
      </c>
    </row>
    <row r="227" spans="2:6" x14ac:dyDescent="0.25">
      <c r="B227" t="s">
        <v>109</v>
      </c>
      <c r="C227" t="s">
        <v>105</v>
      </c>
      <c r="D227" t="s">
        <v>105</v>
      </c>
      <c r="E227" t="s">
        <v>105</v>
      </c>
      <c r="F227" s="158">
        <v>45516.840636574074</v>
      </c>
    </row>
    <row r="228" spans="2:6" x14ac:dyDescent="0.25">
      <c r="B228" t="s">
        <v>110</v>
      </c>
      <c r="C228" t="s">
        <v>105</v>
      </c>
      <c r="D228" t="s">
        <v>92</v>
      </c>
      <c r="E228" t="s">
        <v>105</v>
      </c>
      <c r="F228" s="158">
        <v>45516.840636574074</v>
      </c>
    </row>
    <row r="229" spans="2:6" x14ac:dyDescent="0.25">
      <c r="B229" t="s">
        <v>110</v>
      </c>
      <c r="C229" t="s">
        <v>105</v>
      </c>
      <c r="D229" t="s">
        <v>91</v>
      </c>
      <c r="E229" t="s">
        <v>105</v>
      </c>
      <c r="F229" s="158">
        <v>45516.840636574074</v>
      </c>
    </row>
    <row r="230" spans="2:6" x14ac:dyDescent="0.25">
      <c r="B230" t="s">
        <v>135</v>
      </c>
      <c r="C230" t="s">
        <v>100</v>
      </c>
      <c r="D230" t="s">
        <v>100</v>
      </c>
      <c r="E230" t="s">
        <v>103</v>
      </c>
      <c r="F230" s="158">
        <v>45516.841620370367</v>
      </c>
    </row>
    <row r="231" spans="2:6" x14ac:dyDescent="0.25">
      <c r="B231" t="s">
        <v>108</v>
      </c>
      <c r="C231" t="s">
        <v>105</v>
      </c>
      <c r="D231" t="s">
        <v>105</v>
      </c>
      <c r="E231" t="s">
        <v>105</v>
      </c>
      <c r="F231" s="158">
        <v>45516.843287037038</v>
      </c>
    </row>
    <row r="232" spans="2:6" x14ac:dyDescent="0.25">
      <c r="B232" t="s">
        <v>109</v>
      </c>
      <c r="C232" t="s">
        <v>105</v>
      </c>
      <c r="D232" t="s">
        <v>105</v>
      </c>
      <c r="E232" t="s">
        <v>105</v>
      </c>
      <c r="F232" s="158">
        <v>45516.843287037038</v>
      </c>
    </row>
    <row r="233" spans="2:6" x14ac:dyDescent="0.25">
      <c r="B233" t="s">
        <v>110</v>
      </c>
      <c r="C233" t="s">
        <v>105</v>
      </c>
      <c r="D233" t="s">
        <v>92</v>
      </c>
      <c r="E233" t="s">
        <v>105</v>
      </c>
      <c r="F233" s="158">
        <v>45516.843287037038</v>
      </c>
    </row>
    <row r="234" spans="2:6" x14ac:dyDescent="0.25">
      <c r="B234" t="s">
        <v>110</v>
      </c>
      <c r="C234" t="s">
        <v>105</v>
      </c>
      <c r="D234" t="s">
        <v>91</v>
      </c>
      <c r="E234" t="s">
        <v>105</v>
      </c>
      <c r="F234" s="158">
        <v>45516.843287037038</v>
      </c>
    </row>
    <row r="235" spans="2:6" x14ac:dyDescent="0.25">
      <c r="B235" t="s">
        <v>135</v>
      </c>
      <c r="C235" t="s">
        <v>100</v>
      </c>
      <c r="D235" t="s">
        <v>100</v>
      </c>
      <c r="E235" t="s">
        <v>103</v>
      </c>
      <c r="F235" s="158">
        <v>45516.843344907407</v>
      </c>
    </row>
    <row r="236" spans="2:6" x14ac:dyDescent="0.25">
      <c r="B236" t="s">
        <v>104</v>
      </c>
      <c r="C236" t="s">
        <v>100</v>
      </c>
      <c r="D236" t="s">
        <v>105</v>
      </c>
      <c r="E236" t="s">
        <v>105</v>
      </c>
      <c r="F236" s="158">
        <v>45516.843414351853</v>
      </c>
    </row>
    <row r="237" spans="2:6" x14ac:dyDescent="0.25">
      <c r="B237" t="s">
        <v>104</v>
      </c>
      <c r="C237" t="s">
        <v>106</v>
      </c>
      <c r="D237" t="s">
        <v>91</v>
      </c>
      <c r="E237" t="s">
        <v>105</v>
      </c>
      <c r="F237" s="158">
        <v>45516.843414351853</v>
      </c>
    </row>
    <row r="238" spans="2:6" x14ac:dyDescent="0.25">
      <c r="B238" t="s">
        <v>104</v>
      </c>
      <c r="C238" t="s">
        <v>107</v>
      </c>
      <c r="D238" t="s">
        <v>92</v>
      </c>
      <c r="E238" t="s">
        <v>105</v>
      </c>
      <c r="F238" s="158">
        <v>45516.843414351853</v>
      </c>
    </row>
    <row r="239" spans="2:6" x14ac:dyDescent="0.25">
      <c r="B239" t="s">
        <v>108</v>
      </c>
      <c r="C239" t="s">
        <v>105</v>
      </c>
      <c r="D239" t="s">
        <v>105</v>
      </c>
      <c r="E239" t="s">
        <v>105</v>
      </c>
      <c r="F239" s="158">
        <v>45516.844039351854</v>
      </c>
    </row>
    <row r="240" spans="2:6" x14ac:dyDescent="0.25">
      <c r="B240" t="s">
        <v>109</v>
      </c>
      <c r="C240" t="s">
        <v>105</v>
      </c>
      <c r="D240" t="s">
        <v>105</v>
      </c>
      <c r="E240" t="s">
        <v>105</v>
      </c>
      <c r="F240" s="158">
        <v>45516.844039351854</v>
      </c>
    </row>
    <row r="241" spans="2:6" x14ac:dyDescent="0.25">
      <c r="B241" t="s">
        <v>110</v>
      </c>
      <c r="C241" t="s">
        <v>105</v>
      </c>
      <c r="D241" t="s">
        <v>92</v>
      </c>
      <c r="E241" t="s">
        <v>105</v>
      </c>
      <c r="F241" s="158">
        <v>45516.844039351854</v>
      </c>
    </row>
    <row r="242" spans="2:6" x14ac:dyDescent="0.25">
      <c r="B242" t="s">
        <v>110</v>
      </c>
      <c r="C242" t="s">
        <v>105</v>
      </c>
      <c r="D242" t="s">
        <v>91</v>
      </c>
      <c r="E242" t="s">
        <v>105</v>
      </c>
      <c r="F242" s="158">
        <v>45516.844039351854</v>
      </c>
    </row>
    <row r="243" spans="2:6" x14ac:dyDescent="0.25">
      <c r="B243" t="s">
        <v>135</v>
      </c>
      <c r="C243" t="s">
        <v>100</v>
      </c>
      <c r="D243" t="s">
        <v>100</v>
      </c>
      <c r="E243" t="s">
        <v>103</v>
      </c>
      <c r="F243" s="158">
        <v>45516.844097222223</v>
      </c>
    </row>
    <row r="244" spans="2:6" x14ac:dyDescent="0.25">
      <c r="B244" t="s">
        <v>108</v>
      </c>
      <c r="C244" t="s">
        <v>105</v>
      </c>
      <c r="D244" t="s">
        <v>105</v>
      </c>
      <c r="E244" t="s">
        <v>105</v>
      </c>
      <c r="F244" s="158">
        <v>45516.844907407409</v>
      </c>
    </row>
    <row r="245" spans="2:6" x14ac:dyDescent="0.25">
      <c r="B245" t="s">
        <v>109</v>
      </c>
      <c r="C245" t="s">
        <v>105</v>
      </c>
      <c r="D245" t="s">
        <v>105</v>
      </c>
      <c r="E245" t="s">
        <v>105</v>
      </c>
      <c r="F245" s="158">
        <v>45516.844907407409</v>
      </c>
    </row>
    <row r="246" spans="2:6" x14ac:dyDescent="0.25">
      <c r="B246" t="s">
        <v>110</v>
      </c>
      <c r="C246" t="s">
        <v>105</v>
      </c>
      <c r="D246" t="s">
        <v>92</v>
      </c>
      <c r="E246" t="s">
        <v>105</v>
      </c>
      <c r="F246" s="158">
        <v>45516.844907407409</v>
      </c>
    </row>
    <row r="247" spans="2:6" x14ac:dyDescent="0.25">
      <c r="B247" t="s">
        <v>110</v>
      </c>
      <c r="C247" t="s">
        <v>105</v>
      </c>
      <c r="D247" t="s">
        <v>91</v>
      </c>
      <c r="E247" t="s">
        <v>105</v>
      </c>
      <c r="F247" s="158">
        <v>45516.844907407409</v>
      </c>
    </row>
    <row r="248" spans="2:6" x14ac:dyDescent="0.25">
      <c r="B248" t="s">
        <v>135</v>
      </c>
      <c r="C248" t="s">
        <v>100</v>
      </c>
      <c r="D248" t="s">
        <v>100</v>
      </c>
      <c r="E248" t="s">
        <v>103</v>
      </c>
      <c r="F248" s="158">
        <v>45516.844930555555</v>
      </c>
    </row>
    <row r="249" spans="2:6" x14ac:dyDescent="0.25">
      <c r="B249" t="s">
        <v>135</v>
      </c>
      <c r="C249" t="s">
        <v>100</v>
      </c>
      <c r="D249" t="s">
        <v>100</v>
      </c>
      <c r="E249" t="s">
        <v>103</v>
      </c>
      <c r="F249" s="158">
        <v>45516.845254629632</v>
      </c>
    </row>
    <row r="250" spans="2:6" x14ac:dyDescent="0.25">
      <c r="B250" t="s">
        <v>108</v>
      </c>
      <c r="C250" t="s">
        <v>105</v>
      </c>
      <c r="D250" t="s">
        <v>105</v>
      </c>
      <c r="E250" t="s">
        <v>105</v>
      </c>
      <c r="F250" s="158">
        <v>45516.849687499998</v>
      </c>
    </row>
    <row r="251" spans="2:6" x14ac:dyDescent="0.25">
      <c r="B251" t="s">
        <v>109</v>
      </c>
      <c r="C251" t="s">
        <v>105</v>
      </c>
      <c r="D251" t="s">
        <v>105</v>
      </c>
      <c r="E251" t="s">
        <v>105</v>
      </c>
      <c r="F251" s="158">
        <v>45516.849687499998</v>
      </c>
    </row>
    <row r="252" spans="2:6" x14ac:dyDescent="0.25">
      <c r="B252" t="s">
        <v>110</v>
      </c>
      <c r="C252" t="s">
        <v>105</v>
      </c>
      <c r="D252" t="s">
        <v>92</v>
      </c>
      <c r="E252" t="s">
        <v>105</v>
      </c>
      <c r="F252" s="158">
        <v>45516.849687499998</v>
      </c>
    </row>
    <row r="253" spans="2:6" x14ac:dyDescent="0.25">
      <c r="B253" t="s">
        <v>110</v>
      </c>
      <c r="C253" t="s">
        <v>105</v>
      </c>
      <c r="D253" t="s">
        <v>91</v>
      </c>
      <c r="E253" t="s">
        <v>105</v>
      </c>
      <c r="F253" s="158">
        <v>45516.849687499998</v>
      </c>
    </row>
    <row r="254" spans="2:6" x14ac:dyDescent="0.25">
      <c r="B254" t="s">
        <v>135</v>
      </c>
      <c r="C254" t="s">
        <v>100</v>
      </c>
      <c r="D254" t="s">
        <v>100</v>
      </c>
      <c r="E254" t="s">
        <v>103</v>
      </c>
      <c r="F254" s="158">
        <v>45516.849733796298</v>
      </c>
    </row>
    <row r="255" spans="2:6" x14ac:dyDescent="0.25">
      <c r="B255" t="s">
        <v>108</v>
      </c>
      <c r="C255" t="s">
        <v>105</v>
      </c>
      <c r="D255" t="s">
        <v>105</v>
      </c>
      <c r="E255" t="s">
        <v>105</v>
      </c>
      <c r="F255" s="158">
        <v>45516.855162037034</v>
      </c>
    </row>
    <row r="256" spans="2:6" x14ac:dyDescent="0.25">
      <c r="B256" t="s">
        <v>109</v>
      </c>
      <c r="C256" t="s">
        <v>105</v>
      </c>
      <c r="D256" t="s">
        <v>105</v>
      </c>
      <c r="E256" t="s">
        <v>105</v>
      </c>
      <c r="F256" s="158">
        <v>45516.855162037034</v>
      </c>
    </row>
    <row r="257" spans="2:6" x14ac:dyDescent="0.25">
      <c r="B257" t="s">
        <v>110</v>
      </c>
      <c r="C257" t="s">
        <v>105</v>
      </c>
      <c r="D257" t="s">
        <v>92</v>
      </c>
      <c r="E257" t="s">
        <v>105</v>
      </c>
      <c r="F257" s="158">
        <v>45516.855162037034</v>
      </c>
    </row>
    <row r="258" spans="2:6" x14ac:dyDescent="0.25">
      <c r="B258" t="s">
        <v>110</v>
      </c>
      <c r="C258" t="s">
        <v>105</v>
      </c>
      <c r="D258" t="s">
        <v>91</v>
      </c>
      <c r="E258" t="s">
        <v>105</v>
      </c>
      <c r="F258" s="158">
        <v>45516.855162037034</v>
      </c>
    </row>
    <row r="259" spans="2:6" x14ac:dyDescent="0.25">
      <c r="B259" t="s">
        <v>108</v>
      </c>
      <c r="C259" t="s">
        <v>105</v>
      </c>
      <c r="D259" t="s">
        <v>105</v>
      </c>
      <c r="E259" t="s">
        <v>105</v>
      </c>
      <c r="F259" s="158">
        <v>45516.860706018517</v>
      </c>
    </row>
    <row r="260" spans="2:6" x14ac:dyDescent="0.25">
      <c r="B260" t="s">
        <v>109</v>
      </c>
      <c r="C260" t="s">
        <v>105</v>
      </c>
      <c r="D260" t="s">
        <v>105</v>
      </c>
      <c r="E260" t="s">
        <v>105</v>
      </c>
      <c r="F260" s="158">
        <v>45516.860706018517</v>
      </c>
    </row>
    <row r="261" spans="2:6" x14ac:dyDescent="0.25">
      <c r="B261" t="s">
        <v>110</v>
      </c>
      <c r="C261" t="s">
        <v>105</v>
      </c>
      <c r="D261" t="s">
        <v>92</v>
      </c>
      <c r="E261" t="s">
        <v>105</v>
      </c>
      <c r="F261" s="158">
        <v>45516.860706018517</v>
      </c>
    </row>
    <row r="262" spans="2:6" x14ac:dyDescent="0.25">
      <c r="B262" t="s">
        <v>110</v>
      </c>
      <c r="C262" t="s">
        <v>105</v>
      </c>
      <c r="D262" t="s">
        <v>91</v>
      </c>
      <c r="E262" t="s">
        <v>105</v>
      </c>
      <c r="F262" s="158">
        <v>45516.860706018517</v>
      </c>
    </row>
    <row r="263" spans="2:6" x14ac:dyDescent="0.25">
      <c r="B263" t="s">
        <v>102</v>
      </c>
      <c r="C263" t="s">
        <v>100</v>
      </c>
      <c r="D263" t="s">
        <v>100</v>
      </c>
      <c r="E263" t="s">
        <v>132</v>
      </c>
      <c r="F263" s="158">
        <v>45516.861122685186</v>
      </c>
    </row>
    <row r="264" spans="2:6" x14ac:dyDescent="0.25">
      <c r="B264" t="s">
        <v>104</v>
      </c>
      <c r="C264" t="s">
        <v>100</v>
      </c>
      <c r="D264" t="s">
        <v>105</v>
      </c>
      <c r="E264" t="s">
        <v>105</v>
      </c>
      <c r="F264" s="158">
        <v>45516.861168981479</v>
      </c>
    </row>
    <row r="265" spans="2:6" x14ac:dyDescent="0.25">
      <c r="B265" t="s">
        <v>104</v>
      </c>
      <c r="C265" t="s">
        <v>106</v>
      </c>
      <c r="D265" t="s">
        <v>91</v>
      </c>
      <c r="E265" t="s">
        <v>105</v>
      </c>
      <c r="F265" s="158">
        <v>45516.861168981479</v>
      </c>
    </row>
    <row r="266" spans="2:6" x14ac:dyDescent="0.25">
      <c r="B266" t="s">
        <v>104</v>
      </c>
      <c r="C266" t="s">
        <v>107</v>
      </c>
      <c r="D266" t="s">
        <v>92</v>
      </c>
      <c r="E266" t="s">
        <v>105</v>
      </c>
      <c r="F266" s="158">
        <v>45516.861168981479</v>
      </c>
    </row>
    <row r="267" spans="2:6" x14ac:dyDescent="0.25">
      <c r="B267" t="s">
        <v>108</v>
      </c>
      <c r="C267" t="s">
        <v>105</v>
      </c>
      <c r="D267" t="s">
        <v>105</v>
      </c>
      <c r="E267" t="s">
        <v>105</v>
      </c>
      <c r="F267" s="158">
        <v>45516.861932870372</v>
      </c>
    </row>
    <row r="268" spans="2:6" x14ac:dyDescent="0.25">
      <c r="B268" t="s">
        <v>109</v>
      </c>
      <c r="C268" t="s">
        <v>105</v>
      </c>
      <c r="D268" t="s">
        <v>105</v>
      </c>
      <c r="E268" t="s">
        <v>105</v>
      </c>
      <c r="F268" s="158">
        <v>45516.861932870372</v>
      </c>
    </row>
    <row r="269" spans="2:6" x14ac:dyDescent="0.25">
      <c r="B269" t="s">
        <v>110</v>
      </c>
      <c r="C269" t="s">
        <v>105</v>
      </c>
      <c r="D269" t="s">
        <v>92</v>
      </c>
      <c r="E269" t="s">
        <v>105</v>
      </c>
      <c r="F269" s="158">
        <v>45516.861932870372</v>
      </c>
    </row>
    <row r="270" spans="2:6" x14ac:dyDescent="0.25">
      <c r="B270" t="s">
        <v>110</v>
      </c>
      <c r="C270" t="s">
        <v>105</v>
      </c>
      <c r="D270" t="s">
        <v>91</v>
      </c>
      <c r="E270" t="s">
        <v>105</v>
      </c>
      <c r="F270" s="158">
        <v>45516.861932870372</v>
      </c>
    </row>
    <row r="271" spans="2:6" x14ac:dyDescent="0.25">
      <c r="B271" t="s">
        <v>135</v>
      </c>
      <c r="C271" t="s">
        <v>100</v>
      </c>
      <c r="D271" t="s">
        <v>100</v>
      </c>
      <c r="E271" t="s">
        <v>132</v>
      </c>
      <c r="F271" s="158">
        <v>45516.861967592595</v>
      </c>
    </row>
    <row r="272" spans="2:6" x14ac:dyDescent="0.25">
      <c r="B272" t="s">
        <v>108</v>
      </c>
      <c r="C272" t="s">
        <v>105</v>
      </c>
      <c r="D272" t="s">
        <v>105</v>
      </c>
      <c r="E272" t="s">
        <v>105</v>
      </c>
      <c r="F272" s="158">
        <v>45516.86241898148</v>
      </c>
    </row>
    <row r="273" spans="2:6" x14ac:dyDescent="0.25">
      <c r="B273" t="s">
        <v>109</v>
      </c>
      <c r="C273" t="s">
        <v>105</v>
      </c>
      <c r="D273" t="s">
        <v>105</v>
      </c>
      <c r="E273" t="s">
        <v>105</v>
      </c>
      <c r="F273" s="158">
        <v>45516.86241898148</v>
      </c>
    </row>
    <row r="274" spans="2:6" x14ac:dyDescent="0.25">
      <c r="B274" t="s">
        <v>110</v>
      </c>
      <c r="C274" t="s">
        <v>105</v>
      </c>
      <c r="D274" t="s">
        <v>92</v>
      </c>
      <c r="E274" t="s">
        <v>105</v>
      </c>
      <c r="F274" s="158">
        <v>45516.86241898148</v>
      </c>
    </row>
    <row r="275" spans="2:6" x14ac:dyDescent="0.25">
      <c r="B275" t="s">
        <v>110</v>
      </c>
      <c r="C275" t="s">
        <v>105</v>
      </c>
      <c r="D275" t="s">
        <v>91</v>
      </c>
      <c r="E275" t="s">
        <v>105</v>
      </c>
      <c r="F275" s="158">
        <v>45516.86241898148</v>
      </c>
    </row>
    <row r="276" spans="2:6" x14ac:dyDescent="0.25">
      <c r="B276" t="s">
        <v>135</v>
      </c>
      <c r="C276" t="s">
        <v>100</v>
      </c>
      <c r="D276" t="s">
        <v>100</v>
      </c>
      <c r="E276" t="s">
        <v>132</v>
      </c>
      <c r="F276" s="158">
        <v>45516.862453703703</v>
      </c>
    </row>
    <row r="277" spans="2:6" x14ac:dyDescent="0.25">
      <c r="B277" t="s">
        <v>104</v>
      </c>
      <c r="C277" t="s">
        <v>100</v>
      </c>
      <c r="D277" t="s">
        <v>105</v>
      </c>
      <c r="E277" t="s">
        <v>105</v>
      </c>
      <c r="F277" s="158">
        <v>45516.862696759257</v>
      </c>
    </row>
    <row r="278" spans="2:6" x14ac:dyDescent="0.25">
      <c r="B278" t="s">
        <v>104</v>
      </c>
      <c r="C278" t="s">
        <v>106</v>
      </c>
      <c r="D278" t="s">
        <v>91</v>
      </c>
      <c r="E278" t="s">
        <v>105</v>
      </c>
      <c r="F278" s="158">
        <v>45516.862696759257</v>
      </c>
    </row>
    <row r="279" spans="2:6" x14ac:dyDescent="0.25">
      <c r="B279" t="s">
        <v>104</v>
      </c>
      <c r="C279" t="s">
        <v>107</v>
      </c>
      <c r="D279" t="s">
        <v>91</v>
      </c>
      <c r="E279" t="s">
        <v>105</v>
      </c>
      <c r="F279" s="158">
        <v>45516.862696759257</v>
      </c>
    </row>
    <row r="280" spans="2:6" x14ac:dyDescent="0.25">
      <c r="B280" t="s">
        <v>108</v>
      </c>
      <c r="C280" t="s">
        <v>105</v>
      </c>
      <c r="D280" t="s">
        <v>105</v>
      </c>
      <c r="E280" t="s">
        <v>105</v>
      </c>
      <c r="F280" s="158">
        <v>45516.862881944442</v>
      </c>
    </row>
    <row r="281" spans="2:6" x14ac:dyDescent="0.25">
      <c r="B281" t="s">
        <v>109</v>
      </c>
      <c r="C281" t="s">
        <v>105</v>
      </c>
      <c r="D281" t="s">
        <v>105</v>
      </c>
      <c r="E281" t="s">
        <v>105</v>
      </c>
      <c r="F281" s="158">
        <v>45516.862881944442</v>
      </c>
    </row>
    <row r="282" spans="2:6" x14ac:dyDescent="0.25">
      <c r="B282" t="s">
        <v>110</v>
      </c>
      <c r="C282" t="s">
        <v>105</v>
      </c>
      <c r="D282" t="s">
        <v>92</v>
      </c>
      <c r="E282" t="s">
        <v>105</v>
      </c>
      <c r="F282" s="158">
        <v>45516.862881944442</v>
      </c>
    </row>
    <row r="283" spans="2:6" x14ac:dyDescent="0.25">
      <c r="B283" t="s">
        <v>110</v>
      </c>
      <c r="C283" t="s">
        <v>105</v>
      </c>
      <c r="D283" t="s">
        <v>91</v>
      </c>
      <c r="E283" t="s">
        <v>105</v>
      </c>
      <c r="F283" s="158">
        <v>45516.862881944442</v>
      </c>
    </row>
    <row r="284" spans="2:6" x14ac:dyDescent="0.25">
      <c r="B284" t="s">
        <v>135</v>
      </c>
      <c r="C284" t="s">
        <v>100</v>
      </c>
      <c r="D284" t="s">
        <v>100</v>
      </c>
      <c r="E284" t="s">
        <v>132</v>
      </c>
      <c r="F284" s="158">
        <v>45516.862951388888</v>
      </c>
    </row>
    <row r="285" spans="2:6" x14ac:dyDescent="0.25">
      <c r="B285" t="s">
        <v>104</v>
      </c>
      <c r="C285" t="s">
        <v>100</v>
      </c>
      <c r="D285" t="s">
        <v>105</v>
      </c>
      <c r="E285" t="s">
        <v>105</v>
      </c>
      <c r="F285" s="158">
        <v>45516.863113425927</v>
      </c>
    </row>
    <row r="286" spans="2:6" x14ac:dyDescent="0.25">
      <c r="B286" t="s">
        <v>104</v>
      </c>
      <c r="C286" t="s">
        <v>106</v>
      </c>
      <c r="D286" t="s">
        <v>91</v>
      </c>
      <c r="E286" t="s">
        <v>105</v>
      </c>
      <c r="F286" s="158">
        <v>45516.863113425927</v>
      </c>
    </row>
    <row r="287" spans="2:6" x14ac:dyDescent="0.25">
      <c r="B287" t="s">
        <v>104</v>
      </c>
      <c r="C287" t="s">
        <v>107</v>
      </c>
      <c r="D287" t="s">
        <v>92</v>
      </c>
      <c r="E287" t="s">
        <v>105</v>
      </c>
      <c r="F287" s="158">
        <v>45516.863113425927</v>
      </c>
    </row>
    <row r="288" spans="2:6" x14ac:dyDescent="0.25">
      <c r="B288" t="s">
        <v>108</v>
      </c>
      <c r="C288" t="s">
        <v>105</v>
      </c>
      <c r="D288" t="s">
        <v>105</v>
      </c>
      <c r="E288" t="s">
        <v>105</v>
      </c>
      <c r="F288" s="158">
        <v>45516.863229166665</v>
      </c>
    </row>
    <row r="289" spans="2:6" x14ac:dyDescent="0.25">
      <c r="B289" t="s">
        <v>109</v>
      </c>
      <c r="C289" t="s">
        <v>105</v>
      </c>
      <c r="D289" t="s">
        <v>105</v>
      </c>
      <c r="E289" t="s">
        <v>105</v>
      </c>
      <c r="F289" s="158">
        <v>45516.863229166665</v>
      </c>
    </row>
    <row r="290" spans="2:6" x14ac:dyDescent="0.25">
      <c r="B290" t="s">
        <v>110</v>
      </c>
      <c r="C290" t="s">
        <v>105</v>
      </c>
      <c r="D290" t="s">
        <v>92</v>
      </c>
      <c r="E290" t="s">
        <v>105</v>
      </c>
      <c r="F290" s="158">
        <v>45516.863229166665</v>
      </c>
    </row>
    <row r="291" spans="2:6" x14ac:dyDescent="0.25">
      <c r="B291" t="s">
        <v>110</v>
      </c>
      <c r="C291" t="s">
        <v>105</v>
      </c>
      <c r="D291" t="s">
        <v>91</v>
      </c>
      <c r="E291" t="s">
        <v>105</v>
      </c>
      <c r="F291" s="158">
        <v>45516.863229166665</v>
      </c>
    </row>
    <row r="292" spans="2:6" x14ac:dyDescent="0.25">
      <c r="B292" t="s">
        <v>133</v>
      </c>
      <c r="C292" t="s">
        <v>100</v>
      </c>
      <c r="D292" t="s">
        <v>105</v>
      </c>
      <c r="E292" t="s">
        <v>105</v>
      </c>
      <c r="F292" s="158">
        <v>45516.863657407404</v>
      </c>
    </row>
    <row r="293" spans="2:6" x14ac:dyDescent="0.25">
      <c r="B293" t="s">
        <v>133</v>
      </c>
      <c r="C293" t="s">
        <v>106</v>
      </c>
      <c r="D293" t="s">
        <v>91</v>
      </c>
      <c r="E293" t="s">
        <v>105</v>
      </c>
      <c r="F293" s="158">
        <v>45516.863657407404</v>
      </c>
    </row>
    <row r="294" spans="2:6" x14ac:dyDescent="0.25">
      <c r="B294" t="s">
        <v>133</v>
      </c>
      <c r="C294" t="s">
        <v>107</v>
      </c>
      <c r="D294" t="s">
        <v>92</v>
      </c>
      <c r="E294" t="s">
        <v>105</v>
      </c>
      <c r="F294" s="158">
        <v>45516.863657407404</v>
      </c>
    </row>
    <row r="295" spans="2:6" x14ac:dyDescent="0.25">
      <c r="B295" t="s">
        <v>135</v>
      </c>
      <c r="C295" t="s">
        <v>100</v>
      </c>
      <c r="D295" t="s">
        <v>100</v>
      </c>
      <c r="E295" t="s">
        <v>132</v>
      </c>
      <c r="F295" s="158">
        <v>45516.863749999997</v>
      </c>
    </row>
    <row r="296" spans="2:6" x14ac:dyDescent="0.25">
      <c r="B296" t="s">
        <v>133</v>
      </c>
      <c r="C296" t="s">
        <v>100</v>
      </c>
      <c r="D296" t="s">
        <v>105</v>
      </c>
      <c r="E296" t="s">
        <v>105</v>
      </c>
      <c r="F296" s="158">
        <v>45516.863819444443</v>
      </c>
    </row>
    <row r="297" spans="2:6" x14ac:dyDescent="0.25">
      <c r="B297" t="s">
        <v>133</v>
      </c>
      <c r="C297" t="s">
        <v>106</v>
      </c>
      <c r="D297" t="s">
        <v>91</v>
      </c>
      <c r="E297" t="s">
        <v>105</v>
      </c>
      <c r="F297" s="158">
        <v>45516.863819444443</v>
      </c>
    </row>
    <row r="298" spans="2:6" x14ac:dyDescent="0.25">
      <c r="B298" t="s">
        <v>133</v>
      </c>
      <c r="C298" t="s">
        <v>107</v>
      </c>
      <c r="D298" t="s">
        <v>92</v>
      </c>
      <c r="E298" t="s">
        <v>105</v>
      </c>
      <c r="F298" s="158">
        <v>45516.863819444443</v>
      </c>
    </row>
    <row r="299" spans="2:6" x14ac:dyDescent="0.25">
      <c r="B299" t="s">
        <v>133</v>
      </c>
      <c r="C299" t="s">
        <v>100</v>
      </c>
      <c r="D299" t="s">
        <v>105</v>
      </c>
      <c r="E299" t="s">
        <v>105</v>
      </c>
      <c r="F299" s="158">
        <v>45516.864537037036</v>
      </c>
    </row>
    <row r="300" spans="2:6" x14ac:dyDescent="0.25">
      <c r="B300" t="s">
        <v>133</v>
      </c>
      <c r="C300" t="s">
        <v>106</v>
      </c>
      <c r="D300" t="s">
        <v>91</v>
      </c>
      <c r="E300" t="s">
        <v>105</v>
      </c>
      <c r="F300" s="158">
        <v>45516.864537037036</v>
      </c>
    </row>
    <row r="301" spans="2:6" x14ac:dyDescent="0.25">
      <c r="B301" t="s">
        <v>133</v>
      </c>
      <c r="C301" t="s">
        <v>107</v>
      </c>
      <c r="D301" t="s">
        <v>92</v>
      </c>
      <c r="E301" t="s">
        <v>105</v>
      </c>
      <c r="F301" s="158">
        <v>45516.865995370368</v>
      </c>
    </row>
    <row r="302" spans="2:6" x14ac:dyDescent="0.25">
      <c r="B302" t="s">
        <v>108</v>
      </c>
      <c r="C302" t="s">
        <v>105</v>
      </c>
      <c r="D302" t="s">
        <v>105</v>
      </c>
      <c r="E302" t="s">
        <v>105</v>
      </c>
      <c r="F302" s="158">
        <v>45516.868217592593</v>
      </c>
    </row>
    <row r="303" spans="2:6" x14ac:dyDescent="0.25">
      <c r="B303" t="s">
        <v>109</v>
      </c>
      <c r="C303" t="s">
        <v>105</v>
      </c>
      <c r="D303" t="s">
        <v>105</v>
      </c>
      <c r="E303" t="s">
        <v>105</v>
      </c>
      <c r="F303" s="158">
        <v>45516.868217592593</v>
      </c>
    </row>
    <row r="304" spans="2:6" x14ac:dyDescent="0.25">
      <c r="B304" t="s">
        <v>110</v>
      </c>
      <c r="C304" t="s">
        <v>105</v>
      </c>
      <c r="D304" t="s">
        <v>92</v>
      </c>
      <c r="E304" t="s">
        <v>105</v>
      </c>
      <c r="F304" s="158">
        <v>45516.868217592593</v>
      </c>
    </row>
    <row r="305" spans="2:6" x14ac:dyDescent="0.25">
      <c r="B305" t="s">
        <v>110</v>
      </c>
      <c r="C305" t="s">
        <v>105</v>
      </c>
      <c r="D305" t="s">
        <v>91</v>
      </c>
      <c r="E305" t="s">
        <v>105</v>
      </c>
      <c r="F305" s="158">
        <v>45516.868217592593</v>
      </c>
    </row>
    <row r="306" spans="2:6" x14ac:dyDescent="0.25">
      <c r="B306" t="s">
        <v>104</v>
      </c>
      <c r="C306" t="s">
        <v>100</v>
      </c>
      <c r="D306" t="s">
        <v>105</v>
      </c>
      <c r="E306" t="s">
        <v>105</v>
      </c>
      <c r="F306" s="158">
        <v>45516.868275462963</v>
      </c>
    </row>
    <row r="307" spans="2:6" x14ac:dyDescent="0.25">
      <c r="B307" t="s">
        <v>104</v>
      </c>
      <c r="C307" t="s">
        <v>106</v>
      </c>
      <c r="D307" t="s">
        <v>91</v>
      </c>
      <c r="E307" t="s">
        <v>105</v>
      </c>
      <c r="F307" s="158">
        <v>45516.868275462963</v>
      </c>
    </row>
    <row r="308" spans="2:6" x14ac:dyDescent="0.25">
      <c r="B308" t="s">
        <v>104</v>
      </c>
      <c r="C308" t="s">
        <v>107</v>
      </c>
      <c r="D308" t="s">
        <v>92</v>
      </c>
      <c r="E308" t="s">
        <v>105</v>
      </c>
      <c r="F308" s="158">
        <v>45516.868275462963</v>
      </c>
    </row>
    <row r="309" spans="2:6" x14ac:dyDescent="0.25">
      <c r="B309" t="s">
        <v>135</v>
      </c>
      <c r="C309" t="s">
        <v>100</v>
      </c>
      <c r="D309" t="s">
        <v>100</v>
      </c>
      <c r="E309" t="s">
        <v>132</v>
      </c>
      <c r="F309" s="158">
        <v>45516.868333333332</v>
      </c>
    </row>
    <row r="310" spans="2:6" x14ac:dyDescent="0.25">
      <c r="B310" t="s">
        <v>104</v>
      </c>
      <c r="C310" t="s">
        <v>100</v>
      </c>
      <c r="D310" t="s">
        <v>105</v>
      </c>
      <c r="E310" t="s">
        <v>105</v>
      </c>
      <c r="F310" s="158">
        <v>45516.868391203701</v>
      </c>
    </row>
    <row r="311" spans="2:6" x14ac:dyDescent="0.25">
      <c r="B311" t="s">
        <v>104</v>
      </c>
      <c r="C311" t="s">
        <v>106</v>
      </c>
      <c r="D311" t="s">
        <v>91</v>
      </c>
      <c r="E311" t="s">
        <v>105</v>
      </c>
      <c r="F311" s="158">
        <v>45516.868391203701</v>
      </c>
    </row>
    <row r="312" spans="2:6" x14ac:dyDescent="0.25">
      <c r="B312" t="s">
        <v>104</v>
      </c>
      <c r="C312" t="s">
        <v>107</v>
      </c>
      <c r="D312" t="s">
        <v>92</v>
      </c>
      <c r="E312" t="s">
        <v>105</v>
      </c>
      <c r="F312" s="158">
        <v>45516.870648148149</v>
      </c>
    </row>
    <row r="313" spans="2:6" x14ac:dyDescent="0.25">
      <c r="B313" t="s">
        <v>104</v>
      </c>
      <c r="C313" t="s">
        <v>100</v>
      </c>
      <c r="D313" t="s">
        <v>105</v>
      </c>
      <c r="E313" t="s">
        <v>105</v>
      </c>
      <c r="F313" s="158">
        <v>45516.871134259258</v>
      </c>
    </row>
    <row r="314" spans="2:6" x14ac:dyDescent="0.25">
      <c r="B314" t="s">
        <v>104</v>
      </c>
      <c r="C314" t="s">
        <v>106</v>
      </c>
      <c r="D314" t="s">
        <v>91</v>
      </c>
      <c r="E314" t="s">
        <v>105</v>
      </c>
      <c r="F314" s="158">
        <v>45516.871134259258</v>
      </c>
    </row>
    <row r="315" spans="2:6" x14ac:dyDescent="0.25">
      <c r="B315" t="s">
        <v>104</v>
      </c>
      <c r="C315" t="s">
        <v>107</v>
      </c>
      <c r="D315" t="s">
        <v>92</v>
      </c>
      <c r="E315" t="s">
        <v>105</v>
      </c>
      <c r="F315" s="158">
        <v>45516.872152777774</v>
      </c>
    </row>
    <row r="316" spans="2:6" x14ac:dyDescent="0.25">
      <c r="B316" t="s">
        <v>133</v>
      </c>
      <c r="C316" t="s">
        <v>100</v>
      </c>
      <c r="D316" t="s">
        <v>105</v>
      </c>
      <c r="E316" t="s">
        <v>105</v>
      </c>
      <c r="F316" s="158">
        <v>45516.873206018521</v>
      </c>
    </row>
    <row r="317" spans="2:6" x14ac:dyDescent="0.25">
      <c r="B317" t="s">
        <v>133</v>
      </c>
      <c r="C317" t="s">
        <v>106</v>
      </c>
      <c r="D317" t="s">
        <v>91</v>
      </c>
      <c r="E317" t="s">
        <v>105</v>
      </c>
      <c r="F317" s="158">
        <v>45516.873206018521</v>
      </c>
    </row>
    <row r="318" spans="2:6" x14ac:dyDescent="0.25">
      <c r="B318" t="s">
        <v>133</v>
      </c>
      <c r="C318" t="s">
        <v>107</v>
      </c>
      <c r="D318" t="s">
        <v>92</v>
      </c>
      <c r="E318" t="s">
        <v>105</v>
      </c>
      <c r="F318" s="158">
        <v>45516.873206018521</v>
      </c>
    </row>
    <row r="319" spans="2:6" x14ac:dyDescent="0.25">
      <c r="B319" t="s">
        <v>133</v>
      </c>
      <c r="C319" t="s">
        <v>100</v>
      </c>
      <c r="D319" t="s">
        <v>105</v>
      </c>
      <c r="E319" t="s">
        <v>105</v>
      </c>
      <c r="F319" s="158">
        <v>45516.873611111114</v>
      </c>
    </row>
    <row r="320" spans="2:6" x14ac:dyDescent="0.25">
      <c r="B320" t="s">
        <v>133</v>
      </c>
      <c r="C320" t="s">
        <v>106</v>
      </c>
      <c r="D320" t="s">
        <v>91</v>
      </c>
      <c r="E320" t="s">
        <v>105</v>
      </c>
      <c r="F320" s="158">
        <v>45516.873611111114</v>
      </c>
    </row>
    <row r="321" spans="2:6" x14ac:dyDescent="0.25">
      <c r="B321" t="s">
        <v>133</v>
      </c>
      <c r="C321" t="s">
        <v>100</v>
      </c>
      <c r="D321" t="s">
        <v>105</v>
      </c>
      <c r="E321" t="s">
        <v>105</v>
      </c>
      <c r="F321" s="158">
        <v>45516.876585648148</v>
      </c>
    </row>
    <row r="322" spans="2:6" x14ac:dyDescent="0.25">
      <c r="B322" t="s">
        <v>133</v>
      </c>
      <c r="C322" t="s">
        <v>106</v>
      </c>
      <c r="D322" t="s">
        <v>91</v>
      </c>
      <c r="E322" t="s">
        <v>105</v>
      </c>
      <c r="F322" s="158">
        <v>45516.876585648148</v>
      </c>
    </row>
    <row r="323" spans="2:6" x14ac:dyDescent="0.25">
      <c r="B323" t="s">
        <v>133</v>
      </c>
      <c r="C323" t="s">
        <v>107</v>
      </c>
      <c r="D323" t="s">
        <v>91</v>
      </c>
      <c r="E323" t="s">
        <v>105</v>
      </c>
      <c r="F323" s="158">
        <v>45516.876701388886</v>
      </c>
    </row>
    <row r="324" spans="2:6" x14ac:dyDescent="0.25">
      <c r="B324" t="s">
        <v>108</v>
      </c>
      <c r="C324" t="s">
        <v>105</v>
      </c>
      <c r="D324" t="s">
        <v>105</v>
      </c>
      <c r="E324" t="s">
        <v>105</v>
      </c>
      <c r="F324" s="158">
        <v>45516.876828703702</v>
      </c>
    </row>
    <row r="325" spans="2:6" x14ac:dyDescent="0.25">
      <c r="B325" t="s">
        <v>109</v>
      </c>
      <c r="C325" t="s">
        <v>105</v>
      </c>
      <c r="D325" t="s">
        <v>105</v>
      </c>
      <c r="E325" t="s">
        <v>105</v>
      </c>
      <c r="F325" s="158">
        <v>45516.876840277779</v>
      </c>
    </row>
    <row r="326" spans="2:6" x14ac:dyDescent="0.25">
      <c r="B326" t="s">
        <v>110</v>
      </c>
      <c r="C326" t="s">
        <v>105</v>
      </c>
      <c r="D326" t="s">
        <v>92</v>
      </c>
      <c r="E326" t="s">
        <v>105</v>
      </c>
      <c r="F326" s="158">
        <v>45516.876840277779</v>
      </c>
    </row>
    <row r="327" spans="2:6" x14ac:dyDescent="0.25">
      <c r="B327" t="s">
        <v>110</v>
      </c>
      <c r="C327" t="s">
        <v>105</v>
      </c>
      <c r="D327" t="s">
        <v>91</v>
      </c>
      <c r="E327" t="s">
        <v>105</v>
      </c>
      <c r="F327" s="158">
        <v>45516.876840277779</v>
      </c>
    </row>
    <row r="328" spans="2:6" x14ac:dyDescent="0.25">
      <c r="B328" t="s">
        <v>135</v>
      </c>
      <c r="C328" t="s">
        <v>100</v>
      </c>
      <c r="D328" t="s">
        <v>100</v>
      </c>
      <c r="E328" t="s">
        <v>132</v>
      </c>
      <c r="F328" s="158">
        <v>45516.876886574071</v>
      </c>
    </row>
    <row r="329" spans="2:6" x14ac:dyDescent="0.25">
      <c r="B329" t="s">
        <v>133</v>
      </c>
      <c r="C329" t="s">
        <v>100</v>
      </c>
      <c r="D329" t="s">
        <v>105</v>
      </c>
      <c r="E329" t="s">
        <v>105</v>
      </c>
      <c r="F329" s="158">
        <v>45516.876956018517</v>
      </c>
    </row>
    <row r="330" spans="2:6" x14ac:dyDescent="0.25">
      <c r="B330" t="s">
        <v>133</v>
      </c>
      <c r="C330" t="s">
        <v>106</v>
      </c>
      <c r="D330" t="s">
        <v>91</v>
      </c>
      <c r="E330" t="s">
        <v>105</v>
      </c>
      <c r="F330" s="158">
        <v>45516.876956018517</v>
      </c>
    </row>
    <row r="331" spans="2:6" x14ac:dyDescent="0.25">
      <c r="B331" t="s">
        <v>133</v>
      </c>
      <c r="C331" t="s">
        <v>107</v>
      </c>
      <c r="D331" t="s">
        <v>91</v>
      </c>
      <c r="E331" t="s">
        <v>105</v>
      </c>
      <c r="F331" s="158">
        <v>45516.876956018517</v>
      </c>
    </row>
    <row r="332" spans="2:6" x14ac:dyDescent="0.25">
      <c r="B332" t="s">
        <v>108</v>
      </c>
      <c r="C332" t="s">
        <v>105</v>
      </c>
      <c r="D332" t="s">
        <v>105</v>
      </c>
      <c r="E332" t="s">
        <v>105</v>
      </c>
      <c r="F332" s="158">
        <v>45516.877175925925</v>
      </c>
    </row>
    <row r="333" spans="2:6" x14ac:dyDescent="0.25">
      <c r="B333" t="s">
        <v>109</v>
      </c>
      <c r="C333" t="s">
        <v>105</v>
      </c>
      <c r="D333" t="s">
        <v>105</v>
      </c>
      <c r="E333" t="s">
        <v>105</v>
      </c>
      <c r="F333" s="158">
        <v>45516.877175925925</v>
      </c>
    </row>
    <row r="334" spans="2:6" x14ac:dyDescent="0.25">
      <c r="B334" t="s">
        <v>110</v>
      </c>
      <c r="C334" t="s">
        <v>105</v>
      </c>
      <c r="D334" t="s">
        <v>92</v>
      </c>
      <c r="E334" t="s">
        <v>105</v>
      </c>
      <c r="F334" s="158">
        <v>45516.877175925925</v>
      </c>
    </row>
    <row r="335" spans="2:6" x14ac:dyDescent="0.25">
      <c r="B335" t="s">
        <v>110</v>
      </c>
      <c r="C335" t="s">
        <v>105</v>
      </c>
      <c r="D335" t="s">
        <v>91</v>
      </c>
      <c r="E335" t="s">
        <v>105</v>
      </c>
      <c r="F335" s="158">
        <v>45516.877175925925</v>
      </c>
    </row>
    <row r="336" spans="2:6" x14ac:dyDescent="0.25">
      <c r="B336" t="s">
        <v>135</v>
      </c>
      <c r="C336" t="s">
        <v>100</v>
      </c>
      <c r="D336" t="s">
        <v>100</v>
      </c>
      <c r="E336" t="s">
        <v>132</v>
      </c>
      <c r="F336" s="158">
        <v>45516.877222222225</v>
      </c>
    </row>
    <row r="337" spans="2:6" x14ac:dyDescent="0.25">
      <c r="B337" t="s">
        <v>133</v>
      </c>
      <c r="C337" t="s">
        <v>100</v>
      </c>
      <c r="D337" t="s">
        <v>105</v>
      </c>
      <c r="E337" t="s">
        <v>105</v>
      </c>
      <c r="F337" s="158">
        <v>45516.877303240741</v>
      </c>
    </row>
    <row r="338" spans="2:6" x14ac:dyDescent="0.25">
      <c r="B338" t="s">
        <v>133</v>
      </c>
      <c r="C338" t="s">
        <v>106</v>
      </c>
      <c r="D338" t="s">
        <v>91</v>
      </c>
      <c r="E338" t="s">
        <v>105</v>
      </c>
      <c r="F338" s="158">
        <v>45516.877303240741</v>
      </c>
    </row>
    <row r="339" spans="2:6" x14ac:dyDescent="0.25">
      <c r="B339" t="s">
        <v>133</v>
      </c>
      <c r="C339" t="s">
        <v>107</v>
      </c>
      <c r="D339" t="s">
        <v>92</v>
      </c>
      <c r="E339" t="s">
        <v>105</v>
      </c>
      <c r="F339" s="158">
        <v>45516.877303240741</v>
      </c>
    </row>
    <row r="340" spans="2:6" x14ac:dyDescent="0.25">
      <c r="B340" t="s">
        <v>108</v>
      </c>
      <c r="C340" t="s">
        <v>105</v>
      </c>
      <c r="D340" t="s">
        <v>105</v>
      </c>
      <c r="E340" t="s">
        <v>105</v>
      </c>
      <c r="F340" s="158">
        <v>45516.877384259256</v>
      </c>
    </row>
    <row r="341" spans="2:6" x14ac:dyDescent="0.25">
      <c r="B341" t="s">
        <v>109</v>
      </c>
      <c r="C341" t="s">
        <v>105</v>
      </c>
      <c r="D341" t="s">
        <v>105</v>
      </c>
      <c r="E341" t="s">
        <v>105</v>
      </c>
      <c r="F341" s="158">
        <v>45516.877384259256</v>
      </c>
    </row>
    <row r="342" spans="2:6" x14ac:dyDescent="0.25">
      <c r="B342" t="s">
        <v>110</v>
      </c>
      <c r="C342" t="s">
        <v>105</v>
      </c>
      <c r="D342" t="s">
        <v>92</v>
      </c>
      <c r="E342" t="s">
        <v>105</v>
      </c>
      <c r="F342" s="158">
        <v>45516.877384259256</v>
      </c>
    </row>
    <row r="343" spans="2:6" x14ac:dyDescent="0.25">
      <c r="B343" t="s">
        <v>110</v>
      </c>
      <c r="C343" t="s">
        <v>105</v>
      </c>
      <c r="D343" t="s">
        <v>91</v>
      </c>
      <c r="E343" t="s">
        <v>105</v>
      </c>
      <c r="F343" s="158">
        <v>45516.877384259256</v>
      </c>
    </row>
    <row r="344" spans="2:6" x14ac:dyDescent="0.25">
      <c r="B344" t="s">
        <v>113</v>
      </c>
      <c r="C344" t="s">
        <v>105</v>
      </c>
      <c r="D344" t="s">
        <v>105</v>
      </c>
      <c r="E344" t="s">
        <v>114</v>
      </c>
      <c r="F344" s="158">
        <v>45516.878437500003</v>
      </c>
    </row>
    <row r="345" spans="2:6" x14ac:dyDescent="0.25">
      <c r="B345" t="s">
        <v>111</v>
      </c>
      <c r="C345" t="s">
        <v>105</v>
      </c>
      <c r="D345" t="s">
        <v>105</v>
      </c>
      <c r="E345" t="s">
        <v>105</v>
      </c>
      <c r="F345" s="158">
        <v>45516.878437500003</v>
      </c>
    </row>
    <row r="346" spans="2:6" x14ac:dyDescent="0.25">
      <c r="B346" t="s">
        <v>109</v>
      </c>
      <c r="C346" t="s">
        <v>105</v>
      </c>
      <c r="D346" t="s">
        <v>105</v>
      </c>
      <c r="E346" t="s">
        <v>105</v>
      </c>
      <c r="F346" s="158">
        <v>45516.878437500003</v>
      </c>
    </row>
    <row r="347" spans="2:6" x14ac:dyDescent="0.25">
      <c r="B347" t="s">
        <v>115</v>
      </c>
      <c r="C347" t="s">
        <v>100</v>
      </c>
      <c r="D347" t="s">
        <v>100</v>
      </c>
      <c r="E347" t="s">
        <v>103</v>
      </c>
      <c r="F347" s="158">
        <v>45516.878437500003</v>
      </c>
    </row>
    <row r="348" spans="2:6" x14ac:dyDescent="0.25">
      <c r="B348" t="s">
        <v>104</v>
      </c>
      <c r="C348" t="s">
        <v>100</v>
      </c>
      <c r="D348" t="s">
        <v>105</v>
      </c>
      <c r="E348" t="s">
        <v>105</v>
      </c>
      <c r="F348" s="158">
        <v>45516.878460648149</v>
      </c>
    </row>
    <row r="349" spans="2:6" x14ac:dyDescent="0.25">
      <c r="B349" t="s">
        <v>104</v>
      </c>
      <c r="C349" t="s">
        <v>106</v>
      </c>
      <c r="D349" t="s">
        <v>91</v>
      </c>
      <c r="E349" t="s">
        <v>105</v>
      </c>
      <c r="F349" s="158">
        <v>45516.878460648149</v>
      </c>
    </row>
    <row r="350" spans="2:6" x14ac:dyDescent="0.25">
      <c r="B350" t="s">
        <v>104</v>
      </c>
      <c r="C350" t="s">
        <v>107</v>
      </c>
      <c r="D350" t="s">
        <v>92</v>
      </c>
      <c r="E350" t="s">
        <v>105</v>
      </c>
      <c r="F350" s="158">
        <v>45516.878460648149</v>
      </c>
    </row>
    <row r="351" spans="2:6" x14ac:dyDescent="0.25">
      <c r="B351" t="s">
        <v>111</v>
      </c>
      <c r="C351" t="s">
        <v>105</v>
      </c>
      <c r="D351" t="s">
        <v>105</v>
      </c>
      <c r="E351" t="s">
        <v>105</v>
      </c>
      <c r="F351" s="158">
        <v>45516.878472222219</v>
      </c>
    </row>
    <row r="352" spans="2:6" x14ac:dyDescent="0.25">
      <c r="B352" t="s">
        <v>109</v>
      </c>
      <c r="C352" t="s">
        <v>105</v>
      </c>
      <c r="D352" t="s">
        <v>105</v>
      </c>
      <c r="E352" t="s">
        <v>105</v>
      </c>
      <c r="F352" s="158">
        <v>45516.878472222219</v>
      </c>
    </row>
    <row r="353" spans="2:6" x14ac:dyDescent="0.25">
      <c r="B353" t="s">
        <v>116</v>
      </c>
      <c r="C353" t="s">
        <v>100</v>
      </c>
      <c r="D353" t="s">
        <v>100</v>
      </c>
      <c r="E353" t="s">
        <v>117</v>
      </c>
      <c r="F353" s="158">
        <v>45516.878472222219</v>
      </c>
    </row>
    <row r="354" spans="2:6" x14ac:dyDescent="0.25">
      <c r="B354" t="s">
        <v>118</v>
      </c>
      <c r="C354" t="s">
        <v>100</v>
      </c>
      <c r="D354" t="s">
        <v>105</v>
      </c>
      <c r="E354" t="s">
        <v>105</v>
      </c>
      <c r="F354" s="158">
        <v>45516.878495370373</v>
      </c>
    </row>
    <row r="355" spans="2:6" x14ac:dyDescent="0.25">
      <c r="B355" t="s">
        <v>118</v>
      </c>
      <c r="C355" t="s">
        <v>106</v>
      </c>
      <c r="D355" t="s">
        <v>91</v>
      </c>
      <c r="E355" t="s">
        <v>105</v>
      </c>
      <c r="F355" s="158">
        <v>45516.878495370373</v>
      </c>
    </row>
    <row r="356" spans="2:6" x14ac:dyDescent="0.25">
      <c r="B356" t="s">
        <v>118</v>
      </c>
      <c r="C356" t="s">
        <v>107</v>
      </c>
      <c r="D356" t="s">
        <v>92</v>
      </c>
      <c r="E356" t="s">
        <v>105</v>
      </c>
      <c r="F356" s="158">
        <v>45516.878495370373</v>
      </c>
    </row>
    <row r="357" spans="2:6" x14ac:dyDescent="0.25">
      <c r="B357" t="s">
        <v>111</v>
      </c>
      <c r="C357" t="s">
        <v>105</v>
      </c>
      <c r="D357" t="s">
        <v>105</v>
      </c>
      <c r="E357" t="s">
        <v>105</v>
      </c>
      <c r="F357" s="158">
        <v>45516.878506944442</v>
      </c>
    </row>
    <row r="358" spans="2:6" x14ac:dyDescent="0.25">
      <c r="B358" t="s">
        <v>109</v>
      </c>
      <c r="C358" t="s">
        <v>105</v>
      </c>
      <c r="D358" t="s">
        <v>105</v>
      </c>
      <c r="E358" t="s">
        <v>105</v>
      </c>
      <c r="F358" s="158">
        <v>45516.878506944442</v>
      </c>
    </row>
    <row r="359" spans="2:6" x14ac:dyDescent="0.25">
      <c r="B359" t="s">
        <v>119</v>
      </c>
      <c r="C359" t="s">
        <v>100</v>
      </c>
      <c r="D359" t="s">
        <v>100</v>
      </c>
      <c r="E359" t="s">
        <v>120</v>
      </c>
      <c r="F359" s="158">
        <v>45516.878506944442</v>
      </c>
    </row>
    <row r="360" spans="2:6" x14ac:dyDescent="0.25">
      <c r="B360" t="s">
        <v>121</v>
      </c>
      <c r="C360" t="s">
        <v>100</v>
      </c>
      <c r="D360" t="s">
        <v>105</v>
      </c>
      <c r="E360" t="s">
        <v>105</v>
      </c>
      <c r="F360" s="158">
        <v>45516.878541666665</v>
      </c>
    </row>
    <row r="361" spans="2:6" x14ac:dyDescent="0.25">
      <c r="B361" t="s">
        <v>121</v>
      </c>
      <c r="C361" t="s">
        <v>106</v>
      </c>
      <c r="D361" t="s">
        <v>91</v>
      </c>
      <c r="E361" t="s">
        <v>105</v>
      </c>
      <c r="F361" s="158">
        <v>45516.878541666665</v>
      </c>
    </row>
    <row r="362" spans="2:6" x14ac:dyDescent="0.25">
      <c r="B362" t="s">
        <v>121</v>
      </c>
      <c r="C362" t="s">
        <v>107</v>
      </c>
      <c r="D362" t="s">
        <v>92</v>
      </c>
      <c r="E362" t="s">
        <v>105</v>
      </c>
      <c r="F362" s="158">
        <v>45516.878541666665</v>
      </c>
    </row>
    <row r="363" spans="2:6" x14ac:dyDescent="0.25">
      <c r="B363" t="s">
        <v>111</v>
      </c>
      <c r="C363" t="s">
        <v>105</v>
      </c>
      <c r="D363" t="s">
        <v>105</v>
      </c>
      <c r="E363" t="s">
        <v>105</v>
      </c>
      <c r="F363" s="158">
        <v>45516.878553240742</v>
      </c>
    </row>
    <row r="364" spans="2:6" x14ac:dyDescent="0.25">
      <c r="B364" t="s">
        <v>109</v>
      </c>
      <c r="C364" t="s">
        <v>105</v>
      </c>
      <c r="D364" t="s">
        <v>105</v>
      </c>
      <c r="E364" t="s">
        <v>105</v>
      </c>
      <c r="F364" s="158">
        <v>45516.878553240742</v>
      </c>
    </row>
    <row r="365" spans="2:6" x14ac:dyDescent="0.25">
      <c r="B365" t="s">
        <v>122</v>
      </c>
      <c r="C365" t="s">
        <v>100</v>
      </c>
      <c r="D365" t="s">
        <v>100</v>
      </c>
      <c r="E365" t="s">
        <v>123</v>
      </c>
      <c r="F365" s="158">
        <v>45516.878553240742</v>
      </c>
    </row>
    <row r="366" spans="2:6" x14ac:dyDescent="0.25">
      <c r="B366" t="s">
        <v>124</v>
      </c>
      <c r="C366" t="s">
        <v>100</v>
      </c>
      <c r="D366" t="s">
        <v>105</v>
      </c>
      <c r="E366" t="s">
        <v>105</v>
      </c>
      <c r="F366" s="158">
        <v>45516.878576388888</v>
      </c>
    </row>
    <row r="367" spans="2:6" x14ac:dyDescent="0.25">
      <c r="B367" t="s">
        <v>124</v>
      </c>
      <c r="C367" t="s">
        <v>106</v>
      </c>
      <c r="D367" t="s">
        <v>91</v>
      </c>
      <c r="E367" t="s">
        <v>105</v>
      </c>
      <c r="F367" s="158">
        <v>45516.878576388888</v>
      </c>
    </row>
    <row r="368" spans="2:6" x14ac:dyDescent="0.25">
      <c r="B368" t="s">
        <v>124</v>
      </c>
      <c r="C368" t="s">
        <v>107</v>
      </c>
      <c r="D368" t="s">
        <v>92</v>
      </c>
      <c r="E368" t="s">
        <v>105</v>
      </c>
      <c r="F368" s="158">
        <v>45516.878576388888</v>
      </c>
    </row>
    <row r="369" spans="2:6" x14ac:dyDescent="0.25">
      <c r="B369" t="s">
        <v>111</v>
      </c>
      <c r="C369" t="s">
        <v>105</v>
      </c>
      <c r="D369" t="s">
        <v>105</v>
      </c>
      <c r="E369" t="s">
        <v>105</v>
      </c>
      <c r="F369" s="158">
        <v>45516.878587962965</v>
      </c>
    </row>
    <row r="370" spans="2:6" x14ac:dyDescent="0.25">
      <c r="B370" t="s">
        <v>109</v>
      </c>
      <c r="C370" t="s">
        <v>105</v>
      </c>
      <c r="D370" t="s">
        <v>105</v>
      </c>
      <c r="E370" t="s">
        <v>105</v>
      </c>
      <c r="F370" s="158">
        <v>45516.878587962965</v>
      </c>
    </row>
    <row r="371" spans="2:6" x14ac:dyDescent="0.25">
      <c r="B371" t="s">
        <v>125</v>
      </c>
      <c r="C371" t="s">
        <v>100</v>
      </c>
      <c r="D371" t="s">
        <v>100</v>
      </c>
      <c r="E371" t="s">
        <v>126</v>
      </c>
      <c r="F371" s="158">
        <v>45516.878587962965</v>
      </c>
    </row>
    <row r="372" spans="2:6" x14ac:dyDescent="0.25">
      <c r="B372" t="s">
        <v>127</v>
      </c>
      <c r="C372" t="s">
        <v>100</v>
      </c>
      <c r="D372" t="s">
        <v>105</v>
      </c>
      <c r="E372" t="s">
        <v>105</v>
      </c>
      <c r="F372" s="158">
        <v>45516.878611111111</v>
      </c>
    </row>
    <row r="373" spans="2:6" x14ac:dyDescent="0.25">
      <c r="B373" t="s">
        <v>127</v>
      </c>
      <c r="C373" t="s">
        <v>106</v>
      </c>
      <c r="D373" t="s">
        <v>91</v>
      </c>
      <c r="E373" t="s">
        <v>105</v>
      </c>
      <c r="F373" s="158">
        <v>45516.878611111111</v>
      </c>
    </row>
    <row r="374" spans="2:6" x14ac:dyDescent="0.25">
      <c r="B374" t="s">
        <v>127</v>
      </c>
      <c r="C374" t="s">
        <v>107</v>
      </c>
      <c r="D374" t="s">
        <v>92</v>
      </c>
      <c r="E374" t="s">
        <v>105</v>
      </c>
      <c r="F374" s="158">
        <v>45516.878611111111</v>
      </c>
    </row>
    <row r="375" spans="2:6" x14ac:dyDescent="0.25">
      <c r="B375" t="s">
        <v>111</v>
      </c>
      <c r="C375" t="s">
        <v>105</v>
      </c>
      <c r="D375" t="s">
        <v>105</v>
      </c>
      <c r="E375" t="s">
        <v>105</v>
      </c>
      <c r="F375" s="158">
        <v>45516.878622685188</v>
      </c>
    </row>
    <row r="376" spans="2:6" x14ac:dyDescent="0.25">
      <c r="B376" t="s">
        <v>109</v>
      </c>
      <c r="C376" t="s">
        <v>105</v>
      </c>
      <c r="D376" t="s">
        <v>105</v>
      </c>
      <c r="E376" t="s">
        <v>105</v>
      </c>
      <c r="F376" s="158">
        <v>45516.878622685188</v>
      </c>
    </row>
    <row r="377" spans="2:6" x14ac:dyDescent="0.25">
      <c r="B377" t="s">
        <v>128</v>
      </c>
      <c r="C377" t="s">
        <v>100</v>
      </c>
      <c r="D377" t="s">
        <v>100</v>
      </c>
      <c r="E377" t="s">
        <v>129</v>
      </c>
      <c r="F377" s="158">
        <v>45516.878622685188</v>
      </c>
    </row>
    <row r="378" spans="2:6" x14ac:dyDescent="0.25">
      <c r="B378" t="s">
        <v>130</v>
      </c>
      <c r="C378" t="s">
        <v>100</v>
      </c>
      <c r="D378" t="s">
        <v>105</v>
      </c>
      <c r="E378" t="s">
        <v>105</v>
      </c>
      <c r="F378" s="158">
        <v>45516.878645833334</v>
      </c>
    </row>
    <row r="379" spans="2:6" x14ac:dyDescent="0.25">
      <c r="B379" t="s">
        <v>130</v>
      </c>
      <c r="C379" t="s">
        <v>106</v>
      </c>
      <c r="D379" t="s">
        <v>91</v>
      </c>
      <c r="E379" t="s">
        <v>105</v>
      </c>
      <c r="F379" s="158">
        <v>45516.878645833334</v>
      </c>
    </row>
    <row r="380" spans="2:6" x14ac:dyDescent="0.25">
      <c r="B380" t="s">
        <v>130</v>
      </c>
      <c r="C380" t="s">
        <v>107</v>
      </c>
      <c r="D380" t="s">
        <v>92</v>
      </c>
      <c r="E380" t="s">
        <v>105</v>
      </c>
      <c r="F380" s="158">
        <v>45516.878645833334</v>
      </c>
    </row>
    <row r="381" spans="2:6" x14ac:dyDescent="0.25">
      <c r="B381" t="s">
        <v>111</v>
      </c>
      <c r="C381" t="s">
        <v>105</v>
      </c>
      <c r="D381" t="s">
        <v>105</v>
      </c>
      <c r="E381" t="s">
        <v>105</v>
      </c>
      <c r="F381" s="158">
        <v>45516.878657407404</v>
      </c>
    </row>
    <row r="382" spans="2:6" x14ac:dyDescent="0.25">
      <c r="B382" t="s">
        <v>109</v>
      </c>
      <c r="C382" t="s">
        <v>105</v>
      </c>
      <c r="D382" t="s">
        <v>105</v>
      </c>
      <c r="E382" t="s">
        <v>105</v>
      </c>
      <c r="F382" s="158">
        <v>45516.878657407404</v>
      </c>
    </row>
    <row r="383" spans="2:6" x14ac:dyDescent="0.25">
      <c r="B383" t="s">
        <v>131</v>
      </c>
      <c r="C383" t="s">
        <v>100</v>
      </c>
      <c r="D383" t="s">
        <v>100</v>
      </c>
      <c r="E383" t="s">
        <v>132</v>
      </c>
      <c r="F383" s="158">
        <v>45516.878657407404</v>
      </c>
    </row>
    <row r="384" spans="2:6" x14ac:dyDescent="0.25">
      <c r="B384" t="s">
        <v>133</v>
      </c>
      <c r="C384" t="s">
        <v>100</v>
      </c>
      <c r="D384" t="s">
        <v>105</v>
      </c>
      <c r="E384" t="s">
        <v>105</v>
      </c>
      <c r="F384" s="158">
        <v>45516.878692129627</v>
      </c>
    </row>
    <row r="385" spans="2:6" x14ac:dyDescent="0.25">
      <c r="B385" t="s">
        <v>133</v>
      </c>
      <c r="C385" t="s">
        <v>106</v>
      </c>
      <c r="D385" t="s">
        <v>91</v>
      </c>
      <c r="E385" t="s">
        <v>105</v>
      </c>
      <c r="F385" s="158">
        <v>45516.878692129627</v>
      </c>
    </row>
    <row r="386" spans="2:6" x14ac:dyDescent="0.25">
      <c r="B386" t="s">
        <v>133</v>
      </c>
      <c r="C386" t="s">
        <v>107</v>
      </c>
      <c r="D386" t="s">
        <v>92</v>
      </c>
      <c r="E386" t="s">
        <v>105</v>
      </c>
      <c r="F386" s="158">
        <v>45516.878692129627</v>
      </c>
    </row>
    <row r="387" spans="2:6" x14ac:dyDescent="0.25">
      <c r="B387" t="s">
        <v>111</v>
      </c>
      <c r="C387" t="s">
        <v>105</v>
      </c>
      <c r="D387" t="s">
        <v>105</v>
      </c>
      <c r="E387" t="s">
        <v>105</v>
      </c>
      <c r="F387" s="158">
        <v>45516.878703703704</v>
      </c>
    </row>
    <row r="388" spans="2:6" x14ac:dyDescent="0.25">
      <c r="B388" t="s">
        <v>102</v>
      </c>
      <c r="C388" t="s">
        <v>100</v>
      </c>
      <c r="D388" t="s">
        <v>100</v>
      </c>
      <c r="E388" t="s">
        <v>103</v>
      </c>
      <c r="F388" s="158">
        <v>45516.880115740743</v>
      </c>
    </row>
    <row r="389" spans="2:6" x14ac:dyDescent="0.25">
      <c r="B389" t="s">
        <v>104</v>
      </c>
      <c r="C389" t="s">
        <v>100</v>
      </c>
      <c r="D389" t="s">
        <v>105</v>
      </c>
      <c r="E389" t="s">
        <v>105</v>
      </c>
      <c r="F389" s="158">
        <v>45516.88013888889</v>
      </c>
    </row>
    <row r="390" spans="2:6" x14ac:dyDescent="0.25">
      <c r="B390" t="s">
        <v>104</v>
      </c>
      <c r="C390" t="s">
        <v>106</v>
      </c>
      <c r="D390" t="s">
        <v>136</v>
      </c>
      <c r="E390" t="s">
        <v>105</v>
      </c>
      <c r="F390" s="158">
        <v>45516.88013888889</v>
      </c>
    </row>
    <row r="391" spans="2:6" x14ac:dyDescent="0.25">
      <c r="B391" t="s">
        <v>102</v>
      </c>
      <c r="C391" t="s">
        <v>100</v>
      </c>
      <c r="D391" t="s">
        <v>100</v>
      </c>
      <c r="E391" t="s">
        <v>103</v>
      </c>
      <c r="F391" s="158">
        <v>45516.880497685182</v>
      </c>
    </row>
    <row r="392" spans="2:6" x14ac:dyDescent="0.25">
      <c r="B392" t="s">
        <v>104</v>
      </c>
      <c r="C392" t="s">
        <v>100</v>
      </c>
      <c r="D392" t="s">
        <v>105</v>
      </c>
      <c r="E392" t="s">
        <v>105</v>
      </c>
      <c r="F392" s="158">
        <v>45516.880532407406</v>
      </c>
    </row>
    <row r="393" spans="2:6" x14ac:dyDescent="0.25">
      <c r="B393" t="s">
        <v>104</v>
      </c>
      <c r="C393" t="s">
        <v>106</v>
      </c>
      <c r="D393" t="s">
        <v>91</v>
      </c>
      <c r="E393" t="s">
        <v>105</v>
      </c>
      <c r="F393" s="158">
        <v>45516.880532407406</v>
      </c>
    </row>
    <row r="394" spans="2:6" x14ac:dyDescent="0.25">
      <c r="B394" t="s">
        <v>104</v>
      </c>
      <c r="C394" t="s">
        <v>107</v>
      </c>
      <c r="D394" t="s">
        <v>92</v>
      </c>
      <c r="E394" t="s">
        <v>105</v>
      </c>
      <c r="F394" s="158">
        <v>45516.880532407406</v>
      </c>
    </row>
    <row r="395" spans="2:6" x14ac:dyDescent="0.25">
      <c r="B395" t="s">
        <v>108</v>
      </c>
      <c r="C395" t="s">
        <v>105</v>
      </c>
      <c r="D395" t="s">
        <v>105</v>
      </c>
      <c r="E395" t="s">
        <v>105</v>
      </c>
      <c r="F395" s="158">
        <v>45516.882905092592</v>
      </c>
    </row>
    <row r="396" spans="2:6" x14ac:dyDescent="0.25">
      <c r="B396" t="s">
        <v>109</v>
      </c>
      <c r="C396" t="s">
        <v>105</v>
      </c>
      <c r="D396" t="s">
        <v>105</v>
      </c>
      <c r="E396" t="s">
        <v>105</v>
      </c>
      <c r="F396" s="158">
        <v>45516.882905092592</v>
      </c>
    </row>
    <row r="397" spans="2:6" x14ac:dyDescent="0.25">
      <c r="B397" t="s">
        <v>110</v>
      </c>
      <c r="C397" t="s">
        <v>105</v>
      </c>
      <c r="D397" t="s">
        <v>92</v>
      </c>
      <c r="E397" t="s">
        <v>105</v>
      </c>
      <c r="F397" s="158">
        <v>45516.882905092592</v>
      </c>
    </row>
    <row r="398" spans="2:6" x14ac:dyDescent="0.25">
      <c r="B398" t="s">
        <v>110</v>
      </c>
      <c r="C398" t="s">
        <v>105</v>
      </c>
      <c r="D398" t="s">
        <v>91</v>
      </c>
      <c r="E398" t="s">
        <v>105</v>
      </c>
      <c r="F398" s="158">
        <v>45516.882905092592</v>
      </c>
    </row>
    <row r="399" spans="2:6" x14ac:dyDescent="0.25">
      <c r="B399" t="s">
        <v>134</v>
      </c>
      <c r="C399" t="s">
        <v>100</v>
      </c>
      <c r="D399" t="s">
        <v>100</v>
      </c>
      <c r="E399" t="s">
        <v>132</v>
      </c>
      <c r="F399" s="158">
        <v>45516.882974537039</v>
      </c>
    </row>
    <row r="400" spans="2:6" x14ac:dyDescent="0.25">
      <c r="B400" t="s">
        <v>133</v>
      </c>
      <c r="C400" t="s">
        <v>100</v>
      </c>
      <c r="D400" t="s">
        <v>105</v>
      </c>
      <c r="E400" t="s">
        <v>105</v>
      </c>
      <c r="F400" s="158">
        <v>45516.882997685185</v>
      </c>
    </row>
    <row r="401" spans="2:6" x14ac:dyDescent="0.25">
      <c r="B401" t="s">
        <v>133</v>
      </c>
      <c r="C401" t="s">
        <v>106</v>
      </c>
      <c r="D401" t="s">
        <v>91</v>
      </c>
      <c r="E401" t="s">
        <v>105</v>
      </c>
      <c r="F401" s="158">
        <v>45516.882997685185</v>
      </c>
    </row>
    <row r="402" spans="2:6" x14ac:dyDescent="0.25">
      <c r="B402" t="s">
        <v>133</v>
      </c>
      <c r="C402" t="s">
        <v>107</v>
      </c>
      <c r="D402" t="s">
        <v>91</v>
      </c>
      <c r="E402" t="s">
        <v>105</v>
      </c>
      <c r="F402" s="158">
        <v>45516.883009259262</v>
      </c>
    </row>
    <row r="403" spans="2:6" x14ac:dyDescent="0.25">
      <c r="B403" t="s">
        <v>108</v>
      </c>
      <c r="C403" t="s">
        <v>105</v>
      </c>
      <c r="D403" t="s">
        <v>105</v>
      </c>
      <c r="E403" t="s">
        <v>105</v>
      </c>
      <c r="F403" s="158">
        <v>45516.883194444446</v>
      </c>
    </row>
    <row r="404" spans="2:6" x14ac:dyDescent="0.25">
      <c r="B404" t="s">
        <v>109</v>
      </c>
      <c r="C404" t="s">
        <v>105</v>
      </c>
      <c r="D404" t="s">
        <v>105</v>
      </c>
      <c r="E404" t="s">
        <v>105</v>
      </c>
      <c r="F404" s="158">
        <v>45516.883194444446</v>
      </c>
    </row>
    <row r="405" spans="2:6" x14ac:dyDescent="0.25">
      <c r="B405" t="s">
        <v>110</v>
      </c>
      <c r="C405" t="s">
        <v>105</v>
      </c>
      <c r="D405" t="s">
        <v>92</v>
      </c>
      <c r="E405" t="s">
        <v>105</v>
      </c>
      <c r="F405" s="158">
        <v>45516.883194444446</v>
      </c>
    </row>
    <row r="406" spans="2:6" x14ac:dyDescent="0.25">
      <c r="B406" t="s">
        <v>110</v>
      </c>
      <c r="C406" t="s">
        <v>105</v>
      </c>
      <c r="D406" t="s">
        <v>91</v>
      </c>
      <c r="E406" t="s">
        <v>105</v>
      </c>
      <c r="F406" s="158">
        <v>45516.883194444446</v>
      </c>
    </row>
    <row r="407" spans="2:6" x14ac:dyDescent="0.25">
      <c r="B407" t="s">
        <v>134</v>
      </c>
      <c r="C407" t="s">
        <v>100</v>
      </c>
      <c r="D407" t="s">
        <v>100</v>
      </c>
      <c r="E407" t="s">
        <v>132</v>
      </c>
      <c r="F407" s="158">
        <v>45516.883321759262</v>
      </c>
    </row>
    <row r="408" spans="2:6" x14ac:dyDescent="0.25">
      <c r="B408" t="s">
        <v>133</v>
      </c>
      <c r="C408" t="s">
        <v>100</v>
      </c>
      <c r="D408" t="s">
        <v>105</v>
      </c>
      <c r="E408" t="s">
        <v>105</v>
      </c>
      <c r="F408" s="158">
        <v>45516.883356481485</v>
      </c>
    </row>
    <row r="409" spans="2:6" x14ac:dyDescent="0.25">
      <c r="B409" t="s">
        <v>133</v>
      </c>
      <c r="C409" t="s">
        <v>106</v>
      </c>
      <c r="D409" t="s">
        <v>91</v>
      </c>
      <c r="E409" t="s">
        <v>105</v>
      </c>
      <c r="F409" s="158">
        <v>45516.883356481485</v>
      </c>
    </row>
    <row r="410" spans="2:6" x14ac:dyDescent="0.25">
      <c r="B410" t="s">
        <v>133</v>
      </c>
      <c r="C410" t="s">
        <v>107</v>
      </c>
      <c r="D410" t="s">
        <v>91</v>
      </c>
      <c r="E410" t="s">
        <v>105</v>
      </c>
      <c r="F410" s="158">
        <v>45516.883356481485</v>
      </c>
    </row>
    <row r="411" spans="2:6" x14ac:dyDescent="0.25">
      <c r="B411" t="s">
        <v>108</v>
      </c>
      <c r="C411" t="s">
        <v>105</v>
      </c>
      <c r="D411" t="s">
        <v>105</v>
      </c>
      <c r="E411" t="s">
        <v>105</v>
      </c>
      <c r="F411" s="158">
        <v>45516.883668981478</v>
      </c>
    </row>
    <row r="412" spans="2:6" x14ac:dyDescent="0.25">
      <c r="B412" t="s">
        <v>109</v>
      </c>
      <c r="C412" t="s">
        <v>105</v>
      </c>
      <c r="D412" t="s">
        <v>105</v>
      </c>
      <c r="E412" t="s">
        <v>105</v>
      </c>
      <c r="F412" s="158">
        <v>45516.883668981478</v>
      </c>
    </row>
    <row r="413" spans="2:6" x14ac:dyDescent="0.25">
      <c r="B413" t="s">
        <v>110</v>
      </c>
      <c r="C413" t="s">
        <v>105</v>
      </c>
      <c r="D413" t="s">
        <v>92</v>
      </c>
      <c r="E413" t="s">
        <v>105</v>
      </c>
      <c r="F413" s="158">
        <v>45516.883668981478</v>
      </c>
    </row>
    <row r="414" spans="2:6" x14ac:dyDescent="0.25">
      <c r="B414" t="s">
        <v>110</v>
      </c>
      <c r="C414" t="s">
        <v>105</v>
      </c>
      <c r="D414" t="s">
        <v>91</v>
      </c>
      <c r="E414" t="s">
        <v>105</v>
      </c>
      <c r="F414" s="158">
        <v>45516.883668981478</v>
      </c>
    </row>
    <row r="415" spans="2:6" x14ac:dyDescent="0.25">
      <c r="B415" t="s">
        <v>134</v>
      </c>
      <c r="C415" t="s">
        <v>100</v>
      </c>
      <c r="D415" t="s">
        <v>100</v>
      </c>
      <c r="E415" t="s">
        <v>132</v>
      </c>
      <c r="F415" s="158">
        <v>45516.883750000001</v>
      </c>
    </row>
    <row r="416" spans="2:6" x14ac:dyDescent="0.25">
      <c r="B416" t="s">
        <v>133</v>
      </c>
      <c r="C416" t="s">
        <v>100</v>
      </c>
      <c r="D416" t="s">
        <v>105</v>
      </c>
      <c r="E416" t="s">
        <v>105</v>
      </c>
      <c r="F416" s="158">
        <v>45516.883784722224</v>
      </c>
    </row>
    <row r="417" spans="2:6" x14ac:dyDescent="0.25">
      <c r="B417" t="s">
        <v>133</v>
      </c>
      <c r="C417" t="s">
        <v>106</v>
      </c>
      <c r="D417" t="s">
        <v>91</v>
      </c>
      <c r="E417" t="s">
        <v>105</v>
      </c>
      <c r="F417" s="158">
        <v>45516.883784722224</v>
      </c>
    </row>
    <row r="418" spans="2:6" x14ac:dyDescent="0.25">
      <c r="B418" t="s">
        <v>133</v>
      </c>
      <c r="C418" t="s">
        <v>107</v>
      </c>
      <c r="D418" t="s">
        <v>92</v>
      </c>
      <c r="E418" t="s">
        <v>105</v>
      </c>
      <c r="F418" s="158">
        <v>45516.883784722224</v>
      </c>
    </row>
    <row r="419" spans="2:6" x14ac:dyDescent="0.25">
      <c r="B419" t="s">
        <v>102</v>
      </c>
      <c r="C419" t="s">
        <v>100</v>
      </c>
      <c r="D419" t="s">
        <v>100</v>
      </c>
      <c r="E419" t="s">
        <v>103</v>
      </c>
      <c r="F419" s="158">
        <v>45516.884293981479</v>
      </c>
    </row>
    <row r="420" spans="2:6" x14ac:dyDescent="0.25">
      <c r="B420" t="s">
        <v>104</v>
      </c>
      <c r="C420" t="s">
        <v>100</v>
      </c>
      <c r="D420" t="s">
        <v>105</v>
      </c>
      <c r="E420" t="s">
        <v>105</v>
      </c>
      <c r="F420" s="158">
        <v>45516.884328703702</v>
      </c>
    </row>
    <row r="421" spans="2:6" x14ac:dyDescent="0.25">
      <c r="B421" t="s">
        <v>104</v>
      </c>
      <c r="C421" t="s">
        <v>106</v>
      </c>
      <c r="D421" t="s">
        <v>91</v>
      </c>
      <c r="E421" t="s">
        <v>105</v>
      </c>
      <c r="F421" s="158">
        <v>45516.884328703702</v>
      </c>
    </row>
    <row r="422" spans="2:6" x14ac:dyDescent="0.25">
      <c r="B422" t="s">
        <v>104</v>
      </c>
      <c r="C422" t="s">
        <v>107</v>
      </c>
      <c r="D422" t="s">
        <v>92</v>
      </c>
      <c r="E422" t="s">
        <v>105</v>
      </c>
      <c r="F422" s="158">
        <v>45516.884328703702</v>
      </c>
    </row>
    <row r="423" spans="2:6" x14ac:dyDescent="0.25">
      <c r="B423" t="s">
        <v>108</v>
      </c>
      <c r="C423" t="s">
        <v>105</v>
      </c>
      <c r="D423" t="s">
        <v>105</v>
      </c>
      <c r="E423" t="s">
        <v>105</v>
      </c>
      <c r="F423" s="158">
        <v>45516.884386574071</v>
      </c>
    </row>
    <row r="424" spans="2:6" x14ac:dyDescent="0.25">
      <c r="B424" t="s">
        <v>109</v>
      </c>
      <c r="C424" t="s">
        <v>105</v>
      </c>
      <c r="D424" t="s">
        <v>105</v>
      </c>
      <c r="E424" t="s">
        <v>105</v>
      </c>
      <c r="F424" s="158">
        <v>45516.884386574071</v>
      </c>
    </row>
    <row r="425" spans="2:6" x14ac:dyDescent="0.25">
      <c r="B425" t="s">
        <v>110</v>
      </c>
      <c r="C425" t="s">
        <v>105</v>
      </c>
      <c r="D425" t="s">
        <v>92</v>
      </c>
      <c r="E425" t="s">
        <v>105</v>
      </c>
      <c r="F425" s="158">
        <v>45516.884386574071</v>
      </c>
    </row>
    <row r="426" spans="2:6" x14ac:dyDescent="0.25">
      <c r="B426" t="s">
        <v>110</v>
      </c>
      <c r="C426" t="s">
        <v>105</v>
      </c>
      <c r="D426" t="s">
        <v>91</v>
      </c>
      <c r="E426" t="s">
        <v>105</v>
      </c>
      <c r="F426" s="158">
        <v>45516.884386574071</v>
      </c>
    </row>
    <row r="427" spans="2:6" x14ac:dyDescent="0.25">
      <c r="B427" t="s">
        <v>102</v>
      </c>
      <c r="C427" t="s">
        <v>100</v>
      </c>
      <c r="D427" t="s">
        <v>100</v>
      </c>
      <c r="E427" t="s">
        <v>103</v>
      </c>
      <c r="F427" s="158">
        <v>45516.884444444448</v>
      </c>
    </row>
    <row r="428" spans="2:6" x14ac:dyDescent="0.25">
      <c r="B428" t="s">
        <v>104</v>
      </c>
      <c r="C428" t="s">
        <v>100</v>
      </c>
      <c r="D428" t="s">
        <v>105</v>
      </c>
      <c r="E428" t="s">
        <v>105</v>
      </c>
      <c r="F428" s="158">
        <v>45516.884467592594</v>
      </c>
    </row>
    <row r="429" spans="2:6" x14ac:dyDescent="0.25">
      <c r="B429" t="s">
        <v>104</v>
      </c>
      <c r="C429" t="s">
        <v>106</v>
      </c>
      <c r="D429" t="s">
        <v>91</v>
      </c>
      <c r="E429" t="s">
        <v>105</v>
      </c>
      <c r="F429" s="158">
        <v>45516.884467592594</v>
      </c>
    </row>
    <row r="430" spans="2:6" x14ac:dyDescent="0.25">
      <c r="B430" t="s">
        <v>110</v>
      </c>
      <c r="C430" t="s">
        <v>105</v>
      </c>
      <c r="D430" t="s">
        <v>91</v>
      </c>
      <c r="E430" t="s">
        <v>105</v>
      </c>
      <c r="F430" s="158">
        <v>45516.884467592594</v>
      </c>
    </row>
    <row r="431" spans="2:6" x14ac:dyDescent="0.25">
      <c r="B431" t="s">
        <v>104</v>
      </c>
      <c r="C431" t="s">
        <v>107</v>
      </c>
      <c r="D431" t="s">
        <v>92</v>
      </c>
      <c r="E431" t="s">
        <v>105</v>
      </c>
      <c r="F431" s="158">
        <v>45516.884467592594</v>
      </c>
    </row>
    <row r="432" spans="2:6" x14ac:dyDescent="0.25">
      <c r="B432" t="s">
        <v>110</v>
      </c>
      <c r="C432" t="s">
        <v>105</v>
      </c>
      <c r="D432" t="s">
        <v>92</v>
      </c>
      <c r="E432" t="s">
        <v>105</v>
      </c>
      <c r="F432" s="158">
        <v>45516.884467592594</v>
      </c>
    </row>
    <row r="433" spans="2:6" x14ac:dyDescent="0.25">
      <c r="B433" t="s">
        <v>137</v>
      </c>
      <c r="C433" t="s">
        <v>100</v>
      </c>
      <c r="D433" t="s">
        <v>100</v>
      </c>
      <c r="E433" t="s">
        <v>117</v>
      </c>
      <c r="F433" s="158">
        <v>45516.884571759256</v>
      </c>
    </row>
    <row r="434" spans="2:6" x14ac:dyDescent="0.25">
      <c r="B434" t="s">
        <v>118</v>
      </c>
      <c r="C434" t="s">
        <v>100</v>
      </c>
      <c r="D434" t="s">
        <v>105</v>
      </c>
      <c r="E434" t="s">
        <v>105</v>
      </c>
      <c r="F434" s="158">
        <v>45516.884594907409</v>
      </c>
    </row>
    <row r="435" spans="2:6" x14ac:dyDescent="0.25">
      <c r="B435" t="s">
        <v>118</v>
      </c>
      <c r="C435" t="s">
        <v>106</v>
      </c>
      <c r="D435" t="s">
        <v>91</v>
      </c>
      <c r="E435" t="s">
        <v>105</v>
      </c>
      <c r="F435" s="158">
        <v>45516.884594907409</v>
      </c>
    </row>
    <row r="436" spans="2:6" x14ac:dyDescent="0.25">
      <c r="B436" t="s">
        <v>110</v>
      </c>
      <c r="C436" t="s">
        <v>105</v>
      </c>
      <c r="D436" t="s">
        <v>91</v>
      </c>
      <c r="E436" t="s">
        <v>105</v>
      </c>
      <c r="F436" s="158">
        <v>45516.884594907409</v>
      </c>
    </row>
    <row r="437" spans="2:6" x14ac:dyDescent="0.25">
      <c r="B437" t="s">
        <v>118</v>
      </c>
      <c r="C437" t="s">
        <v>107</v>
      </c>
      <c r="D437" t="s">
        <v>92</v>
      </c>
      <c r="E437" t="s">
        <v>105</v>
      </c>
      <c r="F437" s="158">
        <v>45516.884606481479</v>
      </c>
    </row>
    <row r="438" spans="2:6" x14ac:dyDescent="0.25">
      <c r="B438" t="s">
        <v>110</v>
      </c>
      <c r="C438" t="s">
        <v>105</v>
      </c>
      <c r="D438" t="s">
        <v>92</v>
      </c>
      <c r="E438" t="s">
        <v>105</v>
      </c>
      <c r="F438" s="158">
        <v>45516.884606481479</v>
      </c>
    </row>
    <row r="439" spans="2:6" x14ac:dyDescent="0.25">
      <c r="B439" t="s">
        <v>109</v>
      </c>
      <c r="C439" t="s">
        <v>105</v>
      </c>
      <c r="D439" t="s">
        <v>105</v>
      </c>
      <c r="E439" t="s">
        <v>105</v>
      </c>
      <c r="F439" s="158">
        <v>45516.884675925925</v>
      </c>
    </row>
    <row r="440" spans="2:6" x14ac:dyDescent="0.25">
      <c r="B440" t="s">
        <v>138</v>
      </c>
      <c r="C440" t="s">
        <v>100</v>
      </c>
      <c r="D440" t="s">
        <v>100</v>
      </c>
      <c r="E440" t="s">
        <v>117</v>
      </c>
      <c r="F440" s="158">
        <v>45516.884733796294</v>
      </c>
    </row>
    <row r="441" spans="2:6" x14ac:dyDescent="0.25">
      <c r="B441" t="s">
        <v>121</v>
      </c>
      <c r="C441" t="s">
        <v>100</v>
      </c>
      <c r="D441" t="s">
        <v>105</v>
      </c>
      <c r="E441" t="s">
        <v>105</v>
      </c>
      <c r="F441" s="158">
        <v>45516.884756944448</v>
      </c>
    </row>
    <row r="442" spans="2:6" x14ac:dyDescent="0.25">
      <c r="B442" t="s">
        <v>121</v>
      </c>
      <c r="C442" t="s">
        <v>106</v>
      </c>
      <c r="D442" t="s">
        <v>91</v>
      </c>
      <c r="E442" t="s">
        <v>105</v>
      </c>
      <c r="F442" s="158">
        <v>45516.884756944448</v>
      </c>
    </row>
    <row r="443" spans="2:6" x14ac:dyDescent="0.25">
      <c r="B443" t="s">
        <v>110</v>
      </c>
      <c r="C443" t="s">
        <v>105</v>
      </c>
      <c r="D443" t="s">
        <v>91</v>
      </c>
      <c r="E443" t="s">
        <v>105</v>
      </c>
      <c r="F443" s="158">
        <v>45516.884756944448</v>
      </c>
    </row>
    <row r="444" spans="2:6" x14ac:dyDescent="0.25">
      <c r="B444" t="s">
        <v>121</v>
      </c>
      <c r="C444" t="s">
        <v>107</v>
      </c>
      <c r="D444" t="s">
        <v>92</v>
      </c>
      <c r="E444" t="s">
        <v>105</v>
      </c>
      <c r="F444" s="158">
        <v>45516.884756944448</v>
      </c>
    </row>
    <row r="445" spans="2:6" x14ac:dyDescent="0.25">
      <c r="B445" t="s">
        <v>110</v>
      </c>
      <c r="C445" t="s">
        <v>105</v>
      </c>
      <c r="D445" t="s">
        <v>92</v>
      </c>
      <c r="E445" t="s">
        <v>105</v>
      </c>
      <c r="F445" s="158">
        <v>45516.884756944448</v>
      </c>
    </row>
    <row r="446" spans="2:6" x14ac:dyDescent="0.25">
      <c r="B446" t="s">
        <v>108</v>
      </c>
      <c r="C446" t="s">
        <v>105</v>
      </c>
      <c r="D446" t="s">
        <v>105</v>
      </c>
      <c r="E446" t="s">
        <v>105</v>
      </c>
      <c r="F446" s="158">
        <v>45516.884965277779</v>
      </c>
    </row>
    <row r="447" spans="2:6" x14ac:dyDescent="0.25">
      <c r="B447" t="s">
        <v>109</v>
      </c>
      <c r="C447" t="s">
        <v>105</v>
      </c>
      <c r="D447" t="s">
        <v>105</v>
      </c>
      <c r="E447" t="s">
        <v>105</v>
      </c>
      <c r="F447" s="158">
        <v>45516.884976851848</v>
      </c>
    </row>
    <row r="448" spans="2:6" x14ac:dyDescent="0.25">
      <c r="B448" t="s">
        <v>110</v>
      </c>
      <c r="C448" t="s">
        <v>105</v>
      </c>
      <c r="D448" t="s">
        <v>92</v>
      </c>
      <c r="E448" t="s">
        <v>105</v>
      </c>
      <c r="F448" s="158">
        <v>45516.884976851848</v>
      </c>
    </row>
    <row r="449" spans="2:6" x14ac:dyDescent="0.25">
      <c r="B449" t="s">
        <v>110</v>
      </c>
      <c r="C449" t="s">
        <v>105</v>
      </c>
      <c r="D449" t="s">
        <v>91</v>
      </c>
      <c r="E449" t="s">
        <v>105</v>
      </c>
      <c r="F449" s="158">
        <v>45516.884976851848</v>
      </c>
    </row>
    <row r="450" spans="2:6" x14ac:dyDescent="0.25">
      <c r="B450" t="s">
        <v>102</v>
      </c>
      <c r="C450" t="s">
        <v>100</v>
      </c>
      <c r="D450" t="s">
        <v>100</v>
      </c>
      <c r="E450" t="s">
        <v>103</v>
      </c>
      <c r="F450" s="158">
        <v>45516.885057870371</v>
      </c>
    </row>
    <row r="451" spans="2:6" x14ac:dyDescent="0.25">
      <c r="B451" t="s">
        <v>104</v>
      </c>
      <c r="C451" t="s">
        <v>100</v>
      </c>
      <c r="D451" t="s">
        <v>105</v>
      </c>
      <c r="E451" t="s">
        <v>105</v>
      </c>
      <c r="F451" s="158">
        <v>45516.885092592594</v>
      </c>
    </row>
    <row r="452" spans="2:6" x14ac:dyDescent="0.25">
      <c r="B452" t="s">
        <v>104</v>
      </c>
      <c r="C452" t="s">
        <v>106</v>
      </c>
      <c r="D452" t="s">
        <v>91</v>
      </c>
      <c r="E452" t="s">
        <v>105</v>
      </c>
      <c r="F452" s="158">
        <v>45516.885092592594</v>
      </c>
    </row>
    <row r="453" spans="2:6" x14ac:dyDescent="0.25">
      <c r="B453" t="s">
        <v>110</v>
      </c>
      <c r="C453" t="s">
        <v>105</v>
      </c>
      <c r="D453" t="s">
        <v>91</v>
      </c>
      <c r="E453" t="s">
        <v>105</v>
      </c>
      <c r="F453" s="158">
        <v>45516.885092592594</v>
      </c>
    </row>
    <row r="454" spans="2:6" x14ac:dyDescent="0.25">
      <c r="B454" t="s">
        <v>104</v>
      </c>
      <c r="C454" t="s">
        <v>107</v>
      </c>
      <c r="D454" t="s">
        <v>92</v>
      </c>
      <c r="E454" t="s">
        <v>105</v>
      </c>
      <c r="F454" s="158">
        <v>45516.885104166664</v>
      </c>
    </row>
    <row r="455" spans="2:6" x14ac:dyDescent="0.25">
      <c r="B455" t="s">
        <v>110</v>
      </c>
      <c r="C455" t="s">
        <v>105</v>
      </c>
      <c r="D455" t="s">
        <v>92</v>
      </c>
      <c r="E455" t="s">
        <v>105</v>
      </c>
      <c r="F455" s="158">
        <v>45516.885104166664</v>
      </c>
    </row>
    <row r="456" spans="2:6" x14ac:dyDescent="0.25">
      <c r="B456" t="s">
        <v>109</v>
      </c>
      <c r="C456" t="s">
        <v>105</v>
      </c>
      <c r="D456" t="s">
        <v>105</v>
      </c>
      <c r="E456" t="s">
        <v>105</v>
      </c>
      <c r="F456" s="158">
        <v>45516.885138888887</v>
      </c>
    </row>
    <row r="457" spans="2:6" x14ac:dyDescent="0.25">
      <c r="B457" t="s">
        <v>137</v>
      </c>
      <c r="C457" t="s">
        <v>100</v>
      </c>
      <c r="D457" t="s">
        <v>100</v>
      </c>
      <c r="E457" t="s">
        <v>117</v>
      </c>
      <c r="F457" s="158">
        <v>45516.88521990741</v>
      </c>
    </row>
    <row r="458" spans="2:6" x14ac:dyDescent="0.25">
      <c r="B458" t="s">
        <v>118</v>
      </c>
      <c r="C458" t="s">
        <v>100</v>
      </c>
      <c r="D458" t="s">
        <v>105</v>
      </c>
      <c r="E458" t="s">
        <v>105</v>
      </c>
      <c r="F458" s="158">
        <v>45516.885254629633</v>
      </c>
    </row>
    <row r="459" spans="2:6" x14ac:dyDescent="0.25">
      <c r="B459" t="s">
        <v>118</v>
      </c>
      <c r="C459" t="s">
        <v>106</v>
      </c>
      <c r="D459" t="s">
        <v>91</v>
      </c>
      <c r="E459" t="s">
        <v>105</v>
      </c>
      <c r="F459" s="158">
        <v>45516.885254629633</v>
      </c>
    </row>
    <row r="460" spans="2:6" x14ac:dyDescent="0.25">
      <c r="B460" t="s">
        <v>110</v>
      </c>
      <c r="C460" t="s">
        <v>105</v>
      </c>
      <c r="D460" t="s">
        <v>91</v>
      </c>
      <c r="E460" t="s">
        <v>105</v>
      </c>
      <c r="F460" s="158">
        <v>45516.885254629633</v>
      </c>
    </row>
    <row r="461" spans="2:6" x14ac:dyDescent="0.25">
      <c r="B461" t="s">
        <v>118</v>
      </c>
      <c r="C461" t="s">
        <v>107</v>
      </c>
      <c r="D461" t="s">
        <v>92</v>
      </c>
      <c r="E461" t="s">
        <v>105</v>
      </c>
      <c r="F461" s="158">
        <v>45516.885254629633</v>
      </c>
    </row>
    <row r="462" spans="2:6" x14ac:dyDescent="0.25">
      <c r="B462" t="s">
        <v>110</v>
      </c>
      <c r="C462" t="s">
        <v>105</v>
      </c>
      <c r="D462" t="s">
        <v>92</v>
      </c>
      <c r="E462" t="s">
        <v>105</v>
      </c>
      <c r="F462" s="158">
        <v>45516.885254629633</v>
      </c>
    </row>
    <row r="463" spans="2:6" x14ac:dyDescent="0.25">
      <c r="B463" t="s">
        <v>109</v>
      </c>
      <c r="C463" t="s">
        <v>105</v>
      </c>
      <c r="D463" t="s">
        <v>105</v>
      </c>
      <c r="E463" t="s">
        <v>105</v>
      </c>
      <c r="F463" s="158">
        <v>45516.885335648149</v>
      </c>
    </row>
    <row r="464" spans="2:6" x14ac:dyDescent="0.25">
      <c r="B464" t="s">
        <v>138</v>
      </c>
      <c r="C464" t="s">
        <v>100</v>
      </c>
      <c r="D464" t="s">
        <v>100</v>
      </c>
      <c r="E464" t="s">
        <v>120</v>
      </c>
      <c r="F464" s="158">
        <v>45516.885405092595</v>
      </c>
    </row>
    <row r="465" spans="2:6" x14ac:dyDescent="0.25">
      <c r="B465" t="s">
        <v>121</v>
      </c>
      <c r="C465" t="s">
        <v>100</v>
      </c>
      <c r="D465" t="s">
        <v>105</v>
      </c>
      <c r="E465" t="s">
        <v>105</v>
      </c>
      <c r="F465" s="158">
        <v>45516.885439814818</v>
      </c>
    </row>
    <row r="466" spans="2:6" x14ac:dyDescent="0.25">
      <c r="B466" t="s">
        <v>121</v>
      </c>
      <c r="C466" t="s">
        <v>106</v>
      </c>
      <c r="D466" t="s">
        <v>91</v>
      </c>
      <c r="E466" t="s">
        <v>105</v>
      </c>
      <c r="F466" s="158">
        <v>45516.885439814818</v>
      </c>
    </row>
    <row r="467" spans="2:6" x14ac:dyDescent="0.25">
      <c r="B467" t="s">
        <v>110</v>
      </c>
      <c r="C467" t="s">
        <v>105</v>
      </c>
      <c r="D467" t="s">
        <v>91</v>
      </c>
      <c r="E467" t="s">
        <v>105</v>
      </c>
      <c r="F467" s="158">
        <v>45516.885439814818</v>
      </c>
    </row>
    <row r="468" spans="2:6" x14ac:dyDescent="0.25">
      <c r="B468" t="s">
        <v>121</v>
      </c>
      <c r="C468" t="s">
        <v>107</v>
      </c>
      <c r="D468" t="s">
        <v>92</v>
      </c>
      <c r="E468" t="s">
        <v>105</v>
      </c>
      <c r="F468" s="158">
        <v>45516.885439814818</v>
      </c>
    </row>
    <row r="469" spans="2:6" x14ac:dyDescent="0.25">
      <c r="B469" t="s">
        <v>110</v>
      </c>
      <c r="C469" t="s">
        <v>105</v>
      </c>
      <c r="D469" t="s">
        <v>92</v>
      </c>
      <c r="E469" t="s">
        <v>105</v>
      </c>
      <c r="F469" s="158">
        <v>45516.885439814818</v>
      </c>
    </row>
    <row r="470" spans="2:6" x14ac:dyDescent="0.25">
      <c r="B470" t="s">
        <v>109</v>
      </c>
      <c r="C470" t="s">
        <v>105</v>
      </c>
      <c r="D470" t="s">
        <v>105</v>
      </c>
      <c r="E470" t="s">
        <v>105</v>
      </c>
      <c r="F470" s="158">
        <v>45516.885497685187</v>
      </c>
    </row>
    <row r="471" spans="2:6" x14ac:dyDescent="0.25">
      <c r="B471" t="s">
        <v>139</v>
      </c>
      <c r="C471" t="s">
        <v>100</v>
      </c>
      <c r="D471" t="s">
        <v>100</v>
      </c>
      <c r="E471" t="s">
        <v>123</v>
      </c>
      <c r="F471" s="158">
        <v>45516.885567129626</v>
      </c>
    </row>
    <row r="472" spans="2:6" x14ac:dyDescent="0.25">
      <c r="B472" t="s">
        <v>124</v>
      </c>
      <c r="C472" t="s">
        <v>100</v>
      </c>
      <c r="D472" t="s">
        <v>105</v>
      </c>
      <c r="E472" t="s">
        <v>105</v>
      </c>
      <c r="F472" s="158">
        <v>45516.885601851849</v>
      </c>
    </row>
    <row r="473" spans="2:6" x14ac:dyDescent="0.25">
      <c r="B473" t="s">
        <v>124</v>
      </c>
      <c r="C473" t="s">
        <v>106</v>
      </c>
      <c r="D473" t="s">
        <v>91</v>
      </c>
      <c r="E473" t="s">
        <v>105</v>
      </c>
      <c r="F473" s="158">
        <v>45516.885601851849</v>
      </c>
    </row>
    <row r="474" spans="2:6" x14ac:dyDescent="0.25">
      <c r="B474" t="s">
        <v>110</v>
      </c>
      <c r="C474" t="s">
        <v>105</v>
      </c>
      <c r="D474" t="s">
        <v>91</v>
      </c>
      <c r="E474" t="s">
        <v>105</v>
      </c>
      <c r="F474" s="158">
        <v>45516.885613425926</v>
      </c>
    </row>
    <row r="475" spans="2:6" x14ac:dyDescent="0.25">
      <c r="B475" t="s">
        <v>124</v>
      </c>
      <c r="C475" t="s">
        <v>107</v>
      </c>
      <c r="D475" t="s">
        <v>92</v>
      </c>
      <c r="E475" t="s">
        <v>105</v>
      </c>
      <c r="F475" s="158">
        <v>45516.885613425926</v>
      </c>
    </row>
    <row r="476" spans="2:6" x14ac:dyDescent="0.25">
      <c r="B476" t="s">
        <v>110</v>
      </c>
      <c r="C476" t="s">
        <v>105</v>
      </c>
      <c r="D476" t="s">
        <v>92</v>
      </c>
      <c r="E476" t="s">
        <v>105</v>
      </c>
      <c r="F476" s="158">
        <v>45516.885613425926</v>
      </c>
    </row>
    <row r="477" spans="2:6" x14ac:dyDescent="0.25">
      <c r="B477" t="s">
        <v>109</v>
      </c>
      <c r="C477" t="s">
        <v>105</v>
      </c>
      <c r="D477" t="s">
        <v>105</v>
      </c>
      <c r="E477" t="s">
        <v>105</v>
      </c>
      <c r="F477" s="158">
        <v>45516.885682870372</v>
      </c>
    </row>
    <row r="478" spans="2:6" x14ac:dyDescent="0.25">
      <c r="B478" t="s">
        <v>140</v>
      </c>
      <c r="C478" t="s">
        <v>100</v>
      </c>
      <c r="D478" t="s">
        <v>100</v>
      </c>
      <c r="E478" t="s">
        <v>126</v>
      </c>
      <c r="F478" s="158">
        <v>45516.885740740741</v>
      </c>
    </row>
    <row r="479" spans="2:6" x14ac:dyDescent="0.25">
      <c r="B479" t="s">
        <v>127</v>
      </c>
      <c r="C479" t="s">
        <v>100</v>
      </c>
      <c r="D479" t="s">
        <v>105</v>
      </c>
      <c r="E479" t="s">
        <v>105</v>
      </c>
      <c r="F479" s="158">
        <v>45516.885763888888</v>
      </c>
    </row>
    <row r="480" spans="2:6" x14ac:dyDescent="0.25">
      <c r="B480" t="s">
        <v>127</v>
      </c>
      <c r="C480" t="s">
        <v>106</v>
      </c>
      <c r="D480" t="s">
        <v>91</v>
      </c>
      <c r="E480" t="s">
        <v>105</v>
      </c>
      <c r="F480" s="158">
        <v>45516.885763888888</v>
      </c>
    </row>
    <row r="481" spans="2:6" x14ac:dyDescent="0.25">
      <c r="B481" t="s">
        <v>110</v>
      </c>
      <c r="C481" t="s">
        <v>105</v>
      </c>
      <c r="D481" t="s">
        <v>91</v>
      </c>
      <c r="E481" t="s">
        <v>105</v>
      </c>
      <c r="F481" s="158">
        <v>45516.885763888888</v>
      </c>
    </row>
    <row r="482" spans="2:6" x14ac:dyDescent="0.25">
      <c r="B482" t="s">
        <v>127</v>
      </c>
      <c r="C482" t="s">
        <v>107</v>
      </c>
      <c r="D482" t="s">
        <v>92</v>
      </c>
      <c r="E482" t="s">
        <v>105</v>
      </c>
      <c r="F482" s="158">
        <v>45516.885775462964</v>
      </c>
    </row>
    <row r="483" spans="2:6" x14ac:dyDescent="0.25">
      <c r="B483" t="s">
        <v>110</v>
      </c>
      <c r="C483" t="s">
        <v>105</v>
      </c>
      <c r="D483" t="s">
        <v>92</v>
      </c>
      <c r="E483" t="s">
        <v>105</v>
      </c>
      <c r="F483" s="158">
        <v>45516.885775462964</v>
      </c>
    </row>
    <row r="484" spans="2:6" x14ac:dyDescent="0.25">
      <c r="B484" t="s">
        <v>109</v>
      </c>
      <c r="C484" t="s">
        <v>105</v>
      </c>
      <c r="D484" t="s">
        <v>105</v>
      </c>
      <c r="E484" t="s">
        <v>105</v>
      </c>
      <c r="F484" s="158">
        <v>45516.885798611111</v>
      </c>
    </row>
    <row r="485" spans="2:6" x14ac:dyDescent="0.25">
      <c r="B485" t="s">
        <v>141</v>
      </c>
      <c r="C485" t="s">
        <v>100</v>
      </c>
      <c r="D485" t="s">
        <v>100</v>
      </c>
      <c r="E485" t="s">
        <v>129</v>
      </c>
      <c r="F485" s="158">
        <v>45516.885891203703</v>
      </c>
    </row>
    <row r="486" spans="2:6" x14ac:dyDescent="0.25">
      <c r="B486" t="s">
        <v>130</v>
      </c>
      <c r="C486" t="s">
        <v>100</v>
      </c>
      <c r="D486" t="s">
        <v>105</v>
      </c>
      <c r="E486" t="s">
        <v>105</v>
      </c>
      <c r="F486" s="158">
        <v>45516.885914351849</v>
      </c>
    </row>
    <row r="487" spans="2:6" x14ac:dyDescent="0.25">
      <c r="B487" t="s">
        <v>130</v>
      </c>
      <c r="C487" t="s">
        <v>106</v>
      </c>
      <c r="D487" t="s">
        <v>91</v>
      </c>
      <c r="E487" t="s">
        <v>105</v>
      </c>
      <c r="F487" s="158">
        <v>45516.885914351849</v>
      </c>
    </row>
    <row r="488" spans="2:6" x14ac:dyDescent="0.25">
      <c r="B488" t="s">
        <v>110</v>
      </c>
      <c r="C488" t="s">
        <v>105</v>
      </c>
      <c r="D488" t="s">
        <v>91</v>
      </c>
      <c r="E488" t="s">
        <v>105</v>
      </c>
      <c r="F488" s="158">
        <v>45516.885914351849</v>
      </c>
    </row>
    <row r="489" spans="2:6" x14ac:dyDescent="0.25">
      <c r="B489" t="s">
        <v>130</v>
      </c>
      <c r="C489" t="s">
        <v>107</v>
      </c>
      <c r="D489" t="s">
        <v>92</v>
      </c>
      <c r="E489" t="s">
        <v>105</v>
      </c>
      <c r="F489" s="158">
        <v>45516.885925925926</v>
      </c>
    </row>
    <row r="490" spans="2:6" x14ac:dyDescent="0.25">
      <c r="B490" t="s">
        <v>110</v>
      </c>
      <c r="C490" t="s">
        <v>105</v>
      </c>
      <c r="D490" t="s">
        <v>92</v>
      </c>
      <c r="E490" t="s">
        <v>105</v>
      </c>
      <c r="F490" s="158">
        <v>45516.885925925926</v>
      </c>
    </row>
    <row r="491" spans="2:6" x14ac:dyDescent="0.25">
      <c r="B491" t="s">
        <v>109</v>
      </c>
      <c r="C491" t="s">
        <v>105</v>
      </c>
      <c r="D491" t="s">
        <v>105</v>
      </c>
      <c r="E491" t="s">
        <v>105</v>
      </c>
      <c r="F491" s="158">
        <v>45516.886203703703</v>
      </c>
    </row>
    <row r="492" spans="2:6" x14ac:dyDescent="0.25">
      <c r="B492" t="s">
        <v>108</v>
      </c>
      <c r="C492" t="s">
        <v>105</v>
      </c>
      <c r="D492" t="s">
        <v>105</v>
      </c>
      <c r="E492" t="s">
        <v>105</v>
      </c>
      <c r="F492" s="158">
        <v>45516.886388888888</v>
      </c>
    </row>
    <row r="493" spans="2:6" x14ac:dyDescent="0.25">
      <c r="B493" t="s">
        <v>109</v>
      </c>
      <c r="C493" t="s">
        <v>105</v>
      </c>
      <c r="D493" t="s">
        <v>105</v>
      </c>
      <c r="E493" t="s">
        <v>105</v>
      </c>
      <c r="F493" s="158">
        <v>45516.886388888888</v>
      </c>
    </row>
    <row r="494" spans="2:6" x14ac:dyDescent="0.25">
      <c r="B494" t="s">
        <v>110</v>
      </c>
      <c r="C494" t="s">
        <v>105</v>
      </c>
      <c r="D494" t="s">
        <v>92</v>
      </c>
      <c r="E494" t="s">
        <v>105</v>
      </c>
      <c r="F494" s="158">
        <v>45516.886388888888</v>
      </c>
    </row>
    <row r="495" spans="2:6" x14ac:dyDescent="0.25">
      <c r="B495" t="s">
        <v>110</v>
      </c>
      <c r="C495" t="s">
        <v>105</v>
      </c>
      <c r="D495" t="s">
        <v>91</v>
      </c>
      <c r="E495" t="s">
        <v>105</v>
      </c>
      <c r="F495" s="158">
        <v>45516.886388888888</v>
      </c>
    </row>
    <row r="496" spans="2:6" x14ac:dyDescent="0.25">
      <c r="B496" t="s">
        <v>102</v>
      </c>
      <c r="C496" t="s">
        <v>100</v>
      </c>
      <c r="D496" t="s">
        <v>100</v>
      </c>
      <c r="E496" t="s">
        <v>103</v>
      </c>
      <c r="F496" s="158">
        <v>45516.886469907404</v>
      </c>
    </row>
    <row r="497" spans="2:6" x14ac:dyDescent="0.25">
      <c r="B497" t="s">
        <v>104</v>
      </c>
      <c r="C497" t="s">
        <v>100</v>
      </c>
      <c r="D497" t="s">
        <v>105</v>
      </c>
      <c r="E497" t="s">
        <v>105</v>
      </c>
      <c r="F497" s="158">
        <v>45516.886493055557</v>
      </c>
    </row>
    <row r="498" spans="2:6" x14ac:dyDescent="0.25">
      <c r="B498" t="s">
        <v>104</v>
      </c>
      <c r="C498" t="s">
        <v>106</v>
      </c>
      <c r="D498" t="s">
        <v>91</v>
      </c>
      <c r="E498" t="s">
        <v>105</v>
      </c>
      <c r="F498" s="158">
        <v>45516.886504629627</v>
      </c>
    </row>
    <row r="499" spans="2:6" x14ac:dyDescent="0.25">
      <c r="B499" t="s">
        <v>104</v>
      </c>
      <c r="C499" t="s">
        <v>107</v>
      </c>
      <c r="D499" t="s">
        <v>92</v>
      </c>
      <c r="E499" t="s">
        <v>105</v>
      </c>
      <c r="F499" s="158">
        <v>45516.886504629627</v>
      </c>
    </row>
    <row r="500" spans="2:6" x14ac:dyDescent="0.25">
      <c r="B500" t="s">
        <v>109</v>
      </c>
      <c r="C500" t="s">
        <v>105</v>
      </c>
      <c r="D500" t="s">
        <v>105</v>
      </c>
      <c r="E500" t="s">
        <v>105</v>
      </c>
      <c r="F500" s="158">
        <v>45516.886574074073</v>
      </c>
    </row>
    <row r="501" spans="2:6" x14ac:dyDescent="0.25">
      <c r="B501" t="s">
        <v>137</v>
      </c>
      <c r="C501" t="s">
        <v>100</v>
      </c>
      <c r="D501" t="s">
        <v>100</v>
      </c>
      <c r="E501" t="s">
        <v>117</v>
      </c>
      <c r="F501" s="158">
        <v>45516.886631944442</v>
      </c>
    </row>
    <row r="502" spans="2:6" x14ac:dyDescent="0.25">
      <c r="B502" t="s">
        <v>118</v>
      </c>
      <c r="C502" t="s">
        <v>100</v>
      </c>
      <c r="D502" t="s">
        <v>105</v>
      </c>
      <c r="E502" t="s">
        <v>105</v>
      </c>
      <c r="F502" s="158">
        <v>45516.886666666665</v>
      </c>
    </row>
    <row r="503" spans="2:6" x14ac:dyDescent="0.25">
      <c r="B503" t="s">
        <v>118</v>
      </c>
      <c r="C503" t="s">
        <v>106</v>
      </c>
      <c r="D503" t="s">
        <v>91</v>
      </c>
      <c r="E503" t="s">
        <v>105</v>
      </c>
      <c r="F503" s="158">
        <v>45516.886666666665</v>
      </c>
    </row>
    <row r="504" spans="2:6" x14ac:dyDescent="0.25">
      <c r="B504" t="s">
        <v>118</v>
      </c>
      <c r="C504" t="s">
        <v>107</v>
      </c>
      <c r="D504" t="s">
        <v>92</v>
      </c>
      <c r="E504" t="s">
        <v>105</v>
      </c>
      <c r="F504" s="158">
        <v>45516.886666666665</v>
      </c>
    </row>
    <row r="505" spans="2:6" x14ac:dyDescent="0.25">
      <c r="B505" t="s">
        <v>109</v>
      </c>
      <c r="C505" t="s">
        <v>105</v>
      </c>
      <c r="D505" t="s">
        <v>105</v>
      </c>
      <c r="E505" t="s">
        <v>105</v>
      </c>
      <c r="F505" s="158">
        <v>45516.887129629627</v>
      </c>
    </row>
    <row r="506" spans="2:6" x14ac:dyDescent="0.25">
      <c r="B506" t="s">
        <v>138</v>
      </c>
      <c r="C506" t="s">
        <v>100</v>
      </c>
      <c r="D506" t="s">
        <v>100</v>
      </c>
      <c r="E506" t="s">
        <v>120</v>
      </c>
      <c r="F506" s="158">
        <v>45516.88721064815</v>
      </c>
    </row>
    <row r="507" spans="2:6" x14ac:dyDescent="0.25">
      <c r="B507" t="s">
        <v>121</v>
      </c>
      <c r="C507" t="s">
        <v>100</v>
      </c>
      <c r="D507" t="s">
        <v>105</v>
      </c>
      <c r="E507" t="s">
        <v>105</v>
      </c>
      <c r="F507" s="158">
        <v>45516.887245370373</v>
      </c>
    </row>
    <row r="508" spans="2:6" x14ac:dyDescent="0.25">
      <c r="B508" t="s">
        <v>121</v>
      </c>
      <c r="C508" t="s">
        <v>106</v>
      </c>
      <c r="D508" t="s">
        <v>91</v>
      </c>
      <c r="E508" t="s">
        <v>105</v>
      </c>
      <c r="F508" s="158">
        <v>45516.887245370373</v>
      </c>
    </row>
    <row r="509" spans="2:6" x14ac:dyDescent="0.25">
      <c r="B509" t="s">
        <v>121</v>
      </c>
      <c r="C509" t="s">
        <v>107</v>
      </c>
      <c r="D509" t="s">
        <v>92</v>
      </c>
      <c r="E509" t="s">
        <v>105</v>
      </c>
      <c r="F509" s="158">
        <v>45516.887245370373</v>
      </c>
    </row>
    <row r="510" spans="2:6" x14ac:dyDescent="0.25">
      <c r="B510" t="s">
        <v>109</v>
      </c>
      <c r="C510" t="s">
        <v>105</v>
      </c>
      <c r="D510" t="s">
        <v>105</v>
      </c>
      <c r="E510" t="s">
        <v>105</v>
      </c>
      <c r="F510" s="158">
        <v>45516.887303240743</v>
      </c>
    </row>
    <row r="511" spans="2:6" x14ac:dyDescent="0.25">
      <c r="B511" t="s">
        <v>139</v>
      </c>
      <c r="C511" t="s">
        <v>100</v>
      </c>
      <c r="D511" t="s">
        <v>100</v>
      </c>
      <c r="E511" t="s">
        <v>123</v>
      </c>
      <c r="F511" s="158">
        <v>45516.887349537035</v>
      </c>
    </row>
    <row r="512" spans="2:6" x14ac:dyDescent="0.25">
      <c r="B512" t="s">
        <v>124</v>
      </c>
      <c r="C512" t="s">
        <v>100</v>
      </c>
      <c r="D512" t="s">
        <v>105</v>
      </c>
      <c r="E512" t="s">
        <v>105</v>
      </c>
      <c r="F512" s="158">
        <v>45516.887395833335</v>
      </c>
    </row>
    <row r="513" spans="2:6" x14ac:dyDescent="0.25">
      <c r="B513" t="s">
        <v>124</v>
      </c>
      <c r="C513" t="s">
        <v>106</v>
      </c>
      <c r="D513" t="s">
        <v>91</v>
      </c>
      <c r="E513" t="s">
        <v>105</v>
      </c>
      <c r="F513" s="158">
        <v>45516.887395833335</v>
      </c>
    </row>
    <row r="514" spans="2:6" x14ac:dyDescent="0.25">
      <c r="B514" t="s">
        <v>124</v>
      </c>
      <c r="C514" t="s">
        <v>107</v>
      </c>
      <c r="D514" t="s">
        <v>92</v>
      </c>
      <c r="E514" t="s">
        <v>105</v>
      </c>
      <c r="F514" s="158">
        <v>45516.887395833335</v>
      </c>
    </row>
    <row r="515" spans="2:6" x14ac:dyDescent="0.25">
      <c r="B515" t="s">
        <v>109</v>
      </c>
      <c r="C515" t="s">
        <v>105</v>
      </c>
      <c r="D515" t="s">
        <v>105</v>
      </c>
      <c r="E515" t="s">
        <v>105</v>
      </c>
      <c r="F515" s="158">
        <v>45516.887465277781</v>
      </c>
    </row>
    <row r="516" spans="2:6" x14ac:dyDescent="0.25">
      <c r="B516" t="s">
        <v>140</v>
      </c>
      <c r="C516" t="s">
        <v>100</v>
      </c>
      <c r="D516" t="s">
        <v>100</v>
      </c>
      <c r="E516" t="s">
        <v>126</v>
      </c>
      <c r="F516" s="158">
        <v>45516.887523148151</v>
      </c>
    </row>
    <row r="517" spans="2:6" x14ac:dyDescent="0.25">
      <c r="B517" t="s">
        <v>127</v>
      </c>
      <c r="C517" t="s">
        <v>100</v>
      </c>
      <c r="D517" t="s">
        <v>105</v>
      </c>
      <c r="E517" t="s">
        <v>105</v>
      </c>
      <c r="F517" s="158">
        <v>45516.887557870374</v>
      </c>
    </row>
    <row r="518" spans="2:6" x14ac:dyDescent="0.25">
      <c r="B518" t="s">
        <v>127</v>
      </c>
      <c r="C518" t="s">
        <v>106</v>
      </c>
      <c r="D518" t="s">
        <v>91</v>
      </c>
      <c r="E518" t="s">
        <v>105</v>
      </c>
      <c r="F518" s="158">
        <v>45516.887557870374</v>
      </c>
    </row>
    <row r="519" spans="2:6" x14ac:dyDescent="0.25">
      <c r="B519" t="s">
        <v>127</v>
      </c>
      <c r="C519" t="s">
        <v>107</v>
      </c>
      <c r="D519" t="s">
        <v>92</v>
      </c>
      <c r="E519" t="s">
        <v>105</v>
      </c>
      <c r="F519" s="158">
        <v>45516.887557870374</v>
      </c>
    </row>
    <row r="520" spans="2:6" x14ac:dyDescent="0.25">
      <c r="B520" t="s">
        <v>109</v>
      </c>
      <c r="C520" t="s">
        <v>105</v>
      </c>
      <c r="D520" t="s">
        <v>105</v>
      </c>
      <c r="E520" t="s">
        <v>105</v>
      </c>
      <c r="F520" s="158">
        <v>45516.887604166666</v>
      </c>
    </row>
    <row r="521" spans="2:6" x14ac:dyDescent="0.25">
      <c r="B521" t="s">
        <v>141</v>
      </c>
      <c r="C521" t="s">
        <v>100</v>
      </c>
      <c r="D521" t="s">
        <v>100</v>
      </c>
      <c r="E521" t="s">
        <v>129</v>
      </c>
      <c r="F521" s="158">
        <v>45516.887662037036</v>
      </c>
    </row>
    <row r="522" spans="2:6" x14ac:dyDescent="0.25">
      <c r="B522" t="s">
        <v>130</v>
      </c>
      <c r="C522" t="s">
        <v>100</v>
      </c>
      <c r="D522" t="s">
        <v>105</v>
      </c>
      <c r="E522" t="s">
        <v>105</v>
      </c>
      <c r="F522" s="158">
        <v>45516.887696759259</v>
      </c>
    </row>
    <row r="523" spans="2:6" x14ac:dyDescent="0.25">
      <c r="B523" t="s">
        <v>130</v>
      </c>
      <c r="C523" t="s">
        <v>106</v>
      </c>
      <c r="D523" t="s">
        <v>91</v>
      </c>
      <c r="E523" t="s">
        <v>105</v>
      </c>
      <c r="F523" s="158">
        <v>45516.887696759259</v>
      </c>
    </row>
    <row r="524" spans="2:6" x14ac:dyDescent="0.25">
      <c r="B524" t="s">
        <v>130</v>
      </c>
      <c r="C524" t="s">
        <v>107</v>
      </c>
      <c r="D524" t="s">
        <v>92</v>
      </c>
      <c r="E524" t="s">
        <v>105</v>
      </c>
      <c r="F524" s="158">
        <v>45516.887696759259</v>
      </c>
    </row>
    <row r="525" spans="2:6" x14ac:dyDescent="0.25">
      <c r="B525" t="s">
        <v>108</v>
      </c>
      <c r="C525" t="s">
        <v>105</v>
      </c>
      <c r="D525" t="s">
        <v>105</v>
      </c>
      <c r="E525" t="s">
        <v>105</v>
      </c>
      <c r="F525" s="158">
        <v>45516.891238425924</v>
      </c>
    </row>
    <row r="526" spans="2:6" x14ac:dyDescent="0.25">
      <c r="B526" t="s">
        <v>109</v>
      </c>
      <c r="C526" t="s">
        <v>105</v>
      </c>
      <c r="D526" t="s">
        <v>105</v>
      </c>
      <c r="E526" t="s">
        <v>105</v>
      </c>
      <c r="F526" s="158">
        <v>45516.891238425924</v>
      </c>
    </row>
    <row r="527" spans="2:6" x14ac:dyDescent="0.25">
      <c r="B527" t="s">
        <v>110</v>
      </c>
      <c r="C527" t="s">
        <v>105</v>
      </c>
      <c r="D527" t="s">
        <v>92</v>
      </c>
      <c r="E527" t="s">
        <v>105</v>
      </c>
      <c r="F527" s="158">
        <v>45516.891238425924</v>
      </c>
    </row>
    <row r="528" spans="2:6" x14ac:dyDescent="0.25">
      <c r="B528" t="s">
        <v>110</v>
      </c>
      <c r="C528" t="s">
        <v>105</v>
      </c>
      <c r="D528" t="s">
        <v>91</v>
      </c>
      <c r="E528" t="s">
        <v>105</v>
      </c>
      <c r="F528" s="158">
        <v>45516.891238425924</v>
      </c>
    </row>
    <row r="529" spans="2:6" x14ac:dyDescent="0.25">
      <c r="B529" t="s">
        <v>102</v>
      </c>
      <c r="C529" t="s">
        <v>100</v>
      </c>
      <c r="D529" t="s">
        <v>100</v>
      </c>
      <c r="E529" t="s">
        <v>103</v>
      </c>
      <c r="F529" s="158">
        <v>45516.892071759263</v>
      </c>
    </row>
    <row r="530" spans="2:6" x14ac:dyDescent="0.25">
      <c r="B530" t="s">
        <v>104</v>
      </c>
      <c r="C530" t="s">
        <v>100</v>
      </c>
      <c r="D530" t="s">
        <v>105</v>
      </c>
      <c r="E530" t="s">
        <v>105</v>
      </c>
      <c r="F530" s="158">
        <v>45516.892106481479</v>
      </c>
    </row>
    <row r="531" spans="2:6" x14ac:dyDescent="0.25">
      <c r="B531" t="s">
        <v>104</v>
      </c>
      <c r="C531" t="s">
        <v>106</v>
      </c>
      <c r="D531" t="s">
        <v>91</v>
      </c>
      <c r="E531" t="s">
        <v>105</v>
      </c>
      <c r="F531" s="158">
        <v>45516.892106481479</v>
      </c>
    </row>
    <row r="532" spans="2:6" x14ac:dyDescent="0.25">
      <c r="B532" t="s">
        <v>104</v>
      </c>
      <c r="C532" t="s">
        <v>107</v>
      </c>
      <c r="D532" t="s">
        <v>92</v>
      </c>
      <c r="E532" t="s">
        <v>105</v>
      </c>
      <c r="F532" s="158">
        <v>45516.892326388886</v>
      </c>
    </row>
    <row r="533" spans="2:6" x14ac:dyDescent="0.25">
      <c r="B533" t="s">
        <v>109</v>
      </c>
      <c r="C533" t="s">
        <v>105</v>
      </c>
      <c r="D533" t="s">
        <v>105</v>
      </c>
      <c r="E533" t="s">
        <v>105</v>
      </c>
      <c r="F533" s="158">
        <v>45516.892557870371</v>
      </c>
    </row>
    <row r="534" spans="2:6" x14ac:dyDescent="0.25">
      <c r="B534" t="s">
        <v>137</v>
      </c>
      <c r="C534" t="s">
        <v>100</v>
      </c>
      <c r="D534" t="s">
        <v>100</v>
      </c>
      <c r="E534" t="s">
        <v>117</v>
      </c>
      <c r="F534" s="158">
        <v>45516.89261574074</v>
      </c>
    </row>
    <row r="535" spans="2:6" x14ac:dyDescent="0.25">
      <c r="B535" t="s">
        <v>118</v>
      </c>
      <c r="C535" t="s">
        <v>100</v>
      </c>
      <c r="D535" t="s">
        <v>105</v>
      </c>
      <c r="E535" t="s">
        <v>105</v>
      </c>
      <c r="F535" s="158">
        <v>45516.892650462964</v>
      </c>
    </row>
    <row r="536" spans="2:6" x14ac:dyDescent="0.25">
      <c r="B536" t="s">
        <v>118</v>
      </c>
      <c r="C536" t="s">
        <v>106</v>
      </c>
      <c r="D536" t="s">
        <v>91</v>
      </c>
      <c r="E536" t="s">
        <v>105</v>
      </c>
      <c r="F536" s="158">
        <v>45516.892650462964</v>
      </c>
    </row>
    <row r="537" spans="2:6" x14ac:dyDescent="0.25">
      <c r="B537" t="s">
        <v>118</v>
      </c>
      <c r="C537" t="s">
        <v>107</v>
      </c>
      <c r="D537" t="s">
        <v>92</v>
      </c>
      <c r="E537" t="s">
        <v>105</v>
      </c>
      <c r="F537" s="158">
        <v>45516.895057870373</v>
      </c>
    </row>
    <row r="538" spans="2:6" x14ac:dyDescent="0.25">
      <c r="B538" t="s">
        <v>108</v>
      </c>
      <c r="C538" t="s">
        <v>105</v>
      </c>
      <c r="D538" t="s">
        <v>105</v>
      </c>
      <c r="E538" t="s">
        <v>105</v>
      </c>
      <c r="F538" s="158">
        <v>45516.899629629632</v>
      </c>
    </row>
    <row r="539" spans="2:6" x14ac:dyDescent="0.25">
      <c r="B539" t="s">
        <v>109</v>
      </c>
      <c r="C539" t="s">
        <v>105</v>
      </c>
      <c r="D539" t="s">
        <v>105</v>
      </c>
      <c r="E539" t="s">
        <v>105</v>
      </c>
      <c r="F539" s="158">
        <v>45516.899629629632</v>
      </c>
    </row>
    <row r="540" spans="2:6" x14ac:dyDescent="0.25">
      <c r="B540" t="s">
        <v>110</v>
      </c>
      <c r="C540" t="s">
        <v>105</v>
      </c>
      <c r="D540" t="s">
        <v>92</v>
      </c>
      <c r="E540" t="s">
        <v>105</v>
      </c>
      <c r="F540" s="158">
        <v>45516.899629629632</v>
      </c>
    </row>
    <row r="541" spans="2:6" x14ac:dyDescent="0.25">
      <c r="B541" t="s">
        <v>110</v>
      </c>
      <c r="C541" t="s">
        <v>105</v>
      </c>
      <c r="D541" t="s">
        <v>91</v>
      </c>
      <c r="E541" t="s">
        <v>105</v>
      </c>
      <c r="F541" s="158">
        <v>45516.899629629632</v>
      </c>
    </row>
    <row r="542" spans="2:6" x14ac:dyDescent="0.25">
      <c r="B542" t="s">
        <v>102</v>
      </c>
      <c r="C542" t="s">
        <v>100</v>
      </c>
      <c r="D542" t="s">
        <v>100</v>
      </c>
      <c r="E542" t="s">
        <v>103</v>
      </c>
      <c r="F542" s="158">
        <v>45516.899722222224</v>
      </c>
    </row>
    <row r="543" spans="2:6" x14ac:dyDescent="0.25">
      <c r="B543" t="s">
        <v>104</v>
      </c>
      <c r="C543" t="s">
        <v>100</v>
      </c>
      <c r="D543" t="s">
        <v>105</v>
      </c>
      <c r="E543" t="s">
        <v>105</v>
      </c>
      <c r="F543" s="158">
        <v>45516.899756944447</v>
      </c>
    </row>
    <row r="544" spans="2:6" x14ac:dyDescent="0.25">
      <c r="B544" t="s">
        <v>104</v>
      </c>
      <c r="C544" t="s">
        <v>106</v>
      </c>
      <c r="D544" t="s">
        <v>91</v>
      </c>
      <c r="E544" t="s">
        <v>105</v>
      </c>
      <c r="F544" s="158">
        <v>45516.899756944447</v>
      </c>
    </row>
    <row r="545" spans="2:6" x14ac:dyDescent="0.25">
      <c r="B545" t="s">
        <v>104</v>
      </c>
      <c r="C545" t="s">
        <v>107</v>
      </c>
      <c r="D545" t="s">
        <v>92</v>
      </c>
      <c r="E545" t="s">
        <v>105</v>
      </c>
      <c r="F545" s="158">
        <v>45516.899768518517</v>
      </c>
    </row>
    <row r="546" spans="2:6" x14ac:dyDescent="0.25">
      <c r="B546" t="s">
        <v>109</v>
      </c>
      <c r="C546" t="s">
        <v>105</v>
      </c>
      <c r="D546" t="s">
        <v>105</v>
      </c>
      <c r="E546" t="s">
        <v>105</v>
      </c>
      <c r="F546" s="158">
        <v>45516.900439814817</v>
      </c>
    </row>
    <row r="547" spans="2:6" x14ac:dyDescent="0.25">
      <c r="B547" t="s">
        <v>137</v>
      </c>
      <c r="C547" t="s">
        <v>100</v>
      </c>
      <c r="D547" t="s">
        <v>100</v>
      </c>
      <c r="E547" t="s">
        <v>117</v>
      </c>
      <c r="F547" s="158">
        <v>45516.900555555556</v>
      </c>
    </row>
    <row r="548" spans="2:6" x14ac:dyDescent="0.25">
      <c r="B548" t="s">
        <v>118</v>
      </c>
      <c r="C548" t="s">
        <v>100</v>
      </c>
      <c r="D548" t="s">
        <v>105</v>
      </c>
      <c r="E548" t="s">
        <v>105</v>
      </c>
      <c r="F548" s="158">
        <v>45516.900590277779</v>
      </c>
    </row>
    <row r="549" spans="2:6" x14ac:dyDescent="0.25">
      <c r="B549" t="s">
        <v>118</v>
      </c>
      <c r="C549" t="s">
        <v>106</v>
      </c>
      <c r="D549" t="s">
        <v>91</v>
      </c>
      <c r="E549" t="s">
        <v>105</v>
      </c>
      <c r="F549" s="158">
        <v>45516.900590277779</v>
      </c>
    </row>
    <row r="550" spans="2:6" x14ac:dyDescent="0.25">
      <c r="B550" t="s">
        <v>118</v>
      </c>
      <c r="C550" t="s">
        <v>107</v>
      </c>
      <c r="D550" t="s">
        <v>92</v>
      </c>
      <c r="E550" t="s">
        <v>105</v>
      </c>
      <c r="F550" s="158">
        <v>45516.900590277779</v>
      </c>
    </row>
    <row r="551" spans="2:6" x14ac:dyDescent="0.25">
      <c r="B551" t="s">
        <v>108</v>
      </c>
      <c r="C551" t="s">
        <v>105</v>
      </c>
      <c r="D551" t="s">
        <v>105</v>
      </c>
      <c r="E551" t="s">
        <v>105</v>
      </c>
      <c r="F551" s="158">
        <v>45516.902916666666</v>
      </c>
    </row>
    <row r="552" spans="2:6" x14ac:dyDescent="0.25">
      <c r="B552" t="s">
        <v>109</v>
      </c>
      <c r="C552" t="s">
        <v>105</v>
      </c>
      <c r="D552" t="s">
        <v>105</v>
      </c>
      <c r="E552" t="s">
        <v>105</v>
      </c>
      <c r="F552" s="158">
        <v>45516.902916666666</v>
      </c>
    </row>
    <row r="553" spans="2:6" x14ac:dyDescent="0.25">
      <c r="B553" t="s">
        <v>110</v>
      </c>
      <c r="C553" t="s">
        <v>105</v>
      </c>
      <c r="D553" t="s">
        <v>92</v>
      </c>
      <c r="E553" t="s">
        <v>105</v>
      </c>
      <c r="F553" s="158">
        <v>45516.902916666666</v>
      </c>
    </row>
    <row r="554" spans="2:6" x14ac:dyDescent="0.25">
      <c r="B554" t="s">
        <v>110</v>
      </c>
      <c r="C554" t="s">
        <v>105</v>
      </c>
      <c r="D554" t="s">
        <v>91</v>
      </c>
      <c r="E554" t="s">
        <v>105</v>
      </c>
      <c r="F554" s="158">
        <v>45516.902916666666</v>
      </c>
    </row>
    <row r="555" spans="2:6" x14ac:dyDescent="0.25">
      <c r="B555" t="s">
        <v>102</v>
      </c>
      <c r="C555" t="s">
        <v>100</v>
      </c>
      <c r="D555" t="s">
        <v>100</v>
      </c>
      <c r="E555" t="s">
        <v>103</v>
      </c>
      <c r="F555" s="158">
        <v>45516.902997685182</v>
      </c>
    </row>
    <row r="556" spans="2:6" x14ac:dyDescent="0.25">
      <c r="B556" t="s">
        <v>104</v>
      </c>
      <c r="C556" t="s">
        <v>100</v>
      </c>
      <c r="D556" t="s">
        <v>105</v>
      </c>
      <c r="E556" t="s">
        <v>105</v>
      </c>
      <c r="F556" s="158">
        <v>45516.903032407405</v>
      </c>
    </row>
    <row r="557" spans="2:6" x14ac:dyDescent="0.25">
      <c r="B557" t="s">
        <v>104</v>
      </c>
      <c r="C557" t="s">
        <v>106</v>
      </c>
      <c r="D557" t="s">
        <v>91</v>
      </c>
      <c r="E557" t="s">
        <v>105</v>
      </c>
      <c r="F557" s="158">
        <v>45516.903032407405</v>
      </c>
    </row>
    <row r="558" spans="2:6" x14ac:dyDescent="0.25">
      <c r="B558" t="s">
        <v>104</v>
      </c>
      <c r="C558" t="s">
        <v>107</v>
      </c>
      <c r="D558" t="s">
        <v>92</v>
      </c>
      <c r="E558" t="s">
        <v>105</v>
      </c>
      <c r="F558" s="158">
        <v>45516.903032407405</v>
      </c>
    </row>
    <row r="559" spans="2:6" x14ac:dyDescent="0.25">
      <c r="B559" t="s">
        <v>109</v>
      </c>
      <c r="C559" t="s">
        <v>105</v>
      </c>
      <c r="D559" t="s">
        <v>105</v>
      </c>
      <c r="E559" t="s">
        <v>105</v>
      </c>
      <c r="F559" s="158">
        <v>45516.904131944444</v>
      </c>
    </row>
    <row r="560" spans="2:6" x14ac:dyDescent="0.25">
      <c r="B560" t="s">
        <v>137</v>
      </c>
      <c r="C560" t="s">
        <v>100</v>
      </c>
      <c r="D560" t="s">
        <v>100</v>
      </c>
      <c r="E560" t="s">
        <v>117</v>
      </c>
      <c r="F560" s="158">
        <v>45516.904189814813</v>
      </c>
    </row>
    <row r="561" spans="2:6" x14ac:dyDescent="0.25">
      <c r="B561" t="s">
        <v>118</v>
      </c>
      <c r="C561" t="s">
        <v>100</v>
      </c>
      <c r="D561" t="s">
        <v>105</v>
      </c>
      <c r="E561" t="s">
        <v>105</v>
      </c>
      <c r="F561" s="158">
        <v>45516.904224537036</v>
      </c>
    </row>
    <row r="562" spans="2:6" x14ac:dyDescent="0.25">
      <c r="B562" t="s">
        <v>118</v>
      </c>
      <c r="C562" t="s">
        <v>106</v>
      </c>
      <c r="D562" t="s">
        <v>91</v>
      </c>
      <c r="E562" t="s">
        <v>105</v>
      </c>
      <c r="F562" s="158">
        <v>45516.904224537036</v>
      </c>
    </row>
    <row r="563" spans="2:6" x14ac:dyDescent="0.25">
      <c r="B563" t="s">
        <v>118</v>
      </c>
      <c r="C563" t="s">
        <v>107</v>
      </c>
      <c r="D563" t="s">
        <v>92</v>
      </c>
      <c r="E563" t="s">
        <v>105</v>
      </c>
      <c r="F563" s="158">
        <v>45516.904872685183</v>
      </c>
    </row>
    <row r="564" spans="2:6" x14ac:dyDescent="0.25">
      <c r="B564" t="s">
        <v>108</v>
      </c>
      <c r="C564" t="s">
        <v>105</v>
      </c>
      <c r="D564" t="s">
        <v>105</v>
      </c>
      <c r="E564" t="s">
        <v>105</v>
      </c>
      <c r="F564" s="158">
        <v>45516.905821759261</v>
      </c>
    </row>
    <row r="565" spans="2:6" x14ac:dyDescent="0.25">
      <c r="B565" t="s">
        <v>109</v>
      </c>
      <c r="C565" t="s">
        <v>105</v>
      </c>
      <c r="D565" t="s">
        <v>105</v>
      </c>
      <c r="E565" t="s">
        <v>105</v>
      </c>
      <c r="F565" s="158">
        <v>45516.905821759261</v>
      </c>
    </row>
    <row r="566" spans="2:6" x14ac:dyDescent="0.25">
      <c r="B566" t="s">
        <v>110</v>
      </c>
      <c r="C566" t="s">
        <v>105</v>
      </c>
      <c r="D566" t="s">
        <v>92</v>
      </c>
      <c r="E566" t="s">
        <v>105</v>
      </c>
      <c r="F566" s="158">
        <v>45516.905821759261</v>
      </c>
    </row>
    <row r="567" spans="2:6" x14ac:dyDescent="0.25">
      <c r="B567" t="s">
        <v>110</v>
      </c>
      <c r="C567" t="s">
        <v>105</v>
      </c>
      <c r="D567" t="s">
        <v>91</v>
      </c>
      <c r="E567" t="s">
        <v>105</v>
      </c>
      <c r="F567" s="158">
        <v>45516.905821759261</v>
      </c>
    </row>
    <row r="568" spans="2:6" x14ac:dyDescent="0.25">
      <c r="B568" t="s">
        <v>102</v>
      </c>
      <c r="C568" t="s">
        <v>100</v>
      </c>
      <c r="D568" t="s">
        <v>100</v>
      </c>
      <c r="E568" t="s">
        <v>103</v>
      </c>
      <c r="F568" s="158">
        <v>45516.905902777777</v>
      </c>
    </row>
    <row r="569" spans="2:6" x14ac:dyDescent="0.25">
      <c r="B569" t="s">
        <v>104</v>
      </c>
      <c r="C569" t="s">
        <v>100</v>
      </c>
      <c r="D569" t="s">
        <v>105</v>
      </c>
      <c r="E569" t="s">
        <v>105</v>
      </c>
      <c r="F569" s="158">
        <v>45516.9059375</v>
      </c>
    </row>
    <row r="570" spans="2:6" x14ac:dyDescent="0.25">
      <c r="B570" t="s">
        <v>104</v>
      </c>
      <c r="C570" t="s">
        <v>106</v>
      </c>
      <c r="D570" t="s">
        <v>91</v>
      </c>
      <c r="E570" t="s">
        <v>105</v>
      </c>
      <c r="F570" s="158">
        <v>45516.9059375</v>
      </c>
    </row>
    <row r="571" spans="2:6" x14ac:dyDescent="0.25">
      <c r="B571" t="s">
        <v>104</v>
      </c>
      <c r="C571" t="s">
        <v>107</v>
      </c>
      <c r="D571" t="s">
        <v>91</v>
      </c>
      <c r="E571" t="s">
        <v>105</v>
      </c>
      <c r="F571" s="158">
        <v>45516.9059837963</v>
      </c>
    </row>
    <row r="572" spans="2:6" x14ac:dyDescent="0.25">
      <c r="B572" t="s">
        <v>109</v>
      </c>
      <c r="C572" t="s">
        <v>105</v>
      </c>
      <c r="D572" t="s">
        <v>105</v>
      </c>
      <c r="E572" t="s">
        <v>105</v>
      </c>
      <c r="F572" s="158">
        <v>45516.906053240738</v>
      </c>
    </row>
    <row r="573" spans="2:6" x14ac:dyDescent="0.25">
      <c r="B573" t="s">
        <v>137</v>
      </c>
      <c r="C573" t="s">
        <v>100</v>
      </c>
      <c r="D573" t="s">
        <v>100</v>
      </c>
      <c r="E573" t="s">
        <v>117</v>
      </c>
      <c r="F573" s="158">
        <v>45516.906111111108</v>
      </c>
    </row>
    <row r="574" spans="2:6" x14ac:dyDescent="0.25">
      <c r="B574" t="s">
        <v>118</v>
      </c>
      <c r="C574" t="s">
        <v>100</v>
      </c>
      <c r="D574" t="s">
        <v>105</v>
      </c>
      <c r="E574" t="s">
        <v>105</v>
      </c>
      <c r="F574" s="158">
        <v>45516.906145833331</v>
      </c>
    </row>
    <row r="575" spans="2:6" x14ac:dyDescent="0.25">
      <c r="B575" t="s">
        <v>118</v>
      </c>
      <c r="C575" t="s">
        <v>106</v>
      </c>
      <c r="D575" t="s">
        <v>91</v>
      </c>
      <c r="E575" t="s">
        <v>105</v>
      </c>
      <c r="F575" s="158">
        <v>45516.906145833331</v>
      </c>
    </row>
    <row r="576" spans="2:6" x14ac:dyDescent="0.25">
      <c r="B576" t="s">
        <v>118</v>
      </c>
      <c r="C576" t="s">
        <v>107</v>
      </c>
      <c r="D576" t="s">
        <v>91</v>
      </c>
      <c r="E576" t="s">
        <v>105</v>
      </c>
      <c r="F576" s="158">
        <v>45516.906238425923</v>
      </c>
    </row>
    <row r="577" spans="2:6" x14ac:dyDescent="0.25">
      <c r="B577" t="s">
        <v>118</v>
      </c>
      <c r="C577" t="s">
        <v>100</v>
      </c>
      <c r="D577" t="s">
        <v>105</v>
      </c>
      <c r="E577" t="s">
        <v>105</v>
      </c>
      <c r="F577" s="158">
        <v>45516.907326388886</v>
      </c>
    </row>
    <row r="578" spans="2:6" x14ac:dyDescent="0.25">
      <c r="B578" t="s">
        <v>118</v>
      </c>
      <c r="C578" t="s">
        <v>106</v>
      </c>
      <c r="D578" t="s">
        <v>91</v>
      </c>
      <c r="E578" t="s">
        <v>105</v>
      </c>
      <c r="F578" s="158">
        <v>45516.907326388886</v>
      </c>
    </row>
    <row r="579" spans="2:6" x14ac:dyDescent="0.25">
      <c r="B579" t="s">
        <v>118</v>
      </c>
      <c r="C579" t="s">
        <v>100</v>
      </c>
      <c r="D579" t="s">
        <v>105</v>
      </c>
      <c r="E579" t="s">
        <v>105</v>
      </c>
      <c r="F579" s="158">
        <v>45516.908807870372</v>
      </c>
    </row>
    <row r="580" spans="2:6" x14ac:dyDescent="0.25">
      <c r="B580" t="s">
        <v>118</v>
      </c>
      <c r="C580" t="s">
        <v>106</v>
      </c>
      <c r="D580" t="s">
        <v>91</v>
      </c>
      <c r="E580" t="s">
        <v>105</v>
      </c>
      <c r="F580" s="158">
        <v>45516.908807870372</v>
      </c>
    </row>
    <row r="581" spans="2:6" x14ac:dyDescent="0.25">
      <c r="B581" t="s">
        <v>118</v>
      </c>
      <c r="C581" t="s">
        <v>100</v>
      </c>
      <c r="D581" t="s">
        <v>105</v>
      </c>
      <c r="E581" t="s">
        <v>105</v>
      </c>
      <c r="F581" s="158">
        <v>45516.909780092596</v>
      </c>
    </row>
    <row r="582" spans="2:6" x14ac:dyDescent="0.25">
      <c r="B582" t="s">
        <v>118</v>
      </c>
      <c r="C582" t="s">
        <v>106</v>
      </c>
      <c r="D582" t="s">
        <v>91</v>
      </c>
      <c r="E582" t="s">
        <v>105</v>
      </c>
      <c r="F582" s="158">
        <v>45516.909791666665</v>
      </c>
    </row>
    <row r="583" spans="2:6" x14ac:dyDescent="0.25">
      <c r="B583" t="s">
        <v>118</v>
      </c>
      <c r="C583" t="s">
        <v>100</v>
      </c>
      <c r="D583" t="s">
        <v>105</v>
      </c>
      <c r="E583" t="s">
        <v>105</v>
      </c>
      <c r="F583" s="158">
        <v>45516.911261574074</v>
      </c>
    </row>
    <row r="584" spans="2:6" x14ac:dyDescent="0.25">
      <c r="B584" t="s">
        <v>118</v>
      </c>
      <c r="C584" t="s">
        <v>106</v>
      </c>
      <c r="D584" t="s">
        <v>91</v>
      </c>
      <c r="E584" t="s">
        <v>105</v>
      </c>
      <c r="F584" s="158">
        <v>45516.911261574074</v>
      </c>
    </row>
    <row r="585" spans="2:6" x14ac:dyDescent="0.25">
      <c r="B585" t="s">
        <v>118</v>
      </c>
      <c r="C585" t="s">
        <v>100</v>
      </c>
      <c r="D585" t="s">
        <v>105</v>
      </c>
      <c r="E585" t="s">
        <v>105</v>
      </c>
      <c r="F585" s="158">
        <v>45516.914641203701</v>
      </c>
    </row>
    <row r="586" spans="2:6" x14ac:dyDescent="0.25">
      <c r="B586" t="s">
        <v>118</v>
      </c>
      <c r="C586" t="s">
        <v>106</v>
      </c>
      <c r="D586" t="s">
        <v>91</v>
      </c>
      <c r="E586" t="s">
        <v>105</v>
      </c>
      <c r="F586" s="158">
        <v>45516.914641203701</v>
      </c>
    </row>
    <row r="587" spans="2:6" x14ac:dyDescent="0.25">
      <c r="B587" t="s">
        <v>118</v>
      </c>
      <c r="C587" t="s">
        <v>107</v>
      </c>
      <c r="D587" t="s">
        <v>91</v>
      </c>
      <c r="E587" t="s">
        <v>105</v>
      </c>
      <c r="F587" s="158">
        <v>45516.915370370371</v>
      </c>
    </row>
    <row r="588" spans="2:6" x14ac:dyDescent="0.25">
      <c r="B588" t="s">
        <v>108</v>
      </c>
      <c r="C588" t="s">
        <v>105</v>
      </c>
      <c r="D588" t="s">
        <v>105</v>
      </c>
      <c r="E588" t="s">
        <v>105</v>
      </c>
      <c r="F588" s="158">
        <v>45516.915648148148</v>
      </c>
    </row>
    <row r="589" spans="2:6" x14ac:dyDescent="0.25">
      <c r="B589" t="s">
        <v>109</v>
      </c>
      <c r="C589" t="s">
        <v>105</v>
      </c>
      <c r="D589" t="s">
        <v>105</v>
      </c>
      <c r="E589" t="s">
        <v>105</v>
      </c>
      <c r="F589" s="158">
        <v>45516.915648148148</v>
      </c>
    </row>
    <row r="590" spans="2:6" x14ac:dyDescent="0.25">
      <c r="B590" t="s">
        <v>110</v>
      </c>
      <c r="C590" t="s">
        <v>105</v>
      </c>
      <c r="D590" t="s">
        <v>92</v>
      </c>
      <c r="E590" t="s">
        <v>105</v>
      </c>
      <c r="F590" s="158">
        <v>45516.915648148148</v>
      </c>
    </row>
    <row r="591" spans="2:6" x14ac:dyDescent="0.25">
      <c r="B591" t="s">
        <v>110</v>
      </c>
      <c r="C591" t="s">
        <v>105</v>
      </c>
      <c r="D591" t="s">
        <v>91</v>
      </c>
      <c r="E591" t="s">
        <v>105</v>
      </c>
      <c r="F591" s="158">
        <v>45516.915648148148</v>
      </c>
    </row>
    <row r="592" spans="2:6" x14ac:dyDescent="0.25">
      <c r="B592" t="s">
        <v>102</v>
      </c>
      <c r="C592" t="s">
        <v>100</v>
      </c>
      <c r="D592" t="s">
        <v>100</v>
      </c>
      <c r="E592" t="s">
        <v>103</v>
      </c>
      <c r="F592" s="158">
        <v>45516.916446759256</v>
      </c>
    </row>
    <row r="593" spans="2:6" x14ac:dyDescent="0.25">
      <c r="B593" t="s">
        <v>104</v>
      </c>
      <c r="C593" t="s">
        <v>100</v>
      </c>
      <c r="D593" t="s">
        <v>105</v>
      </c>
      <c r="E593" t="s">
        <v>105</v>
      </c>
      <c r="F593" s="158">
        <v>45516.91646990741</v>
      </c>
    </row>
    <row r="594" spans="2:6" x14ac:dyDescent="0.25">
      <c r="B594" t="s">
        <v>104</v>
      </c>
      <c r="C594" t="s">
        <v>106</v>
      </c>
      <c r="D594" t="s">
        <v>91</v>
      </c>
      <c r="E594" t="s">
        <v>105</v>
      </c>
      <c r="F594" s="158">
        <v>45516.91646990741</v>
      </c>
    </row>
    <row r="595" spans="2:6" x14ac:dyDescent="0.25">
      <c r="B595" t="s">
        <v>104</v>
      </c>
      <c r="C595" t="s">
        <v>107</v>
      </c>
      <c r="D595" t="s">
        <v>92</v>
      </c>
      <c r="E595" t="s">
        <v>105</v>
      </c>
      <c r="F595" s="158">
        <v>45516.916481481479</v>
      </c>
    </row>
    <row r="596" spans="2:6" x14ac:dyDescent="0.25">
      <c r="B596" t="s">
        <v>109</v>
      </c>
      <c r="C596" t="s">
        <v>105</v>
      </c>
      <c r="D596" t="s">
        <v>105</v>
      </c>
      <c r="E596" t="s">
        <v>105</v>
      </c>
      <c r="F596" s="158">
        <v>45516.916550925926</v>
      </c>
    </row>
    <row r="597" spans="2:6" x14ac:dyDescent="0.25">
      <c r="B597" t="s">
        <v>137</v>
      </c>
      <c r="C597" t="s">
        <v>100</v>
      </c>
      <c r="D597" t="s">
        <v>100</v>
      </c>
      <c r="E597" t="s">
        <v>117</v>
      </c>
      <c r="F597" s="158">
        <v>45516.916597222225</v>
      </c>
    </row>
    <row r="598" spans="2:6" x14ac:dyDescent="0.25">
      <c r="B598" t="s">
        <v>118</v>
      </c>
      <c r="C598" t="s">
        <v>100</v>
      </c>
      <c r="D598" t="s">
        <v>105</v>
      </c>
      <c r="E598" t="s">
        <v>105</v>
      </c>
      <c r="F598" s="158">
        <v>45516.916620370372</v>
      </c>
    </row>
    <row r="599" spans="2:6" x14ac:dyDescent="0.25">
      <c r="B599" t="s">
        <v>118</v>
      </c>
      <c r="C599" t="s">
        <v>106</v>
      </c>
      <c r="D599" t="s">
        <v>91</v>
      </c>
      <c r="E599" t="s">
        <v>105</v>
      </c>
      <c r="F599" s="158">
        <v>45516.916620370372</v>
      </c>
    </row>
    <row r="600" spans="2:6" x14ac:dyDescent="0.25">
      <c r="B600" t="s">
        <v>118</v>
      </c>
      <c r="C600" t="s">
        <v>107</v>
      </c>
      <c r="D600" t="s">
        <v>92</v>
      </c>
      <c r="E600" t="s">
        <v>105</v>
      </c>
      <c r="F600" s="158">
        <v>45516.916620370372</v>
      </c>
    </row>
    <row r="601" spans="2:6" x14ac:dyDescent="0.25">
      <c r="B601" t="s">
        <v>109</v>
      </c>
      <c r="C601" t="s">
        <v>105</v>
      </c>
      <c r="D601" t="s">
        <v>105</v>
      </c>
      <c r="E601" t="s">
        <v>105</v>
      </c>
      <c r="F601" s="158">
        <v>45516.919456018521</v>
      </c>
    </row>
    <row r="602" spans="2:6" x14ac:dyDescent="0.25">
      <c r="B602" t="s">
        <v>137</v>
      </c>
      <c r="C602" t="s">
        <v>100</v>
      </c>
      <c r="D602" t="s">
        <v>100</v>
      </c>
      <c r="E602" t="s">
        <v>117</v>
      </c>
      <c r="F602" s="158">
        <v>45516.919502314813</v>
      </c>
    </row>
    <row r="603" spans="2:6" x14ac:dyDescent="0.25">
      <c r="B603" t="s">
        <v>118</v>
      </c>
      <c r="C603" t="s">
        <v>100</v>
      </c>
      <c r="D603" t="s">
        <v>105</v>
      </c>
      <c r="E603" t="s">
        <v>105</v>
      </c>
      <c r="F603" s="158">
        <v>45516.919525462959</v>
      </c>
    </row>
    <row r="604" spans="2:6" x14ac:dyDescent="0.25">
      <c r="B604" t="s">
        <v>118</v>
      </c>
      <c r="C604" t="s">
        <v>106</v>
      </c>
      <c r="D604" t="s">
        <v>91</v>
      </c>
      <c r="E604" t="s">
        <v>105</v>
      </c>
      <c r="F604" s="158">
        <v>45516.919525462959</v>
      </c>
    </row>
    <row r="605" spans="2:6" x14ac:dyDescent="0.25">
      <c r="B605" t="s">
        <v>118</v>
      </c>
      <c r="C605" t="s">
        <v>107</v>
      </c>
      <c r="D605" t="s">
        <v>91</v>
      </c>
      <c r="E605" t="s">
        <v>105</v>
      </c>
      <c r="F605" s="158">
        <v>45516.919525462959</v>
      </c>
    </row>
    <row r="606" spans="2:6" x14ac:dyDescent="0.25">
      <c r="B606" t="s">
        <v>108</v>
      </c>
      <c r="C606" t="s">
        <v>105</v>
      </c>
      <c r="D606" t="s">
        <v>105</v>
      </c>
      <c r="E606" t="s">
        <v>105</v>
      </c>
      <c r="F606" s="158">
        <v>45516.919675925928</v>
      </c>
    </row>
    <row r="607" spans="2:6" x14ac:dyDescent="0.25">
      <c r="B607" t="s">
        <v>109</v>
      </c>
      <c r="C607" t="s">
        <v>105</v>
      </c>
      <c r="D607" t="s">
        <v>105</v>
      </c>
      <c r="E607" t="s">
        <v>105</v>
      </c>
      <c r="F607" s="158">
        <v>45516.919675925928</v>
      </c>
    </row>
    <row r="608" spans="2:6" x14ac:dyDescent="0.25">
      <c r="B608" t="s">
        <v>110</v>
      </c>
      <c r="C608" t="s">
        <v>105</v>
      </c>
      <c r="D608" t="s">
        <v>92</v>
      </c>
      <c r="E608" t="s">
        <v>105</v>
      </c>
      <c r="F608" s="158">
        <v>45516.919675925928</v>
      </c>
    </row>
    <row r="609" spans="2:6" x14ac:dyDescent="0.25">
      <c r="B609" t="s">
        <v>110</v>
      </c>
      <c r="C609" t="s">
        <v>105</v>
      </c>
      <c r="D609" t="s">
        <v>91</v>
      </c>
      <c r="E609" t="s">
        <v>105</v>
      </c>
      <c r="F609" s="158">
        <v>45516.919675925928</v>
      </c>
    </row>
    <row r="610" spans="2:6" x14ac:dyDescent="0.25">
      <c r="B610" t="s">
        <v>102</v>
      </c>
      <c r="C610" t="s">
        <v>100</v>
      </c>
      <c r="D610" t="s">
        <v>100</v>
      </c>
      <c r="E610" t="s">
        <v>103</v>
      </c>
      <c r="F610" s="158">
        <v>45516.919791666667</v>
      </c>
    </row>
    <row r="611" spans="2:6" x14ac:dyDescent="0.25">
      <c r="B611" t="s">
        <v>104</v>
      </c>
      <c r="C611" t="s">
        <v>100</v>
      </c>
      <c r="D611" t="s">
        <v>105</v>
      </c>
      <c r="E611" t="s">
        <v>105</v>
      </c>
      <c r="F611" s="158">
        <v>45516.91982638889</v>
      </c>
    </row>
    <row r="612" spans="2:6" x14ac:dyDescent="0.25">
      <c r="B612" t="s">
        <v>104</v>
      </c>
      <c r="C612" t="s">
        <v>106</v>
      </c>
      <c r="D612" t="s">
        <v>91</v>
      </c>
      <c r="E612" t="s">
        <v>105</v>
      </c>
      <c r="F612" s="158">
        <v>45516.91982638889</v>
      </c>
    </row>
    <row r="613" spans="2:6" x14ac:dyDescent="0.25">
      <c r="B613" t="s">
        <v>104</v>
      </c>
      <c r="C613" t="s">
        <v>107</v>
      </c>
      <c r="D613" t="s">
        <v>91</v>
      </c>
      <c r="E613" t="s">
        <v>105</v>
      </c>
      <c r="F613" s="158">
        <v>45516.91982638889</v>
      </c>
    </row>
    <row r="614" spans="2:6" x14ac:dyDescent="0.25">
      <c r="B614" t="s">
        <v>108</v>
      </c>
      <c r="C614" t="s">
        <v>105</v>
      </c>
      <c r="D614" t="s">
        <v>105</v>
      </c>
      <c r="E614" t="s">
        <v>105</v>
      </c>
      <c r="F614" s="158">
        <v>45516.919976851852</v>
      </c>
    </row>
    <row r="615" spans="2:6" x14ac:dyDescent="0.25">
      <c r="B615" t="s">
        <v>109</v>
      </c>
      <c r="C615" t="s">
        <v>105</v>
      </c>
      <c r="D615" t="s">
        <v>105</v>
      </c>
      <c r="E615" t="s">
        <v>105</v>
      </c>
      <c r="F615" s="158">
        <v>45516.919976851852</v>
      </c>
    </row>
    <row r="616" spans="2:6" x14ac:dyDescent="0.25">
      <c r="B616" t="s">
        <v>110</v>
      </c>
      <c r="C616" t="s">
        <v>105</v>
      </c>
      <c r="D616" t="s">
        <v>92</v>
      </c>
      <c r="E616" t="s">
        <v>105</v>
      </c>
      <c r="F616" s="158">
        <v>45516.919976851852</v>
      </c>
    </row>
    <row r="617" spans="2:6" x14ac:dyDescent="0.25">
      <c r="B617" t="s">
        <v>110</v>
      </c>
      <c r="C617" t="s">
        <v>105</v>
      </c>
      <c r="D617" t="s">
        <v>91</v>
      </c>
      <c r="E617" t="s">
        <v>105</v>
      </c>
      <c r="F617" s="158">
        <v>45516.919976851852</v>
      </c>
    </row>
    <row r="618" spans="2:6" x14ac:dyDescent="0.25">
      <c r="B618" t="s">
        <v>102</v>
      </c>
      <c r="C618" t="s">
        <v>100</v>
      </c>
      <c r="D618" t="s">
        <v>100</v>
      </c>
      <c r="E618" t="s">
        <v>103</v>
      </c>
      <c r="F618" s="158">
        <v>45516.920023148145</v>
      </c>
    </row>
    <row r="619" spans="2:6" x14ac:dyDescent="0.25">
      <c r="B619" t="s">
        <v>104</v>
      </c>
      <c r="C619" t="s">
        <v>100</v>
      </c>
      <c r="D619" t="s">
        <v>105</v>
      </c>
      <c r="E619" t="s">
        <v>105</v>
      </c>
      <c r="F619" s="158">
        <v>45516.920057870368</v>
      </c>
    </row>
    <row r="620" spans="2:6" x14ac:dyDescent="0.25">
      <c r="B620" t="s">
        <v>104</v>
      </c>
      <c r="C620" t="s">
        <v>106</v>
      </c>
      <c r="D620" t="s">
        <v>91</v>
      </c>
      <c r="E620" t="s">
        <v>105</v>
      </c>
      <c r="F620" s="158">
        <v>45516.920057870368</v>
      </c>
    </row>
    <row r="621" spans="2:6" x14ac:dyDescent="0.25">
      <c r="B621" t="s">
        <v>104</v>
      </c>
      <c r="C621" t="s">
        <v>107</v>
      </c>
      <c r="D621" t="s">
        <v>92</v>
      </c>
      <c r="E621" t="s">
        <v>105</v>
      </c>
      <c r="F621" s="158">
        <v>45516.920057870368</v>
      </c>
    </row>
    <row r="622" spans="2:6" x14ac:dyDescent="0.25">
      <c r="B622" t="s">
        <v>109</v>
      </c>
      <c r="C622" t="s">
        <v>105</v>
      </c>
      <c r="D622" t="s">
        <v>105</v>
      </c>
      <c r="E622" t="s">
        <v>105</v>
      </c>
      <c r="F622" s="158">
        <v>45516.920162037037</v>
      </c>
    </row>
    <row r="623" spans="2:6" x14ac:dyDescent="0.25">
      <c r="B623" t="s">
        <v>137</v>
      </c>
      <c r="C623" t="s">
        <v>100</v>
      </c>
      <c r="D623" t="s">
        <v>100</v>
      </c>
      <c r="E623" t="s">
        <v>117</v>
      </c>
      <c r="F623" s="158">
        <v>45516.920243055552</v>
      </c>
    </row>
    <row r="624" spans="2:6" x14ac:dyDescent="0.25">
      <c r="B624" t="s">
        <v>118</v>
      </c>
      <c r="C624" t="s">
        <v>100</v>
      </c>
      <c r="D624" t="s">
        <v>105</v>
      </c>
      <c r="E624" t="s">
        <v>105</v>
      </c>
      <c r="F624" s="158">
        <v>45516.920266203706</v>
      </c>
    </row>
    <row r="625" spans="2:6" x14ac:dyDescent="0.25">
      <c r="B625" t="s">
        <v>118</v>
      </c>
      <c r="C625" t="s">
        <v>106</v>
      </c>
      <c r="D625" t="s">
        <v>91</v>
      </c>
      <c r="E625" t="s">
        <v>105</v>
      </c>
      <c r="F625" s="158">
        <v>45516.920266203706</v>
      </c>
    </row>
    <row r="626" spans="2:6" x14ac:dyDescent="0.25">
      <c r="B626" t="s">
        <v>118</v>
      </c>
      <c r="C626" t="s">
        <v>107</v>
      </c>
      <c r="D626" t="s">
        <v>92</v>
      </c>
      <c r="E626" t="s">
        <v>105</v>
      </c>
      <c r="F626" s="158">
        <v>45516.920266203706</v>
      </c>
    </row>
    <row r="627" spans="2:6" x14ac:dyDescent="0.25">
      <c r="B627" t="s">
        <v>109</v>
      </c>
      <c r="C627" t="s">
        <v>105</v>
      </c>
      <c r="D627" t="s">
        <v>105</v>
      </c>
      <c r="E627" t="s">
        <v>105</v>
      </c>
      <c r="F627" s="158">
        <v>45516.920393518521</v>
      </c>
    </row>
    <row r="628" spans="2:6" x14ac:dyDescent="0.25">
      <c r="B628" t="s">
        <v>138</v>
      </c>
      <c r="C628" t="s">
        <v>100</v>
      </c>
      <c r="D628" t="s">
        <v>100</v>
      </c>
      <c r="E628" t="s">
        <v>120</v>
      </c>
      <c r="F628" s="158">
        <v>45516.920451388891</v>
      </c>
    </row>
    <row r="629" spans="2:6" x14ac:dyDescent="0.25">
      <c r="B629" t="s">
        <v>121</v>
      </c>
      <c r="C629" t="s">
        <v>100</v>
      </c>
      <c r="D629" t="s">
        <v>105</v>
      </c>
      <c r="E629" t="s">
        <v>105</v>
      </c>
      <c r="F629" s="158">
        <v>45516.920486111114</v>
      </c>
    </row>
    <row r="630" spans="2:6" x14ac:dyDescent="0.25">
      <c r="B630" t="s">
        <v>121</v>
      </c>
      <c r="C630" t="s">
        <v>106</v>
      </c>
      <c r="D630" t="s">
        <v>91</v>
      </c>
      <c r="E630" t="s">
        <v>105</v>
      </c>
      <c r="F630" s="158">
        <v>45516.920486111114</v>
      </c>
    </row>
    <row r="631" spans="2:6" x14ac:dyDescent="0.25">
      <c r="B631" t="s">
        <v>121</v>
      </c>
      <c r="C631" t="s">
        <v>107</v>
      </c>
      <c r="D631" t="s">
        <v>92</v>
      </c>
      <c r="E631" t="s">
        <v>105</v>
      </c>
      <c r="F631" s="158">
        <v>45516.920486111114</v>
      </c>
    </row>
    <row r="632" spans="2:6" x14ac:dyDescent="0.25">
      <c r="B632" t="s">
        <v>109</v>
      </c>
      <c r="C632" t="s">
        <v>105</v>
      </c>
      <c r="D632" t="s">
        <v>105</v>
      </c>
      <c r="E632" t="s">
        <v>105</v>
      </c>
      <c r="F632" s="158">
        <v>45516.920636574076</v>
      </c>
    </row>
    <row r="633" spans="2:6" x14ac:dyDescent="0.25">
      <c r="B633" t="s">
        <v>139</v>
      </c>
      <c r="C633" t="s">
        <v>100</v>
      </c>
      <c r="D633" t="s">
        <v>100</v>
      </c>
      <c r="E633" t="s">
        <v>123</v>
      </c>
      <c r="F633" s="158">
        <v>45516.920717592591</v>
      </c>
    </row>
    <row r="634" spans="2:6" x14ac:dyDescent="0.25">
      <c r="B634" t="s">
        <v>124</v>
      </c>
      <c r="C634" t="s">
        <v>100</v>
      </c>
      <c r="D634" t="s">
        <v>105</v>
      </c>
      <c r="E634" t="s">
        <v>105</v>
      </c>
      <c r="F634" s="158">
        <v>45516.920752314814</v>
      </c>
    </row>
    <row r="635" spans="2:6" x14ac:dyDescent="0.25">
      <c r="B635" t="s">
        <v>124</v>
      </c>
      <c r="C635" t="s">
        <v>106</v>
      </c>
      <c r="D635" t="s">
        <v>91</v>
      </c>
      <c r="E635" t="s">
        <v>105</v>
      </c>
      <c r="F635" s="158">
        <v>45516.920752314814</v>
      </c>
    </row>
    <row r="636" spans="2:6" x14ac:dyDescent="0.25">
      <c r="B636" t="s">
        <v>124</v>
      </c>
      <c r="C636" t="s">
        <v>107</v>
      </c>
      <c r="D636" t="s">
        <v>92</v>
      </c>
      <c r="E636" t="s">
        <v>105</v>
      </c>
      <c r="F636" s="158">
        <v>45516.920752314814</v>
      </c>
    </row>
    <row r="637" spans="2:6" x14ac:dyDescent="0.25">
      <c r="B637" t="s">
        <v>109</v>
      </c>
      <c r="C637" t="s">
        <v>105</v>
      </c>
      <c r="D637" t="s">
        <v>105</v>
      </c>
      <c r="E637" t="s">
        <v>105</v>
      </c>
      <c r="F637" s="158">
        <v>45516.920775462961</v>
      </c>
    </row>
    <row r="638" spans="2:6" x14ac:dyDescent="0.25">
      <c r="B638" t="s">
        <v>140</v>
      </c>
      <c r="C638" t="s">
        <v>100</v>
      </c>
      <c r="D638" t="s">
        <v>100</v>
      </c>
      <c r="E638" t="s">
        <v>126</v>
      </c>
      <c r="F638" s="158">
        <v>45516.92087962963</v>
      </c>
    </row>
    <row r="639" spans="2:6" x14ac:dyDescent="0.25">
      <c r="B639" t="s">
        <v>127</v>
      </c>
      <c r="C639" t="s">
        <v>100</v>
      </c>
      <c r="D639" t="s">
        <v>105</v>
      </c>
      <c r="E639" t="s">
        <v>105</v>
      </c>
      <c r="F639" s="158">
        <v>45516.920914351853</v>
      </c>
    </row>
    <row r="640" spans="2:6" x14ac:dyDescent="0.25">
      <c r="B640" t="s">
        <v>127</v>
      </c>
      <c r="C640" t="s">
        <v>106</v>
      </c>
      <c r="D640" t="s">
        <v>91</v>
      </c>
      <c r="E640" t="s">
        <v>105</v>
      </c>
      <c r="F640" s="158">
        <v>45516.920914351853</v>
      </c>
    </row>
    <row r="641" spans="2:6" x14ac:dyDescent="0.25">
      <c r="B641" t="s">
        <v>127</v>
      </c>
      <c r="C641" t="s">
        <v>107</v>
      </c>
      <c r="D641" t="s">
        <v>92</v>
      </c>
      <c r="E641" t="s">
        <v>105</v>
      </c>
      <c r="F641" s="158">
        <v>45516.920914351853</v>
      </c>
    </row>
    <row r="642" spans="2:6" x14ac:dyDescent="0.25">
      <c r="B642" t="s">
        <v>109</v>
      </c>
      <c r="C642" t="s">
        <v>105</v>
      </c>
      <c r="D642" t="s">
        <v>105</v>
      </c>
      <c r="E642" t="s">
        <v>105</v>
      </c>
      <c r="F642" s="158">
        <v>45516.920983796299</v>
      </c>
    </row>
    <row r="643" spans="2:6" x14ac:dyDescent="0.25">
      <c r="B643" t="s">
        <v>141</v>
      </c>
      <c r="C643" t="s">
        <v>100</v>
      </c>
      <c r="D643" t="s">
        <v>100</v>
      </c>
      <c r="E643" t="s">
        <v>129</v>
      </c>
      <c r="F643" s="158">
        <v>45516.921053240738</v>
      </c>
    </row>
    <row r="644" spans="2:6" x14ac:dyDescent="0.25">
      <c r="B644" t="s">
        <v>130</v>
      </c>
      <c r="C644" t="s">
        <v>100</v>
      </c>
      <c r="D644" t="s">
        <v>105</v>
      </c>
      <c r="E644" t="s">
        <v>105</v>
      </c>
      <c r="F644" s="158">
        <v>45516.921076388891</v>
      </c>
    </row>
    <row r="645" spans="2:6" x14ac:dyDescent="0.25">
      <c r="B645" t="s">
        <v>130</v>
      </c>
      <c r="C645" t="s">
        <v>106</v>
      </c>
      <c r="D645" t="s">
        <v>91</v>
      </c>
      <c r="E645" t="s">
        <v>105</v>
      </c>
      <c r="F645" s="158">
        <v>45516.921076388891</v>
      </c>
    </row>
    <row r="646" spans="2:6" x14ac:dyDescent="0.25">
      <c r="B646" t="s">
        <v>130</v>
      </c>
      <c r="C646" t="s">
        <v>107</v>
      </c>
      <c r="D646" t="s">
        <v>92</v>
      </c>
      <c r="E646" t="s">
        <v>105</v>
      </c>
      <c r="F646" s="158">
        <v>45516.921076388891</v>
      </c>
    </row>
    <row r="647" spans="2:6" x14ac:dyDescent="0.25">
      <c r="B647" t="s">
        <v>109</v>
      </c>
      <c r="C647" t="s">
        <v>105</v>
      </c>
      <c r="D647" t="s">
        <v>105</v>
      </c>
      <c r="E647" t="s">
        <v>105</v>
      </c>
      <c r="F647" s="158">
        <v>45516.921863425923</v>
      </c>
    </row>
    <row r="648" spans="2:6" x14ac:dyDescent="0.25">
      <c r="B648" t="s">
        <v>134</v>
      </c>
      <c r="C648" t="s">
        <v>100</v>
      </c>
      <c r="D648" t="s">
        <v>100</v>
      </c>
      <c r="E648" t="s">
        <v>132</v>
      </c>
      <c r="F648" s="158">
        <v>45516.921932870369</v>
      </c>
    </row>
    <row r="649" spans="2:6" x14ac:dyDescent="0.25">
      <c r="B649" t="s">
        <v>133</v>
      </c>
      <c r="C649" t="s">
        <v>100</v>
      </c>
      <c r="D649" t="s">
        <v>105</v>
      </c>
      <c r="E649" t="s">
        <v>105</v>
      </c>
      <c r="F649" s="158">
        <v>45516.921967592592</v>
      </c>
    </row>
    <row r="650" spans="2:6" x14ac:dyDescent="0.25">
      <c r="B650" t="s">
        <v>133</v>
      </c>
      <c r="C650" t="s">
        <v>106</v>
      </c>
      <c r="D650" t="s">
        <v>91</v>
      </c>
      <c r="E650" t="s">
        <v>105</v>
      </c>
      <c r="F650" s="158">
        <v>45516.921967592592</v>
      </c>
    </row>
    <row r="651" spans="2:6" x14ac:dyDescent="0.25">
      <c r="B651" t="s">
        <v>133</v>
      </c>
      <c r="C651" t="s">
        <v>107</v>
      </c>
      <c r="D651" t="s">
        <v>92</v>
      </c>
      <c r="E651" t="s">
        <v>105</v>
      </c>
      <c r="F651" s="158">
        <v>45516.921967592592</v>
      </c>
    </row>
    <row r="652" spans="2:6" x14ac:dyDescent="0.25">
      <c r="B652" t="s">
        <v>108</v>
      </c>
      <c r="C652" t="s">
        <v>105</v>
      </c>
      <c r="D652" t="s">
        <v>105</v>
      </c>
      <c r="E652" t="s">
        <v>105</v>
      </c>
      <c r="F652" s="158">
        <v>45516.92260416667</v>
      </c>
    </row>
    <row r="653" spans="2:6" x14ac:dyDescent="0.25">
      <c r="B653" t="s">
        <v>109</v>
      </c>
      <c r="C653" t="s">
        <v>105</v>
      </c>
      <c r="D653" t="s">
        <v>105</v>
      </c>
      <c r="E653" t="s">
        <v>105</v>
      </c>
      <c r="F653" s="158">
        <v>45516.92260416667</v>
      </c>
    </row>
    <row r="654" spans="2:6" x14ac:dyDescent="0.25">
      <c r="B654" t="s">
        <v>110</v>
      </c>
      <c r="C654" t="s">
        <v>105</v>
      </c>
      <c r="D654" t="s">
        <v>92</v>
      </c>
      <c r="E654" t="s">
        <v>105</v>
      </c>
      <c r="F654" s="158">
        <v>45516.92260416667</v>
      </c>
    </row>
    <row r="655" spans="2:6" x14ac:dyDescent="0.25">
      <c r="B655" t="s">
        <v>110</v>
      </c>
      <c r="C655" t="s">
        <v>105</v>
      </c>
      <c r="D655" t="s">
        <v>91</v>
      </c>
      <c r="E655" t="s">
        <v>105</v>
      </c>
      <c r="F655" s="158">
        <v>45516.92260416667</v>
      </c>
    </row>
    <row r="656" spans="2:6" x14ac:dyDescent="0.25">
      <c r="B656" t="s">
        <v>113</v>
      </c>
      <c r="C656" t="s">
        <v>105</v>
      </c>
      <c r="D656" t="s">
        <v>105</v>
      </c>
      <c r="E656" t="s">
        <v>114</v>
      </c>
      <c r="F656" s="158">
        <v>45516.922696759262</v>
      </c>
    </row>
    <row r="657" spans="2:6" x14ac:dyDescent="0.25">
      <c r="B657" t="s">
        <v>111</v>
      </c>
      <c r="C657" t="s">
        <v>105</v>
      </c>
      <c r="D657" t="s">
        <v>105</v>
      </c>
      <c r="E657" t="s">
        <v>105</v>
      </c>
      <c r="F657" s="158">
        <v>45516.922696759262</v>
      </c>
    </row>
    <row r="658" spans="2:6" x14ac:dyDescent="0.25">
      <c r="B658" t="s">
        <v>109</v>
      </c>
      <c r="C658" t="s">
        <v>105</v>
      </c>
      <c r="D658" t="s">
        <v>105</v>
      </c>
      <c r="E658" t="s">
        <v>105</v>
      </c>
      <c r="F658" s="158">
        <v>45516.922696759262</v>
      </c>
    </row>
    <row r="659" spans="2:6" x14ac:dyDescent="0.25">
      <c r="B659" t="s">
        <v>115</v>
      </c>
      <c r="C659" t="s">
        <v>100</v>
      </c>
      <c r="D659" t="s">
        <v>100</v>
      </c>
      <c r="E659" t="s">
        <v>103</v>
      </c>
      <c r="F659" s="158">
        <v>45516.922696759262</v>
      </c>
    </row>
    <row r="660" spans="2:6" x14ac:dyDescent="0.25">
      <c r="B660" t="s">
        <v>104</v>
      </c>
      <c r="C660" t="s">
        <v>100</v>
      </c>
      <c r="D660" t="s">
        <v>105</v>
      </c>
      <c r="E660" t="s">
        <v>105</v>
      </c>
      <c r="F660" s="158">
        <v>45516.922719907408</v>
      </c>
    </row>
    <row r="661" spans="2:6" x14ac:dyDescent="0.25">
      <c r="B661" t="s">
        <v>104</v>
      </c>
      <c r="C661" t="s">
        <v>106</v>
      </c>
      <c r="D661" t="s">
        <v>91</v>
      </c>
      <c r="E661" t="s">
        <v>105</v>
      </c>
      <c r="F661" s="158">
        <v>45516.922719907408</v>
      </c>
    </row>
    <row r="662" spans="2:6" x14ac:dyDescent="0.25">
      <c r="B662" t="s">
        <v>104</v>
      </c>
      <c r="C662" t="s">
        <v>107</v>
      </c>
      <c r="D662" t="s">
        <v>92</v>
      </c>
      <c r="E662" t="s">
        <v>105</v>
      </c>
      <c r="F662" s="158">
        <v>45516.922731481478</v>
      </c>
    </row>
    <row r="663" spans="2:6" x14ac:dyDescent="0.25">
      <c r="B663" t="s">
        <v>111</v>
      </c>
      <c r="C663" t="s">
        <v>105</v>
      </c>
      <c r="D663" t="s">
        <v>105</v>
      </c>
      <c r="E663" t="s">
        <v>105</v>
      </c>
      <c r="F663" s="158">
        <v>45516.922743055555</v>
      </c>
    </row>
    <row r="664" spans="2:6" x14ac:dyDescent="0.25">
      <c r="B664" t="s">
        <v>109</v>
      </c>
      <c r="C664" t="s">
        <v>105</v>
      </c>
      <c r="D664" t="s">
        <v>105</v>
      </c>
      <c r="E664" t="s">
        <v>105</v>
      </c>
      <c r="F664" s="158">
        <v>45516.922743055555</v>
      </c>
    </row>
    <row r="665" spans="2:6" x14ac:dyDescent="0.25">
      <c r="B665" t="s">
        <v>116</v>
      </c>
      <c r="C665" t="s">
        <v>100</v>
      </c>
      <c r="D665" t="s">
        <v>100</v>
      </c>
      <c r="E665" t="s">
        <v>117</v>
      </c>
      <c r="F665" s="158">
        <v>45516.922743055555</v>
      </c>
    </row>
    <row r="666" spans="2:6" x14ac:dyDescent="0.25">
      <c r="B666" t="s">
        <v>118</v>
      </c>
      <c r="C666" t="s">
        <v>100</v>
      </c>
      <c r="D666" t="s">
        <v>105</v>
      </c>
      <c r="E666" t="s">
        <v>105</v>
      </c>
      <c r="F666" s="158">
        <v>45516.922766203701</v>
      </c>
    </row>
    <row r="667" spans="2:6" x14ac:dyDescent="0.25">
      <c r="B667" t="s">
        <v>118</v>
      </c>
      <c r="C667" t="s">
        <v>106</v>
      </c>
      <c r="D667" t="s">
        <v>91</v>
      </c>
      <c r="E667" t="s">
        <v>105</v>
      </c>
      <c r="F667" s="158">
        <v>45516.922766203701</v>
      </c>
    </row>
    <row r="668" spans="2:6" x14ac:dyDescent="0.25">
      <c r="B668" t="s">
        <v>118</v>
      </c>
      <c r="C668" t="s">
        <v>107</v>
      </c>
      <c r="D668" t="s">
        <v>92</v>
      </c>
      <c r="E668" t="s">
        <v>105</v>
      </c>
      <c r="F668" s="158">
        <v>45516.922766203701</v>
      </c>
    </row>
    <row r="669" spans="2:6" x14ac:dyDescent="0.25">
      <c r="B669" t="s">
        <v>111</v>
      </c>
      <c r="C669" t="s">
        <v>105</v>
      </c>
      <c r="D669" t="s">
        <v>105</v>
      </c>
      <c r="E669" t="s">
        <v>105</v>
      </c>
      <c r="F669" s="158">
        <v>45516.922777777778</v>
      </c>
    </row>
    <row r="670" spans="2:6" x14ac:dyDescent="0.25">
      <c r="B670" t="s">
        <v>109</v>
      </c>
      <c r="C670" t="s">
        <v>105</v>
      </c>
      <c r="D670" t="s">
        <v>105</v>
      </c>
      <c r="E670" t="s">
        <v>105</v>
      </c>
      <c r="F670" s="158">
        <v>45516.922777777778</v>
      </c>
    </row>
    <row r="671" spans="2:6" x14ac:dyDescent="0.25">
      <c r="B671" t="s">
        <v>119</v>
      </c>
      <c r="C671" t="s">
        <v>100</v>
      </c>
      <c r="D671" t="s">
        <v>100</v>
      </c>
      <c r="E671" t="s">
        <v>120</v>
      </c>
      <c r="F671" s="158">
        <v>45516.922777777778</v>
      </c>
    </row>
    <row r="672" spans="2:6" x14ac:dyDescent="0.25">
      <c r="B672" t="s">
        <v>121</v>
      </c>
      <c r="C672" t="s">
        <v>100</v>
      </c>
      <c r="D672" t="s">
        <v>105</v>
      </c>
      <c r="E672" t="s">
        <v>105</v>
      </c>
      <c r="F672" s="158">
        <v>45516.922800925924</v>
      </c>
    </row>
    <row r="673" spans="2:6" x14ac:dyDescent="0.25">
      <c r="B673" t="s">
        <v>121</v>
      </c>
      <c r="C673" t="s">
        <v>106</v>
      </c>
      <c r="D673" t="s">
        <v>91</v>
      </c>
      <c r="E673" t="s">
        <v>105</v>
      </c>
      <c r="F673" s="158">
        <v>45516.922800925924</v>
      </c>
    </row>
    <row r="674" spans="2:6" x14ac:dyDescent="0.25">
      <c r="B674" t="s">
        <v>121</v>
      </c>
      <c r="C674" t="s">
        <v>107</v>
      </c>
      <c r="D674" t="s">
        <v>92</v>
      </c>
      <c r="E674" t="s">
        <v>105</v>
      </c>
      <c r="F674" s="158">
        <v>45516.922800925924</v>
      </c>
    </row>
    <row r="675" spans="2:6" x14ac:dyDescent="0.25">
      <c r="B675" t="s">
        <v>111</v>
      </c>
      <c r="C675" t="s">
        <v>105</v>
      </c>
      <c r="D675" t="s">
        <v>105</v>
      </c>
      <c r="E675" t="s">
        <v>105</v>
      </c>
      <c r="F675" s="158">
        <v>45516.922812500001</v>
      </c>
    </row>
    <row r="676" spans="2:6" x14ac:dyDescent="0.25">
      <c r="B676" t="s">
        <v>109</v>
      </c>
      <c r="C676" t="s">
        <v>105</v>
      </c>
      <c r="D676" t="s">
        <v>105</v>
      </c>
      <c r="E676" t="s">
        <v>105</v>
      </c>
      <c r="F676" s="158">
        <v>45516.922812500001</v>
      </c>
    </row>
    <row r="677" spans="2:6" x14ac:dyDescent="0.25">
      <c r="B677" t="s">
        <v>122</v>
      </c>
      <c r="C677" t="s">
        <v>100</v>
      </c>
      <c r="D677" t="s">
        <v>100</v>
      </c>
      <c r="E677" t="s">
        <v>123</v>
      </c>
      <c r="F677" s="158">
        <v>45516.922812500001</v>
      </c>
    </row>
    <row r="678" spans="2:6" x14ac:dyDescent="0.25">
      <c r="B678" t="s">
        <v>124</v>
      </c>
      <c r="C678" t="s">
        <v>100</v>
      </c>
      <c r="D678" t="s">
        <v>105</v>
      </c>
      <c r="E678" t="s">
        <v>105</v>
      </c>
      <c r="F678" s="158">
        <v>45516.922835648147</v>
      </c>
    </row>
    <row r="679" spans="2:6" x14ac:dyDescent="0.25">
      <c r="B679" t="s">
        <v>124</v>
      </c>
      <c r="C679" t="s">
        <v>106</v>
      </c>
      <c r="D679" t="s">
        <v>91</v>
      </c>
      <c r="E679" t="s">
        <v>105</v>
      </c>
      <c r="F679" s="158">
        <v>45516.922835648147</v>
      </c>
    </row>
    <row r="680" spans="2:6" x14ac:dyDescent="0.25">
      <c r="B680" t="s">
        <v>124</v>
      </c>
      <c r="C680" t="s">
        <v>107</v>
      </c>
      <c r="D680" t="s">
        <v>92</v>
      </c>
      <c r="E680" t="s">
        <v>105</v>
      </c>
      <c r="F680" s="158">
        <v>45516.922835648147</v>
      </c>
    </row>
    <row r="681" spans="2:6" x14ac:dyDescent="0.25">
      <c r="B681" t="s">
        <v>111</v>
      </c>
      <c r="C681" t="s">
        <v>105</v>
      </c>
      <c r="D681" t="s">
        <v>105</v>
      </c>
      <c r="E681" t="s">
        <v>105</v>
      </c>
      <c r="F681" s="158">
        <v>45516.922847222224</v>
      </c>
    </row>
    <row r="682" spans="2:6" x14ac:dyDescent="0.25">
      <c r="B682" t="s">
        <v>109</v>
      </c>
      <c r="C682" t="s">
        <v>105</v>
      </c>
      <c r="D682" t="s">
        <v>105</v>
      </c>
      <c r="E682" t="s">
        <v>105</v>
      </c>
      <c r="F682" s="158">
        <v>45516.922847222224</v>
      </c>
    </row>
    <row r="683" spans="2:6" x14ac:dyDescent="0.25">
      <c r="B683" t="s">
        <v>125</v>
      </c>
      <c r="C683" t="s">
        <v>100</v>
      </c>
      <c r="D683" t="s">
        <v>100</v>
      </c>
      <c r="E683" t="s">
        <v>126</v>
      </c>
      <c r="F683" s="158">
        <v>45516.922847222224</v>
      </c>
    </row>
    <row r="684" spans="2:6" x14ac:dyDescent="0.25">
      <c r="B684" t="s">
        <v>127</v>
      </c>
      <c r="C684" t="s">
        <v>100</v>
      </c>
      <c r="D684" t="s">
        <v>105</v>
      </c>
      <c r="E684" t="s">
        <v>105</v>
      </c>
      <c r="F684" s="158">
        <v>45516.92287037037</v>
      </c>
    </row>
    <row r="685" spans="2:6" x14ac:dyDescent="0.25">
      <c r="B685" t="s">
        <v>127</v>
      </c>
      <c r="C685" t="s">
        <v>106</v>
      </c>
      <c r="D685" t="s">
        <v>91</v>
      </c>
      <c r="E685" t="s">
        <v>105</v>
      </c>
      <c r="F685" s="158">
        <v>45516.92287037037</v>
      </c>
    </row>
    <row r="686" spans="2:6" x14ac:dyDescent="0.25">
      <c r="B686" t="s">
        <v>127</v>
      </c>
      <c r="C686" t="s">
        <v>107</v>
      </c>
      <c r="D686" t="s">
        <v>92</v>
      </c>
      <c r="E686" t="s">
        <v>105</v>
      </c>
      <c r="F686" s="158">
        <v>45516.92287037037</v>
      </c>
    </row>
    <row r="687" spans="2:6" x14ac:dyDescent="0.25">
      <c r="B687" t="s">
        <v>111</v>
      </c>
      <c r="C687" t="s">
        <v>105</v>
      </c>
      <c r="D687" t="s">
        <v>105</v>
      </c>
      <c r="E687" t="s">
        <v>105</v>
      </c>
      <c r="F687" s="158">
        <v>45516.922881944447</v>
      </c>
    </row>
    <row r="688" spans="2:6" x14ac:dyDescent="0.25">
      <c r="B688" t="s">
        <v>109</v>
      </c>
      <c r="C688" t="s">
        <v>105</v>
      </c>
      <c r="D688" t="s">
        <v>105</v>
      </c>
      <c r="E688" t="s">
        <v>105</v>
      </c>
      <c r="F688" s="158">
        <v>45516.922881944447</v>
      </c>
    </row>
    <row r="689" spans="2:6" x14ac:dyDescent="0.25">
      <c r="B689" t="s">
        <v>128</v>
      </c>
      <c r="C689" t="s">
        <v>100</v>
      </c>
      <c r="D689" t="s">
        <v>100</v>
      </c>
      <c r="E689" t="s">
        <v>129</v>
      </c>
      <c r="F689" s="158">
        <v>45516.922881944447</v>
      </c>
    </row>
    <row r="690" spans="2:6" x14ac:dyDescent="0.25">
      <c r="B690" t="s">
        <v>130</v>
      </c>
      <c r="C690" t="s">
        <v>100</v>
      </c>
      <c r="D690" t="s">
        <v>105</v>
      </c>
      <c r="E690" t="s">
        <v>105</v>
      </c>
      <c r="F690" s="158">
        <v>45516.922905092593</v>
      </c>
    </row>
    <row r="691" spans="2:6" x14ac:dyDescent="0.25">
      <c r="B691" t="s">
        <v>130</v>
      </c>
      <c r="C691" t="s">
        <v>106</v>
      </c>
      <c r="D691" t="s">
        <v>91</v>
      </c>
      <c r="E691" t="s">
        <v>105</v>
      </c>
      <c r="F691" s="158">
        <v>45516.922905092593</v>
      </c>
    </row>
    <row r="692" spans="2:6" x14ac:dyDescent="0.25">
      <c r="B692" t="s">
        <v>130</v>
      </c>
      <c r="C692" t="s">
        <v>107</v>
      </c>
      <c r="D692" t="s">
        <v>92</v>
      </c>
      <c r="E692" t="s">
        <v>105</v>
      </c>
      <c r="F692" s="158">
        <v>45516.922905092593</v>
      </c>
    </row>
    <row r="693" spans="2:6" x14ac:dyDescent="0.25">
      <c r="B693" t="s">
        <v>111</v>
      </c>
      <c r="C693" t="s">
        <v>105</v>
      </c>
      <c r="D693" t="s">
        <v>105</v>
      </c>
      <c r="E693" t="s">
        <v>105</v>
      </c>
      <c r="F693" s="158">
        <v>45516.92291666667</v>
      </c>
    </row>
    <row r="694" spans="2:6" x14ac:dyDescent="0.25">
      <c r="B694" t="s">
        <v>109</v>
      </c>
      <c r="C694" t="s">
        <v>105</v>
      </c>
      <c r="D694" t="s">
        <v>105</v>
      </c>
      <c r="E694" t="s">
        <v>105</v>
      </c>
      <c r="F694" s="158">
        <v>45516.92291666667</v>
      </c>
    </row>
    <row r="695" spans="2:6" x14ac:dyDescent="0.25">
      <c r="B695" t="s">
        <v>131</v>
      </c>
      <c r="C695" t="s">
        <v>100</v>
      </c>
      <c r="D695" t="s">
        <v>100</v>
      </c>
      <c r="E695" t="s">
        <v>132</v>
      </c>
      <c r="F695" s="158">
        <v>45516.92291666667</v>
      </c>
    </row>
    <row r="696" spans="2:6" x14ac:dyDescent="0.25">
      <c r="B696" t="s">
        <v>133</v>
      </c>
      <c r="C696" t="s">
        <v>100</v>
      </c>
      <c r="D696" t="s">
        <v>105</v>
      </c>
      <c r="E696" t="s">
        <v>105</v>
      </c>
      <c r="F696" s="158">
        <v>45516.922939814816</v>
      </c>
    </row>
    <row r="697" spans="2:6" x14ac:dyDescent="0.25">
      <c r="B697" t="s">
        <v>133</v>
      </c>
      <c r="C697" t="s">
        <v>106</v>
      </c>
      <c r="D697" t="s">
        <v>91</v>
      </c>
      <c r="E697" t="s">
        <v>105</v>
      </c>
      <c r="F697" s="158">
        <v>45516.922939814816</v>
      </c>
    </row>
    <row r="698" spans="2:6" x14ac:dyDescent="0.25">
      <c r="B698" t="s">
        <v>133</v>
      </c>
      <c r="C698" t="s">
        <v>107</v>
      </c>
      <c r="D698" t="s">
        <v>92</v>
      </c>
      <c r="E698" t="s">
        <v>105</v>
      </c>
      <c r="F698" s="158">
        <v>45516.922951388886</v>
      </c>
    </row>
    <row r="699" spans="2:6" x14ac:dyDescent="0.25">
      <c r="B699" t="s">
        <v>111</v>
      </c>
      <c r="C699" t="s">
        <v>105</v>
      </c>
      <c r="D699" t="s">
        <v>105</v>
      </c>
      <c r="E699" t="s">
        <v>105</v>
      </c>
      <c r="F699" s="158">
        <v>45516.922962962963</v>
      </c>
    </row>
    <row r="700" spans="2:6" x14ac:dyDescent="0.25">
      <c r="B700" t="s">
        <v>108</v>
      </c>
      <c r="C700" t="s">
        <v>105</v>
      </c>
      <c r="D700" t="s">
        <v>105</v>
      </c>
      <c r="E700" t="s">
        <v>105</v>
      </c>
      <c r="F700" s="158">
        <v>45516.927233796298</v>
      </c>
    </row>
    <row r="701" spans="2:6" x14ac:dyDescent="0.25">
      <c r="B701" t="s">
        <v>109</v>
      </c>
      <c r="C701" t="s">
        <v>105</v>
      </c>
      <c r="D701" t="s">
        <v>105</v>
      </c>
      <c r="E701" t="s">
        <v>105</v>
      </c>
      <c r="F701" s="158">
        <v>45516.927233796298</v>
      </c>
    </row>
    <row r="702" spans="2:6" x14ac:dyDescent="0.25">
      <c r="B702" t="s">
        <v>110</v>
      </c>
      <c r="C702" t="s">
        <v>105</v>
      </c>
      <c r="D702" t="s">
        <v>92</v>
      </c>
      <c r="E702" t="s">
        <v>105</v>
      </c>
      <c r="F702" s="158">
        <v>45516.927233796298</v>
      </c>
    </row>
    <row r="703" spans="2:6" x14ac:dyDescent="0.25">
      <c r="B703" t="s">
        <v>110</v>
      </c>
      <c r="C703" t="s">
        <v>105</v>
      </c>
      <c r="D703" t="s">
        <v>91</v>
      </c>
      <c r="E703" t="s">
        <v>105</v>
      </c>
      <c r="F703" s="158">
        <v>45516.927245370367</v>
      </c>
    </row>
    <row r="704" spans="2:6" x14ac:dyDescent="0.25">
      <c r="B704" t="s">
        <v>108</v>
      </c>
      <c r="C704" t="s">
        <v>105</v>
      </c>
      <c r="D704" t="s">
        <v>105</v>
      </c>
      <c r="E704" t="s">
        <v>105</v>
      </c>
      <c r="F704" s="158">
        <v>45516.929965277777</v>
      </c>
    </row>
    <row r="705" spans="2:6" x14ac:dyDescent="0.25">
      <c r="B705" t="s">
        <v>109</v>
      </c>
      <c r="C705" t="s">
        <v>105</v>
      </c>
      <c r="D705" t="s">
        <v>105</v>
      </c>
      <c r="E705" t="s">
        <v>105</v>
      </c>
      <c r="F705" s="158">
        <v>45516.929965277777</v>
      </c>
    </row>
    <row r="706" spans="2:6" x14ac:dyDescent="0.25">
      <c r="B706" t="s">
        <v>110</v>
      </c>
      <c r="C706" t="s">
        <v>105</v>
      </c>
      <c r="D706" t="s">
        <v>92</v>
      </c>
      <c r="E706" t="s">
        <v>105</v>
      </c>
      <c r="F706" s="158">
        <v>45516.929965277777</v>
      </c>
    </row>
    <row r="707" spans="2:6" x14ac:dyDescent="0.25">
      <c r="B707" t="s">
        <v>110</v>
      </c>
      <c r="C707" t="s">
        <v>105</v>
      </c>
      <c r="D707" t="s">
        <v>91</v>
      </c>
      <c r="E707" t="s">
        <v>105</v>
      </c>
      <c r="F707" s="158">
        <v>45516.929965277777</v>
      </c>
    </row>
    <row r="708" spans="2:6" x14ac:dyDescent="0.25">
      <c r="B708" t="s">
        <v>134</v>
      </c>
      <c r="C708" t="s">
        <v>100</v>
      </c>
      <c r="D708" t="s">
        <v>100</v>
      </c>
      <c r="E708" t="s">
        <v>103</v>
      </c>
      <c r="F708" s="158">
        <v>45516.930023148147</v>
      </c>
    </row>
    <row r="709" spans="2:6" x14ac:dyDescent="0.25">
      <c r="B709" t="s">
        <v>108</v>
      </c>
      <c r="C709" t="s">
        <v>105</v>
      </c>
      <c r="D709" t="s">
        <v>105</v>
      </c>
      <c r="E709" t="s">
        <v>105</v>
      </c>
      <c r="F709" s="158">
        <v>45516.932349537034</v>
      </c>
    </row>
    <row r="710" spans="2:6" x14ac:dyDescent="0.25">
      <c r="B710" t="s">
        <v>109</v>
      </c>
      <c r="C710" t="s">
        <v>105</v>
      </c>
      <c r="D710" t="s">
        <v>105</v>
      </c>
      <c r="E710" t="s">
        <v>105</v>
      </c>
      <c r="F710" s="158">
        <v>45516.932349537034</v>
      </c>
    </row>
    <row r="711" spans="2:6" x14ac:dyDescent="0.25">
      <c r="B711" t="s">
        <v>110</v>
      </c>
      <c r="C711" t="s">
        <v>105</v>
      </c>
      <c r="D711" t="s">
        <v>92</v>
      </c>
      <c r="E711" t="s">
        <v>105</v>
      </c>
      <c r="F711" s="158">
        <v>45516.932349537034</v>
      </c>
    </row>
    <row r="712" spans="2:6" x14ac:dyDescent="0.25">
      <c r="B712" t="s">
        <v>110</v>
      </c>
      <c r="C712" t="s">
        <v>105</v>
      </c>
      <c r="D712" t="s">
        <v>91</v>
      </c>
      <c r="E712" t="s">
        <v>105</v>
      </c>
      <c r="F712" s="158">
        <v>45516.932349537034</v>
      </c>
    </row>
    <row r="713" spans="2:6" x14ac:dyDescent="0.25">
      <c r="B713" t="s">
        <v>102</v>
      </c>
      <c r="C713" t="s">
        <v>100</v>
      </c>
      <c r="D713" t="s">
        <v>100</v>
      </c>
      <c r="E713" t="s">
        <v>103</v>
      </c>
      <c r="F713" s="158">
        <v>45516.93240740741</v>
      </c>
    </row>
    <row r="714" spans="2:6" x14ac:dyDescent="0.25">
      <c r="B714" t="s">
        <v>104</v>
      </c>
      <c r="C714" t="s">
        <v>100</v>
      </c>
      <c r="D714" t="s">
        <v>105</v>
      </c>
      <c r="E714" t="s">
        <v>105</v>
      </c>
      <c r="F714" s="158">
        <v>45516.932442129626</v>
      </c>
    </row>
    <row r="715" spans="2:6" x14ac:dyDescent="0.25">
      <c r="B715" t="s">
        <v>104</v>
      </c>
      <c r="C715" t="s">
        <v>106</v>
      </c>
      <c r="D715" t="s">
        <v>91</v>
      </c>
      <c r="E715" t="s">
        <v>105</v>
      </c>
      <c r="F715" s="158">
        <v>45516.932442129626</v>
      </c>
    </row>
    <row r="716" spans="2:6" x14ac:dyDescent="0.25">
      <c r="B716" t="s">
        <v>104</v>
      </c>
      <c r="C716" t="s">
        <v>107</v>
      </c>
      <c r="D716" t="s">
        <v>92</v>
      </c>
      <c r="E716" t="s">
        <v>105</v>
      </c>
      <c r="F716" s="158">
        <v>45516.932442129626</v>
      </c>
    </row>
    <row r="717" spans="2:6" x14ac:dyDescent="0.25">
      <c r="B717" t="s">
        <v>108</v>
      </c>
      <c r="C717" t="s">
        <v>105</v>
      </c>
      <c r="D717" t="s">
        <v>105</v>
      </c>
      <c r="E717" t="s">
        <v>105</v>
      </c>
      <c r="F717" s="158">
        <v>45516.932974537034</v>
      </c>
    </row>
    <row r="718" spans="2:6" x14ac:dyDescent="0.25">
      <c r="B718" t="s">
        <v>109</v>
      </c>
      <c r="C718" t="s">
        <v>105</v>
      </c>
      <c r="D718" t="s">
        <v>105</v>
      </c>
      <c r="E718" t="s">
        <v>105</v>
      </c>
      <c r="F718" s="158">
        <v>45516.932974537034</v>
      </c>
    </row>
    <row r="719" spans="2:6" x14ac:dyDescent="0.25">
      <c r="B719" t="s">
        <v>110</v>
      </c>
      <c r="C719" t="s">
        <v>105</v>
      </c>
      <c r="D719" t="s">
        <v>92</v>
      </c>
      <c r="E719" t="s">
        <v>105</v>
      </c>
      <c r="F719" s="158">
        <v>45516.932974537034</v>
      </c>
    </row>
    <row r="720" spans="2:6" x14ac:dyDescent="0.25">
      <c r="B720" t="s">
        <v>110</v>
      </c>
      <c r="C720" t="s">
        <v>105</v>
      </c>
      <c r="D720" t="s">
        <v>91</v>
      </c>
      <c r="E720" t="s">
        <v>105</v>
      </c>
      <c r="F720" s="158">
        <v>45516.932974537034</v>
      </c>
    </row>
    <row r="721" spans="2:6" x14ac:dyDescent="0.25">
      <c r="B721" t="s">
        <v>102</v>
      </c>
      <c r="C721" t="s">
        <v>100</v>
      </c>
      <c r="D721" t="s">
        <v>100</v>
      </c>
      <c r="E721" t="s">
        <v>103</v>
      </c>
      <c r="F721" s="158">
        <v>45516.933009259257</v>
      </c>
    </row>
    <row r="722" spans="2:6" x14ac:dyDescent="0.25">
      <c r="B722" t="s">
        <v>104</v>
      </c>
      <c r="C722" t="s">
        <v>100</v>
      </c>
      <c r="D722" t="s">
        <v>105</v>
      </c>
      <c r="E722" t="s">
        <v>105</v>
      </c>
      <c r="F722" s="158">
        <v>45516.933032407411</v>
      </c>
    </row>
    <row r="723" spans="2:6" x14ac:dyDescent="0.25">
      <c r="B723" t="s">
        <v>104</v>
      </c>
      <c r="C723" t="s">
        <v>106</v>
      </c>
      <c r="D723" t="s">
        <v>91</v>
      </c>
      <c r="E723" t="s">
        <v>105</v>
      </c>
      <c r="F723" s="158">
        <v>45516.933032407411</v>
      </c>
    </row>
    <row r="724" spans="2:6" x14ac:dyDescent="0.25">
      <c r="B724" t="s">
        <v>104</v>
      </c>
      <c r="C724" t="s">
        <v>107</v>
      </c>
      <c r="D724" t="s">
        <v>92</v>
      </c>
      <c r="E724" t="s">
        <v>105</v>
      </c>
      <c r="F724" s="158">
        <v>45516.933032407411</v>
      </c>
    </row>
    <row r="725" spans="2:6" x14ac:dyDescent="0.25">
      <c r="B725" t="s">
        <v>108</v>
      </c>
      <c r="C725" t="s">
        <v>105</v>
      </c>
      <c r="D725" t="s">
        <v>105</v>
      </c>
      <c r="E725" t="s">
        <v>105</v>
      </c>
      <c r="F725" s="158">
        <v>45516.933263888888</v>
      </c>
    </row>
    <row r="726" spans="2:6" x14ac:dyDescent="0.25">
      <c r="B726" t="s">
        <v>109</v>
      </c>
      <c r="C726" t="s">
        <v>105</v>
      </c>
      <c r="D726" t="s">
        <v>105</v>
      </c>
      <c r="E726" t="s">
        <v>105</v>
      </c>
      <c r="F726" s="158">
        <v>45516.933263888888</v>
      </c>
    </row>
    <row r="727" spans="2:6" x14ac:dyDescent="0.25">
      <c r="B727" t="s">
        <v>110</v>
      </c>
      <c r="C727" t="s">
        <v>105</v>
      </c>
      <c r="D727" t="s">
        <v>92</v>
      </c>
      <c r="E727" t="s">
        <v>105</v>
      </c>
      <c r="F727" s="158">
        <v>45516.933263888888</v>
      </c>
    </row>
    <row r="728" spans="2:6" x14ac:dyDescent="0.25">
      <c r="B728" t="s">
        <v>110</v>
      </c>
      <c r="C728" t="s">
        <v>105</v>
      </c>
      <c r="D728" t="s">
        <v>91</v>
      </c>
      <c r="E728" t="s">
        <v>105</v>
      </c>
      <c r="F728" s="158">
        <v>45516.933263888888</v>
      </c>
    </row>
    <row r="729" spans="2:6" x14ac:dyDescent="0.25">
      <c r="B729" t="s">
        <v>102</v>
      </c>
      <c r="C729" t="s">
        <v>100</v>
      </c>
      <c r="D729" t="s">
        <v>100</v>
      </c>
      <c r="E729" t="s">
        <v>103</v>
      </c>
      <c r="F729" s="158">
        <v>45516.933310185188</v>
      </c>
    </row>
    <row r="730" spans="2:6" x14ac:dyDescent="0.25">
      <c r="B730" t="s">
        <v>104</v>
      </c>
      <c r="C730" t="s">
        <v>100</v>
      </c>
      <c r="D730" t="s">
        <v>105</v>
      </c>
      <c r="E730" t="s">
        <v>105</v>
      </c>
      <c r="F730" s="158">
        <v>45516.933344907404</v>
      </c>
    </row>
    <row r="731" spans="2:6" x14ac:dyDescent="0.25">
      <c r="B731" t="s">
        <v>104</v>
      </c>
      <c r="C731" t="s">
        <v>106</v>
      </c>
      <c r="D731" t="s">
        <v>91</v>
      </c>
      <c r="E731" t="s">
        <v>105</v>
      </c>
      <c r="F731" s="158">
        <v>45516.933344907404</v>
      </c>
    </row>
    <row r="732" spans="2:6" x14ac:dyDescent="0.25">
      <c r="B732" t="s">
        <v>104</v>
      </c>
      <c r="C732" t="s">
        <v>107</v>
      </c>
      <c r="D732" t="s">
        <v>92</v>
      </c>
      <c r="E732" t="s">
        <v>105</v>
      </c>
      <c r="F732" s="158">
        <v>45516.933344907404</v>
      </c>
    </row>
    <row r="733" spans="2:6" x14ac:dyDescent="0.25">
      <c r="B733" t="s">
        <v>108</v>
      </c>
      <c r="C733" t="s">
        <v>105</v>
      </c>
      <c r="D733" t="s">
        <v>105</v>
      </c>
      <c r="E733" t="s">
        <v>105</v>
      </c>
      <c r="F733" s="158">
        <v>45516.933842592596</v>
      </c>
    </row>
    <row r="734" spans="2:6" x14ac:dyDescent="0.25">
      <c r="B734" t="s">
        <v>109</v>
      </c>
      <c r="C734" t="s">
        <v>105</v>
      </c>
      <c r="D734" t="s">
        <v>105</v>
      </c>
      <c r="E734" t="s">
        <v>105</v>
      </c>
      <c r="F734" s="158">
        <v>45516.933842592596</v>
      </c>
    </row>
    <row r="735" spans="2:6" x14ac:dyDescent="0.25">
      <c r="B735" t="s">
        <v>110</v>
      </c>
      <c r="C735" t="s">
        <v>105</v>
      </c>
      <c r="D735" t="s">
        <v>92</v>
      </c>
      <c r="E735" t="s">
        <v>105</v>
      </c>
      <c r="F735" s="158">
        <v>45516.933842592596</v>
      </c>
    </row>
    <row r="736" spans="2:6" x14ac:dyDescent="0.25">
      <c r="B736" t="s">
        <v>110</v>
      </c>
      <c r="C736" t="s">
        <v>105</v>
      </c>
      <c r="D736" t="s">
        <v>91</v>
      </c>
      <c r="E736" t="s">
        <v>105</v>
      </c>
      <c r="F736" s="158">
        <v>45516.933842592596</v>
      </c>
    </row>
    <row r="737" spans="2:6" x14ac:dyDescent="0.25">
      <c r="B737" t="s">
        <v>108</v>
      </c>
      <c r="C737" t="s">
        <v>105</v>
      </c>
      <c r="D737" t="s">
        <v>105</v>
      </c>
      <c r="E737" t="s">
        <v>105</v>
      </c>
      <c r="F737" s="158">
        <v>45516.934976851851</v>
      </c>
    </row>
    <row r="738" spans="2:6" x14ac:dyDescent="0.25">
      <c r="B738" t="s">
        <v>109</v>
      </c>
      <c r="C738" t="s">
        <v>105</v>
      </c>
      <c r="D738" t="s">
        <v>105</v>
      </c>
      <c r="E738" t="s">
        <v>105</v>
      </c>
      <c r="F738" s="158">
        <v>45516.934976851851</v>
      </c>
    </row>
    <row r="739" spans="2:6" x14ac:dyDescent="0.25">
      <c r="B739" t="s">
        <v>110</v>
      </c>
      <c r="C739" t="s">
        <v>105</v>
      </c>
      <c r="D739" t="s">
        <v>92</v>
      </c>
      <c r="E739" t="s">
        <v>105</v>
      </c>
      <c r="F739" s="158">
        <v>45516.934976851851</v>
      </c>
    </row>
    <row r="740" spans="2:6" x14ac:dyDescent="0.25">
      <c r="B740" t="s">
        <v>110</v>
      </c>
      <c r="C740" t="s">
        <v>105</v>
      </c>
      <c r="D740" t="s">
        <v>91</v>
      </c>
      <c r="E740" t="s">
        <v>105</v>
      </c>
      <c r="F740" s="158">
        <v>45516.934976851851</v>
      </c>
    </row>
    <row r="741" spans="2:6" x14ac:dyDescent="0.25">
      <c r="B741" t="s">
        <v>102</v>
      </c>
      <c r="C741" t="s">
        <v>100</v>
      </c>
      <c r="D741" t="s">
        <v>100</v>
      </c>
      <c r="E741" t="s">
        <v>103</v>
      </c>
      <c r="F741" s="158">
        <v>45516.935034722221</v>
      </c>
    </row>
    <row r="742" spans="2:6" x14ac:dyDescent="0.25">
      <c r="B742" t="s">
        <v>104</v>
      </c>
      <c r="C742" t="s">
        <v>100</v>
      </c>
      <c r="D742" t="s">
        <v>105</v>
      </c>
      <c r="E742" t="s">
        <v>105</v>
      </c>
      <c r="F742" s="158">
        <v>45516.935057870367</v>
      </c>
    </row>
    <row r="743" spans="2:6" x14ac:dyDescent="0.25">
      <c r="B743" t="s">
        <v>104</v>
      </c>
      <c r="C743" t="s">
        <v>106</v>
      </c>
      <c r="D743" t="s">
        <v>91</v>
      </c>
      <c r="E743" t="s">
        <v>105</v>
      </c>
      <c r="F743" s="158">
        <v>45516.935057870367</v>
      </c>
    </row>
    <row r="744" spans="2:6" x14ac:dyDescent="0.25">
      <c r="B744" t="s">
        <v>104</v>
      </c>
      <c r="C744" t="s">
        <v>107</v>
      </c>
      <c r="D744" t="s">
        <v>91</v>
      </c>
      <c r="E744" t="s">
        <v>105</v>
      </c>
      <c r="F744" s="158">
        <v>45516.935069444444</v>
      </c>
    </row>
    <row r="745" spans="2:6" x14ac:dyDescent="0.25">
      <c r="B745" t="s">
        <v>108</v>
      </c>
      <c r="C745" t="s">
        <v>105</v>
      </c>
      <c r="D745" t="s">
        <v>105</v>
      </c>
      <c r="E745" t="s">
        <v>105</v>
      </c>
      <c r="F745" s="158">
        <v>45516.935277777775</v>
      </c>
    </row>
    <row r="746" spans="2:6" x14ac:dyDescent="0.25">
      <c r="B746" t="s">
        <v>109</v>
      </c>
      <c r="C746" t="s">
        <v>105</v>
      </c>
      <c r="D746" t="s">
        <v>105</v>
      </c>
      <c r="E746" t="s">
        <v>105</v>
      </c>
      <c r="F746" s="158">
        <v>45516.935277777775</v>
      </c>
    </row>
    <row r="747" spans="2:6" x14ac:dyDescent="0.25">
      <c r="B747" t="s">
        <v>110</v>
      </c>
      <c r="C747" t="s">
        <v>105</v>
      </c>
      <c r="D747" t="s">
        <v>92</v>
      </c>
      <c r="E747" t="s">
        <v>105</v>
      </c>
      <c r="F747" s="158">
        <v>45516.935277777775</v>
      </c>
    </row>
    <row r="748" spans="2:6" x14ac:dyDescent="0.25">
      <c r="B748" t="s">
        <v>110</v>
      </c>
      <c r="C748" t="s">
        <v>105</v>
      </c>
      <c r="D748" t="s">
        <v>91</v>
      </c>
      <c r="E748" t="s">
        <v>105</v>
      </c>
      <c r="F748" s="158">
        <v>45516.935277777775</v>
      </c>
    </row>
    <row r="749" spans="2:6" x14ac:dyDescent="0.25">
      <c r="B749" t="s">
        <v>102</v>
      </c>
      <c r="C749" t="s">
        <v>100</v>
      </c>
      <c r="D749" t="s">
        <v>100</v>
      </c>
      <c r="E749" t="s">
        <v>103</v>
      </c>
      <c r="F749" s="158">
        <v>45516.935335648152</v>
      </c>
    </row>
    <row r="750" spans="2:6" x14ac:dyDescent="0.25">
      <c r="B750" t="s">
        <v>104</v>
      </c>
      <c r="C750" t="s">
        <v>100</v>
      </c>
      <c r="D750" t="s">
        <v>105</v>
      </c>
      <c r="E750" t="s">
        <v>105</v>
      </c>
      <c r="F750" s="158">
        <v>45516.935358796298</v>
      </c>
    </row>
    <row r="751" spans="2:6" x14ac:dyDescent="0.25">
      <c r="B751" t="s">
        <v>104</v>
      </c>
      <c r="C751" t="s">
        <v>106</v>
      </c>
      <c r="D751" t="s">
        <v>91</v>
      </c>
      <c r="E751" t="s">
        <v>105</v>
      </c>
      <c r="F751" s="158">
        <v>45516.935358796298</v>
      </c>
    </row>
    <row r="752" spans="2:6" x14ac:dyDescent="0.25">
      <c r="B752" t="s">
        <v>104</v>
      </c>
      <c r="C752" t="s">
        <v>107</v>
      </c>
      <c r="D752" t="s">
        <v>92</v>
      </c>
      <c r="E752" t="s">
        <v>105</v>
      </c>
      <c r="F752" s="158">
        <v>45516.935358796298</v>
      </c>
    </row>
    <row r="753" spans="2:6" x14ac:dyDescent="0.25">
      <c r="B753" t="s">
        <v>108</v>
      </c>
      <c r="C753" t="s">
        <v>105</v>
      </c>
      <c r="D753" t="s">
        <v>105</v>
      </c>
      <c r="E753" t="s">
        <v>105</v>
      </c>
      <c r="F753" s="158">
        <v>45516.939849537041</v>
      </c>
    </row>
    <row r="754" spans="2:6" x14ac:dyDescent="0.25">
      <c r="B754" t="s">
        <v>109</v>
      </c>
      <c r="C754" t="s">
        <v>105</v>
      </c>
      <c r="D754" t="s">
        <v>105</v>
      </c>
      <c r="E754" t="s">
        <v>105</v>
      </c>
      <c r="F754" s="158">
        <v>45516.939849537041</v>
      </c>
    </row>
    <row r="755" spans="2:6" x14ac:dyDescent="0.25">
      <c r="B755" t="s">
        <v>110</v>
      </c>
      <c r="C755" t="s">
        <v>105</v>
      </c>
      <c r="D755" t="s">
        <v>92</v>
      </c>
      <c r="E755" t="s">
        <v>105</v>
      </c>
      <c r="F755" s="158">
        <v>45516.939849537041</v>
      </c>
    </row>
    <row r="756" spans="2:6" x14ac:dyDescent="0.25">
      <c r="B756" t="s">
        <v>110</v>
      </c>
      <c r="C756" t="s">
        <v>105</v>
      </c>
      <c r="D756" t="s">
        <v>91</v>
      </c>
      <c r="E756" t="s">
        <v>105</v>
      </c>
      <c r="F756" s="158">
        <v>45516.939849537041</v>
      </c>
    </row>
    <row r="757" spans="2:6" x14ac:dyDescent="0.25">
      <c r="B757" t="s">
        <v>102</v>
      </c>
      <c r="C757" t="s">
        <v>100</v>
      </c>
      <c r="D757" t="s">
        <v>100</v>
      </c>
      <c r="E757" t="s">
        <v>103</v>
      </c>
      <c r="F757" s="158">
        <v>45516.93990740741</v>
      </c>
    </row>
    <row r="758" spans="2:6" x14ac:dyDescent="0.25">
      <c r="B758" t="s">
        <v>104</v>
      </c>
      <c r="C758" t="s">
        <v>100</v>
      </c>
      <c r="D758" t="s">
        <v>105</v>
      </c>
      <c r="E758" t="s">
        <v>105</v>
      </c>
      <c r="F758" s="158">
        <v>45516.939942129633</v>
      </c>
    </row>
    <row r="759" spans="2:6" x14ac:dyDescent="0.25">
      <c r="B759" t="s">
        <v>104</v>
      </c>
      <c r="C759" t="s">
        <v>106</v>
      </c>
      <c r="D759" t="s">
        <v>91</v>
      </c>
      <c r="E759" t="s">
        <v>105</v>
      </c>
      <c r="F759" s="158">
        <v>45516.939942129633</v>
      </c>
    </row>
    <row r="760" spans="2:6" x14ac:dyDescent="0.25">
      <c r="B760" t="s">
        <v>104</v>
      </c>
      <c r="C760" t="s">
        <v>107</v>
      </c>
      <c r="D760" t="s">
        <v>92</v>
      </c>
      <c r="E760" t="s">
        <v>105</v>
      </c>
      <c r="F760" s="158">
        <v>45516.939942129633</v>
      </c>
    </row>
    <row r="761" spans="2:6" x14ac:dyDescent="0.25">
      <c r="B761" t="s">
        <v>108</v>
      </c>
      <c r="C761" t="s">
        <v>105</v>
      </c>
      <c r="D761" t="s">
        <v>105</v>
      </c>
      <c r="E761" t="s">
        <v>105</v>
      </c>
      <c r="F761" s="158">
        <v>45516.94158564815</v>
      </c>
    </row>
    <row r="762" spans="2:6" x14ac:dyDescent="0.25">
      <c r="B762" t="s">
        <v>109</v>
      </c>
      <c r="C762" t="s">
        <v>105</v>
      </c>
      <c r="D762" t="s">
        <v>105</v>
      </c>
      <c r="E762" t="s">
        <v>105</v>
      </c>
      <c r="F762" s="158">
        <v>45516.94158564815</v>
      </c>
    </row>
    <row r="763" spans="2:6" x14ac:dyDescent="0.25">
      <c r="B763" t="s">
        <v>110</v>
      </c>
      <c r="C763" t="s">
        <v>105</v>
      </c>
      <c r="D763" t="s">
        <v>92</v>
      </c>
      <c r="E763" t="s">
        <v>105</v>
      </c>
      <c r="F763" s="158">
        <v>45516.94158564815</v>
      </c>
    </row>
    <row r="764" spans="2:6" x14ac:dyDescent="0.25">
      <c r="B764" t="s">
        <v>110</v>
      </c>
      <c r="C764" t="s">
        <v>105</v>
      </c>
      <c r="D764" t="s">
        <v>91</v>
      </c>
      <c r="E764" t="s">
        <v>105</v>
      </c>
      <c r="F764" s="158">
        <v>45516.94158564815</v>
      </c>
    </row>
    <row r="765" spans="2:6" x14ac:dyDescent="0.25">
      <c r="B765" t="s">
        <v>102</v>
      </c>
      <c r="C765" t="s">
        <v>100</v>
      </c>
      <c r="D765" t="s">
        <v>100</v>
      </c>
      <c r="E765" t="s">
        <v>103</v>
      </c>
      <c r="F765" s="158">
        <v>45516.941643518519</v>
      </c>
    </row>
    <row r="766" spans="2:6" x14ac:dyDescent="0.25">
      <c r="B766" t="s">
        <v>104</v>
      </c>
      <c r="C766" t="s">
        <v>100</v>
      </c>
      <c r="D766" t="s">
        <v>105</v>
      </c>
      <c r="E766" t="s">
        <v>105</v>
      </c>
      <c r="F766" s="158">
        <v>45516.941678240742</v>
      </c>
    </row>
    <row r="767" spans="2:6" x14ac:dyDescent="0.25">
      <c r="B767" t="s">
        <v>104</v>
      </c>
      <c r="C767" t="s">
        <v>106</v>
      </c>
      <c r="D767" t="s">
        <v>91</v>
      </c>
      <c r="E767" t="s">
        <v>105</v>
      </c>
      <c r="F767" s="158">
        <v>45516.941678240742</v>
      </c>
    </row>
    <row r="768" spans="2:6" x14ac:dyDescent="0.25">
      <c r="B768" t="s">
        <v>104</v>
      </c>
      <c r="C768" t="s">
        <v>107</v>
      </c>
      <c r="D768" t="s">
        <v>91</v>
      </c>
      <c r="E768" t="s">
        <v>105</v>
      </c>
      <c r="F768" s="158">
        <v>45516.941678240742</v>
      </c>
    </row>
    <row r="769" spans="2:6" x14ac:dyDescent="0.25">
      <c r="B769" t="s">
        <v>108</v>
      </c>
      <c r="C769" t="s">
        <v>105</v>
      </c>
      <c r="D769" t="s">
        <v>105</v>
      </c>
      <c r="E769" t="s">
        <v>105</v>
      </c>
      <c r="F769" s="158">
        <v>45516.941840277781</v>
      </c>
    </row>
    <row r="770" spans="2:6" x14ac:dyDescent="0.25">
      <c r="B770" t="s">
        <v>109</v>
      </c>
      <c r="C770" t="s">
        <v>105</v>
      </c>
      <c r="D770" t="s">
        <v>105</v>
      </c>
      <c r="E770" t="s">
        <v>105</v>
      </c>
      <c r="F770" s="158">
        <v>45516.941840277781</v>
      </c>
    </row>
    <row r="771" spans="2:6" x14ac:dyDescent="0.25">
      <c r="B771" t="s">
        <v>110</v>
      </c>
      <c r="C771" t="s">
        <v>105</v>
      </c>
      <c r="D771" t="s">
        <v>92</v>
      </c>
      <c r="E771" t="s">
        <v>105</v>
      </c>
      <c r="F771" s="158">
        <v>45516.941840277781</v>
      </c>
    </row>
    <row r="772" spans="2:6" x14ac:dyDescent="0.25">
      <c r="B772" t="s">
        <v>110</v>
      </c>
      <c r="C772" t="s">
        <v>105</v>
      </c>
      <c r="D772" t="s">
        <v>91</v>
      </c>
      <c r="E772" t="s">
        <v>105</v>
      </c>
      <c r="F772" s="158">
        <v>45516.941840277781</v>
      </c>
    </row>
    <row r="773" spans="2:6" x14ac:dyDescent="0.25">
      <c r="B773" t="s">
        <v>102</v>
      </c>
      <c r="C773" t="s">
        <v>100</v>
      </c>
      <c r="D773" t="s">
        <v>100</v>
      </c>
      <c r="E773" t="s">
        <v>103</v>
      </c>
      <c r="F773" s="158">
        <v>45516.94189814815</v>
      </c>
    </row>
    <row r="774" spans="2:6" x14ac:dyDescent="0.25">
      <c r="B774" t="s">
        <v>104</v>
      </c>
      <c r="C774" t="s">
        <v>100</v>
      </c>
      <c r="D774" t="s">
        <v>105</v>
      </c>
      <c r="E774" t="s">
        <v>105</v>
      </c>
      <c r="F774" s="158">
        <v>45516.941932870373</v>
      </c>
    </row>
    <row r="775" spans="2:6" x14ac:dyDescent="0.25">
      <c r="B775" t="s">
        <v>104</v>
      </c>
      <c r="C775" t="s">
        <v>106</v>
      </c>
      <c r="D775" t="s">
        <v>91</v>
      </c>
      <c r="E775" t="s">
        <v>105</v>
      </c>
      <c r="F775" s="158">
        <v>45516.941932870373</v>
      </c>
    </row>
    <row r="776" spans="2:6" x14ac:dyDescent="0.25">
      <c r="B776" t="s">
        <v>104</v>
      </c>
      <c r="C776" t="s">
        <v>107</v>
      </c>
      <c r="D776" t="s">
        <v>92</v>
      </c>
      <c r="E776" t="s">
        <v>105</v>
      </c>
      <c r="F776" s="158">
        <v>45516.941932870373</v>
      </c>
    </row>
    <row r="777" spans="2:6" x14ac:dyDescent="0.25">
      <c r="B777" t="s">
        <v>108</v>
      </c>
      <c r="C777" t="s">
        <v>105</v>
      </c>
      <c r="D777" t="s">
        <v>105</v>
      </c>
      <c r="E777" t="s">
        <v>105</v>
      </c>
      <c r="F777" s="158">
        <v>45516.942002314812</v>
      </c>
    </row>
    <row r="778" spans="2:6" x14ac:dyDescent="0.25">
      <c r="B778" t="s">
        <v>109</v>
      </c>
      <c r="C778" t="s">
        <v>105</v>
      </c>
      <c r="D778" t="s">
        <v>105</v>
      </c>
      <c r="E778" t="s">
        <v>105</v>
      </c>
      <c r="F778" s="158">
        <v>45516.942002314812</v>
      </c>
    </row>
    <row r="779" spans="2:6" x14ac:dyDescent="0.25">
      <c r="B779" t="s">
        <v>110</v>
      </c>
      <c r="C779" t="s">
        <v>105</v>
      </c>
      <c r="D779" t="s">
        <v>92</v>
      </c>
      <c r="E779" t="s">
        <v>105</v>
      </c>
      <c r="F779" s="158">
        <v>45516.942002314812</v>
      </c>
    </row>
    <row r="780" spans="2:6" x14ac:dyDescent="0.25">
      <c r="B780" t="s">
        <v>110</v>
      </c>
      <c r="C780" t="s">
        <v>105</v>
      </c>
      <c r="D780" t="s">
        <v>91</v>
      </c>
      <c r="E780" t="s">
        <v>105</v>
      </c>
      <c r="F780" s="158">
        <v>45516.942002314812</v>
      </c>
    </row>
    <row r="781" spans="2:6" x14ac:dyDescent="0.25">
      <c r="B781" t="s">
        <v>108</v>
      </c>
      <c r="C781" t="s">
        <v>105</v>
      </c>
      <c r="D781" t="s">
        <v>105</v>
      </c>
      <c r="E781" t="s">
        <v>105</v>
      </c>
      <c r="F781" s="158">
        <v>45516.943229166667</v>
      </c>
    </row>
    <row r="782" spans="2:6" x14ac:dyDescent="0.25">
      <c r="B782" t="s">
        <v>109</v>
      </c>
      <c r="C782" t="s">
        <v>105</v>
      </c>
      <c r="D782" t="s">
        <v>105</v>
      </c>
      <c r="E782" t="s">
        <v>105</v>
      </c>
      <c r="F782" s="158">
        <v>45516.943229166667</v>
      </c>
    </row>
    <row r="783" spans="2:6" x14ac:dyDescent="0.25">
      <c r="B783" t="s">
        <v>110</v>
      </c>
      <c r="C783" t="s">
        <v>105</v>
      </c>
      <c r="D783" t="s">
        <v>92</v>
      </c>
      <c r="E783" t="s">
        <v>105</v>
      </c>
      <c r="F783" s="158">
        <v>45516.943229166667</v>
      </c>
    </row>
    <row r="784" spans="2:6" x14ac:dyDescent="0.25">
      <c r="B784" t="s">
        <v>110</v>
      </c>
      <c r="C784" t="s">
        <v>105</v>
      </c>
      <c r="D784" t="s">
        <v>91</v>
      </c>
      <c r="E784" t="s">
        <v>105</v>
      </c>
      <c r="F784" s="158">
        <v>45516.943229166667</v>
      </c>
    </row>
    <row r="785" spans="2:6" x14ac:dyDescent="0.25">
      <c r="B785" t="s">
        <v>102</v>
      </c>
      <c r="C785" t="s">
        <v>100</v>
      </c>
      <c r="D785" t="s">
        <v>100</v>
      </c>
      <c r="E785" t="s">
        <v>103</v>
      </c>
      <c r="F785" s="158">
        <v>45516.94326388889</v>
      </c>
    </row>
    <row r="786" spans="2:6" x14ac:dyDescent="0.25">
      <c r="B786" t="s">
        <v>104</v>
      </c>
      <c r="C786" t="s">
        <v>100</v>
      </c>
      <c r="D786" t="s">
        <v>105</v>
      </c>
      <c r="E786" t="s">
        <v>105</v>
      </c>
      <c r="F786" s="158">
        <v>45516.943298611113</v>
      </c>
    </row>
    <row r="787" spans="2:6" x14ac:dyDescent="0.25">
      <c r="B787" t="s">
        <v>104</v>
      </c>
      <c r="C787" t="s">
        <v>106</v>
      </c>
      <c r="D787" t="s">
        <v>91</v>
      </c>
      <c r="E787" t="s">
        <v>105</v>
      </c>
      <c r="F787" s="158">
        <v>45516.943298611113</v>
      </c>
    </row>
    <row r="788" spans="2:6" x14ac:dyDescent="0.25">
      <c r="B788" t="s">
        <v>108</v>
      </c>
      <c r="C788" t="s">
        <v>105</v>
      </c>
      <c r="D788" t="s">
        <v>105</v>
      </c>
      <c r="E788" t="s">
        <v>105</v>
      </c>
      <c r="F788" s="158">
        <v>45516.943622685183</v>
      </c>
    </row>
    <row r="789" spans="2:6" x14ac:dyDescent="0.25">
      <c r="B789" t="s">
        <v>109</v>
      </c>
      <c r="C789" t="s">
        <v>105</v>
      </c>
      <c r="D789" t="s">
        <v>105</v>
      </c>
      <c r="E789" t="s">
        <v>105</v>
      </c>
      <c r="F789" s="158">
        <v>45516.943622685183</v>
      </c>
    </row>
    <row r="790" spans="2:6" x14ac:dyDescent="0.25">
      <c r="B790" t="s">
        <v>110</v>
      </c>
      <c r="C790" t="s">
        <v>105</v>
      </c>
      <c r="D790" t="s">
        <v>92</v>
      </c>
      <c r="E790" t="s">
        <v>105</v>
      </c>
      <c r="F790" s="158">
        <v>45516.943622685183</v>
      </c>
    </row>
    <row r="791" spans="2:6" x14ac:dyDescent="0.25">
      <c r="B791" t="s">
        <v>110</v>
      </c>
      <c r="C791" t="s">
        <v>105</v>
      </c>
      <c r="D791" t="s">
        <v>91</v>
      </c>
      <c r="E791" t="s">
        <v>105</v>
      </c>
      <c r="F791" s="158">
        <v>45516.943622685183</v>
      </c>
    </row>
    <row r="792" spans="2:6" x14ac:dyDescent="0.25">
      <c r="B792" t="s">
        <v>102</v>
      </c>
      <c r="C792" t="s">
        <v>100</v>
      </c>
      <c r="D792" t="s">
        <v>100</v>
      </c>
      <c r="E792" t="s">
        <v>103</v>
      </c>
      <c r="F792" s="158">
        <v>45516.943657407406</v>
      </c>
    </row>
    <row r="793" spans="2:6" x14ac:dyDescent="0.25">
      <c r="B793" t="s">
        <v>104</v>
      </c>
      <c r="C793" t="s">
        <v>100</v>
      </c>
      <c r="D793" t="s">
        <v>105</v>
      </c>
      <c r="E793" t="s">
        <v>105</v>
      </c>
      <c r="F793" s="158">
        <v>45516.943680555552</v>
      </c>
    </row>
    <row r="794" spans="2:6" x14ac:dyDescent="0.25">
      <c r="B794" t="s">
        <v>104</v>
      </c>
      <c r="C794" t="s">
        <v>106</v>
      </c>
      <c r="D794" t="s">
        <v>91</v>
      </c>
      <c r="E794" t="s">
        <v>105</v>
      </c>
      <c r="F794" s="158">
        <v>45516.943680555552</v>
      </c>
    </row>
    <row r="795" spans="2:6" x14ac:dyDescent="0.25">
      <c r="B795" t="s">
        <v>104</v>
      </c>
      <c r="C795" t="s">
        <v>107</v>
      </c>
      <c r="D795" t="s">
        <v>91</v>
      </c>
      <c r="E795" t="s">
        <v>105</v>
      </c>
      <c r="F795" s="158">
        <v>45516.943680555552</v>
      </c>
    </row>
    <row r="796" spans="2:6" x14ac:dyDescent="0.25">
      <c r="B796" t="s">
        <v>108</v>
      </c>
      <c r="C796" t="s">
        <v>105</v>
      </c>
      <c r="D796" t="s">
        <v>105</v>
      </c>
      <c r="E796" t="s">
        <v>105</v>
      </c>
      <c r="F796" s="158">
        <v>45516.944293981483</v>
      </c>
    </row>
    <row r="797" spans="2:6" x14ac:dyDescent="0.25">
      <c r="B797" t="s">
        <v>109</v>
      </c>
      <c r="C797" t="s">
        <v>105</v>
      </c>
      <c r="D797" t="s">
        <v>105</v>
      </c>
      <c r="E797" t="s">
        <v>105</v>
      </c>
      <c r="F797" s="158">
        <v>45516.944305555553</v>
      </c>
    </row>
    <row r="798" spans="2:6" x14ac:dyDescent="0.25">
      <c r="B798" t="s">
        <v>110</v>
      </c>
      <c r="C798" t="s">
        <v>105</v>
      </c>
      <c r="D798" t="s">
        <v>92</v>
      </c>
      <c r="E798" t="s">
        <v>105</v>
      </c>
      <c r="F798" s="158">
        <v>45516.944305555553</v>
      </c>
    </row>
    <row r="799" spans="2:6" x14ac:dyDescent="0.25">
      <c r="B799" t="s">
        <v>110</v>
      </c>
      <c r="C799" t="s">
        <v>105</v>
      </c>
      <c r="D799" t="s">
        <v>91</v>
      </c>
      <c r="E799" t="s">
        <v>105</v>
      </c>
      <c r="F799" s="158">
        <v>45516.944305555553</v>
      </c>
    </row>
    <row r="800" spans="2:6" x14ac:dyDescent="0.25">
      <c r="B800" t="s">
        <v>102</v>
      </c>
      <c r="C800" t="s">
        <v>100</v>
      </c>
      <c r="D800" t="s">
        <v>100</v>
      </c>
      <c r="E800" t="s">
        <v>103</v>
      </c>
      <c r="F800" s="158">
        <v>45516.944340277776</v>
      </c>
    </row>
    <row r="801" spans="2:6" x14ac:dyDescent="0.25">
      <c r="B801" t="s">
        <v>104</v>
      </c>
      <c r="C801" t="s">
        <v>100</v>
      </c>
      <c r="D801" t="s">
        <v>105</v>
      </c>
      <c r="E801" t="s">
        <v>105</v>
      </c>
      <c r="F801" s="158">
        <v>45516.944374999999</v>
      </c>
    </row>
    <row r="802" spans="2:6" x14ac:dyDescent="0.25">
      <c r="B802" t="s">
        <v>104</v>
      </c>
      <c r="C802" t="s">
        <v>106</v>
      </c>
      <c r="D802" t="s">
        <v>91</v>
      </c>
      <c r="E802" t="s">
        <v>105</v>
      </c>
      <c r="F802" s="158">
        <v>45516.944374999999</v>
      </c>
    </row>
    <row r="803" spans="2:6" x14ac:dyDescent="0.25">
      <c r="B803" t="s">
        <v>104</v>
      </c>
      <c r="C803" t="s">
        <v>107</v>
      </c>
      <c r="D803" t="s">
        <v>91</v>
      </c>
      <c r="E803" t="s">
        <v>105</v>
      </c>
      <c r="F803" s="158">
        <v>45516.944374999999</v>
      </c>
    </row>
    <row r="804" spans="2:6" x14ac:dyDescent="0.25">
      <c r="B804" t="s">
        <v>108</v>
      </c>
      <c r="C804" t="s">
        <v>105</v>
      </c>
      <c r="D804" t="s">
        <v>105</v>
      </c>
      <c r="E804" t="s">
        <v>105</v>
      </c>
      <c r="F804" s="158">
        <v>45516.945150462961</v>
      </c>
    </row>
    <row r="805" spans="2:6" x14ac:dyDescent="0.25">
      <c r="B805" t="s">
        <v>109</v>
      </c>
      <c r="C805" t="s">
        <v>105</v>
      </c>
      <c r="D805" t="s">
        <v>105</v>
      </c>
      <c r="E805" t="s">
        <v>105</v>
      </c>
      <c r="F805" s="158">
        <v>45516.945150462961</v>
      </c>
    </row>
    <row r="806" spans="2:6" x14ac:dyDescent="0.25">
      <c r="B806" t="s">
        <v>110</v>
      </c>
      <c r="C806" t="s">
        <v>105</v>
      </c>
      <c r="D806" t="s">
        <v>92</v>
      </c>
      <c r="E806" t="s">
        <v>105</v>
      </c>
      <c r="F806" s="158">
        <v>45516.945150462961</v>
      </c>
    </row>
    <row r="807" spans="2:6" x14ac:dyDescent="0.25">
      <c r="B807" t="s">
        <v>110</v>
      </c>
      <c r="C807" t="s">
        <v>105</v>
      </c>
      <c r="D807" t="s">
        <v>91</v>
      </c>
      <c r="E807" t="s">
        <v>105</v>
      </c>
      <c r="F807" s="158">
        <v>45516.945150462961</v>
      </c>
    </row>
    <row r="808" spans="2:6" x14ac:dyDescent="0.25">
      <c r="B808" t="s">
        <v>102</v>
      </c>
      <c r="C808" t="s">
        <v>100</v>
      </c>
      <c r="D808" t="s">
        <v>100</v>
      </c>
      <c r="E808" t="s">
        <v>103</v>
      </c>
      <c r="F808" s="158">
        <v>45516.945185185185</v>
      </c>
    </row>
    <row r="809" spans="2:6" x14ac:dyDescent="0.25">
      <c r="B809" t="s">
        <v>104</v>
      </c>
      <c r="C809" t="s">
        <v>100</v>
      </c>
      <c r="D809" t="s">
        <v>105</v>
      </c>
      <c r="E809" t="s">
        <v>105</v>
      </c>
      <c r="F809" s="158">
        <v>45516.945208333331</v>
      </c>
    </row>
    <row r="810" spans="2:6" x14ac:dyDescent="0.25">
      <c r="B810" t="s">
        <v>104</v>
      </c>
      <c r="C810" t="s">
        <v>106</v>
      </c>
      <c r="D810" t="s">
        <v>91</v>
      </c>
      <c r="E810" t="s">
        <v>105</v>
      </c>
      <c r="F810" s="158">
        <v>45516.945219907408</v>
      </c>
    </row>
    <row r="811" spans="2:6" x14ac:dyDescent="0.25">
      <c r="B811" t="s">
        <v>104</v>
      </c>
      <c r="C811" t="s">
        <v>107</v>
      </c>
      <c r="D811" t="s">
        <v>91</v>
      </c>
      <c r="E811" t="s">
        <v>105</v>
      </c>
      <c r="F811" s="158">
        <v>45516.945219907408</v>
      </c>
    </row>
    <row r="812" spans="2:6" x14ac:dyDescent="0.25">
      <c r="B812" t="s">
        <v>108</v>
      </c>
      <c r="C812" t="s">
        <v>105</v>
      </c>
      <c r="D812" t="s">
        <v>105</v>
      </c>
      <c r="E812" t="s">
        <v>105</v>
      </c>
      <c r="F812" s="158">
        <v>45516.945347222223</v>
      </c>
    </row>
    <row r="813" spans="2:6" x14ac:dyDescent="0.25">
      <c r="B813" t="s">
        <v>109</v>
      </c>
      <c r="C813" t="s">
        <v>105</v>
      </c>
      <c r="D813" t="s">
        <v>105</v>
      </c>
      <c r="E813" t="s">
        <v>105</v>
      </c>
      <c r="F813" s="158">
        <v>45516.945347222223</v>
      </c>
    </row>
    <row r="814" spans="2:6" x14ac:dyDescent="0.25">
      <c r="B814" t="s">
        <v>110</v>
      </c>
      <c r="C814" t="s">
        <v>105</v>
      </c>
      <c r="D814" t="s">
        <v>92</v>
      </c>
      <c r="E814" t="s">
        <v>105</v>
      </c>
      <c r="F814" s="158">
        <v>45516.945347222223</v>
      </c>
    </row>
    <row r="815" spans="2:6" x14ac:dyDescent="0.25">
      <c r="B815" t="s">
        <v>110</v>
      </c>
      <c r="C815" t="s">
        <v>105</v>
      </c>
      <c r="D815" t="s">
        <v>91</v>
      </c>
      <c r="E815" t="s">
        <v>105</v>
      </c>
      <c r="F815" s="158">
        <v>45516.945347222223</v>
      </c>
    </row>
    <row r="816" spans="2:6" x14ac:dyDescent="0.25">
      <c r="B816" t="s">
        <v>102</v>
      </c>
      <c r="C816" t="s">
        <v>100</v>
      </c>
      <c r="D816" t="s">
        <v>100</v>
      </c>
      <c r="E816" t="s">
        <v>103</v>
      </c>
      <c r="F816" s="158">
        <v>45516.945416666669</v>
      </c>
    </row>
    <row r="817" spans="2:6" x14ac:dyDescent="0.25">
      <c r="B817" t="s">
        <v>104</v>
      </c>
      <c r="C817" t="s">
        <v>100</v>
      </c>
      <c r="D817" t="s">
        <v>105</v>
      </c>
      <c r="E817" t="s">
        <v>105</v>
      </c>
      <c r="F817" s="158">
        <v>45516.945439814815</v>
      </c>
    </row>
    <row r="818" spans="2:6" x14ac:dyDescent="0.25">
      <c r="B818" t="s">
        <v>104</v>
      </c>
      <c r="C818" t="s">
        <v>106</v>
      </c>
      <c r="D818" t="s">
        <v>91</v>
      </c>
      <c r="E818" t="s">
        <v>105</v>
      </c>
      <c r="F818" s="158">
        <v>45516.945439814815</v>
      </c>
    </row>
    <row r="819" spans="2:6" x14ac:dyDescent="0.25">
      <c r="B819" t="s">
        <v>104</v>
      </c>
      <c r="C819" t="s">
        <v>107</v>
      </c>
      <c r="D819" t="s">
        <v>92</v>
      </c>
      <c r="E819" t="s">
        <v>105</v>
      </c>
      <c r="F819" s="158">
        <v>45516.945439814815</v>
      </c>
    </row>
    <row r="820" spans="2:6" x14ac:dyDescent="0.25">
      <c r="B820" t="s">
        <v>108</v>
      </c>
      <c r="C820" t="s">
        <v>105</v>
      </c>
      <c r="D820" t="s">
        <v>105</v>
      </c>
      <c r="E820" t="s">
        <v>105</v>
      </c>
      <c r="F820" s="158">
        <v>45516.945497685185</v>
      </c>
    </row>
    <row r="821" spans="2:6" x14ac:dyDescent="0.25">
      <c r="B821" t="s">
        <v>109</v>
      </c>
      <c r="C821" t="s">
        <v>105</v>
      </c>
      <c r="D821" t="s">
        <v>105</v>
      </c>
      <c r="E821" t="s">
        <v>105</v>
      </c>
      <c r="F821" s="158">
        <v>45516.945497685185</v>
      </c>
    </row>
    <row r="822" spans="2:6" x14ac:dyDescent="0.25">
      <c r="B822" t="s">
        <v>110</v>
      </c>
      <c r="C822" t="s">
        <v>105</v>
      </c>
      <c r="D822" t="s">
        <v>92</v>
      </c>
      <c r="E822" t="s">
        <v>105</v>
      </c>
      <c r="F822" s="158">
        <v>45516.945497685185</v>
      </c>
    </row>
    <row r="823" spans="2:6" x14ac:dyDescent="0.25">
      <c r="B823" t="s">
        <v>110</v>
      </c>
      <c r="C823" t="s">
        <v>105</v>
      </c>
      <c r="D823" t="s">
        <v>91</v>
      </c>
      <c r="E823" t="s">
        <v>105</v>
      </c>
      <c r="F823" s="158">
        <v>45516.945497685185</v>
      </c>
    </row>
    <row r="824" spans="2:6" x14ac:dyDescent="0.25">
      <c r="B824" t="s">
        <v>108</v>
      </c>
      <c r="C824" t="s">
        <v>105</v>
      </c>
      <c r="D824" t="s">
        <v>105</v>
      </c>
      <c r="E824" t="s">
        <v>105</v>
      </c>
      <c r="F824" s="158">
        <v>45516.949953703705</v>
      </c>
    </row>
    <row r="825" spans="2:6" x14ac:dyDescent="0.25">
      <c r="B825" t="s">
        <v>109</v>
      </c>
      <c r="C825" t="s">
        <v>105</v>
      </c>
      <c r="D825" t="s">
        <v>105</v>
      </c>
      <c r="E825" t="s">
        <v>105</v>
      </c>
      <c r="F825" s="158">
        <v>45516.949953703705</v>
      </c>
    </row>
    <row r="826" spans="2:6" x14ac:dyDescent="0.25">
      <c r="B826" t="s">
        <v>110</v>
      </c>
      <c r="C826" t="s">
        <v>105</v>
      </c>
      <c r="D826" t="s">
        <v>92</v>
      </c>
      <c r="E826" t="s">
        <v>105</v>
      </c>
      <c r="F826" s="158">
        <v>45516.949953703705</v>
      </c>
    </row>
    <row r="827" spans="2:6" x14ac:dyDescent="0.25">
      <c r="B827" t="s">
        <v>110</v>
      </c>
      <c r="C827" t="s">
        <v>105</v>
      </c>
      <c r="D827" t="s">
        <v>91</v>
      </c>
      <c r="E827" t="s">
        <v>105</v>
      </c>
      <c r="F827" s="158">
        <v>45516.949953703705</v>
      </c>
    </row>
    <row r="828" spans="2:6" x14ac:dyDescent="0.25">
      <c r="B828" t="s">
        <v>102</v>
      </c>
      <c r="C828" t="s">
        <v>100</v>
      </c>
      <c r="D828" t="s">
        <v>100</v>
      </c>
      <c r="E828" t="s">
        <v>103</v>
      </c>
      <c r="F828" s="158">
        <v>45516.949988425928</v>
      </c>
    </row>
    <row r="829" spans="2:6" x14ac:dyDescent="0.25">
      <c r="B829" t="s">
        <v>104</v>
      </c>
      <c r="C829" t="s">
        <v>100</v>
      </c>
      <c r="D829" t="s">
        <v>105</v>
      </c>
      <c r="E829" t="s">
        <v>105</v>
      </c>
      <c r="F829" s="158">
        <v>45516.950023148151</v>
      </c>
    </row>
    <row r="830" spans="2:6" x14ac:dyDescent="0.25">
      <c r="B830" t="s">
        <v>104</v>
      </c>
      <c r="C830" t="s">
        <v>106</v>
      </c>
      <c r="D830" t="s">
        <v>91</v>
      </c>
      <c r="E830" t="s">
        <v>105</v>
      </c>
      <c r="F830" s="158">
        <v>45516.950023148151</v>
      </c>
    </row>
    <row r="831" spans="2:6" x14ac:dyDescent="0.25">
      <c r="B831" t="s">
        <v>104</v>
      </c>
      <c r="C831" t="s">
        <v>107</v>
      </c>
      <c r="D831" t="s">
        <v>91</v>
      </c>
      <c r="E831" t="s">
        <v>105</v>
      </c>
      <c r="F831" s="158">
        <v>45516.950023148151</v>
      </c>
    </row>
    <row r="832" spans="2:6" x14ac:dyDescent="0.25">
      <c r="B832" t="s">
        <v>108</v>
      </c>
      <c r="C832" t="s">
        <v>105</v>
      </c>
      <c r="D832" t="s">
        <v>105</v>
      </c>
      <c r="E832" t="s">
        <v>105</v>
      </c>
      <c r="F832" s="158">
        <v>45516.950127314813</v>
      </c>
    </row>
    <row r="833" spans="2:6" x14ac:dyDescent="0.25">
      <c r="B833" t="s">
        <v>109</v>
      </c>
      <c r="C833" t="s">
        <v>105</v>
      </c>
      <c r="D833" t="s">
        <v>105</v>
      </c>
      <c r="E833" t="s">
        <v>105</v>
      </c>
      <c r="F833" s="158">
        <v>45516.950127314813</v>
      </c>
    </row>
    <row r="834" spans="2:6" x14ac:dyDescent="0.25">
      <c r="B834" t="s">
        <v>110</v>
      </c>
      <c r="C834" t="s">
        <v>105</v>
      </c>
      <c r="D834" t="s">
        <v>92</v>
      </c>
      <c r="E834" t="s">
        <v>105</v>
      </c>
      <c r="F834" s="158">
        <v>45516.950127314813</v>
      </c>
    </row>
    <row r="835" spans="2:6" x14ac:dyDescent="0.25">
      <c r="B835" t="s">
        <v>110</v>
      </c>
      <c r="C835" t="s">
        <v>105</v>
      </c>
      <c r="D835" t="s">
        <v>91</v>
      </c>
      <c r="E835" t="s">
        <v>105</v>
      </c>
      <c r="F835" s="158">
        <v>45516.950127314813</v>
      </c>
    </row>
    <row r="836" spans="2:6" x14ac:dyDescent="0.25">
      <c r="B836" t="s">
        <v>102</v>
      </c>
      <c r="C836" t="s">
        <v>100</v>
      </c>
      <c r="D836" t="s">
        <v>100</v>
      </c>
      <c r="E836" t="s">
        <v>103</v>
      </c>
      <c r="F836" s="158">
        <v>45516.950254629628</v>
      </c>
    </row>
    <row r="837" spans="2:6" x14ac:dyDescent="0.25">
      <c r="B837" t="s">
        <v>104</v>
      </c>
      <c r="C837" t="s">
        <v>100</v>
      </c>
      <c r="D837" t="s">
        <v>105</v>
      </c>
      <c r="E837" t="s">
        <v>105</v>
      </c>
      <c r="F837" s="158">
        <v>45516.950277777774</v>
      </c>
    </row>
    <row r="838" spans="2:6" x14ac:dyDescent="0.25">
      <c r="B838" t="s">
        <v>104</v>
      </c>
      <c r="C838" t="s">
        <v>106</v>
      </c>
      <c r="D838" t="s">
        <v>91</v>
      </c>
      <c r="E838" t="s">
        <v>105</v>
      </c>
      <c r="F838" s="158">
        <v>45516.950277777774</v>
      </c>
    </row>
    <row r="839" spans="2:6" x14ac:dyDescent="0.25">
      <c r="B839" t="s">
        <v>104</v>
      </c>
      <c r="C839" t="s">
        <v>107</v>
      </c>
      <c r="D839" t="s">
        <v>92</v>
      </c>
      <c r="E839" t="s">
        <v>105</v>
      </c>
      <c r="F839" s="158">
        <v>45516.950277777774</v>
      </c>
    </row>
    <row r="840" spans="2:6" x14ac:dyDescent="0.25">
      <c r="B840" t="s">
        <v>108</v>
      </c>
      <c r="C840" t="s">
        <v>105</v>
      </c>
      <c r="D840" t="s">
        <v>105</v>
      </c>
      <c r="E840" t="s">
        <v>105</v>
      </c>
      <c r="F840" s="158">
        <v>45516.951284722221</v>
      </c>
    </row>
    <row r="841" spans="2:6" x14ac:dyDescent="0.25">
      <c r="B841" t="s">
        <v>109</v>
      </c>
      <c r="C841" t="s">
        <v>105</v>
      </c>
      <c r="D841" t="s">
        <v>105</v>
      </c>
      <c r="E841" t="s">
        <v>105</v>
      </c>
      <c r="F841" s="158">
        <v>45516.951284722221</v>
      </c>
    </row>
    <row r="842" spans="2:6" x14ac:dyDescent="0.25">
      <c r="B842" t="s">
        <v>110</v>
      </c>
      <c r="C842" t="s">
        <v>105</v>
      </c>
      <c r="D842" t="s">
        <v>92</v>
      </c>
      <c r="E842" t="s">
        <v>105</v>
      </c>
      <c r="F842" s="158">
        <v>45516.951284722221</v>
      </c>
    </row>
    <row r="843" spans="2:6" x14ac:dyDescent="0.25">
      <c r="B843" t="s">
        <v>110</v>
      </c>
      <c r="C843" t="s">
        <v>105</v>
      </c>
      <c r="D843" t="s">
        <v>91</v>
      </c>
      <c r="E843" t="s">
        <v>105</v>
      </c>
      <c r="F843" s="158">
        <v>45516.951296296298</v>
      </c>
    </row>
    <row r="844" spans="2:6" x14ac:dyDescent="0.25">
      <c r="B844" t="s">
        <v>102</v>
      </c>
      <c r="C844" t="s">
        <v>100</v>
      </c>
      <c r="D844" t="s">
        <v>100</v>
      </c>
      <c r="E844" t="s">
        <v>103</v>
      </c>
      <c r="F844" s="158">
        <v>45516.951423611114</v>
      </c>
    </row>
    <row r="845" spans="2:6" x14ac:dyDescent="0.25">
      <c r="B845" t="s">
        <v>104</v>
      </c>
      <c r="C845" t="s">
        <v>100</v>
      </c>
      <c r="D845" t="s">
        <v>105</v>
      </c>
      <c r="E845" t="s">
        <v>105</v>
      </c>
      <c r="F845" s="158">
        <v>45516.951458333337</v>
      </c>
    </row>
    <row r="846" spans="2:6" x14ac:dyDescent="0.25">
      <c r="B846" t="s">
        <v>104</v>
      </c>
      <c r="C846" t="s">
        <v>106</v>
      </c>
      <c r="D846" t="s">
        <v>91</v>
      </c>
      <c r="E846" t="s">
        <v>105</v>
      </c>
      <c r="F846" s="158">
        <v>45516.951458333337</v>
      </c>
    </row>
    <row r="847" spans="2:6" x14ac:dyDescent="0.25">
      <c r="B847" t="s">
        <v>104</v>
      </c>
      <c r="C847" t="s">
        <v>107</v>
      </c>
      <c r="D847" t="s">
        <v>92</v>
      </c>
      <c r="E847" t="s">
        <v>105</v>
      </c>
      <c r="F847" s="158">
        <v>45516.951458333337</v>
      </c>
    </row>
    <row r="848" spans="2:6" x14ac:dyDescent="0.25">
      <c r="B848" t="s">
        <v>108</v>
      </c>
      <c r="C848" t="s">
        <v>105</v>
      </c>
      <c r="D848" t="s">
        <v>105</v>
      </c>
      <c r="E848" t="s">
        <v>105</v>
      </c>
      <c r="F848" s="158">
        <v>45516.953009259261</v>
      </c>
    </row>
    <row r="849" spans="2:6" x14ac:dyDescent="0.25">
      <c r="B849" t="s">
        <v>109</v>
      </c>
      <c r="C849" t="s">
        <v>105</v>
      </c>
      <c r="D849" t="s">
        <v>105</v>
      </c>
      <c r="E849" t="s">
        <v>105</v>
      </c>
      <c r="F849" s="158">
        <v>45516.953009259261</v>
      </c>
    </row>
    <row r="850" spans="2:6" x14ac:dyDescent="0.25">
      <c r="B850" t="s">
        <v>110</v>
      </c>
      <c r="C850" t="s">
        <v>105</v>
      </c>
      <c r="D850" t="s">
        <v>92</v>
      </c>
      <c r="E850" t="s">
        <v>105</v>
      </c>
      <c r="F850" s="158">
        <v>45516.953009259261</v>
      </c>
    </row>
    <row r="851" spans="2:6" x14ac:dyDescent="0.25">
      <c r="B851" t="s">
        <v>110</v>
      </c>
      <c r="C851" t="s">
        <v>105</v>
      </c>
      <c r="D851" t="s">
        <v>91</v>
      </c>
      <c r="E851" t="s">
        <v>105</v>
      </c>
      <c r="F851" s="158">
        <v>45516.953009259261</v>
      </c>
    </row>
    <row r="852" spans="2:6" x14ac:dyDescent="0.25">
      <c r="B852" t="s">
        <v>102</v>
      </c>
      <c r="C852" t="s">
        <v>100</v>
      </c>
      <c r="D852" t="s">
        <v>100</v>
      </c>
      <c r="E852" t="s">
        <v>103</v>
      </c>
      <c r="F852" s="158">
        <v>45516.953125</v>
      </c>
    </row>
    <row r="853" spans="2:6" x14ac:dyDescent="0.25">
      <c r="B853" t="s">
        <v>104</v>
      </c>
      <c r="C853" t="s">
        <v>100</v>
      </c>
      <c r="D853" t="s">
        <v>105</v>
      </c>
      <c r="E853" t="s">
        <v>105</v>
      </c>
      <c r="F853" s="158">
        <v>45516.953148148146</v>
      </c>
    </row>
    <row r="854" spans="2:6" x14ac:dyDescent="0.25">
      <c r="B854" t="s">
        <v>104</v>
      </c>
      <c r="C854" t="s">
        <v>106</v>
      </c>
      <c r="D854" t="s">
        <v>91</v>
      </c>
      <c r="E854" t="s">
        <v>105</v>
      </c>
      <c r="F854" s="158">
        <v>45516.953148148146</v>
      </c>
    </row>
    <row r="855" spans="2:6" x14ac:dyDescent="0.25">
      <c r="B855" t="s">
        <v>104</v>
      </c>
      <c r="C855" t="s">
        <v>107</v>
      </c>
      <c r="D855" t="s">
        <v>92</v>
      </c>
      <c r="E855" t="s">
        <v>105</v>
      </c>
      <c r="F855" s="158">
        <v>45516.953159722223</v>
      </c>
    </row>
    <row r="856" spans="2:6" x14ac:dyDescent="0.25">
      <c r="B856" t="s">
        <v>108</v>
      </c>
      <c r="C856" t="s">
        <v>105</v>
      </c>
      <c r="D856" t="s">
        <v>105</v>
      </c>
      <c r="E856" t="s">
        <v>105</v>
      </c>
      <c r="F856" s="158">
        <v>45516.956354166665</v>
      </c>
    </row>
    <row r="857" spans="2:6" x14ac:dyDescent="0.25">
      <c r="B857" t="s">
        <v>109</v>
      </c>
      <c r="C857" t="s">
        <v>105</v>
      </c>
      <c r="D857" t="s">
        <v>105</v>
      </c>
      <c r="E857" t="s">
        <v>105</v>
      </c>
      <c r="F857" s="158">
        <v>45516.956354166665</v>
      </c>
    </row>
    <row r="858" spans="2:6" x14ac:dyDescent="0.25">
      <c r="B858" t="s">
        <v>110</v>
      </c>
      <c r="C858" t="s">
        <v>105</v>
      </c>
      <c r="D858" t="s">
        <v>92</v>
      </c>
      <c r="E858" t="s">
        <v>105</v>
      </c>
      <c r="F858" s="158">
        <v>45516.956354166665</v>
      </c>
    </row>
    <row r="859" spans="2:6" x14ac:dyDescent="0.25">
      <c r="B859" t="s">
        <v>110</v>
      </c>
      <c r="C859" t="s">
        <v>105</v>
      </c>
      <c r="D859" t="s">
        <v>91</v>
      </c>
      <c r="E859" t="s">
        <v>105</v>
      </c>
      <c r="F859" s="158">
        <v>45516.956354166665</v>
      </c>
    </row>
    <row r="860" spans="2:6" x14ac:dyDescent="0.25">
      <c r="B860" t="s">
        <v>102</v>
      </c>
      <c r="C860" t="s">
        <v>100</v>
      </c>
      <c r="D860" t="s">
        <v>100</v>
      </c>
      <c r="E860" t="s">
        <v>103</v>
      </c>
      <c r="F860" s="158">
        <v>45516.956377314818</v>
      </c>
    </row>
    <row r="861" spans="2:6" x14ac:dyDescent="0.25">
      <c r="B861" t="s">
        <v>104</v>
      </c>
      <c r="C861" t="s">
        <v>100</v>
      </c>
      <c r="D861" t="s">
        <v>105</v>
      </c>
      <c r="E861" t="s">
        <v>105</v>
      </c>
      <c r="F861" s="158">
        <v>45516.956412037034</v>
      </c>
    </row>
    <row r="862" spans="2:6" x14ac:dyDescent="0.25">
      <c r="B862" t="s">
        <v>104</v>
      </c>
      <c r="C862" t="s">
        <v>106</v>
      </c>
      <c r="D862" t="s">
        <v>91</v>
      </c>
      <c r="E862" t="s">
        <v>105</v>
      </c>
      <c r="F862" s="158">
        <v>45516.956412037034</v>
      </c>
    </row>
    <row r="863" spans="2:6" x14ac:dyDescent="0.25">
      <c r="B863" t="s">
        <v>104</v>
      </c>
      <c r="C863" t="s">
        <v>107</v>
      </c>
      <c r="D863" t="s">
        <v>92</v>
      </c>
      <c r="E863" t="s">
        <v>105</v>
      </c>
      <c r="F863" s="158">
        <v>45516.956412037034</v>
      </c>
    </row>
    <row r="864" spans="2:6" x14ac:dyDescent="0.25">
      <c r="B864" t="s">
        <v>108</v>
      </c>
      <c r="C864" t="s">
        <v>105</v>
      </c>
      <c r="D864" t="s">
        <v>105</v>
      </c>
      <c r="E864" t="s">
        <v>105</v>
      </c>
      <c r="F864" s="158">
        <v>45516.959097222221</v>
      </c>
    </row>
    <row r="865" spans="2:6" x14ac:dyDescent="0.25">
      <c r="B865" t="s">
        <v>109</v>
      </c>
      <c r="C865" t="s">
        <v>105</v>
      </c>
      <c r="D865" t="s">
        <v>105</v>
      </c>
      <c r="E865" t="s">
        <v>105</v>
      </c>
      <c r="F865" s="158">
        <v>45516.959097222221</v>
      </c>
    </row>
    <row r="866" spans="2:6" x14ac:dyDescent="0.25">
      <c r="B866" t="s">
        <v>110</v>
      </c>
      <c r="C866" t="s">
        <v>105</v>
      </c>
      <c r="D866" t="s">
        <v>92</v>
      </c>
      <c r="E866" t="s">
        <v>105</v>
      </c>
      <c r="F866" s="158">
        <v>45516.959097222221</v>
      </c>
    </row>
    <row r="867" spans="2:6" x14ac:dyDescent="0.25">
      <c r="B867" t="s">
        <v>110</v>
      </c>
      <c r="C867" t="s">
        <v>105</v>
      </c>
      <c r="D867" t="s">
        <v>91</v>
      </c>
      <c r="E867" t="s">
        <v>105</v>
      </c>
      <c r="F867" s="158">
        <v>45516.959097222221</v>
      </c>
    </row>
    <row r="868" spans="2:6" x14ac:dyDescent="0.25">
      <c r="B868" t="s">
        <v>102</v>
      </c>
      <c r="C868" t="s">
        <v>100</v>
      </c>
      <c r="D868" t="s">
        <v>100</v>
      </c>
      <c r="E868" t="s">
        <v>103</v>
      </c>
      <c r="F868" s="158">
        <v>45516.959131944444</v>
      </c>
    </row>
    <row r="869" spans="2:6" x14ac:dyDescent="0.25">
      <c r="B869" t="s">
        <v>104</v>
      </c>
      <c r="C869" t="s">
        <v>100</v>
      </c>
      <c r="D869" t="s">
        <v>105</v>
      </c>
      <c r="E869" t="s">
        <v>105</v>
      </c>
      <c r="F869" s="158">
        <v>45516.959166666667</v>
      </c>
    </row>
    <row r="870" spans="2:6" x14ac:dyDescent="0.25">
      <c r="B870" t="s">
        <v>104</v>
      </c>
      <c r="C870" t="s">
        <v>106</v>
      </c>
      <c r="D870" t="s">
        <v>91</v>
      </c>
      <c r="E870" t="s">
        <v>105</v>
      </c>
      <c r="F870" s="158">
        <v>45516.959166666667</v>
      </c>
    </row>
    <row r="871" spans="2:6" x14ac:dyDescent="0.25">
      <c r="B871" t="s">
        <v>104</v>
      </c>
      <c r="C871" t="s">
        <v>107</v>
      </c>
      <c r="D871" t="s">
        <v>92</v>
      </c>
      <c r="E871" t="s">
        <v>105</v>
      </c>
      <c r="F871" s="158">
        <v>45516.959166666667</v>
      </c>
    </row>
    <row r="872" spans="2:6" x14ac:dyDescent="0.25">
      <c r="B872" t="s">
        <v>108</v>
      </c>
      <c r="C872" t="s">
        <v>105</v>
      </c>
      <c r="D872" t="s">
        <v>105</v>
      </c>
      <c r="E872" t="s">
        <v>105</v>
      </c>
      <c r="F872" s="158">
        <v>45516.959236111114</v>
      </c>
    </row>
    <row r="873" spans="2:6" x14ac:dyDescent="0.25">
      <c r="B873" t="s">
        <v>109</v>
      </c>
      <c r="C873" t="s">
        <v>105</v>
      </c>
      <c r="D873" t="s">
        <v>105</v>
      </c>
      <c r="E873" t="s">
        <v>105</v>
      </c>
      <c r="F873" s="158">
        <v>45516.959236111114</v>
      </c>
    </row>
    <row r="874" spans="2:6" x14ac:dyDescent="0.25">
      <c r="B874" t="s">
        <v>110</v>
      </c>
      <c r="C874" t="s">
        <v>105</v>
      </c>
      <c r="D874" t="s">
        <v>92</v>
      </c>
      <c r="E874" t="s">
        <v>105</v>
      </c>
      <c r="F874" s="158">
        <v>45516.959236111114</v>
      </c>
    </row>
    <row r="875" spans="2:6" x14ac:dyDescent="0.25">
      <c r="B875" t="s">
        <v>110</v>
      </c>
      <c r="C875" t="s">
        <v>105</v>
      </c>
      <c r="D875" t="s">
        <v>91</v>
      </c>
      <c r="E875" t="s">
        <v>105</v>
      </c>
      <c r="F875" s="158">
        <v>45516.959236111114</v>
      </c>
    </row>
    <row r="876" spans="2:6" x14ac:dyDescent="0.25">
      <c r="B876" t="s">
        <v>102</v>
      </c>
      <c r="C876" t="s">
        <v>100</v>
      </c>
      <c r="D876" t="s">
        <v>100</v>
      </c>
      <c r="E876" t="s">
        <v>103</v>
      </c>
      <c r="F876" s="158">
        <v>45516.959270833337</v>
      </c>
    </row>
    <row r="877" spans="2:6" x14ac:dyDescent="0.25">
      <c r="B877" t="s">
        <v>104</v>
      </c>
      <c r="C877" t="s">
        <v>100</v>
      </c>
      <c r="D877" t="s">
        <v>105</v>
      </c>
      <c r="E877" t="s">
        <v>105</v>
      </c>
      <c r="F877" s="158">
        <v>45516.959293981483</v>
      </c>
    </row>
    <row r="878" spans="2:6" x14ac:dyDescent="0.25">
      <c r="B878" t="s">
        <v>104</v>
      </c>
      <c r="C878" t="s">
        <v>106</v>
      </c>
      <c r="D878" t="s">
        <v>91</v>
      </c>
      <c r="E878" t="s">
        <v>105</v>
      </c>
      <c r="F878" s="158">
        <v>45516.959293981483</v>
      </c>
    </row>
    <row r="879" spans="2:6" x14ac:dyDescent="0.25">
      <c r="B879" t="s">
        <v>104</v>
      </c>
      <c r="C879" t="s">
        <v>107</v>
      </c>
      <c r="D879" t="s">
        <v>92</v>
      </c>
      <c r="E879" t="s">
        <v>105</v>
      </c>
      <c r="F879" s="158">
        <v>45516.959293981483</v>
      </c>
    </row>
    <row r="880" spans="2:6" x14ac:dyDescent="0.25">
      <c r="B880" t="s">
        <v>108</v>
      </c>
      <c r="C880" t="s">
        <v>105</v>
      </c>
      <c r="D880" t="s">
        <v>105</v>
      </c>
      <c r="E880" t="s">
        <v>105</v>
      </c>
      <c r="F880" s="158">
        <v>45516.959351851852</v>
      </c>
    </row>
    <row r="881" spans="2:6" x14ac:dyDescent="0.25">
      <c r="B881" t="s">
        <v>109</v>
      </c>
      <c r="C881" t="s">
        <v>105</v>
      </c>
      <c r="D881" t="s">
        <v>105</v>
      </c>
      <c r="E881" t="s">
        <v>105</v>
      </c>
      <c r="F881" s="158">
        <v>45516.959351851852</v>
      </c>
    </row>
    <row r="882" spans="2:6" x14ac:dyDescent="0.25">
      <c r="B882" t="s">
        <v>110</v>
      </c>
      <c r="C882" t="s">
        <v>105</v>
      </c>
      <c r="D882" t="s">
        <v>92</v>
      </c>
      <c r="E882" t="s">
        <v>105</v>
      </c>
      <c r="F882" s="158">
        <v>45516.959351851852</v>
      </c>
    </row>
    <row r="883" spans="2:6" x14ac:dyDescent="0.25">
      <c r="B883" t="s">
        <v>110</v>
      </c>
      <c r="C883" t="s">
        <v>105</v>
      </c>
      <c r="D883" t="s">
        <v>91</v>
      </c>
      <c r="E883" t="s">
        <v>105</v>
      </c>
      <c r="F883" s="158">
        <v>45516.959351851852</v>
      </c>
    </row>
    <row r="884" spans="2:6" x14ac:dyDescent="0.25">
      <c r="B884" t="s">
        <v>108</v>
      </c>
      <c r="C884" t="s">
        <v>105</v>
      </c>
      <c r="D884" t="s">
        <v>105</v>
      </c>
      <c r="E884" t="s">
        <v>105</v>
      </c>
      <c r="F884" s="158">
        <v>45516.962013888886</v>
      </c>
    </row>
    <row r="885" spans="2:6" x14ac:dyDescent="0.25">
      <c r="B885" t="s">
        <v>109</v>
      </c>
      <c r="C885" t="s">
        <v>105</v>
      </c>
      <c r="D885" t="s">
        <v>105</v>
      </c>
      <c r="E885" t="s">
        <v>105</v>
      </c>
      <c r="F885" s="158">
        <v>45516.962013888886</v>
      </c>
    </row>
    <row r="886" spans="2:6" x14ac:dyDescent="0.25">
      <c r="B886" t="s">
        <v>110</v>
      </c>
      <c r="C886" t="s">
        <v>105</v>
      </c>
      <c r="D886" t="s">
        <v>92</v>
      </c>
      <c r="E886" t="s">
        <v>105</v>
      </c>
      <c r="F886" s="158">
        <v>45516.962013888886</v>
      </c>
    </row>
    <row r="887" spans="2:6" x14ac:dyDescent="0.25">
      <c r="B887" t="s">
        <v>110</v>
      </c>
      <c r="C887" t="s">
        <v>105</v>
      </c>
      <c r="D887" t="s">
        <v>91</v>
      </c>
      <c r="E887" t="s">
        <v>105</v>
      </c>
      <c r="F887" s="158">
        <v>45516.962013888886</v>
      </c>
    </row>
    <row r="888" spans="2:6" x14ac:dyDescent="0.25">
      <c r="B888" t="s">
        <v>102</v>
      </c>
      <c r="C888" t="s">
        <v>100</v>
      </c>
      <c r="D888" t="s">
        <v>100</v>
      </c>
      <c r="E888" t="s">
        <v>103</v>
      </c>
      <c r="F888" s="158">
        <v>45516.962060185186</v>
      </c>
    </row>
    <row r="889" spans="2:6" x14ac:dyDescent="0.25">
      <c r="B889" t="s">
        <v>104</v>
      </c>
      <c r="C889" t="s">
        <v>100</v>
      </c>
      <c r="D889" t="s">
        <v>105</v>
      </c>
      <c r="E889" t="s">
        <v>105</v>
      </c>
      <c r="F889" s="158">
        <v>45516.962083333332</v>
      </c>
    </row>
    <row r="890" spans="2:6" x14ac:dyDescent="0.25">
      <c r="B890" t="s">
        <v>104</v>
      </c>
      <c r="C890" t="s">
        <v>106</v>
      </c>
      <c r="D890" t="s">
        <v>91</v>
      </c>
      <c r="E890" t="s">
        <v>105</v>
      </c>
      <c r="F890" s="158">
        <v>45516.962083333332</v>
      </c>
    </row>
    <row r="891" spans="2:6" x14ac:dyDescent="0.25">
      <c r="B891" t="s">
        <v>104</v>
      </c>
      <c r="C891" t="s">
        <v>107</v>
      </c>
      <c r="D891" t="s">
        <v>92</v>
      </c>
      <c r="E891" t="s">
        <v>105</v>
      </c>
      <c r="F891" s="158">
        <v>45516.962094907409</v>
      </c>
    </row>
    <row r="892" spans="2:6" x14ac:dyDescent="0.25">
      <c r="B892" t="s">
        <v>108</v>
      </c>
      <c r="C892" t="s">
        <v>105</v>
      </c>
      <c r="D892" t="s">
        <v>105</v>
      </c>
      <c r="E892" t="s">
        <v>105</v>
      </c>
      <c r="F892" s="158">
        <v>45516.962256944447</v>
      </c>
    </row>
    <row r="893" spans="2:6" x14ac:dyDescent="0.25">
      <c r="B893" t="s">
        <v>109</v>
      </c>
      <c r="C893" t="s">
        <v>105</v>
      </c>
      <c r="D893" t="s">
        <v>105</v>
      </c>
      <c r="E893" t="s">
        <v>105</v>
      </c>
      <c r="F893" s="158">
        <v>45516.962256944447</v>
      </c>
    </row>
    <row r="894" spans="2:6" x14ac:dyDescent="0.25">
      <c r="B894" t="s">
        <v>110</v>
      </c>
      <c r="C894" t="s">
        <v>105</v>
      </c>
      <c r="D894" t="s">
        <v>92</v>
      </c>
      <c r="E894" t="s">
        <v>105</v>
      </c>
      <c r="F894" s="158">
        <v>45516.962256944447</v>
      </c>
    </row>
    <row r="895" spans="2:6" x14ac:dyDescent="0.25">
      <c r="B895" t="s">
        <v>110</v>
      </c>
      <c r="C895" t="s">
        <v>105</v>
      </c>
      <c r="D895" t="s">
        <v>91</v>
      </c>
      <c r="E895" t="s">
        <v>105</v>
      </c>
      <c r="F895" s="158">
        <v>45516.962256944447</v>
      </c>
    </row>
    <row r="896" spans="2:6" x14ac:dyDescent="0.25">
      <c r="B896" t="s">
        <v>113</v>
      </c>
      <c r="C896" t="s">
        <v>105</v>
      </c>
      <c r="D896" t="s">
        <v>105</v>
      </c>
      <c r="E896" t="s">
        <v>114</v>
      </c>
      <c r="F896" s="158">
        <v>45516.965520833335</v>
      </c>
    </row>
    <row r="897" spans="2:6" x14ac:dyDescent="0.25">
      <c r="B897" t="s">
        <v>111</v>
      </c>
      <c r="C897" t="s">
        <v>105</v>
      </c>
      <c r="D897" t="s">
        <v>105</v>
      </c>
      <c r="E897" t="s">
        <v>105</v>
      </c>
      <c r="F897" s="158">
        <v>45516.965520833335</v>
      </c>
    </row>
    <row r="898" spans="2:6" x14ac:dyDescent="0.25">
      <c r="B898" t="s">
        <v>109</v>
      </c>
      <c r="C898" t="s">
        <v>105</v>
      </c>
      <c r="D898" t="s">
        <v>105</v>
      </c>
      <c r="E898" t="s">
        <v>105</v>
      </c>
      <c r="F898" s="158">
        <v>45516.965520833335</v>
      </c>
    </row>
    <row r="899" spans="2:6" x14ac:dyDescent="0.25">
      <c r="B899" t="s">
        <v>115</v>
      </c>
      <c r="C899" t="s">
        <v>100</v>
      </c>
      <c r="D899" t="s">
        <v>100</v>
      </c>
      <c r="E899" t="s">
        <v>103</v>
      </c>
      <c r="F899" s="158">
        <v>45516.965520833335</v>
      </c>
    </row>
    <row r="900" spans="2:6" x14ac:dyDescent="0.25">
      <c r="B900" t="s">
        <v>104</v>
      </c>
      <c r="C900" t="s">
        <v>100</v>
      </c>
      <c r="D900" t="s">
        <v>105</v>
      </c>
      <c r="E900" t="s">
        <v>105</v>
      </c>
      <c r="F900" s="158">
        <v>45516.965543981481</v>
      </c>
    </row>
    <row r="901" spans="2:6" x14ac:dyDescent="0.25">
      <c r="B901" t="s">
        <v>104</v>
      </c>
      <c r="C901" t="s">
        <v>106</v>
      </c>
      <c r="D901" t="s">
        <v>91</v>
      </c>
      <c r="E901" t="s">
        <v>105</v>
      </c>
      <c r="F901" s="158">
        <v>45516.965543981481</v>
      </c>
    </row>
    <row r="902" spans="2:6" x14ac:dyDescent="0.25">
      <c r="B902" t="s">
        <v>104</v>
      </c>
      <c r="C902" t="s">
        <v>107</v>
      </c>
      <c r="D902" t="s">
        <v>92</v>
      </c>
      <c r="E902" t="s">
        <v>105</v>
      </c>
      <c r="F902" s="158">
        <v>45516.965555555558</v>
      </c>
    </row>
    <row r="903" spans="2:6" x14ac:dyDescent="0.25">
      <c r="B903" t="s">
        <v>111</v>
      </c>
      <c r="C903" t="s">
        <v>105</v>
      </c>
      <c r="D903" t="s">
        <v>105</v>
      </c>
      <c r="E903" t="s">
        <v>105</v>
      </c>
      <c r="F903" s="158">
        <v>45516.965567129628</v>
      </c>
    </row>
    <row r="904" spans="2:6" x14ac:dyDescent="0.25">
      <c r="B904" t="s">
        <v>109</v>
      </c>
      <c r="C904" t="s">
        <v>105</v>
      </c>
      <c r="D904" t="s">
        <v>105</v>
      </c>
      <c r="E904" t="s">
        <v>105</v>
      </c>
      <c r="F904" s="158">
        <v>45516.965567129628</v>
      </c>
    </row>
    <row r="905" spans="2:6" x14ac:dyDescent="0.25">
      <c r="B905" t="s">
        <v>116</v>
      </c>
      <c r="C905" t="s">
        <v>100</v>
      </c>
      <c r="D905" t="s">
        <v>100</v>
      </c>
      <c r="E905" t="s">
        <v>117</v>
      </c>
      <c r="F905" s="158">
        <v>45516.965567129628</v>
      </c>
    </row>
    <row r="906" spans="2:6" x14ac:dyDescent="0.25">
      <c r="B906" t="s">
        <v>118</v>
      </c>
      <c r="C906" t="s">
        <v>100</v>
      </c>
      <c r="D906" t="s">
        <v>105</v>
      </c>
      <c r="E906" t="s">
        <v>105</v>
      </c>
      <c r="F906" s="158">
        <v>45516.965590277781</v>
      </c>
    </row>
    <row r="907" spans="2:6" x14ac:dyDescent="0.25">
      <c r="B907" t="s">
        <v>118</v>
      </c>
      <c r="C907" t="s">
        <v>106</v>
      </c>
      <c r="D907" t="s">
        <v>91</v>
      </c>
      <c r="E907" t="s">
        <v>105</v>
      </c>
      <c r="F907" s="158">
        <v>45516.965590277781</v>
      </c>
    </row>
    <row r="908" spans="2:6" x14ac:dyDescent="0.25">
      <c r="B908" t="s">
        <v>118</v>
      </c>
      <c r="C908" t="s">
        <v>107</v>
      </c>
      <c r="D908" t="s">
        <v>92</v>
      </c>
      <c r="E908" t="s">
        <v>105</v>
      </c>
      <c r="F908" s="158">
        <v>45516.965590277781</v>
      </c>
    </row>
    <row r="909" spans="2:6" x14ac:dyDescent="0.25">
      <c r="B909" t="s">
        <v>111</v>
      </c>
      <c r="C909" t="s">
        <v>105</v>
      </c>
      <c r="D909" t="s">
        <v>105</v>
      </c>
      <c r="E909" t="s">
        <v>105</v>
      </c>
      <c r="F909" s="158">
        <v>45516.965601851851</v>
      </c>
    </row>
    <row r="910" spans="2:6" x14ac:dyDescent="0.25">
      <c r="B910" t="s">
        <v>109</v>
      </c>
      <c r="C910" t="s">
        <v>105</v>
      </c>
      <c r="D910" t="s">
        <v>105</v>
      </c>
      <c r="E910" t="s">
        <v>105</v>
      </c>
      <c r="F910" s="158">
        <v>45516.965601851851</v>
      </c>
    </row>
    <row r="911" spans="2:6" x14ac:dyDescent="0.25">
      <c r="B911" t="s">
        <v>119</v>
      </c>
      <c r="C911" t="s">
        <v>100</v>
      </c>
      <c r="D911" t="s">
        <v>100</v>
      </c>
      <c r="E911" t="s">
        <v>120</v>
      </c>
      <c r="F911" s="158">
        <v>45516.965601851851</v>
      </c>
    </row>
    <row r="912" spans="2:6" x14ac:dyDescent="0.25">
      <c r="B912" t="s">
        <v>121</v>
      </c>
      <c r="C912" t="s">
        <v>100</v>
      </c>
      <c r="D912" t="s">
        <v>105</v>
      </c>
      <c r="E912" t="s">
        <v>105</v>
      </c>
      <c r="F912" s="158">
        <v>45516.965624999997</v>
      </c>
    </row>
    <row r="913" spans="2:6" x14ac:dyDescent="0.25">
      <c r="B913" t="s">
        <v>121</v>
      </c>
      <c r="C913" t="s">
        <v>106</v>
      </c>
      <c r="D913" t="s">
        <v>91</v>
      </c>
      <c r="E913" t="s">
        <v>105</v>
      </c>
      <c r="F913" s="158">
        <v>45516.965624999997</v>
      </c>
    </row>
    <row r="914" spans="2:6" x14ac:dyDescent="0.25">
      <c r="B914" t="s">
        <v>121</v>
      </c>
      <c r="C914" t="s">
        <v>107</v>
      </c>
      <c r="D914" t="s">
        <v>92</v>
      </c>
      <c r="E914" t="s">
        <v>105</v>
      </c>
      <c r="F914" s="158">
        <v>45516.965624999997</v>
      </c>
    </row>
    <row r="915" spans="2:6" x14ac:dyDescent="0.25">
      <c r="B915" t="s">
        <v>111</v>
      </c>
      <c r="C915" t="s">
        <v>105</v>
      </c>
      <c r="D915" t="s">
        <v>105</v>
      </c>
      <c r="E915" t="s">
        <v>105</v>
      </c>
      <c r="F915" s="158">
        <v>45516.965636574074</v>
      </c>
    </row>
    <row r="916" spans="2:6" x14ac:dyDescent="0.25">
      <c r="B916" t="s">
        <v>109</v>
      </c>
      <c r="C916" t="s">
        <v>105</v>
      </c>
      <c r="D916" t="s">
        <v>105</v>
      </c>
      <c r="E916" t="s">
        <v>105</v>
      </c>
      <c r="F916" s="158">
        <v>45516.965636574074</v>
      </c>
    </row>
    <row r="917" spans="2:6" x14ac:dyDescent="0.25">
      <c r="B917" t="s">
        <v>122</v>
      </c>
      <c r="C917" t="s">
        <v>100</v>
      </c>
      <c r="D917" t="s">
        <v>100</v>
      </c>
      <c r="E917" t="s">
        <v>123</v>
      </c>
      <c r="F917" s="158">
        <v>45516.965636574074</v>
      </c>
    </row>
    <row r="918" spans="2:6" x14ac:dyDescent="0.25">
      <c r="B918" t="s">
        <v>124</v>
      </c>
      <c r="C918" t="s">
        <v>100</v>
      </c>
      <c r="D918" t="s">
        <v>105</v>
      </c>
      <c r="E918" t="s">
        <v>105</v>
      </c>
      <c r="F918" s="158">
        <v>45516.96565972222</v>
      </c>
    </row>
    <row r="919" spans="2:6" x14ac:dyDescent="0.25">
      <c r="B919" t="s">
        <v>124</v>
      </c>
      <c r="C919" t="s">
        <v>106</v>
      </c>
      <c r="D919" t="s">
        <v>91</v>
      </c>
      <c r="E919" t="s">
        <v>105</v>
      </c>
      <c r="F919" s="158">
        <v>45516.96565972222</v>
      </c>
    </row>
    <row r="920" spans="2:6" x14ac:dyDescent="0.25">
      <c r="B920" t="s">
        <v>124</v>
      </c>
      <c r="C920" t="s">
        <v>107</v>
      </c>
      <c r="D920" t="s">
        <v>92</v>
      </c>
      <c r="E920" t="s">
        <v>105</v>
      </c>
      <c r="F920" s="158">
        <v>45516.96565972222</v>
      </c>
    </row>
    <row r="921" spans="2:6" x14ac:dyDescent="0.25">
      <c r="B921" t="s">
        <v>111</v>
      </c>
      <c r="C921" t="s">
        <v>105</v>
      </c>
      <c r="D921" t="s">
        <v>105</v>
      </c>
      <c r="E921" t="s">
        <v>105</v>
      </c>
      <c r="F921" s="158">
        <v>45516.965671296297</v>
      </c>
    </row>
    <row r="922" spans="2:6" x14ac:dyDescent="0.25">
      <c r="B922" t="s">
        <v>109</v>
      </c>
      <c r="C922" t="s">
        <v>105</v>
      </c>
      <c r="D922" t="s">
        <v>105</v>
      </c>
      <c r="E922" t="s">
        <v>105</v>
      </c>
      <c r="F922" s="158">
        <v>45516.965671296297</v>
      </c>
    </row>
    <row r="923" spans="2:6" x14ac:dyDescent="0.25">
      <c r="B923" t="s">
        <v>125</v>
      </c>
      <c r="C923" t="s">
        <v>100</v>
      </c>
      <c r="D923" t="s">
        <v>100</v>
      </c>
      <c r="E923" t="s">
        <v>126</v>
      </c>
      <c r="F923" s="158">
        <v>45516.965682870374</v>
      </c>
    </row>
    <row r="924" spans="2:6" x14ac:dyDescent="0.25">
      <c r="B924" t="s">
        <v>127</v>
      </c>
      <c r="C924" t="s">
        <v>100</v>
      </c>
      <c r="D924" t="s">
        <v>105</v>
      </c>
      <c r="E924" t="s">
        <v>105</v>
      </c>
      <c r="F924" s="158">
        <v>45516.965694444443</v>
      </c>
    </row>
    <row r="925" spans="2:6" x14ac:dyDescent="0.25">
      <c r="B925" t="s">
        <v>127</v>
      </c>
      <c r="C925" t="s">
        <v>106</v>
      </c>
      <c r="D925" t="s">
        <v>91</v>
      </c>
      <c r="E925" t="s">
        <v>105</v>
      </c>
      <c r="F925" s="158">
        <v>45516.965694444443</v>
      </c>
    </row>
    <row r="926" spans="2:6" x14ac:dyDescent="0.25">
      <c r="B926" t="s">
        <v>127</v>
      </c>
      <c r="C926" t="s">
        <v>107</v>
      </c>
      <c r="D926" t="s">
        <v>92</v>
      </c>
      <c r="E926" t="s">
        <v>105</v>
      </c>
      <c r="F926" s="158">
        <v>45516.96570601852</v>
      </c>
    </row>
    <row r="927" spans="2:6" x14ac:dyDescent="0.25">
      <c r="B927" t="s">
        <v>111</v>
      </c>
      <c r="C927" t="s">
        <v>105</v>
      </c>
      <c r="D927" t="s">
        <v>105</v>
      </c>
      <c r="E927" t="s">
        <v>105</v>
      </c>
      <c r="F927" s="158">
        <v>45516.96570601852</v>
      </c>
    </row>
    <row r="928" spans="2:6" x14ac:dyDescent="0.25">
      <c r="B928" t="s">
        <v>109</v>
      </c>
      <c r="C928" t="s">
        <v>105</v>
      </c>
      <c r="D928" t="s">
        <v>105</v>
      </c>
      <c r="E928" t="s">
        <v>105</v>
      </c>
      <c r="F928" s="158">
        <v>45516.96570601852</v>
      </c>
    </row>
    <row r="929" spans="2:6" x14ac:dyDescent="0.25">
      <c r="B929" t="s">
        <v>128</v>
      </c>
      <c r="C929" t="s">
        <v>100</v>
      </c>
      <c r="D929" t="s">
        <v>100</v>
      </c>
      <c r="E929" t="s">
        <v>129</v>
      </c>
      <c r="F929" s="158">
        <v>45516.96570601852</v>
      </c>
    </row>
    <row r="930" spans="2:6" x14ac:dyDescent="0.25">
      <c r="B930" t="s">
        <v>130</v>
      </c>
      <c r="C930" t="s">
        <v>100</v>
      </c>
      <c r="D930" t="s">
        <v>105</v>
      </c>
      <c r="E930" t="s">
        <v>105</v>
      </c>
      <c r="F930" s="158">
        <v>45516.965729166666</v>
      </c>
    </row>
    <row r="931" spans="2:6" x14ac:dyDescent="0.25">
      <c r="B931" t="s">
        <v>130</v>
      </c>
      <c r="C931" t="s">
        <v>106</v>
      </c>
      <c r="D931" t="s">
        <v>91</v>
      </c>
      <c r="E931" t="s">
        <v>105</v>
      </c>
      <c r="F931" s="158">
        <v>45516.965729166666</v>
      </c>
    </row>
    <row r="932" spans="2:6" x14ac:dyDescent="0.25">
      <c r="B932" t="s">
        <v>130</v>
      </c>
      <c r="C932" t="s">
        <v>107</v>
      </c>
      <c r="D932" t="s">
        <v>92</v>
      </c>
      <c r="E932" t="s">
        <v>105</v>
      </c>
      <c r="F932" s="158">
        <v>45516.965729166666</v>
      </c>
    </row>
    <row r="933" spans="2:6" x14ac:dyDescent="0.25">
      <c r="B933" t="s">
        <v>111</v>
      </c>
      <c r="C933" t="s">
        <v>105</v>
      </c>
      <c r="D933" t="s">
        <v>105</v>
      </c>
      <c r="E933" t="s">
        <v>105</v>
      </c>
      <c r="F933" s="158">
        <v>45516.965740740743</v>
      </c>
    </row>
    <row r="934" spans="2:6" x14ac:dyDescent="0.25">
      <c r="B934" t="s">
        <v>109</v>
      </c>
      <c r="C934" t="s">
        <v>105</v>
      </c>
      <c r="D934" t="s">
        <v>105</v>
      </c>
      <c r="E934" t="s">
        <v>105</v>
      </c>
      <c r="F934" s="158">
        <v>45516.965740740743</v>
      </c>
    </row>
    <row r="935" spans="2:6" x14ac:dyDescent="0.25">
      <c r="B935" t="s">
        <v>131</v>
      </c>
      <c r="C935" t="s">
        <v>100</v>
      </c>
      <c r="D935" t="s">
        <v>100</v>
      </c>
      <c r="E935" t="s">
        <v>132</v>
      </c>
      <c r="F935" s="158">
        <v>45516.965740740743</v>
      </c>
    </row>
    <row r="936" spans="2:6" x14ac:dyDescent="0.25">
      <c r="B936" t="s">
        <v>133</v>
      </c>
      <c r="C936" t="s">
        <v>100</v>
      </c>
      <c r="D936" t="s">
        <v>105</v>
      </c>
      <c r="E936" t="s">
        <v>105</v>
      </c>
      <c r="F936" s="158">
        <v>45516.965775462966</v>
      </c>
    </row>
    <row r="937" spans="2:6" x14ac:dyDescent="0.25">
      <c r="B937" t="s">
        <v>133</v>
      </c>
      <c r="C937" t="s">
        <v>106</v>
      </c>
      <c r="D937" t="s">
        <v>91</v>
      </c>
      <c r="E937" t="s">
        <v>105</v>
      </c>
      <c r="F937" s="158">
        <v>45516.965775462966</v>
      </c>
    </row>
    <row r="938" spans="2:6" x14ac:dyDescent="0.25">
      <c r="B938" t="s">
        <v>133</v>
      </c>
      <c r="C938" t="s">
        <v>107</v>
      </c>
      <c r="D938" t="s">
        <v>92</v>
      </c>
      <c r="E938" t="s">
        <v>105</v>
      </c>
      <c r="F938" s="158">
        <v>45516.965775462966</v>
      </c>
    </row>
    <row r="939" spans="2:6" x14ac:dyDescent="0.25">
      <c r="B939" t="s">
        <v>111</v>
      </c>
      <c r="C939" t="s">
        <v>105</v>
      </c>
      <c r="D939" t="s">
        <v>105</v>
      </c>
      <c r="E939" t="s">
        <v>105</v>
      </c>
      <c r="F939" s="158">
        <v>45516.965787037036</v>
      </c>
    </row>
    <row r="940" spans="2:6" x14ac:dyDescent="0.25">
      <c r="B940" t="s">
        <v>108</v>
      </c>
      <c r="C940" t="s">
        <v>105</v>
      </c>
      <c r="D940" t="s">
        <v>105</v>
      </c>
      <c r="E940" t="s">
        <v>105</v>
      </c>
      <c r="F940" s="158">
        <v>45516.967766203707</v>
      </c>
    </row>
    <row r="941" spans="2:6" x14ac:dyDescent="0.25">
      <c r="B941" t="s">
        <v>109</v>
      </c>
      <c r="C941" t="s">
        <v>105</v>
      </c>
      <c r="D941" t="s">
        <v>105</v>
      </c>
      <c r="E941" t="s">
        <v>105</v>
      </c>
      <c r="F941" s="158">
        <v>45516.967766203707</v>
      </c>
    </row>
    <row r="942" spans="2:6" x14ac:dyDescent="0.25">
      <c r="B942" t="s">
        <v>110</v>
      </c>
      <c r="C942" t="s">
        <v>105</v>
      </c>
      <c r="D942" t="s">
        <v>92</v>
      </c>
      <c r="E942" t="s">
        <v>105</v>
      </c>
      <c r="F942" s="158">
        <v>45516.967766203707</v>
      </c>
    </row>
    <row r="943" spans="2:6" x14ac:dyDescent="0.25">
      <c r="B943" t="s">
        <v>110</v>
      </c>
      <c r="C943" t="s">
        <v>105</v>
      </c>
      <c r="D943" t="s">
        <v>91</v>
      </c>
      <c r="E943" t="s">
        <v>105</v>
      </c>
      <c r="F943" s="158">
        <v>45516.967766203707</v>
      </c>
    </row>
    <row r="944" spans="2:6" x14ac:dyDescent="0.25">
      <c r="B944" t="s">
        <v>102</v>
      </c>
      <c r="C944" t="s">
        <v>100</v>
      </c>
      <c r="D944" t="s">
        <v>100</v>
      </c>
      <c r="E944" t="s">
        <v>103</v>
      </c>
      <c r="F944" s="158">
        <v>45516.967858796299</v>
      </c>
    </row>
    <row r="945" spans="2:6" x14ac:dyDescent="0.25">
      <c r="B945" t="s">
        <v>104</v>
      </c>
      <c r="C945" t="s">
        <v>100</v>
      </c>
      <c r="D945" t="s">
        <v>105</v>
      </c>
      <c r="E945" t="s">
        <v>105</v>
      </c>
      <c r="F945" s="158">
        <v>45516.967893518522</v>
      </c>
    </row>
    <row r="946" spans="2:6" x14ac:dyDescent="0.25">
      <c r="B946" t="s">
        <v>104</v>
      </c>
      <c r="C946" t="s">
        <v>106</v>
      </c>
      <c r="D946" t="s">
        <v>91</v>
      </c>
      <c r="E946" t="s">
        <v>105</v>
      </c>
      <c r="F946" s="158">
        <v>45516.967893518522</v>
      </c>
    </row>
    <row r="947" spans="2:6" x14ac:dyDescent="0.25">
      <c r="B947" t="s">
        <v>104</v>
      </c>
      <c r="C947" t="s">
        <v>107</v>
      </c>
      <c r="D947" t="s">
        <v>92</v>
      </c>
      <c r="E947" t="s">
        <v>105</v>
      </c>
      <c r="F947" s="158">
        <v>45516.967893518522</v>
      </c>
    </row>
    <row r="948" spans="2:6" x14ac:dyDescent="0.25">
      <c r="B948" t="s">
        <v>113</v>
      </c>
      <c r="C948" t="s">
        <v>105</v>
      </c>
      <c r="D948" t="s">
        <v>105</v>
      </c>
      <c r="E948" t="s">
        <v>114</v>
      </c>
      <c r="F948" s="158">
        <v>45516.967986111114</v>
      </c>
    </row>
    <row r="949" spans="2:6" x14ac:dyDescent="0.25">
      <c r="B949" t="s">
        <v>111</v>
      </c>
      <c r="C949" t="s">
        <v>105</v>
      </c>
      <c r="D949" t="s">
        <v>105</v>
      </c>
      <c r="E949" t="s">
        <v>105</v>
      </c>
      <c r="F949" s="158">
        <v>45516.967986111114</v>
      </c>
    </row>
    <row r="950" spans="2:6" x14ac:dyDescent="0.25">
      <c r="B950" t="s">
        <v>109</v>
      </c>
      <c r="C950" t="s">
        <v>105</v>
      </c>
      <c r="D950" t="s">
        <v>105</v>
      </c>
      <c r="E950" t="s">
        <v>105</v>
      </c>
      <c r="F950" s="158">
        <v>45516.967986111114</v>
      </c>
    </row>
    <row r="951" spans="2:6" x14ac:dyDescent="0.25">
      <c r="B951" t="s">
        <v>115</v>
      </c>
      <c r="C951" t="s">
        <v>100</v>
      </c>
      <c r="D951" t="s">
        <v>100</v>
      </c>
      <c r="E951" t="s">
        <v>103</v>
      </c>
      <c r="F951" s="158">
        <v>45516.967986111114</v>
      </c>
    </row>
    <row r="952" spans="2:6" x14ac:dyDescent="0.25">
      <c r="B952" t="s">
        <v>104</v>
      </c>
      <c r="C952" t="s">
        <v>100</v>
      </c>
      <c r="D952" t="s">
        <v>105</v>
      </c>
      <c r="E952" t="s">
        <v>105</v>
      </c>
      <c r="F952" s="158">
        <v>45516.96802083333</v>
      </c>
    </row>
    <row r="953" spans="2:6" x14ac:dyDescent="0.25">
      <c r="B953" t="s">
        <v>104</v>
      </c>
      <c r="C953" t="s">
        <v>106</v>
      </c>
      <c r="D953" t="s">
        <v>91</v>
      </c>
      <c r="E953" t="s">
        <v>105</v>
      </c>
      <c r="F953" s="158">
        <v>45516.96802083333</v>
      </c>
    </row>
    <row r="954" spans="2:6" x14ac:dyDescent="0.25">
      <c r="B954" t="s">
        <v>104</v>
      </c>
      <c r="C954" t="s">
        <v>107</v>
      </c>
      <c r="D954" t="s">
        <v>92</v>
      </c>
      <c r="E954" t="s">
        <v>105</v>
      </c>
      <c r="F954" s="158">
        <v>45516.96802083333</v>
      </c>
    </row>
    <row r="955" spans="2:6" x14ac:dyDescent="0.25">
      <c r="B955" t="s">
        <v>111</v>
      </c>
      <c r="C955" t="s">
        <v>105</v>
      </c>
      <c r="D955" t="s">
        <v>105</v>
      </c>
      <c r="E955" t="s">
        <v>105</v>
      </c>
      <c r="F955" s="158">
        <v>45516.968032407407</v>
      </c>
    </row>
    <row r="956" spans="2:6" x14ac:dyDescent="0.25">
      <c r="B956" t="s">
        <v>109</v>
      </c>
      <c r="C956" t="s">
        <v>105</v>
      </c>
      <c r="D956" t="s">
        <v>105</v>
      </c>
      <c r="E956" t="s">
        <v>105</v>
      </c>
      <c r="F956" s="158">
        <v>45516.968032407407</v>
      </c>
    </row>
    <row r="957" spans="2:6" x14ac:dyDescent="0.25">
      <c r="B957" t="s">
        <v>116</v>
      </c>
      <c r="C957" t="s">
        <v>100</v>
      </c>
      <c r="D957" t="s">
        <v>100</v>
      </c>
      <c r="E957" t="s">
        <v>117</v>
      </c>
      <c r="F957" s="158">
        <v>45516.968032407407</v>
      </c>
    </row>
    <row r="958" spans="2:6" x14ac:dyDescent="0.25">
      <c r="B958" t="s">
        <v>118</v>
      </c>
      <c r="C958" t="s">
        <v>100</v>
      </c>
      <c r="D958" t="s">
        <v>105</v>
      </c>
      <c r="E958" t="s">
        <v>105</v>
      </c>
      <c r="F958" s="158">
        <v>45516.968055555553</v>
      </c>
    </row>
    <row r="959" spans="2:6" x14ac:dyDescent="0.25">
      <c r="B959" t="s">
        <v>118</v>
      </c>
      <c r="C959" t="s">
        <v>106</v>
      </c>
      <c r="D959" t="s">
        <v>91</v>
      </c>
      <c r="E959" t="s">
        <v>105</v>
      </c>
      <c r="F959" s="158">
        <v>45516.968055555553</v>
      </c>
    </row>
    <row r="960" spans="2:6" x14ac:dyDescent="0.25">
      <c r="B960" t="s">
        <v>118</v>
      </c>
      <c r="C960" t="s">
        <v>107</v>
      </c>
      <c r="D960" t="s">
        <v>92</v>
      </c>
      <c r="E960" t="s">
        <v>105</v>
      </c>
      <c r="F960" s="158">
        <v>45516.96806712963</v>
      </c>
    </row>
    <row r="961" spans="2:6" x14ac:dyDescent="0.25">
      <c r="B961" t="s">
        <v>111</v>
      </c>
      <c r="C961" t="s">
        <v>105</v>
      </c>
      <c r="D961" t="s">
        <v>105</v>
      </c>
      <c r="E961" t="s">
        <v>105</v>
      </c>
      <c r="F961" s="158">
        <v>45516.96806712963</v>
      </c>
    </row>
    <row r="962" spans="2:6" x14ac:dyDescent="0.25">
      <c r="B962" t="s">
        <v>109</v>
      </c>
      <c r="C962" t="s">
        <v>105</v>
      </c>
      <c r="D962" t="s">
        <v>105</v>
      </c>
      <c r="E962" t="s">
        <v>105</v>
      </c>
      <c r="F962" s="158">
        <v>45516.968078703707</v>
      </c>
    </row>
    <row r="963" spans="2:6" x14ac:dyDescent="0.25">
      <c r="B963" t="s">
        <v>119</v>
      </c>
      <c r="C963" t="s">
        <v>100</v>
      </c>
      <c r="D963" t="s">
        <v>100</v>
      </c>
      <c r="E963" t="s">
        <v>120</v>
      </c>
      <c r="F963" s="158">
        <v>45516.968078703707</v>
      </c>
    </row>
    <row r="964" spans="2:6" x14ac:dyDescent="0.25">
      <c r="B964" t="s">
        <v>121</v>
      </c>
      <c r="C964" t="s">
        <v>100</v>
      </c>
      <c r="D964" t="s">
        <v>105</v>
      </c>
      <c r="E964" t="s">
        <v>105</v>
      </c>
      <c r="F964" s="158">
        <v>45516.968101851853</v>
      </c>
    </row>
    <row r="965" spans="2:6" x14ac:dyDescent="0.25">
      <c r="B965" t="s">
        <v>121</v>
      </c>
      <c r="C965" t="s">
        <v>106</v>
      </c>
      <c r="D965" t="s">
        <v>91</v>
      </c>
      <c r="E965" t="s">
        <v>105</v>
      </c>
      <c r="F965" s="158">
        <v>45516.968101851853</v>
      </c>
    </row>
    <row r="966" spans="2:6" x14ac:dyDescent="0.25">
      <c r="B966" t="s">
        <v>121</v>
      </c>
      <c r="C966" t="s">
        <v>107</v>
      </c>
      <c r="D966" t="s">
        <v>92</v>
      </c>
      <c r="E966" t="s">
        <v>105</v>
      </c>
      <c r="F966" s="158">
        <v>45516.968101851853</v>
      </c>
    </row>
    <row r="967" spans="2:6" x14ac:dyDescent="0.25">
      <c r="B967" t="s">
        <v>111</v>
      </c>
      <c r="C967" t="s">
        <v>105</v>
      </c>
      <c r="D967" t="s">
        <v>105</v>
      </c>
      <c r="E967" t="s">
        <v>105</v>
      </c>
      <c r="F967" s="158">
        <v>45516.968113425923</v>
      </c>
    </row>
    <row r="968" spans="2:6" x14ac:dyDescent="0.25">
      <c r="B968" t="s">
        <v>109</v>
      </c>
      <c r="C968" t="s">
        <v>105</v>
      </c>
      <c r="D968" t="s">
        <v>105</v>
      </c>
      <c r="E968" t="s">
        <v>105</v>
      </c>
      <c r="F968" s="158">
        <v>45516.968124999999</v>
      </c>
    </row>
    <row r="969" spans="2:6" x14ac:dyDescent="0.25">
      <c r="B969" t="s">
        <v>122</v>
      </c>
      <c r="C969" t="s">
        <v>100</v>
      </c>
      <c r="D969" t="s">
        <v>100</v>
      </c>
      <c r="E969" t="s">
        <v>123</v>
      </c>
      <c r="F969" s="158">
        <v>45516.968124999999</v>
      </c>
    </row>
    <row r="970" spans="2:6" x14ac:dyDescent="0.25">
      <c r="B970" t="s">
        <v>124</v>
      </c>
      <c r="C970" t="s">
        <v>100</v>
      </c>
      <c r="D970" t="s">
        <v>105</v>
      </c>
      <c r="E970" t="s">
        <v>105</v>
      </c>
      <c r="F970" s="158">
        <v>45516.968148148146</v>
      </c>
    </row>
    <row r="971" spans="2:6" x14ac:dyDescent="0.25">
      <c r="B971" t="s">
        <v>124</v>
      </c>
      <c r="C971" t="s">
        <v>106</v>
      </c>
      <c r="D971" t="s">
        <v>91</v>
      </c>
      <c r="E971" t="s">
        <v>105</v>
      </c>
      <c r="F971" s="158">
        <v>45516.968148148146</v>
      </c>
    </row>
    <row r="972" spans="2:6" x14ac:dyDescent="0.25">
      <c r="B972" t="s">
        <v>124</v>
      </c>
      <c r="C972" t="s">
        <v>107</v>
      </c>
      <c r="D972" t="s">
        <v>92</v>
      </c>
      <c r="E972" t="s">
        <v>105</v>
      </c>
      <c r="F972" s="158">
        <v>45516.968148148146</v>
      </c>
    </row>
    <row r="973" spans="2:6" x14ac:dyDescent="0.25">
      <c r="B973" t="s">
        <v>111</v>
      </c>
      <c r="C973" t="s">
        <v>105</v>
      </c>
      <c r="D973" t="s">
        <v>105</v>
      </c>
      <c r="E973" t="s">
        <v>105</v>
      </c>
      <c r="F973" s="158">
        <v>45516.968159722222</v>
      </c>
    </row>
    <row r="974" spans="2:6" x14ac:dyDescent="0.25">
      <c r="B974" t="s">
        <v>109</v>
      </c>
      <c r="C974" t="s">
        <v>105</v>
      </c>
      <c r="D974" t="s">
        <v>105</v>
      </c>
      <c r="E974" t="s">
        <v>105</v>
      </c>
      <c r="F974" s="158">
        <v>45516.968159722222</v>
      </c>
    </row>
    <row r="975" spans="2:6" x14ac:dyDescent="0.25">
      <c r="B975" t="s">
        <v>125</v>
      </c>
      <c r="C975" t="s">
        <v>100</v>
      </c>
      <c r="D975" t="s">
        <v>100</v>
      </c>
      <c r="E975" t="s">
        <v>126</v>
      </c>
      <c r="F975" s="158">
        <v>45516.968159722222</v>
      </c>
    </row>
    <row r="976" spans="2:6" x14ac:dyDescent="0.25">
      <c r="B976" t="s">
        <v>127</v>
      </c>
      <c r="C976" t="s">
        <v>100</v>
      </c>
      <c r="D976" t="s">
        <v>105</v>
      </c>
      <c r="E976" t="s">
        <v>105</v>
      </c>
      <c r="F976" s="158">
        <v>45516.968182870369</v>
      </c>
    </row>
    <row r="977" spans="2:6" x14ac:dyDescent="0.25">
      <c r="B977" t="s">
        <v>127</v>
      </c>
      <c r="C977" t="s">
        <v>106</v>
      </c>
      <c r="D977" t="s">
        <v>91</v>
      </c>
      <c r="E977" t="s">
        <v>105</v>
      </c>
      <c r="F977" s="158">
        <v>45516.968194444446</v>
      </c>
    </row>
    <row r="978" spans="2:6" x14ac:dyDescent="0.25">
      <c r="B978" t="s">
        <v>127</v>
      </c>
      <c r="C978" t="s">
        <v>107</v>
      </c>
      <c r="D978" t="s">
        <v>92</v>
      </c>
      <c r="E978" t="s">
        <v>105</v>
      </c>
      <c r="F978" s="158">
        <v>45516.968194444446</v>
      </c>
    </row>
    <row r="979" spans="2:6" x14ac:dyDescent="0.25">
      <c r="B979" t="s">
        <v>111</v>
      </c>
      <c r="C979" t="s">
        <v>105</v>
      </c>
      <c r="D979" t="s">
        <v>105</v>
      </c>
      <c r="E979" t="s">
        <v>105</v>
      </c>
      <c r="F979" s="158">
        <v>45516.968206018515</v>
      </c>
    </row>
    <row r="980" spans="2:6" x14ac:dyDescent="0.25">
      <c r="B980" t="s">
        <v>109</v>
      </c>
      <c r="C980" t="s">
        <v>105</v>
      </c>
      <c r="D980" t="s">
        <v>105</v>
      </c>
      <c r="E980" t="s">
        <v>105</v>
      </c>
      <c r="F980" s="158">
        <v>45516.968206018515</v>
      </c>
    </row>
    <row r="981" spans="2:6" x14ac:dyDescent="0.25">
      <c r="B981" t="s">
        <v>128</v>
      </c>
      <c r="C981" t="s">
        <v>100</v>
      </c>
      <c r="D981" t="s">
        <v>100</v>
      </c>
      <c r="E981" t="s">
        <v>129</v>
      </c>
      <c r="F981" s="158">
        <v>45516.968206018515</v>
      </c>
    </row>
    <row r="982" spans="2:6" x14ac:dyDescent="0.25">
      <c r="B982" t="s">
        <v>130</v>
      </c>
      <c r="C982" t="s">
        <v>100</v>
      </c>
      <c r="D982" t="s">
        <v>105</v>
      </c>
      <c r="E982" t="s">
        <v>105</v>
      </c>
      <c r="F982" s="158">
        <v>45516.968229166669</v>
      </c>
    </row>
    <row r="983" spans="2:6" x14ac:dyDescent="0.25">
      <c r="B983" t="s">
        <v>130</v>
      </c>
      <c r="C983" t="s">
        <v>106</v>
      </c>
      <c r="D983" t="s">
        <v>91</v>
      </c>
      <c r="E983" t="s">
        <v>105</v>
      </c>
      <c r="F983" s="158">
        <v>45516.968229166669</v>
      </c>
    </row>
    <row r="984" spans="2:6" x14ac:dyDescent="0.25">
      <c r="B984" t="s">
        <v>130</v>
      </c>
      <c r="C984" t="s">
        <v>107</v>
      </c>
      <c r="D984" t="s">
        <v>92</v>
      </c>
      <c r="E984" t="s">
        <v>105</v>
      </c>
      <c r="F984" s="158">
        <v>45516.968229166669</v>
      </c>
    </row>
    <row r="985" spans="2:6" x14ac:dyDescent="0.25">
      <c r="B985" t="s">
        <v>111</v>
      </c>
      <c r="C985" t="s">
        <v>105</v>
      </c>
      <c r="D985" t="s">
        <v>105</v>
      </c>
      <c r="E985" t="s">
        <v>105</v>
      </c>
      <c r="F985" s="158">
        <v>45516.968240740738</v>
      </c>
    </row>
    <row r="986" spans="2:6" x14ac:dyDescent="0.25">
      <c r="B986" t="s">
        <v>109</v>
      </c>
      <c r="C986" t="s">
        <v>105</v>
      </c>
      <c r="D986" t="s">
        <v>105</v>
      </c>
      <c r="E986" t="s">
        <v>105</v>
      </c>
      <c r="F986" s="158">
        <v>45516.968240740738</v>
      </c>
    </row>
    <row r="987" spans="2:6" x14ac:dyDescent="0.25">
      <c r="B987" t="s">
        <v>131</v>
      </c>
      <c r="C987" t="s">
        <v>100</v>
      </c>
      <c r="D987" t="s">
        <v>100</v>
      </c>
      <c r="E987" t="s">
        <v>132</v>
      </c>
      <c r="F987" s="158">
        <v>45516.968240740738</v>
      </c>
    </row>
    <row r="988" spans="2:6" x14ac:dyDescent="0.25">
      <c r="B988" t="s">
        <v>133</v>
      </c>
      <c r="C988" t="s">
        <v>100</v>
      </c>
      <c r="D988" t="s">
        <v>105</v>
      </c>
      <c r="E988" t="s">
        <v>105</v>
      </c>
      <c r="F988" s="158">
        <v>45516.968275462961</v>
      </c>
    </row>
    <row r="989" spans="2:6" x14ac:dyDescent="0.25">
      <c r="B989" t="s">
        <v>133</v>
      </c>
      <c r="C989" t="s">
        <v>106</v>
      </c>
      <c r="D989" t="s">
        <v>91</v>
      </c>
      <c r="E989" t="s">
        <v>105</v>
      </c>
      <c r="F989" s="158">
        <v>45516.968275462961</v>
      </c>
    </row>
    <row r="990" spans="2:6" x14ac:dyDescent="0.25">
      <c r="B990" t="s">
        <v>133</v>
      </c>
      <c r="C990" t="s">
        <v>107</v>
      </c>
      <c r="D990" t="s">
        <v>92</v>
      </c>
      <c r="E990" t="s">
        <v>105</v>
      </c>
      <c r="F990" s="158">
        <v>45516.968287037038</v>
      </c>
    </row>
    <row r="991" spans="2:6" x14ac:dyDescent="0.25">
      <c r="B991" t="s">
        <v>111</v>
      </c>
      <c r="C991" t="s">
        <v>105</v>
      </c>
      <c r="D991" t="s">
        <v>105</v>
      </c>
      <c r="E991" t="s">
        <v>105</v>
      </c>
      <c r="F991" s="158">
        <v>45516.968298611115</v>
      </c>
    </row>
    <row r="992" spans="2:6" x14ac:dyDescent="0.25">
      <c r="B992" t="s">
        <v>108</v>
      </c>
      <c r="C992" t="s">
        <v>105</v>
      </c>
      <c r="D992" t="s">
        <v>105</v>
      </c>
      <c r="E992" t="s">
        <v>105</v>
      </c>
      <c r="F992" s="158">
        <v>45516.969027777777</v>
      </c>
    </row>
    <row r="993" spans="2:6" x14ac:dyDescent="0.25">
      <c r="B993" t="s">
        <v>109</v>
      </c>
      <c r="C993" t="s">
        <v>105</v>
      </c>
      <c r="D993" t="s">
        <v>105</v>
      </c>
      <c r="E993" t="s">
        <v>105</v>
      </c>
      <c r="F993" s="158">
        <v>45516.969027777777</v>
      </c>
    </row>
    <row r="994" spans="2:6" x14ac:dyDescent="0.25">
      <c r="B994" t="s">
        <v>110</v>
      </c>
      <c r="C994" t="s">
        <v>105</v>
      </c>
      <c r="D994" t="s">
        <v>92</v>
      </c>
      <c r="E994" t="s">
        <v>105</v>
      </c>
      <c r="F994" s="158">
        <v>45516.969039351854</v>
      </c>
    </row>
    <row r="995" spans="2:6" x14ac:dyDescent="0.25">
      <c r="B995" t="s">
        <v>110</v>
      </c>
      <c r="C995" t="s">
        <v>105</v>
      </c>
      <c r="D995" t="s">
        <v>91</v>
      </c>
      <c r="E995" t="s">
        <v>105</v>
      </c>
      <c r="F995" s="158">
        <v>45516.969039351854</v>
      </c>
    </row>
    <row r="996" spans="2:6" x14ac:dyDescent="0.25">
      <c r="B996" t="s">
        <v>108</v>
      </c>
      <c r="C996" t="s">
        <v>105</v>
      </c>
      <c r="D996" t="s">
        <v>105</v>
      </c>
      <c r="E996" t="s">
        <v>105</v>
      </c>
      <c r="F996" s="158">
        <v>45516.969953703701</v>
      </c>
    </row>
    <row r="997" spans="2:6" x14ac:dyDescent="0.25">
      <c r="B997" t="s">
        <v>109</v>
      </c>
      <c r="C997" t="s">
        <v>105</v>
      </c>
      <c r="D997" t="s">
        <v>105</v>
      </c>
      <c r="E997" t="s">
        <v>105</v>
      </c>
      <c r="F997" s="158">
        <v>45516.969953703701</v>
      </c>
    </row>
    <row r="998" spans="2:6" x14ac:dyDescent="0.25">
      <c r="B998" t="s">
        <v>110</v>
      </c>
      <c r="C998" t="s">
        <v>105</v>
      </c>
      <c r="D998" t="s">
        <v>92</v>
      </c>
      <c r="E998" t="s">
        <v>105</v>
      </c>
      <c r="F998" s="158">
        <v>45516.969953703701</v>
      </c>
    </row>
    <row r="999" spans="2:6" x14ac:dyDescent="0.25">
      <c r="B999" t="s">
        <v>110</v>
      </c>
      <c r="C999" t="s">
        <v>105</v>
      </c>
      <c r="D999" t="s">
        <v>91</v>
      </c>
      <c r="E999" t="s">
        <v>105</v>
      </c>
      <c r="F999" s="158">
        <v>45516.969953703701</v>
      </c>
    </row>
    <row r="1000" spans="2:6" x14ac:dyDescent="0.25">
      <c r="B1000" t="s">
        <v>108</v>
      </c>
      <c r="C1000" t="s">
        <v>105</v>
      </c>
      <c r="D1000" t="s">
        <v>105</v>
      </c>
      <c r="E1000" t="s">
        <v>105</v>
      </c>
      <c r="F1000" s="158">
        <v>45516.973703703705</v>
      </c>
    </row>
    <row r="1001" spans="2:6" x14ac:dyDescent="0.25">
      <c r="B1001" t="s">
        <v>109</v>
      </c>
      <c r="C1001" t="s">
        <v>105</v>
      </c>
      <c r="D1001" t="s">
        <v>105</v>
      </c>
      <c r="E1001" t="s">
        <v>105</v>
      </c>
      <c r="F1001" s="158">
        <v>45516.973703703705</v>
      </c>
    </row>
    <row r="1002" spans="2:6" x14ac:dyDescent="0.25">
      <c r="B1002" t="s">
        <v>110</v>
      </c>
      <c r="C1002" t="s">
        <v>105</v>
      </c>
      <c r="D1002" t="s">
        <v>92</v>
      </c>
      <c r="E1002" t="s">
        <v>105</v>
      </c>
      <c r="F1002" s="158">
        <v>45516.973703703705</v>
      </c>
    </row>
    <row r="1003" spans="2:6" x14ac:dyDescent="0.25">
      <c r="B1003" t="s">
        <v>110</v>
      </c>
      <c r="C1003" t="s">
        <v>105</v>
      </c>
      <c r="D1003" t="s">
        <v>91</v>
      </c>
      <c r="E1003" t="s">
        <v>105</v>
      </c>
      <c r="F1003" s="158">
        <v>45516.973703703705</v>
      </c>
    </row>
    <row r="1004" spans="2:6" x14ac:dyDescent="0.25">
      <c r="B1004" t="s">
        <v>113</v>
      </c>
      <c r="C1004" t="s">
        <v>105</v>
      </c>
      <c r="D1004" t="s">
        <v>105</v>
      </c>
      <c r="E1004" t="s">
        <v>114</v>
      </c>
      <c r="F1004" s="158">
        <v>45516.97378472222</v>
      </c>
    </row>
    <row r="1005" spans="2:6" x14ac:dyDescent="0.25">
      <c r="B1005" t="s">
        <v>111</v>
      </c>
      <c r="C1005" t="s">
        <v>105</v>
      </c>
      <c r="D1005" t="s">
        <v>105</v>
      </c>
      <c r="E1005" t="s">
        <v>105</v>
      </c>
      <c r="F1005" s="158">
        <v>45516.97378472222</v>
      </c>
    </row>
    <row r="1006" spans="2:6" x14ac:dyDescent="0.25">
      <c r="B1006" t="s">
        <v>108</v>
      </c>
      <c r="C1006" t="s">
        <v>105</v>
      </c>
      <c r="D1006" t="s">
        <v>105</v>
      </c>
      <c r="E1006" t="s">
        <v>105</v>
      </c>
      <c r="F1006" s="158">
        <v>45516.974027777775</v>
      </c>
    </row>
    <row r="1007" spans="2:6" x14ac:dyDescent="0.25">
      <c r="B1007" t="s">
        <v>109</v>
      </c>
      <c r="C1007" t="s">
        <v>105</v>
      </c>
      <c r="D1007" t="s">
        <v>105</v>
      </c>
      <c r="E1007" t="s">
        <v>105</v>
      </c>
      <c r="F1007" s="158">
        <v>45516.974027777775</v>
      </c>
    </row>
    <row r="1008" spans="2:6" x14ac:dyDescent="0.25">
      <c r="B1008" t="s">
        <v>110</v>
      </c>
      <c r="C1008" t="s">
        <v>105</v>
      </c>
      <c r="D1008" t="s">
        <v>92</v>
      </c>
      <c r="E1008" t="s">
        <v>105</v>
      </c>
      <c r="F1008" s="158">
        <v>45516.974027777775</v>
      </c>
    </row>
    <row r="1009" spans="2:6" x14ac:dyDescent="0.25">
      <c r="B1009" t="s">
        <v>110</v>
      </c>
      <c r="C1009" t="s">
        <v>105</v>
      </c>
      <c r="D1009" t="s">
        <v>91</v>
      </c>
      <c r="E1009" t="s">
        <v>105</v>
      </c>
      <c r="F1009" s="158">
        <v>45516.974027777775</v>
      </c>
    </row>
    <row r="1010" spans="2:6" x14ac:dyDescent="0.25">
      <c r="B1010" t="s">
        <v>113</v>
      </c>
      <c r="C1010" t="s">
        <v>105</v>
      </c>
      <c r="D1010" t="s">
        <v>105</v>
      </c>
      <c r="E1010" t="s">
        <v>114</v>
      </c>
      <c r="F1010" s="158">
        <v>45516.974074074074</v>
      </c>
    </row>
    <row r="1011" spans="2:6" x14ac:dyDescent="0.25">
      <c r="B1011" t="s">
        <v>111</v>
      </c>
      <c r="C1011" t="s">
        <v>105</v>
      </c>
      <c r="D1011" t="s">
        <v>105</v>
      </c>
      <c r="E1011" t="s">
        <v>105</v>
      </c>
      <c r="F1011" s="158">
        <v>45516.974074074074</v>
      </c>
    </row>
    <row r="1012" spans="2:6" x14ac:dyDescent="0.25">
      <c r="B1012" t="s">
        <v>109</v>
      </c>
      <c r="C1012" t="s">
        <v>105</v>
      </c>
      <c r="D1012" t="s">
        <v>105</v>
      </c>
      <c r="E1012" t="s">
        <v>105</v>
      </c>
      <c r="F1012" s="158">
        <v>45516.974074074074</v>
      </c>
    </row>
    <row r="1013" spans="2:6" x14ac:dyDescent="0.25">
      <c r="B1013" t="s">
        <v>115</v>
      </c>
      <c r="C1013" t="s">
        <v>100</v>
      </c>
      <c r="D1013" t="s">
        <v>100</v>
      </c>
      <c r="E1013" t="s">
        <v>103</v>
      </c>
      <c r="F1013" s="158">
        <v>45516.974074074074</v>
      </c>
    </row>
    <row r="1014" spans="2:6" x14ac:dyDescent="0.25">
      <c r="B1014" t="s">
        <v>104</v>
      </c>
      <c r="C1014" t="s">
        <v>100</v>
      </c>
      <c r="D1014" t="s">
        <v>105</v>
      </c>
      <c r="E1014" t="s">
        <v>105</v>
      </c>
      <c r="F1014" s="158">
        <v>45516.974097222221</v>
      </c>
    </row>
    <row r="1015" spans="2:6" x14ac:dyDescent="0.25">
      <c r="B1015" t="s">
        <v>104</v>
      </c>
      <c r="C1015" t="s">
        <v>106</v>
      </c>
      <c r="D1015" t="s">
        <v>91</v>
      </c>
      <c r="E1015" t="s">
        <v>105</v>
      </c>
      <c r="F1015" s="158">
        <v>45516.974097222221</v>
      </c>
    </row>
    <row r="1016" spans="2:6" x14ac:dyDescent="0.25">
      <c r="B1016" t="s">
        <v>104</v>
      </c>
      <c r="C1016" t="s">
        <v>107</v>
      </c>
      <c r="D1016" t="s">
        <v>92</v>
      </c>
      <c r="E1016" t="s">
        <v>105</v>
      </c>
      <c r="F1016" s="158">
        <v>45516.974097222221</v>
      </c>
    </row>
    <row r="1017" spans="2:6" x14ac:dyDescent="0.25">
      <c r="B1017" t="s">
        <v>111</v>
      </c>
      <c r="C1017" t="s">
        <v>105</v>
      </c>
      <c r="D1017" t="s">
        <v>105</v>
      </c>
      <c r="E1017" t="s">
        <v>105</v>
      </c>
      <c r="F1017" s="158">
        <v>45516.974108796298</v>
      </c>
    </row>
    <row r="1018" spans="2:6" x14ac:dyDescent="0.25">
      <c r="B1018" t="s">
        <v>109</v>
      </c>
      <c r="C1018" t="s">
        <v>105</v>
      </c>
      <c r="D1018" t="s">
        <v>105</v>
      </c>
      <c r="E1018" t="s">
        <v>105</v>
      </c>
      <c r="F1018" s="158">
        <v>45516.974108796298</v>
      </c>
    </row>
    <row r="1019" spans="2:6" x14ac:dyDescent="0.25">
      <c r="B1019" t="s">
        <v>116</v>
      </c>
      <c r="C1019" t="s">
        <v>100</v>
      </c>
      <c r="D1019" t="s">
        <v>100</v>
      </c>
      <c r="E1019" t="s">
        <v>117</v>
      </c>
      <c r="F1019" s="158">
        <v>45516.974108796298</v>
      </c>
    </row>
    <row r="1020" spans="2:6" x14ac:dyDescent="0.25">
      <c r="B1020" t="s">
        <v>118</v>
      </c>
      <c r="C1020" t="s">
        <v>100</v>
      </c>
      <c r="D1020" t="s">
        <v>105</v>
      </c>
      <c r="E1020" t="s">
        <v>105</v>
      </c>
      <c r="F1020" s="158">
        <v>45516.974131944444</v>
      </c>
    </row>
    <row r="1021" spans="2:6" x14ac:dyDescent="0.25">
      <c r="B1021" t="s">
        <v>118</v>
      </c>
      <c r="C1021" t="s">
        <v>106</v>
      </c>
      <c r="D1021" t="s">
        <v>91</v>
      </c>
      <c r="E1021" t="s">
        <v>105</v>
      </c>
      <c r="F1021" s="158">
        <v>45516.974131944444</v>
      </c>
    </row>
    <row r="1022" spans="2:6" x14ac:dyDescent="0.25">
      <c r="B1022" t="s">
        <v>118</v>
      </c>
      <c r="C1022" t="s">
        <v>107</v>
      </c>
      <c r="D1022" t="s">
        <v>92</v>
      </c>
      <c r="E1022" t="s">
        <v>105</v>
      </c>
      <c r="F1022" s="158">
        <v>45516.974131944444</v>
      </c>
    </row>
    <row r="1023" spans="2:6" x14ac:dyDescent="0.25">
      <c r="B1023" t="s">
        <v>111</v>
      </c>
      <c r="C1023" t="s">
        <v>105</v>
      </c>
      <c r="D1023" t="s">
        <v>105</v>
      </c>
      <c r="E1023" t="s">
        <v>105</v>
      </c>
      <c r="F1023" s="158">
        <v>45516.974143518521</v>
      </c>
    </row>
    <row r="1024" spans="2:6" x14ac:dyDescent="0.25">
      <c r="B1024" t="s">
        <v>109</v>
      </c>
      <c r="C1024" t="s">
        <v>105</v>
      </c>
      <c r="D1024" t="s">
        <v>105</v>
      </c>
      <c r="E1024" t="s">
        <v>105</v>
      </c>
      <c r="F1024" s="158">
        <v>45516.974143518521</v>
      </c>
    </row>
    <row r="1025" spans="2:6" x14ac:dyDescent="0.25">
      <c r="B1025" t="s">
        <v>119</v>
      </c>
      <c r="C1025" t="s">
        <v>100</v>
      </c>
      <c r="D1025" t="s">
        <v>100</v>
      </c>
      <c r="E1025" t="s">
        <v>120</v>
      </c>
      <c r="F1025" s="158">
        <v>45516.974143518521</v>
      </c>
    </row>
    <row r="1026" spans="2:6" x14ac:dyDescent="0.25">
      <c r="B1026" t="s">
        <v>121</v>
      </c>
      <c r="C1026" t="s">
        <v>100</v>
      </c>
      <c r="D1026" t="s">
        <v>105</v>
      </c>
      <c r="E1026" t="s">
        <v>105</v>
      </c>
      <c r="F1026" s="158">
        <v>45516.974166666667</v>
      </c>
    </row>
    <row r="1027" spans="2:6" x14ac:dyDescent="0.25">
      <c r="B1027" t="s">
        <v>121</v>
      </c>
      <c r="C1027" t="s">
        <v>106</v>
      </c>
      <c r="D1027" t="s">
        <v>91</v>
      </c>
      <c r="E1027" t="s">
        <v>105</v>
      </c>
      <c r="F1027" s="158">
        <v>45516.974166666667</v>
      </c>
    </row>
    <row r="1028" spans="2:6" x14ac:dyDescent="0.25">
      <c r="B1028" t="s">
        <v>121</v>
      </c>
      <c r="C1028" t="s">
        <v>107</v>
      </c>
      <c r="D1028" t="s">
        <v>92</v>
      </c>
      <c r="E1028" t="s">
        <v>105</v>
      </c>
      <c r="F1028" s="158">
        <v>45516.974166666667</v>
      </c>
    </row>
    <row r="1029" spans="2:6" x14ac:dyDescent="0.25">
      <c r="B1029" t="s">
        <v>111</v>
      </c>
      <c r="C1029" t="s">
        <v>105</v>
      </c>
      <c r="D1029" t="s">
        <v>105</v>
      </c>
      <c r="E1029" t="s">
        <v>105</v>
      </c>
      <c r="F1029" s="158">
        <v>45516.974178240744</v>
      </c>
    </row>
    <row r="1030" spans="2:6" x14ac:dyDescent="0.25">
      <c r="B1030" t="s">
        <v>109</v>
      </c>
      <c r="C1030" t="s">
        <v>105</v>
      </c>
      <c r="D1030" t="s">
        <v>105</v>
      </c>
      <c r="E1030" t="s">
        <v>105</v>
      </c>
      <c r="F1030" s="158">
        <v>45516.974178240744</v>
      </c>
    </row>
    <row r="1031" spans="2:6" x14ac:dyDescent="0.25">
      <c r="B1031" t="s">
        <v>122</v>
      </c>
      <c r="C1031" t="s">
        <v>100</v>
      </c>
      <c r="D1031" t="s">
        <v>100</v>
      </c>
      <c r="E1031" t="s">
        <v>123</v>
      </c>
      <c r="F1031" s="158">
        <v>45516.974178240744</v>
      </c>
    </row>
    <row r="1032" spans="2:6" x14ac:dyDescent="0.25">
      <c r="B1032" t="s">
        <v>124</v>
      </c>
      <c r="C1032" t="s">
        <v>100</v>
      </c>
      <c r="D1032" t="s">
        <v>105</v>
      </c>
      <c r="E1032" t="s">
        <v>105</v>
      </c>
      <c r="F1032" s="158">
        <v>45516.97420138889</v>
      </c>
    </row>
    <row r="1033" spans="2:6" x14ac:dyDescent="0.25">
      <c r="B1033" t="s">
        <v>124</v>
      </c>
      <c r="C1033" t="s">
        <v>106</v>
      </c>
      <c r="D1033" t="s">
        <v>91</v>
      </c>
      <c r="E1033" t="s">
        <v>105</v>
      </c>
      <c r="F1033" s="158">
        <v>45516.97420138889</v>
      </c>
    </row>
    <row r="1034" spans="2:6" x14ac:dyDescent="0.25">
      <c r="B1034" t="s">
        <v>124</v>
      </c>
      <c r="C1034" t="s">
        <v>107</v>
      </c>
      <c r="D1034" t="s">
        <v>92</v>
      </c>
      <c r="E1034" t="s">
        <v>105</v>
      </c>
      <c r="F1034" s="158">
        <v>45516.97420138889</v>
      </c>
    </row>
    <row r="1035" spans="2:6" x14ac:dyDescent="0.25">
      <c r="B1035" t="s">
        <v>111</v>
      </c>
      <c r="C1035" t="s">
        <v>105</v>
      </c>
      <c r="D1035" t="s">
        <v>105</v>
      </c>
      <c r="E1035" t="s">
        <v>105</v>
      </c>
      <c r="F1035" s="158">
        <v>45516.974212962959</v>
      </c>
    </row>
    <row r="1036" spans="2:6" x14ac:dyDescent="0.25">
      <c r="B1036" t="s">
        <v>109</v>
      </c>
      <c r="C1036" t="s">
        <v>105</v>
      </c>
      <c r="D1036" t="s">
        <v>105</v>
      </c>
      <c r="E1036" t="s">
        <v>105</v>
      </c>
      <c r="F1036" s="158">
        <v>45516.974212962959</v>
      </c>
    </row>
    <row r="1037" spans="2:6" x14ac:dyDescent="0.25">
      <c r="B1037" t="s">
        <v>125</v>
      </c>
      <c r="C1037" t="s">
        <v>100</v>
      </c>
      <c r="D1037" t="s">
        <v>100</v>
      </c>
      <c r="E1037" t="s">
        <v>126</v>
      </c>
      <c r="F1037" s="158">
        <v>45516.974212962959</v>
      </c>
    </row>
    <row r="1038" spans="2:6" x14ac:dyDescent="0.25">
      <c r="B1038" t="s">
        <v>127</v>
      </c>
      <c r="C1038" t="s">
        <v>100</v>
      </c>
      <c r="D1038" t="s">
        <v>105</v>
      </c>
      <c r="E1038" t="s">
        <v>105</v>
      </c>
      <c r="F1038" s="158">
        <v>45516.974236111113</v>
      </c>
    </row>
    <row r="1039" spans="2:6" x14ac:dyDescent="0.25">
      <c r="B1039" t="s">
        <v>127</v>
      </c>
      <c r="C1039" t="s">
        <v>106</v>
      </c>
      <c r="D1039" t="s">
        <v>91</v>
      </c>
      <c r="E1039" t="s">
        <v>105</v>
      </c>
      <c r="F1039" s="158">
        <v>45516.974236111113</v>
      </c>
    </row>
    <row r="1040" spans="2:6" x14ac:dyDescent="0.25">
      <c r="B1040" t="s">
        <v>127</v>
      </c>
      <c r="C1040" t="s">
        <v>107</v>
      </c>
      <c r="D1040" t="s">
        <v>92</v>
      </c>
      <c r="E1040" t="s">
        <v>105</v>
      </c>
      <c r="F1040" s="158">
        <v>45516.974236111113</v>
      </c>
    </row>
    <row r="1041" spans="2:6" x14ac:dyDescent="0.25">
      <c r="B1041" t="s">
        <v>111</v>
      </c>
      <c r="C1041" t="s">
        <v>105</v>
      </c>
      <c r="D1041" t="s">
        <v>105</v>
      </c>
      <c r="E1041" t="s">
        <v>105</v>
      </c>
      <c r="F1041" s="158">
        <v>45516.974236111113</v>
      </c>
    </row>
    <row r="1042" spans="2:6" x14ac:dyDescent="0.25">
      <c r="B1042" t="s">
        <v>109</v>
      </c>
      <c r="C1042" t="s">
        <v>105</v>
      </c>
      <c r="D1042" t="s">
        <v>105</v>
      </c>
      <c r="E1042" t="s">
        <v>105</v>
      </c>
      <c r="F1042" s="158">
        <v>45516.974247685182</v>
      </c>
    </row>
    <row r="1043" spans="2:6" x14ac:dyDescent="0.25">
      <c r="B1043" t="s">
        <v>128</v>
      </c>
      <c r="C1043" t="s">
        <v>100</v>
      </c>
      <c r="D1043" t="s">
        <v>100</v>
      </c>
      <c r="E1043" t="s">
        <v>129</v>
      </c>
      <c r="F1043" s="158">
        <v>45516.974247685182</v>
      </c>
    </row>
    <row r="1044" spans="2:6" x14ac:dyDescent="0.25">
      <c r="B1044" t="s">
        <v>130</v>
      </c>
      <c r="C1044" t="s">
        <v>100</v>
      </c>
      <c r="D1044" t="s">
        <v>105</v>
      </c>
      <c r="E1044" t="s">
        <v>105</v>
      </c>
      <c r="F1044" s="158">
        <v>45516.974259259259</v>
      </c>
    </row>
    <row r="1045" spans="2:6" x14ac:dyDescent="0.25">
      <c r="B1045" t="s">
        <v>130</v>
      </c>
      <c r="C1045" t="s">
        <v>106</v>
      </c>
      <c r="D1045" t="s">
        <v>91</v>
      </c>
      <c r="E1045" t="s">
        <v>105</v>
      </c>
      <c r="F1045" s="158">
        <v>45516.974259259259</v>
      </c>
    </row>
    <row r="1046" spans="2:6" x14ac:dyDescent="0.25">
      <c r="B1046" t="s">
        <v>130</v>
      </c>
      <c r="C1046" t="s">
        <v>107</v>
      </c>
      <c r="D1046" t="s">
        <v>92</v>
      </c>
      <c r="E1046" t="s">
        <v>105</v>
      </c>
      <c r="F1046" s="158">
        <v>45516.974259259259</v>
      </c>
    </row>
    <row r="1047" spans="2:6" x14ac:dyDescent="0.25">
      <c r="B1047" t="s">
        <v>111</v>
      </c>
      <c r="C1047" t="s">
        <v>105</v>
      </c>
      <c r="D1047" t="s">
        <v>105</v>
      </c>
      <c r="E1047" t="s">
        <v>105</v>
      </c>
      <c r="F1047" s="158">
        <v>45516.974270833336</v>
      </c>
    </row>
    <row r="1048" spans="2:6" x14ac:dyDescent="0.25">
      <c r="B1048" t="s">
        <v>109</v>
      </c>
      <c r="C1048" t="s">
        <v>105</v>
      </c>
      <c r="D1048" t="s">
        <v>105</v>
      </c>
      <c r="E1048" t="s">
        <v>105</v>
      </c>
      <c r="F1048" s="158">
        <v>45516.974270833336</v>
      </c>
    </row>
    <row r="1049" spans="2:6" x14ac:dyDescent="0.25">
      <c r="B1049" t="s">
        <v>131</v>
      </c>
      <c r="C1049" t="s">
        <v>100</v>
      </c>
      <c r="D1049" t="s">
        <v>100</v>
      </c>
      <c r="E1049" t="s">
        <v>132</v>
      </c>
      <c r="F1049" s="158">
        <v>45516.974270833336</v>
      </c>
    </row>
    <row r="1050" spans="2:6" x14ac:dyDescent="0.25">
      <c r="B1050" t="s">
        <v>133</v>
      </c>
      <c r="C1050" t="s">
        <v>100</v>
      </c>
      <c r="D1050" t="s">
        <v>105</v>
      </c>
      <c r="E1050" t="s">
        <v>105</v>
      </c>
      <c r="F1050" s="158">
        <v>45516.974293981482</v>
      </c>
    </row>
    <row r="1051" spans="2:6" x14ac:dyDescent="0.25">
      <c r="B1051" t="s">
        <v>133</v>
      </c>
      <c r="C1051" t="s">
        <v>106</v>
      </c>
      <c r="D1051" t="s">
        <v>91</v>
      </c>
      <c r="E1051" t="s">
        <v>105</v>
      </c>
      <c r="F1051" s="158">
        <v>45516.974293981482</v>
      </c>
    </row>
    <row r="1052" spans="2:6" x14ac:dyDescent="0.25">
      <c r="B1052" t="s">
        <v>133</v>
      </c>
      <c r="C1052" t="s">
        <v>107</v>
      </c>
      <c r="D1052" t="s">
        <v>92</v>
      </c>
      <c r="E1052" t="s">
        <v>105</v>
      </c>
      <c r="F1052" s="158">
        <v>45516.974305555559</v>
      </c>
    </row>
    <row r="1053" spans="2:6" x14ac:dyDescent="0.25">
      <c r="B1053" t="s">
        <v>111</v>
      </c>
      <c r="C1053" t="s">
        <v>105</v>
      </c>
      <c r="D1053" t="s">
        <v>105</v>
      </c>
      <c r="E1053" t="s">
        <v>105</v>
      </c>
      <c r="F1053" s="158">
        <v>45516.974317129629</v>
      </c>
    </row>
    <row r="1054" spans="2:6" x14ac:dyDescent="0.25">
      <c r="B1054" t="s">
        <v>108</v>
      </c>
      <c r="C1054" t="s">
        <v>105</v>
      </c>
      <c r="D1054" t="s">
        <v>105</v>
      </c>
      <c r="E1054" t="s">
        <v>105</v>
      </c>
      <c r="F1054" s="158">
        <v>45516.975023148145</v>
      </c>
    </row>
    <row r="1055" spans="2:6" x14ac:dyDescent="0.25">
      <c r="B1055" t="s">
        <v>109</v>
      </c>
      <c r="C1055" t="s">
        <v>105</v>
      </c>
      <c r="D1055" t="s">
        <v>105</v>
      </c>
      <c r="E1055" t="s">
        <v>105</v>
      </c>
      <c r="F1055" s="158">
        <v>45516.975023148145</v>
      </c>
    </row>
    <row r="1056" spans="2:6" x14ac:dyDescent="0.25">
      <c r="B1056" t="s">
        <v>110</v>
      </c>
      <c r="C1056" t="s">
        <v>105</v>
      </c>
      <c r="D1056" t="s">
        <v>92</v>
      </c>
      <c r="E1056" t="s">
        <v>105</v>
      </c>
      <c r="F1056" s="158">
        <v>45516.975023148145</v>
      </c>
    </row>
    <row r="1057" spans="2:6" x14ac:dyDescent="0.25">
      <c r="B1057" t="s">
        <v>110</v>
      </c>
      <c r="C1057" t="s">
        <v>105</v>
      </c>
      <c r="D1057" t="s">
        <v>91</v>
      </c>
      <c r="E1057" t="s">
        <v>105</v>
      </c>
      <c r="F1057" s="158">
        <v>45516.975023148145</v>
      </c>
    </row>
    <row r="1058" spans="2:6" x14ac:dyDescent="0.25">
      <c r="B1058" t="s">
        <v>108</v>
      </c>
      <c r="C1058" t="s">
        <v>105</v>
      </c>
      <c r="D1058" t="s">
        <v>105</v>
      </c>
      <c r="E1058" t="s">
        <v>105</v>
      </c>
      <c r="F1058" s="158">
        <v>45516.983078703706</v>
      </c>
    </row>
    <row r="1059" spans="2:6" x14ac:dyDescent="0.25">
      <c r="B1059" t="s">
        <v>109</v>
      </c>
      <c r="C1059" t="s">
        <v>105</v>
      </c>
      <c r="D1059" t="s">
        <v>105</v>
      </c>
      <c r="E1059" t="s">
        <v>105</v>
      </c>
      <c r="F1059" s="158">
        <v>45516.983078703706</v>
      </c>
    </row>
    <row r="1060" spans="2:6" x14ac:dyDescent="0.25">
      <c r="B1060" t="s">
        <v>110</v>
      </c>
      <c r="C1060" t="s">
        <v>105</v>
      </c>
      <c r="D1060" t="s">
        <v>92</v>
      </c>
      <c r="E1060" t="s">
        <v>105</v>
      </c>
      <c r="F1060" s="158">
        <v>45516.983078703706</v>
      </c>
    </row>
    <row r="1061" spans="2:6" x14ac:dyDescent="0.25">
      <c r="B1061" t="s">
        <v>110</v>
      </c>
      <c r="C1061" t="s">
        <v>105</v>
      </c>
      <c r="D1061" t="s">
        <v>91</v>
      </c>
      <c r="E1061" t="s">
        <v>105</v>
      </c>
      <c r="F1061" s="158">
        <v>45516.983078703706</v>
      </c>
    </row>
    <row r="1062" spans="2:6" x14ac:dyDescent="0.25">
      <c r="B1062" t="s">
        <v>113</v>
      </c>
      <c r="C1062" t="s">
        <v>105</v>
      </c>
      <c r="D1062" t="s">
        <v>105</v>
      </c>
      <c r="E1062" t="s">
        <v>114</v>
      </c>
      <c r="F1062" s="158">
        <v>45516.983113425929</v>
      </c>
    </row>
    <row r="1063" spans="2:6" x14ac:dyDescent="0.25">
      <c r="B1063" t="s">
        <v>111</v>
      </c>
      <c r="C1063" t="s">
        <v>105</v>
      </c>
      <c r="D1063" t="s">
        <v>105</v>
      </c>
      <c r="E1063" t="s">
        <v>105</v>
      </c>
      <c r="F1063" s="158">
        <v>45516.983113425929</v>
      </c>
    </row>
    <row r="1064" spans="2:6" x14ac:dyDescent="0.25">
      <c r="B1064" t="s">
        <v>109</v>
      </c>
      <c r="C1064" t="s">
        <v>105</v>
      </c>
      <c r="D1064" t="s">
        <v>105</v>
      </c>
      <c r="E1064" t="s">
        <v>105</v>
      </c>
      <c r="F1064" s="158">
        <v>45516.983113425929</v>
      </c>
    </row>
    <row r="1065" spans="2:6" x14ac:dyDescent="0.25">
      <c r="B1065" t="s">
        <v>115</v>
      </c>
      <c r="C1065" t="s">
        <v>100</v>
      </c>
      <c r="D1065" t="s">
        <v>100</v>
      </c>
      <c r="E1065" t="s">
        <v>103</v>
      </c>
      <c r="F1065" s="158">
        <v>45516.983113425929</v>
      </c>
    </row>
    <row r="1066" spans="2:6" x14ac:dyDescent="0.25">
      <c r="B1066" t="s">
        <v>104</v>
      </c>
      <c r="C1066" t="s">
        <v>100</v>
      </c>
      <c r="D1066" t="s">
        <v>105</v>
      </c>
      <c r="E1066" t="s">
        <v>105</v>
      </c>
      <c r="F1066" s="158">
        <v>45516.983136574076</v>
      </c>
    </row>
    <row r="1067" spans="2:6" x14ac:dyDescent="0.25">
      <c r="B1067" t="s">
        <v>104</v>
      </c>
      <c r="C1067" t="s">
        <v>106</v>
      </c>
      <c r="D1067" t="s">
        <v>91</v>
      </c>
      <c r="E1067" t="s">
        <v>105</v>
      </c>
      <c r="F1067" s="158">
        <v>45516.983136574076</v>
      </c>
    </row>
    <row r="1068" spans="2:6" x14ac:dyDescent="0.25">
      <c r="B1068" t="s">
        <v>104</v>
      </c>
      <c r="C1068" t="s">
        <v>107</v>
      </c>
      <c r="D1068" t="s">
        <v>92</v>
      </c>
      <c r="E1068" t="s">
        <v>105</v>
      </c>
      <c r="F1068" s="158">
        <v>45516.983136574076</v>
      </c>
    </row>
    <row r="1069" spans="2:6" x14ac:dyDescent="0.25">
      <c r="B1069" t="s">
        <v>111</v>
      </c>
      <c r="C1069" t="s">
        <v>105</v>
      </c>
      <c r="D1069" t="s">
        <v>105</v>
      </c>
      <c r="E1069" t="s">
        <v>105</v>
      </c>
      <c r="F1069" s="158">
        <v>45516.983148148145</v>
      </c>
    </row>
    <row r="1070" spans="2:6" x14ac:dyDescent="0.25">
      <c r="B1070" t="s">
        <v>109</v>
      </c>
      <c r="C1070" t="s">
        <v>105</v>
      </c>
      <c r="D1070" t="s">
        <v>105</v>
      </c>
      <c r="E1070" t="s">
        <v>105</v>
      </c>
      <c r="F1070" s="158">
        <v>45516.983148148145</v>
      </c>
    </row>
    <row r="1071" spans="2:6" x14ac:dyDescent="0.25">
      <c r="B1071" t="s">
        <v>116</v>
      </c>
      <c r="C1071" t="s">
        <v>100</v>
      </c>
      <c r="D1071" t="s">
        <v>100</v>
      </c>
      <c r="E1071" t="s">
        <v>117</v>
      </c>
      <c r="F1071" s="158">
        <v>45516.983148148145</v>
      </c>
    </row>
    <row r="1072" spans="2:6" x14ac:dyDescent="0.25">
      <c r="B1072" t="s">
        <v>118</v>
      </c>
      <c r="C1072" t="s">
        <v>100</v>
      </c>
      <c r="D1072" t="s">
        <v>105</v>
      </c>
      <c r="E1072" t="s">
        <v>105</v>
      </c>
      <c r="F1072" s="158">
        <v>45516.983171296299</v>
      </c>
    </row>
    <row r="1073" spans="2:6" x14ac:dyDescent="0.25">
      <c r="B1073" t="s">
        <v>118</v>
      </c>
      <c r="C1073" t="s">
        <v>106</v>
      </c>
      <c r="D1073" t="s">
        <v>91</v>
      </c>
      <c r="E1073" t="s">
        <v>105</v>
      </c>
      <c r="F1073" s="158">
        <v>45516.983171296299</v>
      </c>
    </row>
    <row r="1074" spans="2:6" x14ac:dyDescent="0.25">
      <c r="B1074" t="s">
        <v>118</v>
      </c>
      <c r="C1074" t="s">
        <v>107</v>
      </c>
      <c r="D1074" t="s">
        <v>92</v>
      </c>
      <c r="E1074" t="s">
        <v>105</v>
      </c>
      <c r="F1074" s="158">
        <v>45516.983171296299</v>
      </c>
    </row>
    <row r="1075" spans="2:6" x14ac:dyDescent="0.25">
      <c r="B1075" t="s">
        <v>111</v>
      </c>
      <c r="C1075" t="s">
        <v>105</v>
      </c>
      <c r="D1075" t="s">
        <v>105</v>
      </c>
      <c r="E1075" t="s">
        <v>105</v>
      </c>
      <c r="F1075" s="158">
        <v>45516.983182870368</v>
      </c>
    </row>
    <row r="1076" spans="2:6" x14ac:dyDescent="0.25">
      <c r="B1076" t="s">
        <v>109</v>
      </c>
      <c r="C1076" t="s">
        <v>105</v>
      </c>
      <c r="D1076" t="s">
        <v>105</v>
      </c>
      <c r="E1076" t="s">
        <v>105</v>
      </c>
      <c r="F1076" s="158">
        <v>45516.983182870368</v>
      </c>
    </row>
    <row r="1077" spans="2:6" x14ac:dyDescent="0.25">
      <c r="B1077" t="s">
        <v>119</v>
      </c>
      <c r="C1077" t="s">
        <v>100</v>
      </c>
      <c r="D1077" t="s">
        <v>100</v>
      </c>
      <c r="E1077" t="s">
        <v>120</v>
      </c>
      <c r="F1077" s="158">
        <v>45516.983182870368</v>
      </c>
    </row>
    <row r="1078" spans="2:6" x14ac:dyDescent="0.25">
      <c r="B1078" t="s">
        <v>121</v>
      </c>
      <c r="C1078" t="s">
        <v>100</v>
      </c>
      <c r="D1078" t="s">
        <v>105</v>
      </c>
      <c r="E1078" t="s">
        <v>105</v>
      </c>
      <c r="F1078" s="158">
        <v>45516.983206018522</v>
      </c>
    </row>
    <row r="1079" spans="2:6" x14ac:dyDescent="0.25">
      <c r="B1079" t="s">
        <v>121</v>
      </c>
      <c r="C1079" t="s">
        <v>106</v>
      </c>
      <c r="D1079" t="s">
        <v>91</v>
      </c>
      <c r="E1079" t="s">
        <v>105</v>
      </c>
      <c r="F1079" s="158">
        <v>45516.983206018522</v>
      </c>
    </row>
    <row r="1080" spans="2:6" x14ac:dyDescent="0.25">
      <c r="B1080" t="s">
        <v>121</v>
      </c>
      <c r="C1080" t="s">
        <v>107</v>
      </c>
      <c r="D1080" t="s">
        <v>92</v>
      </c>
      <c r="E1080" t="s">
        <v>105</v>
      </c>
      <c r="F1080" s="158">
        <v>45516.983206018522</v>
      </c>
    </row>
    <row r="1081" spans="2:6" x14ac:dyDescent="0.25">
      <c r="B1081" t="s">
        <v>111</v>
      </c>
      <c r="C1081" t="s">
        <v>105</v>
      </c>
      <c r="D1081" t="s">
        <v>105</v>
      </c>
      <c r="E1081" t="s">
        <v>105</v>
      </c>
      <c r="F1081" s="158">
        <v>45516.983217592591</v>
      </c>
    </row>
    <row r="1082" spans="2:6" x14ac:dyDescent="0.25">
      <c r="B1082" t="s">
        <v>109</v>
      </c>
      <c r="C1082" t="s">
        <v>105</v>
      </c>
      <c r="D1082" t="s">
        <v>105</v>
      </c>
      <c r="E1082" t="s">
        <v>105</v>
      </c>
      <c r="F1082" s="158">
        <v>45516.983217592591</v>
      </c>
    </row>
    <row r="1083" spans="2:6" x14ac:dyDescent="0.25">
      <c r="B1083" t="s">
        <v>122</v>
      </c>
      <c r="C1083" t="s">
        <v>100</v>
      </c>
      <c r="D1083" t="s">
        <v>100</v>
      </c>
      <c r="E1083" t="s">
        <v>123</v>
      </c>
      <c r="F1083" s="158">
        <v>45516.983217592591</v>
      </c>
    </row>
    <row r="1084" spans="2:6" x14ac:dyDescent="0.25">
      <c r="B1084" t="s">
        <v>124</v>
      </c>
      <c r="C1084" t="s">
        <v>100</v>
      </c>
      <c r="D1084" t="s">
        <v>105</v>
      </c>
      <c r="E1084" t="s">
        <v>105</v>
      </c>
      <c r="F1084" s="158">
        <v>45516.983240740738</v>
      </c>
    </row>
    <row r="1085" spans="2:6" x14ac:dyDescent="0.25">
      <c r="B1085" t="s">
        <v>124</v>
      </c>
      <c r="C1085" t="s">
        <v>106</v>
      </c>
      <c r="D1085" t="s">
        <v>91</v>
      </c>
      <c r="E1085" t="s">
        <v>105</v>
      </c>
      <c r="F1085" s="158">
        <v>45516.983240740738</v>
      </c>
    </row>
    <row r="1086" spans="2:6" x14ac:dyDescent="0.25">
      <c r="B1086" t="s">
        <v>124</v>
      </c>
      <c r="C1086" t="s">
        <v>107</v>
      </c>
      <c r="D1086" t="s">
        <v>92</v>
      </c>
      <c r="E1086" t="s">
        <v>105</v>
      </c>
      <c r="F1086" s="158">
        <v>45516.983240740738</v>
      </c>
    </row>
    <row r="1087" spans="2:6" x14ac:dyDescent="0.25">
      <c r="B1087" t="s">
        <v>111</v>
      </c>
      <c r="C1087" t="s">
        <v>105</v>
      </c>
      <c r="D1087" t="s">
        <v>105</v>
      </c>
      <c r="E1087" t="s">
        <v>105</v>
      </c>
      <c r="F1087" s="158">
        <v>45516.983252314814</v>
      </c>
    </row>
    <row r="1088" spans="2:6" x14ac:dyDescent="0.25">
      <c r="B1088" t="s">
        <v>109</v>
      </c>
      <c r="C1088" t="s">
        <v>105</v>
      </c>
      <c r="D1088" t="s">
        <v>105</v>
      </c>
      <c r="E1088" t="s">
        <v>105</v>
      </c>
      <c r="F1088" s="158">
        <v>45516.983252314814</v>
      </c>
    </row>
    <row r="1089" spans="2:6" x14ac:dyDescent="0.25">
      <c r="B1089" t="s">
        <v>125</v>
      </c>
      <c r="C1089" t="s">
        <v>100</v>
      </c>
      <c r="D1089" t="s">
        <v>100</v>
      </c>
      <c r="E1089" t="s">
        <v>126</v>
      </c>
      <c r="F1089" s="158">
        <v>45516.983252314814</v>
      </c>
    </row>
    <row r="1090" spans="2:6" x14ac:dyDescent="0.25">
      <c r="B1090" t="s">
        <v>127</v>
      </c>
      <c r="C1090" t="s">
        <v>100</v>
      </c>
      <c r="D1090" t="s">
        <v>105</v>
      </c>
      <c r="E1090" t="s">
        <v>105</v>
      </c>
      <c r="F1090" s="158">
        <v>45516.983275462961</v>
      </c>
    </row>
    <row r="1091" spans="2:6" x14ac:dyDescent="0.25">
      <c r="B1091" t="s">
        <v>127</v>
      </c>
      <c r="C1091" t="s">
        <v>106</v>
      </c>
      <c r="D1091" t="s">
        <v>91</v>
      </c>
      <c r="E1091" t="s">
        <v>105</v>
      </c>
      <c r="F1091" s="158">
        <v>45516.983275462961</v>
      </c>
    </row>
    <row r="1092" spans="2:6" x14ac:dyDescent="0.25">
      <c r="B1092" t="s">
        <v>127</v>
      </c>
      <c r="C1092" t="s">
        <v>107</v>
      </c>
      <c r="D1092" t="s">
        <v>92</v>
      </c>
      <c r="E1092" t="s">
        <v>105</v>
      </c>
      <c r="F1092" s="158">
        <v>45516.983275462961</v>
      </c>
    </row>
    <row r="1093" spans="2:6" x14ac:dyDescent="0.25">
      <c r="B1093" t="s">
        <v>111</v>
      </c>
      <c r="C1093" t="s">
        <v>105</v>
      </c>
      <c r="D1093" t="s">
        <v>105</v>
      </c>
      <c r="E1093" t="s">
        <v>105</v>
      </c>
      <c r="F1093" s="158">
        <v>45516.983275462961</v>
      </c>
    </row>
    <row r="1094" spans="2:6" x14ac:dyDescent="0.25">
      <c r="B1094" t="s">
        <v>109</v>
      </c>
      <c r="C1094" t="s">
        <v>105</v>
      </c>
      <c r="D1094" t="s">
        <v>105</v>
      </c>
      <c r="E1094" t="s">
        <v>105</v>
      </c>
      <c r="F1094" s="158">
        <v>45516.983287037037</v>
      </c>
    </row>
    <row r="1095" spans="2:6" x14ac:dyDescent="0.25">
      <c r="B1095" t="s">
        <v>128</v>
      </c>
      <c r="C1095" t="s">
        <v>100</v>
      </c>
      <c r="D1095" t="s">
        <v>100</v>
      </c>
      <c r="E1095" t="s">
        <v>129</v>
      </c>
      <c r="F1095" s="158">
        <v>45516.983287037037</v>
      </c>
    </row>
    <row r="1096" spans="2:6" x14ac:dyDescent="0.25">
      <c r="B1096" t="s">
        <v>130</v>
      </c>
      <c r="C1096" t="s">
        <v>100</v>
      </c>
      <c r="D1096" t="s">
        <v>105</v>
      </c>
      <c r="E1096" t="s">
        <v>105</v>
      </c>
      <c r="F1096" s="158">
        <v>45516.983298611114</v>
      </c>
    </row>
    <row r="1097" spans="2:6" x14ac:dyDescent="0.25">
      <c r="B1097" t="s">
        <v>130</v>
      </c>
      <c r="C1097" t="s">
        <v>106</v>
      </c>
      <c r="D1097" t="s">
        <v>91</v>
      </c>
      <c r="E1097" t="s">
        <v>105</v>
      </c>
      <c r="F1097" s="158">
        <v>45516.983298611114</v>
      </c>
    </row>
    <row r="1098" spans="2:6" x14ac:dyDescent="0.25">
      <c r="B1098" t="s">
        <v>130</v>
      </c>
      <c r="C1098" t="s">
        <v>107</v>
      </c>
      <c r="D1098" t="s">
        <v>92</v>
      </c>
      <c r="E1098" t="s">
        <v>105</v>
      </c>
      <c r="F1098" s="158">
        <v>45516.983298611114</v>
      </c>
    </row>
    <row r="1099" spans="2:6" x14ac:dyDescent="0.25">
      <c r="B1099" t="s">
        <v>111</v>
      </c>
      <c r="C1099" t="s">
        <v>105</v>
      </c>
      <c r="D1099" t="s">
        <v>105</v>
      </c>
      <c r="E1099" t="s">
        <v>105</v>
      </c>
      <c r="F1099" s="158">
        <v>45516.983310185184</v>
      </c>
    </row>
    <row r="1100" spans="2:6" x14ac:dyDescent="0.25">
      <c r="B1100" t="s">
        <v>109</v>
      </c>
      <c r="C1100" t="s">
        <v>105</v>
      </c>
      <c r="D1100" t="s">
        <v>105</v>
      </c>
      <c r="E1100" t="s">
        <v>105</v>
      </c>
      <c r="F1100" s="158">
        <v>45516.983310185184</v>
      </c>
    </row>
    <row r="1101" spans="2:6" x14ac:dyDescent="0.25">
      <c r="B1101" t="s">
        <v>131</v>
      </c>
      <c r="C1101" t="s">
        <v>100</v>
      </c>
      <c r="D1101" t="s">
        <v>100</v>
      </c>
      <c r="E1101" t="s">
        <v>132</v>
      </c>
      <c r="F1101" s="158">
        <v>45516.983310185184</v>
      </c>
    </row>
    <row r="1102" spans="2:6" x14ac:dyDescent="0.25">
      <c r="B1102" t="s">
        <v>133</v>
      </c>
      <c r="C1102" t="s">
        <v>100</v>
      </c>
      <c r="D1102" t="s">
        <v>105</v>
      </c>
      <c r="E1102" t="s">
        <v>105</v>
      </c>
      <c r="F1102" s="158">
        <v>45516.98333333333</v>
      </c>
    </row>
    <row r="1103" spans="2:6" x14ac:dyDescent="0.25">
      <c r="B1103" t="s">
        <v>133</v>
      </c>
      <c r="C1103" t="s">
        <v>106</v>
      </c>
      <c r="D1103" t="s">
        <v>91</v>
      </c>
      <c r="E1103" t="s">
        <v>105</v>
      </c>
      <c r="F1103" s="158">
        <v>45516.98333333333</v>
      </c>
    </row>
    <row r="1104" spans="2:6" x14ac:dyDescent="0.25">
      <c r="B1104" t="s">
        <v>133</v>
      </c>
      <c r="C1104" t="s">
        <v>107</v>
      </c>
      <c r="D1104" t="s">
        <v>92</v>
      </c>
      <c r="E1104" t="s">
        <v>105</v>
      </c>
      <c r="F1104" s="158">
        <v>45516.983344907407</v>
      </c>
    </row>
    <row r="1105" spans="2:6" x14ac:dyDescent="0.25">
      <c r="B1105" t="s">
        <v>111</v>
      </c>
      <c r="C1105" t="s">
        <v>105</v>
      </c>
      <c r="D1105" t="s">
        <v>105</v>
      </c>
      <c r="E1105" t="s">
        <v>105</v>
      </c>
      <c r="F1105" s="158">
        <v>45516.983356481483</v>
      </c>
    </row>
    <row r="1106" spans="2:6" x14ac:dyDescent="0.25">
      <c r="B1106" t="s">
        <v>108</v>
      </c>
      <c r="C1106" t="s">
        <v>105</v>
      </c>
      <c r="D1106" t="s">
        <v>105</v>
      </c>
      <c r="E1106" t="s">
        <v>105</v>
      </c>
      <c r="F1106" s="158">
        <v>45516.983865740738</v>
      </c>
    </row>
    <row r="1107" spans="2:6" x14ac:dyDescent="0.25">
      <c r="B1107" t="s">
        <v>109</v>
      </c>
      <c r="C1107" t="s">
        <v>105</v>
      </c>
      <c r="D1107" t="s">
        <v>105</v>
      </c>
      <c r="E1107" t="s">
        <v>105</v>
      </c>
      <c r="F1107" s="158">
        <v>45516.983865740738</v>
      </c>
    </row>
    <row r="1108" spans="2:6" x14ac:dyDescent="0.25">
      <c r="B1108" t="s">
        <v>110</v>
      </c>
      <c r="C1108" t="s">
        <v>105</v>
      </c>
      <c r="D1108" t="s">
        <v>92</v>
      </c>
      <c r="E1108" t="s">
        <v>105</v>
      </c>
      <c r="F1108" s="158">
        <v>45516.983865740738</v>
      </c>
    </row>
    <row r="1109" spans="2:6" x14ac:dyDescent="0.25">
      <c r="B1109" t="s">
        <v>110</v>
      </c>
      <c r="C1109" t="s">
        <v>105</v>
      </c>
      <c r="D1109" t="s">
        <v>91</v>
      </c>
      <c r="E1109" t="s">
        <v>105</v>
      </c>
      <c r="F1109" s="158">
        <v>45516.983865740738</v>
      </c>
    </row>
    <row r="1110" spans="2:6" x14ac:dyDescent="0.25">
      <c r="B1110" t="s">
        <v>113</v>
      </c>
      <c r="C1110" t="s">
        <v>105</v>
      </c>
      <c r="D1110" t="s">
        <v>105</v>
      </c>
      <c r="E1110" t="s">
        <v>114</v>
      </c>
      <c r="F1110" s="158">
        <v>45516.983912037038</v>
      </c>
    </row>
    <row r="1111" spans="2:6" x14ac:dyDescent="0.25">
      <c r="B1111" t="s">
        <v>111</v>
      </c>
      <c r="C1111" t="s">
        <v>105</v>
      </c>
      <c r="D1111" t="s">
        <v>105</v>
      </c>
      <c r="E1111" t="s">
        <v>105</v>
      </c>
      <c r="F1111" s="158">
        <v>45516.983923611115</v>
      </c>
    </row>
    <row r="1112" spans="2:6" x14ac:dyDescent="0.25">
      <c r="B1112" t="s">
        <v>109</v>
      </c>
      <c r="C1112" t="s">
        <v>105</v>
      </c>
      <c r="D1112" t="s">
        <v>105</v>
      </c>
      <c r="E1112" t="s">
        <v>105</v>
      </c>
      <c r="F1112" s="158">
        <v>45516.983923611115</v>
      </c>
    </row>
    <row r="1113" spans="2:6" x14ac:dyDescent="0.25">
      <c r="B1113" t="s">
        <v>115</v>
      </c>
      <c r="C1113" t="s">
        <v>100</v>
      </c>
      <c r="D1113" t="s">
        <v>100</v>
      </c>
      <c r="E1113" t="s">
        <v>103</v>
      </c>
      <c r="F1113" s="158">
        <v>45516.983923611115</v>
      </c>
    </row>
    <row r="1114" spans="2:6" x14ac:dyDescent="0.25">
      <c r="B1114" t="s">
        <v>104</v>
      </c>
      <c r="C1114" t="s">
        <v>100</v>
      </c>
      <c r="D1114" t="s">
        <v>105</v>
      </c>
      <c r="E1114" t="s">
        <v>105</v>
      </c>
      <c r="F1114" s="158">
        <v>45516.983946759261</v>
      </c>
    </row>
    <row r="1115" spans="2:6" x14ac:dyDescent="0.25">
      <c r="B1115" t="s">
        <v>104</v>
      </c>
      <c r="C1115" t="s">
        <v>106</v>
      </c>
      <c r="D1115" t="s">
        <v>91</v>
      </c>
      <c r="E1115" t="s">
        <v>105</v>
      </c>
      <c r="F1115" s="158">
        <v>45516.983946759261</v>
      </c>
    </row>
    <row r="1116" spans="2:6" x14ac:dyDescent="0.25">
      <c r="B1116" t="s">
        <v>104</v>
      </c>
      <c r="C1116" t="s">
        <v>107</v>
      </c>
      <c r="D1116" t="s">
        <v>92</v>
      </c>
      <c r="E1116" t="s">
        <v>105</v>
      </c>
      <c r="F1116" s="158">
        <v>45516.983946759261</v>
      </c>
    </row>
    <row r="1117" spans="2:6" x14ac:dyDescent="0.25">
      <c r="B1117" t="s">
        <v>111</v>
      </c>
      <c r="C1117" t="s">
        <v>105</v>
      </c>
      <c r="D1117" t="s">
        <v>105</v>
      </c>
      <c r="E1117" t="s">
        <v>105</v>
      </c>
      <c r="F1117" s="158">
        <v>45516.983958333331</v>
      </c>
    </row>
    <row r="1118" spans="2:6" x14ac:dyDescent="0.25">
      <c r="B1118" t="s">
        <v>109</v>
      </c>
      <c r="C1118" t="s">
        <v>105</v>
      </c>
      <c r="D1118" t="s">
        <v>105</v>
      </c>
      <c r="E1118" t="s">
        <v>105</v>
      </c>
      <c r="F1118" s="158">
        <v>45516.983958333331</v>
      </c>
    </row>
    <row r="1119" spans="2:6" x14ac:dyDescent="0.25">
      <c r="B1119" t="s">
        <v>116</v>
      </c>
      <c r="C1119" t="s">
        <v>100</v>
      </c>
      <c r="D1119" t="s">
        <v>100</v>
      </c>
      <c r="E1119" t="s">
        <v>117</v>
      </c>
      <c r="F1119" s="158">
        <v>45516.983958333331</v>
      </c>
    </row>
    <row r="1120" spans="2:6" x14ac:dyDescent="0.25">
      <c r="B1120" t="s">
        <v>118</v>
      </c>
      <c r="C1120" t="s">
        <v>100</v>
      </c>
      <c r="D1120" t="s">
        <v>105</v>
      </c>
      <c r="E1120" t="s">
        <v>105</v>
      </c>
      <c r="F1120" s="158">
        <v>45516.983993055554</v>
      </c>
    </row>
    <row r="1121" spans="2:6" x14ac:dyDescent="0.25">
      <c r="B1121" t="s">
        <v>118</v>
      </c>
      <c r="C1121" t="s">
        <v>106</v>
      </c>
      <c r="D1121" t="s">
        <v>91</v>
      </c>
      <c r="E1121" t="s">
        <v>105</v>
      </c>
      <c r="F1121" s="158">
        <v>45516.983993055554</v>
      </c>
    </row>
    <row r="1122" spans="2:6" x14ac:dyDescent="0.25">
      <c r="B1122" t="s">
        <v>118</v>
      </c>
      <c r="C1122" t="s">
        <v>107</v>
      </c>
      <c r="D1122" t="s">
        <v>92</v>
      </c>
      <c r="E1122" t="s">
        <v>105</v>
      </c>
      <c r="F1122" s="158">
        <v>45516.983993055554</v>
      </c>
    </row>
    <row r="1123" spans="2:6" x14ac:dyDescent="0.25">
      <c r="B1123" t="s">
        <v>111</v>
      </c>
      <c r="C1123" t="s">
        <v>105</v>
      </c>
      <c r="D1123" t="s">
        <v>105</v>
      </c>
      <c r="E1123" t="s">
        <v>105</v>
      </c>
      <c r="F1123" s="158">
        <v>45516.98400462963</v>
      </c>
    </row>
    <row r="1124" spans="2:6" x14ac:dyDescent="0.25">
      <c r="B1124" t="s">
        <v>109</v>
      </c>
      <c r="C1124" t="s">
        <v>105</v>
      </c>
      <c r="D1124" t="s">
        <v>105</v>
      </c>
      <c r="E1124" t="s">
        <v>105</v>
      </c>
      <c r="F1124" s="158">
        <v>45516.98400462963</v>
      </c>
    </row>
    <row r="1125" spans="2:6" x14ac:dyDescent="0.25">
      <c r="B1125" t="s">
        <v>119</v>
      </c>
      <c r="C1125" t="s">
        <v>100</v>
      </c>
      <c r="D1125" t="s">
        <v>100</v>
      </c>
      <c r="E1125" t="s">
        <v>120</v>
      </c>
      <c r="F1125" s="158">
        <v>45516.98400462963</v>
      </c>
    </row>
    <row r="1126" spans="2:6" x14ac:dyDescent="0.25">
      <c r="B1126" t="s">
        <v>121</v>
      </c>
      <c r="C1126" t="s">
        <v>100</v>
      </c>
      <c r="D1126" t="s">
        <v>105</v>
      </c>
      <c r="E1126" t="s">
        <v>105</v>
      </c>
      <c r="F1126" s="158">
        <v>45516.984027777777</v>
      </c>
    </row>
    <row r="1127" spans="2:6" x14ac:dyDescent="0.25">
      <c r="B1127" t="s">
        <v>121</v>
      </c>
      <c r="C1127" t="s">
        <v>106</v>
      </c>
      <c r="D1127" t="s">
        <v>91</v>
      </c>
      <c r="E1127" t="s">
        <v>105</v>
      </c>
      <c r="F1127" s="158">
        <v>45516.984027777777</v>
      </c>
    </row>
    <row r="1128" spans="2:6" x14ac:dyDescent="0.25">
      <c r="B1128" t="s">
        <v>121</v>
      </c>
      <c r="C1128" t="s">
        <v>107</v>
      </c>
      <c r="D1128" t="s">
        <v>92</v>
      </c>
      <c r="E1128" t="s">
        <v>105</v>
      </c>
      <c r="F1128" s="158">
        <v>45516.984039351853</v>
      </c>
    </row>
    <row r="1129" spans="2:6" x14ac:dyDescent="0.25">
      <c r="B1129" t="s">
        <v>111</v>
      </c>
      <c r="C1129" t="s">
        <v>105</v>
      </c>
      <c r="D1129" t="s">
        <v>105</v>
      </c>
      <c r="E1129" t="s">
        <v>105</v>
      </c>
      <c r="F1129" s="158">
        <v>45516.984050925923</v>
      </c>
    </row>
    <row r="1130" spans="2:6" x14ac:dyDescent="0.25">
      <c r="B1130" t="s">
        <v>109</v>
      </c>
      <c r="C1130" t="s">
        <v>105</v>
      </c>
      <c r="D1130" t="s">
        <v>105</v>
      </c>
      <c r="E1130" t="s">
        <v>105</v>
      </c>
      <c r="F1130" s="158">
        <v>45516.984050925923</v>
      </c>
    </row>
    <row r="1131" spans="2:6" x14ac:dyDescent="0.25">
      <c r="B1131" t="s">
        <v>122</v>
      </c>
      <c r="C1131" t="s">
        <v>100</v>
      </c>
      <c r="D1131" t="s">
        <v>100</v>
      </c>
      <c r="E1131" t="s">
        <v>123</v>
      </c>
      <c r="F1131" s="158">
        <v>45516.984050925923</v>
      </c>
    </row>
    <row r="1132" spans="2:6" x14ac:dyDescent="0.25">
      <c r="B1132" t="s">
        <v>124</v>
      </c>
      <c r="C1132" t="s">
        <v>100</v>
      </c>
      <c r="D1132" t="s">
        <v>105</v>
      </c>
      <c r="E1132" t="s">
        <v>105</v>
      </c>
      <c r="F1132" s="158">
        <v>45516.984074074076</v>
      </c>
    </row>
    <row r="1133" spans="2:6" x14ac:dyDescent="0.25">
      <c r="B1133" t="s">
        <v>124</v>
      </c>
      <c r="C1133" t="s">
        <v>106</v>
      </c>
      <c r="D1133" t="s">
        <v>91</v>
      </c>
      <c r="E1133" t="s">
        <v>105</v>
      </c>
      <c r="F1133" s="158">
        <v>45516.984074074076</v>
      </c>
    </row>
    <row r="1134" spans="2:6" x14ac:dyDescent="0.25">
      <c r="B1134" t="s">
        <v>124</v>
      </c>
      <c r="C1134" t="s">
        <v>107</v>
      </c>
      <c r="D1134" t="s">
        <v>92</v>
      </c>
      <c r="E1134" t="s">
        <v>105</v>
      </c>
      <c r="F1134" s="158">
        <v>45516.984074074076</v>
      </c>
    </row>
    <row r="1135" spans="2:6" x14ac:dyDescent="0.25">
      <c r="B1135" t="s">
        <v>111</v>
      </c>
      <c r="C1135" t="s">
        <v>105</v>
      </c>
      <c r="D1135" t="s">
        <v>105</v>
      </c>
      <c r="E1135" t="s">
        <v>105</v>
      </c>
      <c r="F1135" s="158">
        <v>45516.984085648146</v>
      </c>
    </row>
    <row r="1136" spans="2:6" x14ac:dyDescent="0.25">
      <c r="B1136" t="s">
        <v>109</v>
      </c>
      <c r="C1136" t="s">
        <v>105</v>
      </c>
      <c r="D1136" t="s">
        <v>105</v>
      </c>
      <c r="E1136" t="s">
        <v>105</v>
      </c>
      <c r="F1136" s="158">
        <v>45516.984085648146</v>
      </c>
    </row>
    <row r="1137" spans="2:6" x14ac:dyDescent="0.25">
      <c r="B1137" t="s">
        <v>125</v>
      </c>
      <c r="C1137" t="s">
        <v>100</v>
      </c>
      <c r="D1137" t="s">
        <v>100</v>
      </c>
      <c r="E1137" t="s">
        <v>126</v>
      </c>
      <c r="F1137" s="158">
        <v>45516.984097222223</v>
      </c>
    </row>
    <row r="1138" spans="2:6" x14ac:dyDescent="0.25">
      <c r="B1138" t="s">
        <v>127</v>
      </c>
      <c r="C1138" t="s">
        <v>100</v>
      </c>
      <c r="D1138" t="s">
        <v>105</v>
      </c>
      <c r="E1138" t="s">
        <v>105</v>
      </c>
      <c r="F1138" s="158">
        <v>45516.984120370369</v>
      </c>
    </row>
    <row r="1139" spans="2:6" x14ac:dyDescent="0.25">
      <c r="B1139" t="s">
        <v>127</v>
      </c>
      <c r="C1139" t="s">
        <v>106</v>
      </c>
      <c r="D1139" t="s">
        <v>91</v>
      </c>
      <c r="E1139" t="s">
        <v>105</v>
      </c>
      <c r="F1139" s="158">
        <v>45516.984120370369</v>
      </c>
    </row>
    <row r="1140" spans="2:6" x14ac:dyDescent="0.25">
      <c r="B1140" t="s">
        <v>127</v>
      </c>
      <c r="C1140" t="s">
        <v>107</v>
      </c>
      <c r="D1140" t="s">
        <v>92</v>
      </c>
      <c r="E1140" t="s">
        <v>105</v>
      </c>
      <c r="F1140" s="158">
        <v>45516.984120370369</v>
      </c>
    </row>
    <row r="1141" spans="2:6" x14ac:dyDescent="0.25">
      <c r="B1141" t="s">
        <v>111</v>
      </c>
      <c r="C1141" t="s">
        <v>105</v>
      </c>
      <c r="D1141" t="s">
        <v>105</v>
      </c>
      <c r="E1141" t="s">
        <v>105</v>
      </c>
      <c r="F1141" s="158">
        <v>45516.984131944446</v>
      </c>
    </row>
    <row r="1142" spans="2:6" x14ac:dyDescent="0.25">
      <c r="B1142" t="s">
        <v>109</v>
      </c>
      <c r="C1142" t="s">
        <v>105</v>
      </c>
      <c r="D1142" t="s">
        <v>105</v>
      </c>
      <c r="E1142" t="s">
        <v>105</v>
      </c>
      <c r="F1142" s="158">
        <v>45516.984131944446</v>
      </c>
    </row>
    <row r="1143" spans="2:6" x14ac:dyDescent="0.25">
      <c r="B1143" t="s">
        <v>128</v>
      </c>
      <c r="C1143" t="s">
        <v>100</v>
      </c>
      <c r="D1143" t="s">
        <v>100</v>
      </c>
      <c r="E1143" t="s">
        <v>129</v>
      </c>
      <c r="F1143" s="158">
        <v>45516.984131944446</v>
      </c>
    </row>
    <row r="1144" spans="2:6" x14ac:dyDescent="0.25">
      <c r="B1144" t="s">
        <v>130</v>
      </c>
      <c r="C1144" t="s">
        <v>100</v>
      </c>
      <c r="D1144" t="s">
        <v>105</v>
      </c>
      <c r="E1144" t="s">
        <v>105</v>
      </c>
      <c r="F1144" s="158">
        <v>45516.984155092592</v>
      </c>
    </row>
    <row r="1145" spans="2:6" x14ac:dyDescent="0.25">
      <c r="B1145" t="s">
        <v>130</v>
      </c>
      <c r="C1145" t="s">
        <v>106</v>
      </c>
      <c r="D1145" t="s">
        <v>91</v>
      </c>
      <c r="E1145" t="s">
        <v>105</v>
      </c>
      <c r="F1145" s="158">
        <v>45516.984155092592</v>
      </c>
    </row>
    <row r="1146" spans="2:6" x14ac:dyDescent="0.25">
      <c r="B1146" t="s">
        <v>130</v>
      </c>
      <c r="C1146" t="s">
        <v>107</v>
      </c>
      <c r="D1146" t="s">
        <v>92</v>
      </c>
      <c r="E1146" t="s">
        <v>105</v>
      </c>
      <c r="F1146" s="158">
        <v>45516.984155092592</v>
      </c>
    </row>
    <row r="1147" spans="2:6" x14ac:dyDescent="0.25">
      <c r="B1147" t="s">
        <v>111</v>
      </c>
      <c r="C1147" t="s">
        <v>105</v>
      </c>
      <c r="D1147" t="s">
        <v>105</v>
      </c>
      <c r="E1147" t="s">
        <v>105</v>
      </c>
      <c r="F1147" s="158">
        <v>45516.984166666669</v>
      </c>
    </row>
    <row r="1148" spans="2:6" x14ac:dyDescent="0.25">
      <c r="B1148" t="s">
        <v>109</v>
      </c>
      <c r="C1148" t="s">
        <v>105</v>
      </c>
      <c r="D1148" t="s">
        <v>105</v>
      </c>
      <c r="E1148" t="s">
        <v>105</v>
      </c>
      <c r="F1148" s="158">
        <v>45516.984166666669</v>
      </c>
    </row>
    <row r="1149" spans="2:6" x14ac:dyDescent="0.25">
      <c r="B1149" t="s">
        <v>131</v>
      </c>
      <c r="C1149" t="s">
        <v>100</v>
      </c>
      <c r="D1149" t="s">
        <v>100</v>
      </c>
      <c r="E1149" t="s">
        <v>132</v>
      </c>
      <c r="F1149" s="158">
        <v>45516.984166666669</v>
      </c>
    </row>
    <row r="1150" spans="2:6" x14ac:dyDescent="0.25">
      <c r="B1150" t="s">
        <v>133</v>
      </c>
      <c r="C1150" t="s">
        <v>100</v>
      </c>
      <c r="D1150" t="s">
        <v>105</v>
      </c>
      <c r="E1150" t="s">
        <v>105</v>
      </c>
      <c r="F1150" s="158">
        <v>45516.984201388892</v>
      </c>
    </row>
    <row r="1151" spans="2:6" x14ac:dyDescent="0.25">
      <c r="B1151" t="s">
        <v>133</v>
      </c>
      <c r="C1151" t="s">
        <v>106</v>
      </c>
      <c r="D1151" t="s">
        <v>91</v>
      </c>
      <c r="E1151" t="s">
        <v>105</v>
      </c>
      <c r="F1151" s="158">
        <v>45516.984201388892</v>
      </c>
    </row>
    <row r="1152" spans="2:6" x14ac:dyDescent="0.25">
      <c r="B1152" t="s">
        <v>133</v>
      </c>
      <c r="C1152" t="s">
        <v>107</v>
      </c>
      <c r="D1152" t="s">
        <v>92</v>
      </c>
      <c r="E1152" t="s">
        <v>105</v>
      </c>
      <c r="F1152" s="158">
        <v>45516.984201388892</v>
      </c>
    </row>
    <row r="1153" spans="2:6" x14ac:dyDescent="0.25">
      <c r="B1153" t="s">
        <v>111</v>
      </c>
      <c r="C1153" t="s">
        <v>105</v>
      </c>
      <c r="D1153" t="s">
        <v>105</v>
      </c>
      <c r="E1153" t="s">
        <v>105</v>
      </c>
      <c r="F1153" s="158">
        <v>45516.984212962961</v>
      </c>
    </row>
    <row r="1154" spans="2:6" x14ac:dyDescent="0.25">
      <c r="B1154" t="s">
        <v>108</v>
      </c>
      <c r="C1154" t="s">
        <v>105</v>
      </c>
      <c r="D1154" t="s">
        <v>105</v>
      </c>
      <c r="E1154" t="s">
        <v>105</v>
      </c>
      <c r="F1154" s="158">
        <v>45516.986481481479</v>
      </c>
    </row>
    <row r="1155" spans="2:6" x14ac:dyDescent="0.25">
      <c r="B1155" t="s">
        <v>109</v>
      </c>
      <c r="C1155" t="s">
        <v>105</v>
      </c>
      <c r="D1155" t="s">
        <v>105</v>
      </c>
      <c r="E1155" t="s">
        <v>105</v>
      </c>
      <c r="F1155" s="158">
        <v>45516.986481481479</v>
      </c>
    </row>
    <row r="1156" spans="2:6" x14ac:dyDescent="0.25">
      <c r="B1156" t="s">
        <v>110</v>
      </c>
      <c r="C1156" t="s">
        <v>105</v>
      </c>
      <c r="D1156" t="s">
        <v>92</v>
      </c>
      <c r="E1156" t="s">
        <v>105</v>
      </c>
      <c r="F1156" s="158">
        <v>45516.986481481479</v>
      </c>
    </row>
    <row r="1157" spans="2:6" x14ac:dyDescent="0.25">
      <c r="B1157" t="s">
        <v>110</v>
      </c>
      <c r="C1157" t="s">
        <v>105</v>
      </c>
      <c r="D1157" t="s">
        <v>91</v>
      </c>
      <c r="E1157" t="s">
        <v>105</v>
      </c>
      <c r="F1157" s="158">
        <v>45516.986481481479</v>
      </c>
    </row>
    <row r="1158" spans="2:6" x14ac:dyDescent="0.25">
      <c r="B1158" t="s">
        <v>113</v>
      </c>
      <c r="C1158" t="s">
        <v>105</v>
      </c>
      <c r="D1158" t="s">
        <v>105</v>
      </c>
      <c r="E1158" t="s">
        <v>114</v>
      </c>
      <c r="F1158" s="158">
        <v>45516.986817129633</v>
      </c>
    </row>
    <row r="1159" spans="2:6" x14ac:dyDescent="0.25">
      <c r="B1159" t="s">
        <v>111</v>
      </c>
      <c r="C1159" t="s">
        <v>105</v>
      </c>
      <c r="D1159" t="s">
        <v>105</v>
      </c>
      <c r="E1159" t="s">
        <v>105</v>
      </c>
      <c r="F1159" s="158">
        <v>45516.986817129633</v>
      </c>
    </row>
    <row r="1160" spans="2:6" x14ac:dyDescent="0.25">
      <c r="B1160" t="s">
        <v>113</v>
      </c>
      <c r="C1160" t="s">
        <v>105</v>
      </c>
      <c r="D1160" t="s">
        <v>105</v>
      </c>
      <c r="E1160" t="s">
        <v>114</v>
      </c>
      <c r="F1160" s="158">
        <v>45516.987129629626</v>
      </c>
    </row>
    <row r="1161" spans="2:6" x14ac:dyDescent="0.25">
      <c r="B1161" t="s">
        <v>111</v>
      </c>
      <c r="C1161" t="s">
        <v>105</v>
      </c>
      <c r="D1161" t="s">
        <v>105</v>
      </c>
      <c r="E1161" t="s">
        <v>105</v>
      </c>
      <c r="F1161" s="158">
        <v>45516.987129629626</v>
      </c>
    </row>
    <row r="1162" spans="2:6" x14ac:dyDescent="0.25">
      <c r="B1162" t="s">
        <v>108</v>
      </c>
      <c r="C1162" t="s">
        <v>105</v>
      </c>
      <c r="D1162" t="s">
        <v>105</v>
      </c>
      <c r="E1162" t="s">
        <v>105</v>
      </c>
      <c r="F1162" s="158">
        <v>45516.987615740742</v>
      </c>
    </row>
    <row r="1163" spans="2:6" x14ac:dyDescent="0.25">
      <c r="B1163" t="s">
        <v>109</v>
      </c>
      <c r="C1163" t="s">
        <v>105</v>
      </c>
      <c r="D1163" t="s">
        <v>105</v>
      </c>
      <c r="E1163" t="s">
        <v>105</v>
      </c>
      <c r="F1163" s="158">
        <v>45516.987615740742</v>
      </c>
    </row>
    <row r="1164" spans="2:6" x14ac:dyDescent="0.25">
      <c r="B1164" t="s">
        <v>110</v>
      </c>
      <c r="C1164" t="s">
        <v>105</v>
      </c>
      <c r="D1164" t="s">
        <v>92</v>
      </c>
      <c r="E1164" t="s">
        <v>105</v>
      </c>
      <c r="F1164" s="158">
        <v>45516.987615740742</v>
      </c>
    </row>
    <row r="1165" spans="2:6" x14ac:dyDescent="0.25">
      <c r="B1165" t="s">
        <v>110</v>
      </c>
      <c r="C1165" t="s">
        <v>105</v>
      </c>
      <c r="D1165" t="s">
        <v>91</v>
      </c>
      <c r="E1165" t="s">
        <v>105</v>
      </c>
      <c r="F1165" s="158">
        <v>45516.987615740742</v>
      </c>
    </row>
    <row r="1166" spans="2:6" x14ac:dyDescent="0.25">
      <c r="B1166" t="s">
        <v>113</v>
      </c>
      <c r="C1166" t="s">
        <v>105</v>
      </c>
      <c r="D1166" t="s">
        <v>105</v>
      </c>
      <c r="E1166" t="s">
        <v>114</v>
      </c>
      <c r="F1166" s="158">
        <v>45516.987696759257</v>
      </c>
    </row>
    <row r="1167" spans="2:6" x14ac:dyDescent="0.25">
      <c r="B1167" t="s">
        <v>111</v>
      </c>
      <c r="C1167" t="s">
        <v>105</v>
      </c>
      <c r="D1167" t="s">
        <v>105</v>
      </c>
      <c r="E1167" t="s">
        <v>105</v>
      </c>
      <c r="F1167" s="158">
        <v>45516.987696759257</v>
      </c>
    </row>
    <row r="1168" spans="2:6" x14ac:dyDescent="0.25">
      <c r="B1168" t="s">
        <v>109</v>
      </c>
      <c r="C1168" t="s">
        <v>105</v>
      </c>
      <c r="D1168" t="s">
        <v>105</v>
      </c>
      <c r="E1168" t="s">
        <v>105</v>
      </c>
      <c r="F1168" s="158">
        <v>45516.987696759257</v>
      </c>
    </row>
    <row r="1169" spans="2:6" x14ac:dyDescent="0.25">
      <c r="B1169" t="s">
        <v>115</v>
      </c>
      <c r="C1169" t="s">
        <v>100</v>
      </c>
      <c r="D1169" t="s">
        <v>100</v>
      </c>
      <c r="E1169" t="s">
        <v>103</v>
      </c>
      <c r="F1169" s="158">
        <v>45516.987696759257</v>
      </c>
    </row>
    <row r="1170" spans="2:6" x14ac:dyDescent="0.25">
      <c r="B1170" t="s">
        <v>104</v>
      </c>
      <c r="C1170" t="s">
        <v>100</v>
      </c>
      <c r="D1170" t="s">
        <v>105</v>
      </c>
      <c r="E1170" t="s">
        <v>105</v>
      </c>
      <c r="F1170" s="158">
        <v>45516.98773148148</v>
      </c>
    </row>
    <row r="1171" spans="2:6" x14ac:dyDescent="0.25">
      <c r="B1171" t="s">
        <v>104</v>
      </c>
      <c r="C1171" t="s">
        <v>106</v>
      </c>
      <c r="D1171" t="s">
        <v>91</v>
      </c>
      <c r="E1171" t="s">
        <v>105</v>
      </c>
      <c r="F1171" s="158">
        <v>45516.98773148148</v>
      </c>
    </row>
    <row r="1172" spans="2:6" x14ac:dyDescent="0.25">
      <c r="B1172" t="s">
        <v>104</v>
      </c>
      <c r="C1172" t="s">
        <v>107</v>
      </c>
      <c r="D1172" t="s">
        <v>92</v>
      </c>
      <c r="E1172" t="s">
        <v>105</v>
      </c>
      <c r="F1172" s="158">
        <v>45516.98773148148</v>
      </c>
    </row>
    <row r="1173" spans="2:6" x14ac:dyDescent="0.25">
      <c r="B1173" t="s">
        <v>111</v>
      </c>
      <c r="C1173" t="s">
        <v>105</v>
      </c>
      <c r="D1173" t="s">
        <v>105</v>
      </c>
      <c r="E1173" t="s">
        <v>105</v>
      </c>
      <c r="F1173" s="158">
        <v>45516.987743055557</v>
      </c>
    </row>
    <row r="1174" spans="2:6" x14ac:dyDescent="0.25">
      <c r="B1174" t="s">
        <v>109</v>
      </c>
      <c r="C1174" t="s">
        <v>105</v>
      </c>
      <c r="D1174" t="s">
        <v>105</v>
      </c>
      <c r="E1174" t="s">
        <v>105</v>
      </c>
      <c r="F1174" s="158">
        <v>45516.987743055557</v>
      </c>
    </row>
    <row r="1175" spans="2:6" x14ac:dyDescent="0.25">
      <c r="B1175" t="s">
        <v>116</v>
      </c>
      <c r="C1175" t="s">
        <v>100</v>
      </c>
      <c r="D1175" t="s">
        <v>100</v>
      </c>
      <c r="E1175" t="s">
        <v>117</v>
      </c>
      <c r="F1175" s="158">
        <v>45516.987743055557</v>
      </c>
    </row>
    <row r="1176" spans="2:6" x14ac:dyDescent="0.25">
      <c r="B1176" t="s">
        <v>118</v>
      </c>
      <c r="C1176" t="s">
        <v>100</v>
      </c>
      <c r="D1176" t="s">
        <v>105</v>
      </c>
      <c r="E1176" t="s">
        <v>105</v>
      </c>
      <c r="F1176" s="158">
        <v>45516.987766203703</v>
      </c>
    </row>
    <row r="1177" spans="2:6" x14ac:dyDescent="0.25">
      <c r="B1177" t="s">
        <v>118</v>
      </c>
      <c r="C1177" t="s">
        <v>106</v>
      </c>
      <c r="D1177" t="s">
        <v>91</v>
      </c>
      <c r="E1177" t="s">
        <v>105</v>
      </c>
      <c r="F1177" s="158">
        <v>45516.987766203703</v>
      </c>
    </row>
    <row r="1178" spans="2:6" x14ac:dyDescent="0.25">
      <c r="B1178" t="s">
        <v>118</v>
      </c>
      <c r="C1178" t="s">
        <v>107</v>
      </c>
      <c r="D1178" t="s">
        <v>92</v>
      </c>
      <c r="E1178" t="s">
        <v>105</v>
      </c>
      <c r="F1178" s="158">
        <v>45516.98777777778</v>
      </c>
    </row>
    <row r="1179" spans="2:6" x14ac:dyDescent="0.25">
      <c r="B1179" t="s">
        <v>111</v>
      </c>
      <c r="C1179" t="s">
        <v>105</v>
      </c>
      <c r="D1179" t="s">
        <v>105</v>
      </c>
      <c r="E1179" t="s">
        <v>105</v>
      </c>
      <c r="F1179" s="158">
        <v>45516.98777777778</v>
      </c>
    </row>
    <row r="1180" spans="2:6" x14ac:dyDescent="0.25">
      <c r="B1180" t="s">
        <v>109</v>
      </c>
      <c r="C1180" t="s">
        <v>105</v>
      </c>
      <c r="D1180" t="s">
        <v>105</v>
      </c>
      <c r="E1180" t="s">
        <v>105</v>
      </c>
      <c r="F1180" s="158">
        <v>45516.98777777778</v>
      </c>
    </row>
    <row r="1181" spans="2:6" x14ac:dyDescent="0.25">
      <c r="B1181" t="s">
        <v>119</v>
      </c>
      <c r="C1181" t="s">
        <v>100</v>
      </c>
      <c r="D1181" t="s">
        <v>100</v>
      </c>
      <c r="E1181" t="s">
        <v>120</v>
      </c>
      <c r="F1181" s="158">
        <v>45516.98777777778</v>
      </c>
    </row>
    <row r="1182" spans="2:6" x14ac:dyDescent="0.25">
      <c r="B1182" t="s">
        <v>121</v>
      </c>
      <c r="C1182" t="s">
        <v>100</v>
      </c>
      <c r="D1182" t="s">
        <v>105</v>
      </c>
      <c r="E1182" t="s">
        <v>105</v>
      </c>
      <c r="F1182" s="158">
        <v>45516.987812500003</v>
      </c>
    </row>
    <row r="1183" spans="2:6" x14ac:dyDescent="0.25">
      <c r="B1183" t="s">
        <v>121</v>
      </c>
      <c r="C1183" t="s">
        <v>106</v>
      </c>
      <c r="D1183" t="s">
        <v>91</v>
      </c>
      <c r="E1183" t="s">
        <v>105</v>
      </c>
      <c r="F1183" s="158">
        <v>45516.987812500003</v>
      </c>
    </row>
    <row r="1184" spans="2:6" x14ac:dyDescent="0.25">
      <c r="B1184" t="s">
        <v>121</v>
      </c>
      <c r="C1184" t="s">
        <v>107</v>
      </c>
      <c r="D1184" t="s">
        <v>92</v>
      </c>
      <c r="E1184" t="s">
        <v>105</v>
      </c>
      <c r="F1184" s="158">
        <v>45516.987812500003</v>
      </c>
    </row>
    <row r="1185" spans="2:6" x14ac:dyDescent="0.25">
      <c r="B1185" t="s">
        <v>111</v>
      </c>
      <c r="C1185" t="s">
        <v>105</v>
      </c>
      <c r="D1185" t="s">
        <v>105</v>
      </c>
      <c r="E1185" t="s">
        <v>105</v>
      </c>
      <c r="F1185" s="158">
        <v>45516.987824074073</v>
      </c>
    </row>
    <row r="1186" spans="2:6" x14ac:dyDescent="0.25">
      <c r="B1186" t="s">
        <v>109</v>
      </c>
      <c r="C1186" t="s">
        <v>105</v>
      </c>
      <c r="D1186" t="s">
        <v>105</v>
      </c>
      <c r="E1186" t="s">
        <v>105</v>
      </c>
      <c r="F1186" s="158">
        <v>45516.987824074073</v>
      </c>
    </row>
    <row r="1187" spans="2:6" x14ac:dyDescent="0.25">
      <c r="B1187" t="s">
        <v>122</v>
      </c>
      <c r="C1187" t="s">
        <v>100</v>
      </c>
      <c r="D1187" t="s">
        <v>100</v>
      </c>
      <c r="E1187" t="s">
        <v>123</v>
      </c>
      <c r="F1187" s="158">
        <v>45516.987824074073</v>
      </c>
    </row>
    <row r="1188" spans="2:6" x14ac:dyDescent="0.25">
      <c r="B1188" t="s">
        <v>124</v>
      </c>
      <c r="C1188" t="s">
        <v>100</v>
      </c>
      <c r="D1188" t="s">
        <v>105</v>
      </c>
      <c r="E1188" t="s">
        <v>105</v>
      </c>
      <c r="F1188" s="158">
        <v>45516.987847222219</v>
      </c>
    </row>
    <row r="1189" spans="2:6" x14ac:dyDescent="0.25">
      <c r="B1189" t="s">
        <v>124</v>
      </c>
      <c r="C1189" t="s">
        <v>106</v>
      </c>
      <c r="D1189" t="s">
        <v>91</v>
      </c>
      <c r="E1189" t="s">
        <v>105</v>
      </c>
      <c r="F1189" s="158">
        <v>45516.987847222219</v>
      </c>
    </row>
    <row r="1190" spans="2:6" x14ac:dyDescent="0.25">
      <c r="B1190" t="s">
        <v>124</v>
      </c>
      <c r="C1190" t="s">
        <v>107</v>
      </c>
      <c r="D1190" t="s">
        <v>92</v>
      </c>
      <c r="E1190" t="s">
        <v>105</v>
      </c>
      <c r="F1190" s="158">
        <v>45516.987847222219</v>
      </c>
    </row>
    <row r="1191" spans="2:6" x14ac:dyDescent="0.25">
      <c r="B1191" t="s">
        <v>111</v>
      </c>
      <c r="C1191" t="s">
        <v>105</v>
      </c>
      <c r="D1191" t="s">
        <v>105</v>
      </c>
      <c r="E1191" t="s">
        <v>105</v>
      </c>
      <c r="F1191" s="158">
        <v>45516.987858796296</v>
      </c>
    </row>
    <row r="1192" spans="2:6" x14ac:dyDescent="0.25">
      <c r="B1192" t="s">
        <v>109</v>
      </c>
      <c r="C1192" t="s">
        <v>105</v>
      </c>
      <c r="D1192" t="s">
        <v>105</v>
      </c>
      <c r="E1192" t="s">
        <v>105</v>
      </c>
      <c r="F1192" s="158">
        <v>45516.987858796296</v>
      </c>
    </row>
    <row r="1193" spans="2:6" x14ac:dyDescent="0.25">
      <c r="B1193" t="s">
        <v>125</v>
      </c>
      <c r="C1193" t="s">
        <v>100</v>
      </c>
      <c r="D1193" t="s">
        <v>100</v>
      </c>
      <c r="E1193" t="s">
        <v>126</v>
      </c>
      <c r="F1193" s="158">
        <v>45516.987858796296</v>
      </c>
    </row>
    <row r="1194" spans="2:6" x14ac:dyDescent="0.25">
      <c r="B1194" t="s">
        <v>127</v>
      </c>
      <c r="C1194" t="s">
        <v>100</v>
      </c>
      <c r="D1194" t="s">
        <v>105</v>
      </c>
      <c r="E1194" t="s">
        <v>105</v>
      </c>
      <c r="F1194" s="158">
        <v>45516.987881944442</v>
      </c>
    </row>
    <row r="1195" spans="2:6" x14ac:dyDescent="0.25">
      <c r="B1195" t="s">
        <v>127</v>
      </c>
      <c r="C1195" t="s">
        <v>106</v>
      </c>
      <c r="D1195" t="s">
        <v>91</v>
      </c>
      <c r="E1195" t="s">
        <v>105</v>
      </c>
      <c r="F1195" s="158">
        <v>45516.987881944442</v>
      </c>
    </row>
    <row r="1196" spans="2:6" x14ac:dyDescent="0.25">
      <c r="B1196" t="s">
        <v>127</v>
      </c>
      <c r="C1196" t="s">
        <v>107</v>
      </c>
      <c r="D1196" t="s">
        <v>92</v>
      </c>
      <c r="E1196" t="s">
        <v>105</v>
      </c>
      <c r="F1196" s="158">
        <v>45516.987881944442</v>
      </c>
    </row>
    <row r="1197" spans="2:6" x14ac:dyDescent="0.25">
      <c r="B1197" t="s">
        <v>111</v>
      </c>
      <c r="C1197" t="s">
        <v>105</v>
      </c>
      <c r="D1197" t="s">
        <v>105</v>
      </c>
      <c r="E1197" t="s">
        <v>105</v>
      </c>
      <c r="F1197" s="158">
        <v>45516.987893518519</v>
      </c>
    </row>
    <row r="1198" spans="2:6" x14ac:dyDescent="0.25">
      <c r="B1198" t="s">
        <v>109</v>
      </c>
      <c r="C1198" t="s">
        <v>105</v>
      </c>
      <c r="D1198" t="s">
        <v>105</v>
      </c>
      <c r="E1198" t="s">
        <v>105</v>
      </c>
      <c r="F1198" s="158">
        <v>45516.987893518519</v>
      </c>
    </row>
    <row r="1199" spans="2:6" x14ac:dyDescent="0.25">
      <c r="B1199" t="s">
        <v>128</v>
      </c>
      <c r="C1199" t="s">
        <v>100</v>
      </c>
      <c r="D1199" t="s">
        <v>100</v>
      </c>
      <c r="E1199" t="s">
        <v>129</v>
      </c>
      <c r="F1199" s="158">
        <v>45516.987893518519</v>
      </c>
    </row>
    <row r="1200" spans="2:6" x14ac:dyDescent="0.25">
      <c r="B1200" t="s">
        <v>130</v>
      </c>
      <c r="C1200" t="s">
        <v>100</v>
      </c>
      <c r="D1200" t="s">
        <v>105</v>
      </c>
      <c r="E1200" t="s">
        <v>105</v>
      </c>
      <c r="F1200" s="158">
        <v>45516.987916666665</v>
      </c>
    </row>
    <row r="1201" spans="2:6" x14ac:dyDescent="0.25">
      <c r="B1201" t="s">
        <v>130</v>
      </c>
      <c r="C1201" t="s">
        <v>106</v>
      </c>
      <c r="D1201" t="s">
        <v>91</v>
      </c>
      <c r="E1201" t="s">
        <v>105</v>
      </c>
      <c r="F1201" s="158">
        <v>45516.987916666665</v>
      </c>
    </row>
    <row r="1202" spans="2:6" x14ac:dyDescent="0.25">
      <c r="B1202" t="s">
        <v>130</v>
      </c>
      <c r="C1202" t="s">
        <v>107</v>
      </c>
      <c r="D1202" t="s">
        <v>92</v>
      </c>
      <c r="E1202" t="s">
        <v>105</v>
      </c>
      <c r="F1202" s="158">
        <v>45516.987916666665</v>
      </c>
    </row>
    <row r="1203" spans="2:6" x14ac:dyDescent="0.25">
      <c r="B1203" t="s">
        <v>111</v>
      </c>
      <c r="C1203" t="s">
        <v>105</v>
      </c>
      <c r="D1203" t="s">
        <v>105</v>
      </c>
      <c r="E1203" t="s">
        <v>105</v>
      </c>
      <c r="F1203" s="158">
        <v>45516.987916666665</v>
      </c>
    </row>
    <row r="1204" spans="2:6" x14ac:dyDescent="0.25">
      <c r="B1204" t="s">
        <v>109</v>
      </c>
      <c r="C1204" t="s">
        <v>105</v>
      </c>
      <c r="D1204" t="s">
        <v>105</v>
      </c>
      <c r="E1204" t="s">
        <v>105</v>
      </c>
      <c r="F1204" s="158">
        <v>45516.987928240742</v>
      </c>
    </row>
    <row r="1205" spans="2:6" x14ac:dyDescent="0.25">
      <c r="B1205" t="s">
        <v>131</v>
      </c>
      <c r="C1205" t="s">
        <v>100</v>
      </c>
      <c r="D1205" t="s">
        <v>100</v>
      </c>
      <c r="E1205" t="s">
        <v>132</v>
      </c>
      <c r="F1205" s="158">
        <v>45516.987928240742</v>
      </c>
    </row>
    <row r="1206" spans="2:6" x14ac:dyDescent="0.25">
      <c r="B1206" t="s">
        <v>133</v>
      </c>
      <c r="C1206" t="s">
        <v>100</v>
      </c>
      <c r="D1206" t="s">
        <v>105</v>
      </c>
      <c r="E1206" t="s">
        <v>105</v>
      </c>
      <c r="F1206" s="158">
        <v>45516.987951388888</v>
      </c>
    </row>
    <row r="1207" spans="2:6" x14ac:dyDescent="0.25">
      <c r="B1207" t="s">
        <v>133</v>
      </c>
      <c r="C1207" t="s">
        <v>106</v>
      </c>
      <c r="D1207" t="s">
        <v>91</v>
      </c>
      <c r="E1207" t="s">
        <v>105</v>
      </c>
      <c r="F1207" s="158">
        <v>45516.987951388888</v>
      </c>
    </row>
    <row r="1208" spans="2:6" x14ac:dyDescent="0.25">
      <c r="B1208" t="s">
        <v>133</v>
      </c>
      <c r="C1208" t="s">
        <v>107</v>
      </c>
      <c r="D1208" t="s">
        <v>92</v>
      </c>
      <c r="E1208" t="s">
        <v>105</v>
      </c>
      <c r="F1208" s="158">
        <v>45516.987962962965</v>
      </c>
    </row>
    <row r="1209" spans="2:6" x14ac:dyDescent="0.25">
      <c r="B1209" t="s">
        <v>111</v>
      </c>
      <c r="C1209" t="s">
        <v>105</v>
      </c>
      <c r="D1209" t="s">
        <v>105</v>
      </c>
      <c r="E1209" t="s">
        <v>105</v>
      </c>
      <c r="F1209" s="158">
        <v>45516.987974537034</v>
      </c>
    </row>
    <row r="1210" spans="2:6" x14ac:dyDescent="0.25">
      <c r="B1210" t="s">
        <v>108</v>
      </c>
      <c r="C1210" t="s">
        <v>105</v>
      </c>
      <c r="D1210" t="s">
        <v>105</v>
      </c>
      <c r="E1210" t="s">
        <v>105</v>
      </c>
      <c r="F1210" s="158">
        <v>45516.989004629628</v>
      </c>
    </row>
    <row r="1211" spans="2:6" x14ac:dyDescent="0.25">
      <c r="B1211" t="s">
        <v>109</v>
      </c>
      <c r="C1211" t="s">
        <v>105</v>
      </c>
      <c r="D1211" t="s">
        <v>105</v>
      </c>
      <c r="E1211" t="s">
        <v>105</v>
      </c>
      <c r="F1211" s="158">
        <v>45516.989004629628</v>
      </c>
    </row>
    <row r="1212" spans="2:6" x14ac:dyDescent="0.25">
      <c r="B1212" t="s">
        <v>110</v>
      </c>
      <c r="C1212" t="s">
        <v>105</v>
      </c>
      <c r="D1212" t="s">
        <v>92</v>
      </c>
      <c r="E1212" t="s">
        <v>105</v>
      </c>
      <c r="F1212" s="158">
        <v>45516.989004629628</v>
      </c>
    </row>
    <row r="1213" spans="2:6" x14ac:dyDescent="0.25">
      <c r="B1213" t="s">
        <v>110</v>
      </c>
      <c r="C1213" t="s">
        <v>105</v>
      </c>
      <c r="D1213" t="s">
        <v>91</v>
      </c>
      <c r="E1213" t="s">
        <v>105</v>
      </c>
      <c r="F1213" s="158">
        <v>45516.989004629628</v>
      </c>
    </row>
    <row r="1214" spans="2:6" x14ac:dyDescent="0.25">
      <c r="B1214" t="s">
        <v>113</v>
      </c>
      <c r="C1214" t="s">
        <v>105</v>
      </c>
      <c r="D1214" t="s">
        <v>105</v>
      </c>
      <c r="E1214" t="s">
        <v>114</v>
      </c>
      <c r="F1214" s="158">
        <v>45516.990497685183</v>
      </c>
    </row>
    <row r="1215" spans="2:6" x14ac:dyDescent="0.25">
      <c r="B1215" t="s">
        <v>111</v>
      </c>
      <c r="C1215" t="s">
        <v>105</v>
      </c>
      <c r="D1215" t="s">
        <v>105</v>
      </c>
      <c r="E1215" t="s">
        <v>105</v>
      </c>
      <c r="F1215" s="158">
        <v>45516.990497685183</v>
      </c>
    </row>
    <row r="1216" spans="2:6" x14ac:dyDescent="0.25">
      <c r="B1216" t="s">
        <v>109</v>
      </c>
      <c r="C1216" t="s">
        <v>105</v>
      </c>
      <c r="D1216" t="s">
        <v>105</v>
      </c>
      <c r="E1216" t="s">
        <v>105</v>
      </c>
      <c r="F1216" s="158">
        <v>45516.990497685183</v>
      </c>
    </row>
    <row r="1217" spans="2:6" x14ac:dyDescent="0.25">
      <c r="B1217" t="s">
        <v>115</v>
      </c>
      <c r="C1217" t="s">
        <v>100</v>
      </c>
      <c r="D1217" t="s">
        <v>100</v>
      </c>
      <c r="E1217" t="s">
        <v>103</v>
      </c>
      <c r="F1217" s="158">
        <v>45516.990497685183</v>
      </c>
    </row>
    <row r="1218" spans="2:6" x14ac:dyDescent="0.25">
      <c r="B1218" t="s">
        <v>104</v>
      </c>
      <c r="C1218" t="s">
        <v>100</v>
      </c>
      <c r="D1218" t="s">
        <v>105</v>
      </c>
      <c r="E1218" t="s">
        <v>105</v>
      </c>
      <c r="F1218" s="158">
        <v>45516.99050925926</v>
      </c>
    </row>
    <row r="1219" spans="2:6" x14ac:dyDescent="0.25">
      <c r="B1219" t="s">
        <v>104</v>
      </c>
      <c r="C1219" t="s">
        <v>106</v>
      </c>
      <c r="D1219" t="s">
        <v>91</v>
      </c>
      <c r="E1219" t="s">
        <v>105</v>
      </c>
      <c r="F1219" s="158">
        <v>45516.990520833337</v>
      </c>
    </row>
    <row r="1220" spans="2:6" x14ac:dyDescent="0.25">
      <c r="B1220" t="s">
        <v>104</v>
      </c>
      <c r="C1220" t="s">
        <v>107</v>
      </c>
      <c r="D1220" t="s">
        <v>92</v>
      </c>
      <c r="E1220" t="s">
        <v>105</v>
      </c>
      <c r="F1220" s="158">
        <v>45516.990520833337</v>
      </c>
    </row>
    <row r="1221" spans="2:6" x14ac:dyDescent="0.25">
      <c r="B1221" t="s">
        <v>111</v>
      </c>
      <c r="C1221" t="s">
        <v>105</v>
      </c>
      <c r="D1221" t="s">
        <v>105</v>
      </c>
      <c r="E1221" t="s">
        <v>105</v>
      </c>
      <c r="F1221" s="158">
        <v>45516.990532407406</v>
      </c>
    </row>
    <row r="1222" spans="2:6" x14ac:dyDescent="0.25">
      <c r="B1222" t="s">
        <v>109</v>
      </c>
      <c r="C1222" t="s">
        <v>105</v>
      </c>
      <c r="D1222" t="s">
        <v>105</v>
      </c>
      <c r="E1222" t="s">
        <v>105</v>
      </c>
      <c r="F1222" s="158">
        <v>45516.990532407406</v>
      </c>
    </row>
    <row r="1223" spans="2:6" x14ac:dyDescent="0.25">
      <c r="B1223" t="s">
        <v>116</v>
      </c>
      <c r="C1223" t="s">
        <v>100</v>
      </c>
      <c r="D1223" t="s">
        <v>100</v>
      </c>
      <c r="E1223" t="s">
        <v>117</v>
      </c>
      <c r="F1223" s="158">
        <v>45516.990532407406</v>
      </c>
    </row>
    <row r="1224" spans="2:6" x14ac:dyDescent="0.25">
      <c r="B1224" t="s">
        <v>118</v>
      </c>
      <c r="C1224" t="s">
        <v>100</v>
      </c>
      <c r="D1224" t="s">
        <v>105</v>
      </c>
      <c r="E1224" t="s">
        <v>105</v>
      </c>
      <c r="F1224" s="158">
        <v>45516.990543981483</v>
      </c>
    </row>
    <row r="1225" spans="2:6" x14ac:dyDescent="0.25">
      <c r="B1225" t="s">
        <v>118</v>
      </c>
      <c r="C1225" t="s">
        <v>106</v>
      </c>
      <c r="D1225" t="s">
        <v>91</v>
      </c>
      <c r="E1225" t="s">
        <v>105</v>
      </c>
      <c r="F1225" s="158">
        <v>45516.990543981483</v>
      </c>
    </row>
    <row r="1226" spans="2:6" x14ac:dyDescent="0.25">
      <c r="B1226" t="s">
        <v>118</v>
      </c>
      <c r="C1226" t="s">
        <v>107</v>
      </c>
      <c r="D1226" t="s">
        <v>92</v>
      </c>
      <c r="E1226" t="s">
        <v>105</v>
      </c>
      <c r="F1226" s="158">
        <v>45516.990555555552</v>
      </c>
    </row>
    <row r="1227" spans="2:6" x14ac:dyDescent="0.25">
      <c r="B1227" t="s">
        <v>111</v>
      </c>
      <c r="C1227" t="s">
        <v>105</v>
      </c>
      <c r="D1227" t="s">
        <v>105</v>
      </c>
      <c r="E1227" t="s">
        <v>105</v>
      </c>
      <c r="F1227" s="158">
        <v>45516.990555555552</v>
      </c>
    </row>
    <row r="1228" spans="2:6" x14ac:dyDescent="0.25">
      <c r="B1228" t="s">
        <v>109</v>
      </c>
      <c r="C1228" t="s">
        <v>105</v>
      </c>
      <c r="D1228" t="s">
        <v>105</v>
      </c>
      <c r="E1228" t="s">
        <v>105</v>
      </c>
      <c r="F1228" s="158">
        <v>45516.990555555552</v>
      </c>
    </row>
    <row r="1229" spans="2:6" x14ac:dyDescent="0.25">
      <c r="B1229" t="s">
        <v>119</v>
      </c>
      <c r="C1229" t="s">
        <v>100</v>
      </c>
      <c r="D1229" t="s">
        <v>100</v>
      </c>
      <c r="E1229" t="s">
        <v>120</v>
      </c>
      <c r="F1229" s="158">
        <v>45516.990555555552</v>
      </c>
    </row>
    <row r="1230" spans="2:6" x14ac:dyDescent="0.25">
      <c r="B1230" t="s">
        <v>121</v>
      </c>
      <c r="C1230" t="s">
        <v>100</v>
      </c>
      <c r="D1230" t="s">
        <v>105</v>
      </c>
      <c r="E1230" t="s">
        <v>105</v>
      </c>
      <c r="F1230" s="158">
        <v>45516.990578703706</v>
      </c>
    </row>
    <row r="1231" spans="2:6" x14ac:dyDescent="0.25">
      <c r="B1231" t="s">
        <v>121</v>
      </c>
      <c r="C1231" t="s">
        <v>106</v>
      </c>
      <c r="D1231" t="s">
        <v>91</v>
      </c>
      <c r="E1231" t="s">
        <v>105</v>
      </c>
      <c r="F1231" s="158">
        <v>45516.990578703706</v>
      </c>
    </row>
    <row r="1232" spans="2:6" x14ac:dyDescent="0.25">
      <c r="B1232" t="s">
        <v>121</v>
      </c>
      <c r="C1232" t="s">
        <v>107</v>
      </c>
      <c r="D1232" t="s">
        <v>92</v>
      </c>
      <c r="E1232" t="s">
        <v>105</v>
      </c>
      <c r="F1232" s="158">
        <v>45516.990590277775</v>
      </c>
    </row>
    <row r="1233" spans="2:6" x14ac:dyDescent="0.25">
      <c r="B1233" t="s">
        <v>111</v>
      </c>
      <c r="C1233" t="s">
        <v>105</v>
      </c>
      <c r="D1233" t="s">
        <v>105</v>
      </c>
      <c r="E1233" t="s">
        <v>105</v>
      </c>
      <c r="F1233" s="158">
        <v>45516.990601851852</v>
      </c>
    </row>
    <row r="1234" spans="2:6" x14ac:dyDescent="0.25">
      <c r="B1234" t="s">
        <v>109</v>
      </c>
      <c r="C1234" t="s">
        <v>105</v>
      </c>
      <c r="D1234" t="s">
        <v>105</v>
      </c>
      <c r="E1234" t="s">
        <v>105</v>
      </c>
      <c r="F1234" s="158">
        <v>45516.990601851852</v>
      </c>
    </row>
    <row r="1235" spans="2:6" x14ac:dyDescent="0.25">
      <c r="B1235" t="s">
        <v>122</v>
      </c>
      <c r="C1235" t="s">
        <v>100</v>
      </c>
      <c r="D1235" t="s">
        <v>100</v>
      </c>
      <c r="E1235" t="s">
        <v>123</v>
      </c>
      <c r="F1235" s="158">
        <v>45516.990601851852</v>
      </c>
    </row>
    <row r="1236" spans="2:6" x14ac:dyDescent="0.25">
      <c r="B1236" t="s">
        <v>124</v>
      </c>
      <c r="C1236" t="s">
        <v>100</v>
      </c>
      <c r="D1236" t="s">
        <v>105</v>
      </c>
      <c r="E1236" t="s">
        <v>105</v>
      </c>
      <c r="F1236" s="158">
        <v>45516.990613425929</v>
      </c>
    </row>
    <row r="1237" spans="2:6" x14ac:dyDescent="0.25">
      <c r="B1237" t="s">
        <v>124</v>
      </c>
      <c r="C1237" t="s">
        <v>106</v>
      </c>
      <c r="D1237" t="s">
        <v>91</v>
      </c>
      <c r="E1237" t="s">
        <v>105</v>
      </c>
      <c r="F1237" s="158">
        <v>45516.990613425929</v>
      </c>
    </row>
    <row r="1238" spans="2:6" x14ac:dyDescent="0.25">
      <c r="B1238" t="s">
        <v>124</v>
      </c>
      <c r="C1238" t="s">
        <v>107</v>
      </c>
      <c r="D1238" t="s">
        <v>92</v>
      </c>
      <c r="E1238" t="s">
        <v>105</v>
      </c>
      <c r="F1238" s="158">
        <v>45516.990613425929</v>
      </c>
    </row>
    <row r="1239" spans="2:6" x14ac:dyDescent="0.25">
      <c r="B1239" t="s">
        <v>111</v>
      </c>
      <c r="C1239" t="s">
        <v>105</v>
      </c>
      <c r="D1239" t="s">
        <v>105</v>
      </c>
      <c r="E1239" t="s">
        <v>105</v>
      </c>
      <c r="F1239" s="158">
        <v>45516.990624999999</v>
      </c>
    </row>
    <row r="1240" spans="2:6" x14ac:dyDescent="0.25">
      <c r="B1240" t="s">
        <v>109</v>
      </c>
      <c r="C1240" t="s">
        <v>105</v>
      </c>
      <c r="D1240" t="s">
        <v>105</v>
      </c>
      <c r="E1240" t="s">
        <v>105</v>
      </c>
      <c r="F1240" s="158">
        <v>45516.990624999999</v>
      </c>
    </row>
    <row r="1241" spans="2:6" x14ac:dyDescent="0.25">
      <c r="B1241" t="s">
        <v>125</v>
      </c>
      <c r="C1241" t="s">
        <v>100</v>
      </c>
      <c r="D1241" t="s">
        <v>100</v>
      </c>
      <c r="E1241" t="s">
        <v>126</v>
      </c>
      <c r="F1241" s="158">
        <v>45516.990624999999</v>
      </c>
    </row>
    <row r="1242" spans="2:6" x14ac:dyDescent="0.25">
      <c r="B1242" t="s">
        <v>127</v>
      </c>
      <c r="C1242" t="s">
        <v>100</v>
      </c>
      <c r="D1242" t="s">
        <v>105</v>
      </c>
      <c r="E1242" t="s">
        <v>105</v>
      </c>
      <c r="F1242" s="158">
        <v>45516.990648148145</v>
      </c>
    </row>
    <row r="1243" spans="2:6" x14ac:dyDescent="0.25">
      <c r="B1243" t="s">
        <v>127</v>
      </c>
      <c r="C1243" t="s">
        <v>106</v>
      </c>
      <c r="D1243" t="s">
        <v>91</v>
      </c>
      <c r="E1243" t="s">
        <v>105</v>
      </c>
      <c r="F1243" s="158">
        <v>45516.990648148145</v>
      </c>
    </row>
    <row r="1244" spans="2:6" x14ac:dyDescent="0.25">
      <c r="B1244" t="s">
        <v>127</v>
      </c>
      <c r="C1244" t="s">
        <v>107</v>
      </c>
      <c r="D1244" t="s">
        <v>92</v>
      </c>
      <c r="E1244" t="s">
        <v>105</v>
      </c>
      <c r="F1244" s="158">
        <v>45516.990648148145</v>
      </c>
    </row>
    <row r="1245" spans="2:6" x14ac:dyDescent="0.25">
      <c r="B1245" t="s">
        <v>111</v>
      </c>
      <c r="C1245" t="s">
        <v>105</v>
      </c>
      <c r="D1245" t="s">
        <v>105</v>
      </c>
      <c r="E1245" t="s">
        <v>105</v>
      </c>
      <c r="F1245" s="158">
        <v>45516.990659722222</v>
      </c>
    </row>
    <row r="1246" spans="2:6" x14ac:dyDescent="0.25">
      <c r="B1246" t="s">
        <v>109</v>
      </c>
      <c r="C1246" t="s">
        <v>105</v>
      </c>
      <c r="D1246" t="s">
        <v>105</v>
      </c>
      <c r="E1246" t="s">
        <v>105</v>
      </c>
      <c r="F1246" s="158">
        <v>45516.990659722222</v>
      </c>
    </row>
    <row r="1247" spans="2:6" x14ac:dyDescent="0.25">
      <c r="B1247" t="s">
        <v>128</v>
      </c>
      <c r="C1247" t="s">
        <v>100</v>
      </c>
      <c r="D1247" t="s">
        <v>100</v>
      </c>
      <c r="E1247" t="s">
        <v>129</v>
      </c>
      <c r="F1247" s="158">
        <v>45516.990659722222</v>
      </c>
    </row>
    <row r="1248" spans="2:6" x14ac:dyDescent="0.25">
      <c r="B1248" t="s">
        <v>130</v>
      </c>
      <c r="C1248" t="s">
        <v>100</v>
      </c>
      <c r="D1248" t="s">
        <v>105</v>
      </c>
      <c r="E1248" t="s">
        <v>105</v>
      </c>
      <c r="F1248" s="158">
        <v>45516.990682870368</v>
      </c>
    </row>
    <row r="1249" spans="2:6" x14ac:dyDescent="0.25">
      <c r="B1249" t="s">
        <v>130</v>
      </c>
      <c r="C1249" t="s">
        <v>106</v>
      </c>
      <c r="D1249" t="s">
        <v>91</v>
      </c>
      <c r="E1249" t="s">
        <v>105</v>
      </c>
      <c r="F1249" s="158">
        <v>45516.990682870368</v>
      </c>
    </row>
    <row r="1250" spans="2:6" x14ac:dyDescent="0.25">
      <c r="B1250" t="s">
        <v>130</v>
      </c>
      <c r="C1250" t="s">
        <v>107</v>
      </c>
      <c r="D1250" t="s">
        <v>92</v>
      </c>
      <c r="E1250" t="s">
        <v>105</v>
      </c>
      <c r="F1250" s="158">
        <v>45516.990682870368</v>
      </c>
    </row>
    <row r="1251" spans="2:6" x14ac:dyDescent="0.25">
      <c r="B1251" t="s">
        <v>111</v>
      </c>
      <c r="C1251" t="s">
        <v>105</v>
      </c>
      <c r="D1251" t="s">
        <v>105</v>
      </c>
      <c r="E1251" t="s">
        <v>105</v>
      </c>
      <c r="F1251" s="158">
        <v>45516.990682870368</v>
      </c>
    </row>
    <row r="1252" spans="2:6" x14ac:dyDescent="0.25">
      <c r="B1252" t="s">
        <v>109</v>
      </c>
      <c r="C1252" t="s">
        <v>105</v>
      </c>
      <c r="D1252" t="s">
        <v>105</v>
      </c>
      <c r="E1252" t="s">
        <v>105</v>
      </c>
      <c r="F1252" s="158">
        <v>45516.990694444445</v>
      </c>
    </row>
    <row r="1253" spans="2:6" x14ac:dyDescent="0.25">
      <c r="B1253" t="s">
        <v>131</v>
      </c>
      <c r="C1253" t="s">
        <v>100</v>
      </c>
      <c r="D1253" t="s">
        <v>100</v>
      </c>
      <c r="E1253" t="s">
        <v>132</v>
      </c>
      <c r="F1253" s="158">
        <v>45516.990694444445</v>
      </c>
    </row>
    <row r="1254" spans="2:6" x14ac:dyDescent="0.25">
      <c r="B1254" t="s">
        <v>133</v>
      </c>
      <c r="C1254" t="s">
        <v>100</v>
      </c>
      <c r="D1254" t="s">
        <v>105</v>
      </c>
      <c r="E1254" t="s">
        <v>105</v>
      </c>
      <c r="F1254" s="158">
        <v>45516.990717592591</v>
      </c>
    </row>
    <row r="1255" spans="2:6" x14ac:dyDescent="0.25">
      <c r="B1255" t="s">
        <v>133</v>
      </c>
      <c r="C1255" t="s">
        <v>106</v>
      </c>
      <c r="D1255" t="s">
        <v>91</v>
      </c>
      <c r="E1255" t="s">
        <v>105</v>
      </c>
      <c r="F1255" s="158">
        <v>45516.990717592591</v>
      </c>
    </row>
    <row r="1256" spans="2:6" x14ac:dyDescent="0.25">
      <c r="B1256" t="s">
        <v>133</v>
      </c>
      <c r="C1256" t="s">
        <v>107</v>
      </c>
      <c r="D1256" t="s">
        <v>92</v>
      </c>
      <c r="E1256" t="s">
        <v>105</v>
      </c>
      <c r="F1256" s="158">
        <v>45516.990717592591</v>
      </c>
    </row>
    <row r="1257" spans="2:6" x14ac:dyDescent="0.25">
      <c r="B1257" t="s">
        <v>111</v>
      </c>
      <c r="C1257" t="s">
        <v>105</v>
      </c>
      <c r="D1257" t="s">
        <v>105</v>
      </c>
      <c r="E1257" t="s">
        <v>105</v>
      </c>
      <c r="F1257" s="158">
        <v>45516.990729166668</v>
      </c>
    </row>
    <row r="1258" spans="2:6" x14ac:dyDescent="0.25">
      <c r="B1258" t="s">
        <v>113</v>
      </c>
      <c r="C1258" t="s">
        <v>105</v>
      </c>
      <c r="D1258" t="s">
        <v>105</v>
      </c>
      <c r="F1258" s="158">
        <v>45517.000416666669</v>
      </c>
    </row>
    <row r="1259" spans="2:6" x14ac:dyDescent="0.25">
      <c r="B1259" t="s">
        <v>111</v>
      </c>
      <c r="C1259" t="s">
        <v>105</v>
      </c>
      <c r="D1259" t="s">
        <v>105</v>
      </c>
      <c r="E1259" t="s">
        <v>105</v>
      </c>
      <c r="F1259" s="158">
        <v>45517.000416666669</v>
      </c>
    </row>
    <row r="1260" spans="2:6" x14ac:dyDescent="0.25">
      <c r="B1260" t="s">
        <v>113</v>
      </c>
      <c r="C1260" t="s">
        <v>105</v>
      </c>
      <c r="D1260" t="s">
        <v>105</v>
      </c>
      <c r="F1260" s="158">
        <v>45517.000625000001</v>
      </c>
    </row>
    <row r="1261" spans="2:6" x14ac:dyDescent="0.25">
      <c r="B1261" t="s">
        <v>111</v>
      </c>
      <c r="C1261" t="s">
        <v>105</v>
      </c>
      <c r="D1261" t="s">
        <v>105</v>
      </c>
      <c r="E1261" t="s">
        <v>105</v>
      </c>
      <c r="F1261" s="158">
        <v>45517.000636574077</v>
      </c>
    </row>
    <row r="1262" spans="2:6" x14ac:dyDescent="0.25">
      <c r="B1262" t="s">
        <v>113</v>
      </c>
      <c r="C1262" t="s">
        <v>105</v>
      </c>
      <c r="D1262" t="s">
        <v>105</v>
      </c>
      <c r="F1262" s="158">
        <v>45517.000810185185</v>
      </c>
    </row>
    <row r="1263" spans="2:6" x14ac:dyDescent="0.25">
      <c r="B1263" t="s">
        <v>111</v>
      </c>
      <c r="C1263" t="s">
        <v>105</v>
      </c>
      <c r="D1263" t="s">
        <v>105</v>
      </c>
      <c r="E1263" t="s">
        <v>105</v>
      </c>
      <c r="F1263" s="158">
        <v>45517.000810185185</v>
      </c>
    </row>
    <row r="1264" spans="2:6" x14ac:dyDescent="0.25">
      <c r="B1264" t="s">
        <v>113</v>
      </c>
      <c r="C1264" t="s">
        <v>105</v>
      </c>
      <c r="D1264" t="s">
        <v>105</v>
      </c>
      <c r="F1264" s="158">
        <v>45517.000960648147</v>
      </c>
    </row>
    <row r="1265" spans="2:6" x14ac:dyDescent="0.25">
      <c r="B1265" t="s">
        <v>108</v>
      </c>
      <c r="C1265" t="s">
        <v>105</v>
      </c>
      <c r="D1265" t="s">
        <v>105</v>
      </c>
      <c r="E1265" t="s">
        <v>105</v>
      </c>
      <c r="F1265" s="158">
        <v>45517.002395833333</v>
      </c>
    </row>
    <row r="1266" spans="2:6" x14ac:dyDescent="0.25">
      <c r="B1266" t="s">
        <v>109</v>
      </c>
      <c r="C1266" t="s">
        <v>105</v>
      </c>
      <c r="D1266" t="s">
        <v>105</v>
      </c>
      <c r="E1266" t="s">
        <v>105</v>
      </c>
      <c r="F1266" s="158">
        <v>45517.002395833333</v>
      </c>
    </row>
    <row r="1267" spans="2:6" x14ac:dyDescent="0.25">
      <c r="B1267" t="s">
        <v>110</v>
      </c>
      <c r="C1267" t="s">
        <v>105</v>
      </c>
      <c r="D1267" t="s">
        <v>92</v>
      </c>
      <c r="E1267" t="s">
        <v>105</v>
      </c>
      <c r="F1267" s="158">
        <v>45517.002395833333</v>
      </c>
    </row>
    <row r="1268" spans="2:6" x14ac:dyDescent="0.25">
      <c r="B1268" t="s">
        <v>110</v>
      </c>
      <c r="C1268" t="s">
        <v>105</v>
      </c>
      <c r="D1268" t="s">
        <v>91</v>
      </c>
      <c r="E1268" t="s">
        <v>105</v>
      </c>
      <c r="F1268" s="158">
        <v>45517.002395833333</v>
      </c>
    </row>
    <row r="1269" spans="2:6" x14ac:dyDescent="0.25">
      <c r="B1269" t="s">
        <v>113</v>
      </c>
      <c r="C1269" t="s">
        <v>105</v>
      </c>
      <c r="D1269" t="s">
        <v>105</v>
      </c>
      <c r="F1269" s="158">
        <v>45517.002581018518</v>
      </c>
    </row>
    <row r="1270" spans="2:6" x14ac:dyDescent="0.25">
      <c r="B1270" t="s">
        <v>111</v>
      </c>
      <c r="C1270" t="s">
        <v>105</v>
      </c>
      <c r="D1270" t="s">
        <v>105</v>
      </c>
      <c r="E1270" t="s">
        <v>105</v>
      </c>
      <c r="F1270" s="158">
        <v>45517.002581018518</v>
      </c>
    </row>
    <row r="1271" spans="2:6" x14ac:dyDescent="0.25">
      <c r="B1271" t="s">
        <v>113</v>
      </c>
      <c r="C1271" t="s">
        <v>105</v>
      </c>
      <c r="D1271" t="s">
        <v>105</v>
      </c>
      <c r="E1271" t="s">
        <v>142</v>
      </c>
      <c r="F1271" s="158">
        <v>45517.003009259257</v>
      </c>
    </row>
    <row r="1272" spans="2:6" x14ac:dyDescent="0.25">
      <c r="B1272" t="s">
        <v>111</v>
      </c>
      <c r="C1272" t="s">
        <v>105</v>
      </c>
      <c r="D1272" t="s">
        <v>105</v>
      </c>
      <c r="E1272" t="s">
        <v>105</v>
      </c>
      <c r="F1272" s="158">
        <v>45517.003009259257</v>
      </c>
    </row>
    <row r="1273" spans="2:6" x14ac:dyDescent="0.25">
      <c r="B1273" t="s">
        <v>113</v>
      </c>
      <c r="C1273" t="s">
        <v>105</v>
      </c>
      <c r="D1273" t="s">
        <v>105</v>
      </c>
      <c r="E1273" t="s">
        <v>142</v>
      </c>
      <c r="F1273" s="158">
        <v>45517.00377314815</v>
      </c>
    </row>
    <row r="1274" spans="2:6" x14ac:dyDescent="0.25">
      <c r="B1274" t="s">
        <v>108</v>
      </c>
      <c r="C1274" t="s">
        <v>105</v>
      </c>
      <c r="D1274" t="s">
        <v>105</v>
      </c>
      <c r="E1274" t="s">
        <v>105</v>
      </c>
      <c r="F1274" s="158">
        <v>45517.006655092591</v>
      </c>
    </row>
    <row r="1275" spans="2:6" x14ac:dyDescent="0.25">
      <c r="B1275" t="s">
        <v>109</v>
      </c>
      <c r="C1275" t="s">
        <v>105</v>
      </c>
      <c r="D1275" t="s">
        <v>105</v>
      </c>
      <c r="E1275" t="s">
        <v>105</v>
      </c>
      <c r="F1275" s="158">
        <v>45517.006655092591</v>
      </c>
    </row>
    <row r="1276" spans="2:6" x14ac:dyDescent="0.25">
      <c r="B1276" t="s">
        <v>110</v>
      </c>
      <c r="C1276" t="s">
        <v>105</v>
      </c>
      <c r="D1276" t="s">
        <v>92</v>
      </c>
      <c r="E1276" t="s">
        <v>105</v>
      </c>
      <c r="F1276" s="158">
        <v>45517.006655092591</v>
      </c>
    </row>
    <row r="1277" spans="2:6" x14ac:dyDescent="0.25">
      <c r="B1277" t="s">
        <v>110</v>
      </c>
      <c r="C1277" t="s">
        <v>105</v>
      </c>
      <c r="D1277" t="s">
        <v>91</v>
      </c>
      <c r="E1277" t="s">
        <v>105</v>
      </c>
      <c r="F1277" s="158">
        <v>45517.006655092591</v>
      </c>
    </row>
    <row r="1278" spans="2:6" x14ac:dyDescent="0.25">
      <c r="B1278" t="s">
        <v>113</v>
      </c>
      <c r="C1278" t="s">
        <v>105</v>
      </c>
      <c r="D1278" t="s">
        <v>105</v>
      </c>
      <c r="F1278" s="158">
        <v>45517.00675925926</v>
      </c>
    </row>
    <row r="1279" spans="2:6" x14ac:dyDescent="0.25">
      <c r="B1279" t="s">
        <v>102</v>
      </c>
      <c r="C1279" t="s">
        <v>100</v>
      </c>
      <c r="D1279" t="s">
        <v>100</v>
      </c>
      <c r="E1279" t="s">
        <v>103</v>
      </c>
      <c r="F1279" s="158">
        <v>45517.00681712963</v>
      </c>
    </row>
    <row r="1280" spans="2:6" x14ac:dyDescent="0.25">
      <c r="B1280" t="s">
        <v>104</v>
      </c>
      <c r="C1280" t="s">
        <v>100</v>
      </c>
      <c r="D1280" t="s">
        <v>105</v>
      </c>
      <c r="E1280" t="s">
        <v>105</v>
      </c>
      <c r="F1280" s="158">
        <v>45517.006840277776</v>
      </c>
    </row>
    <row r="1281" spans="2:6" x14ac:dyDescent="0.25">
      <c r="B1281" t="s">
        <v>104</v>
      </c>
      <c r="C1281" t="s">
        <v>106</v>
      </c>
      <c r="D1281" t="s">
        <v>136</v>
      </c>
      <c r="E1281" t="s">
        <v>105</v>
      </c>
      <c r="F1281" s="158">
        <v>45517.006840277776</v>
      </c>
    </row>
    <row r="1282" spans="2:6" x14ac:dyDescent="0.25">
      <c r="B1282" t="s">
        <v>108</v>
      </c>
      <c r="C1282" t="s">
        <v>105</v>
      </c>
      <c r="D1282" t="s">
        <v>105</v>
      </c>
      <c r="E1282" t="s">
        <v>105</v>
      </c>
      <c r="F1282" s="158">
        <v>45517.007673611108</v>
      </c>
    </row>
    <row r="1283" spans="2:6" x14ac:dyDescent="0.25">
      <c r="B1283" t="s">
        <v>109</v>
      </c>
      <c r="C1283" t="s">
        <v>105</v>
      </c>
      <c r="D1283" t="s">
        <v>105</v>
      </c>
      <c r="E1283" t="s">
        <v>105</v>
      </c>
      <c r="F1283" s="158">
        <v>45517.007673611108</v>
      </c>
    </row>
    <row r="1284" spans="2:6" x14ac:dyDescent="0.25">
      <c r="B1284" t="s">
        <v>110</v>
      </c>
      <c r="C1284" t="s">
        <v>105</v>
      </c>
      <c r="D1284" t="s">
        <v>92</v>
      </c>
      <c r="E1284" t="s">
        <v>105</v>
      </c>
      <c r="F1284" s="158">
        <v>45517.007673611108</v>
      </c>
    </row>
    <row r="1285" spans="2:6" x14ac:dyDescent="0.25">
      <c r="B1285" t="s">
        <v>110</v>
      </c>
      <c r="C1285" t="s">
        <v>105</v>
      </c>
      <c r="D1285" t="s">
        <v>91</v>
      </c>
      <c r="E1285" t="s">
        <v>105</v>
      </c>
      <c r="F1285" s="158">
        <v>45517.007673611108</v>
      </c>
    </row>
    <row r="1286" spans="2:6" x14ac:dyDescent="0.25">
      <c r="B1286" t="s">
        <v>102</v>
      </c>
      <c r="C1286" t="s">
        <v>100</v>
      </c>
      <c r="D1286" t="s">
        <v>100</v>
      </c>
      <c r="E1286" t="s">
        <v>103</v>
      </c>
      <c r="F1286" s="158">
        <v>45517.007708333331</v>
      </c>
    </row>
    <row r="1287" spans="2:6" x14ac:dyDescent="0.25">
      <c r="B1287" t="s">
        <v>104</v>
      </c>
      <c r="C1287" t="s">
        <v>100</v>
      </c>
      <c r="D1287" t="s">
        <v>105</v>
      </c>
      <c r="E1287" t="s">
        <v>105</v>
      </c>
      <c r="F1287" s="158">
        <v>45517.007731481484</v>
      </c>
    </row>
    <row r="1288" spans="2:6" x14ac:dyDescent="0.25">
      <c r="B1288" t="s">
        <v>108</v>
      </c>
      <c r="C1288" t="s">
        <v>105</v>
      </c>
      <c r="D1288" t="s">
        <v>105</v>
      </c>
      <c r="E1288" t="s">
        <v>105</v>
      </c>
      <c r="F1288" s="158">
        <v>45517.007916666669</v>
      </c>
    </row>
    <row r="1289" spans="2:6" x14ac:dyDescent="0.25">
      <c r="B1289" t="s">
        <v>109</v>
      </c>
      <c r="C1289" t="s">
        <v>105</v>
      </c>
      <c r="D1289" t="s">
        <v>105</v>
      </c>
      <c r="E1289" t="s">
        <v>105</v>
      </c>
      <c r="F1289" s="158">
        <v>45517.007916666669</v>
      </c>
    </row>
    <row r="1290" spans="2:6" x14ac:dyDescent="0.25">
      <c r="B1290" t="s">
        <v>110</v>
      </c>
      <c r="C1290" t="s">
        <v>105</v>
      </c>
      <c r="D1290" t="s">
        <v>92</v>
      </c>
      <c r="E1290" t="s">
        <v>105</v>
      </c>
      <c r="F1290" s="158">
        <v>45517.007916666669</v>
      </c>
    </row>
    <row r="1291" spans="2:6" x14ac:dyDescent="0.25">
      <c r="B1291" t="s">
        <v>110</v>
      </c>
      <c r="C1291" t="s">
        <v>105</v>
      </c>
      <c r="D1291" t="s">
        <v>91</v>
      </c>
      <c r="E1291" t="s">
        <v>105</v>
      </c>
      <c r="F1291" s="158">
        <v>45517.007916666669</v>
      </c>
    </row>
    <row r="1292" spans="2:6" x14ac:dyDescent="0.25">
      <c r="B1292" t="s">
        <v>102</v>
      </c>
      <c r="C1292" t="s">
        <v>100</v>
      </c>
      <c r="D1292" t="s">
        <v>100</v>
      </c>
      <c r="E1292" t="s">
        <v>103</v>
      </c>
      <c r="F1292" s="158">
        <v>45517.007974537039</v>
      </c>
    </row>
    <row r="1293" spans="2:6" x14ac:dyDescent="0.25">
      <c r="B1293" t="s">
        <v>104</v>
      </c>
      <c r="C1293" t="s">
        <v>100</v>
      </c>
      <c r="D1293" t="s">
        <v>105</v>
      </c>
      <c r="E1293" t="s">
        <v>105</v>
      </c>
      <c r="F1293" s="158">
        <v>45517.007997685185</v>
      </c>
    </row>
    <row r="1294" spans="2:6" x14ac:dyDescent="0.25">
      <c r="B1294" t="s">
        <v>104</v>
      </c>
      <c r="C1294" t="s">
        <v>106</v>
      </c>
      <c r="D1294" t="s">
        <v>91</v>
      </c>
      <c r="E1294" t="s">
        <v>105</v>
      </c>
      <c r="F1294" s="158">
        <v>45517.007997685185</v>
      </c>
    </row>
    <row r="1295" spans="2:6" x14ac:dyDescent="0.25">
      <c r="B1295" t="s">
        <v>104</v>
      </c>
      <c r="C1295" t="s">
        <v>107</v>
      </c>
      <c r="D1295" t="s">
        <v>92</v>
      </c>
      <c r="E1295" t="s">
        <v>105</v>
      </c>
      <c r="F1295" s="158">
        <v>45517.007997685185</v>
      </c>
    </row>
    <row r="1296" spans="2:6" x14ac:dyDescent="0.25">
      <c r="B1296" t="s">
        <v>108</v>
      </c>
      <c r="C1296" t="s">
        <v>105</v>
      </c>
      <c r="D1296" t="s">
        <v>105</v>
      </c>
      <c r="E1296" t="s">
        <v>105</v>
      </c>
      <c r="F1296" s="158">
        <v>45517.00984953704</v>
      </c>
    </row>
    <row r="1297" spans="2:6" x14ac:dyDescent="0.25">
      <c r="B1297" t="s">
        <v>109</v>
      </c>
      <c r="C1297" t="s">
        <v>105</v>
      </c>
      <c r="D1297" t="s">
        <v>105</v>
      </c>
      <c r="E1297" t="s">
        <v>105</v>
      </c>
      <c r="F1297" s="158">
        <v>45517.00984953704</v>
      </c>
    </row>
    <row r="1298" spans="2:6" x14ac:dyDescent="0.25">
      <c r="B1298" t="s">
        <v>110</v>
      </c>
      <c r="C1298" t="s">
        <v>105</v>
      </c>
      <c r="D1298" t="s">
        <v>92</v>
      </c>
      <c r="E1298" t="s">
        <v>105</v>
      </c>
      <c r="F1298" s="158">
        <v>45517.00984953704</v>
      </c>
    </row>
    <row r="1299" spans="2:6" x14ac:dyDescent="0.25">
      <c r="B1299" t="s">
        <v>110</v>
      </c>
      <c r="C1299" t="s">
        <v>105</v>
      </c>
      <c r="D1299" t="s">
        <v>91</v>
      </c>
      <c r="E1299" t="s">
        <v>105</v>
      </c>
      <c r="F1299" s="158">
        <v>45517.00984953704</v>
      </c>
    </row>
    <row r="1300" spans="2:6" x14ac:dyDescent="0.25">
      <c r="B1300" t="s">
        <v>102</v>
      </c>
      <c r="C1300" t="s">
        <v>100</v>
      </c>
      <c r="D1300" t="s">
        <v>100</v>
      </c>
      <c r="E1300" t="s">
        <v>103</v>
      </c>
      <c r="F1300" s="158">
        <v>45517.009884259256</v>
      </c>
    </row>
    <row r="1301" spans="2:6" x14ac:dyDescent="0.25">
      <c r="B1301" t="s">
        <v>104</v>
      </c>
      <c r="C1301" t="s">
        <v>100</v>
      </c>
      <c r="D1301" t="s">
        <v>105</v>
      </c>
      <c r="E1301" t="s">
        <v>105</v>
      </c>
      <c r="F1301" s="158">
        <v>45517.00990740741</v>
      </c>
    </row>
    <row r="1302" spans="2:6" x14ac:dyDescent="0.25">
      <c r="B1302" t="s">
        <v>104</v>
      </c>
      <c r="C1302" t="s">
        <v>106</v>
      </c>
      <c r="D1302" t="s">
        <v>91</v>
      </c>
      <c r="E1302" t="s">
        <v>105</v>
      </c>
      <c r="F1302" s="158">
        <v>45517.01021990741</v>
      </c>
    </row>
    <row r="1303" spans="2:6" x14ac:dyDescent="0.25">
      <c r="B1303" t="s">
        <v>104</v>
      </c>
      <c r="C1303" t="s">
        <v>107</v>
      </c>
      <c r="D1303" t="s">
        <v>92</v>
      </c>
      <c r="E1303" t="s">
        <v>105</v>
      </c>
      <c r="F1303" s="158">
        <v>45517.010370370372</v>
      </c>
    </row>
    <row r="1304" spans="2:6" x14ac:dyDescent="0.25">
      <c r="B1304" t="s">
        <v>108</v>
      </c>
      <c r="C1304" t="s">
        <v>105</v>
      </c>
      <c r="D1304" t="s">
        <v>105</v>
      </c>
      <c r="E1304" t="s">
        <v>105</v>
      </c>
      <c r="F1304" s="158">
        <v>45517.010648148149</v>
      </c>
    </row>
    <row r="1305" spans="2:6" x14ac:dyDescent="0.25">
      <c r="B1305" t="s">
        <v>109</v>
      </c>
      <c r="C1305" t="s">
        <v>105</v>
      </c>
      <c r="D1305" t="s">
        <v>105</v>
      </c>
      <c r="E1305" t="s">
        <v>105</v>
      </c>
      <c r="F1305" s="158">
        <v>45517.010648148149</v>
      </c>
    </row>
    <row r="1306" spans="2:6" x14ac:dyDescent="0.25">
      <c r="B1306" t="s">
        <v>110</v>
      </c>
      <c r="C1306" t="s">
        <v>105</v>
      </c>
      <c r="D1306" t="s">
        <v>92</v>
      </c>
      <c r="E1306" t="s">
        <v>105</v>
      </c>
      <c r="F1306" s="158">
        <v>45517.010648148149</v>
      </c>
    </row>
    <row r="1307" spans="2:6" x14ac:dyDescent="0.25">
      <c r="B1307" t="s">
        <v>110</v>
      </c>
      <c r="C1307" t="s">
        <v>105</v>
      </c>
      <c r="D1307" t="s">
        <v>91</v>
      </c>
      <c r="E1307" t="s">
        <v>105</v>
      </c>
      <c r="F1307" s="158">
        <v>45517.010648148149</v>
      </c>
    </row>
    <row r="1308" spans="2:6" x14ac:dyDescent="0.25">
      <c r="B1308" t="s">
        <v>102</v>
      </c>
      <c r="C1308" t="s">
        <v>100</v>
      </c>
      <c r="D1308" t="s">
        <v>100</v>
      </c>
      <c r="E1308" t="s">
        <v>103</v>
      </c>
      <c r="F1308" s="158">
        <v>45517.010694444441</v>
      </c>
    </row>
    <row r="1309" spans="2:6" x14ac:dyDescent="0.25">
      <c r="B1309" t="s">
        <v>104</v>
      </c>
      <c r="C1309" t="s">
        <v>100</v>
      </c>
      <c r="D1309" t="s">
        <v>105</v>
      </c>
      <c r="E1309" t="s">
        <v>105</v>
      </c>
      <c r="F1309" s="158">
        <v>45517.010717592595</v>
      </c>
    </row>
    <row r="1310" spans="2:6" x14ac:dyDescent="0.25">
      <c r="B1310" t="s">
        <v>104</v>
      </c>
      <c r="C1310" t="s">
        <v>106</v>
      </c>
      <c r="D1310" t="s">
        <v>91</v>
      </c>
      <c r="E1310" t="s">
        <v>105</v>
      </c>
      <c r="F1310" s="158">
        <v>45517.010787037034</v>
      </c>
    </row>
    <row r="1311" spans="2:6" x14ac:dyDescent="0.25">
      <c r="B1311" t="s">
        <v>104</v>
      </c>
      <c r="C1311" t="s">
        <v>107</v>
      </c>
      <c r="D1311" t="s">
        <v>92</v>
      </c>
      <c r="E1311" t="s">
        <v>105</v>
      </c>
      <c r="F1311" s="158">
        <v>45517.010787037034</v>
      </c>
    </row>
    <row r="1312" spans="2:6" x14ac:dyDescent="0.25">
      <c r="B1312" t="s">
        <v>108</v>
      </c>
      <c r="C1312" t="s">
        <v>105</v>
      </c>
      <c r="D1312" t="s">
        <v>105</v>
      </c>
      <c r="E1312" t="s">
        <v>105</v>
      </c>
      <c r="F1312" s="158">
        <v>45517.010868055557</v>
      </c>
    </row>
    <row r="1313" spans="2:6" x14ac:dyDescent="0.25">
      <c r="B1313" t="s">
        <v>109</v>
      </c>
      <c r="C1313" t="s">
        <v>105</v>
      </c>
      <c r="D1313" t="s">
        <v>105</v>
      </c>
      <c r="E1313" t="s">
        <v>105</v>
      </c>
      <c r="F1313" s="158">
        <v>45517.010868055557</v>
      </c>
    </row>
    <row r="1314" spans="2:6" x14ac:dyDescent="0.25">
      <c r="B1314" t="s">
        <v>110</v>
      </c>
      <c r="C1314" t="s">
        <v>105</v>
      </c>
      <c r="D1314" t="s">
        <v>92</v>
      </c>
      <c r="E1314" t="s">
        <v>105</v>
      </c>
      <c r="F1314" s="158">
        <v>45517.010868055557</v>
      </c>
    </row>
    <row r="1315" spans="2:6" x14ac:dyDescent="0.25">
      <c r="B1315" t="s">
        <v>110</v>
      </c>
      <c r="C1315" t="s">
        <v>105</v>
      </c>
      <c r="D1315" t="s">
        <v>91</v>
      </c>
      <c r="E1315" t="s">
        <v>105</v>
      </c>
      <c r="F1315" s="158">
        <v>45517.010868055557</v>
      </c>
    </row>
    <row r="1316" spans="2:6" x14ac:dyDescent="0.25">
      <c r="B1316" t="s">
        <v>108</v>
      </c>
      <c r="C1316" t="s">
        <v>105</v>
      </c>
      <c r="D1316" t="s">
        <v>105</v>
      </c>
      <c r="E1316" t="s">
        <v>105</v>
      </c>
      <c r="F1316" s="158">
        <v>45517.02144675926</v>
      </c>
    </row>
    <row r="1317" spans="2:6" x14ac:dyDescent="0.25">
      <c r="B1317" t="s">
        <v>109</v>
      </c>
      <c r="C1317" t="s">
        <v>105</v>
      </c>
      <c r="D1317" t="s">
        <v>105</v>
      </c>
      <c r="E1317" t="s">
        <v>105</v>
      </c>
      <c r="F1317" s="158">
        <v>45517.02144675926</v>
      </c>
    </row>
    <row r="1318" spans="2:6" x14ac:dyDescent="0.25">
      <c r="B1318" t="s">
        <v>110</v>
      </c>
      <c r="C1318" t="s">
        <v>105</v>
      </c>
      <c r="D1318" t="s">
        <v>92</v>
      </c>
      <c r="E1318" t="s">
        <v>105</v>
      </c>
      <c r="F1318" s="158">
        <v>45517.02144675926</v>
      </c>
    </row>
    <row r="1319" spans="2:6" x14ac:dyDescent="0.25">
      <c r="B1319" t="s">
        <v>110</v>
      </c>
      <c r="C1319" t="s">
        <v>105</v>
      </c>
      <c r="D1319" t="s">
        <v>91</v>
      </c>
      <c r="E1319" t="s">
        <v>105</v>
      </c>
      <c r="F1319" s="158">
        <v>45517.02144675926</v>
      </c>
    </row>
    <row r="1320" spans="2:6" x14ac:dyDescent="0.25">
      <c r="B1320" t="s">
        <v>113</v>
      </c>
      <c r="C1320" t="s">
        <v>105</v>
      </c>
      <c r="D1320" t="s">
        <v>105</v>
      </c>
      <c r="E1320" t="s">
        <v>114</v>
      </c>
      <c r="F1320" s="158">
        <v>45517.021550925929</v>
      </c>
    </row>
    <row r="1321" spans="2:6" x14ac:dyDescent="0.25">
      <c r="B1321" t="s">
        <v>111</v>
      </c>
      <c r="C1321" t="s">
        <v>105</v>
      </c>
      <c r="D1321" t="s">
        <v>105</v>
      </c>
      <c r="E1321" t="s">
        <v>105</v>
      </c>
      <c r="F1321" s="158">
        <v>45517.021550925929</v>
      </c>
    </row>
    <row r="1322" spans="2:6" x14ac:dyDescent="0.25">
      <c r="B1322" t="s">
        <v>109</v>
      </c>
      <c r="C1322" t="s">
        <v>105</v>
      </c>
      <c r="D1322" t="s">
        <v>105</v>
      </c>
      <c r="E1322" t="s">
        <v>105</v>
      </c>
      <c r="F1322" s="158">
        <v>45517.021550925929</v>
      </c>
    </row>
    <row r="1323" spans="2:6" x14ac:dyDescent="0.25">
      <c r="B1323" t="s">
        <v>115</v>
      </c>
      <c r="C1323" t="s">
        <v>100</v>
      </c>
      <c r="D1323" t="s">
        <v>100</v>
      </c>
      <c r="E1323" t="s">
        <v>103</v>
      </c>
      <c r="F1323" s="158">
        <v>45517.021550925929</v>
      </c>
    </row>
    <row r="1324" spans="2:6" x14ac:dyDescent="0.25">
      <c r="B1324" t="s">
        <v>104</v>
      </c>
      <c r="C1324" t="s">
        <v>100</v>
      </c>
      <c r="D1324" t="s">
        <v>105</v>
      </c>
      <c r="E1324" t="s">
        <v>105</v>
      </c>
      <c r="F1324" s="158">
        <v>45517.021574074075</v>
      </c>
    </row>
    <row r="1325" spans="2:6" x14ac:dyDescent="0.25">
      <c r="B1325" t="s">
        <v>104</v>
      </c>
      <c r="C1325" t="s">
        <v>106</v>
      </c>
      <c r="D1325" t="s">
        <v>91</v>
      </c>
      <c r="E1325" t="s">
        <v>105</v>
      </c>
      <c r="F1325" s="158">
        <v>45517.021574074075</v>
      </c>
    </row>
    <row r="1326" spans="2:6" x14ac:dyDescent="0.25">
      <c r="B1326" t="s">
        <v>104</v>
      </c>
      <c r="C1326" t="s">
        <v>107</v>
      </c>
      <c r="D1326" t="s">
        <v>92</v>
      </c>
      <c r="E1326" t="s">
        <v>105</v>
      </c>
      <c r="F1326" s="158">
        <v>45517.021574074075</v>
      </c>
    </row>
    <row r="1327" spans="2:6" x14ac:dyDescent="0.25">
      <c r="B1327" t="s">
        <v>111</v>
      </c>
      <c r="C1327" t="s">
        <v>105</v>
      </c>
      <c r="D1327" t="s">
        <v>105</v>
      </c>
      <c r="E1327" t="s">
        <v>105</v>
      </c>
      <c r="F1327" s="158">
        <v>45517.021585648145</v>
      </c>
    </row>
    <row r="1328" spans="2:6" x14ac:dyDescent="0.25">
      <c r="B1328" t="s">
        <v>109</v>
      </c>
      <c r="C1328" t="s">
        <v>105</v>
      </c>
      <c r="D1328" t="s">
        <v>105</v>
      </c>
      <c r="E1328" t="s">
        <v>105</v>
      </c>
      <c r="F1328" s="158">
        <v>45517.021585648145</v>
      </c>
    </row>
    <row r="1329" spans="2:6" x14ac:dyDescent="0.25">
      <c r="B1329" t="s">
        <v>116</v>
      </c>
      <c r="C1329" t="s">
        <v>100</v>
      </c>
      <c r="D1329" t="s">
        <v>100</v>
      </c>
      <c r="E1329" t="s">
        <v>117</v>
      </c>
      <c r="F1329" s="158">
        <v>45517.021585648145</v>
      </c>
    </row>
    <row r="1330" spans="2:6" x14ac:dyDescent="0.25">
      <c r="B1330" t="s">
        <v>118</v>
      </c>
      <c r="C1330" t="s">
        <v>100</v>
      </c>
      <c r="D1330" t="s">
        <v>105</v>
      </c>
      <c r="E1330" t="s">
        <v>105</v>
      </c>
      <c r="F1330" s="158">
        <v>45517.021608796298</v>
      </c>
    </row>
    <row r="1331" spans="2:6" x14ac:dyDescent="0.25">
      <c r="B1331" t="s">
        <v>118</v>
      </c>
      <c r="C1331" t="s">
        <v>106</v>
      </c>
      <c r="D1331" t="s">
        <v>91</v>
      </c>
      <c r="E1331" t="s">
        <v>105</v>
      </c>
      <c r="F1331" s="158">
        <v>45517.021608796298</v>
      </c>
    </row>
    <row r="1332" spans="2:6" x14ac:dyDescent="0.25">
      <c r="B1332" t="s">
        <v>118</v>
      </c>
      <c r="C1332" t="s">
        <v>107</v>
      </c>
      <c r="D1332" t="s">
        <v>92</v>
      </c>
      <c r="E1332" t="s">
        <v>105</v>
      </c>
      <c r="F1332" s="158">
        <v>45517.021608796298</v>
      </c>
    </row>
    <row r="1333" spans="2:6" x14ac:dyDescent="0.25">
      <c r="B1333" t="s">
        <v>111</v>
      </c>
      <c r="C1333" t="s">
        <v>105</v>
      </c>
      <c r="D1333" t="s">
        <v>105</v>
      </c>
      <c r="E1333" t="s">
        <v>105</v>
      </c>
      <c r="F1333" s="158">
        <v>45517.021608796298</v>
      </c>
    </row>
    <row r="1334" spans="2:6" x14ac:dyDescent="0.25">
      <c r="B1334" t="s">
        <v>109</v>
      </c>
      <c r="C1334" t="s">
        <v>105</v>
      </c>
      <c r="D1334" t="s">
        <v>105</v>
      </c>
      <c r="E1334" t="s">
        <v>105</v>
      </c>
      <c r="F1334" s="158">
        <v>45517.021620370368</v>
      </c>
    </row>
    <row r="1335" spans="2:6" x14ac:dyDescent="0.25">
      <c r="B1335" t="s">
        <v>119</v>
      </c>
      <c r="C1335" t="s">
        <v>100</v>
      </c>
      <c r="D1335" t="s">
        <v>100</v>
      </c>
      <c r="E1335" t="s">
        <v>120</v>
      </c>
      <c r="F1335" s="158">
        <v>45517.021620370368</v>
      </c>
    </row>
    <row r="1336" spans="2:6" x14ac:dyDescent="0.25">
      <c r="B1336" t="s">
        <v>121</v>
      </c>
      <c r="C1336" t="s">
        <v>100</v>
      </c>
      <c r="D1336" t="s">
        <v>105</v>
      </c>
      <c r="E1336" t="s">
        <v>105</v>
      </c>
      <c r="F1336" s="158">
        <v>45517.021631944444</v>
      </c>
    </row>
    <row r="1337" spans="2:6" x14ac:dyDescent="0.25">
      <c r="B1337" t="s">
        <v>121</v>
      </c>
      <c r="C1337" t="s">
        <v>106</v>
      </c>
      <c r="D1337" t="s">
        <v>91</v>
      </c>
      <c r="E1337" t="s">
        <v>105</v>
      </c>
      <c r="F1337" s="158">
        <v>45517.021631944444</v>
      </c>
    </row>
    <row r="1338" spans="2:6" x14ac:dyDescent="0.25">
      <c r="B1338" t="s">
        <v>121</v>
      </c>
      <c r="C1338" t="s">
        <v>107</v>
      </c>
      <c r="D1338" t="s">
        <v>92</v>
      </c>
      <c r="E1338" t="s">
        <v>105</v>
      </c>
      <c r="F1338" s="158">
        <v>45517.021631944444</v>
      </c>
    </row>
    <row r="1339" spans="2:6" x14ac:dyDescent="0.25">
      <c r="B1339" t="s">
        <v>111</v>
      </c>
      <c r="C1339" t="s">
        <v>105</v>
      </c>
      <c r="D1339" t="s">
        <v>105</v>
      </c>
      <c r="E1339" t="s">
        <v>105</v>
      </c>
      <c r="F1339" s="158">
        <v>45517.021643518521</v>
      </c>
    </row>
    <row r="1340" spans="2:6" x14ac:dyDescent="0.25">
      <c r="B1340" t="s">
        <v>109</v>
      </c>
      <c r="C1340" t="s">
        <v>105</v>
      </c>
      <c r="D1340" t="s">
        <v>105</v>
      </c>
      <c r="E1340" t="s">
        <v>105</v>
      </c>
      <c r="F1340" s="158">
        <v>45517.021643518521</v>
      </c>
    </row>
    <row r="1341" spans="2:6" x14ac:dyDescent="0.25">
      <c r="B1341" t="s">
        <v>122</v>
      </c>
      <c r="C1341" t="s">
        <v>100</v>
      </c>
      <c r="D1341" t="s">
        <v>100</v>
      </c>
      <c r="E1341" t="s">
        <v>123</v>
      </c>
      <c r="F1341" s="158">
        <v>45517.021643518521</v>
      </c>
    </row>
    <row r="1342" spans="2:6" x14ac:dyDescent="0.25">
      <c r="B1342" t="s">
        <v>124</v>
      </c>
      <c r="C1342" t="s">
        <v>100</v>
      </c>
      <c r="D1342" t="s">
        <v>105</v>
      </c>
      <c r="E1342" t="s">
        <v>105</v>
      </c>
      <c r="F1342" s="158">
        <v>45517.021666666667</v>
      </c>
    </row>
    <row r="1343" spans="2:6" x14ac:dyDescent="0.25">
      <c r="B1343" t="s">
        <v>124</v>
      </c>
      <c r="C1343" t="s">
        <v>106</v>
      </c>
      <c r="D1343" t="s">
        <v>91</v>
      </c>
      <c r="E1343" t="s">
        <v>105</v>
      </c>
      <c r="F1343" s="158">
        <v>45517.021666666667</v>
      </c>
    </row>
    <row r="1344" spans="2:6" x14ac:dyDescent="0.25">
      <c r="B1344" t="s">
        <v>124</v>
      </c>
      <c r="C1344" t="s">
        <v>107</v>
      </c>
      <c r="D1344" t="s">
        <v>92</v>
      </c>
      <c r="E1344" t="s">
        <v>105</v>
      </c>
      <c r="F1344" s="158">
        <v>45517.021666666667</v>
      </c>
    </row>
    <row r="1345" spans="2:6" x14ac:dyDescent="0.25">
      <c r="B1345" t="s">
        <v>111</v>
      </c>
      <c r="C1345" t="s">
        <v>105</v>
      </c>
      <c r="D1345" t="s">
        <v>105</v>
      </c>
      <c r="E1345" t="s">
        <v>105</v>
      </c>
      <c r="F1345" s="158">
        <v>45517.021678240744</v>
      </c>
    </row>
    <row r="1346" spans="2:6" x14ac:dyDescent="0.25">
      <c r="B1346" t="s">
        <v>109</v>
      </c>
      <c r="C1346" t="s">
        <v>105</v>
      </c>
      <c r="D1346" t="s">
        <v>105</v>
      </c>
      <c r="E1346" t="s">
        <v>105</v>
      </c>
      <c r="F1346" s="158">
        <v>45517.021678240744</v>
      </c>
    </row>
    <row r="1347" spans="2:6" x14ac:dyDescent="0.25">
      <c r="B1347" t="s">
        <v>125</v>
      </c>
      <c r="C1347" t="s">
        <v>100</v>
      </c>
      <c r="D1347" t="s">
        <v>100</v>
      </c>
      <c r="E1347" t="s">
        <v>126</v>
      </c>
      <c r="F1347" s="158">
        <v>45517.021678240744</v>
      </c>
    </row>
    <row r="1348" spans="2:6" x14ac:dyDescent="0.25">
      <c r="B1348" t="s">
        <v>127</v>
      </c>
      <c r="C1348" t="s">
        <v>100</v>
      </c>
      <c r="D1348" t="s">
        <v>105</v>
      </c>
      <c r="E1348" t="s">
        <v>105</v>
      </c>
      <c r="F1348" s="158">
        <v>45517.021689814814</v>
      </c>
    </row>
    <row r="1349" spans="2:6" x14ac:dyDescent="0.25">
      <c r="B1349" t="s">
        <v>127</v>
      </c>
      <c r="C1349" t="s">
        <v>106</v>
      </c>
      <c r="D1349" t="s">
        <v>91</v>
      </c>
      <c r="E1349" t="s">
        <v>105</v>
      </c>
      <c r="F1349" s="158">
        <v>45517.021689814814</v>
      </c>
    </row>
    <row r="1350" spans="2:6" x14ac:dyDescent="0.25">
      <c r="B1350" t="s">
        <v>127</v>
      </c>
      <c r="C1350" t="s">
        <v>107</v>
      </c>
      <c r="D1350" t="s">
        <v>92</v>
      </c>
      <c r="E1350" t="s">
        <v>105</v>
      </c>
      <c r="F1350" s="158">
        <v>45517.021689814814</v>
      </c>
    </row>
    <row r="1351" spans="2:6" x14ac:dyDescent="0.25">
      <c r="B1351" t="s">
        <v>111</v>
      </c>
      <c r="C1351" t="s">
        <v>105</v>
      </c>
      <c r="D1351" t="s">
        <v>105</v>
      </c>
      <c r="E1351" t="s">
        <v>105</v>
      </c>
      <c r="F1351" s="158">
        <v>45517.021701388891</v>
      </c>
    </row>
    <row r="1352" spans="2:6" x14ac:dyDescent="0.25">
      <c r="B1352" t="s">
        <v>109</v>
      </c>
      <c r="C1352" t="s">
        <v>105</v>
      </c>
      <c r="D1352" t="s">
        <v>105</v>
      </c>
      <c r="E1352" t="s">
        <v>105</v>
      </c>
      <c r="F1352" s="158">
        <v>45517.021701388891</v>
      </c>
    </row>
    <row r="1353" spans="2:6" x14ac:dyDescent="0.25">
      <c r="B1353" t="s">
        <v>128</v>
      </c>
      <c r="C1353" t="s">
        <v>100</v>
      </c>
      <c r="D1353" t="s">
        <v>100</v>
      </c>
      <c r="E1353" t="s">
        <v>129</v>
      </c>
      <c r="F1353" s="158">
        <v>45517.021701388891</v>
      </c>
    </row>
    <row r="1354" spans="2:6" x14ac:dyDescent="0.25">
      <c r="B1354" t="s">
        <v>130</v>
      </c>
      <c r="C1354" t="s">
        <v>100</v>
      </c>
      <c r="D1354" t="s">
        <v>105</v>
      </c>
      <c r="E1354" t="s">
        <v>105</v>
      </c>
      <c r="F1354" s="158">
        <v>45517.02171296296</v>
      </c>
    </row>
    <row r="1355" spans="2:6" x14ac:dyDescent="0.25">
      <c r="B1355" t="s">
        <v>130</v>
      </c>
      <c r="C1355" t="s">
        <v>106</v>
      </c>
      <c r="D1355" t="s">
        <v>91</v>
      </c>
      <c r="E1355" t="s">
        <v>105</v>
      </c>
      <c r="F1355" s="158">
        <v>45517.021724537037</v>
      </c>
    </row>
    <row r="1356" spans="2:6" x14ac:dyDescent="0.25">
      <c r="B1356" t="s">
        <v>130</v>
      </c>
      <c r="C1356" t="s">
        <v>107</v>
      </c>
      <c r="D1356" t="s">
        <v>92</v>
      </c>
      <c r="E1356" t="s">
        <v>105</v>
      </c>
      <c r="F1356" s="158">
        <v>45517.021724537037</v>
      </c>
    </row>
    <row r="1357" spans="2:6" x14ac:dyDescent="0.25">
      <c r="B1357" t="s">
        <v>111</v>
      </c>
      <c r="C1357" t="s">
        <v>105</v>
      </c>
      <c r="D1357" t="s">
        <v>105</v>
      </c>
      <c r="E1357" t="s">
        <v>105</v>
      </c>
      <c r="F1357" s="158">
        <v>45517.021724537037</v>
      </c>
    </row>
    <row r="1358" spans="2:6" x14ac:dyDescent="0.25">
      <c r="B1358" t="s">
        <v>109</v>
      </c>
      <c r="C1358" t="s">
        <v>105</v>
      </c>
      <c r="D1358" t="s">
        <v>105</v>
      </c>
      <c r="E1358" t="s">
        <v>105</v>
      </c>
      <c r="F1358" s="158">
        <v>45517.021724537037</v>
      </c>
    </row>
    <row r="1359" spans="2:6" x14ac:dyDescent="0.25">
      <c r="B1359" t="s">
        <v>131</v>
      </c>
      <c r="C1359" t="s">
        <v>100</v>
      </c>
      <c r="D1359" t="s">
        <v>100</v>
      </c>
      <c r="E1359" t="s">
        <v>132</v>
      </c>
      <c r="F1359" s="158">
        <v>45517.021724537037</v>
      </c>
    </row>
    <row r="1360" spans="2:6" x14ac:dyDescent="0.25">
      <c r="B1360" t="s">
        <v>133</v>
      </c>
      <c r="C1360" t="s">
        <v>100</v>
      </c>
      <c r="D1360" t="s">
        <v>105</v>
      </c>
      <c r="E1360" t="s">
        <v>105</v>
      </c>
      <c r="F1360" s="158">
        <v>45517.021747685183</v>
      </c>
    </row>
    <row r="1361" spans="2:6" x14ac:dyDescent="0.25">
      <c r="B1361" t="s">
        <v>133</v>
      </c>
      <c r="C1361" t="s">
        <v>106</v>
      </c>
      <c r="D1361" t="s">
        <v>91</v>
      </c>
      <c r="E1361" t="s">
        <v>105</v>
      </c>
      <c r="F1361" s="158">
        <v>45517.021747685183</v>
      </c>
    </row>
    <row r="1362" spans="2:6" x14ac:dyDescent="0.25">
      <c r="B1362" t="s">
        <v>133</v>
      </c>
      <c r="C1362" t="s">
        <v>107</v>
      </c>
      <c r="D1362" t="s">
        <v>92</v>
      </c>
      <c r="E1362" t="s">
        <v>105</v>
      </c>
      <c r="F1362" s="158">
        <v>45517.02175925926</v>
      </c>
    </row>
    <row r="1363" spans="2:6" x14ac:dyDescent="0.25">
      <c r="B1363" t="s">
        <v>111</v>
      </c>
      <c r="C1363" t="s">
        <v>105</v>
      </c>
      <c r="D1363" t="s">
        <v>105</v>
      </c>
      <c r="E1363" t="s">
        <v>105</v>
      </c>
      <c r="F1363" s="158">
        <v>45517.021770833337</v>
      </c>
    </row>
    <row r="1364" spans="2:6" x14ac:dyDescent="0.25">
      <c r="B1364" t="s">
        <v>108</v>
      </c>
      <c r="C1364" t="s">
        <v>105</v>
      </c>
      <c r="D1364" t="s">
        <v>105</v>
      </c>
      <c r="E1364" t="s">
        <v>105</v>
      </c>
      <c r="F1364" s="158">
        <v>45517.02202546296</v>
      </c>
    </row>
    <row r="1365" spans="2:6" x14ac:dyDescent="0.25">
      <c r="B1365" t="s">
        <v>109</v>
      </c>
      <c r="C1365" t="s">
        <v>105</v>
      </c>
      <c r="D1365" t="s">
        <v>105</v>
      </c>
      <c r="E1365" t="s">
        <v>105</v>
      </c>
      <c r="F1365" s="158">
        <v>45517.02202546296</v>
      </c>
    </row>
    <row r="1366" spans="2:6" x14ac:dyDescent="0.25">
      <c r="B1366" t="s">
        <v>110</v>
      </c>
      <c r="C1366" t="s">
        <v>105</v>
      </c>
      <c r="D1366" t="s">
        <v>92</v>
      </c>
      <c r="E1366" t="s">
        <v>105</v>
      </c>
      <c r="F1366" s="158">
        <v>45517.02202546296</v>
      </c>
    </row>
    <row r="1367" spans="2:6" x14ac:dyDescent="0.25">
      <c r="B1367" t="s">
        <v>110</v>
      </c>
      <c r="C1367" t="s">
        <v>105</v>
      </c>
      <c r="D1367" t="s">
        <v>91</v>
      </c>
      <c r="E1367" t="s">
        <v>105</v>
      </c>
      <c r="F1367" s="158">
        <v>45517.02202546296</v>
      </c>
    </row>
    <row r="1368" spans="2:6" x14ac:dyDescent="0.25">
      <c r="B1368" t="s">
        <v>113</v>
      </c>
      <c r="C1368" t="s">
        <v>105</v>
      </c>
      <c r="D1368" t="s">
        <v>105</v>
      </c>
      <c r="E1368" t="s">
        <v>114</v>
      </c>
      <c r="F1368" s="158">
        <v>45517.022187499999</v>
      </c>
    </row>
    <row r="1369" spans="2:6" x14ac:dyDescent="0.25">
      <c r="B1369" t="s">
        <v>111</v>
      </c>
      <c r="C1369" t="s">
        <v>105</v>
      </c>
      <c r="D1369" t="s">
        <v>105</v>
      </c>
      <c r="E1369" t="s">
        <v>105</v>
      </c>
      <c r="F1369" s="158">
        <v>45517.022187499999</v>
      </c>
    </row>
    <row r="1370" spans="2:6" x14ac:dyDescent="0.25">
      <c r="B1370" t="s">
        <v>109</v>
      </c>
      <c r="C1370" t="s">
        <v>105</v>
      </c>
      <c r="D1370" t="s">
        <v>105</v>
      </c>
      <c r="E1370" t="s">
        <v>105</v>
      </c>
      <c r="F1370" s="158">
        <v>45517.022187499999</v>
      </c>
    </row>
    <row r="1371" spans="2:6" x14ac:dyDescent="0.25">
      <c r="B1371" t="s">
        <v>115</v>
      </c>
      <c r="C1371" t="s">
        <v>100</v>
      </c>
      <c r="D1371" t="s">
        <v>100</v>
      </c>
      <c r="E1371" t="s">
        <v>103</v>
      </c>
      <c r="F1371" s="158">
        <v>45517.022199074076</v>
      </c>
    </row>
    <row r="1372" spans="2:6" x14ac:dyDescent="0.25">
      <c r="B1372" t="s">
        <v>104</v>
      </c>
      <c r="C1372" t="s">
        <v>100</v>
      </c>
      <c r="D1372" t="s">
        <v>105</v>
      </c>
      <c r="E1372" t="s">
        <v>105</v>
      </c>
      <c r="F1372" s="158">
        <v>45517.022222222222</v>
      </c>
    </row>
    <row r="1373" spans="2:6" x14ac:dyDescent="0.25">
      <c r="B1373" t="s">
        <v>104</v>
      </c>
      <c r="C1373" t="s">
        <v>106</v>
      </c>
      <c r="D1373" t="s">
        <v>91</v>
      </c>
      <c r="E1373" t="s">
        <v>105</v>
      </c>
      <c r="F1373" s="158">
        <v>45517.022222222222</v>
      </c>
    </row>
    <row r="1374" spans="2:6" x14ac:dyDescent="0.25">
      <c r="B1374" t="s">
        <v>104</v>
      </c>
      <c r="C1374" t="s">
        <v>107</v>
      </c>
      <c r="D1374" t="s">
        <v>92</v>
      </c>
      <c r="E1374" t="s">
        <v>105</v>
      </c>
      <c r="F1374" s="158">
        <v>45517.022222222222</v>
      </c>
    </row>
    <row r="1375" spans="2:6" x14ac:dyDescent="0.25">
      <c r="B1375" t="s">
        <v>111</v>
      </c>
      <c r="C1375" t="s">
        <v>105</v>
      </c>
      <c r="D1375" t="s">
        <v>105</v>
      </c>
      <c r="E1375" t="s">
        <v>105</v>
      </c>
      <c r="F1375" s="158">
        <v>45517.022233796299</v>
      </c>
    </row>
    <row r="1376" spans="2:6" x14ac:dyDescent="0.25">
      <c r="B1376" t="s">
        <v>109</v>
      </c>
      <c r="C1376" t="s">
        <v>105</v>
      </c>
      <c r="D1376" t="s">
        <v>105</v>
      </c>
      <c r="E1376" t="s">
        <v>105</v>
      </c>
      <c r="F1376" s="158">
        <v>45517.022233796299</v>
      </c>
    </row>
    <row r="1377" spans="2:6" x14ac:dyDescent="0.25">
      <c r="B1377" t="s">
        <v>116</v>
      </c>
      <c r="C1377" t="s">
        <v>100</v>
      </c>
      <c r="D1377" t="s">
        <v>100</v>
      </c>
      <c r="E1377" t="s">
        <v>117</v>
      </c>
      <c r="F1377" s="158">
        <v>45517.022233796299</v>
      </c>
    </row>
    <row r="1378" spans="2:6" x14ac:dyDescent="0.25">
      <c r="B1378" t="s">
        <v>118</v>
      </c>
      <c r="C1378" t="s">
        <v>100</v>
      </c>
      <c r="D1378" t="s">
        <v>105</v>
      </c>
      <c r="E1378" t="s">
        <v>105</v>
      </c>
      <c r="F1378" s="158">
        <v>45517.022256944445</v>
      </c>
    </row>
    <row r="1379" spans="2:6" x14ac:dyDescent="0.25">
      <c r="B1379" t="s">
        <v>118</v>
      </c>
      <c r="C1379" t="s">
        <v>106</v>
      </c>
      <c r="D1379" t="s">
        <v>91</v>
      </c>
      <c r="E1379" t="s">
        <v>105</v>
      </c>
      <c r="F1379" s="158">
        <v>45517.022256944445</v>
      </c>
    </row>
    <row r="1380" spans="2:6" x14ac:dyDescent="0.25">
      <c r="B1380" t="s">
        <v>118</v>
      </c>
      <c r="C1380" t="s">
        <v>107</v>
      </c>
      <c r="D1380" t="s">
        <v>92</v>
      </c>
      <c r="E1380" t="s">
        <v>105</v>
      </c>
      <c r="F1380" s="158">
        <v>45517.022256944445</v>
      </c>
    </row>
    <row r="1381" spans="2:6" x14ac:dyDescent="0.25">
      <c r="B1381" t="s">
        <v>111</v>
      </c>
      <c r="C1381" t="s">
        <v>105</v>
      </c>
      <c r="D1381" t="s">
        <v>105</v>
      </c>
      <c r="E1381" t="s">
        <v>105</v>
      </c>
      <c r="F1381" s="158">
        <v>45517.022268518522</v>
      </c>
    </row>
    <row r="1382" spans="2:6" x14ac:dyDescent="0.25">
      <c r="B1382" t="s">
        <v>109</v>
      </c>
      <c r="C1382" t="s">
        <v>105</v>
      </c>
      <c r="D1382" t="s">
        <v>105</v>
      </c>
      <c r="E1382" t="s">
        <v>105</v>
      </c>
      <c r="F1382" s="158">
        <v>45517.022268518522</v>
      </c>
    </row>
    <row r="1383" spans="2:6" x14ac:dyDescent="0.25">
      <c r="B1383" t="s">
        <v>119</v>
      </c>
      <c r="C1383" t="s">
        <v>100</v>
      </c>
      <c r="D1383" t="s">
        <v>100</v>
      </c>
      <c r="E1383" t="s">
        <v>120</v>
      </c>
      <c r="F1383" s="158">
        <v>45517.022268518522</v>
      </c>
    </row>
    <row r="1384" spans="2:6" x14ac:dyDescent="0.25">
      <c r="B1384" t="s">
        <v>121</v>
      </c>
      <c r="C1384" t="s">
        <v>100</v>
      </c>
      <c r="D1384" t="s">
        <v>105</v>
      </c>
      <c r="E1384" t="s">
        <v>105</v>
      </c>
      <c r="F1384" s="158">
        <v>45517.022291666668</v>
      </c>
    </row>
    <row r="1385" spans="2:6" x14ac:dyDescent="0.25">
      <c r="B1385" t="s">
        <v>121</v>
      </c>
      <c r="C1385" t="s">
        <v>106</v>
      </c>
      <c r="D1385" t="s">
        <v>91</v>
      </c>
      <c r="E1385" t="s">
        <v>105</v>
      </c>
      <c r="F1385" s="158">
        <v>45517.022291666668</v>
      </c>
    </row>
    <row r="1386" spans="2:6" x14ac:dyDescent="0.25">
      <c r="B1386" t="s">
        <v>121</v>
      </c>
      <c r="C1386" t="s">
        <v>107</v>
      </c>
      <c r="D1386" t="s">
        <v>92</v>
      </c>
      <c r="E1386" t="s">
        <v>105</v>
      </c>
      <c r="F1386" s="158">
        <v>45517.022303240738</v>
      </c>
    </row>
    <row r="1387" spans="2:6" x14ac:dyDescent="0.25">
      <c r="B1387" t="s">
        <v>111</v>
      </c>
      <c r="C1387" t="s">
        <v>105</v>
      </c>
      <c r="D1387" t="s">
        <v>105</v>
      </c>
      <c r="E1387" t="s">
        <v>105</v>
      </c>
      <c r="F1387" s="158">
        <v>45517.022314814814</v>
      </c>
    </row>
    <row r="1388" spans="2:6" x14ac:dyDescent="0.25">
      <c r="B1388" t="s">
        <v>109</v>
      </c>
      <c r="C1388" t="s">
        <v>105</v>
      </c>
      <c r="D1388" t="s">
        <v>105</v>
      </c>
      <c r="E1388" t="s">
        <v>105</v>
      </c>
      <c r="F1388" s="158">
        <v>45517.022314814814</v>
      </c>
    </row>
    <row r="1389" spans="2:6" x14ac:dyDescent="0.25">
      <c r="B1389" t="s">
        <v>122</v>
      </c>
      <c r="C1389" t="s">
        <v>100</v>
      </c>
      <c r="D1389" t="s">
        <v>100</v>
      </c>
      <c r="E1389" t="s">
        <v>123</v>
      </c>
      <c r="F1389" s="158">
        <v>45517.022314814814</v>
      </c>
    </row>
    <row r="1390" spans="2:6" x14ac:dyDescent="0.25">
      <c r="B1390" t="s">
        <v>124</v>
      </c>
      <c r="C1390" t="s">
        <v>100</v>
      </c>
      <c r="D1390" t="s">
        <v>105</v>
      </c>
      <c r="E1390" t="s">
        <v>105</v>
      </c>
      <c r="F1390" s="158">
        <v>45517.022337962961</v>
      </c>
    </row>
    <row r="1391" spans="2:6" x14ac:dyDescent="0.25">
      <c r="B1391" t="s">
        <v>124</v>
      </c>
      <c r="C1391" t="s">
        <v>106</v>
      </c>
      <c r="D1391" t="s">
        <v>91</v>
      </c>
      <c r="E1391" t="s">
        <v>105</v>
      </c>
      <c r="F1391" s="158">
        <v>45517.022337962961</v>
      </c>
    </row>
    <row r="1392" spans="2:6" x14ac:dyDescent="0.25">
      <c r="B1392" t="s">
        <v>124</v>
      </c>
      <c r="C1392" t="s">
        <v>107</v>
      </c>
      <c r="D1392" t="s">
        <v>92</v>
      </c>
      <c r="E1392" t="s">
        <v>105</v>
      </c>
      <c r="F1392" s="158">
        <v>45517.022337962961</v>
      </c>
    </row>
    <row r="1393" spans="2:6" x14ac:dyDescent="0.25">
      <c r="B1393" t="s">
        <v>111</v>
      </c>
      <c r="C1393" t="s">
        <v>105</v>
      </c>
      <c r="D1393" t="s">
        <v>105</v>
      </c>
      <c r="E1393" t="s">
        <v>105</v>
      </c>
      <c r="F1393" s="158">
        <v>45517.022349537037</v>
      </c>
    </row>
    <row r="1394" spans="2:6" x14ac:dyDescent="0.25">
      <c r="B1394" t="s">
        <v>109</v>
      </c>
      <c r="C1394" t="s">
        <v>105</v>
      </c>
      <c r="D1394" t="s">
        <v>105</v>
      </c>
      <c r="E1394" t="s">
        <v>105</v>
      </c>
      <c r="F1394" s="158">
        <v>45517.022349537037</v>
      </c>
    </row>
    <row r="1395" spans="2:6" x14ac:dyDescent="0.25">
      <c r="B1395" t="s">
        <v>125</v>
      </c>
      <c r="C1395" t="s">
        <v>100</v>
      </c>
      <c r="D1395" t="s">
        <v>100</v>
      </c>
      <c r="E1395" t="s">
        <v>126</v>
      </c>
      <c r="F1395" s="158">
        <v>45517.022349537037</v>
      </c>
    </row>
    <row r="1396" spans="2:6" x14ac:dyDescent="0.25">
      <c r="B1396" t="s">
        <v>127</v>
      </c>
      <c r="C1396" t="s">
        <v>100</v>
      </c>
      <c r="D1396" t="s">
        <v>105</v>
      </c>
      <c r="E1396" t="s">
        <v>105</v>
      </c>
      <c r="F1396" s="158">
        <v>45517.022372685184</v>
      </c>
    </row>
    <row r="1397" spans="2:6" x14ac:dyDescent="0.25">
      <c r="B1397" t="s">
        <v>127</v>
      </c>
      <c r="C1397" t="s">
        <v>106</v>
      </c>
      <c r="D1397" t="s">
        <v>91</v>
      </c>
      <c r="E1397" t="s">
        <v>105</v>
      </c>
      <c r="F1397" s="158">
        <v>45517.022372685184</v>
      </c>
    </row>
    <row r="1398" spans="2:6" x14ac:dyDescent="0.25">
      <c r="B1398" t="s">
        <v>127</v>
      </c>
      <c r="C1398" t="s">
        <v>107</v>
      </c>
      <c r="D1398" t="s">
        <v>92</v>
      </c>
      <c r="E1398" t="s">
        <v>105</v>
      </c>
      <c r="F1398" s="158">
        <v>45517.022372685184</v>
      </c>
    </row>
    <row r="1399" spans="2:6" x14ac:dyDescent="0.25">
      <c r="B1399" t="s">
        <v>111</v>
      </c>
      <c r="C1399" t="s">
        <v>105</v>
      </c>
      <c r="D1399" t="s">
        <v>105</v>
      </c>
      <c r="E1399" t="s">
        <v>105</v>
      </c>
      <c r="F1399" s="158">
        <v>45517.02238425926</v>
      </c>
    </row>
    <row r="1400" spans="2:6" x14ac:dyDescent="0.25">
      <c r="B1400" t="s">
        <v>109</v>
      </c>
      <c r="C1400" t="s">
        <v>105</v>
      </c>
      <c r="D1400" t="s">
        <v>105</v>
      </c>
      <c r="E1400" t="s">
        <v>105</v>
      </c>
      <c r="F1400" s="158">
        <v>45517.02238425926</v>
      </c>
    </row>
    <row r="1401" spans="2:6" x14ac:dyDescent="0.25">
      <c r="B1401" t="s">
        <v>128</v>
      </c>
      <c r="C1401" t="s">
        <v>100</v>
      </c>
      <c r="D1401" t="s">
        <v>100</v>
      </c>
      <c r="E1401" t="s">
        <v>129</v>
      </c>
      <c r="F1401" s="158">
        <v>45517.02238425926</v>
      </c>
    </row>
    <row r="1402" spans="2:6" x14ac:dyDescent="0.25">
      <c r="B1402" t="s">
        <v>130</v>
      </c>
      <c r="C1402" t="s">
        <v>100</v>
      </c>
      <c r="D1402" t="s">
        <v>105</v>
      </c>
      <c r="E1402" t="s">
        <v>105</v>
      </c>
      <c r="F1402" s="158">
        <v>45517.022407407407</v>
      </c>
    </row>
    <row r="1403" spans="2:6" x14ac:dyDescent="0.25">
      <c r="B1403" t="s">
        <v>130</v>
      </c>
      <c r="C1403" t="s">
        <v>106</v>
      </c>
      <c r="D1403" t="s">
        <v>91</v>
      </c>
      <c r="E1403" t="s">
        <v>105</v>
      </c>
      <c r="F1403" s="158">
        <v>45517.022407407407</v>
      </c>
    </row>
    <row r="1404" spans="2:6" x14ac:dyDescent="0.25">
      <c r="B1404" t="s">
        <v>130</v>
      </c>
      <c r="C1404" t="s">
        <v>107</v>
      </c>
      <c r="D1404" t="s">
        <v>92</v>
      </c>
      <c r="E1404" t="s">
        <v>105</v>
      </c>
      <c r="F1404" s="158">
        <v>45517.022407407407</v>
      </c>
    </row>
    <row r="1405" spans="2:6" x14ac:dyDescent="0.25">
      <c r="B1405" t="s">
        <v>111</v>
      </c>
      <c r="C1405" t="s">
        <v>105</v>
      </c>
      <c r="D1405" t="s">
        <v>105</v>
      </c>
      <c r="E1405" t="s">
        <v>105</v>
      </c>
      <c r="F1405" s="158">
        <v>45517.022418981483</v>
      </c>
    </row>
    <row r="1406" spans="2:6" x14ac:dyDescent="0.25">
      <c r="B1406" t="s">
        <v>109</v>
      </c>
      <c r="C1406" t="s">
        <v>105</v>
      </c>
      <c r="D1406" t="s">
        <v>105</v>
      </c>
      <c r="E1406" t="s">
        <v>105</v>
      </c>
      <c r="F1406" s="158">
        <v>45517.022418981483</v>
      </c>
    </row>
    <row r="1407" spans="2:6" x14ac:dyDescent="0.25">
      <c r="B1407" t="s">
        <v>131</v>
      </c>
      <c r="C1407" t="s">
        <v>100</v>
      </c>
      <c r="D1407" t="s">
        <v>100</v>
      </c>
      <c r="E1407" t="s">
        <v>132</v>
      </c>
      <c r="F1407" s="158">
        <v>45517.022418981483</v>
      </c>
    </row>
    <row r="1408" spans="2:6" x14ac:dyDescent="0.25">
      <c r="B1408" t="s">
        <v>133</v>
      </c>
      <c r="C1408" t="s">
        <v>100</v>
      </c>
      <c r="D1408" t="s">
        <v>105</v>
      </c>
      <c r="E1408" t="s">
        <v>105</v>
      </c>
      <c r="F1408" s="158">
        <v>45517.022453703707</v>
      </c>
    </row>
    <row r="1409" spans="2:6" x14ac:dyDescent="0.25">
      <c r="B1409" t="s">
        <v>133</v>
      </c>
      <c r="C1409" t="s">
        <v>106</v>
      </c>
      <c r="D1409" t="s">
        <v>91</v>
      </c>
      <c r="E1409" t="s">
        <v>105</v>
      </c>
      <c r="F1409" s="158">
        <v>45517.022453703707</v>
      </c>
    </row>
    <row r="1410" spans="2:6" x14ac:dyDescent="0.25">
      <c r="B1410" t="s">
        <v>133</v>
      </c>
      <c r="C1410" t="s">
        <v>107</v>
      </c>
      <c r="D1410" t="s">
        <v>92</v>
      </c>
      <c r="E1410" t="s">
        <v>105</v>
      </c>
      <c r="F1410" s="158">
        <v>45517.022453703707</v>
      </c>
    </row>
    <row r="1411" spans="2:6" x14ac:dyDescent="0.25">
      <c r="B1411" t="s">
        <v>111</v>
      </c>
      <c r="C1411" t="s">
        <v>105</v>
      </c>
      <c r="D1411" t="s">
        <v>105</v>
      </c>
      <c r="E1411" t="s">
        <v>105</v>
      </c>
      <c r="F1411" s="158">
        <v>45517.022465277776</v>
      </c>
    </row>
    <row r="1412" spans="2:6" x14ac:dyDescent="0.25">
      <c r="B1412" t="s">
        <v>108</v>
      </c>
      <c r="C1412" t="s">
        <v>105</v>
      </c>
      <c r="D1412" t="s">
        <v>105</v>
      </c>
      <c r="E1412" t="s">
        <v>105</v>
      </c>
      <c r="F1412" s="158">
        <v>45517.022986111115</v>
      </c>
    </row>
    <row r="1413" spans="2:6" x14ac:dyDescent="0.25">
      <c r="B1413" t="s">
        <v>109</v>
      </c>
      <c r="C1413" t="s">
        <v>105</v>
      </c>
      <c r="D1413" t="s">
        <v>105</v>
      </c>
      <c r="E1413" t="s">
        <v>105</v>
      </c>
      <c r="F1413" s="158">
        <v>45517.022986111115</v>
      </c>
    </row>
    <row r="1414" spans="2:6" x14ac:dyDescent="0.25">
      <c r="B1414" t="s">
        <v>110</v>
      </c>
      <c r="C1414" t="s">
        <v>105</v>
      </c>
      <c r="D1414" t="s">
        <v>92</v>
      </c>
      <c r="E1414" t="s">
        <v>105</v>
      </c>
      <c r="F1414" s="158">
        <v>45517.022986111115</v>
      </c>
    </row>
    <row r="1415" spans="2:6" x14ac:dyDescent="0.25">
      <c r="B1415" t="s">
        <v>110</v>
      </c>
      <c r="C1415" t="s">
        <v>105</v>
      </c>
      <c r="D1415" t="s">
        <v>91</v>
      </c>
      <c r="E1415" t="s">
        <v>105</v>
      </c>
      <c r="F1415" s="158">
        <v>45517.022986111115</v>
      </c>
    </row>
    <row r="1416" spans="2:6" x14ac:dyDescent="0.25">
      <c r="B1416" t="s">
        <v>108</v>
      </c>
      <c r="C1416" t="s">
        <v>105</v>
      </c>
      <c r="D1416" t="s">
        <v>105</v>
      </c>
      <c r="E1416" t="s">
        <v>105</v>
      </c>
      <c r="F1416" s="158">
        <v>45517.025787037041</v>
      </c>
    </row>
    <row r="1417" spans="2:6" x14ac:dyDescent="0.25">
      <c r="B1417" t="s">
        <v>109</v>
      </c>
      <c r="C1417" t="s">
        <v>105</v>
      </c>
      <c r="D1417" t="s">
        <v>105</v>
      </c>
      <c r="E1417" t="s">
        <v>105</v>
      </c>
      <c r="F1417" s="158">
        <v>45517.025787037041</v>
      </c>
    </row>
    <row r="1418" spans="2:6" x14ac:dyDescent="0.25">
      <c r="B1418" t="s">
        <v>110</v>
      </c>
      <c r="C1418" t="s">
        <v>105</v>
      </c>
      <c r="D1418" t="s">
        <v>92</v>
      </c>
      <c r="E1418" t="s">
        <v>105</v>
      </c>
      <c r="F1418" s="158">
        <v>45517.025787037041</v>
      </c>
    </row>
    <row r="1419" spans="2:6" x14ac:dyDescent="0.25">
      <c r="B1419" t="s">
        <v>110</v>
      </c>
      <c r="C1419" t="s">
        <v>105</v>
      </c>
      <c r="D1419" t="s">
        <v>91</v>
      </c>
      <c r="E1419" t="s">
        <v>105</v>
      </c>
      <c r="F1419" s="158">
        <v>45517.025787037041</v>
      </c>
    </row>
    <row r="1420" spans="2:6" x14ac:dyDescent="0.25">
      <c r="B1420" t="s">
        <v>113</v>
      </c>
      <c r="C1420" t="s">
        <v>105</v>
      </c>
      <c r="D1420" t="s">
        <v>105</v>
      </c>
      <c r="E1420" t="s">
        <v>143</v>
      </c>
      <c r="F1420" s="158">
        <v>45517.025856481479</v>
      </c>
    </row>
    <row r="1421" spans="2:6" x14ac:dyDescent="0.25">
      <c r="B1421" t="s">
        <v>113</v>
      </c>
      <c r="C1421" t="s">
        <v>105</v>
      </c>
      <c r="D1421" t="s">
        <v>105</v>
      </c>
      <c r="E1421" t="s">
        <v>114</v>
      </c>
      <c r="F1421" s="158">
        <v>45517.025925925926</v>
      </c>
    </row>
    <row r="1422" spans="2:6" x14ac:dyDescent="0.25">
      <c r="B1422" t="s">
        <v>111</v>
      </c>
      <c r="C1422" t="s">
        <v>105</v>
      </c>
      <c r="D1422" t="s">
        <v>105</v>
      </c>
      <c r="E1422" t="s">
        <v>105</v>
      </c>
      <c r="F1422" s="158">
        <v>45517.025925925926</v>
      </c>
    </row>
    <row r="1423" spans="2:6" x14ac:dyDescent="0.25">
      <c r="B1423" t="s">
        <v>113</v>
      </c>
      <c r="C1423" t="s">
        <v>105</v>
      </c>
      <c r="D1423" t="s">
        <v>105</v>
      </c>
      <c r="E1423" t="s">
        <v>114</v>
      </c>
      <c r="F1423" s="158">
        <v>45517.026805555557</v>
      </c>
    </row>
    <row r="1424" spans="2:6" x14ac:dyDescent="0.25">
      <c r="B1424" t="s">
        <v>111</v>
      </c>
      <c r="C1424" t="s">
        <v>105</v>
      </c>
      <c r="D1424" t="s">
        <v>105</v>
      </c>
      <c r="E1424" t="s">
        <v>105</v>
      </c>
      <c r="F1424" s="158">
        <v>45517.026805555557</v>
      </c>
    </row>
    <row r="1425" spans="2:6" x14ac:dyDescent="0.25">
      <c r="B1425" t="s">
        <v>113</v>
      </c>
      <c r="C1425" t="s">
        <v>105</v>
      </c>
      <c r="D1425" t="s">
        <v>105</v>
      </c>
      <c r="E1425" t="s">
        <v>114</v>
      </c>
      <c r="F1425" s="158">
        <v>45517.027395833335</v>
      </c>
    </row>
    <row r="1426" spans="2:6" x14ac:dyDescent="0.25">
      <c r="B1426" t="s">
        <v>111</v>
      </c>
      <c r="C1426" t="s">
        <v>105</v>
      </c>
      <c r="D1426" t="s">
        <v>105</v>
      </c>
      <c r="E1426" t="s">
        <v>105</v>
      </c>
      <c r="F1426" s="158">
        <v>45517.027395833335</v>
      </c>
    </row>
    <row r="1427" spans="2:6" x14ac:dyDescent="0.25">
      <c r="B1427" t="s">
        <v>113</v>
      </c>
      <c r="C1427" t="s">
        <v>105</v>
      </c>
      <c r="D1427" t="s">
        <v>105</v>
      </c>
      <c r="E1427" t="s">
        <v>114</v>
      </c>
      <c r="F1427" s="158">
        <v>45517.02753472222</v>
      </c>
    </row>
    <row r="1428" spans="2:6" x14ac:dyDescent="0.25">
      <c r="B1428" t="s">
        <v>111</v>
      </c>
      <c r="C1428" t="s">
        <v>105</v>
      </c>
      <c r="D1428" t="s">
        <v>105</v>
      </c>
      <c r="E1428" t="s">
        <v>105</v>
      </c>
      <c r="F1428" s="158">
        <v>45517.02753472222</v>
      </c>
    </row>
    <row r="1429" spans="2:6" x14ac:dyDescent="0.25">
      <c r="B1429" t="s">
        <v>109</v>
      </c>
      <c r="C1429" t="s">
        <v>105</v>
      </c>
      <c r="D1429" t="s">
        <v>105</v>
      </c>
      <c r="E1429" t="s">
        <v>105</v>
      </c>
      <c r="F1429" s="158">
        <v>45517.02753472222</v>
      </c>
    </row>
    <row r="1430" spans="2:6" x14ac:dyDescent="0.25">
      <c r="B1430" t="s">
        <v>115</v>
      </c>
      <c r="C1430" t="s">
        <v>100</v>
      </c>
      <c r="D1430" t="s">
        <v>100</v>
      </c>
      <c r="E1430" t="s">
        <v>103</v>
      </c>
      <c r="F1430" s="158">
        <v>45517.02753472222</v>
      </c>
    </row>
    <row r="1431" spans="2:6" x14ac:dyDescent="0.25">
      <c r="B1431" t="s">
        <v>104</v>
      </c>
      <c r="C1431" t="s">
        <v>100</v>
      </c>
      <c r="D1431" t="s">
        <v>105</v>
      </c>
      <c r="E1431" t="s">
        <v>105</v>
      </c>
      <c r="F1431" s="158">
        <v>45517.027557870373</v>
      </c>
    </row>
    <row r="1432" spans="2:6" x14ac:dyDescent="0.25">
      <c r="B1432" t="s">
        <v>104</v>
      </c>
      <c r="C1432" t="s">
        <v>106</v>
      </c>
      <c r="D1432" t="s">
        <v>91</v>
      </c>
      <c r="E1432" t="s">
        <v>105</v>
      </c>
      <c r="F1432" s="158">
        <v>45517.027557870373</v>
      </c>
    </row>
    <row r="1433" spans="2:6" x14ac:dyDescent="0.25">
      <c r="B1433" t="s">
        <v>104</v>
      </c>
      <c r="C1433" t="s">
        <v>107</v>
      </c>
      <c r="D1433" t="s">
        <v>92</v>
      </c>
      <c r="E1433" t="s">
        <v>105</v>
      </c>
      <c r="F1433" s="158">
        <v>45517.027557870373</v>
      </c>
    </row>
    <row r="1434" spans="2:6" x14ac:dyDescent="0.25">
      <c r="B1434" t="s">
        <v>111</v>
      </c>
      <c r="C1434" t="s">
        <v>105</v>
      </c>
      <c r="D1434" t="s">
        <v>105</v>
      </c>
      <c r="E1434" t="s">
        <v>105</v>
      </c>
      <c r="F1434" s="158">
        <v>45517.027569444443</v>
      </c>
    </row>
    <row r="1435" spans="2:6" x14ac:dyDescent="0.25">
      <c r="B1435" t="s">
        <v>109</v>
      </c>
      <c r="C1435" t="s">
        <v>105</v>
      </c>
      <c r="D1435" t="s">
        <v>105</v>
      </c>
      <c r="E1435" t="s">
        <v>105</v>
      </c>
      <c r="F1435" s="158">
        <v>45517.027569444443</v>
      </c>
    </row>
    <row r="1436" spans="2:6" x14ac:dyDescent="0.25">
      <c r="B1436" t="s">
        <v>116</v>
      </c>
      <c r="C1436" t="s">
        <v>100</v>
      </c>
      <c r="D1436" t="s">
        <v>100</v>
      </c>
      <c r="E1436" t="s">
        <v>117</v>
      </c>
      <c r="F1436" s="158">
        <v>45517.027569444443</v>
      </c>
    </row>
    <row r="1437" spans="2:6" x14ac:dyDescent="0.25">
      <c r="B1437" t="s">
        <v>118</v>
      </c>
      <c r="C1437" t="s">
        <v>100</v>
      </c>
      <c r="D1437" t="s">
        <v>105</v>
      </c>
      <c r="E1437" t="s">
        <v>105</v>
      </c>
      <c r="F1437" s="158">
        <v>45517.027581018519</v>
      </c>
    </row>
    <row r="1438" spans="2:6" x14ac:dyDescent="0.25">
      <c r="B1438" t="s">
        <v>118</v>
      </c>
      <c r="C1438" t="s">
        <v>106</v>
      </c>
      <c r="D1438" t="s">
        <v>91</v>
      </c>
      <c r="E1438" t="s">
        <v>105</v>
      </c>
      <c r="F1438" s="158">
        <v>45517.027581018519</v>
      </c>
    </row>
    <row r="1439" spans="2:6" x14ac:dyDescent="0.25">
      <c r="B1439" t="s">
        <v>118</v>
      </c>
      <c r="C1439" t="s">
        <v>107</v>
      </c>
      <c r="D1439" t="s">
        <v>92</v>
      </c>
      <c r="E1439" t="s">
        <v>105</v>
      </c>
      <c r="F1439" s="158">
        <v>45517.027592592596</v>
      </c>
    </row>
    <row r="1440" spans="2:6" x14ac:dyDescent="0.25">
      <c r="B1440" t="s">
        <v>111</v>
      </c>
      <c r="C1440" t="s">
        <v>105</v>
      </c>
      <c r="D1440" t="s">
        <v>105</v>
      </c>
      <c r="E1440" t="s">
        <v>105</v>
      </c>
      <c r="F1440" s="158">
        <v>45517.027592592596</v>
      </c>
    </row>
    <row r="1441" spans="2:6" x14ac:dyDescent="0.25">
      <c r="B1441" t="s">
        <v>109</v>
      </c>
      <c r="C1441" t="s">
        <v>105</v>
      </c>
      <c r="D1441" t="s">
        <v>105</v>
      </c>
      <c r="E1441" t="s">
        <v>105</v>
      </c>
      <c r="F1441" s="158">
        <v>45517.027592592596</v>
      </c>
    </row>
    <row r="1442" spans="2:6" x14ac:dyDescent="0.25">
      <c r="B1442" t="s">
        <v>119</v>
      </c>
      <c r="C1442" t="s">
        <v>100</v>
      </c>
      <c r="D1442" t="s">
        <v>100</v>
      </c>
      <c r="E1442" t="s">
        <v>120</v>
      </c>
      <c r="F1442" s="158">
        <v>45517.027592592596</v>
      </c>
    </row>
    <row r="1443" spans="2:6" x14ac:dyDescent="0.25">
      <c r="B1443" t="s">
        <v>121</v>
      </c>
      <c r="C1443" t="s">
        <v>100</v>
      </c>
      <c r="D1443" t="s">
        <v>105</v>
      </c>
      <c r="E1443" t="s">
        <v>105</v>
      </c>
      <c r="F1443" s="158">
        <v>45517.027615740742</v>
      </c>
    </row>
    <row r="1444" spans="2:6" x14ac:dyDescent="0.25">
      <c r="B1444" t="s">
        <v>121</v>
      </c>
      <c r="C1444" t="s">
        <v>106</v>
      </c>
      <c r="D1444" t="s">
        <v>91</v>
      </c>
      <c r="E1444" t="s">
        <v>105</v>
      </c>
      <c r="F1444" s="158">
        <v>45517.027615740742</v>
      </c>
    </row>
    <row r="1445" spans="2:6" x14ac:dyDescent="0.25">
      <c r="B1445" t="s">
        <v>121</v>
      </c>
      <c r="C1445" t="s">
        <v>107</v>
      </c>
      <c r="D1445" t="s">
        <v>92</v>
      </c>
      <c r="E1445" t="s">
        <v>105</v>
      </c>
      <c r="F1445" s="158">
        <v>45517.027627314812</v>
      </c>
    </row>
    <row r="1446" spans="2:6" x14ac:dyDescent="0.25">
      <c r="B1446" t="s">
        <v>111</v>
      </c>
      <c r="C1446" t="s">
        <v>105</v>
      </c>
      <c r="D1446" t="s">
        <v>105</v>
      </c>
      <c r="E1446" t="s">
        <v>105</v>
      </c>
      <c r="F1446" s="158">
        <v>45517.027627314812</v>
      </c>
    </row>
    <row r="1447" spans="2:6" x14ac:dyDescent="0.25">
      <c r="B1447" t="s">
        <v>109</v>
      </c>
      <c r="C1447" t="s">
        <v>105</v>
      </c>
      <c r="D1447" t="s">
        <v>105</v>
      </c>
      <c r="E1447" t="s">
        <v>105</v>
      </c>
      <c r="F1447" s="158">
        <v>45517.027627314812</v>
      </c>
    </row>
    <row r="1448" spans="2:6" x14ac:dyDescent="0.25">
      <c r="B1448" t="s">
        <v>122</v>
      </c>
      <c r="C1448" t="s">
        <v>100</v>
      </c>
      <c r="D1448" t="s">
        <v>100</v>
      </c>
      <c r="E1448" t="s">
        <v>123</v>
      </c>
      <c r="F1448" s="158">
        <v>45517.027627314812</v>
      </c>
    </row>
    <row r="1449" spans="2:6" x14ac:dyDescent="0.25">
      <c r="B1449" t="s">
        <v>124</v>
      </c>
      <c r="C1449" t="s">
        <v>100</v>
      </c>
      <c r="D1449" t="s">
        <v>105</v>
      </c>
      <c r="E1449" t="s">
        <v>105</v>
      </c>
      <c r="F1449" s="158">
        <v>45517.027650462966</v>
      </c>
    </row>
    <row r="1450" spans="2:6" x14ac:dyDescent="0.25">
      <c r="B1450" t="s">
        <v>124</v>
      </c>
      <c r="C1450" t="s">
        <v>106</v>
      </c>
      <c r="D1450" t="s">
        <v>91</v>
      </c>
      <c r="E1450" t="s">
        <v>105</v>
      </c>
      <c r="F1450" s="158">
        <v>45517.027650462966</v>
      </c>
    </row>
    <row r="1451" spans="2:6" x14ac:dyDescent="0.25">
      <c r="B1451" t="s">
        <v>124</v>
      </c>
      <c r="C1451" t="s">
        <v>107</v>
      </c>
      <c r="D1451" t="s">
        <v>92</v>
      </c>
      <c r="E1451" t="s">
        <v>105</v>
      </c>
      <c r="F1451" s="158">
        <v>45517.027650462966</v>
      </c>
    </row>
    <row r="1452" spans="2:6" x14ac:dyDescent="0.25">
      <c r="B1452" t="s">
        <v>111</v>
      </c>
      <c r="C1452" t="s">
        <v>105</v>
      </c>
      <c r="D1452" t="s">
        <v>105</v>
      </c>
      <c r="E1452" t="s">
        <v>105</v>
      </c>
      <c r="F1452" s="158">
        <v>45517.027662037035</v>
      </c>
    </row>
    <row r="1453" spans="2:6" x14ac:dyDescent="0.25">
      <c r="B1453" t="s">
        <v>109</v>
      </c>
      <c r="C1453" t="s">
        <v>105</v>
      </c>
      <c r="D1453" t="s">
        <v>105</v>
      </c>
      <c r="E1453" t="s">
        <v>105</v>
      </c>
      <c r="F1453" s="158">
        <v>45517.027662037035</v>
      </c>
    </row>
    <row r="1454" spans="2:6" x14ac:dyDescent="0.25">
      <c r="B1454" t="s">
        <v>125</v>
      </c>
      <c r="C1454" t="s">
        <v>100</v>
      </c>
      <c r="D1454" t="s">
        <v>100</v>
      </c>
      <c r="E1454" t="s">
        <v>126</v>
      </c>
      <c r="F1454" s="158">
        <v>45517.027662037035</v>
      </c>
    </row>
    <row r="1455" spans="2:6" x14ac:dyDescent="0.25">
      <c r="B1455" t="s">
        <v>127</v>
      </c>
      <c r="C1455" t="s">
        <v>100</v>
      </c>
      <c r="D1455" t="s">
        <v>105</v>
      </c>
      <c r="E1455" t="s">
        <v>105</v>
      </c>
      <c r="F1455" s="158">
        <v>45517.027685185189</v>
      </c>
    </row>
    <row r="1456" spans="2:6" x14ac:dyDescent="0.25">
      <c r="B1456" t="s">
        <v>127</v>
      </c>
      <c r="C1456" t="s">
        <v>106</v>
      </c>
      <c r="D1456" t="s">
        <v>91</v>
      </c>
      <c r="E1456" t="s">
        <v>105</v>
      </c>
      <c r="F1456" s="158">
        <v>45517.027685185189</v>
      </c>
    </row>
    <row r="1457" spans="2:6" x14ac:dyDescent="0.25">
      <c r="B1457" t="s">
        <v>127</v>
      </c>
      <c r="C1457" t="s">
        <v>107</v>
      </c>
      <c r="D1457" t="s">
        <v>92</v>
      </c>
      <c r="E1457" t="s">
        <v>105</v>
      </c>
      <c r="F1457" s="158">
        <v>45517.027685185189</v>
      </c>
    </row>
    <row r="1458" spans="2:6" x14ac:dyDescent="0.25">
      <c r="B1458" t="s">
        <v>111</v>
      </c>
      <c r="C1458" t="s">
        <v>105</v>
      </c>
      <c r="D1458" t="s">
        <v>105</v>
      </c>
      <c r="E1458" t="s">
        <v>105</v>
      </c>
      <c r="F1458" s="158">
        <v>45517.027685185189</v>
      </c>
    </row>
    <row r="1459" spans="2:6" x14ac:dyDescent="0.25">
      <c r="B1459" t="s">
        <v>109</v>
      </c>
      <c r="C1459" t="s">
        <v>105</v>
      </c>
      <c r="D1459" t="s">
        <v>105</v>
      </c>
      <c r="E1459" t="s">
        <v>105</v>
      </c>
      <c r="F1459" s="158">
        <v>45517.027696759258</v>
      </c>
    </row>
    <row r="1460" spans="2:6" x14ac:dyDescent="0.25">
      <c r="B1460" t="s">
        <v>128</v>
      </c>
      <c r="C1460" t="s">
        <v>100</v>
      </c>
      <c r="D1460" t="s">
        <v>100</v>
      </c>
      <c r="E1460" t="s">
        <v>129</v>
      </c>
      <c r="F1460" s="158">
        <v>45517.027696759258</v>
      </c>
    </row>
    <row r="1461" spans="2:6" x14ac:dyDescent="0.25">
      <c r="B1461" t="s">
        <v>130</v>
      </c>
      <c r="C1461" t="s">
        <v>100</v>
      </c>
      <c r="D1461" t="s">
        <v>105</v>
      </c>
      <c r="E1461" t="s">
        <v>105</v>
      </c>
      <c r="F1461" s="158">
        <v>45517.027708333335</v>
      </c>
    </row>
    <row r="1462" spans="2:6" x14ac:dyDescent="0.25">
      <c r="B1462" t="s">
        <v>130</v>
      </c>
      <c r="C1462" t="s">
        <v>106</v>
      </c>
      <c r="D1462" t="s">
        <v>91</v>
      </c>
      <c r="E1462" t="s">
        <v>105</v>
      </c>
      <c r="F1462" s="158">
        <v>45517.027708333335</v>
      </c>
    </row>
    <row r="1463" spans="2:6" x14ac:dyDescent="0.25">
      <c r="B1463" t="s">
        <v>130</v>
      </c>
      <c r="C1463" t="s">
        <v>107</v>
      </c>
      <c r="D1463" t="s">
        <v>92</v>
      </c>
      <c r="E1463" t="s">
        <v>105</v>
      </c>
      <c r="F1463" s="158">
        <v>45517.027708333335</v>
      </c>
    </row>
    <row r="1464" spans="2:6" x14ac:dyDescent="0.25">
      <c r="B1464" t="s">
        <v>111</v>
      </c>
      <c r="C1464" t="s">
        <v>105</v>
      </c>
      <c r="D1464" t="s">
        <v>105</v>
      </c>
      <c r="E1464" t="s">
        <v>105</v>
      </c>
      <c r="F1464" s="158">
        <v>45517.027719907404</v>
      </c>
    </row>
    <row r="1465" spans="2:6" x14ac:dyDescent="0.25">
      <c r="B1465" t="s">
        <v>109</v>
      </c>
      <c r="C1465" t="s">
        <v>105</v>
      </c>
      <c r="D1465" t="s">
        <v>105</v>
      </c>
      <c r="E1465" t="s">
        <v>105</v>
      </c>
      <c r="F1465" s="158">
        <v>45517.027719907404</v>
      </c>
    </row>
    <row r="1466" spans="2:6" x14ac:dyDescent="0.25">
      <c r="B1466" t="s">
        <v>131</v>
      </c>
      <c r="C1466" t="s">
        <v>100</v>
      </c>
      <c r="D1466" t="s">
        <v>100</v>
      </c>
      <c r="E1466" t="s">
        <v>132</v>
      </c>
      <c r="F1466" s="158">
        <v>45517.027719907404</v>
      </c>
    </row>
    <row r="1467" spans="2:6" x14ac:dyDescent="0.25">
      <c r="B1467" t="s">
        <v>133</v>
      </c>
      <c r="C1467" t="s">
        <v>100</v>
      </c>
      <c r="D1467" t="s">
        <v>105</v>
      </c>
      <c r="E1467" t="s">
        <v>105</v>
      </c>
      <c r="F1467" s="158">
        <v>45517.027743055558</v>
      </c>
    </row>
    <row r="1468" spans="2:6" x14ac:dyDescent="0.25">
      <c r="B1468" t="s">
        <v>133</v>
      </c>
      <c r="C1468" t="s">
        <v>106</v>
      </c>
      <c r="D1468" t="s">
        <v>91</v>
      </c>
      <c r="E1468" t="s">
        <v>105</v>
      </c>
      <c r="F1468" s="158">
        <v>45517.027743055558</v>
      </c>
    </row>
    <row r="1469" spans="2:6" x14ac:dyDescent="0.25">
      <c r="B1469" t="s">
        <v>133</v>
      </c>
      <c r="C1469" t="s">
        <v>107</v>
      </c>
      <c r="D1469" t="s">
        <v>92</v>
      </c>
      <c r="E1469" t="s">
        <v>105</v>
      </c>
      <c r="F1469" s="158">
        <v>45517.027743055558</v>
      </c>
    </row>
    <row r="1470" spans="2:6" x14ac:dyDescent="0.25">
      <c r="B1470" t="s">
        <v>111</v>
      </c>
      <c r="C1470" t="s">
        <v>105</v>
      </c>
      <c r="D1470" t="s">
        <v>105</v>
      </c>
      <c r="E1470" t="s">
        <v>105</v>
      </c>
      <c r="F1470" s="158">
        <v>45517.027754629627</v>
      </c>
    </row>
    <row r="1471" spans="2:6" x14ac:dyDescent="0.25">
      <c r="B1471" t="s">
        <v>108</v>
      </c>
      <c r="C1471" t="s">
        <v>105</v>
      </c>
      <c r="D1471" t="s">
        <v>105</v>
      </c>
      <c r="E1471" t="s">
        <v>105</v>
      </c>
      <c r="F1471" s="158">
        <v>45517.027928240743</v>
      </c>
    </row>
    <row r="1472" spans="2:6" x14ac:dyDescent="0.25">
      <c r="B1472" t="s">
        <v>109</v>
      </c>
      <c r="C1472" t="s">
        <v>105</v>
      </c>
      <c r="D1472" t="s">
        <v>105</v>
      </c>
      <c r="E1472" t="s">
        <v>105</v>
      </c>
      <c r="F1472" s="158">
        <v>45517.027939814812</v>
      </c>
    </row>
    <row r="1473" spans="2:6" x14ac:dyDescent="0.25">
      <c r="B1473" t="s">
        <v>110</v>
      </c>
      <c r="C1473" t="s">
        <v>105</v>
      </c>
      <c r="D1473" t="s">
        <v>92</v>
      </c>
      <c r="E1473" t="s">
        <v>105</v>
      </c>
      <c r="F1473" s="158">
        <v>45517.027939814812</v>
      </c>
    </row>
    <row r="1474" spans="2:6" x14ac:dyDescent="0.25">
      <c r="B1474" t="s">
        <v>110</v>
      </c>
      <c r="C1474" t="s">
        <v>105</v>
      </c>
      <c r="D1474" t="s">
        <v>91</v>
      </c>
      <c r="E1474" t="s">
        <v>105</v>
      </c>
      <c r="F1474" s="158">
        <v>45517.027939814812</v>
      </c>
    </row>
    <row r="1475" spans="2:6" x14ac:dyDescent="0.25">
      <c r="B1475" t="s">
        <v>113</v>
      </c>
      <c r="C1475" t="s">
        <v>105</v>
      </c>
      <c r="D1475" t="s">
        <v>105</v>
      </c>
      <c r="E1475" t="s">
        <v>114</v>
      </c>
      <c r="F1475" s="158">
        <v>45517.030069444445</v>
      </c>
    </row>
    <row r="1476" spans="2:6" x14ac:dyDescent="0.25">
      <c r="B1476" t="s">
        <v>111</v>
      </c>
      <c r="C1476" t="s">
        <v>105</v>
      </c>
      <c r="D1476" t="s">
        <v>105</v>
      </c>
      <c r="E1476" t="s">
        <v>105</v>
      </c>
      <c r="F1476" s="158">
        <v>45517.030069444445</v>
      </c>
    </row>
    <row r="1477" spans="2:6" x14ac:dyDescent="0.25">
      <c r="B1477" t="s">
        <v>109</v>
      </c>
      <c r="C1477" t="s">
        <v>105</v>
      </c>
      <c r="D1477" t="s">
        <v>105</v>
      </c>
      <c r="E1477" t="s">
        <v>105</v>
      </c>
      <c r="F1477" s="158">
        <v>45517.030069444445</v>
      </c>
    </row>
    <row r="1478" spans="2:6" x14ac:dyDescent="0.25">
      <c r="B1478" t="s">
        <v>115</v>
      </c>
      <c r="C1478" t="s">
        <v>100</v>
      </c>
      <c r="D1478" t="s">
        <v>100</v>
      </c>
      <c r="E1478" t="s">
        <v>103</v>
      </c>
      <c r="F1478" s="158">
        <v>45517.030069444445</v>
      </c>
    </row>
    <row r="1479" spans="2:6" x14ac:dyDescent="0.25">
      <c r="B1479" t="s">
        <v>104</v>
      </c>
      <c r="C1479" t="s">
        <v>100</v>
      </c>
      <c r="D1479" t="s">
        <v>105</v>
      </c>
      <c r="E1479" t="s">
        <v>105</v>
      </c>
      <c r="F1479" s="158">
        <v>45517.030081018522</v>
      </c>
    </row>
    <row r="1480" spans="2:6" x14ac:dyDescent="0.25">
      <c r="B1480" t="s">
        <v>104</v>
      </c>
      <c r="C1480" t="s">
        <v>106</v>
      </c>
      <c r="D1480" t="s">
        <v>91</v>
      </c>
      <c r="E1480" t="s">
        <v>105</v>
      </c>
      <c r="F1480" s="158">
        <v>45517.030081018522</v>
      </c>
    </row>
    <row r="1481" spans="2:6" x14ac:dyDescent="0.25">
      <c r="B1481" t="s">
        <v>104</v>
      </c>
      <c r="C1481" t="s">
        <v>107</v>
      </c>
      <c r="D1481" t="s">
        <v>92</v>
      </c>
      <c r="E1481" t="s">
        <v>105</v>
      </c>
      <c r="F1481" s="158">
        <v>45517.030092592591</v>
      </c>
    </row>
    <row r="1482" spans="2:6" x14ac:dyDescent="0.25">
      <c r="B1482" t="s">
        <v>111</v>
      </c>
      <c r="C1482" t="s">
        <v>105</v>
      </c>
      <c r="D1482" t="s">
        <v>105</v>
      </c>
      <c r="E1482" t="s">
        <v>105</v>
      </c>
      <c r="F1482" s="158">
        <v>45517.030092592591</v>
      </c>
    </row>
    <row r="1483" spans="2:6" x14ac:dyDescent="0.25">
      <c r="B1483" t="s">
        <v>109</v>
      </c>
      <c r="C1483" t="s">
        <v>105</v>
      </c>
      <c r="D1483" t="s">
        <v>105</v>
      </c>
      <c r="E1483" t="s">
        <v>105</v>
      </c>
      <c r="F1483" s="158">
        <v>45517.030092592591</v>
      </c>
    </row>
    <row r="1484" spans="2:6" x14ac:dyDescent="0.25">
      <c r="B1484" t="s">
        <v>116</v>
      </c>
      <c r="C1484" t="s">
        <v>100</v>
      </c>
      <c r="D1484" t="s">
        <v>100</v>
      </c>
      <c r="E1484" t="s">
        <v>117</v>
      </c>
      <c r="F1484" s="158">
        <v>45517.030104166668</v>
      </c>
    </row>
    <row r="1485" spans="2:6" x14ac:dyDescent="0.25">
      <c r="B1485" t="s">
        <v>118</v>
      </c>
      <c r="C1485" t="s">
        <v>100</v>
      </c>
      <c r="D1485" t="s">
        <v>105</v>
      </c>
      <c r="E1485" t="s">
        <v>105</v>
      </c>
      <c r="F1485" s="158">
        <v>45517.030115740738</v>
      </c>
    </row>
    <row r="1486" spans="2:6" x14ac:dyDescent="0.25">
      <c r="B1486" t="s">
        <v>118</v>
      </c>
      <c r="C1486" t="s">
        <v>106</v>
      </c>
      <c r="D1486" t="s">
        <v>91</v>
      </c>
      <c r="E1486" t="s">
        <v>105</v>
      </c>
      <c r="F1486" s="158">
        <v>45517.030115740738</v>
      </c>
    </row>
    <row r="1487" spans="2:6" x14ac:dyDescent="0.25">
      <c r="B1487" t="s">
        <v>118</v>
      </c>
      <c r="C1487" t="s">
        <v>107</v>
      </c>
      <c r="D1487" t="s">
        <v>92</v>
      </c>
      <c r="E1487" t="s">
        <v>105</v>
      </c>
      <c r="F1487" s="158">
        <v>45517.030115740738</v>
      </c>
    </row>
    <row r="1488" spans="2:6" x14ac:dyDescent="0.25">
      <c r="B1488" t="s">
        <v>111</v>
      </c>
      <c r="C1488" t="s">
        <v>105</v>
      </c>
      <c r="D1488" t="s">
        <v>105</v>
      </c>
      <c r="E1488" t="s">
        <v>105</v>
      </c>
      <c r="F1488" s="158">
        <v>45517.030127314814</v>
      </c>
    </row>
    <row r="1489" spans="2:6" x14ac:dyDescent="0.25">
      <c r="B1489" t="s">
        <v>109</v>
      </c>
      <c r="C1489" t="s">
        <v>105</v>
      </c>
      <c r="D1489" t="s">
        <v>105</v>
      </c>
      <c r="E1489" t="s">
        <v>105</v>
      </c>
      <c r="F1489" s="158">
        <v>45517.030127314814</v>
      </c>
    </row>
    <row r="1490" spans="2:6" x14ac:dyDescent="0.25">
      <c r="B1490" t="s">
        <v>119</v>
      </c>
      <c r="C1490" t="s">
        <v>100</v>
      </c>
      <c r="D1490" t="s">
        <v>100</v>
      </c>
      <c r="E1490" t="s">
        <v>120</v>
      </c>
      <c r="F1490" s="158">
        <v>45517.030127314814</v>
      </c>
    </row>
    <row r="1491" spans="2:6" x14ac:dyDescent="0.25">
      <c r="B1491" t="s">
        <v>121</v>
      </c>
      <c r="C1491" t="s">
        <v>100</v>
      </c>
      <c r="D1491" t="s">
        <v>105</v>
      </c>
      <c r="E1491" t="s">
        <v>105</v>
      </c>
      <c r="F1491" s="158">
        <v>45517.030150462961</v>
      </c>
    </row>
    <row r="1492" spans="2:6" x14ac:dyDescent="0.25">
      <c r="B1492" t="s">
        <v>121</v>
      </c>
      <c r="C1492" t="s">
        <v>106</v>
      </c>
      <c r="D1492" t="s">
        <v>91</v>
      </c>
      <c r="E1492" t="s">
        <v>105</v>
      </c>
      <c r="F1492" s="158">
        <v>45517.030150462961</v>
      </c>
    </row>
    <row r="1493" spans="2:6" x14ac:dyDescent="0.25">
      <c r="B1493" t="s">
        <v>121</v>
      </c>
      <c r="C1493" t="s">
        <v>107</v>
      </c>
      <c r="D1493" t="s">
        <v>92</v>
      </c>
      <c r="E1493" t="s">
        <v>105</v>
      </c>
      <c r="F1493" s="158">
        <v>45517.030150462961</v>
      </c>
    </row>
    <row r="1494" spans="2:6" x14ac:dyDescent="0.25">
      <c r="B1494" t="s">
        <v>111</v>
      </c>
      <c r="C1494" t="s">
        <v>105</v>
      </c>
      <c r="D1494" t="s">
        <v>105</v>
      </c>
      <c r="E1494" t="s">
        <v>105</v>
      </c>
      <c r="F1494" s="158">
        <v>45517.030162037037</v>
      </c>
    </row>
    <row r="1495" spans="2:6" x14ac:dyDescent="0.25">
      <c r="B1495" t="s">
        <v>109</v>
      </c>
      <c r="C1495" t="s">
        <v>105</v>
      </c>
      <c r="D1495" t="s">
        <v>105</v>
      </c>
      <c r="E1495" t="s">
        <v>105</v>
      </c>
      <c r="F1495" s="158">
        <v>45517.030162037037</v>
      </c>
    </row>
    <row r="1496" spans="2:6" x14ac:dyDescent="0.25">
      <c r="B1496" t="s">
        <v>122</v>
      </c>
      <c r="C1496" t="s">
        <v>100</v>
      </c>
      <c r="D1496" t="s">
        <v>100</v>
      </c>
      <c r="E1496" t="s">
        <v>123</v>
      </c>
      <c r="F1496" s="158">
        <v>45517.030162037037</v>
      </c>
    </row>
    <row r="1497" spans="2:6" x14ac:dyDescent="0.25">
      <c r="B1497" t="s">
        <v>124</v>
      </c>
      <c r="C1497" t="s">
        <v>100</v>
      </c>
      <c r="D1497" t="s">
        <v>105</v>
      </c>
      <c r="E1497" t="s">
        <v>105</v>
      </c>
      <c r="F1497" s="158">
        <v>45517.030185185184</v>
      </c>
    </row>
    <row r="1498" spans="2:6" x14ac:dyDescent="0.25">
      <c r="B1498" t="s">
        <v>124</v>
      </c>
      <c r="C1498" t="s">
        <v>106</v>
      </c>
      <c r="D1498" t="s">
        <v>91</v>
      </c>
      <c r="E1498" t="s">
        <v>105</v>
      </c>
      <c r="F1498" s="158">
        <v>45517.030185185184</v>
      </c>
    </row>
    <row r="1499" spans="2:6" x14ac:dyDescent="0.25">
      <c r="B1499" t="s">
        <v>124</v>
      </c>
      <c r="C1499" t="s">
        <v>107</v>
      </c>
      <c r="D1499" t="s">
        <v>92</v>
      </c>
      <c r="E1499" t="s">
        <v>105</v>
      </c>
      <c r="F1499" s="158">
        <v>45517.030185185184</v>
      </c>
    </row>
    <row r="1500" spans="2:6" x14ac:dyDescent="0.25">
      <c r="B1500" t="s">
        <v>111</v>
      </c>
      <c r="C1500" t="s">
        <v>105</v>
      </c>
      <c r="D1500" t="s">
        <v>105</v>
      </c>
      <c r="E1500" t="s">
        <v>105</v>
      </c>
      <c r="F1500" s="158">
        <v>45517.03019675926</v>
      </c>
    </row>
    <row r="1501" spans="2:6" x14ac:dyDescent="0.25">
      <c r="B1501" t="s">
        <v>109</v>
      </c>
      <c r="C1501" t="s">
        <v>105</v>
      </c>
      <c r="D1501" t="s">
        <v>105</v>
      </c>
      <c r="E1501" t="s">
        <v>105</v>
      </c>
      <c r="F1501" s="158">
        <v>45517.03019675926</v>
      </c>
    </row>
    <row r="1502" spans="2:6" x14ac:dyDescent="0.25">
      <c r="B1502" t="s">
        <v>125</v>
      </c>
      <c r="C1502" t="s">
        <v>100</v>
      </c>
      <c r="D1502" t="s">
        <v>100</v>
      </c>
      <c r="E1502" t="s">
        <v>126</v>
      </c>
      <c r="F1502" s="158">
        <v>45517.03019675926</v>
      </c>
    </row>
    <row r="1503" spans="2:6" x14ac:dyDescent="0.25">
      <c r="B1503" t="s">
        <v>127</v>
      </c>
      <c r="C1503" t="s">
        <v>100</v>
      </c>
      <c r="D1503" t="s">
        <v>105</v>
      </c>
      <c r="E1503" t="s">
        <v>105</v>
      </c>
      <c r="F1503" s="158">
        <v>45517.03020833333</v>
      </c>
    </row>
    <row r="1504" spans="2:6" x14ac:dyDescent="0.25">
      <c r="B1504" t="s">
        <v>127</v>
      </c>
      <c r="C1504" t="s">
        <v>106</v>
      </c>
      <c r="D1504" t="s">
        <v>91</v>
      </c>
      <c r="E1504" t="s">
        <v>105</v>
      </c>
      <c r="F1504" s="158">
        <v>45517.03020833333</v>
      </c>
    </row>
    <row r="1505" spans="2:6" x14ac:dyDescent="0.25">
      <c r="B1505" t="s">
        <v>127</v>
      </c>
      <c r="C1505" t="s">
        <v>107</v>
      </c>
      <c r="D1505" t="s">
        <v>92</v>
      </c>
      <c r="E1505" t="s">
        <v>105</v>
      </c>
      <c r="F1505" s="158">
        <v>45517.030219907407</v>
      </c>
    </row>
    <row r="1506" spans="2:6" x14ac:dyDescent="0.25">
      <c r="B1506" t="s">
        <v>111</v>
      </c>
      <c r="C1506" t="s">
        <v>105</v>
      </c>
      <c r="D1506" t="s">
        <v>105</v>
      </c>
      <c r="E1506" t="s">
        <v>105</v>
      </c>
      <c r="F1506" s="158">
        <v>45517.030219907407</v>
      </c>
    </row>
    <row r="1507" spans="2:6" x14ac:dyDescent="0.25">
      <c r="B1507" t="s">
        <v>109</v>
      </c>
      <c r="C1507" t="s">
        <v>105</v>
      </c>
      <c r="D1507" t="s">
        <v>105</v>
      </c>
      <c r="E1507" t="s">
        <v>105</v>
      </c>
      <c r="F1507" s="158">
        <v>45517.030219907407</v>
      </c>
    </row>
    <row r="1508" spans="2:6" x14ac:dyDescent="0.25">
      <c r="B1508" t="s">
        <v>128</v>
      </c>
      <c r="C1508" t="s">
        <v>100</v>
      </c>
      <c r="D1508" t="s">
        <v>100</v>
      </c>
      <c r="E1508" t="s">
        <v>129</v>
      </c>
      <c r="F1508" s="158">
        <v>45517.030219907407</v>
      </c>
    </row>
    <row r="1509" spans="2:6" x14ac:dyDescent="0.25">
      <c r="B1509" t="s">
        <v>130</v>
      </c>
      <c r="C1509" t="s">
        <v>100</v>
      </c>
      <c r="D1509" t="s">
        <v>105</v>
      </c>
      <c r="E1509" t="s">
        <v>105</v>
      </c>
      <c r="F1509" s="158">
        <v>45517.030243055553</v>
      </c>
    </row>
    <row r="1510" spans="2:6" x14ac:dyDescent="0.25">
      <c r="B1510" t="s">
        <v>130</v>
      </c>
      <c r="C1510" t="s">
        <v>106</v>
      </c>
      <c r="D1510" t="s">
        <v>91</v>
      </c>
      <c r="E1510" t="s">
        <v>105</v>
      </c>
      <c r="F1510" s="158">
        <v>45517.030243055553</v>
      </c>
    </row>
    <row r="1511" spans="2:6" x14ac:dyDescent="0.25">
      <c r="B1511" t="s">
        <v>130</v>
      </c>
      <c r="C1511" t="s">
        <v>107</v>
      </c>
      <c r="D1511" t="s">
        <v>92</v>
      </c>
      <c r="E1511" t="s">
        <v>105</v>
      </c>
      <c r="F1511" s="158">
        <v>45517.030243055553</v>
      </c>
    </row>
    <row r="1512" spans="2:6" x14ac:dyDescent="0.25">
      <c r="B1512" t="s">
        <v>111</v>
      </c>
      <c r="C1512" t="s">
        <v>105</v>
      </c>
      <c r="D1512" t="s">
        <v>105</v>
      </c>
      <c r="E1512" t="s">
        <v>105</v>
      </c>
      <c r="F1512" s="158">
        <v>45517.03025462963</v>
      </c>
    </row>
    <row r="1513" spans="2:6" x14ac:dyDescent="0.25">
      <c r="B1513" t="s">
        <v>109</v>
      </c>
      <c r="C1513" t="s">
        <v>105</v>
      </c>
      <c r="D1513" t="s">
        <v>105</v>
      </c>
      <c r="E1513" t="s">
        <v>105</v>
      </c>
      <c r="F1513" s="158">
        <v>45517.03025462963</v>
      </c>
    </row>
    <row r="1514" spans="2:6" x14ac:dyDescent="0.25">
      <c r="B1514" t="s">
        <v>131</v>
      </c>
      <c r="C1514" t="s">
        <v>100</v>
      </c>
      <c r="D1514" t="s">
        <v>100</v>
      </c>
      <c r="E1514" t="s">
        <v>132</v>
      </c>
      <c r="F1514" s="158">
        <v>45517.03025462963</v>
      </c>
    </row>
    <row r="1515" spans="2:6" x14ac:dyDescent="0.25">
      <c r="B1515" t="s">
        <v>133</v>
      </c>
      <c r="C1515" t="s">
        <v>100</v>
      </c>
      <c r="D1515" t="s">
        <v>105</v>
      </c>
      <c r="E1515" t="s">
        <v>105</v>
      </c>
      <c r="F1515" s="158">
        <v>45517.030277777776</v>
      </c>
    </row>
    <row r="1516" spans="2:6" x14ac:dyDescent="0.25">
      <c r="B1516" t="s">
        <v>133</v>
      </c>
      <c r="C1516" t="s">
        <v>106</v>
      </c>
      <c r="D1516" t="s">
        <v>91</v>
      </c>
      <c r="E1516" t="s">
        <v>105</v>
      </c>
      <c r="F1516" s="158">
        <v>45517.030277777776</v>
      </c>
    </row>
    <row r="1517" spans="2:6" x14ac:dyDescent="0.25">
      <c r="B1517" t="s">
        <v>133</v>
      </c>
      <c r="C1517" t="s">
        <v>107</v>
      </c>
      <c r="D1517" t="s">
        <v>92</v>
      </c>
      <c r="E1517" t="s">
        <v>105</v>
      </c>
      <c r="F1517" s="158">
        <v>45517.030277777776</v>
      </c>
    </row>
    <row r="1518" spans="2:6" x14ac:dyDescent="0.25">
      <c r="B1518" t="s">
        <v>111</v>
      </c>
      <c r="C1518" t="s">
        <v>105</v>
      </c>
      <c r="D1518" t="s">
        <v>105</v>
      </c>
      <c r="E1518" t="s">
        <v>105</v>
      </c>
      <c r="F1518" s="158">
        <v>45517.030289351853</v>
      </c>
    </row>
    <row r="1519" spans="2:6" x14ac:dyDescent="0.25">
      <c r="B1519" t="s">
        <v>108</v>
      </c>
      <c r="C1519" t="s">
        <v>105</v>
      </c>
      <c r="D1519" t="s">
        <v>105</v>
      </c>
      <c r="E1519" t="s">
        <v>105</v>
      </c>
      <c r="F1519" s="158">
        <v>45517.030439814815</v>
      </c>
    </row>
    <row r="1520" spans="2:6" x14ac:dyDescent="0.25">
      <c r="B1520" t="s">
        <v>109</v>
      </c>
      <c r="C1520" t="s">
        <v>105</v>
      </c>
      <c r="D1520" t="s">
        <v>105</v>
      </c>
      <c r="E1520" t="s">
        <v>105</v>
      </c>
      <c r="F1520" s="158">
        <v>45517.030439814815</v>
      </c>
    </row>
    <row r="1521" spans="2:6" x14ac:dyDescent="0.25">
      <c r="B1521" t="s">
        <v>110</v>
      </c>
      <c r="C1521" t="s">
        <v>105</v>
      </c>
      <c r="D1521" t="s">
        <v>92</v>
      </c>
      <c r="E1521" t="s">
        <v>105</v>
      </c>
      <c r="F1521" s="158">
        <v>45517.030439814815</v>
      </c>
    </row>
    <row r="1522" spans="2:6" x14ac:dyDescent="0.25">
      <c r="B1522" t="s">
        <v>110</v>
      </c>
      <c r="C1522" t="s">
        <v>105</v>
      </c>
      <c r="D1522" t="s">
        <v>91</v>
      </c>
      <c r="E1522" t="s">
        <v>105</v>
      </c>
      <c r="F1522" s="158">
        <v>45517.030439814815</v>
      </c>
    </row>
    <row r="1523" spans="2:6" x14ac:dyDescent="0.25">
      <c r="B1523" s="201" t="s">
        <v>102</v>
      </c>
      <c r="C1523" s="201" t="s">
        <v>100</v>
      </c>
      <c r="D1523" s="201" t="s">
        <v>100</v>
      </c>
      <c r="E1523" s="201" t="s">
        <v>103</v>
      </c>
      <c r="F1523" s="202">
        <v>45517.030694444446</v>
      </c>
    </row>
    <row r="1524" spans="2:6" x14ac:dyDescent="0.25">
      <c r="B1524" s="201" t="s">
        <v>104</v>
      </c>
      <c r="C1524" s="201" t="s">
        <v>100</v>
      </c>
      <c r="D1524" s="201" t="s">
        <v>105</v>
      </c>
      <c r="E1524" s="201" t="s">
        <v>105</v>
      </c>
      <c r="F1524" s="202">
        <v>45517.030717592592</v>
      </c>
    </row>
    <row r="1525" spans="2:6" x14ac:dyDescent="0.25">
      <c r="B1525" s="201" t="s">
        <v>104</v>
      </c>
      <c r="C1525" s="201" t="s">
        <v>106</v>
      </c>
      <c r="D1525" s="201" t="s">
        <v>91</v>
      </c>
      <c r="E1525" s="201" t="s">
        <v>105</v>
      </c>
      <c r="F1525" s="202">
        <v>45517.030717592592</v>
      </c>
    </row>
    <row r="1526" spans="2:6" x14ac:dyDescent="0.25">
      <c r="B1526" s="201" t="s">
        <v>104</v>
      </c>
      <c r="C1526" s="201" t="s">
        <v>107</v>
      </c>
      <c r="D1526" s="201" t="s">
        <v>92</v>
      </c>
      <c r="E1526" s="201" t="s">
        <v>105</v>
      </c>
      <c r="F1526" s="202">
        <v>45517.030717592592</v>
      </c>
    </row>
    <row r="1527" spans="2:6" x14ac:dyDescent="0.25">
      <c r="B1527" s="201" t="s">
        <v>134</v>
      </c>
      <c r="C1527" s="201" t="s">
        <v>100</v>
      </c>
      <c r="D1527" s="201" t="s">
        <v>100</v>
      </c>
      <c r="E1527" s="201" t="s">
        <v>132</v>
      </c>
      <c r="F1527" s="202">
        <v>45517.03087962963</v>
      </c>
    </row>
    <row r="1528" spans="2:6" x14ac:dyDescent="0.25">
      <c r="B1528" s="201" t="s">
        <v>133</v>
      </c>
      <c r="C1528" s="201" t="s">
        <v>100</v>
      </c>
      <c r="D1528" s="201" t="s">
        <v>105</v>
      </c>
      <c r="E1528" s="201" t="s">
        <v>105</v>
      </c>
      <c r="F1528" s="202">
        <v>45517.030914351853</v>
      </c>
    </row>
    <row r="1529" spans="2:6" x14ac:dyDescent="0.25">
      <c r="B1529" s="201" t="s">
        <v>133</v>
      </c>
      <c r="C1529" s="201" t="s">
        <v>106</v>
      </c>
      <c r="D1529" s="201" t="s">
        <v>91</v>
      </c>
      <c r="E1529" s="201" t="s">
        <v>105</v>
      </c>
      <c r="F1529" s="202">
        <v>45517.030914351853</v>
      </c>
    </row>
    <row r="1530" spans="2:6" x14ac:dyDescent="0.25">
      <c r="B1530" s="201" t="s">
        <v>133</v>
      </c>
      <c r="C1530" s="201" t="s">
        <v>107</v>
      </c>
      <c r="D1530" s="201" t="s">
        <v>92</v>
      </c>
      <c r="E1530" s="201" t="s">
        <v>105</v>
      </c>
      <c r="F1530" s="202">
        <v>45517.030914351853</v>
      </c>
    </row>
    <row r="1531" spans="2:6" x14ac:dyDescent="0.25">
      <c r="B1531" s="201" t="s">
        <v>137</v>
      </c>
      <c r="C1531" s="201" t="s">
        <v>100</v>
      </c>
      <c r="D1531" s="201" t="s">
        <v>100</v>
      </c>
      <c r="E1531" s="201" t="s">
        <v>117</v>
      </c>
      <c r="F1531" s="202">
        <v>45517.031226851854</v>
      </c>
    </row>
    <row r="1532" spans="2:6" x14ac:dyDescent="0.25">
      <c r="B1532" s="201" t="s">
        <v>118</v>
      </c>
      <c r="C1532" s="201" t="s">
        <v>100</v>
      </c>
      <c r="D1532" s="201" t="s">
        <v>105</v>
      </c>
      <c r="E1532" s="201" t="s">
        <v>105</v>
      </c>
      <c r="F1532" s="202">
        <v>45517.03125</v>
      </c>
    </row>
    <row r="1533" spans="2:6" x14ac:dyDescent="0.25">
      <c r="B1533" s="201" t="s">
        <v>118</v>
      </c>
      <c r="C1533" s="201" t="s">
        <v>106</v>
      </c>
      <c r="D1533" s="201" t="s">
        <v>91</v>
      </c>
      <c r="E1533" s="201" t="s">
        <v>105</v>
      </c>
      <c r="F1533" s="202">
        <v>45517.03125</v>
      </c>
    </row>
    <row r="1534" spans="2:6" x14ac:dyDescent="0.25">
      <c r="B1534" s="201" t="s">
        <v>118</v>
      </c>
      <c r="C1534" s="201" t="s">
        <v>107</v>
      </c>
      <c r="D1534" s="201" t="s">
        <v>92</v>
      </c>
      <c r="E1534" s="201" t="s">
        <v>105</v>
      </c>
      <c r="F1534" s="202">
        <v>45517.031261574077</v>
      </c>
    </row>
    <row r="1535" spans="2:6" x14ac:dyDescent="0.25">
      <c r="B1535" s="201" t="s">
        <v>108</v>
      </c>
      <c r="C1535" s="201" t="s">
        <v>105</v>
      </c>
      <c r="D1535" s="201" t="s">
        <v>105</v>
      </c>
      <c r="E1535" s="201" t="s">
        <v>105</v>
      </c>
      <c r="F1535" s="202">
        <v>45517.032002314816</v>
      </c>
    </row>
    <row r="1536" spans="2:6" x14ac:dyDescent="0.25">
      <c r="B1536" s="201" t="s">
        <v>109</v>
      </c>
      <c r="C1536" s="201" t="s">
        <v>105</v>
      </c>
      <c r="D1536" s="201" t="s">
        <v>105</v>
      </c>
      <c r="E1536" s="201" t="s">
        <v>105</v>
      </c>
      <c r="F1536" s="202">
        <v>45517.032002314816</v>
      </c>
    </row>
    <row r="1537" spans="2:6" x14ac:dyDescent="0.25">
      <c r="B1537" s="201" t="s">
        <v>110</v>
      </c>
      <c r="C1537" s="201" t="s">
        <v>105</v>
      </c>
      <c r="D1537" s="201" t="s">
        <v>92</v>
      </c>
      <c r="E1537" s="201" t="s">
        <v>105</v>
      </c>
      <c r="F1537" s="202">
        <v>45517.032002314816</v>
      </c>
    </row>
    <row r="1538" spans="2:6" x14ac:dyDescent="0.25">
      <c r="B1538" s="201" t="s">
        <v>110</v>
      </c>
      <c r="C1538" s="201" t="s">
        <v>105</v>
      </c>
      <c r="D1538" s="201" t="s">
        <v>91</v>
      </c>
      <c r="E1538" s="201" t="s">
        <v>105</v>
      </c>
      <c r="F1538" s="202">
        <v>45517.032002314816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2024-08-12T22:46:08Z</dcterms:modified>
</cp:coreProperties>
</file>