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123CC1E3-708A-4ACC-AC1E-64F25FD4D17B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<sst xmlns="http://schemas.openxmlformats.org/spreadsheetml/2006/main" count="167" uniqueCount="102">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</sst>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8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6644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1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1"/>
          <a:chOff x="8439150" y="1257299"/>
          <a:chExt cx="4581526" cy="1200152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7"/>
            <a:ext cx="4533903" cy="1200144"/>
            <a:chOff x="7698064" y="870456"/>
            <a:chExt cx="3897982" cy="100750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6"/>
                  <a:ext cx="1948990" cy="38381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0"/>
              <a:chOff x="7724775" y="1535061"/>
              <a:chExt cx="3871271" cy="342900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0" cy="333376"/>
                <a:chOff x="7724775" y="1544583"/>
                <a:chExt cx="1790730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0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5" y="1535061"/>
                <a:ext cx="1596281" cy="342900"/>
                <a:chOff x="9999765" y="1535061"/>
                <a:chExt cx="1596281" cy="342900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5" y="1535061"/>
                      <a:ext cx="1596281" cy="342900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6643" tableBorderDxfId="6642">
  <tableColumns count="4">
    <tableColumn id="1" xr3:uid="{86185E31-EC52-4ECC-BC3E-33C26B14F7C2}" name="Series" dataDxfId="6641">
      <calculatedColumnFormula>_xlfn.CONCAT($V$7," ",V8)</calculatedColumnFormula>
    </tableColumn>
    <tableColumn id="2" xr3:uid="{788D8AF7-A2FF-4152-9FEC-3D734C94A926}" name="Serie" dataDxfId="6640"/>
    <tableColumn id="3" xr3:uid="{98F42830-BCA0-414B-9FEF-78FCD5DB348B}" name="indexMin" dataDxfId="6639"/>
    <tableColumn id="4" xr3:uid="{E4B94243-8BBE-45E2-AAC0-0D18C5A6695E}" name="indexMax" dataDxfId="663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6637" dataDxfId="6635" headerRowBorderDxfId="6636" tableBorderDxfId="6634">
  <tableColumns count="1">
    <tableColumn id="1" xr3:uid="{8473C081-0E42-4FA9-8C99-E5B7E8CD3209}" name="Tours" dataDxfId="663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6632" headerRowBorderDxfId="6631" tableBorderDxfId="6630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6629" dataDxfId="6628" tableBorderDxfId="6627">
  <autoFilter ref="D12:F13" xr:uid="{FCA0E9AA-8BD9-46EB-B07B-67F06EACCB48}"/>
  <tableColumns count="3">
    <tableColumn id="1" xr3:uid="{47561816-2B53-47F6-822E-269C476F3FFD}" name="Tour importé" dataDxfId="6626"/>
    <tableColumn id="2" xr3:uid="{E2C3F515-D8A3-4FC2-B632-32DB6D91A198}" name="Type" dataDxfId="6625">
      <calculatedColumnFormula>INDEX(TableauType[TYPE],Tableau6[[#This Row],[TypeIndex]])</calculatedColumnFormula>
    </tableColumn>
    <tableColumn id="3" xr3:uid="{617E6B65-5E58-4C9B-9DC4-488608A74753}" name="TypeIndex" dataDxfId="662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6623" dataDxfId="6622">
  <autoFilter ref="AD7:AD15" xr:uid="{9029752C-EFC9-4C60-BDF1-B009EF2F440D}"/>
  <tableColumns count="1">
    <tableColumn id="1" xr3:uid="{47EFDC89-116E-4E91-94A2-C4CDC0579100}" name="Fichiers" dataDxfId="66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6620" headerRowBorderDxfId="6619" tableBorderDxfId="6618" totalsRowBorderDxfId="6617">
  <autoFilter ref="U18:V22" xr:uid="{BBFFD128-4797-4BD5-B581-AA8D8277F8F3}"/>
  <tableColumns count="2">
    <tableColumn id="1" xr3:uid="{903026A3-43DC-4900-8F6E-2271BCA97B81}" name="Colonne1" dataDxfId="6616"/>
    <tableColumn id="2" xr3:uid="{C9FC1671-8A12-4C52-9797-E5DB3A7B67E7}" name="Colonne2" dataDxfId="661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6614" tableBorderDxfId="66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6612"/>
    <tableColumn id="2" xr3:uid="{ECBEFB46-CF2E-4172-8E5C-37DBEC25E1AE}" name="Club" dataDxfId="6611"/>
    <tableColumn id="3" xr3:uid="{FBA83F7F-D4E7-4A15-99EC-CE8D436D7EB3}" name="Index" dataDxfId="6610"/>
    <tableColumn id="4" xr3:uid="{0090B21E-C7ED-4CC4-A4C8-7AED1146F2F9}" name="Série" dataDxfId="6609"/>
    <tableColumn id="5" xr3:uid="{7D4E8E6A-E590-441A-A2B5-664E220061CC}" name="Score     Net1" dataDxfId="6608"/>
    <tableColumn id="6" xr3:uid="{84241967-A195-4D05-9846-F0E084774539}" name="Rang   Net1" dataDxfId="6607"/>
    <tableColumn id="7" xr3:uid="{F27CD3EA-D421-4623-93DF-5DFCAA423771}" name="Score    Brut1" dataDxfId="6606"/>
    <tableColumn id="8" xr3:uid="{62D1F21B-032A-484B-BC39-395CC4756A54}" name="Rang   Brut1" dataDxfId="6605"/>
    <tableColumn id="9" xr3:uid="{D3289CF1-FAC6-4CC0-B2B6-80CBB0406845}" name="Score      Net2" dataDxfId="6604"/>
    <tableColumn id="10" xr3:uid="{2F18A068-FD19-4313-83C9-0AB3AA88EE3F}" name="Rang      Net2" dataDxfId="6603"/>
    <tableColumn id="11" xr3:uid="{A7248FAA-403B-4BFE-B0D4-859E30DE4A95}" name="Score      Brut2" dataDxfId="6602"/>
    <tableColumn id="12" xr3:uid="{4F6F4506-16A0-4352-A12B-8992CD80B9B6}" name="Rang      Brut2" dataDxfId="6601"/>
    <tableColumn id="13" xr3:uid="{68CAD2A6-712A-4B66-A7A3-D58BF5303438}" name="Score      Net3" dataDxfId="6600"/>
    <tableColumn id="14" xr3:uid="{9F172573-6C25-46FC-BE9F-F56834E813D9}" name="Rang      Net3" dataDxfId="6599"/>
    <tableColumn id="15" xr3:uid="{618A094F-BB99-4883-A19C-4EBA6E699BCF}" name="Score      Brut3" dataDxfId="6598"/>
    <tableColumn id="16" xr3:uid="{0E544C66-61C9-46D5-A427-A9677AE96910}" name="Rang      Brut3" dataDxfId="6597"/>
    <tableColumn id="17" xr3:uid="{24730B87-D2CD-487D-99BD-EACD109C443F}" name="Score        Net4" dataDxfId="6596"/>
    <tableColumn id="18" xr3:uid="{F0B85087-E217-4534-9BC7-B04BDDCCA8B9}" name="Rang        Net4" dataDxfId="6595"/>
    <tableColumn id="19" xr3:uid="{7DDCD1A6-A182-48A1-9F3F-836B917D0B07}" name="Score        Brut4" dataDxfId="6594"/>
    <tableColumn id="20" xr3:uid="{8EABA2E9-9ADA-4192-8BB2-2F58072A8E01}" name="Rang        Brut4" dataDxfId="6593"/>
    <tableColumn id="21" xr3:uid="{79E31DB6-4982-4160-9B1D-20DE3F5E1BB8}" name="Score        Net5" dataDxfId="6592"/>
    <tableColumn id="22" xr3:uid="{DB589AF3-34B3-447A-A354-D474E90FDB4F}" name="Rang        Net5" dataDxfId="6591"/>
    <tableColumn id="23" xr3:uid="{EC9FE005-CE9F-448B-81FE-28EDD1A971F9}" name="Score        Brut5" dataDxfId="6590"/>
    <tableColumn id="24" xr3:uid="{220294A2-C79D-45F3-9AE5-D46451BBF584}" name="Rang        Brut5" dataDxfId="6589"/>
    <tableColumn id="25" xr3:uid="{A772CA9D-C689-4C9F-9855-E6A692839D23}" name="Score        Net6" dataDxfId="6588"/>
    <tableColumn id="26" xr3:uid="{D2589416-857A-4C41-AC6D-96D41817DEC7}" name="Rang        Net6" dataDxfId="6587"/>
    <tableColumn id="27" xr3:uid="{27ADC7D0-24DE-4505-9913-856D8DE338A9}" name="Score        Brut6" dataDxfId="6586"/>
    <tableColumn id="28" xr3:uid="{ABDBDCB4-7B27-49F8-BC7A-7843BC9FF7A5}" name="Rang        Brut6" dataDxfId="6585"/>
    <tableColumn id="29" xr3:uid="{941D9336-449B-439E-B469-314E549EA186}" name="Score Net Max" dataDxfId="6584">
      <calculatedColumnFormula>IF(MIN(F4,J4,N4,R4,V4,Z4)&lt;&gt;0,MIN(F4,J4,N4,R4,V4,Z4),"")</calculatedColumnFormula>
    </tableColumn>
    <tableColumn id="30" xr3:uid="{90574FCA-077D-4C2D-95A6-25042040131A}" name="Score Brut Max" dataDxfId="6583">
      <calculatedColumnFormula>IF(MIN(H4,L4,P4,T4,X4,AB4)&lt;&gt;0,MIN(H4,L4,P4,T4,X4,AB4),"")</calculatedColumnFormula>
    </tableColumn>
    <tableColumn id="31" xr3:uid="{7D46739F-AA9F-4F4C-8559-42672BDC3359}" name="Score Net Finale" dataDxfId="6582"/>
    <tableColumn id="32" xr3:uid="{11EAF1CA-8CD4-40A4-91A3-87D38FCF3433}" name="Rang Net Finale" dataDxfId="6581"/>
    <tableColumn id="33" xr3:uid="{66A96B4D-B263-479C-A036-CA0A68FB1450}" name="Score Brut Finale" dataDxfId="6580"/>
    <tableColumn id="34" xr3:uid="{AB46E898-F45B-460F-A38E-C5A2BFD53000}" name="Rang Brut Finale" dataDxfId="6579"/>
    <tableColumn id="35" xr3:uid="{E7B91838-CDE0-4965-B3BE-53C906009CF4}" name="Score Net LGS" dataDxfId="6578">
      <calculatedColumnFormula>IF(AD4="","",IF(ISBLANK(AF4),"En cours",AD4+AF4))</calculatedColumnFormula>
    </tableColumn>
    <tableColumn id="36" xr3:uid="{2A90CEF2-3F60-4761-BD52-022404B7522C}" name="Score Brut LGS" dataDxfId="65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6576" tableBorderDxfId="6575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6574"/>
    <tableColumn id="2" xr3:uid="{6DF6013E-11A9-4F6E-B527-4EB5242D32FC}" name="Club" dataDxfId="6573"/>
    <tableColumn id="3" xr3:uid="{809481FC-1207-4212-8E64-39319F31B86C}" name="Index" dataDxfId="6572"/>
    <tableColumn id="4" xr3:uid="{61BCE2E5-DC5C-48C2-BA39-6573DBA32351}" name="Série" dataDxfId="6571"/>
    <tableColumn id="5" xr3:uid="{5210E73B-D34C-4FAE-A187-64170B309A2C}" name="Score     Net1" dataDxfId="6570"/>
    <tableColumn id="6" xr3:uid="{0C146610-8133-4769-A4EC-4AF4A9EB4EEA}" name="Rang   Net1" dataDxfId="6569"/>
    <tableColumn id="7" xr3:uid="{DC3B3441-4412-46B5-8015-7E44D9FF0A16}" name="Score    Brut1" dataDxfId="6568"/>
    <tableColumn id="8" xr3:uid="{780A2D1B-C1E0-4E66-A641-80609193E5ED}" name="Rang   Brut1" dataDxfId="6567"/>
    <tableColumn id="9" xr3:uid="{A286DE62-5493-4750-8D3A-4E0268951135}" name="Score      Net2" dataDxfId="6566"/>
    <tableColumn id="10" xr3:uid="{9AA9E923-19AE-4E9C-B03E-6CCB420B0DE0}" name="Rang      Net2" dataDxfId="6565"/>
    <tableColumn id="11" xr3:uid="{13D9FCED-A177-4823-BBF5-CB6BBFD92170}" name="Score      Brut2" dataDxfId="6564"/>
    <tableColumn id="12" xr3:uid="{AE79BCC0-99C9-4A29-85F9-06518743CC41}" name="Rang      Brut2" dataDxfId="6563"/>
    <tableColumn id="13" xr3:uid="{6260EBE1-C4F8-4892-8111-6848B59FFDDC}" name="Score      Net3" dataDxfId="6562"/>
    <tableColumn id="14" xr3:uid="{70D3C91B-53A9-4C67-AA7C-86DB6FCC84EA}" name="Rang      Net3" dataDxfId="6561"/>
    <tableColumn id="15" xr3:uid="{316ABADB-80DF-4341-9456-B07A916EE828}" name="Score      Brut3" dataDxfId="6560"/>
    <tableColumn id="16" xr3:uid="{5F33B9A2-6C2B-44A9-B727-D955FDD7A57E}" name="Rang      Brut3" dataDxfId="6559"/>
    <tableColumn id="17" xr3:uid="{7405128E-0D40-44C5-B3B7-9098CE3F571B}" name="Score        Net4" dataDxfId="6558"/>
    <tableColumn id="18" xr3:uid="{57B1622B-69C7-4A1C-8967-6906A0E60401}" name="Rang        Net4" dataDxfId="6557"/>
    <tableColumn id="19" xr3:uid="{765D8E18-32EC-4D78-B6D5-C889630A0B4D}" name="Score        Brut4" dataDxfId="6556"/>
    <tableColumn id="20" xr3:uid="{F9E9BC2E-A9E0-415E-92F8-F007D70D402D}" name="Rang        Brut4" dataDxfId="6555"/>
    <tableColumn id="21" xr3:uid="{56B8C53B-2683-43AB-BA94-98D12846892B}" name="Score        Net5" dataDxfId="6554"/>
    <tableColumn id="22" xr3:uid="{CEE64EB1-2B37-4BE8-AD6C-F73635777200}" name="Rang        Net5" dataDxfId="6553"/>
    <tableColumn id="23" xr3:uid="{08967303-5AA9-43EB-A7B1-57000258446B}" name="Score        Brut5" dataDxfId="6552"/>
    <tableColumn id="24" xr3:uid="{8200C06D-A6A7-4584-BCE4-DE94947CAA08}" name="Rang        Brut5" dataDxfId="6551"/>
    <tableColumn id="25" xr3:uid="{E363B218-F04E-4259-A65F-BE04FA1C15B3}" name="Score        Net6" dataDxfId="6550"/>
    <tableColumn id="26" xr3:uid="{EC92842C-B321-4087-AA25-F376E0579048}" name="Rang        Net6" dataDxfId="6549"/>
    <tableColumn id="27" xr3:uid="{3EF61377-66C7-4D60-AF65-BAFD2DD291D8}" name="Score        Brut6" dataDxfId="6548"/>
    <tableColumn id="28" xr3:uid="{251BB10E-2B2F-4B4A-8805-D7C49FF7D091}" name="Rang        Brut6" dataDxfId="6547"/>
    <tableColumn id="29" xr3:uid="{937492D8-E20B-486F-B289-5EBB929EA97E}" name="Score Net Max" dataDxfId="6546">
      <calculatedColumnFormula>IF(MIN(F4,J4,N4,R4,V4,Z4)&lt;&gt;0,MIN(F4,J4,N4,R4,V4,Z4),"")</calculatedColumnFormula>
    </tableColumn>
    <tableColumn id="30" xr3:uid="{BFCE7449-4F11-49CA-B00B-6CF4C21DE23E}" name="Score Brut Max" dataDxfId="6545">
      <calculatedColumnFormula>IF(MIN(H4,L4,P4,T4,X4,AB4)&lt;&gt;0,MIN(H4,L4,P4,T4,X4,AB4),"")</calculatedColumnFormula>
    </tableColumn>
    <tableColumn id="31" xr3:uid="{061F8C59-D91F-49DB-89E4-FD5BF5DEA2BE}" name="Score Net Finale" dataDxfId="6544"/>
    <tableColumn id="32" xr3:uid="{47CCF636-B700-4893-BB69-C5F49188A737}" name="Rang Net Finale" dataDxfId="6543"/>
    <tableColumn id="33" xr3:uid="{34BE4EC2-EAC1-40DC-82EA-B21BFA645C43}" name="Score Brut Finale" dataDxfId="6542"/>
    <tableColumn id="34" xr3:uid="{B4CC10FB-AE7D-4F7B-B5E6-A21DFBD43F7A}" name="Rang Brut Finale" dataDxfId="6541"/>
    <tableColumn id="35" xr3:uid="{2A85E5CE-D8F3-4ABA-BB20-EF4EC4E5400C}" name="Score Net LGS" dataDxfId="6540">
      <calculatedColumnFormula>IF(AD4="","",IF(ISBLANK(AF4),"En cours",AD4+AF4))</calculatedColumnFormula>
    </tableColumn>
    <tableColumn id="36" xr3:uid="{E2505702-E088-4E30-97F4-10F7B06362C7}" name="Score Brut LGS" dataDxfId="653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538" dataDxfId="6537">
  <autoFilter ref="B4:F5" xr:uid="{BEE036B7-08A7-43AF-AC9F-62B639BE2327}"/>
  <tableColumns count="5">
    <tableColumn id="1" xr3:uid="{07F0EE21-57C5-4450-A337-C4E93B37093B}" name="type" dataDxfId="6536"/>
    <tableColumn id="4" xr3:uid="{5D76DE16-D7AC-47BB-8E5C-7D62535B0C45}" name="joueurs" dataDxfId="6535"/>
    <tableColumn id="6" xr3:uid="{AAEF716B-5939-451B-9370-6D6F4B67A6B4}" name="feuille" dataDxfId="6534"/>
    <tableColumn id="2" xr3:uid="{15443A43-A7C3-4E12-8B5A-8DC832EBEFF5}" name="reference" dataDxfId="6533"/>
    <tableColumn id="3" xr3:uid="{C5F94F07-C4F6-41F7-9201-803FDABD5D1F}" name="date" dataDxfId="653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(HOMME)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6" t="s">
        <v>81</v>
      </c>
      <c r="Q5" s="177"/>
      <c r="R5" s="178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79">
        <f>IF(Tableau6[Type]=INDEX(TableauType[],1),U19,V19)</f>
        <v>0</v>
      </c>
      <c r="Q6" s="180"/>
      <c r="R6" s="181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2" t="str">
        <f>IF(Tableau6[Type]=INDEX(TableauType[],1),U20,V20)</f>
        <v>export_HOMME_Net_1.xlsx</v>
      </c>
      <c r="Q7" s="183"/>
      <c r="R7" s="184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5" t="str">
        <f>IF(Tableau6[Type]=INDEX(TableauType[],1),U21,V21)</f>
        <v>export_HOMME_Brut_234.xlsx</v>
      </c>
      <c r="Q8" s="186"/>
      <c r="R8" s="187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8" t="str">
        <f>IF(Tableau6[Type]=INDEX(TableauType[],1),U22,V22)</f>
        <v>export_HOMME_Net_234.xlsx</v>
      </c>
      <c r="Q9" s="189"/>
      <c r="R9" s="190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HOMME</v>
      </c>
      <c r="F13" s="109">
        <v>1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4" t="s">
        <v>1</v>
      </c>
      <c r="C15" s="174"/>
      <c r="D15" s="174"/>
      <c r="E15" s="174"/>
      <c r="F15" s="174"/>
      <c r="G15" s="174"/>
      <c r="H15" s="174"/>
      <c r="I15" s="174"/>
      <c r="K15" s="175" t="s">
        <v>2</v>
      </c>
      <c r="L15" s="175"/>
      <c r="M15" s="175"/>
      <c r="N15" s="175"/>
      <c r="O15" s="175"/>
      <c r="P15" s="175"/>
      <c r="Q15" s="175"/>
      <c r="R15" s="175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1" t="s">
        <v>98</v>
      </c>
      <c r="Y18" s="172"/>
      <c r="Z18" s="172"/>
      <c r="AA18" s="172"/>
      <c r="AB18" s="173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1" t="s">
        <v>99</v>
      </c>
      <c r="Y22" s="172"/>
      <c r="Z22" s="172"/>
      <c r="AA22" s="172"/>
      <c r="AB22" s="173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(HOMME)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8" t="s">
        <v>18</v>
      </c>
      <c r="G2" s="199"/>
      <c r="H2" s="199"/>
      <c r="I2" s="200"/>
      <c r="J2" s="201" t="s">
        <v>19</v>
      </c>
      <c r="K2" s="202"/>
      <c r="L2" s="202"/>
      <c r="M2" s="203"/>
      <c r="N2" s="204" t="s">
        <v>20</v>
      </c>
      <c r="O2" s="199"/>
      <c r="P2" s="199"/>
      <c r="Q2" s="200"/>
      <c r="R2" s="201" t="s">
        <v>21</v>
      </c>
      <c r="S2" s="202"/>
      <c r="T2" s="202"/>
      <c r="U2" s="203"/>
      <c r="V2" s="204" t="s">
        <v>22</v>
      </c>
      <c r="W2" s="199"/>
      <c r="X2" s="199"/>
      <c r="Y2" s="200"/>
      <c r="Z2" s="201" t="s">
        <v>23</v>
      </c>
      <c r="AA2" s="202"/>
      <c r="AB2" s="202"/>
      <c r="AC2" s="205"/>
      <c r="AD2" s="191" t="s">
        <v>82</v>
      </c>
      <c r="AE2" s="192"/>
      <c r="AF2" s="193" t="s">
        <v>17</v>
      </c>
      <c r="AG2" s="194"/>
      <c r="AH2" s="194"/>
      <c r="AI2" s="195"/>
      <c r="AJ2" s="196" t="s">
        <v>25</v>
      </c>
      <c r="AK2" s="197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>IF(MIN(F4,J4,N4,R4,V4,Z4)&lt;&gt;0,MIN(F4,J4,N4,R4,V4,Z4),"")</f>
        <v/>
      </c>
      <c r="AE4" s="163" t="str">
        <f>IF(MIN(H4,L4,P4,T4,X4,AB4)&lt;&gt;0,MIN(H4,L4,P4,T4,X4,AB4),"")</f>
        <v/>
      </c>
      <c r="AF4" s="163"/>
      <c r="AG4" s="162"/>
      <c r="AH4" s="163"/>
      <c r="AI4" s="162"/>
      <c r="AJ4" s="161" t="str">
        <f>IF(AD4="","",IF(ISBLANK(AF4),"En cours",AD4+AF4))</f>
        <v/>
      </c>
      <c r="AK4" s="161" t="str">
        <f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>IF(MIN(F5,J5,N5,R5,V5,Z5)&lt;&gt;0,MIN(F5,J5,N5,R5,V5,Z5),"")</f>
        <v/>
      </c>
      <c r="AE5" s="163" t="str">
        <f>IF(MIN(H5,L5,P5,T5,X5,AB5)&lt;&gt;0,MIN(H5,L5,P5,T5,X5,AB5),"")</f>
        <v/>
      </c>
      <c r="AF5" s="163"/>
      <c r="AG5" s="162"/>
      <c r="AH5" s="163"/>
      <c r="AI5" s="162"/>
      <c r="AJ5" s="161" t="str">
        <f>IF(AD5="","",IF(ISBLANK(AF5),"En cours",AD5+AF5))</f>
        <v/>
      </c>
      <c r="AK5" s="161" t="str">
        <f>IF(AE5="","",IF(ISBLANK(AH5),"En cours",AE5+AH5))</f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>IF(MIN(F6,J6,N6,R6,V6,Z6)&lt;&gt;0,MIN(F6,J6,N6,R6,V6,Z6),"")</f>
        <v/>
      </c>
      <c r="AE6" s="163" t="str">
        <f>IF(MIN(H6,L6,P6,T6,X6,AB6)&lt;&gt;0,MIN(H6,L6,P6,T6,X6,AB6),"")</f>
        <v/>
      </c>
      <c r="AF6" s="163"/>
      <c r="AG6" s="162"/>
      <c r="AH6" s="163"/>
      <c r="AI6" s="162"/>
      <c r="AJ6" s="161" t="str">
        <f>IF(AD6="","",IF(ISBLANK(AF6),"En cours",AD6+AF6))</f>
        <v/>
      </c>
      <c r="AK6" s="161" t="str">
        <f>IF(AE6="","",IF(ISBLANK(AH6),"En cours",AE6+AH6))</f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>IF(MIN(F7,J7,N7,R7,V7,Z7)&lt;&gt;0,MIN(F7,J7,N7,R7,V7,Z7),"")</f>
        <v/>
      </c>
      <c r="AE7" s="163" t="str">
        <f>IF(MIN(H7,L7,P7,T7,X7,AB7)&lt;&gt;0,MIN(H7,L7,P7,T7,X7,AB7),"")</f>
        <v/>
      </c>
      <c r="AF7" s="163"/>
      <c r="AG7" s="162"/>
      <c r="AH7" s="163"/>
      <c r="AI7" s="162"/>
      <c r="AJ7" s="161" t="str">
        <f>IF(AD7="","",IF(ISBLANK(AF7),"En cours",AD7+AF7))</f>
        <v/>
      </c>
      <c r="AK7" s="161" t="str">
        <f>IF(AE7="","",IF(ISBLANK(AH7),"En cours",AE7+AH7))</f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>IF(MIN(F8,J8,N8,R8,V8,Z8)&lt;&gt;0,MIN(F8,J8,N8,R8,V8,Z8),"")</f>
        <v/>
      </c>
      <c r="AE8" s="163" t="str">
        <f>IF(MIN(H8,L8,P8,T8,X8,AB8)&lt;&gt;0,MIN(H8,L8,P8,T8,X8,AB8),"")</f>
        <v/>
      </c>
      <c r="AF8" s="163"/>
      <c r="AG8" s="162"/>
      <c r="AH8" s="163"/>
      <c r="AI8" s="162"/>
      <c r="AJ8" s="161" t="str">
        <f>IF(AD8="","",IF(ISBLANK(AF8),"En cours",AD8+AF8))</f>
        <v/>
      </c>
      <c r="AK8" s="161" t="str">
        <f>IF(AE8="","",IF(ISBLANK(AH8),"En cours",AE8+AH8))</f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>IF(MIN(F9,J9,N9,R9,V9,Z9)&lt;&gt;0,MIN(F9,J9,N9,R9,V9,Z9),"")</f>
        <v/>
      </c>
      <c r="AE9" s="163" t="str">
        <f>IF(MIN(H9,L9,P9,T9,X9,AB9)&lt;&gt;0,MIN(H9,L9,P9,T9,X9,AB9),"")</f>
        <v/>
      </c>
      <c r="AF9" s="163"/>
      <c r="AG9" s="162"/>
      <c r="AH9" s="163"/>
      <c r="AI9" s="162"/>
      <c r="AJ9" s="161" t="str">
        <f>IF(AD9="","",IF(ISBLANK(AF9),"En cours",AD9+AF9))</f>
        <v/>
      </c>
      <c r="AK9" s="161" t="str">
        <f>IF(AE9="","",IF(ISBLANK(AH9),"En cours",AE9+AH9))</f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>IF(MIN(F10,J10,N10,R10,V10,Z10)&lt;&gt;0,MIN(F10,J10,N10,R10,V10,Z10),"")</f>
        <v/>
      </c>
      <c r="AE10" s="163" t="str">
        <f>IF(MIN(H10,L10,P10,T10,X10,AB10)&lt;&gt;0,MIN(H10,L10,P10,T10,X10,AB10),"")</f>
        <v/>
      </c>
      <c r="AF10" s="163"/>
      <c r="AG10" s="162"/>
      <c r="AH10" s="163"/>
      <c r="AI10" s="162"/>
      <c r="AJ10" s="161" t="str">
        <f>IF(AD10="","",IF(ISBLANK(AF10),"En cours",AD10+AF10))</f>
        <v/>
      </c>
      <c r="AK10" s="161" t="str">
        <f>IF(AE10="","",IF(ISBLANK(AH10),"En cours",AE10+AH10))</f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>IF(MIN(F11,J11,N11,R11,V11,Z11)&lt;&gt;0,MIN(F11,J11,N11,R11,V11,Z11),"")</f>
        <v/>
      </c>
      <c r="AE11" s="163" t="str">
        <f>IF(MIN(H11,L11,P11,T11,X11,AB11)&lt;&gt;0,MIN(H11,L11,P11,T11,X11,AB11),"")</f>
        <v/>
      </c>
      <c r="AF11" s="163"/>
      <c r="AG11" s="162"/>
      <c r="AH11" s="163"/>
      <c r="AI11" s="162"/>
      <c r="AJ11" s="161" t="str">
        <f>IF(AD11="","",IF(ISBLANK(AF11),"En cours",AD11+AF11))</f>
        <v/>
      </c>
      <c r="AK11" s="161" t="str">
        <f>IF(AE11="","",IF(ISBLANK(AH11),"En cours",AE11+AH11))</f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>IF(MIN(F12,J12,N12,R12,V12,Z12)&lt;&gt;0,MIN(F12,J12,N12,R12,V12,Z12),"")</f>
        <v/>
      </c>
      <c r="AE12" s="163" t="str">
        <f>IF(MIN(H12,L12,P12,T12,X12,AB12)&lt;&gt;0,MIN(H12,L12,P12,T12,X12,AB12),"")</f>
        <v/>
      </c>
      <c r="AF12" s="163"/>
      <c r="AG12" s="162"/>
      <c r="AH12" s="163"/>
      <c r="AI12" s="162"/>
      <c r="AJ12" s="161" t="str">
        <f>IF(AD12="","",IF(ISBLANK(AF12),"En cours",AD12+AF12))</f>
        <v/>
      </c>
      <c r="AK12" s="161" t="str">
        <f>IF(AE12="","",IF(ISBLANK(AH12),"En cours",AE12+AH12))</f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>IF(MIN(F13,J13,N13,R13,V13,Z13)&lt;&gt;0,MIN(F13,J13,N13,R13,V13,Z13),"")</f>
        <v/>
      </c>
      <c r="AE13" s="163" t="str">
        <f>IF(MIN(H13,L13,P13,T13,X13,AB13)&lt;&gt;0,MIN(H13,L13,P13,T13,X13,AB13),"")</f>
        <v/>
      </c>
      <c r="AF13" s="163"/>
      <c r="AG13" s="162"/>
      <c r="AH13" s="163"/>
      <c r="AI13" s="162"/>
      <c r="AJ13" s="161" t="str">
        <f>IF(AD13="","",IF(ISBLANK(AF13),"En cours",AD13+AF13))</f>
        <v/>
      </c>
      <c r="AK13" s="161" t="str">
        <f>IF(AE13="","",IF(ISBLANK(AH13),"En cours",AE13+AH13))</f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>IF(MIN(F14,J14,N14,R14,V14,Z14)&lt;&gt;0,MIN(F14,J14,N14,R14,V14,Z14),"")</f>
        <v/>
      </c>
      <c r="AE14" s="163" t="str">
        <f>IF(MIN(H14,L14,P14,T14,X14,AB14)&lt;&gt;0,MIN(H14,L14,P14,T14,X14,AB14),"")</f>
        <v/>
      </c>
      <c r="AF14" s="163"/>
      <c r="AG14" s="162"/>
      <c r="AH14" s="163"/>
      <c r="AI14" s="162"/>
      <c r="AJ14" s="161" t="str">
        <f>IF(AD14="","",IF(ISBLANK(AF14),"En cours",AD14+AF14))</f>
        <v/>
      </c>
      <c r="AK14" s="161" t="str">
        <f>IF(AE14="","",IF(ISBLANK(AH14),"En cours",AE14+AH14))</f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>IF(MIN(F15,J15,N15,R15,V15,Z15)&lt;&gt;0,MIN(F15,J15,N15,R15,V15,Z15),"")</f>
        <v/>
      </c>
      <c r="AE15" s="163" t="str">
        <f>IF(MIN(H15,L15,P15,T15,X15,AB15)&lt;&gt;0,MIN(H15,L15,P15,T15,X15,AB15),"")</f>
        <v/>
      </c>
      <c r="AF15" s="163"/>
      <c r="AG15" s="162"/>
      <c r="AH15" s="163"/>
      <c r="AI15" s="162"/>
      <c r="AJ15" s="161" t="str">
        <f>IF(AD15="","",IF(ISBLANK(AF15),"En cours",AD15+AF15))</f>
        <v/>
      </c>
      <c r="AK15" s="161" t="str">
        <f>IF(AE15="","",IF(ISBLANK(AH15),"En cours",AE15+AH15))</f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>IF(MIN(F16,J16,N16,R16,V16,Z16)&lt;&gt;0,MIN(F16,J16,N16,R16,V16,Z16),"")</f>
        <v/>
      </c>
      <c r="AE16" s="163" t="str">
        <f>IF(MIN(H16,L16,P16,T16,X16,AB16)&lt;&gt;0,MIN(H16,L16,P16,T16,X16,AB16),"")</f>
        <v/>
      </c>
      <c r="AF16" s="163"/>
      <c r="AG16" s="162"/>
      <c r="AH16" s="163"/>
      <c r="AI16" s="162"/>
      <c r="AJ16" s="161" t="str">
        <f>IF(AD16="","",IF(ISBLANK(AF16),"En cours",AD16+AF16))</f>
        <v/>
      </c>
      <c r="AK16" s="161" t="str">
        <f>IF(AE16="","",IF(ISBLANK(AH16),"En cours",AE16+AH16))</f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>IF(MIN(F17,J17,N17,R17,V17,Z17)&lt;&gt;0,MIN(F17,J17,N17,R17,V17,Z17),"")</f>
        <v/>
      </c>
      <c r="AE17" s="163" t="str">
        <f>IF(MIN(H17,L17,P17,T17,X17,AB17)&lt;&gt;0,MIN(H17,L17,P17,T17,X17,AB17),"")</f>
        <v/>
      </c>
      <c r="AF17" s="163"/>
      <c r="AG17" s="162"/>
      <c r="AH17" s="163"/>
      <c r="AI17" s="162"/>
      <c r="AJ17" s="161" t="str">
        <f>IF(AD17="","",IF(ISBLANK(AF17),"En cours",AD17+AF17))</f>
        <v/>
      </c>
      <c r="AK17" s="161" t="str">
        <f>IF(AE17="","",IF(ISBLANK(AH17),"En cours",AE17+AH17))</f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>IF(MIN(F18,J18,N18,R18,V18,Z18)&lt;&gt;0,MIN(F18,J18,N18,R18,V18,Z18),"")</f>
        <v/>
      </c>
      <c r="AE18" s="163" t="str">
        <f>IF(MIN(H18,L18,P18,T18,X18,AB18)&lt;&gt;0,MIN(H18,L18,P18,T18,X18,AB18),"")</f>
        <v/>
      </c>
      <c r="AF18" s="163"/>
      <c r="AG18" s="162"/>
      <c r="AH18" s="163"/>
      <c r="AI18" s="162"/>
      <c r="AJ18" s="161" t="str">
        <f>IF(AD18="","",IF(ISBLANK(AF18),"En cours",AD18+AF18))</f>
        <v/>
      </c>
      <c r="AK18" s="161" t="str">
        <f>IF(AE18="","",IF(ISBLANK(AH18),"En cours",AE18+AH18))</f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>IF(MIN(F19,J19,N19,R19,V19,Z19)&lt;&gt;0,MIN(F19,J19,N19,R19,V19,Z19),"")</f>
        <v/>
      </c>
      <c r="AE19" s="163" t="str">
        <f>IF(MIN(H19,L19,P19,T19,X19,AB19)&lt;&gt;0,MIN(H19,L19,P19,T19,X19,AB19),"")</f>
        <v/>
      </c>
      <c r="AF19" s="163"/>
      <c r="AG19" s="162"/>
      <c r="AH19" s="163"/>
      <c r="AI19" s="162"/>
      <c r="AJ19" s="161" t="str">
        <f>IF(AD19="","",IF(ISBLANK(AF19),"En cours",AD19+AF19))</f>
        <v/>
      </c>
      <c r="AK19" s="161" t="str">
        <f>IF(AE19="","",IF(ISBLANK(AH19),"En cours",AE19+AH19))</f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>IF(MIN(F20,J20,N20,R20,V20,Z20)&lt;&gt;0,MIN(F20,J20,N20,R20,V20,Z20),"")</f>
        <v/>
      </c>
      <c r="AE20" s="163" t="str">
        <f>IF(MIN(H20,L20,P20,T20,X20,AB20)&lt;&gt;0,MIN(H20,L20,P20,T20,X20,AB20),"")</f>
        <v/>
      </c>
      <c r="AF20" s="163"/>
      <c r="AG20" s="162"/>
      <c r="AH20" s="163"/>
      <c r="AI20" s="162"/>
      <c r="AJ20" s="161" t="str">
        <f>IF(AD20="","",IF(ISBLANK(AF20),"En cours",AD20+AF20))</f>
        <v/>
      </c>
      <c r="AK20" s="161" t="str">
        <f>IF(AE20="","",IF(ISBLANK(AH20),"En cours",AE20+AH20))</f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>IF(MIN(F21,J21,N21,R21,V21,Z21)&lt;&gt;0,MIN(F21,J21,N21,R21,V21,Z21),"")</f>
        <v/>
      </c>
      <c r="AE21" s="163" t="str">
        <f>IF(MIN(H21,L21,P21,T21,X21,AB21)&lt;&gt;0,MIN(H21,L21,P21,T21,X21,AB21),"")</f>
        <v/>
      </c>
      <c r="AF21" s="163"/>
      <c r="AG21" s="162"/>
      <c r="AH21" s="163"/>
      <c r="AI21" s="162"/>
      <c r="AJ21" s="161" t="str">
        <f>IF(AD21="","",IF(ISBLANK(AF21),"En cours",AD21+AF21))</f>
        <v/>
      </c>
      <c r="AK21" s="161" t="str">
        <f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>IF(MIN(F22,J22,N22,R22,V22,Z22)&lt;&gt;0,MIN(F22,J22,N22,R22,V22,Z22),"")</f>
        <v/>
      </c>
      <c r="AE22" s="163" t="str">
        <f>IF(MIN(H22,L22,P22,T22,X22,AB22)&lt;&gt;0,MIN(H22,L22,P22,T22,X22,AB22),"")</f>
        <v/>
      </c>
      <c r="AF22" s="163"/>
      <c r="AG22" s="162"/>
      <c r="AH22" s="163"/>
      <c r="AI22" s="162"/>
      <c r="AJ22" s="161" t="str">
        <f>IF(AD22="","",IF(ISBLANK(AF22),"En cours",AD22+AF22))</f>
        <v/>
      </c>
      <c r="AK22" s="161" t="str">
        <f>IF(AE22="","",IF(ISBLANK(AH22),"En cours",AE22+AH22))</f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>IF(MIN(F23,J23,N23,R23,V23,Z23)&lt;&gt;0,MIN(F23,J23,N23,R23,V23,Z23),"")</f>
        <v/>
      </c>
      <c r="AE23" s="163" t="str">
        <f>IF(MIN(H23,L23,P23,T23,X23,AB23)&lt;&gt;0,MIN(H23,L23,P23,T23,X23,AB23),"")</f>
        <v/>
      </c>
      <c r="AF23" s="163"/>
      <c r="AG23" s="162"/>
      <c r="AH23" s="163"/>
      <c r="AI23" s="162"/>
      <c r="AJ23" s="161" t="str">
        <f>IF(AD23="","",IF(ISBLANK(AF23),"En cours",AD23+AF23))</f>
        <v/>
      </c>
      <c r="AK23" s="161" t="str">
        <f>IF(AE23="","",IF(ISBLANK(AH23),"En cours",AE23+AH23))</f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>IF(MIN(F24,J24,N24,R24,V24,Z24)&lt;&gt;0,MIN(F24,J24,N24,R24,V24,Z24),"")</f>
        <v/>
      </c>
      <c r="AE24" s="163" t="str">
        <f>IF(MIN(H24,L24,P24,T24,X24,AB24)&lt;&gt;0,MIN(H24,L24,P24,T24,X24,AB24),"")</f>
        <v/>
      </c>
      <c r="AF24" s="163"/>
      <c r="AG24" s="162"/>
      <c r="AH24" s="163"/>
      <c r="AI24" s="162"/>
      <c r="AJ24" s="161" t="str">
        <f>IF(AD24="","",IF(ISBLANK(AF24),"En cours",AD24+AF24))</f>
        <v/>
      </c>
      <c r="AK24" s="161" t="str">
        <f>IF(AE24="","",IF(ISBLANK(AH24),"En cours",AE24+AH24))</f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>IF(MIN(F25,J25,N25,R25,V25,Z25)&lt;&gt;0,MIN(F25,J25,N25,R25,V25,Z25),"")</f>
        <v/>
      </c>
      <c r="AE25" s="163" t="str">
        <f>IF(MIN(H25,L25,P25,T25,X25,AB25)&lt;&gt;0,MIN(H25,L25,P25,T25,X25,AB25),"")</f>
        <v/>
      </c>
      <c r="AF25" s="163"/>
      <c r="AG25" s="162"/>
      <c r="AH25" s="163"/>
      <c r="AI25" s="162"/>
      <c r="AJ25" s="161" t="str">
        <f>IF(AD25="","",IF(ISBLANK(AF25),"En cours",AD25+AF25))</f>
        <v/>
      </c>
      <c r="AK25" s="161" t="str">
        <f>IF(AE25="","",IF(ISBLANK(AH25),"En cours",AE25+AH25))</f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>IF(MIN(F26,J26,N26,R26,V26,Z26)&lt;&gt;0,MIN(F26,J26,N26,R26,V26,Z26),"")</f>
        <v/>
      </c>
      <c r="AE26" s="163" t="str">
        <f>IF(MIN(H26,L26,P26,T26,X26,AB26)&lt;&gt;0,MIN(H26,L26,P26,T26,X26,AB26),"")</f>
        <v/>
      </c>
      <c r="AF26" s="163"/>
      <c r="AG26" s="162"/>
      <c r="AH26" s="163"/>
      <c r="AI26" s="162"/>
      <c r="AJ26" s="161" t="str">
        <f>IF(AD26="","",IF(ISBLANK(AF26),"En cours",AD26+AF26))</f>
        <v/>
      </c>
      <c r="AK26" s="161" t="str">
        <f>IF(AE26="","",IF(ISBLANK(AH26),"En cours",AE26+AH26))</f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>IF(MIN(F27,J27,N27,R27,V27,Z27)&lt;&gt;0,MIN(F27,J27,N27,R27,V27,Z27),"")</f>
        <v/>
      </c>
      <c r="AE27" s="163" t="str">
        <f>IF(MIN(H27,L27,P27,T27,X27,AB27)&lt;&gt;0,MIN(H27,L27,P27,T27,X27,AB27),"")</f>
        <v/>
      </c>
      <c r="AF27" s="163"/>
      <c r="AG27" s="162"/>
      <c r="AH27" s="163"/>
      <c r="AI27" s="162"/>
      <c r="AJ27" s="161" t="str">
        <f>IF(AD27="","",IF(ISBLANK(AF27),"En cours",AD27+AF27))</f>
        <v/>
      </c>
      <c r="AK27" s="161" t="str">
        <f>IF(AE27="","",IF(ISBLANK(AH27),"En cours",AE27+AH27))</f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>IF(MIN(F28,J28,N28,R28,V28,Z28)&lt;&gt;0,MIN(F28,J28,N28,R28,V28,Z28),"")</f>
        <v/>
      </c>
      <c r="AE28" s="163" t="str">
        <f>IF(MIN(H28,L28,P28,T28,X28,AB28)&lt;&gt;0,MIN(H28,L28,P28,T28,X28,AB28),"")</f>
        <v/>
      </c>
      <c r="AF28" s="163"/>
      <c r="AG28" s="162"/>
      <c r="AH28" s="163"/>
      <c r="AI28" s="162"/>
      <c r="AJ28" s="161" t="str">
        <f>IF(AD28="","",IF(ISBLANK(AF28),"En cours",AD28+AF28))</f>
        <v/>
      </c>
      <c r="AK28" s="161" t="str">
        <f>IF(AE28="","",IF(ISBLANK(AH28),"En cours",AE28+AH28))</f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>IF(MIN(F29,J29,N29,R29,V29,Z29)&lt;&gt;0,MIN(F29,J29,N29,R29,V29,Z29),"")</f>
        <v/>
      </c>
      <c r="AE29" s="163" t="str">
        <f>IF(MIN(H29,L29,P29,T29,X29,AB29)&lt;&gt;0,MIN(H29,L29,P29,T29,X29,AB29),"")</f>
        <v/>
      </c>
      <c r="AF29" s="163"/>
      <c r="AG29" s="162"/>
      <c r="AH29" s="163"/>
      <c r="AI29" s="162"/>
      <c r="AJ29" s="161" t="str">
        <f>IF(AD29="","",IF(ISBLANK(AF29),"En cours",AD29+AF29))</f>
        <v/>
      </c>
      <c r="AK29" s="161" t="str">
        <f>IF(AE29="","",IF(ISBLANK(AH29),"En cours",AE29+AH29))</f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>IF(MIN(F30,J30,N30,R30,V30,Z30)&lt;&gt;0,MIN(F30,J30,N30,R30,V30,Z30),"")</f>
        <v/>
      </c>
      <c r="AE30" s="163" t="str">
        <f>IF(MIN(H30,L30,P30,T30,X30,AB30)&lt;&gt;0,MIN(H30,L30,P30,T30,X30,AB30),"")</f>
        <v/>
      </c>
      <c r="AF30" s="163"/>
      <c r="AG30" s="162"/>
      <c r="AH30" s="163"/>
      <c r="AI30" s="162"/>
      <c r="AJ30" s="161" t="str">
        <f>IF(AD30="","",IF(ISBLANK(AF30),"En cours",AD30+AF30))</f>
        <v/>
      </c>
      <c r="AK30" s="161" t="str">
        <f>IF(AE30="","",IF(ISBLANK(AH30),"En cours",AE30+AH30))</f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>IF(MIN(F31,J31,N31,R31,V31,Z31)&lt;&gt;0,MIN(F31,J31,N31,R31,V31,Z31),"")</f>
        <v/>
      </c>
      <c r="AE31" s="163" t="str">
        <f>IF(MIN(H31,L31,P31,T31,X31,AB31)&lt;&gt;0,MIN(H31,L31,P31,T31,X31,AB31),"")</f>
        <v/>
      </c>
      <c r="AF31" s="163"/>
      <c r="AG31" s="162"/>
      <c r="AH31" s="163"/>
      <c r="AI31" s="162"/>
      <c r="AJ31" s="161" t="str">
        <f>IF(AD31="","",IF(ISBLANK(AF31),"En cours",AD31+AF31))</f>
        <v/>
      </c>
      <c r="AK31" s="161" t="str">
        <f>IF(AE31="","",IF(ISBLANK(AH31),"En cours",AE31+AH31))</f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>IF(MIN(F32,J32,N32,R32,V32,Z32)&lt;&gt;0,MIN(F32,J32,N32,R32,V32,Z32),"")</f>
        <v/>
      </c>
      <c r="AE32" s="163" t="str">
        <f>IF(MIN(H32,L32,P32,T32,X32,AB32)&lt;&gt;0,MIN(H32,L32,P32,T32,X32,AB32),"")</f>
        <v/>
      </c>
      <c r="AF32" s="163"/>
      <c r="AG32" s="162"/>
      <c r="AH32" s="163"/>
      <c r="AI32" s="162"/>
      <c r="AJ32" s="161" t="str">
        <f>IF(AD32="","",IF(ISBLANK(AF32),"En cours",AD32+AF32))</f>
        <v/>
      </c>
      <c r="AK32" s="161" t="str">
        <f>IF(AE32="","",IF(ISBLANK(AH32),"En cours",AE32+AH32))</f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>IF(MIN(F33,J33,N33,R33,V33,Z33)&lt;&gt;0,MIN(F33,J33,N33,R33,V33,Z33),"")</f>
        <v/>
      </c>
      <c r="AE33" s="163" t="str">
        <f>IF(MIN(H33,L33,P33,T33,X33,AB33)&lt;&gt;0,MIN(H33,L33,P33,T33,X33,AB33),"")</f>
        <v/>
      </c>
      <c r="AF33" s="163"/>
      <c r="AG33" s="162"/>
      <c r="AH33" s="163"/>
      <c r="AI33" s="162"/>
      <c r="AJ33" s="161" t="str">
        <f>IF(AD33="","",IF(ISBLANK(AF33),"En cours",AD33+AF33))</f>
        <v/>
      </c>
      <c r="AK33" s="161" t="str">
        <f>IF(AE33="","",IF(ISBLANK(AH33),"En cours",AE33+AH33))</f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>IF(MIN(F34,J34,N34,R34,V34,Z34)&lt;&gt;0,MIN(F34,J34,N34,R34,V34,Z34),"")</f>
        <v/>
      </c>
      <c r="AE34" s="163" t="str">
        <f>IF(MIN(H34,L34,P34,T34,X34,AB34)&lt;&gt;0,MIN(H34,L34,P34,T34,X34,AB34),"")</f>
        <v/>
      </c>
      <c r="AF34" s="163"/>
      <c r="AG34" s="162"/>
      <c r="AH34" s="163"/>
      <c r="AI34" s="162"/>
      <c r="AJ34" s="161" t="str">
        <f>IF(AD34="","",IF(ISBLANK(AF34),"En cours",AD34+AF34))</f>
        <v/>
      </c>
      <c r="AK34" s="161" t="str">
        <f>IF(AE34="","",IF(ISBLANK(AH34),"En cours",AE34+AH34))</f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>IF(MIN(F35,J35,N35,R35,V35,Z35)&lt;&gt;0,MIN(F35,J35,N35,R35,V35,Z35),"")</f>
        <v/>
      </c>
      <c r="AE35" s="163" t="str">
        <f>IF(MIN(H35,L35,P35,T35,X35,AB35)&lt;&gt;0,MIN(H35,L35,P35,T35,X35,AB35),"")</f>
        <v/>
      </c>
      <c r="AF35" s="163"/>
      <c r="AG35" s="162"/>
      <c r="AH35" s="163"/>
      <c r="AI35" s="162"/>
      <c r="AJ35" s="161" t="str">
        <f>IF(AD35="","",IF(ISBLANK(AF35),"En cours",AD35+AF35))</f>
        <v/>
      </c>
      <c r="AK35" s="161" t="str">
        <f>IF(AE35="","",IF(ISBLANK(AH35),"En cours",AE35+AH35))</f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>IF(MIN(F36,J36,N36,R36,V36,Z36)&lt;&gt;0,MIN(F36,J36,N36,R36,V36,Z36),"")</f>
        <v/>
      </c>
      <c r="AE36" s="163" t="str">
        <f>IF(MIN(H36,L36,P36,T36,X36,AB36)&lt;&gt;0,MIN(H36,L36,P36,T36,X36,AB36),"")</f>
        <v/>
      </c>
      <c r="AF36" s="163"/>
      <c r="AG36" s="162"/>
      <c r="AH36" s="163"/>
      <c r="AI36" s="162"/>
      <c r="AJ36" s="161" t="str">
        <f>IF(AD36="","",IF(ISBLANK(AF36),"En cours",AD36+AF36))</f>
        <v/>
      </c>
      <c r="AK36" s="161" t="str">
        <f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>IF(MIN(F37,J37,N37,R37,V37,Z37)&lt;&gt;0,MIN(F37,J37,N37,R37,V37,Z37),"")</f>
        <v/>
      </c>
      <c r="AE37" s="163" t="str">
        <f>IF(MIN(H37,L37,P37,T37,X37,AB37)&lt;&gt;0,MIN(H37,L37,P37,T37,X37,AB37),"")</f>
        <v/>
      </c>
      <c r="AF37" s="163"/>
      <c r="AG37" s="162"/>
      <c r="AH37" s="163"/>
      <c r="AI37" s="162"/>
      <c r="AJ37" s="161" t="str">
        <f>IF(AD37="","",IF(ISBLANK(AF37),"En cours",AD37+AF37))</f>
        <v/>
      </c>
      <c r="AK37" s="161" t="str">
        <f>IF(AE37="","",IF(ISBLANK(AH37),"En cours",AE37+AH37))</f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>IF(MIN(F38,J38,N38,R38,V38,Z38)&lt;&gt;0,MIN(F38,J38,N38,R38,V38,Z38),"")</f>
        <v/>
      </c>
      <c r="AE38" s="163" t="str">
        <f>IF(MIN(H38,L38,P38,T38,X38,AB38)&lt;&gt;0,MIN(H38,L38,P38,T38,X38,AB38),"")</f>
        <v/>
      </c>
      <c r="AF38" s="163"/>
      <c r="AG38" s="162"/>
      <c r="AH38" s="163"/>
      <c r="AI38" s="162"/>
      <c r="AJ38" s="161" t="str">
        <f>IF(AD38="","",IF(ISBLANK(AF38),"En cours",AD38+AF38))</f>
        <v/>
      </c>
      <c r="AK38" s="161" t="str">
        <f>IF(AE38="","",IF(ISBLANK(AH38),"En cours",AE38+AH38))</f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>IF(MIN(F39,J39,N39,R39,V39,Z39)&lt;&gt;0,MIN(F39,J39,N39,R39,V39,Z39),"")</f>
        <v/>
      </c>
      <c r="AE39" s="163" t="str">
        <f>IF(MIN(H39,L39,P39,T39,X39,AB39)&lt;&gt;0,MIN(H39,L39,P39,T39,X39,AB39),"")</f>
        <v/>
      </c>
      <c r="AF39" s="163"/>
      <c r="AG39" s="162"/>
      <c r="AH39" s="163"/>
      <c r="AI39" s="162"/>
      <c r="AJ39" s="161" t="str">
        <f>IF(AD39="","",IF(ISBLANK(AF39),"En cours",AD39+AF39))</f>
        <v/>
      </c>
      <c r="AK39" s="161" t="str">
        <f>IF(AE39="","",IF(ISBLANK(AH39),"En cours",AE39+AH39))</f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>IF(MIN(F40,J40,N40,R40,V40,Z40)&lt;&gt;0,MIN(F40,J40,N40,R40,V40,Z40),"")</f>
        <v/>
      </c>
      <c r="AE40" s="163" t="str">
        <f>IF(MIN(H40,L40,P40,T40,X40,AB40)&lt;&gt;0,MIN(H40,L40,P40,T40,X40,AB40),"")</f>
        <v/>
      </c>
      <c r="AF40" s="163"/>
      <c r="AG40" s="162"/>
      <c r="AH40" s="163"/>
      <c r="AI40" s="162"/>
      <c r="AJ40" s="161" t="str">
        <f>IF(AD40="","",IF(ISBLANK(AF40),"En cours",AD40+AF40))</f>
        <v/>
      </c>
      <c r="AK40" s="161" t="str">
        <f>IF(AE40="","",IF(ISBLANK(AH40),"En cours",AE40+AH40))</f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>IF(MIN(F41,J41,N41,R41,V41,Z41)&lt;&gt;0,MIN(F41,J41,N41,R41,V41,Z41),"")</f>
        <v/>
      </c>
      <c r="AE41" s="163" t="str">
        <f>IF(MIN(H41,L41,P41,T41,X41,AB41)&lt;&gt;0,MIN(H41,L41,P41,T41,X41,AB41),"")</f>
        <v/>
      </c>
      <c r="AF41" s="163"/>
      <c r="AG41" s="162"/>
      <c r="AH41" s="163"/>
      <c r="AI41" s="162"/>
      <c r="AJ41" s="161" t="str">
        <f>IF(AD41="","",IF(ISBLANK(AF41),"En cours",AD41+AF41))</f>
        <v/>
      </c>
      <c r="AK41" s="161" t="str">
        <f>IF(AE41="","",IF(ISBLANK(AH41),"En cours",AE41+AH41))</f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>IF(MIN(F42,J42,N42,R42,V42,Z42)&lt;&gt;0,MIN(F42,J42,N42,R42,V42,Z42),"")</f>
        <v/>
      </c>
      <c r="AE42" s="163" t="str">
        <f>IF(MIN(H42,L42,P42,T42,X42,AB42)&lt;&gt;0,MIN(H42,L42,P42,T42,X42,AB42),"")</f>
        <v/>
      </c>
      <c r="AF42" s="163"/>
      <c r="AG42" s="162"/>
      <c r="AH42" s="163"/>
      <c r="AI42" s="162"/>
      <c r="AJ42" s="161" t="str">
        <f>IF(AD42="","",IF(ISBLANK(AF42),"En cours",AD42+AF42))</f>
        <v/>
      </c>
      <c r="AK42" s="161" t="str">
        <f>IF(AE42="","",IF(ISBLANK(AH42),"En cours",AE42+AH42))</f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>IF(MIN(F43,J43,N43,R43,V43,Z43)&lt;&gt;0,MIN(F43,J43,N43,R43,V43,Z43),"")</f>
        <v/>
      </c>
      <c r="AE43" s="163" t="str">
        <f>IF(MIN(H43,L43,P43,T43,X43,AB43)&lt;&gt;0,MIN(H43,L43,P43,T43,X43,AB43),"")</f>
        <v/>
      </c>
      <c r="AF43" s="163"/>
      <c r="AG43" s="162"/>
      <c r="AH43" s="163"/>
      <c r="AI43" s="162"/>
      <c r="AJ43" s="161" t="str">
        <f>IF(AD43="","",IF(ISBLANK(AF43),"En cours",AD43+AF43))</f>
        <v/>
      </c>
      <c r="AK43" s="161" t="str">
        <f>IF(AE43="","",IF(ISBLANK(AH43),"En cours",AE43+AH43))</f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>IF(MIN(F44,J44,N44,R44,V44,Z44)&lt;&gt;0,MIN(F44,J44,N44,R44,V44,Z44),"")</f>
        <v/>
      </c>
      <c r="AE44" s="163" t="str">
        <f>IF(MIN(H44,L44,P44,T44,X44,AB44)&lt;&gt;0,MIN(H44,L44,P44,T44,X44,AB44),"")</f>
        <v/>
      </c>
      <c r="AF44" s="163"/>
      <c r="AG44" s="162"/>
      <c r="AH44" s="163"/>
      <c r="AI44" s="162"/>
      <c r="AJ44" s="161" t="str">
        <f>IF(AD44="","",IF(ISBLANK(AF44),"En cours",AD44+AF44))</f>
        <v/>
      </c>
      <c r="AK44" s="161" t="str">
        <f>IF(AE44="","",IF(ISBLANK(AH44),"En cours",AE44+AH44))</f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>IF(MIN(F45,J45,N45,R45,V45,Z45)&lt;&gt;0,MIN(F45,J45,N45,R45,V45,Z45),"")</f>
        <v/>
      </c>
      <c r="AE45" s="163" t="str">
        <f>IF(MIN(H45,L45,P45,T45,X45,AB45)&lt;&gt;0,MIN(H45,L45,P45,T45,X45,AB45),"")</f>
        <v/>
      </c>
      <c r="AF45" s="163"/>
      <c r="AG45" s="162"/>
      <c r="AH45" s="163"/>
      <c r="AI45" s="162"/>
      <c r="AJ45" s="161" t="str">
        <f>IF(AD45="","",IF(ISBLANK(AF45),"En cours",AD45+AF45))</f>
        <v/>
      </c>
      <c r="AK45" s="161" t="str">
        <f>IF(AE45="","",IF(ISBLANK(AH45),"En cours",AE45+AH45))</f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>IF(MIN(F46,J46,N46,R46,V46,Z46)&lt;&gt;0,MIN(F46,J46,N46,R46,V46,Z46),"")</f>
        <v/>
      </c>
      <c r="AE46" s="163" t="str">
        <f>IF(MIN(H46,L46,P46,T46,X46,AB46)&lt;&gt;0,MIN(H46,L46,P46,T46,X46,AB46),"")</f>
        <v/>
      </c>
      <c r="AF46" s="163"/>
      <c r="AG46" s="162"/>
      <c r="AH46" s="163"/>
      <c r="AI46" s="162"/>
      <c r="AJ46" s="161" t="str">
        <f>IF(AD46="","",IF(ISBLANK(AF46),"En cours",AD46+AF46))</f>
        <v/>
      </c>
      <c r="AK46" s="161" t="str">
        <f>IF(AE46="","",IF(ISBLANK(AH46),"En cours",AE46+AH46))</f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>IF(MIN(F47,J47,N47,R47,V47,Z47)&lt;&gt;0,MIN(F47,J47,N47,R47,V47,Z47),"")</f>
        <v/>
      </c>
      <c r="AE47" s="163" t="str">
        <f>IF(MIN(H47,L47,P47,T47,X47,AB47)&lt;&gt;0,MIN(H47,L47,P47,T47,X47,AB47),"")</f>
        <v/>
      </c>
      <c r="AF47" s="163"/>
      <c r="AG47" s="162"/>
      <c r="AH47" s="163"/>
      <c r="AI47" s="162"/>
      <c r="AJ47" s="161" t="str">
        <f>IF(AD47="","",IF(ISBLANK(AF47),"En cours",AD47+AF47))</f>
        <v/>
      </c>
      <c r="AK47" s="161" t="str">
        <f>IF(AE47="","",IF(ISBLANK(AH47),"En cours",AE47+AH47))</f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>IF(MIN(F48,J48,N48,R48,V48,Z48)&lt;&gt;0,MIN(F48,J48,N48,R48,V48,Z48),"")</f>
        <v/>
      </c>
      <c r="AE48" s="163" t="str">
        <f>IF(MIN(H48,L48,P48,T48,X48,AB48)&lt;&gt;0,MIN(H48,L48,P48,T48,X48,AB48),"")</f>
        <v/>
      </c>
      <c r="AF48" s="163"/>
      <c r="AG48" s="162"/>
      <c r="AH48" s="163"/>
      <c r="AI48" s="162"/>
      <c r="AJ48" s="161" t="str">
        <f>IF(AD48="","",IF(ISBLANK(AF48),"En cours",AD48+AF48))</f>
        <v/>
      </c>
      <c r="AK48" s="161" t="str">
        <f>IF(AE48="","",IF(ISBLANK(AH48),"En cours",AE48+AH48))</f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>IF(MIN(F49,J49,N49,R49,V49,Z49)&lt;&gt;0,MIN(F49,J49,N49,R49,V49,Z49),"")</f>
        <v/>
      </c>
      <c r="AE49" s="163" t="str">
        <f>IF(MIN(H49,L49,P49,T49,X49,AB49)&lt;&gt;0,MIN(H49,L49,P49,T49,X49,AB49),"")</f>
        <v/>
      </c>
      <c r="AF49" s="163"/>
      <c r="AG49" s="162"/>
      <c r="AH49" s="163"/>
      <c r="AI49" s="162"/>
      <c r="AJ49" s="161" t="str">
        <f>IF(AD49="","",IF(ISBLANK(AF49),"En cours",AD49+AF49))</f>
        <v/>
      </c>
      <c r="AK49" s="161" t="str">
        <f>IF(AE49="","",IF(ISBLANK(AH49),"En cours",AE49+AH49))</f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>IF(MIN(F50,J50,N50,R50,V50,Z50)&lt;&gt;0,MIN(F50,J50,N50,R50,V50,Z50),"")</f>
        <v/>
      </c>
      <c r="AE50" s="163" t="str">
        <f>IF(MIN(H50,L50,P50,T50,X50,AB50)&lt;&gt;0,MIN(H50,L50,P50,T50,X50,AB50),"")</f>
        <v/>
      </c>
      <c r="AF50" s="163"/>
      <c r="AG50" s="162"/>
      <c r="AH50" s="163"/>
      <c r="AI50" s="162"/>
      <c r="AJ50" s="161" t="str">
        <f>IF(AD50="","",IF(ISBLANK(AF50),"En cours",AD50+AF50))</f>
        <v/>
      </c>
      <c r="AK50" s="161" t="str">
        <f>IF(AE50="","",IF(ISBLANK(AH50),"En cours",AE50+AH50))</f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>IF(MIN(F51,J51,N51,R51,V51,Z51)&lt;&gt;0,MIN(F51,J51,N51,R51,V51,Z51),"")</f>
        <v/>
      </c>
      <c r="AE51" s="163" t="str">
        <f>IF(MIN(H51,L51,P51,T51,X51,AB51)&lt;&gt;0,MIN(H51,L51,P51,T51,X51,AB51),"")</f>
        <v/>
      </c>
      <c r="AF51" s="163"/>
      <c r="AG51" s="162"/>
      <c r="AH51" s="163"/>
      <c r="AI51" s="162"/>
      <c r="AJ51" s="161" t="str">
        <f>IF(AD51="","",IF(ISBLANK(AF51),"En cours",AD51+AF51))</f>
        <v/>
      </c>
      <c r="AK51" s="161" t="str">
        <f>IF(AE51="","",IF(ISBLANK(AH51),"En cours",AE51+AH51))</f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>IF(MIN(F52,J52,N52,R52,V52,Z52)&lt;&gt;0,MIN(F52,J52,N52,R52,V52,Z52),"")</f>
        <v/>
      </c>
      <c r="AE52" s="163" t="str">
        <f>IF(MIN(H52,L52,P52,T52,X52,AB52)&lt;&gt;0,MIN(H52,L52,P52,T52,X52,AB52),"")</f>
        <v/>
      </c>
      <c r="AF52" s="163"/>
      <c r="AG52" s="162"/>
      <c r="AH52" s="163"/>
      <c r="AI52" s="162"/>
      <c r="AJ52" s="161" t="str">
        <f>IF(AD52="","",IF(ISBLANK(AF52),"En cours",AD52+AF52))</f>
        <v/>
      </c>
      <c r="AK52" s="161" t="str">
        <f>IF(AE52="","",IF(ISBLANK(AH52),"En cours",AE52+AH52))</f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>IF(MIN(F53,J53,N53,R53,V53,Z53)&lt;&gt;0,MIN(F53,J53,N53,R53,V53,Z53),"")</f>
        <v/>
      </c>
      <c r="AE53" s="163" t="str">
        <f>IF(MIN(H53,L53,P53,T53,X53,AB53)&lt;&gt;0,MIN(H53,L53,P53,T53,X53,AB53),"")</f>
        <v/>
      </c>
      <c r="AF53" s="163"/>
      <c r="AG53" s="162"/>
      <c r="AH53" s="163"/>
      <c r="AI53" s="162"/>
      <c r="AJ53" s="161" t="str">
        <f>IF(AD53="","",IF(ISBLANK(AF53),"En cours",AD53+AF53))</f>
        <v/>
      </c>
      <c r="AK53" s="161" t="str">
        <f>IF(AE53="","",IF(ISBLANK(AH53),"En cours",AE53+AH53))</f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>IF(MIN(F54,J54,N54,R54,V54,Z54)&lt;&gt;0,MIN(F54,J54,N54,R54,V54,Z54),"")</f>
        <v/>
      </c>
      <c r="AE54" s="163" t="str">
        <f>IF(MIN(H54,L54,P54,T54,X54,AB54)&lt;&gt;0,MIN(H54,L54,P54,T54,X54,AB54),"")</f>
        <v/>
      </c>
      <c r="AF54" s="163"/>
      <c r="AG54" s="162"/>
      <c r="AH54" s="163"/>
      <c r="AI54" s="162"/>
      <c r="AJ54" s="161" t="str">
        <f>IF(AD54="","",IF(ISBLANK(AF54),"En cours",AD54+AF54))</f>
        <v/>
      </c>
      <c r="AK54" s="161" t="str">
        <f>IF(AE54="","",IF(ISBLANK(AH54),"En cours",AE54+AH54))</f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>IF(MIN(F55,J55,N55,R55,V55,Z55)&lt;&gt;0,MIN(F55,J55,N55,R55,V55,Z55),"")</f>
        <v/>
      </c>
      <c r="AE55" s="163" t="str">
        <f>IF(MIN(H55,L55,P55,T55,X55,AB55)&lt;&gt;0,MIN(H55,L55,P55,T55,X55,AB55),"")</f>
        <v/>
      </c>
      <c r="AF55" s="163"/>
      <c r="AG55" s="162"/>
      <c r="AH55" s="163"/>
      <c r="AI55" s="162"/>
      <c r="AJ55" s="161" t="str">
        <f>IF(AD55="","",IF(ISBLANK(AF55),"En cours",AD55+AF55))</f>
        <v/>
      </c>
      <c r="AK55" s="161" t="str">
        <f>IF(AE55="","",IF(ISBLANK(AH55),"En cours",AE55+AH55))</f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>IF(MIN(F56,J56,N56,R56,V56,Z56)&lt;&gt;0,MIN(F56,J56,N56,R56,V56,Z56),"")</f>
        <v/>
      </c>
      <c r="AE56" s="163" t="str">
        <f>IF(MIN(H56,L56,P56,T56,X56,AB56)&lt;&gt;0,MIN(H56,L56,P56,T56,X56,AB56),"")</f>
        <v/>
      </c>
      <c r="AF56" s="163"/>
      <c r="AG56" s="162"/>
      <c r="AH56" s="163"/>
      <c r="AI56" s="162"/>
      <c r="AJ56" s="161" t="str">
        <f>IF(AD56="","",IF(ISBLANK(AF56),"En cours",AD56+AF56))</f>
        <v/>
      </c>
      <c r="AK56" s="161" t="str">
        <f>IF(AE56="","",IF(ISBLANK(AH56),"En cours",AE56+AH56))</f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>IF(MIN(F57,J57,N57,R57,V57,Z57)&lt;&gt;0,MIN(F57,J57,N57,R57,V57,Z57),"")</f>
        <v/>
      </c>
      <c r="AE57" s="163" t="str">
        <f>IF(MIN(H57,L57,P57,T57,X57,AB57)&lt;&gt;0,MIN(H57,L57,P57,T57,X57,AB57),"")</f>
        <v/>
      </c>
      <c r="AF57" s="163"/>
      <c r="AG57" s="162"/>
      <c r="AH57" s="163"/>
      <c r="AI57" s="162"/>
      <c r="AJ57" s="161" t="str">
        <f>IF(AD57="","",IF(ISBLANK(AF57),"En cours",AD57+AF57))</f>
        <v/>
      </c>
      <c r="AK57" s="161" t="str">
        <f>IF(AE57="","",IF(ISBLANK(AH57),"En cours",AE57+AH57))</f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>IF(MIN(F58,J58,N58,R58,V58,Z58)&lt;&gt;0,MIN(F58,J58,N58,R58,V58,Z58),"")</f>
        <v/>
      </c>
      <c r="AE58" s="163" t="str">
        <f>IF(MIN(H58,L58,P58,T58,X58,AB58)&lt;&gt;0,MIN(H58,L58,P58,T58,X58,AB58),"")</f>
        <v/>
      </c>
      <c r="AF58" s="163"/>
      <c r="AG58" s="162"/>
      <c r="AH58" s="163"/>
      <c r="AI58" s="162"/>
      <c r="AJ58" s="161" t="str">
        <f>IF(AD58="","",IF(ISBLANK(AF58),"En cours",AD58+AF58))</f>
        <v/>
      </c>
      <c r="AK58" s="161" t="str">
        <f>IF(AE58="","",IF(ISBLANK(AH58),"En cours",AE58+AH58))</f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>IF(MIN(F59,J59,N59,R59,V59,Z59)&lt;&gt;0,MIN(F59,J59,N59,R59,V59,Z59),"")</f>
        <v/>
      </c>
      <c r="AE59" s="163" t="str">
        <f>IF(MIN(H59,L59,P59,T59,X59,AB59)&lt;&gt;0,MIN(H59,L59,P59,T59,X59,AB59),"")</f>
        <v/>
      </c>
      <c r="AF59" s="163"/>
      <c r="AG59" s="162"/>
      <c r="AH59" s="163"/>
      <c r="AI59" s="162"/>
      <c r="AJ59" s="161" t="str">
        <f>IF(AD59="","",IF(ISBLANK(AF59),"En cours",AD59+AF59))</f>
        <v/>
      </c>
      <c r="AK59" s="161" t="str">
        <f>IF(AE59="","",IF(ISBLANK(AH59),"En cours",AE59+AH59))</f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>IF(MIN(F60,J60,N60,R60,V60,Z60)&lt;&gt;0,MIN(F60,J60,N60,R60,V60,Z60),"")</f>
        <v/>
      </c>
      <c r="AE60" s="163" t="str">
        <f>IF(MIN(H60,L60,P60,T60,X60,AB60)&lt;&gt;0,MIN(H60,L60,P60,T60,X60,AB60),"")</f>
        <v/>
      </c>
      <c r="AF60" s="163"/>
      <c r="AG60" s="162"/>
      <c r="AH60" s="163"/>
      <c r="AI60" s="162"/>
      <c r="AJ60" s="161" t="str">
        <f>IF(AD60="","",IF(ISBLANK(AF60),"En cours",AD60+AF60))</f>
        <v/>
      </c>
      <c r="AK60" s="161" t="str">
        <f>IF(AE60="","",IF(ISBLANK(AH60),"En cours",AE60+AH60))</f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>IF(MIN(F61,J61,N61,R61,V61,Z61)&lt;&gt;0,MIN(F61,J61,N61,R61,V61,Z61),"")</f>
        <v/>
      </c>
      <c r="AE61" s="163" t="str">
        <f>IF(MIN(H61,L61,P61,T61,X61,AB61)&lt;&gt;0,MIN(H61,L61,P61,T61,X61,AB61),"")</f>
        <v/>
      </c>
      <c r="AF61" s="163"/>
      <c r="AG61" s="162"/>
      <c r="AH61" s="163"/>
      <c r="AI61" s="162"/>
      <c r="AJ61" s="161" t="str">
        <f>IF(AD61="","",IF(ISBLANK(AF61),"En cours",AD61+AF61))</f>
        <v/>
      </c>
      <c r="AK61" s="161" t="str">
        <f>IF(AE61="","",IF(ISBLANK(AH61),"En cours",AE61+AH61))</f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>IF(MIN(F62,J62,N62,R62,V62,Z62)&lt;&gt;0,MIN(F62,J62,N62,R62,V62,Z62),"")</f>
        <v/>
      </c>
      <c r="AE62" s="163" t="str">
        <f>IF(MIN(H62,L62,P62,T62,X62,AB62)&lt;&gt;0,MIN(H62,L62,P62,T62,X62,AB62),"")</f>
        <v/>
      </c>
      <c r="AF62" s="163"/>
      <c r="AG62" s="162"/>
      <c r="AH62" s="163"/>
      <c r="AI62" s="162"/>
      <c r="AJ62" s="161" t="str">
        <f>IF(AD62="","",IF(ISBLANK(AF62),"En cours",AD62+AF62))</f>
        <v/>
      </c>
      <c r="AK62" s="161" t="str">
        <f>IF(AE62="","",IF(ISBLANK(AH62),"En cours",AE62+AH62))</f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>IF(MIN(F63,J63,N63,R63,V63,Z63)&lt;&gt;0,MIN(F63,J63,N63,R63,V63,Z63),"")</f>
        <v/>
      </c>
      <c r="AE63" s="163" t="str">
        <f>IF(MIN(H63,L63,P63,T63,X63,AB63)&lt;&gt;0,MIN(H63,L63,P63,T63,X63,AB63),"")</f>
        <v/>
      </c>
      <c r="AF63" s="163"/>
      <c r="AG63" s="162"/>
      <c r="AH63" s="163"/>
      <c r="AI63" s="162"/>
      <c r="AJ63" s="161" t="str">
        <f>IF(AD63="","",IF(ISBLANK(AF63),"En cours",AD63+AF63))</f>
        <v/>
      </c>
      <c r="AK63" s="161" t="str">
        <f>IF(AE63="","",IF(ISBLANK(AH63),"En cours",AE63+AH63))</f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>IF(MIN(F64,J64,N64,R64,V64,Z64)&lt;&gt;0,MIN(F64,J64,N64,R64,V64,Z64),"")</f>
        <v/>
      </c>
      <c r="AE64" s="163" t="str">
        <f>IF(MIN(H64,L64,P64,T64,X64,AB64)&lt;&gt;0,MIN(H64,L64,P64,T64,X64,AB64),"")</f>
        <v/>
      </c>
      <c r="AF64" s="163"/>
      <c r="AG64" s="162"/>
      <c r="AH64" s="163"/>
      <c r="AI64" s="162"/>
      <c r="AJ64" s="161" t="str">
        <f>IF(AD64="","",IF(ISBLANK(AF64),"En cours",AD64+AF64))</f>
        <v/>
      </c>
      <c r="AK64" s="161" t="str">
        <f>IF(AE64="","",IF(ISBLANK(AH64),"En cours",AE64+AH64))</f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>IF(MIN(F65,J65,N65,R65,V65,Z65)&lt;&gt;0,MIN(F65,J65,N65,R65,V65,Z65),"")</f>
        <v/>
      </c>
      <c r="AE65" s="163" t="str">
        <f>IF(MIN(H65,L65,P65,T65,X65,AB65)&lt;&gt;0,MIN(H65,L65,P65,T65,X65,AB65),"")</f>
        <v/>
      </c>
      <c r="AF65" s="163"/>
      <c r="AG65" s="162"/>
      <c r="AH65" s="163"/>
      <c r="AI65" s="162"/>
      <c r="AJ65" s="161" t="str">
        <f>IF(AD65="","",IF(ISBLANK(AF65),"En cours",AD65+AF65))</f>
        <v/>
      </c>
      <c r="AK65" s="161" t="str">
        <f>IF(AE65="","",IF(ISBLANK(AH65),"En cours",AE65+AH65))</f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>IF(MIN(F66,J66,N66,R66,V66,Z66)&lt;&gt;0,MIN(F66,J66,N66,R66,V66,Z66),"")</f>
        <v/>
      </c>
      <c r="AE66" s="163" t="str">
        <f>IF(MIN(H66,L66,P66,T66,X66,AB66)&lt;&gt;0,MIN(H66,L66,P66,T66,X66,AB66),"")</f>
        <v/>
      </c>
      <c r="AF66" s="163"/>
      <c r="AG66" s="162"/>
      <c r="AH66" s="163"/>
      <c r="AI66" s="162"/>
      <c r="AJ66" s="161" t="str">
        <f>IF(AD66="","",IF(ISBLANK(AF66),"En cours",AD66+AF66))</f>
        <v/>
      </c>
      <c r="AK66" s="161" t="str">
        <f>IF(AE66="","",IF(ISBLANK(AH66),"En cours",AE66+AH66))</f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>IF(MIN(F67,J67,N67,R67,V67,Z67)&lt;&gt;0,MIN(F67,J67,N67,R67,V67,Z67),"")</f>
        <v/>
      </c>
      <c r="AE67" s="163" t="str">
        <f>IF(MIN(H67,L67,P67,T67,X67,AB67)&lt;&gt;0,MIN(H67,L67,P67,T67,X67,AB67),"")</f>
        <v/>
      </c>
      <c r="AF67" s="163"/>
      <c r="AG67" s="162"/>
      <c r="AH67" s="163"/>
      <c r="AI67" s="162"/>
      <c r="AJ67" s="161" t="str">
        <f>IF(AD67="","",IF(ISBLANK(AF67),"En cours",AD67+AF67))</f>
        <v/>
      </c>
      <c r="AK67" s="161" t="str">
        <f>IF(AE67="","",IF(ISBLANK(AH67),"En cours",AE67+AH67))</f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>IF(MIN(F68,J68,N68,R68,V68,Z68)&lt;&gt;0,MIN(F68,J68,N68,R68,V68,Z68),"")</f>
        <v/>
      </c>
      <c r="AE68" s="163" t="str">
        <f>IF(MIN(H68,L68,P68,T68,X68,AB68)&lt;&gt;0,MIN(H68,L68,P68,T68,X68,AB68),"")</f>
        <v/>
      </c>
      <c r="AF68" s="163"/>
      <c r="AG68" s="162"/>
      <c r="AH68" s="163"/>
      <c r="AI68" s="162"/>
      <c r="AJ68" s="161" t="str">
        <f>IF(AD68="","",IF(ISBLANK(AF68),"En cours",AD68+AF68))</f>
        <v/>
      </c>
      <c r="AK68" s="161" t="str">
        <f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>IF(MIN(F69,J69,N69,R69,V69,Z69)&lt;&gt;0,MIN(F69,J69,N69,R69,V69,Z69),"")</f>
        <v/>
      </c>
      <c r="AE69" s="163" t="str">
        <f>IF(MIN(H69,L69,P69,T69,X69,AB69)&lt;&gt;0,MIN(H69,L69,P69,T69,X69,AB69),"")</f>
        <v/>
      </c>
      <c r="AF69" s="163"/>
      <c r="AG69" s="162"/>
      <c r="AH69" s="163"/>
      <c r="AI69" s="162"/>
      <c r="AJ69" s="161" t="str">
        <f>IF(AD69="","",IF(ISBLANK(AF69),"En cours",AD69+AF69))</f>
        <v/>
      </c>
      <c r="AK69" s="161" t="str">
        <f>IF(AE69="","",IF(ISBLANK(AH69),"En cours",AE69+AH69))</f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>IF(MIN(F70,J70,N70,R70,V70,Z70)&lt;&gt;0,MIN(F70,J70,N70,R70,V70,Z70),"")</f>
        <v/>
      </c>
      <c r="AE70" s="163" t="str">
        <f>IF(MIN(H70,L70,P70,T70,X70,AB70)&lt;&gt;0,MIN(H70,L70,P70,T70,X70,AB70),"")</f>
        <v/>
      </c>
      <c r="AF70" s="163"/>
      <c r="AG70" s="162"/>
      <c r="AH70" s="163"/>
      <c r="AI70" s="162"/>
      <c r="AJ70" s="161" t="str">
        <f>IF(AD70="","",IF(ISBLANK(AF70),"En cours",AD70+AF70))</f>
        <v/>
      </c>
      <c r="AK70" s="161" t="str">
        <f>IF(AE70="","",IF(ISBLANK(AH70),"En cours",AE70+AH70))</f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>IF(MIN(F71,J71,N71,R71,V71,Z71)&lt;&gt;0,MIN(F71,J71,N71,R71,V71,Z71),"")</f>
        <v/>
      </c>
      <c r="AE71" s="163" t="str">
        <f>IF(MIN(H71,L71,P71,T71,X71,AB71)&lt;&gt;0,MIN(H71,L71,P71,T71,X71,AB71),"")</f>
        <v/>
      </c>
      <c r="AF71" s="163"/>
      <c r="AG71" s="162"/>
      <c r="AH71" s="163"/>
      <c r="AI71" s="162"/>
      <c r="AJ71" s="161" t="str">
        <f>IF(AD71="","",IF(ISBLANK(AF71),"En cours",AD71+AF71))</f>
        <v/>
      </c>
      <c r="AK71" s="161" t="str">
        <f>IF(AE71="","",IF(ISBLANK(AH71),"En cours",AE71+AH71))</f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>IF(MIN(F72,J72,N72,R72,V72,Z72)&lt;&gt;0,MIN(F72,J72,N72,R72,V72,Z72),"")</f>
        <v/>
      </c>
      <c r="AE72" s="163" t="str">
        <f>IF(MIN(H72,L72,P72,T72,X72,AB72)&lt;&gt;0,MIN(H72,L72,P72,T72,X72,AB72),"")</f>
        <v/>
      </c>
      <c r="AF72" s="163"/>
      <c r="AG72" s="162"/>
      <c r="AH72" s="163"/>
      <c r="AI72" s="162"/>
      <c r="AJ72" s="161" t="str">
        <f>IF(AD72="","",IF(ISBLANK(AF72),"En cours",AD72+AF72))</f>
        <v/>
      </c>
      <c r="AK72" s="161" t="str">
        <f>IF(AE72="","",IF(ISBLANK(AH72),"En cours",AE72+AH72))</f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>IF(MIN(F73,J73,N73,R73,V73,Z73)&lt;&gt;0,MIN(F73,J73,N73,R73,V73,Z73),"")</f>
        <v/>
      </c>
      <c r="AE73" s="163" t="str">
        <f>IF(MIN(H73,L73,P73,T73,X73,AB73)&lt;&gt;0,MIN(H73,L73,P73,T73,X73,AB73),"")</f>
        <v/>
      </c>
      <c r="AF73" s="163"/>
      <c r="AG73" s="162"/>
      <c r="AH73" s="163"/>
      <c r="AI73" s="162"/>
      <c r="AJ73" s="161" t="str">
        <f>IF(AD73="","",IF(ISBLANK(AF73),"En cours",AD73+AF73))</f>
        <v/>
      </c>
      <c r="AK73" s="161" t="str">
        <f>IF(AE73="","",IF(ISBLANK(AH73),"En cours",AE73+AH73))</f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>IF(MIN(F74,J74,N74,R74,V74,Z74)&lt;&gt;0,MIN(F74,J74,N74,R74,V74,Z74),"")</f>
        <v/>
      </c>
      <c r="AE74" s="163" t="str">
        <f>IF(MIN(H74,L74,P74,T74,X74,AB74)&lt;&gt;0,MIN(H74,L74,P74,T74,X74,AB74),"")</f>
        <v/>
      </c>
      <c r="AF74" s="163"/>
      <c r="AG74" s="162"/>
      <c r="AH74" s="163"/>
      <c r="AI74" s="162"/>
      <c r="AJ74" s="161" t="str">
        <f>IF(AD74="","",IF(ISBLANK(AF74),"En cours",AD74+AF74))</f>
        <v/>
      </c>
      <c r="AK74" s="161" t="str">
        <f>IF(AE74="","",IF(ISBLANK(AH74),"En cours",AE74+AH74))</f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>IF(MIN(F75,J75,N75,R75,V75,Z75)&lt;&gt;0,MIN(F75,J75,N75,R75,V75,Z75),"")</f>
        <v/>
      </c>
      <c r="AE75" s="163" t="str">
        <f>IF(MIN(H75,L75,P75,T75,X75,AB75)&lt;&gt;0,MIN(H75,L75,P75,T75,X75,AB75),"")</f>
        <v/>
      </c>
      <c r="AF75" s="163"/>
      <c r="AG75" s="162"/>
      <c r="AH75" s="163"/>
      <c r="AI75" s="162"/>
      <c r="AJ75" s="161" t="str">
        <f>IF(AD75="","",IF(ISBLANK(AF75),"En cours",AD75+AF75))</f>
        <v/>
      </c>
      <c r="AK75" s="161" t="str">
        <f>IF(AE75="","",IF(ISBLANK(AH75),"En cours",AE75+AH75))</f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>IF(MIN(F76,J76,N76,R76,V76,Z76)&lt;&gt;0,MIN(F76,J76,N76,R76,V76,Z76),"")</f>
        <v/>
      </c>
      <c r="AE76" s="163" t="str">
        <f>IF(MIN(H76,L76,P76,T76,X76,AB76)&lt;&gt;0,MIN(H76,L76,P76,T76,X76,AB76),"")</f>
        <v/>
      </c>
      <c r="AF76" s="163"/>
      <c r="AG76" s="162"/>
      <c r="AH76" s="163"/>
      <c r="AI76" s="162"/>
      <c r="AJ76" s="161" t="str">
        <f>IF(AD76="","",IF(ISBLANK(AF76),"En cours",AD76+AF76))</f>
        <v/>
      </c>
      <c r="AK76" s="161" t="str">
        <f>IF(AE76="","",IF(ISBLANK(AH76),"En cours",AE76+AH76))</f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>IF(MIN(F77,J77,N77,R77,V77,Z77)&lt;&gt;0,MIN(F77,J77,N77,R77,V77,Z77),"")</f>
        <v/>
      </c>
      <c r="AE77" s="163" t="str">
        <f>IF(MIN(H77,L77,P77,T77,X77,AB77)&lt;&gt;0,MIN(H77,L77,P77,T77,X77,AB77),"")</f>
        <v/>
      </c>
      <c r="AF77" s="163"/>
      <c r="AG77" s="162"/>
      <c r="AH77" s="163"/>
      <c r="AI77" s="162"/>
      <c r="AJ77" s="161" t="str">
        <f>IF(AD77="","",IF(ISBLANK(AF77),"En cours",AD77+AF77))</f>
        <v/>
      </c>
      <c r="AK77" s="161" t="str">
        <f>IF(AE77="","",IF(ISBLANK(AH77),"En cours",AE77+AH77))</f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68:AD131" si="0">IF(MIN(F78,J78,N78,R78,V78,Z78)&lt;&gt;0,MIN(F78,J78,N78,R78,V78,Z78),"")</f>
        <v/>
      </c>
      <c r="AE78" s="163" t="str">
        <f t="shared" ref="AE68:AE131" si="1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68:AJ131" si="2">IF(AD78="","",IF(ISBLANK(AF78),"En cours",AD78+AF78))</f>
        <v/>
      </c>
      <c r="AK78" s="161" t="str">
        <f t="shared" ref="AK68:AK131" si="3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0"/>
        <v/>
      </c>
      <c r="AE79" s="163" t="str">
        <f t="shared" si="1"/>
        <v/>
      </c>
      <c r="AF79" s="163"/>
      <c r="AG79" s="162"/>
      <c r="AH79" s="163"/>
      <c r="AI79" s="162"/>
      <c r="AJ79" s="161" t="str">
        <f t="shared" si="2"/>
        <v/>
      </c>
      <c r="AK79" s="161" t="str">
        <f t="shared" si="3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0"/>
        <v/>
      </c>
      <c r="AE80" s="163" t="str">
        <f t="shared" si="1"/>
        <v/>
      </c>
      <c r="AF80" s="163"/>
      <c r="AG80" s="162"/>
      <c r="AH80" s="163"/>
      <c r="AI80" s="162"/>
      <c r="AJ80" s="161" t="str">
        <f t="shared" si="2"/>
        <v/>
      </c>
      <c r="AK80" s="161" t="str">
        <f t="shared" si="3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0"/>
        <v/>
      </c>
      <c r="AE81" s="163" t="str">
        <f t="shared" si="1"/>
        <v/>
      </c>
      <c r="AF81" s="163"/>
      <c r="AG81" s="162"/>
      <c r="AH81" s="163"/>
      <c r="AI81" s="162"/>
      <c r="AJ81" s="161" t="str">
        <f t="shared" si="2"/>
        <v/>
      </c>
      <c r="AK81" s="161" t="str">
        <f t="shared" si="3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0"/>
        <v/>
      </c>
      <c r="AE82" s="163" t="str">
        <f t="shared" si="1"/>
        <v/>
      </c>
      <c r="AF82" s="163"/>
      <c r="AG82" s="162"/>
      <c r="AH82" s="163"/>
      <c r="AI82" s="162"/>
      <c r="AJ82" s="161" t="str">
        <f t="shared" si="2"/>
        <v/>
      </c>
      <c r="AK82" s="161" t="str">
        <f t="shared" si="3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0"/>
        <v/>
      </c>
      <c r="AE83" s="163" t="str">
        <f t="shared" si="1"/>
        <v/>
      </c>
      <c r="AF83" s="163"/>
      <c r="AG83" s="162"/>
      <c r="AH83" s="163"/>
      <c r="AI83" s="162"/>
      <c r="AJ83" s="161" t="str">
        <f t="shared" si="2"/>
        <v/>
      </c>
      <c r="AK83" s="161" t="str">
        <f t="shared" si="3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0"/>
        <v/>
      </c>
      <c r="AE84" s="163" t="str">
        <f t="shared" si="1"/>
        <v/>
      </c>
      <c r="AF84" s="163"/>
      <c r="AG84" s="162"/>
      <c r="AH84" s="163"/>
      <c r="AI84" s="162"/>
      <c r="AJ84" s="161" t="str">
        <f t="shared" si="2"/>
        <v/>
      </c>
      <c r="AK84" s="161" t="str">
        <f t="shared" si="3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0"/>
        <v/>
      </c>
      <c r="AE85" s="163" t="str">
        <f t="shared" si="1"/>
        <v/>
      </c>
      <c r="AF85" s="163"/>
      <c r="AG85" s="162"/>
      <c r="AH85" s="163"/>
      <c r="AI85" s="162"/>
      <c r="AJ85" s="161" t="str">
        <f t="shared" si="2"/>
        <v/>
      </c>
      <c r="AK85" s="161" t="str">
        <f t="shared" si="3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0"/>
        <v/>
      </c>
      <c r="AE86" s="163" t="str">
        <f t="shared" si="1"/>
        <v/>
      </c>
      <c r="AF86" s="163"/>
      <c r="AG86" s="162"/>
      <c r="AH86" s="163"/>
      <c r="AI86" s="162"/>
      <c r="AJ86" s="161" t="str">
        <f t="shared" si="2"/>
        <v/>
      </c>
      <c r="AK86" s="161" t="str">
        <f t="shared" si="3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0"/>
        <v/>
      </c>
      <c r="AE87" s="163" t="str">
        <f t="shared" si="1"/>
        <v/>
      </c>
      <c r="AF87" s="163"/>
      <c r="AG87" s="162"/>
      <c r="AH87" s="163"/>
      <c r="AI87" s="162"/>
      <c r="AJ87" s="161" t="str">
        <f t="shared" si="2"/>
        <v/>
      </c>
      <c r="AK87" s="161" t="str">
        <f t="shared" si="3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0"/>
        <v/>
      </c>
      <c r="AE88" s="163" t="str">
        <f t="shared" si="1"/>
        <v/>
      </c>
      <c r="AF88" s="163"/>
      <c r="AG88" s="162"/>
      <c r="AH88" s="163"/>
      <c r="AI88" s="162"/>
      <c r="AJ88" s="161" t="str">
        <f t="shared" si="2"/>
        <v/>
      </c>
      <c r="AK88" s="161" t="str">
        <f t="shared" si="3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0"/>
        <v/>
      </c>
      <c r="AE89" s="163" t="str">
        <f t="shared" si="1"/>
        <v/>
      </c>
      <c r="AF89" s="163"/>
      <c r="AG89" s="162"/>
      <c r="AH89" s="163"/>
      <c r="AI89" s="162"/>
      <c r="AJ89" s="161" t="str">
        <f t="shared" si="2"/>
        <v/>
      </c>
      <c r="AK89" s="161" t="str">
        <f t="shared" si="3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0"/>
        <v/>
      </c>
      <c r="AE90" s="163" t="str">
        <f t="shared" si="1"/>
        <v/>
      </c>
      <c r="AF90" s="163"/>
      <c r="AG90" s="162"/>
      <c r="AH90" s="163"/>
      <c r="AI90" s="162"/>
      <c r="AJ90" s="161" t="str">
        <f t="shared" si="2"/>
        <v/>
      </c>
      <c r="AK90" s="161" t="str">
        <f t="shared" si="3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0"/>
        <v/>
      </c>
      <c r="AE91" s="163" t="str">
        <f t="shared" si="1"/>
        <v/>
      </c>
      <c r="AF91" s="163"/>
      <c r="AG91" s="162"/>
      <c r="AH91" s="163"/>
      <c r="AI91" s="162"/>
      <c r="AJ91" s="161" t="str">
        <f t="shared" si="2"/>
        <v/>
      </c>
      <c r="AK91" s="161" t="str">
        <f t="shared" si="3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0"/>
        <v/>
      </c>
      <c r="AE92" s="163" t="str">
        <f t="shared" si="1"/>
        <v/>
      </c>
      <c r="AF92" s="163"/>
      <c r="AG92" s="162"/>
      <c r="AH92" s="163"/>
      <c r="AI92" s="162"/>
      <c r="AJ92" s="161" t="str">
        <f t="shared" si="2"/>
        <v/>
      </c>
      <c r="AK92" s="161" t="str">
        <f t="shared" si="3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0"/>
        <v/>
      </c>
      <c r="AE93" s="163" t="str">
        <f t="shared" si="1"/>
        <v/>
      </c>
      <c r="AF93" s="163"/>
      <c r="AG93" s="162"/>
      <c r="AH93" s="163"/>
      <c r="AI93" s="162"/>
      <c r="AJ93" s="161" t="str">
        <f t="shared" si="2"/>
        <v/>
      </c>
      <c r="AK93" s="161" t="str">
        <f t="shared" si="3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0"/>
        <v/>
      </c>
      <c r="AE94" s="163" t="str">
        <f t="shared" si="1"/>
        <v/>
      </c>
      <c r="AF94" s="163"/>
      <c r="AG94" s="162"/>
      <c r="AH94" s="163"/>
      <c r="AI94" s="162"/>
      <c r="AJ94" s="161" t="str">
        <f t="shared" si="2"/>
        <v/>
      </c>
      <c r="AK94" s="161" t="str">
        <f t="shared" si="3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0"/>
        <v/>
      </c>
      <c r="AE95" s="163" t="str">
        <f t="shared" si="1"/>
        <v/>
      </c>
      <c r="AF95" s="163"/>
      <c r="AG95" s="162"/>
      <c r="AH95" s="163"/>
      <c r="AI95" s="162"/>
      <c r="AJ95" s="161" t="str">
        <f t="shared" si="2"/>
        <v/>
      </c>
      <c r="AK95" s="161" t="str">
        <f t="shared" si="3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0"/>
        <v/>
      </c>
      <c r="AE96" s="163" t="str">
        <f t="shared" si="1"/>
        <v/>
      </c>
      <c r="AF96" s="163"/>
      <c r="AG96" s="162"/>
      <c r="AH96" s="163"/>
      <c r="AI96" s="162"/>
      <c r="AJ96" s="161" t="str">
        <f t="shared" si="2"/>
        <v/>
      </c>
      <c r="AK96" s="161" t="str">
        <f t="shared" si="3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0"/>
        <v/>
      </c>
      <c r="AE97" s="163" t="str">
        <f t="shared" si="1"/>
        <v/>
      </c>
      <c r="AF97" s="163"/>
      <c r="AG97" s="162"/>
      <c r="AH97" s="163"/>
      <c r="AI97" s="162"/>
      <c r="AJ97" s="161" t="str">
        <f t="shared" si="2"/>
        <v/>
      </c>
      <c r="AK97" s="161" t="str">
        <f t="shared" si="3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0"/>
        <v/>
      </c>
      <c r="AE98" s="163" t="str">
        <f t="shared" si="1"/>
        <v/>
      </c>
      <c r="AF98" s="163"/>
      <c r="AG98" s="162"/>
      <c r="AH98" s="163"/>
      <c r="AI98" s="162"/>
      <c r="AJ98" s="161" t="str">
        <f t="shared" si="2"/>
        <v/>
      </c>
      <c r="AK98" s="161" t="str">
        <f t="shared" si="3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0"/>
        <v/>
      </c>
      <c r="AE99" s="163" t="str">
        <f t="shared" si="1"/>
        <v/>
      </c>
      <c r="AF99" s="163"/>
      <c r="AG99" s="162"/>
      <c r="AH99" s="163"/>
      <c r="AI99" s="162"/>
      <c r="AJ99" s="161" t="str">
        <f t="shared" si="2"/>
        <v/>
      </c>
      <c r="AK99" s="161" t="str">
        <f t="shared" si="3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0"/>
        <v/>
      </c>
      <c r="AE100" s="163" t="str">
        <f t="shared" si="1"/>
        <v/>
      </c>
      <c r="AF100" s="163"/>
      <c r="AG100" s="162"/>
      <c r="AH100" s="163"/>
      <c r="AI100" s="162"/>
      <c r="AJ100" s="161" t="str">
        <f t="shared" si="2"/>
        <v/>
      </c>
      <c r="AK100" s="161" t="str">
        <f t="shared" si="3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0"/>
        <v/>
      </c>
      <c r="AE101" s="163" t="str">
        <f t="shared" si="1"/>
        <v/>
      </c>
      <c r="AF101" s="163"/>
      <c r="AG101" s="162"/>
      <c r="AH101" s="163"/>
      <c r="AI101" s="162"/>
      <c r="AJ101" s="161" t="str">
        <f t="shared" si="2"/>
        <v/>
      </c>
      <c r="AK101" s="161" t="str">
        <f t="shared" si="3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0"/>
        <v/>
      </c>
      <c r="AE102" s="163" t="str">
        <f t="shared" si="1"/>
        <v/>
      </c>
      <c r="AF102" s="163"/>
      <c r="AG102" s="162"/>
      <c r="AH102" s="163"/>
      <c r="AI102" s="162"/>
      <c r="AJ102" s="161" t="str">
        <f t="shared" si="2"/>
        <v/>
      </c>
      <c r="AK102" s="161" t="str">
        <f t="shared" si="3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0"/>
        <v/>
      </c>
      <c r="AE103" s="163" t="str">
        <f t="shared" si="1"/>
        <v/>
      </c>
      <c r="AF103" s="163"/>
      <c r="AG103" s="162"/>
      <c r="AH103" s="163"/>
      <c r="AI103" s="162"/>
      <c r="AJ103" s="161" t="str">
        <f t="shared" si="2"/>
        <v/>
      </c>
      <c r="AK103" s="161" t="str">
        <f t="shared" si="3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0"/>
        <v/>
      </c>
      <c r="AE104" s="163" t="str">
        <f t="shared" si="1"/>
        <v/>
      </c>
      <c r="AF104" s="163"/>
      <c r="AG104" s="162"/>
      <c r="AH104" s="163"/>
      <c r="AI104" s="162"/>
      <c r="AJ104" s="161" t="str">
        <f t="shared" si="2"/>
        <v/>
      </c>
      <c r="AK104" s="161" t="str">
        <f t="shared" si="3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0"/>
        <v/>
      </c>
      <c r="AE105" s="163" t="str">
        <f t="shared" si="1"/>
        <v/>
      </c>
      <c r="AF105" s="163"/>
      <c r="AG105" s="162"/>
      <c r="AH105" s="163"/>
      <c r="AI105" s="162"/>
      <c r="AJ105" s="161" t="str">
        <f t="shared" si="2"/>
        <v/>
      </c>
      <c r="AK105" s="161" t="str">
        <f t="shared" si="3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0"/>
        <v/>
      </c>
      <c r="AE106" s="163" t="str">
        <f t="shared" si="1"/>
        <v/>
      </c>
      <c r="AF106" s="163"/>
      <c r="AG106" s="162"/>
      <c r="AH106" s="163"/>
      <c r="AI106" s="162"/>
      <c r="AJ106" s="161" t="str">
        <f t="shared" si="2"/>
        <v/>
      </c>
      <c r="AK106" s="161" t="str">
        <f t="shared" si="3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0"/>
        <v/>
      </c>
      <c r="AE107" s="163" t="str">
        <f t="shared" si="1"/>
        <v/>
      </c>
      <c r="AF107" s="163"/>
      <c r="AG107" s="162"/>
      <c r="AH107" s="163"/>
      <c r="AI107" s="162"/>
      <c r="AJ107" s="161" t="str">
        <f t="shared" si="2"/>
        <v/>
      </c>
      <c r="AK107" s="161" t="str">
        <f t="shared" si="3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0"/>
        <v/>
      </c>
      <c r="AE108" s="163" t="str">
        <f t="shared" si="1"/>
        <v/>
      </c>
      <c r="AF108" s="163"/>
      <c r="AG108" s="162"/>
      <c r="AH108" s="163"/>
      <c r="AI108" s="162"/>
      <c r="AJ108" s="161" t="str">
        <f t="shared" si="2"/>
        <v/>
      </c>
      <c r="AK108" s="161" t="str">
        <f t="shared" si="3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0"/>
        <v/>
      </c>
      <c r="AE109" s="163" t="str">
        <f t="shared" si="1"/>
        <v/>
      </c>
      <c r="AF109" s="163"/>
      <c r="AG109" s="162"/>
      <c r="AH109" s="163"/>
      <c r="AI109" s="162"/>
      <c r="AJ109" s="161" t="str">
        <f t="shared" si="2"/>
        <v/>
      </c>
      <c r="AK109" s="161" t="str">
        <f t="shared" si="3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0"/>
        <v/>
      </c>
      <c r="AE110" s="163" t="str">
        <f t="shared" si="1"/>
        <v/>
      </c>
      <c r="AF110" s="163"/>
      <c r="AG110" s="162"/>
      <c r="AH110" s="163"/>
      <c r="AI110" s="162"/>
      <c r="AJ110" s="161" t="str">
        <f t="shared" si="2"/>
        <v/>
      </c>
      <c r="AK110" s="161" t="str">
        <f t="shared" si="3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0"/>
        <v/>
      </c>
      <c r="AE111" s="163" t="str">
        <f t="shared" si="1"/>
        <v/>
      </c>
      <c r="AF111" s="163"/>
      <c r="AG111" s="162"/>
      <c r="AH111" s="163"/>
      <c r="AI111" s="162"/>
      <c r="AJ111" s="161" t="str">
        <f t="shared" si="2"/>
        <v/>
      </c>
      <c r="AK111" s="161" t="str">
        <f t="shared" si="3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0"/>
        <v/>
      </c>
      <c r="AE112" s="163" t="str">
        <f t="shared" si="1"/>
        <v/>
      </c>
      <c r="AF112" s="163"/>
      <c r="AG112" s="162"/>
      <c r="AH112" s="163"/>
      <c r="AI112" s="162"/>
      <c r="AJ112" s="161" t="str">
        <f t="shared" si="2"/>
        <v/>
      </c>
      <c r="AK112" s="161" t="str">
        <f t="shared" si="3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0"/>
        <v/>
      </c>
      <c r="AE113" s="163" t="str">
        <f t="shared" si="1"/>
        <v/>
      </c>
      <c r="AF113" s="163"/>
      <c r="AG113" s="162"/>
      <c r="AH113" s="163"/>
      <c r="AI113" s="162"/>
      <c r="AJ113" s="161" t="str">
        <f t="shared" si="2"/>
        <v/>
      </c>
      <c r="AK113" s="161" t="str">
        <f t="shared" si="3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0"/>
        <v/>
      </c>
      <c r="AE114" s="163" t="str">
        <f t="shared" si="1"/>
        <v/>
      </c>
      <c r="AF114" s="163"/>
      <c r="AG114" s="162"/>
      <c r="AH114" s="163"/>
      <c r="AI114" s="162"/>
      <c r="AJ114" s="161" t="str">
        <f t="shared" si="2"/>
        <v/>
      </c>
      <c r="AK114" s="161" t="str">
        <f t="shared" si="3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0"/>
        <v/>
      </c>
      <c r="AE115" s="163" t="str">
        <f t="shared" si="1"/>
        <v/>
      </c>
      <c r="AF115" s="163"/>
      <c r="AG115" s="162"/>
      <c r="AH115" s="163"/>
      <c r="AI115" s="162"/>
      <c r="AJ115" s="161" t="str">
        <f t="shared" si="2"/>
        <v/>
      </c>
      <c r="AK115" s="161" t="str">
        <f t="shared" si="3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0"/>
        <v/>
      </c>
      <c r="AE116" s="163" t="str">
        <f t="shared" si="1"/>
        <v/>
      </c>
      <c r="AF116" s="163"/>
      <c r="AG116" s="162"/>
      <c r="AH116" s="163"/>
      <c r="AI116" s="162"/>
      <c r="AJ116" s="161" t="str">
        <f t="shared" si="2"/>
        <v/>
      </c>
      <c r="AK116" s="161" t="str">
        <f t="shared" si="3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0"/>
        <v/>
      </c>
      <c r="AE117" s="163" t="str">
        <f t="shared" si="1"/>
        <v/>
      </c>
      <c r="AF117" s="163"/>
      <c r="AG117" s="162"/>
      <c r="AH117" s="163"/>
      <c r="AI117" s="162"/>
      <c r="AJ117" s="161" t="str">
        <f t="shared" si="2"/>
        <v/>
      </c>
      <c r="AK117" s="161" t="str">
        <f t="shared" si="3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0"/>
        <v/>
      </c>
      <c r="AE118" s="163" t="str">
        <f t="shared" si="1"/>
        <v/>
      </c>
      <c r="AF118" s="163"/>
      <c r="AG118" s="162"/>
      <c r="AH118" s="163"/>
      <c r="AI118" s="162"/>
      <c r="AJ118" s="161" t="str">
        <f t="shared" si="2"/>
        <v/>
      </c>
      <c r="AK118" s="161" t="str">
        <f t="shared" si="3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0"/>
        <v/>
      </c>
      <c r="AE119" s="163" t="str">
        <f t="shared" si="1"/>
        <v/>
      </c>
      <c r="AF119" s="163"/>
      <c r="AG119" s="162"/>
      <c r="AH119" s="163"/>
      <c r="AI119" s="162"/>
      <c r="AJ119" s="161" t="str">
        <f t="shared" si="2"/>
        <v/>
      </c>
      <c r="AK119" s="161" t="str">
        <f t="shared" si="3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0"/>
        <v/>
      </c>
      <c r="AE120" s="163" t="str">
        <f t="shared" si="1"/>
        <v/>
      </c>
      <c r="AF120" s="163"/>
      <c r="AG120" s="162"/>
      <c r="AH120" s="163"/>
      <c r="AI120" s="162"/>
      <c r="AJ120" s="161" t="str">
        <f t="shared" si="2"/>
        <v/>
      </c>
      <c r="AK120" s="161" t="str">
        <f t="shared" si="3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0"/>
        <v/>
      </c>
      <c r="AE121" s="163" t="str">
        <f t="shared" si="1"/>
        <v/>
      </c>
      <c r="AF121" s="163"/>
      <c r="AG121" s="162"/>
      <c r="AH121" s="163"/>
      <c r="AI121" s="162"/>
      <c r="AJ121" s="161" t="str">
        <f t="shared" si="2"/>
        <v/>
      </c>
      <c r="AK121" s="161" t="str">
        <f t="shared" si="3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0"/>
        <v/>
      </c>
      <c r="AE122" s="163" t="str">
        <f t="shared" si="1"/>
        <v/>
      </c>
      <c r="AF122" s="163"/>
      <c r="AG122" s="162"/>
      <c r="AH122" s="163"/>
      <c r="AI122" s="162"/>
      <c r="AJ122" s="161" t="str">
        <f t="shared" si="2"/>
        <v/>
      </c>
      <c r="AK122" s="161" t="str">
        <f t="shared" si="3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0"/>
        <v/>
      </c>
      <c r="AE123" s="163" t="str">
        <f t="shared" si="1"/>
        <v/>
      </c>
      <c r="AF123" s="163"/>
      <c r="AG123" s="162"/>
      <c r="AH123" s="163"/>
      <c r="AI123" s="162"/>
      <c r="AJ123" s="161" t="str">
        <f t="shared" si="2"/>
        <v/>
      </c>
      <c r="AK123" s="161" t="str">
        <f t="shared" si="3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0"/>
        <v/>
      </c>
      <c r="AE124" s="163" t="str">
        <f t="shared" si="1"/>
        <v/>
      </c>
      <c r="AF124" s="163"/>
      <c r="AG124" s="162"/>
      <c r="AH124" s="163"/>
      <c r="AI124" s="162"/>
      <c r="AJ124" s="161" t="str">
        <f t="shared" si="2"/>
        <v/>
      </c>
      <c r="AK124" s="161" t="str">
        <f t="shared" si="3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0"/>
        <v/>
      </c>
      <c r="AE125" s="163" t="str">
        <f t="shared" si="1"/>
        <v/>
      </c>
      <c r="AF125" s="163"/>
      <c r="AG125" s="162"/>
      <c r="AH125" s="163"/>
      <c r="AI125" s="162"/>
      <c r="AJ125" s="161" t="str">
        <f t="shared" si="2"/>
        <v/>
      </c>
      <c r="AK125" s="161" t="str">
        <f t="shared" si="3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0"/>
        <v/>
      </c>
      <c r="AE126" s="163" t="str">
        <f t="shared" si="1"/>
        <v/>
      </c>
      <c r="AF126" s="163"/>
      <c r="AG126" s="162"/>
      <c r="AH126" s="163"/>
      <c r="AI126" s="162"/>
      <c r="AJ126" s="161" t="str">
        <f t="shared" si="2"/>
        <v/>
      </c>
      <c r="AK126" s="161" t="str">
        <f t="shared" si="3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0"/>
        <v/>
      </c>
      <c r="AE127" s="163" t="str">
        <f t="shared" si="1"/>
        <v/>
      </c>
      <c r="AF127" s="163"/>
      <c r="AG127" s="162"/>
      <c r="AH127" s="163"/>
      <c r="AI127" s="162"/>
      <c r="AJ127" s="161" t="str">
        <f t="shared" si="2"/>
        <v/>
      </c>
      <c r="AK127" s="161" t="str">
        <f t="shared" si="3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0"/>
        <v/>
      </c>
      <c r="AE128" s="163" t="str">
        <f t="shared" si="1"/>
        <v/>
      </c>
      <c r="AF128" s="163"/>
      <c r="AG128" s="162"/>
      <c r="AH128" s="163"/>
      <c r="AI128" s="162"/>
      <c r="AJ128" s="161" t="str">
        <f t="shared" si="2"/>
        <v/>
      </c>
      <c r="AK128" s="161" t="str">
        <f t="shared" si="3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0"/>
        <v/>
      </c>
      <c r="AE129" s="163" t="str">
        <f t="shared" si="1"/>
        <v/>
      </c>
      <c r="AF129" s="163"/>
      <c r="AG129" s="162"/>
      <c r="AH129" s="163"/>
      <c r="AI129" s="162"/>
      <c r="AJ129" s="161" t="str">
        <f t="shared" si="2"/>
        <v/>
      </c>
      <c r="AK129" s="161" t="str">
        <f t="shared" si="3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0"/>
        <v/>
      </c>
      <c r="AE130" s="163" t="str">
        <f t="shared" si="1"/>
        <v/>
      </c>
      <c r="AF130" s="163"/>
      <c r="AG130" s="162"/>
      <c r="AH130" s="163"/>
      <c r="AI130" s="162"/>
      <c r="AJ130" s="161" t="str">
        <f t="shared" si="2"/>
        <v/>
      </c>
      <c r="AK130" s="161" t="str">
        <f t="shared" si="3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0"/>
        <v/>
      </c>
      <c r="AE131" s="163" t="str">
        <f t="shared" si="1"/>
        <v/>
      </c>
      <c r="AF131" s="163"/>
      <c r="AG131" s="162"/>
      <c r="AH131" s="163"/>
      <c r="AI131" s="162"/>
      <c r="AJ131" s="161" t="str">
        <f t="shared" si="2"/>
        <v/>
      </c>
      <c r="AK131" s="161" t="str">
        <f t="shared" si="3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4">IF(MIN(F132,J132,N132,R132,V132,Z132)&lt;&gt;0,MIN(F132,J132,N132,R132,V132,Z132),"")</f>
        <v/>
      </c>
      <c r="AE132" s="163" t="str">
        <f t="shared" ref="AE132:AE195" si="5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6">IF(AD132="","",IF(ISBLANK(AF132),"En cours",AD132+AF132))</f>
        <v/>
      </c>
      <c r="AK132" s="161" t="str">
        <f t="shared" ref="AK132:AK195" si="7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4"/>
        <v/>
      </c>
      <c r="AE133" s="163" t="str">
        <f t="shared" si="5"/>
        <v/>
      </c>
      <c r="AF133" s="163"/>
      <c r="AG133" s="162"/>
      <c r="AH133" s="163"/>
      <c r="AI133" s="162"/>
      <c r="AJ133" s="161" t="str">
        <f t="shared" si="6"/>
        <v/>
      </c>
      <c r="AK133" s="161" t="str">
        <f t="shared" si="7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4"/>
        <v/>
      </c>
      <c r="AE134" s="163" t="str">
        <f t="shared" si="5"/>
        <v/>
      </c>
      <c r="AF134" s="163"/>
      <c r="AG134" s="162"/>
      <c r="AH134" s="163"/>
      <c r="AI134" s="162"/>
      <c r="AJ134" s="161" t="str">
        <f t="shared" si="6"/>
        <v/>
      </c>
      <c r="AK134" s="161" t="str">
        <f t="shared" si="7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4"/>
        <v/>
      </c>
      <c r="AE135" s="163" t="str">
        <f t="shared" si="5"/>
        <v/>
      </c>
      <c r="AF135" s="163"/>
      <c r="AG135" s="162"/>
      <c r="AH135" s="163"/>
      <c r="AI135" s="162"/>
      <c r="AJ135" s="161" t="str">
        <f t="shared" si="6"/>
        <v/>
      </c>
      <c r="AK135" s="161" t="str">
        <f t="shared" si="7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4"/>
        <v/>
      </c>
      <c r="AE136" s="163" t="str">
        <f t="shared" si="5"/>
        <v/>
      </c>
      <c r="AF136" s="163"/>
      <c r="AG136" s="162"/>
      <c r="AH136" s="163"/>
      <c r="AI136" s="162"/>
      <c r="AJ136" s="161" t="str">
        <f t="shared" si="6"/>
        <v/>
      </c>
      <c r="AK136" s="161" t="str">
        <f t="shared" si="7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4"/>
        <v/>
      </c>
      <c r="AE137" s="163" t="str">
        <f t="shared" si="5"/>
        <v/>
      </c>
      <c r="AF137" s="163"/>
      <c r="AG137" s="162"/>
      <c r="AH137" s="163"/>
      <c r="AI137" s="162"/>
      <c r="AJ137" s="161" t="str">
        <f t="shared" si="6"/>
        <v/>
      </c>
      <c r="AK137" s="161" t="str">
        <f t="shared" si="7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4"/>
        <v/>
      </c>
      <c r="AE138" s="163" t="str">
        <f t="shared" si="5"/>
        <v/>
      </c>
      <c r="AF138" s="163"/>
      <c r="AG138" s="162"/>
      <c r="AH138" s="163"/>
      <c r="AI138" s="162"/>
      <c r="AJ138" s="161" t="str">
        <f t="shared" si="6"/>
        <v/>
      </c>
      <c r="AK138" s="161" t="str">
        <f t="shared" si="7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4"/>
        <v/>
      </c>
      <c r="AE139" s="163" t="str">
        <f t="shared" si="5"/>
        <v/>
      </c>
      <c r="AF139" s="163"/>
      <c r="AG139" s="162"/>
      <c r="AH139" s="163"/>
      <c r="AI139" s="162"/>
      <c r="AJ139" s="161" t="str">
        <f t="shared" si="6"/>
        <v/>
      </c>
      <c r="AK139" s="161" t="str">
        <f t="shared" si="7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4"/>
        <v/>
      </c>
      <c r="AE140" s="163" t="str">
        <f t="shared" si="5"/>
        <v/>
      </c>
      <c r="AF140" s="163"/>
      <c r="AG140" s="162"/>
      <c r="AH140" s="163"/>
      <c r="AI140" s="162"/>
      <c r="AJ140" s="161" t="str">
        <f t="shared" si="6"/>
        <v/>
      </c>
      <c r="AK140" s="161" t="str">
        <f t="shared" si="7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4"/>
        <v/>
      </c>
      <c r="AE141" s="163" t="str">
        <f t="shared" si="5"/>
        <v/>
      </c>
      <c r="AF141" s="163"/>
      <c r="AG141" s="162"/>
      <c r="AH141" s="163"/>
      <c r="AI141" s="162"/>
      <c r="AJ141" s="161" t="str">
        <f t="shared" si="6"/>
        <v/>
      </c>
      <c r="AK141" s="161" t="str">
        <f t="shared" si="7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4"/>
        <v/>
      </c>
      <c r="AE142" s="163" t="str">
        <f t="shared" si="5"/>
        <v/>
      </c>
      <c r="AF142" s="163"/>
      <c r="AG142" s="162"/>
      <c r="AH142" s="163"/>
      <c r="AI142" s="162"/>
      <c r="AJ142" s="161" t="str">
        <f t="shared" si="6"/>
        <v/>
      </c>
      <c r="AK142" s="161" t="str">
        <f t="shared" si="7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4"/>
        <v/>
      </c>
      <c r="AE143" s="163" t="str">
        <f t="shared" si="5"/>
        <v/>
      </c>
      <c r="AF143" s="163"/>
      <c r="AG143" s="162"/>
      <c r="AH143" s="163"/>
      <c r="AI143" s="162"/>
      <c r="AJ143" s="161" t="str">
        <f t="shared" si="6"/>
        <v/>
      </c>
      <c r="AK143" s="161" t="str">
        <f t="shared" si="7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4"/>
        <v/>
      </c>
      <c r="AE144" s="163" t="str">
        <f t="shared" si="5"/>
        <v/>
      </c>
      <c r="AF144" s="163"/>
      <c r="AG144" s="162"/>
      <c r="AH144" s="163"/>
      <c r="AI144" s="162"/>
      <c r="AJ144" s="161" t="str">
        <f t="shared" si="6"/>
        <v/>
      </c>
      <c r="AK144" s="161" t="str">
        <f t="shared" si="7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4"/>
        <v/>
      </c>
      <c r="AE145" s="163" t="str">
        <f t="shared" si="5"/>
        <v/>
      </c>
      <c r="AF145" s="163"/>
      <c r="AG145" s="162"/>
      <c r="AH145" s="163"/>
      <c r="AI145" s="162"/>
      <c r="AJ145" s="161" t="str">
        <f t="shared" si="6"/>
        <v/>
      </c>
      <c r="AK145" s="161" t="str">
        <f t="shared" si="7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4"/>
        <v/>
      </c>
      <c r="AE146" s="163" t="str">
        <f t="shared" si="5"/>
        <v/>
      </c>
      <c r="AF146" s="163"/>
      <c r="AG146" s="162"/>
      <c r="AH146" s="163"/>
      <c r="AI146" s="162"/>
      <c r="AJ146" s="161" t="str">
        <f t="shared" si="6"/>
        <v/>
      </c>
      <c r="AK146" s="161" t="str">
        <f t="shared" si="7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4"/>
        <v/>
      </c>
      <c r="AE147" s="163" t="str">
        <f t="shared" si="5"/>
        <v/>
      </c>
      <c r="AF147" s="163"/>
      <c r="AG147" s="162"/>
      <c r="AH147" s="163"/>
      <c r="AI147" s="162"/>
      <c r="AJ147" s="161" t="str">
        <f t="shared" si="6"/>
        <v/>
      </c>
      <c r="AK147" s="161" t="str">
        <f t="shared" si="7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4"/>
        <v/>
      </c>
      <c r="AE148" s="163" t="str">
        <f t="shared" si="5"/>
        <v/>
      </c>
      <c r="AF148" s="163"/>
      <c r="AG148" s="162"/>
      <c r="AH148" s="163"/>
      <c r="AI148" s="162"/>
      <c r="AJ148" s="161" t="str">
        <f t="shared" si="6"/>
        <v/>
      </c>
      <c r="AK148" s="161" t="str">
        <f t="shared" si="7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4"/>
        <v/>
      </c>
      <c r="AE149" s="163" t="str">
        <f t="shared" si="5"/>
        <v/>
      </c>
      <c r="AF149" s="163"/>
      <c r="AG149" s="162"/>
      <c r="AH149" s="163"/>
      <c r="AI149" s="162"/>
      <c r="AJ149" s="161" t="str">
        <f t="shared" si="6"/>
        <v/>
      </c>
      <c r="AK149" s="161" t="str">
        <f t="shared" si="7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4"/>
        <v/>
      </c>
      <c r="AE150" s="163" t="str">
        <f t="shared" si="5"/>
        <v/>
      </c>
      <c r="AF150" s="163"/>
      <c r="AG150" s="162"/>
      <c r="AH150" s="163"/>
      <c r="AI150" s="162"/>
      <c r="AJ150" s="161" t="str">
        <f t="shared" si="6"/>
        <v/>
      </c>
      <c r="AK150" s="161" t="str">
        <f t="shared" si="7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4"/>
        <v/>
      </c>
      <c r="AE151" s="163" t="str">
        <f t="shared" si="5"/>
        <v/>
      </c>
      <c r="AF151" s="163"/>
      <c r="AG151" s="162"/>
      <c r="AH151" s="163"/>
      <c r="AI151" s="162"/>
      <c r="AJ151" s="161" t="str">
        <f t="shared" si="6"/>
        <v/>
      </c>
      <c r="AK151" s="161" t="str">
        <f t="shared" si="7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4"/>
        <v/>
      </c>
      <c r="AE152" s="163" t="str">
        <f t="shared" si="5"/>
        <v/>
      </c>
      <c r="AF152" s="163"/>
      <c r="AG152" s="162"/>
      <c r="AH152" s="163"/>
      <c r="AI152" s="162"/>
      <c r="AJ152" s="161" t="str">
        <f t="shared" si="6"/>
        <v/>
      </c>
      <c r="AK152" s="161" t="str">
        <f t="shared" si="7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4"/>
        <v/>
      </c>
      <c r="AE153" s="163" t="str">
        <f t="shared" si="5"/>
        <v/>
      </c>
      <c r="AF153" s="163"/>
      <c r="AG153" s="162"/>
      <c r="AH153" s="163"/>
      <c r="AI153" s="162"/>
      <c r="AJ153" s="161" t="str">
        <f t="shared" si="6"/>
        <v/>
      </c>
      <c r="AK153" s="161" t="str">
        <f t="shared" si="7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4"/>
        <v/>
      </c>
      <c r="AE154" s="163" t="str">
        <f t="shared" si="5"/>
        <v/>
      </c>
      <c r="AF154" s="163"/>
      <c r="AG154" s="162"/>
      <c r="AH154" s="163"/>
      <c r="AI154" s="162"/>
      <c r="AJ154" s="161" t="str">
        <f t="shared" si="6"/>
        <v/>
      </c>
      <c r="AK154" s="161" t="str">
        <f t="shared" si="7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4"/>
        <v/>
      </c>
      <c r="AE155" s="163" t="str">
        <f t="shared" si="5"/>
        <v/>
      </c>
      <c r="AF155" s="163"/>
      <c r="AG155" s="162"/>
      <c r="AH155" s="163"/>
      <c r="AI155" s="162"/>
      <c r="AJ155" s="161" t="str">
        <f t="shared" si="6"/>
        <v/>
      </c>
      <c r="AK155" s="161" t="str">
        <f t="shared" si="7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4"/>
        <v/>
      </c>
      <c r="AE156" s="163" t="str">
        <f t="shared" si="5"/>
        <v/>
      </c>
      <c r="AF156" s="163"/>
      <c r="AG156" s="162"/>
      <c r="AH156" s="163"/>
      <c r="AI156" s="162"/>
      <c r="AJ156" s="161" t="str">
        <f t="shared" si="6"/>
        <v/>
      </c>
      <c r="AK156" s="161" t="str">
        <f t="shared" si="7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4"/>
        <v/>
      </c>
      <c r="AE157" s="163" t="str">
        <f t="shared" si="5"/>
        <v/>
      </c>
      <c r="AF157" s="163"/>
      <c r="AG157" s="162"/>
      <c r="AH157" s="163"/>
      <c r="AI157" s="162"/>
      <c r="AJ157" s="161" t="str">
        <f t="shared" si="6"/>
        <v/>
      </c>
      <c r="AK157" s="161" t="str">
        <f t="shared" si="7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4"/>
        <v/>
      </c>
      <c r="AE158" s="163" t="str">
        <f t="shared" si="5"/>
        <v/>
      </c>
      <c r="AF158" s="163"/>
      <c r="AG158" s="162"/>
      <c r="AH158" s="163"/>
      <c r="AI158" s="162"/>
      <c r="AJ158" s="161" t="str">
        <f t="shared" si="6"/>
        <v/>
      </c>
      <c r="AK158" s="161" t="str">
        <f t="shared" si="7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4"/>
        <v/>
      </c>
      <c r="AE159" s="163" t="str">
        <f t="shared" si="5"/>
        <v/>
      </c>
      <c r="AF159" s="163"/>
      <c r="AG159" s="162"/>
      <c r="AH159" s="163"/>
      <c r="AI159" s="162"/>
      <c r="AJ159" s="161" t="str">
        <f t="shared" si="6"/>
        <v/>
      </c>
      <c r="AK159" s="161" t="str">
        <f t="shared" si="7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4"/>
        <v/>
      </c>
      <c r="AE160" s="163" t="str">
        <f t="shared" si="5"/>
        <v/>
      </c>
      <c r="AF160" s="163"/>
      <c r="AG160" s="162"/>
      <c r="AH160" s="163"/>
      <c r="AI160" s="162"/>
      <c r="AJ160" s="161" t="str">
        <f t="shared" si="6"/>
        <v/>
      </c>
      <c r="AK160" s="161" t="str">
        <f t="shared" si="7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4"/>
        <v/>
      </c>
      <c r="AE161" s="163" t="str">
        <f t="shared" si="5"/>
        <v/>
      </c>
      <c r="AF161" s="163"/>
      <c r="AG161" s="162"/>
      <c r="AH161" s="163"/>
      <c r="AI161" s="162"/>
      <c r="AJ161" s="161" t="str">
        <f t="shared" si="6"/>
        <v/>
      </c>
      <c r="AK161" s="161" t="str">
        <f t="shared" si="7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4"/>
        <v/>
      </c>
      <c r="AE162" s="163" t="str">
        <f t="shared" si="5"/>
        <v/>
      </c>
      <c r="AF162" s="163"/>
      <c r="AG162" s="162"/>
      <c r="AH162" s="163"/>
      <c r="AI162" s="162"/>
      <c r="AJ162" s="161" t="str">
        <f t="shared" si="6"/>
        <v/>
      </c>
      <c r="AK162" s="161" t="str">
        <f t="shared" si="7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4"/>
        <v/>
      </c>
      <c r="AE163" s="163" t="str">
        <f t="shared" si="5"/>
        <v/>
      </c>
      <c r="AF163" s="163"/>
      <c r="AG163" s="162"/>
      <c r="AH163" s="163"/>
      <c r="AI163" s="162"/>
      <c r="AJ163" s="161" t="str">
        <f t="shared" si="6"/>
        <v/>
      </c>
      <c r="AK163" s="161" t="str">
        <f t="shared" si="7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4"/>
        <v/>
      </c>
      <c r="AE164" s="163" t="str">
        <f t="shared" si="5"/>
        <v/>
      </c>
      <c r="AF164" s="163"/>
      <c r="AG164" s="162"/>
      <c r="AH164" s="163"/>
      <c r="AI164" s="162"/>
      <c r="AJ164" s="161" t="str">
        <f t="shared" si="6"/>
        <v/>
      </c>
      <c r="AK164" s="161" t="str">
        <f t="shared" si="7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4"/>
        <v/>
      </c>
      <c r="AE165" s="163" t="str">
        <f t="shared" si="5"/>
        <v/>
      </c>
      <c r="AF165" s="163"/>
      <c r="AG165" s="162"/>
      <c r="AH165" s="163"/>
      <c r="AI165" s="162"/>
      <c r="AJ165" s="161" t="str">
        <f t="shared" si="6"/>
        <v/>
      </c>
      <c r="AK165" s="161" t="str">
        <f t="shared" si="7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4"/>
        <v/>
      </c>
      <c r="AE166" s="163" t="str">
        <f t="shared" si="5"/>
        <v/>
      </c>
      <c r="AF166" s="163"/>
      <c r="AG166" s="162"/>
      <c r="AH166" s="163"/>
      <c r="AI166" s="162"/>
      <c r="AJ166" s="161" t="str">
        <f t="shared" si="6"/>
        <v/>
      </c>
      <c r="AK166" s="161" t="str">
        <f t="shared" si="7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4"/>
        <v/>
      </c>
      <c r="AE167" s="163" t="str">
        <f t="shared" si="5"/>
        <v/>
      </c>
      <c r="AF167" s="163"/>
      <c r="AG167" s="162"/>
      <c r="AH167" s="163"/>
      <c r="AI167" s="162"/>
      <c r="AJ167" s="161" t="str">
        <f t="shared" si="6"/>
        <v/>
      </c>
      <c r="AK167" s="161" t="str">
        <f t="shared" si="7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4"/>
        <v/>
      </c>
      <c r="AE168" s="163" t="str">
        <f t="shared" si="5"/>
        <v/>
      </c>
      <c r="AF168" s="163"/>
      <c r="AG168" s="162"/>
      <c r="AH168" s="163"/>
      <c r="AI168" s="162"/>
      <c r="AJ168" s="161" t="str">
        <f t="shared" si="6"/>
        <v/>
      </c>
      <c r="AK168" s="161" t="str">
        <f t="shared" si="7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4"/>
        <v/>
      </c>
      <c r="AE169" s="163" t="str">
        <f t="shared" si="5"/>
        <v/>
      </c>
      <c r="AF169" s="163"/>
      <c r="AG169" s="162"/>
      <c r="AH169" s="163"/>
      <c r="AI169" s="162"/>
      <c r="AJ169" s="161" t="str">
        <f t="shared" si="6"/>
        <v/>
      </c>
      <c r="AK169" s="161" t="str">
        <f t="shared" si="7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4"/>
        <v/>
      </c>
      <c r="AE170" s="163" t="str">
        <f t="shared" si="5"/>
        <v/>
      </c>
      <c r="AF170" s="163"/>
      <c r="AG170" s="162"/>
      <c r="AH170" s="163"/>
      <c r="AI170" s="162"/>
      <c r="AJ170" s="161" t="str">
        <f t="shared" si="6"/>
        <v/>
      </c>
      <c r="AK170" s="161" t="str">
        <f t="shared" si="7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4"/>
        <v/>
      </c>
      <c r="AE171" s="163" t="str">
        <f t="shared" si="5"/>
        <v/>
      </c>
      <c r="AF171" s="163"/>
      <c r="AG171" s="162"/>
      <c r="AH171" s="163"/>
      <c r="AI171" s="162"/>
      <c r="AJ171" s="161" t="str">
        <f t="shared" si="6"/>
        <v/>
      </c>
      <c r="AK171" s="161" t="str">
        <f t="shared" si="7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4"/>
        <v/>
      </c>
      <c r="AE172" s="163" t="str">
        <f t="shared" si="5"/>
        <v/>
      </c>
      <c r="AF172" s="163"/>
      <c r="AG172" s="162"/>
      <c r="AH172" s="163"/>
      <c r="AI172" s="162"/>
      <c r="AJ172" s="161" t="str">
        <f t="shared" si="6"/>
        <v/>
      </c>
      <c r="AK172" s="161" t="str">
        <f t="shared" si="7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4"/>
        <v/>
      </c>
      <c r="AE173" s="163" t="str">
        <f t="shared" si="5"/>
        <v/>
      </c>
      <c r="AF173" s="163"/>
      <c r="AG173" s="162"/>
      <c r="AH173" s="163"/>
      <c r="AI173" s="162"/>
      <c r="AJ173" s="161" t="str">
        <f t="shared" si="6"/>
        <v/>
      </c>
      <c r="AK173" s="161" t="str">
        <f t="shared" si="7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4"/>
        <v/>
      </c>
      <c r="AE174" s="163" t="str">
        <f t="shared" si="5"/>
        <v/>
      </c>
      <c r="AF174" s="163"/>
      <c r="AG174" s="162"/>
      <c r="AH174" s="163"/>
      <c r="AI174" s="162"/>
      <c r="AJ174" s="161" t="str">
        <f t="shared" si="6"/>
        <v/>
      </c>
      <c r="AK174" s="161" t="str">
        <f t="shared" si="7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4"/>
        <v/>
      </c>
      <c r="AE175" s="163" t="str">
        <f t="shared" si="5"/>
        <v/>
      </c>
      <c r="AF175" s="163"/>
      <c r="AG175" s="162"/>
      <c r="AH175" s="163"/>
      <c r="AI175" s="162"/>
      <c r="AJ175" s="161" t="str">
        <f t="shared" si="6"/>
        <v/>
      </c>
      <c r="AK175" s="161" t="str">
        <f t="shared" si="7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4"/>
        <v/>
      </c>
      <c r="AE176" s="163" t="str">
        <f t="shared" si="5"/>
        <v/>
      </c>
      <c r="AF176" s="163"/>
      <c r="AG176" s="162"/>
      <c r="AH176" s="163"/>
      <c r="AI176" s="162"/>
      <c r="AJ176" s="161" t="str">
        <f t="shared" si="6"/>
        <v/>
      </c>
      <c r="AK176" s="161" t="str">
        <f t="shared" si="7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4"/>
        <v/>
      </c>
      <c r="AE177" s="163" t="str">
        <f t="shared" si="5"/>
        <v/>
      </c>
      <c r="AF177" s="163"/>
      <c r="AG177" s="162"/>
      <c r="AH177" s="163"/>
      <c r="AI177" s="162"/>
      <c r="AJ177" s="161" t="str">
        <f t="shared" si="6"/>
        <v/>
      </c>
      <c r="AK177" s="161" t="str">
        <f t="shared" si="7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4"/>
        <v/>
      </c>
      <c r="AE178" s="163" t="str">
        <f t="shared" si="5"/>
        <v/>
      </c>
      <c r="AF178" s="163"/>
      <c r="AG178" s="162"/>
      <c r="AH178" s="163"/>
      <c r="AI178" s="162"/>
      <c r="AJ178" s="161" t="str">
        <f t="shared" si="6"/>
        <v/>
      </c>
      <c r="AK178" s="161" t="str">
        <f t="shared" si="7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4"/>
        <v/>
      </c>
      <c r="AE179" s="163" t="str">
        <f t="shared" si="5"/>
        <v/>
      </c>
      <c r="AF179" s="163"/>
      <c r="AG179" s="162"/>
      <c r="AH179" s="163"/>
      <c r="AI179" s="162"/>
      <c r="AJ179" s="161" t="str">
        <f t="shared" si="6"/>
        <v/>
      </c>
      <c r="AK179" s="161" t="str">
        <f t="shared" si="7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4"/>
        <v/>
      </c>
      <c r="AE180" s="163" t="str">
        <f t="shared" si="5"/>
        <v/>
      </c>
      <c r="AF180" s="163"/>
      <c r="AG180" s="162"/>
      <c r="AH180" s="163"/>
      <c r="AI180" s="162"/>
      <c r="AJ180" s="161" t="str">
        <f t="shared" si="6"/>
        <v/>
      </c>
      <c r="AK180" s="161" t="str">
        <f t="shared" si="7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4"/>
        <v/>
      </c>
      <c r="AE181" s="159" t="str">
        <f t="shared" si="5"/>
        <v/>
      </c>
      <c r="AF181" s="159"/>
      <c r="AG181" s="158"/>
      <c r="AH181" s="159"/>
      <c r="AI181" s="158"/>
      <c r="AJ181" s="160" t="str">
        <f t="shared" si="6"/>
        <v/>
      </c>
      <c r="AK181" s="161" t="str">
        <f t="shared" si="7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4"/>
        <v/>
      </c>
      <c r="AE182" s="76" t="str">
        <f t="shared" si="5"/>
        <v/>
      </c>
      <c r="AF182" s="77"/>
      <c r="AG182" s="73"/>
      <c r="AH182" s="77"/>
      <c r="AI182" s="73"/>
      <c r="AJ182" s="78" t="str">
        <f t="shared" si="6"/>
        <v/>
      </c>
      <c r="AK182" s="79" t="str">
        <f t="shared" si="7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4"/>
        <v/>
      </c>
      <c r="AE183" s="76" t="str">
        <f t="shared" si="5"/>
        <v/>
      </c>
      <c r="AF183" s="77"/>
      <c r="AG183" s="73"/>
      <c r="AH183" s="77"/>
      <c r="AI183" s="73"/>
      <c r="AJ183" s="78" t="str">
        <f t="shared" si="6"/>
        <v/>
      </c>
      <c r="AK183" s="79" t="str">
        <f t="shared" si="7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4"/>
        <v/>
      </c>
      <c r="AE184" s="76" t="str">
        <f t="shared" si="5"/>
        <v/>
      </c>
      <c r="AF184" s="77"/>
      <c r="AG184" s="73"/>
      <c r="AH184" s="77"/>
      <c r="AI184" s="73"/>
      <c r="AJ184" s="78" t="str">
        <f t="shared" si="6"/>
        <v/>
      </c>
      <c r="AK184" s="79" t="str">
        <f t="shared" si="7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4"/>
        <v/>
      </c>
      <c r="AE185" s="76" t="str">
        <f t="shared" si="5"/>
        <v/>
      </c>
      <c r="AF185" s="77"/>
      <c r="AG185" s="73"/>
      <c r="AH185" s="77"/>
      <c r="AI185" s="73"/>
      <c r="AJ185" s="78" t="str">
        <f t="shared" si="6"/>
        <v/>
      </c>
      <c r="AK185" s="79" t="str">
        <f t="shared" si="7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4"/>
        <v/>
      </c>
      <c r="AE186" s="76" t="str">
        <f t="shared" si="5"/>
        <v/>
      </c>
      <c r="AF186" s="77"/>
      <c r="AG186" s="73"/>
      <c r="AH186" s="77"/>
      <c r="AI186" s="73"/>
      <c r="AJ186" s="78" t="str">
        <f t="shared" si="6"/>
        <v/>
      </c>
      <c r="AK186" s="79" t="str">
        <f t="shared" si="7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4"/>
        <v/>
      </c>
      <c r="AE187" s="76" t="str">
        <f t="shared" si="5"/>
        <v/>
      </c>
      <c r="AF187" s="77"/>
      <c r="AG187" s="73"/>
      <c r="AH187" s="77"/>
      <c r="AI187" s="73"/>
      <c r="AJ187" s="78" t="str">
        <f t="shared" si="6"/>
        <v/>
      </c>
      <c r="AK187" s="79" t="str">
        <f t="shared" si="7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4"/>
        <v/>
      </c>
      <c r="AE188" s="76" t="str">
        <f t="shared" si="5"/>
        <v/>
      </c>
      <c r="AF188" s="77"/>
      <c r="AG188" s="73"/>
      <c r="AH188" s="77"/>
      <c r="AI188" s="73"/>
      <c r="AJ188" s="78" t="str">
        <f t="shared" si="6"/>
        <v/>
      </c>
      <c r="AK188" s="79" t="str">
        <f t="shared" si="7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4"/>
        <v/>
      </c>
      <c r="AE189" s="76" t="str">
        <f t="shared" si="5"/>
        <v/>
      </c>
      <c r="AF189" s="77"/>
      <c r="AG189" s="73"/>
      <c r="AH189" s="77"/>
      <c r="AI189" s="73"/>
      <c r="AJ189" s="78" t="str">
        <f t="shared" si="6"/>
        <v/>
      </c>
      <c r="AK189" s="79" t="str">
        <f t="shared" si="7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4"/>
        <v/>
      </c>
      <c r="AE190" s="76" t="str">
        <f t="shared" si="5"/>
        <v/>
      </c>
      <c r="AF190" s="77"/>
      <c r="AG190" s="73"/>
      <c r="AH190" s="77"/>
      <c r="AI190" s="73"/>
      <c r="AJ190" s="78" t="str">
        <f t="shared" si="6"/>
        <v/>
      </c>
      <c r="AK190" s="79" t="str">
        <f t="shared" si="7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4"/>
        <v/>
      </c>
      <c r="AE191" s="76" t="str">
        <f t="shared" si="5"/>
        <v/>
      </c>
      <c r="AF191" s="77"/>
      <c r="AG191" s="73"/>
      <c r="AH191" s="77"/>
      <c r="AI191" s="73"/>
      <c r="AJ191" s="78" t="str">
        <f t="shared" si="6"/>
        <v/>
      </c>
      <c r="AK191" s="79" t="str">
        <f t="shared" si="7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4"/>
        <v/>
      </c>
      <c r="AE192" s="76" t="str">
        <f t="shared" si="5"/>
        <v/>
      </c>
      <c r="AF192" s="77"/>
      <c r="AG192" s="73"/>
      <c r="AH192" s="77"/>
      <c r="AI192" s="73"/>
      <c r="AJ192" s="78" t="str">
        <f t="shared" si="6"/>
        <v/>
      </c>
      <c r="AK192" s="79" t="str">
        <f t="shared" si="7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4"/>
        <v/>
      </c>
      <c r="AE193" s="76" t="str">
        <f t="shared" si="5"/>
        <v/>
      </c>
      <c r="AF193" s="77"/>
      <c r="AG193" s="73"/>
      <c r="AH193" s="77"/>
      <c r="AI193" s="73"/>
      <c r="AJ193" s="78" t="str">
        <f t="shared" si="6"/>
        <v/>
      </c>
      <c r="AK193" s="79" t="str">
        <f t="shared" si="7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4"/>
        <v/>
      </c>
      <c r="AE194" s="76" t="str">
        <f t="shared" si="5"/>
        <v/>
      </c>
      <c r="AF194" s="77"/>
      <c r="AG194" s="73"/>
      <c r="AH194" s="77"/>
      <c r="AI194" s="73"/>
      <c r="AJ194" s="78" t="str">
        <f t="shared" si="6"/>
        <v/>
      </c>
      <c r="AK194" s="79" t="str">
        <f t="shared" si="7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4"/>
        <v/>
      </c>
      <c r="AE195" s="76" t="str">
        <f t="shared" si="5"/>
        <v/>
      </c>
      <c r="AF195" s="77"/>
      <c r="AG195" s="73"/>
      <c r="AH195" s="77"/>
      <c r="AI195" s="73"/>
      <c r="AJ195" s="78" t="str">
        <f t="shared" si="6"/>
        <v/>
      </c>
      <c r="AK195" s="79" t="str">
        <f t="shared" si="7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8">IF(MIN(F196,J196,N196,R196,V196,Z196)&lt;&gt;0,MIN(F196,J196,N196,R196,V196,Z196),"")</f>
        <v/>
      </c>
      <c r="AE196" s="76" t="str">
        <f t="shared" ref="AE196:AE259" si="9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0">IF(AD196="","",IF(ISBLANK(AF196),"En cours",AD196+AF196))</f>
        <v/>
      </c>
      <c r="AK196" s="79" t="str">
        <f t="shared" ref="AK196:AK259" si="11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8"/>
        <v/>
      </c>
      <c r="AE197" s="76" t="str">
        <f t="shared" si="9"/>
        <v/>
      </c>
      <c r="AF197" s="77"/>
      <c r="AG197" s="73"/>
      <c r="AH197" s="77"/>
      <c r="AI197" s="73"/>
      <c r="AJ197" s="78" t="str">
        <f t="shared" si="10"/>
        <v/>
      </c>
      <c r="AK197" s="79" t="str">
        <f t="shared" si="11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8"/>
        <v/>
      </c>
      <c r="AE198" s="76" t="str">
        <f t="shared" si="9"/>
        <v/>
      </c>
      <c r="AF198" s="77"/>
      <c r="AG198" s="73"/>
      <c r="AH198" s="77"/>
      <c r="AI198" s="73"/>
      <c r="AJ198" s="78" t="str">
        <f t="shared" si="10"/>
        <v/>
      </c>
      <c r="AK198" s="79" t="str">
        <f t="shared" si="11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8"/>
        <v/>
      </c>
      <c r="AE199" s="76" t="str">
        <f t="shared" si="9"/>
        <v/>
      </c>
      <c r="AF199" s="77"/>
      <c r="AG199" s="73"/>
      <c r="AH199" s="77"/>
      <c r="AI199" s="73"/>
      <c r="AJ199" s="78" t="str">
        <f t="shared" si="10"/>
        <v/>
      </c>
      <c r="AK199" s="79" t="str">
        <f t="shared" si="11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8"/>
        <v/>
      </c>
      <c r="AE200" s="76" t="str">
        <f t="shared" si="9"/>
        <v/>
      </c>
      <c r="AF200" s="77"/>
      <c r="AG200" s="73"/>
      <c r="AH200" s="77"/>
      <c r="AI200" s="73"/>
      <c r="AJ200" s="78" t="str">
        <f t="shared" si="10"/>
        <v/>
      </c>
      <c r="AK200" s="79" t="str">
        <f t="shared" si="11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8"/>
        <v/>
      </c>
      <c r="AE201" s="76" t="str">
        <f t="shared" si="9"/>
        <v/>
      </c>
      <c r="AF201" s="77"/>
      <c r="AG201" s="73"/>
      <c r="AH201" s="77"/>
      <c r="AI201" s="73"/>
      <c r="AJ201" s="78" t="str">
        <f t="shared" si="10"/>
        <v/>
      </c>
      <c r="AK201" s="79" t="str">
        <f t="shared" si="11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8"/>
        <v/>
      </c>
      <c r="AE202" s="76" t="str">
        <f t="shared" si="9"/>
        <v/>
      </c>
      <c r="AF202" s="77"/>
      <c r="AG202" s="73"/>
      <c r="AH202" s="77"/>
      <c r="AI202" s="73"/>
      <c r="AJ202" s="78" t="str">
        <f t="shared" si="10"/>
        <v/>
      </c>
      <c r="AK202" s="79" t="str">
        <f t="shared" si="11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8"/>
        <v/>
      </c>
      <c r="AE203" s="76" t="str">
        <f t="shared" si="9"/>
        <v/>
      </c>
      <c r="AF203" s="77"/>
      <c r="AG203" s="73"/>
      <c r="AH203" s="77"/>
      <c r="AI203" s="73"/>
      <c r="AJ203" s="78" t="str">
        <f t="shared" si="10"/>
        <v/>
      </c>
      <c r="AK203" s="79" t="str">
        <f t="shared" si="11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8"/>
        <v/>
      </c>
      <c r="AE204" s="76" t="str">
        <f t="shared" si="9"/>
        <v/>
      </c>
      <c r="AF204" s="77"/>
      <c r="AG204" s="73"/>
      <c r="AH204" s="77"/>
      <c r="AI204" s="73"/>
      <c r="AJ204" s="78" t="str">
        <f t="shared" si="10"/>
        <v/>
      </c>
      <c r="AK204" s="79" t="str">
        <f t="shared" si="11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8"/>
        <v/>
      </c>
      <c r="AE205" s="76" t="str">
        <f t="shared" si="9"/>
        <v/>
      </c>
      <c r="AF205" s="77"/>
      <c r="AG205" s="73"/>
      <c r="AH205" s="77"/>
      <c r="AI205" s="73"/>
      <c r="AJ205" s="78" t="str">
        <f t="shared" si="10"/>
        <v/>
      </c>
      <c r="AK205" s="79" t="str">
        <f t="shared" si="11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8"/>
        <v/>
      </c>
      <c r="AE206" s="76" t="str">
        <f t="shared" si="9"/>
        <v/>
      </c>
      <c r="AF206" s="77"/>
      <c r="AG206" s="73"/>
      <c r="AH206" s="77"/>
      <c r="AI206" s="73"/>
      <c r="AJ206" s="78" t="str">
        <f t="shared" si="10"/>
        <v/>
      </c>
      <c r="AK206" s="79" t="str">
        <f t="shared" si="11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8"/>
        <v/>
      </c>
      <c r="AE207" s="76" t="str">
        <f t="shared" si="9"/>
        <v/>
      </c>
      <c r="AF207" s="77"/>
      <c r="AG207" s="73"/>
      <c r="AH207" s="77"/>
      <c r="AI207" s="73"/>
      <c r="AJ207" s="78" t="str">
        <f t="shared" si="10"/>
        <v/>
      </c>
      <c r="AK207" s="79" t="str">
        <f t="shared" si="11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8"/>
        <v/>
      </c>
      <c r="AE208" s="76" t="str">
        <f t="shared" si="9"/>
        <v/>
      </c>
      <c r="AF208" s="77"/>
      <c r="AG208" s="73"/>
      <c r="AH208" s="77"/>
      <c r="AI208" s="73"/>
      <c r="AJ208" s="78" t="str">
        <f t="shared" si="10"/>
        <v/>
      </c>
      <c r="AK208" s="79" t="str">
        <f t="shared" si="11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8"/>
        <v/>
      </c>
      <c r="AE209" s="76" t="str">
        <f t="shared" si="9"/>
        <v/>
      </c>
      <c r="AF209" s="77"/>
      <c r="AG209" s="73"/>
      <c r="AH209" s="77"/>
      <c r="AI209" s="73"/>
      <c r="AJ209" s="78" t="str">
        <f t="shared" si="10"/>
        <v/>
      </c>
      <c r="AK209" s="79" t="str">
        <f t="shared" si="11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8"/>
        <v/>
      </c>
      <c r="AE210" s="76" t="str">
        <f t="shared" si="9"/>
        <v/>
      </c>
      <c r="AF210" s="77"/>
      <c r="AG210" s="73"/>
      <c r="AH210" s="77"/>
      <c r="AI210" s="73"/>
      <c r="AJ210" s="78" t="str">
        <f t="shared" si="10"/>
        <v/>
      </c>
      <c r="AK210" s="79" t="str">
        <f t="shared" si="11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8"/>
        <v/>
      </c>
      <c r="AE211" s="76" t="str">
        <f t="shared" si="9"/>
        <v/>
      </c>
      <c r="AF211" s="77"/>
      <c r="AG211" s="73"/>
      <c r="AH211" s="77"/>
      <c r="AI211" s="73"/>
      <c r="AJ211" s="78" t="str">
        <f t="shared" si="10"/>
        <v/>
      </c>
      <c r="AK211" s="79" t="str">
        <f t="shared" si="11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8"/>
        <v/>
      </c>
      <c r="AE212" s="76" t="str">
        <f t="shared" si="9"/>
        <v/>
      </c>
      <c r="AF212" s="77"/>
      <c r="AG212" s="73"/>
      <c r="AH212" s="77"/>
      <c r="AI212" s="73"/>
      <c r="AJ212" s="78" t="str">
        <f t="shared" si="10"/>
        <v/>
      </c>
      <c r="AK212" s="79" t="str">
        <f t="shared" si="11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8"/>
        <v/>
      </c>
      <c r="AE213" s="76" t="str">
        <f t="shared" si="9"/>
        <v/>
      </c>
      <c r="AF213" s="77"/>
      <c r="AG213" s="73"/>
      <c r="AH213" s="77"/>
      <c r="AI213" s="73"/>
      <c r="AJ213" s="78" t="str">
        <f t="shared" si="10"/>
        <v/>
      </c>
      <c r="AK213" s="79" t="str">
        <f t="shared" si="11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8"/>
        <v/>
      </c>
      <c r="AE214" s="76" t="str">
        <f t="shared" si="9"/>
        <v/>
      </c>
      <c r="AF214" s="77"/>
      <c r="AG214" s="73"/>
      <c r="AH214" s="77"/>
      <c r="AI214" s="73"/>
      <c r="AJ214" s="78" t="str">
        <f t="shared" si="10"/>
        <v/>
      </c>
      <c r="AK214" s="79" t="str">
        <f t="shared" si="11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8"/>
        <v/>
      </c>
      <c r="AE215" s="76" t="str">
        <f t="shared" si="9"/>
        <v/>
      </c>
      <c r="AF215" s="77"/>
      <c r="AG215" s="73"/>
      <c r="AH215" s="77"/>
      <c r="AI215" s="73"/>
      <c r="AJ215" s="78" t="str">
        <f t="shared" si="10"/>
        <v/>
      </c>
      <c r="AK215" s="79" t="str">
        <f t="shared" si="11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8"/>
        <v/>
      </c>
      <c r="AE216" s="76" t="str">
        <f t="shared" si="9"/>
        <v/>
      </c>
      <c r="AF216" s="77"/>
      <c r="AG216" s="73"/>
      <c r="AH216" s="77"/>
      <c r="AI216" s="73"/>
      <c r="AJ216" s="78" t="str">
        <f t="shared" si="10"/>
        <v/>
      </c>
      <c r="AK216" s="79" t="str">
        <f t="shared" si="11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8"/>
        <v/>
      </c>
      <c r="AE217" s="76" t="str">
        <f t="shared" si="9"/>
        <v/>
      </c>
      <c r="AF217" s="77"/>
      <c r="AG217" s="73"/>
      <c r="AH217" s="77"/>
      <c r="AI217" s="73"/>
      <c r="AJ217" s="78" t="str">
        <f t="shared" si="10"/>
        <v/>
      </c>
      <c r="AK217" s="79" t="str">
        <f t="shared" si="11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8"/>
        <v/>
      </c>
      <c r="AE218" s="76" t="str">
        <f t="shared" si="9"/>
        <v/>
      </c>
      <c r="AF218" s="77"/>
      <c r="AG218" s="73"/>
      <c r="AH218" s="77"/>
      <c r="AI218" s="73"/>
      <c r="AJ218" s="78" t="str">
        <f t="shared" si="10"/>
        <v/>
      </c>
      <c r="AK218" s="79" t="str">
        <f t="shared" si="11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8"/>
        <v/>
      </c>
      <c r="AE219" s="76" t="str">
        <f t="shared" si="9"/>
        <v/>
      </c>
      <c r="AF219" s="77"/>
      <c r="AG219" s="73"/>
      <c r="AH219" s="77"/>
      <c r="AI219" s="73"/>
      <c r="AJ219" s="78" t="str">
        <f t="shared" si="10"/>
        <v/>
      </c>
      <c r="AK219" s="79" t="str">
        <f t="shared" si="11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8"/>
        <v/>
      </c>
      <c r="AE220" s="76" t="str">
        <f t="shared" si="9"/>
        <v/>
      </c>
      <c r="AF220" s="77"/>
      <c r="AG220" s="73"/>
      <c r="AH220" s="77"/>
      <c r="AI220" s="73"/>
      <c r="AJ220" s="78" t="str">
        <f t="shared" si="10"/>
        <v/>
      </c>
      <c r="AK220" s="79" t="str">
        <f t="shared" si="11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8"/>
        <v/>
      </c>
      <c r="AE221" s="76" t="str">
        <f t="shared" si="9"/>
        <v/>
      </c>
      <c r="AF221" s="77"/>
      <c r="AG221" s="73"/>
      <c r="AH221" s="77"/>
      <c r="AI221" s="73"/>
      <c r="AJ221" s="78" t="str">
        <f t="shared" si="10"/>
        <v/>
      </c>
      <c r="AK221" s="79" t="str">
        <f t="shared" si="11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8"/>
        <v/>
      </c>
      <c r="AE222" s="76" t="str">
        <f t="shared" si="9"/>
        <v/>
      </c>
      <c r="AF222" s="77"/>
      <c r="AG222" s="73"/>
      <c r="AH222" s="77"/>
      <c r="AI222" s="73"/>
      <c r="AJ222" s="78" t="str">
        <f t="shared" si="10"/>
        <v/>
      </c>
      <c r="AK222" s="79" t="str">
        <f t="shared" si="11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8"/>
        <v/>
      </c>
      <c r="AE223" s="76" t="str">
        <f t="shared" si="9"/>
        <v/>
      </c>
      <c r="AF223" s="77"/>
      <c r="AG223" s="73"/>
      <c r="AH223" s="77"/>
      <c r="AI223" s="73"/>
      <c r="AJ223" s="78" t="str">
        <f t="shared" si="10"/>
        <v/>
      </c>
      <c r="AK223" s="79" t="str">
        <f t="shared" si="11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8"/>
        <v/>
      </c>
      <c r="AE224" s="76" t="str">
        <f t="shared" si="9"/>
        <v/>
      </c>
      <c r="AF224" s="77"/>
      <c r="AG224" s="73"/>
      <c r="AH224" s="77"/>
      <c r="AI224" s="73"/>
      <c r="AJ224" s="78" t="str">
        <f t="shared" si="10"/>
        <v/>
      </c>
      <c r="AK224" s="79" t="str">
        <f t="shared" si="11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8"/>
        <v/>
      </c>
      <c r="AE225" s="76" t="str">
        <f t="shared" si="9"/>
        <v/>
      </c>
      <c r="AF225" s="77"/>
      <c r="AG225" s="73"/>
      <c r="AH225" s="77"/>
      <c r="AI225" s="73"/>
      <c r="AJ225" s="78" t="str">
        <f t="shared" si="10"/>
        <v/>
      </c>
      <c r="AK225" s="79" t="str">
        <f t="shared" si="11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8"/>
        <v/>
      </c>
      <c r="AE226" s="76" t="str">
        <f t="shared" si="9"/>
        <v/>
      </c>
      <c r="AF226" s="77"/>
      <c r="AG226" s="73"/>
      <c r="AH226" s="77"/>
      <c r="AI226" s="73"/>
      <c r="AJ226" s="78" t="str">
        <f t="shared" si="10"/>
        <v/>
      </c>
      <c r="AK226" s="79" t="str">
        <f t="shared" si="11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8"/>
        <v/>
      </c>
      <c r="AE227" s="76" t="str">
        <f t="shared" si="9"/>
        <v/>
      </c>
      <c r="AF227" s="77"/>
      <c r="AG227" s="73"/>
      <c r="AH227" s="77"/>
      <c r="AI227" s="73"/>
      <c r="AJ227" s="78" t="str">
        <f t="shared" si="10"/>
        <v/>
      </c>
      <c r="AK227" s="79" t="str">
        <f t="shared" si="11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8"/>
        <v/>
      </c>
      <c r="AE228" s="76" t="str">
        <f t="shared" si="9"/>
        <v/>
      </c>
      <c r="AF228" s="77"/>
      <c r="AG228" s="73"/>
      <c r="AH228" s="77"/>
      <c r="AI228" s="73"/>
      <c r="AJ228" s="78" t="str">
        <f t="shared" si="10"/>
        <v/>
      </c>
      <c r="AK228" s="79" t="str">
        <f t="shared" si="11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8"/>
        <v/>
      </c>
      <c r="AE229" s="76" t="str">
        <f t="shared" si="9"/>
        <v/>
      </c>
      <c r="AF229" s="77"/>
      <c r="AG229" s="73"/>
      <c r="AH229" s="77"/>
      <c r="AI229" s="73"/>
      <c r="AJ229" s="78" t="str">
        <f t="shared" si="10"/>
        <v/>
      </c>
      <c r="AK229" s="79" t="str">
        <f t="shared" si="11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8"/>
        <v/>
      </c>
      <c r="AE230" s="76" t="str">
        <f t="shared" si="9"/>
        <v/>
      </c>
      <c r="AF230" s="77"/>
      <c r="AG230" s="73"/>
      <c r="AH230" s="77"/>
      <c r="AI230" s="73"/>
      <c r="AJ230" s="78" t="str">
        <f t="shared" si="10"/>
        <v/>
      </c>
      <c r="AK230" s="79" t="str">
        <f t="shared" si="11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8"/>
        <v/>
      </c>
      <c r="AE231" s="76" t="str">
        <f t="shared" si="9"/>
        <v/>
      </c>
      <c r="AF231" s="77"/>
      <c r="AG231" s="73"/>
      <c r="AH231" s="77"/>
      <c r="AI231" s="73"/>
      <c r="AJ231" s="78" t="str">
        <f t="shared" si="10"/>
        <v/>
      </c>
      <c r="AK231" s="79" t="str">
        <f t="shared" si="11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8"/>
        <v/>
      </c>
      <c r="AE232" s="76" t="str">
        <f t="shared" si="9"/>
        <v/>
      </c>
      <c r="AF232" s="77"/>
      <c r="AG232" s="73"/>
      <c r="AH232" s="77"/>
      <c r="AI232" s="73"/>
      <c r="AJ232" s="78" t="str">
        <f t="shared" si="10"/>
        <v/>
      </c>
      <c r="AK232" s="79" t="str">
        <f t="shared" si="11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8"/>
        <v/>
      </c>
      <c r="AE233" s="76" t="str">
        <f t="shared" si="9"/>
        <v/>
      </c>
      <c r="AF233" s="77"/>
      <c r="AG233" s="73"/>
      <c r="AH233" s="77"/>
      <c r="AI233" s="73"/>
      <c r="AJ233" s="78" t="str">
        <f t="shared" si="10"/>
        <v/>
      </c>
      <c r="AK233" s="79" t="str">
        <f t="shared" si="11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8"/>
        <v/>
      </c>
      <c r="AE234" s="76" t="str">
        <f t="shared" si="9"/>
        <v/>
      </c>
      <c r="AF234" s="77"/>
      <c r="AG234" s="73"/>
      <c r="AH234" s="77"/>
      <c r="AI234" s="73"/>
      <c r="AJ234" s="78" t="str">
        <f t="shared" si="10"/>
        <v/>
      </c>
      <c r="AK234" s="79" t="str">
        <f t="shared" si="11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8"/>
        <v/>
      </c>
      <c r="AE235" s="76" t="str">
        <f t="shared" si="9"/>
        <v/>
      </c>
      <c r="AF235" s="77"/>
      <c r="AG235" s="73"/>
      <c r="AH235" s="77"/>
      <c r="AI235" s="73"/>
      <c r="AJ235" s="78" t="str">
        <f t="shared" si="10"/>
        <v/>
      </c>
      <c r="AK235" s="79" t="str">
        <f t="shared" si="11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8"/>
        <v/>
      </c>
      <c r="AE236" s="76" t="str">
        <f t="shared" si="9"/>
        <v/>
      </c>
      <c r="AF236" s="77"/>
      <c r="AG236" s="73"/>
      <c r="AH236" s="77"/>
      <c r="AI236" s="73"/>
      <c r="AJ236" s="78" t="str">
        <f t="shared" si="10"/>
        <v/>
      </c>
      <c r="AK236" s="79" t="str">
        <f t="shared" si="11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8"/>
        <v/>
      </c>
      <c r="AE237" s="76" t="str">
        <f t="shared" si="9"/>
        <v/>
      </c>
      <c r="AF237" s="77"/>
      <c r="AG237" s="73"/>
      <c r="AH237" s="77"/>
      <c r="AI237" s="73"/>
      <c r="AJ237" s="78" t="str">
        <f t="shared" si="10"/>
        <v/>
      </c>
      <c r="AK237" s="79" t="str">
        <f t="shared" si="11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8"/>
        <v/>
      </c>
      <c r="AE238" s="76" t="str">
        <f t="shared" si="9"/>
        <v/>
      </c>
      <c r="AF238" s="77"/>
      <c r="AG238" s="73"/>
      <c r="AH238" s="77"/>
      <c r="AI238" s="73"/>
      <c r="AJ238" s="78" t="str">
        <f t="shared" si="10"/>
        <v/>
      </c>
      <c r="AK238" s="79" t="str">
        <f t="shared" si="11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8"/>
        <v/>
      </c>
      <c r="AE239" s="76" t="str">
        <f t="shared" si="9"/>
        <v/>
      </c>
      <c r="AF239" s="77"/>
      <c r="AG239" s="73"/>
      <c r="AH239" s="77"/>
      <c r="AI239" s="73"/>
      <c r="AJ239" s="78" t="str">
        <f t="shared" si="10"/>
        <v/>
      </c>
      <c r="AK239" s="79" t="str">
        <f t="shared" si="11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8"/>
        <v/>
      </c>
      <c r="AE240" s="76" t="str">
        <f t="shared" si="9"/>
        <v/>
      </c>
      <c r="AF240" s="77"/>
      <c r="AG240" s="73"/>
      <c r="AH240" s="77"/>
      <c r="AI240" s="73"/>
      <c r="AJ240" s="78" t="str">
        <f t="shared" si="10"/>
        <v/>
      </c>
      <c r="AK240" s="79" t="str">
        <f t="shared" si="11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8"/>
        <v/>
      </c>
      <c r="AE241" s="76" t="str">
        <f t="shared" si="9"/>
        <v/>
      </c>
      <c r="AF241" s="77"/>
      <c r="AG241" s="73"/>
      <c r="AH241" s="77"/>
      <c r="AI241" s="73"/>
      <c r="AJ241" s="78" t="str">
        <f t="shared" si="10"/>
        <v/>
      </c>
      <c r="AK241" s="79" t="str">
        <f t="shared" si="11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8"/>
        <v/>
      </c>
      <c r="AE242" s="76" t="str">
        <f t="shared" si="9"/>
        <v/>
      </c>
      <c r="AF242" s="77"/>
      <c r="AG242" s="73"/>
      <c r="AH242" s="77"/>
      <c r="AI242" s="73"/>
      <c r="AJ242" s="78" t="str">
        <f t="shared" si="10"/>
        <v/>
      </c>
      <c r="AK242" s="79" t="str">
        <f t="shared" si="11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8"/>
        <v/>
      </c>
      <c r="AE243" s="76" t="str">
        <f t="shared" si="9"/>
        <v/>
      </c>
      <c r="AF243" s="77"/>
      <c r="AG243" s="73"/>
      <c r="AH243" s="77"/>
      <c r="AI243" s="73"/>
      <c r="AJ243" s="78" t="str">
        <f t="shared" si="10"/>
        <v/>
      </c>
      <c r="AK243" s="79" t="str">
        <f t="shared" si="11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8"/>
        <v/>
      </c>
      <c r="AE244" s="76" t="str">
        <f t="shared" si="9"/>
        <v/>
      </c>
      <c r="AF244" s="77"/>
      <c r="AG244" s="73"/>
      <c r="AH244" s="77"/>
      <c r="AI244" s="73"/>
      <c r="AJ244" s="78" t="str">
        <f t="shared" si="10"/>
        <v/>
      </c>
      <c r="AK244" s="79" t="str">
        <f t="shared" si="11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8"/>
        <v/>
      </c>
      <c r="AE245" s="76" t="str">
        <f t="shared" si="9"/>
        <v/>
      </c>
      <c r="AF245" s="77"/>
      <c r="AG245" s="73"/>
      <c r="AH245" s="77"/>
      <c r="AI245" s="73"/>
      <c r="AJ245" s="78" t="str">
        <f t="shared" si="10"/>
        <v/>
      </c>
      <c r="AK245" s="79" t="str">
        <f t="shared" si="11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8"/>
        <v/>
      </c>
      <c r="AE246" s="76" t="str">
        <f t="shared" si="9"/>
        <v/>
      </c>
      <c r="AF246" s="77"/>
      <c r="AG246" s="73"/>
      <c r="AH246" s="77"/>
      <c r="AI246" s="73"/>
      <c r="AJ246" s="78" t="str">
        <f t="shared" si="10"/>
        <v/>
      </c>
      <c r="AK246" s="79" t="str">
        <f t="shared" si="11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8"/>
        <v/>
      </c>
      <c r="AE247" s="76" t="str">
        <f t="shared" si="9"/>
        <v/>
      </c>
      <c r="AF247" s="77"/>
      <c r="AG247" s="73"/>
      <c r="AH247" s="77"/>
      <c r="AI247" s="73"/>
      <c r="AJ247" s="78" t="str">
        <f t="shared" si="10"/>
        <v/>
      </c>
      <c r="AK247" s="79" t="str">
        <f t="shared" si="11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8"/>
        <v/>
      </c>
      <c r="AE248" s="76" t="str">
        <f t="shared" si="9"/>
        <v/>
      </c>
      <c r="AF248" s="77"/>
      <c r="AG248" s="73"/>
      <c r="AH248" s="77"/>
      <c r="AI248" s="73"/>
      <c r="AJ248" s="78" t="str">
        <f t="shared" si="10"/>
        <v/>
      </c>
      <c r="AK248" s="79" t="str">
        <f t="shared" si="11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8"/>
        <v/>
      </c>
      <c r="AE249" s="76" t="str">
        <f t="shared" si="9"/>
        <v/>
      </c>
      <c r="AF249" s="77"/>
      <c r="AG249" s="73"/>
      <c r="AH249" s="77"/>
      <c r="AI249" s="73"/>
      <c r="AJ249" s="78" t="str">
        <f t="shared" si="10"/>
        <v/>
      </c>
      <c r="AK249" s="79" t="str">
        <f t="shared" si="11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8"/>
        <v/>
      </c>
      <c r="AE250" s="76" t="str">
        <f t="shared" si="9"/>
        <v/>
      </c>
      <c r="AF250" s="77"/>
      <c r="AG250" s="73"/>
      <c r="AH250" s="77"/>
      <c r="AI250" s="73"/>
      <c r="AJ250" s="78" t="str">
        <f t="shared" si="10"/>
        <v/>
      </c>
      <c r="AK250" s="79" t="str">
        <f t="shared" si="11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8"/>
        <v/>
      </c>
      <c r="AE251" s="76" t="str">
        <f t="shared" si="9"/>
        <v/>
      </c>
      <c r="AF251" s="77"/>
      <c r="AG251" s="73"/>
      <c r="AH251" s="77"/>
      <c r="AI251" s="73"/>
      <c r="AJ251" s="78" t="str">
        <f t="shared" si="10"/>
        <v/>
      </c>
      <c r="AK251" s="79" t="str">
        <f t="shared" si="11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8"/>
        <v/>
      </c>
      <c r="AE252" s="76" t="str">
        <f t="shared" si="9"/>
        <v/>
      </c>
      <c r="AF252" s="77"/>
      <c r="AG252" s="73"/>
      <c r="AH252" s="77"/>
      <c r="AI252" s="73"/>
      <c r="AJ252" s="78" t="str">
        <f t="shared" si="10"/>
        <v/>
      </c>
      <c r="AK252" s="79" t="str">
        <f t="shared" si="11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8"/>
        <v/>
      </c>
      <c r="AE253" s="76" t="str">
        <f t="shared" si="9"/>
        <v/>
      </c>
      <c r="AF253" s="77"/>
      <c r="AG253" s="73"/>
      <c r="AH253" s="77"/>
      <c r="AI253" s="73"/>
      <c r="AJ253" s="78" t="str">
        <f t="shared" si="10"/>
        <v/>
      </c>
      <c r="AK253" s="79" t="str">
        <f t="shared" si="11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8"/>
        <v/>
      </c>
      <c r="AE254" s="76" t="str">
        <f t="shared" si="9"/>
        <v/>
      </c>
      <c r="AF254" s="77"/>
      <c r="AG254" s="73"/>
      <c r="AH254" s="77"/>
      <c r="AI254" s="73"/>
      <c r="AJ254" s="78" t="str">
        <f t="shared" si="10"/>
        <v/>
      </c>
      <c r="AK254" s="79" t="str">
        <f t="shared" si="11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8"/>
        <v/>
      </c>
      <c r="AE255" s="76" t="str">
        <f t="shared" si="9"/>
        <v/>
      </c>
      <c r="AF255" s="77"/>
      <c r="AG255" s="73"/>
      <c r="AH255" s="77"/>
      <c r="AI255" s="73"/>
      <c r="AJ255" s="78" t="str">
        <f t="shared" si="10"/>
        <v/>
      </c>
      <c r="AK255" s="79" t="str">
        <f t="shared" si="11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8"/>
        <v/>
      </c>
      <c r="AE256" s="76" t="str">
        <f t="shared" si="9"/>
        <v/>
      </c>
      <c r="AF256" s="77"/>
      <c r="AG256" s="73"/>
      <c r="AH256" s="77"/>
      <c r="AI256" s="73"/>
      <c r="AJ256" s="78" t="str">
        <f t="shared" si="10"/>
        <v/>
      </c>
      <c r="AK256" s="79" t="str">
        <f t="shared" si="11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8"/>
        <v/>
      </c>
      <c r="AE257" s="76" t="str">
        <f t="shared" si="9"/>
        <v/>
      </c>
      <c r="AF257" s="77"/>
      <c r="AG257" s="73"/>
      <c r="AH257" s="77"/>
      <c r="AI257" s="73"/>
      <c r="AJ257" s="78" t="str">
        <f t="shared" si="10"/>
        <v/>
      </c>
      <c r="AK257" s="79" t="str">
        <f t="shared" si="11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8"/>
        <v/>
      </c>
      <c r="AE258" s="76" t="str">
        <f t="shared" si="9"/>
        <v/>
      </c>
      <c r="AF258" s="77"/>
      <c r="AG258" s="73"/>
      <c r="AH258" s="77"/>
      <c r="AI258" s="73"/>
      <c r="AJ258" s="78" t="str">
        <f t="shared" si="10"/>
        <v/>
      </c>
      <c r="AK258" s="79" t="str">
        <f t="shared" si="11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8"/>
        <v/>
      </c>
      <c r="AE259" s="76" t="str">
        <f t="shared" si="9"/>
        <v/>
      </c>
      <c r="AF259" s="77"/>
      <c r="AG259" s="73"/>
      <c r="AH259" s="77"/>
      <c r="AI259" s="73"/>
      <c r="AJ259" s="78" t="str">
        <f t="shared" si="10"/>
        <v/>
      </c>
      <c r="AK259" s="79" t="str">
        <f t="shared" si="11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12">IF(MIN(F260,J260,N260,R260,V260,Z260)&lt;&gt;0,MIN(F260,J260,N260,R260,V260,Z260),"")</f>
        <v/>
      </c>
      <c r="AE260" s="76" t="str">
        <f t="shared" ref="AE260:AE323" si="13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14">IF(AD260="","",IF(ISBLANK(AF260),"En cours",AD260+AF260))</f>
        <v/>
      </c>
      <c r="AK260" s="79" t="str">
        <f t="shared" ref="AK260:AK323" si="15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12"/>
        <v/>
      </c>
      <c r="AE261" s="76" t="str">
        <f t="shared" si="13"/>
        <v/>
      </c>
      <c r="AF261" s="77"/>
      <c r="AG261" s="73"/>
      <c r="AH261" s="77"/>
      <c r="AI261" s="73"/>
      <c r="AJ261" s="78" t="str">
        <f t="shared" si="14"/>
        <v/>
      </c>
      <c r="AK261" s="79" t="str">
        <f t="shared" si="15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12"/>
        <v/>
      </c>
      <c r="AE262" s="76" t="str">
        <f t="shared" si="13"/>
        <v/>
      </c>
      <c r="AF262" s="77"/>
      <c r="AG262" s="73"/>
      <c r="AH262" s="77"/>
      <c r="AI262" s="73"/>
      <c r="AJ262" s="78" t="str">
        <f t="shared" si="14"/>
        <v/>
      </c>
      <c r="AK262" s="79" t="str">
        <f t="shared" si="15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12"/>
        <v/>
      </c>
      <c r="AE263" s="76" t="str">
        <f t="shared" si="13"/>
        <v/>
      </c>
      <c r="AF263" s="77"/>
      <c r="AG263" s="73"/>
      <c r="AH263" s="77"/>
      <c r="AI263" s="73"/>
      <c r="AJ263" s="78" t="str">
        <f t="shared" si="14"/>
        <v/>
      </c>
      <c r="AK263" s="79" t="str">
        <f t="shared" si="15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12"/>
        <v/>
      </c>
      <c r="AE264" s="76" t="str">
        <f t="shared" si="13"/>
        <v/>
      </c>
      <c r="AF264" s="77"/>
      <c r="AG264" s="73"/>
      <c r="AH264" s="77"/>
      <c r="AI264" s="73"/>
      <c r="AJ264" s="78" t="str">
        <f t="shared" si="14"/>
        <v/>
      </c>
      <c r="AK264" s="79" t="str">
        <f t="shared" si="15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12"/>
        <v/>
      </c>
      <c r="AE265" s="76" t="str">
        <f t="shared" si="13"/>
        <v/>
      </c>
      <c r="AF265" s="77"/>
      <c r="AG265" s="73"/>
      <c r="AH265" s="77"/>
      <c r="AI265" s="73"/>
      <c r="AJ265" s="78" t="str">
        <f t="shared" si="14"/>
        <v/>
      </c>
      <c r="AK265" s="79" t="str">
        <f t="shared" si="15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12"/>
        <v/>
      </c>
      <c r="AE266" s="76" t="str">
        <f t="shared" si="13"/>
        <v/>
      </c>
      <c r="AF266" s="77"/>
      <c r="AG266" s="73"/>
      <c r="AH266" s="77"/>
      <c r="AI266" s="73"/>
      <c r="AJ266" s="78" t="str">
        <f t="shared" si="14"/>
        <v/>
      </c>
      <c r="AK266" s="79" t="str">
        <f t="shared" si="15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12"/>
        <v/>
      </c>
      <c r="AE267" s="76" t="str">
        <f t="shared" si="13"/>
        <v/>
      </c>
      <c r="AF267" s="77"/>
      <c r="AG267" s="73"/>
      <c r="AH267" s="77"/>
      <c r="AI267" s="73"/>
      <c r="AJ267" s="78" t="str">
        <f t="shared" si="14"/>
        <v/>
      </c>
      <c r="AK267" s="79" t="str">
        <f t="shared" si="15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12"/>
        <v/>
      </c>
      <c r="AE268" s="76" t="str">
        <f t="shared" si="13"/>
        <v/>
      </c>
      <c r="AF268" s="77"/>
      <c r="AG268" s="73"/>
      <c r="AH268" s="77"/>
      <c r="AI268" s="73"/>
      <c r="AJ268" s="78" t="str">
        <f t="shared" si="14"/>
        <v/>
      </c>
      <c r="AK268" s="79" t="str">
        <f t="shared" si="15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12"/>
        <v/>
      </c>
      <c r="AE269" s="76" t="str">
        <f t="shared" si="13"/>
        <v/>
      </c>
      <c r="AF269" s="77"/>
      <c r="AG269" s="73"/>
      <c r="AH269" s="77"/>
      <c r="AI269" s="73"/>
      <c r="AJ269" s="78" t="str">
        <f t="shared" si="14"/>
        <v/>
      </c>
      <c r="AK269" s="79" t="str">
        <f t="shared" si="15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12"/>
        <v/>
      </c>
      <c r="AE270" s="76" t="str">
        <f t="shared" si="13"/>
        <v/>
      </c>
      <c r="AF270" s="77"/>
      <c r="AG270" s="73"/>
      <c r="AH270" s="77"/>
      <c r="AI270" s="73"/>
      <c r="AJ270" s="78" t="str">
        <f t="shared" si="14"/>
        <v/>
      </c>
      <c r="AK270" s="79" t="str">
        <f t="shared" si="15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12"/>
        <v/>
      </c>
      <c r="AE271" s="76" t="str">
        <f t="shared" si="13"/>
        <v/>
      </c>
      <c r="AF271" s="77"/>
      <c r="AG271" s="73"/>
      <c r="AH271" s="77"/>
      <c r="AI271" s="73"/>
      <c r="AJ271" s="78" t="str">
        <f t="shared" si="14"/>
        <v/>
      </c>
      <c r="AK271" s="79" t="str">
        <f t="shared" si="15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12"/>
        <v/>
      </c>
      <c r="AE272" s="76" t="str">
        <f t="shared" si="13"/>
        <v/>
      </c>
      <c r="AF272" s="77"/>
      <c r="AG272" s="73"/>
      <c r="AH272" s="77"/>
      <c r="AI272" s="73"/>
      <c r="AJ272" s="78" t="str">
        <f t="shared" si="14"/>
        <v/>
      </c>
      <c r="AK272" s="79" t="str">
        <f t="shared" si="15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12"/>
        <v/>
      </c>
      <c r="AE273" s="76" t="str">
        <f t="shared" si="13"/>
        <v/>
      </c>
      <c r="AF273" s="77"/>
      <c r="AG273" s="73"/>
      <c r="AH273" s="77"/>
      <c r="AI273" s="73"/>
      <c r="AJ273" s="78" t="str">
        <f t="shared" si="14"/>
        <v/>
      </c>
      <c r="AK273" s="79" t="str">
        <f t="shared" si="15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12"/>
        <v/>
      </c>
      <c r="AE274" s="76" t="str">
        <f t="shared" si="13"/>
        <v/>
      </c>
      <c r="AF274" s="77"/>
      <c r="AG274" s="73"/>
      <c r="AH274" s="77"/>
      <c r="AI274" s="73"/>
      <c r="AJ274" s="78" t="str">
        <f t="shared" si="14"/>
        <v/>
      </c>
      <c r="AK274" s="79" t="str">
        <f t="shared" si="15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12"/>
        <v/>
      </c>
      <c r="AE275" s="76" t="str">
        <f t="shared" si="13"/>
        <v/>
      </c>
      <c r="AF275" s="77"/>
      <c r="AG275" s="73"/>
      <c r="AH275" s="77"/>
      <c r="AI275" s="73"/>
      <c r="AJ275" s="78" t="str">
        <f t="shared" si="14"/>
        <v/>
      </c>
      <c r="AK275" s="79" t="str">
        <f t="shared" si="15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12"/>
        <v/>
      </c>
      <c r="AE276" s="76" t="str">
        <f t="shared" si="13"/>
        <v/>
      </c>
      <c r="AF276" s="77"/>
      <c r="AG276" s="73"/>
      <c r="AH276" s="77"/>
      <c r="AI276" s="73"/>
      <c r="AJ276" s="78" t="str">
        <f t="shared" si="14"/>
        <v/>
      </c>
      <c r="AK276" s="79" t="str">
        <f t="shared" si="15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12"/>
        <v/>
      </c>
      <c r="AE277" s="76" t="str">
        <f t="shared" si="13"/>
        <v/>
      </c>
      <c r="AF277" s="77"/>
      <c r="AG277" s="73"/>
      <c r="AH277" s="77"/>
      <c r="AI277" s="73"/>
      <c r="AJ277" s="78" t="str">
        <f t="shared" si="14"/>
        <v/>
      </c>
      <c r="AK277" s="79" t="str">
        <f t="shared" si="15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12"/>
        <v/>
      </c>
      <c r="AE278" s="76" t="str">
        <f t="shared" si="13"/>
        <v/>
      </c>
      <c r="AF278" s="77"/>
      <c r="AG278" s="73"/>
      <c r="AH278" s="77"/>
      <c r="AI278" s="73"/>
      <c r="AJ278" s="78" t="str">
        <f t="shared" si="14"/>
        <v/>
      </c>
      <c r="AK278" s="79" t="str">
        <f t="shared" si="15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12"/>
        <v/>
      </c>
      <c r="AE279" s="76" t="str">
        <f t="shared" si="13"/>
        <v/>
      </c>
      <c r="AF279" s="77"/>
      <c r="AG279" s="73"/>
      <c r="AH279" s="77"/>
      <c r="AI279" s="73"/>
      <c r="AJ279" s="78" t="str">
        <f t="shared" si="14"/>
        <v/>
      </c>
      <c r="AK279" s="79" t="str">
        <f t="shared" si="15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12"/>
        <v/>
      </c>
      <c r="AE280" s="76" t="str">
        <f t="shared" si="13"/>
        <v/>
      </c>
      <c r="AF280" s="77"/>
      <c r="AG280" s="73"/>
      <c r="AH280" s="77"/>
      <c r="AI280" s="73"/>
      <c r="AJ280" s="78" t="str">
        <f t="shared" si="14"/>
        <v/>
      </c>
      <c r="AK280" s="79" t="str">
        <f t="shared" si="15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12"/>
        <v/>
      </c>
      <c r="AE281" s="76" t="str">
        <f t="shared" si="13"/>
        <v/>
      </c>
      <c r="AF281" s="77"/>
      <c r="AG281" s="73"/>
      <c r="AH281" s="77"/>
      <c r="AI281" s="73"/>
      <c r="AJ281" s="78" t="str">
        <f t="shared" si="14"/>
        <v/>
      </c>
      <c r="AK281" s="79" t="str">
        <f t="shared" si="15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12"/>
        <v/>
      </c>
      <c r="AE282" s="76" t="str">
        <f t="shared" si="13"/>
        <v/>
      </c>
      <c r="AF282" s="77"/>
      <c r="AG282" s="73"/>
      <c r="AH282" s="77"/>
      <c r="AI282" s="73"/>
      <c r="AJ282" s="78" t="str">
        <f t="shared" si="14"/>
        <v/>
      </c>
      <c r="AK282" s="79" t="str">
        <f t="shared" si="15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12"/>
        <v/>
      </c>
      <c r="AE283" s="76" t="str">
        <f t="shared" si="13"/>
        <v/>
      </c>
      <c r="AF283" s="77"/>
      <c r="AG283" s="73"/>
      <c r="AH283" s="77"/>
      <c r="AI283" s="73"/>
      <c r="AJ283" s="78" t="str">
        <f t="shared" si="14"/>
        <v/>
      </c>
      <c r="AK283" s="79" t="str">
        <f t="shared" si="15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12"/>
        <v/>
      </c>
      <c r="AE284" s="76" t="str">
        <f t="shared" si="13"/>
        <v/>
      </c>
      <c r="AF284" s="77"/>
      <c r="AG284" s="73"/>
      <c r="AH284" s="77"/>
      <c r="AI284" s="73"/>
      <c r="AJ284" s="78" t="str">
        <f t="shared" si="14"/>
        <v/>
      </c>
      <c r="AK284" s="79" t="str">
        <f t="shared" si="15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12"/>
        <v/>
      </c>
      <c r="AE285" s="76" t="str">
        <f t="shared" si="13"/>
        <v/>
      </c>
      <c r="AF285" s="77"/>
      <c r="AG285" s="73"/>
      <c r="AH285" s="77"/>
      <c r="AI285" s="73"/>
      <c r="AJ285" s="78" t="str">
        <f t="shared" si="14"/>
        <v/>
      </c>
      <c r="AK285" s="79" t="str">
        <f t="shared" si="15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12"/>
        <v/>
      </c>
      <c r="AE286" s="76" t="str">
        <f t="shared" si="13"/>
        <v/>
      </c>
      <c r="AF286" s="77"/>
      <c r="AG286" s="73"/>
      <c r="AH286" s="77"/>
      <c r="AI286" s="73"/>
      <c r="AJ286" s="78" t="str">
        <f t="shared" si="14"/>
        <v/>
      </c>
      <c r="AK286" s="79" t="str">
        <f t="shared" si="15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12"/>
        <v/>
      </c>
      <c r="AE287" s="76" t="str">
        <f t="shared" si="13"/>
        <v/>
      </c>
      <c r="AF287" s="77"/>
      <c r="AG287" s="73"/>
      <c r="AH287" s="77"/>
      <c r="AI287" s="73"/>
      <c r="AJ287" s="78" t="str">
        <f t="shared" si="14"/>
        <v/>
      </c>
      <c r="AK287" s="79" t="str">
        <f t="shared" si="15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12"/>
        <v/>
      </c>
      <c r="AE288" s="76" t="str">
        <f t="shared" si="13"/>
        <v/>
      </c>
      <c r="AF288" s="77"/>
      <c r="AG288" s="73"/>
      <c r="AH288" s="77"/>
      <c r="AI288" s="73"/>
      <c r="AJ288" s="78" t="str">
        <f t="shared" si="14"/>
        <v/>
      </c>
      <c r="AK288" s="79" t="str">
        <f t="shared" si="15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12"/>
        <v/>
      </c>
      <c r="AE289" s="76" t="str">
        <f t="shared" si="13"/>
        <v/>
      </c>
      <c r="AF289" s="77"/>
      <c r="AG289" s="73"/>
      <c r="AH289" s="77"/>
      <c r="AI289" s="73"/>
      <c r="AJ289" s="78" t="str">
        <f t="shared" si="14"/>
        <v/>
      </c>
      <c r="AK289" s="79" t="str">
        <f t="shared" si="15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12"/>
        <v/>
      </c>
      <c r="AE290" s="76" t="str">
        <f t="shared" si="13"/>
        <v/>
      </c>
      <c r="AF290" s="77"/>
      <c r="AG290" s="73"/>
      <c r="AH290" s="77"/>
      <c r="AI290" s="73"/>
      <c r="AJ290" s="78" t="str">
        <f t="shared" si="14"/>
        <v/>
      </c>
      <c r="AK290" s="79" t="str">
        <f t="shared" si="15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12"/>
        <v/>
      </c>
      <c r="AE291" s="76" t="str">
        <f t="shared" si="13"/>
        <v/>
      </c>
      <c r="AF291" s="77"/>
      <c r="AG291" s="73"/>
      <c r="AH291" s="77"/>
      <c r="AI291" s="73"/>
      <c r="AJ291" s="78" t="str">
        <f t="shared" si="14"/>
        <v/>
      </c>
      <c r="AK291" s="79" t="str">
        <f t="shared" si="15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12"/>
        <v/>
      </c>
      <c r="AE292" s="76" t="str">
        <f t="shared" si="13"/>
        <v/>
      </c>
      <c r="AF292" s="77"/>
      <c r="AG292" s="73"/>
      <c r="AH292" s="77"/>
      <c r="AI292" s="73"/>
      <c r="AJ292" s="78" t="str">
        <f t="shared" si="14"/>
        <v/>
      </c>
      <c r="AK292" s="79" t="str">
        <f t="shared" si="15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12"/>
        <v/>
      </c>
      <c r="AE293" s="76" t="str">
        <f t="shared" si="13"/>
        <v/>
      </c>
      <c r="AF293" s="77"/>
      <c r="AG293" s="73"/>
      <c r="AH293" s="77"/>
      <c r="AI293" s="73"/>
      <c r="AJ293" s="78" t="str">
        <f t="shared" si="14"/>
        <v/>
      </c>
      <c r="AK293" s="79" t="str">
        <f t="shared" si="15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12"/>
        <v/>
      </c>
      <c r="AE294" s="76" t="str">
        <f t="shared" si="13"/>
        <v/>
      </c>
      <c r="AF294" s="77"/>
      <c r="AG294" s="73"/>
      <c r="AH294" s="77"/>
      <c r="AI294" s="73"/>
      <c r="AJ294" s="78" t="str">
        <f t="shared" si="14"/>
        <v/>
      </c>
      <c r="AK294" s="79" t="str">
        <f t="shared" si="15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12"/>
        <v/>
      </c>
      <c r="AE295" s="76" t="str">
        <f t="shared" si="13"/>
        <v/>
      </c>
      <c r="AF295" s="77"/>
      <c r="AG295" s="73"/>
      <c r="AH295" s="77"/>
      <c r="AI295" s="73"/>
      <c r="AJ295" s="78" t="str">
        <f t="shared" si="14"/>
        <v/>
      </c>
      <c r="AK295" s="79" t="str">
        <f t="shared" si="15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12"/>
        <v/>
      </c>
      <c r="AE296" s="76" t="str">
        <f t="shared" si="13"/>
        <v/>
      </c>
      <c r="AF296" s="77"/>
      <c r="AG296" s="73"/>
      <c r="AH296" s="77"/>
      <c r="AI296" s="73"/>
      <c r="AJ296" s="78" t="str">
        <f t="shared" si="14"/>
        <v/>
      </c>
      <c r="AK296" s="79" t="str">
        <f t="shared" si="15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12"/>
        <v/>
      </c>
      <c r="AE297" s="76" t="str">
        <f t="shared" si="13"/>
        <v/>
      </c>
      <c r="AF297" s="77"/>
      <c r="AG297" s="73"/>
      <c r="AH297" s="77"/>
      <c r="AI297" s="73"/>
      <c r="AJ297" s="78" t="str">
        <f t="shared" si="14"/>
        <v/>
      </c>
      <c r="AK297" s="79" t="str">
        <f t="shared" si="15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12"/>
        <v/>
      </c>
      <c r="AE298" s="76" t="str">
        <f t="shared" si="13"/>
        <v/>
      </c>
      <c r="AF298" s="77"/>
      <c r="AG298" s="73"/>
      <c r="AH298" s="77"/>
      <c r="AI298" s="73"/>
      <c r="AJ298" s="78" t="str">
        <f t="shared" si="14"/>
        <v/>
      </c>
      <c r="AK298" s="79" t="str">
        <f t="shared" si="15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12"/>
        <v/>
      </c>
      <c r="AE299" s="76" t="str">
        <f t="shared" si="13"/>
        <v/>
      </c>
      <c r="AF299" s="77"/>
      <c r="AG299" s="73"/>
      <c r="AH299" s="77"/>
      <c r="AI299" s="73"/>
      <c r="AJ299" s="78" t="str">
        <f t="shared" si="14"/>
        <v/>
      </c>
      <c r="AK299" s="79" t="str">
        <f t="shared" si="15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12"/>
        <v/>
      </c>
      <c r="AE300" s="76" t="str">
        <f t="shared" si="13"/>
        <v/>
      </c>
      <c r="AF300" s="77"/>
      <c r="AG300" s="73"/>
      <c r="AH300" s="77"/>
      <c r="AI300" s="73"/>
      <c r="AJ300" s="78" t="str">
        <f t="shared" si="14"/>
        <v/>
      </c>
      <c r="AK300" s="79" t="str">
        <f t="shared" si="15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12"/>
        <v/>
      </c>
      <c r="AE301" s="76" t="str">
        <f t="shared" si="13"/>
        <v/>
      </c>
      <c r="AF301" s="77"/>
      <c r="AG301" s="73"/>
      <c r="AH301" s="77"/>
      <c r="AI301" s="73"/>
      <c r="AJ301" s="78" t="str">
        <f t="shared" si="14"/>
        <v/>
      </c>
      <c r="AK301" s="79" t="str">
        <f t="shared" si="15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12"/>
        <v/>
      </c>
      <c r="AE302" s="76" t="str">
        <f t="shared" si="13"/>
        <v/>
      </c>
      <c r="AF302" s="77"/>
      <c r="AG302" s="73"/>
      <c r="AH302" s="77"/>
      <c r="AI302" s="73"/>
      <c r="AJ302" s="78" t="str">
        <f t="shared" si="14"/>
        <v/>
      </c>
      <c r="AK302" s="79" t="str">
        <f t="shared" si="15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12"/>
        <v/>
      </c>
      <c r="AE303" s="76" t="str">
        <f t="shared" si="13"/>
        <v/>
      </c>
      <c r="AF303" s="77"/>
      <c r="AG303" s="73"/>
      <c r="AH303" s="77"/>
      <c r="AI303" s="73"/>
      <c r="AJ303" s="78" t="str">
        <f t="shared" si="14"/>
        <v/>
      </c>
      <c r="AK303" s="79" t="str">
        <f t="shared" si="15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12"/>
        <v/>
      </c>
      <c r="AE304" s="76" t="str">
        <f t="shared" si="13"/>
        <v/>
      </c>
      <c r="AF304" s="77"/>
      <c r="AG304" s="73"/>
      <c r="AH304" s="77"/>
      <c r="AI304" s="73"/>
      <c r="AJ304" s="78" t="str">
        <f t="shared" si="14"/>
        <v/>
      </c>
      <c r="AK304" s="79" t="str">
        <f t="shared" si="15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12"/>
        <v/>
      </c>
      <c r="AE305" s="76" t="str">
        <f t="shared" si="13"/>
        <v/>
      </c>
      <c r="AF305" s="77"/>
      <c r="AG305" s="73"/>
      <c r="AH305" s="77"/>
      <c r="AI305" s="73"/>
      <c r="AJ305" s="78" t="str">
        <f t="shared" si="14"/>
        <v/>
      </c>
      <c r="AK305" s="79" t="str">
        <f t="shared" si="15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12"/>
        <v/>
      </c>
      <c r="AE306" s="76" t="str">
        <f t="shared" si="13"/>
        <v/>
      </c>
      <c r="AF306" s="77"/>
      <c r="AG306" s="73"/>
      <c r="AH306" s="77"/>
      <c r="AI306" s="73"/>
      <c r="AJ306" s="78" t="str">
        <f t="shared" si="14"/>
        <v/>
      </c>
      <c r="AK306" s="79" t="str">
        <f t="shared" si="15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12"/>
        <v/>
      </c>
      <c r="AE307" s="76" t="str">
        <f t="shared" si="13"/>
        <v/>
      </c>
      <c r="AF307" s="77"/>
      <c r="AG307" s="73"/>
      <c r="AH307" s="77"/>
      <c r="AI307" s="73"/>
      <c r="AJ307" s="78" t="str">
        <f t="shared" si="14"/>
        <v/>
      </c>
      <c r="AK307" s="79" t="str">
        <f t="shared" si="15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12"/>
        <v/>
      </c>
      <c r="AE308" s="76" t="str">
        <f t="shared" si="13"/>
        <v/>
      </c>
      <c r="AF308" s="77"/>
      <c r="AG308" s="73"/>
      <c r="AH308" s="77"/>
      <c r="AI308" s="73"/>
      <c r="AJ308" s="78" t="str">
        <f t="shared" si="14"/>
        <v/>
      </c>
      <c r="AK308" s="79" t="str">
        <f t="shared" si="15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12"/>
        <v/>
      </c>
      <c r="AE309" s="76" t="str">
        <f t="shared" si="13"/>
        <v/>
      </c>
      <c r="AF309" s="77"/>
      <c r="AG309" s="73"/>
      <c r="AH309" s="77"/>
      <c r="AI309" s="73"/>
      <c r="AJ309" s="78" t="str">
        <f t="shared" si="14"/>
        <v/>
      </c>
      <c r="AK309" s="79" t="str">
        <f t="shared" si="15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12"/>
        <v/>
      </c>
      <c r="AE310" s="76" t="str">
        <f t="shared" si="13"/>
        <v/>
      </c>
      <c r="AF310" s="77"/>
      <c r="AG310" s="73"/>
      <c r="AH310" s="77"/>
      <c r="AI310" s="73"/>
      <c r="AJ310" s="78" t="str">
        <f t="shared" si="14"/>
        <v/>
      </c>
      <c r="AK310" s="79" t="str">
        <f t="shared" si="15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12"/>
        <v/>
      </c>
      <c r="AE311" s="76" t="str">
        <f t="shared" si="13"/>
        <v/>
      </c>
      <c r="AF311" s="77"/>
      <c r="AG311" s="73"/>
      <c r="AH311" s="77"/>
      <c r="AI311" s="73"/>
      <c r="AJ311" s="78" t="str">
        <f t="shared" si="14"/>
        <v/>
      </c>
      <c r="AK311" s="79" t="str">
        <f t="shared" si="15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12"/>
        <v/>
      </c>
      <c r="AE312" s="76" t="str">
        <f t="shared" si="13"/>
        <v/>
      </c>
      <c r="AF312" s="77"/>
      <c r="AG312" s="73"/>
      <c r="AH312" s="77"/>
      <c r="AI312" s="73"/>
      <c r="AJ312" s="78" t="str">
        <f t="shared" si="14"/>
        <v/>
      </c>
      <c r="AK312" s="79" t="str">
        <f t="shared" si="15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12"/>
        <v/>
      </c>
      <c r="AE313" s="76" t="str">
        <f t="shared" si="13"/>
        <v/>
      </c>
      <c r="AF313" s="77"/>
      <c r="AG313" s="73"/>
      <c r="AH313" s="77"/>
      <c r="AI313" s="73"/>
      <c r="AJ313" s="78" t="str">
        <f t="shared" si="14"/>
        <v/>
      </c>
      <c r="AK313" s="79" t="str">
        <f t="shared" si="15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12"/>
        <v/>
      </c>
      <c r="AE314" s="76" t="str">
        <f t="shared" si="13"/>
        <v/>
      </c>
      <c r="AF314" s="77"/>
      <c r="AG314" s="73"/>
      <c r="AH314" s="77"/>
      <c r="AI314" s="73"/>
      <c r="AJ314" s="78" t="str">
        <f t="shared" si="14"/>
        <v/>
      </c>
      <c r="AK314" s="79" t="str">
        <f t="shared" si="15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12"/>
        <v/>
      </c>
      <c r="AE315" s="76" t="str">
        <f t="shared" si="13"/>
        <v/>
      </c>
      <c r="AF315" s="77"/>
      <c r="AG315" s="73"/>
      <c r="AH315" s="77"/>
      <c r="AI315" s="73"/>
      <c r="AJ315" s="78" t="str">
        <f t="shared" si="14"/>
        <v/>
      </c>
      <c r="AK315" s="79" t="str">
        <f t="shared" si="15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12"/>
        <v/>
      </c>
      <c r="AE316" s="76" t="str">
        <f t="shared" si="13"/>
        <v/>
      </c>
      <c r="AF316" s="77"/>
      <c r="AG316" s="73"/>
      <c r="AH316" s="77"/>
      <c r="AI316" s="73"/>
      <c r="AJ316" s="78" t="str">
        <f t="shared" si="14"/>
        <v/>
      </c>
      <c r="AK316" s="79" t="str">
        <f t="shared" si="15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12"/>
        <v/>
      </c>
      <c r="AE317" s="76" t="str">
        <f t="shared" si="13"/>
        <v/>
      </c>
      <c r="AF317" s="77"/>
      <c r="AG317" s="73"/>
      <c r="AH317" s="77"/>
      <c r="AI317" s="73"/>
      <c r="AJ317" s="78" t="str">
        <f t="shared" si="14"/>
        <v/>
      </c>
      <c r="AK317" s="79" t="str">
        <f t="shared" si="15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12"/>
        <v/>
      </c>
      <c r="AE318" s="76" t="str">
        <f t="shared" si="13"/>
        <v/>
      </c>
      <c r="AF318" s="77"/>
      <c r="AG318" s="73"/>
      <c r="AH318" s="77"/>
      <c r="AI318" s="73"/>
      <c r="AJ318" s="78" t="str">
        <f t="shared" si="14"/>
        <v/>
      </c>
      <c r="AK318" s="79" t="str">
        <f t="shared" si="15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12"/>
        <v/>
      </c>
      <c r="AE319" s="76" t="str">
        <f t="shared" si="13"/>
        <v/>
      </c>
      <c r="AF319" s="77"/>
      <c r="AG319" s="73"/>
      <c r="AH319" s="77"/>
      <c r="AI319" s="73"/>
      <c r="AJ319" s="78" t="str">
        <f t="shared" si="14"/>
        <v/>
      </c>
      <c r="AK319" s="79" t="str">
        <f t="shared" si="15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12"/>
        <v/>
      </c>
      <c r="AE320" s="76" t="str">
        <f t="shared" si="13"/>
        <v/>
      </c>
      <c r="AF320" s="77"/>
      <c r="AG320" s="73"/>
      <c r="AH320" s="77"/>
      <c r="AI320" s="73"/>
      <c r="AJ320" s="78" t="str">
        <f t="shared" si="14"/>
        <v/>
      </c>
      <c r="AK320" s="79" t="str">
        <f t="shared" si="15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12"/>
        <v/>
      </c>
      <c r="AE321" s="76" t="str">
        <f t="shared" si="13"/>
        <v/>
      </c>
      <c r="AF321" s="77"/>
      <c r="AG321" s="73"/>
      <c r="AH321" s="77"/>
      <c r="AI321" s="73"/>
      <c r="AJ321" s="78" t="str">
        <f t="shared" si="14"/>
        <v/>
      </c>
      <c r="AK321" s="79" t="str">
        <f t="shared" si="15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12"/>
        <v/>
      </c>
      <c r="AE322" s="76" t="str">
        <f t="shared" si="13"/>
        <v/>
      </c>
      <c r="AF322" s="77"/>
      <c r="AG322" s="73"/>
      <c r="AH322" s="77"/>
      <c r="AI322" s="73"/>
      <c r="AJ322" s="78" t="str">
        <f t="shared" si="14"/>
        <v/>
      </c>
      <c r="AK322" s="79" t="str">
        <f t="shared" si="15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12"/>
        <v/>
      </c>
      <c r="AE323" s="76" t="str">
        <f t="shared" si="13"/>
        <v/>
      </c>
      <c r="AF323" s="77"/>
      <c r="AG323" s="73"/>
      <c r="AH323" s="77"/>
      <c r="AI323" s="73"/>
      <c r="AJ323" s="78" t="str">
        <f t="shared" si="14"/>
        <v/>
      </c>
      <c r="AK323" s="79" t="str">
        <f t="shared" si="15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16">IF(MIN(F324,J324,N324,R324,V324,Z324)&lt;&gt;0,MIN(F324,J324,N324,R324,V324,Z324),"")</f>
        <v/>
      </c>
      <c r="AE324" s="76" t="str">
        <f t="shared" ref="AE324:AE350" si="17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18">IF(AD324="","",IF(ISBLANK(AF324),"En cours",AD324+AF324))</f>
        <v/>
      </c>
      <c r="AK324" s="79" t="str">
        <f t="shared" ref="AK324:AK350" si="19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16"/>
        <v/>
      </c>
      <c r="AE325" s="76" t="str">
        <f t="shared" si="17"/>
        <v/>
      </c>
      <c r="AF325" s="77"/>
      <c r="AG325" s="73"/>
      <c r="AH325" s="77"/>
      <c r="AI325" s="73"/>
      <c r="AJ325" s="78" t="str">
        <f t="shared" si="18"/>
        <v/>
      </c>
      <c r="AK325" s="79" t="str">
        <f t="shared" si="19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16"/>
        <v/>
      </c>
      <c r="AE326" s="76" t="str">
        <f t="shared" si="17"/>
        <v/>
      </c>
      <c r="AF326" s="77"/>
      <c r="AG326" s="73"/>
      <c r="AH326" s="77"/>
      <c r="AI326" s="73"/>
      <c r="AJ326" s="78" t="str">
        <f t="shared" si="18"/>
        <v/>
      </c>
      <c r="AK326" s="79" t="str">
        <f t="shared" si="19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16"/>
        <v/>
      </c>
      <c r="AE327" s="76" t="str">
        <f t="shared" si="17"/>
        <v/>
      </c>
      <c r="AF327" s="77"/>
      <c r="AG327" s="73"/>
      <c r="AH327" s="77"/>
      <c r="AI327" s="73"/>
      <c r="AJ327" s="78" t="str">
        <f t="shared" si="18"/>
        <v/>
      </c>
      <c r="AK327" s="79" t="str">
        <f t="shared" si="19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16"/>
        <v/>
      </c>
      <c r="AE328" s="76" t="str">
        <f t="shared" si="17"/>
        <v/>
      </c>
      <c r="AF328" s="77"/>
      <c r="AG328" s="73"/>
      <c r="AH328" s="77"/>
      <c r="AI328" s="73"/>
      <c r="AJ328" s="78" t="str">
        <f t="shared" si="18"/>
        <v/>
      </c>
      <c r="AK328" s="79" t="str">
        <f t="shared" si="19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16"/>
        <v/>
      </c>
      <c r="AE329" s="76" t="str">
        <f t="shared" si="17"/>
        <v/>
      </c>
      <c r="AF329" s="77"/>
      <c r="AG329" s="73"/>
      <c r="AH329" s="77"/>
      <c r="AI329" s="73"/>
      <c r="AJ329" s="78" t="str">
        <f t="shared" si="18"/>
        <v/>
      </c>
      <c r="AK329" s="79" t="str">
        <f t="shared" si="19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16"/>
        <v/>
      </c>
      <c r="AE330" s="76" t="str">
        <f t="shared" si="17"/>
        <v/>
      </c>
      <c r="AF330" s="77"/>
      <c r="AG330" s="73"/>
      <c r="AH330" s="77"/>
      <c r="AI330" s="73"/>
      <c r="AJ330" s="78" t="str">
        <f t="shared" si="18"/>
        <v/>
      </c>
      <c r="AK330" s="79" t="str">
        <f t="shared" si="19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16"/>
        <v/>
      </c>
      <c r="AE331" s="76" t="str">
        <f t="shared" si="17"/>
        <v/>
      </c>
      <c r="AF331" s="77"/>
      <c r="AG331" s="73"/>
      <c r="AH331" s="77"/>
      <c r="AI331" s="73"/>
      <c r="AJ331" s="78" t="str">
        <f t="shared" si="18"/>
        <v/>
      </c>
      <c r="AK331" s="79" t="str">
        <f t="shared" si="19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16"/>
        <v/>
      </c>
      <c r="AE332" s="76" t="str">
        <f t="shared" si="17"/>
        <v/>
      </c>
      <c r="AF332" s="77"/>
      <c r="AG332" s="73"/>
      <c r="AH332" s="77"/>
      <c r="AI332" s="73"/>
      <c r="AJ332" s="78" t="str">
        <f t="shared" si="18"/>
        <v/>
      </c>
      <c r="AK332" s="79" t="str">
        <f t="shared" si="19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16"/>
        <v/>
      </c>
      <c r="AE333" s="76" t="str">
        <f t="shared" si="17"/>
        <v/>
      </c>
      <c r="AF333" s="77"/>
      <c r="AG333" s="73"/>
      <c r="AH333" s="77"/>
      <c r="AI333" s="73"/>
      <c r="AJ333" s="78" t="str">
        <f t="shared" si="18"/>
        <v/>
      </c>
      <c r="AK333" s="79" t="str">
        <f t="shared" si="19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16"/>
        <v/>
      </c>
      <c r="AE334" s="76" t="str">
        <f t="shared" si="17"/>
        <v/>
      </c>
      <c r="AF334" s="77"/>
      <c r="AG334" s="73"/>
      <c r="AH334" s="77"/>
      <c r="AI334" s="73"/>
      <c r="AJ334" s="78" t="str">
        <f t="shared" si="18"/>
        <v/>
      </c>
      <c r="AK334" s="79" t="str">
        <f t="shared" si="19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16"/>
        <v/>
      </c>
      <c r="AE335" s="76" t="str">
        <f t="shared" si="17"/>
        <v/>
      </c>
      <c r="AF335" s="77"/>
      <c r="AG335" s="73"/>
      <c r="AH335" s="77"/>
      <c r="AI335" s="73"/>
      <c r="AJ335" s="78" t="str">
        <f t="shared" si="18"/>
        <v/>
      </c>
      <c r="AK335" s="79" t="str">
        <f t="shared" si="19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16"/>
        <v/>
      </c>
      <c r="AE336" s="76" t="str">
        <f t="shared" si="17"/>
        <v/>
      </c>
      <c r="AF336" s="77"/>
      <c r="AG336" s="73"/>
      <c r="AH336" s="77"/>
      <c r="AI336" s="73"/>
      <c r="AJ336" s="78" t="str">
        <f t="shared" si="18"/>
        <v/>
      </c>
      <c r="AK336" s="79" t="str">
        <f t="shared" si="19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16"/>
        <v/>
      </c>
      <c r="AE337" s="76" t="str">
        <f t="shared" si="17"/>
        <v/>
      </c>
      <c r="AF337" s="77"/>
      <c r="AG337" s="73"/>
      <c r="AH337" s="77"/>
      <c r="AI337" s="73"/>
      <c r="AJ337" s="78" t="str">
        <f t="shared" si="18"/>
        <v/>
      </c>
      <c r="AK337" s="79" t="str">
        <f t="shared" si="19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16"/>
        <v/>
      </c>
      <c r="AE338" s="76" t="str">
        <f t="shared" si="17"/>
        <v/>
      </c>
      <c r="AF338" s="77"/>
      <c r="AG338" s="73"/>
      <c r="AH338" s="77"/>
      <c r="AI338" s="73"/>
      <c r="AJ338" s="78" t="str">
        <f t="shared" si="18"/>
        <v/>
      </c>
      <c r="AK338" s="79" t="str">
        <f t="shared" si="19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16"/>
        <v/>
      </c>
      <c r="AE339" s="76" t="str">
        <f t="shared" si="17"/>
        <v/>
      </c>
      <c r="AF339" s="77"/>
      <c r="AG339" s="73"/>
      <c r="AH339" s="77"/>
      <c r="AI339" s="73"/>
      <c r="AJ339" s="78" t="str">
        <f t="shared" si="18"/>
        <v/>
      </c>
      <c r="AK339" s="79" t="str">
        <f t="shared" si="19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16"/>
        <v/>
      </c>
      <c r="AE340" s="76" t="str">
        <f t="shared" si="17"/>
        <v/>
      </c>
      <c r="AF340" s="77"/>
      <c r="AG340" s="73"/>
      <c r="AH340" s="77"/>
      <c r="AI340" s="73"/>
      <c r="AJ340" s="78" t="str">
        <f t="shared" si="18"/>
        <v/>
      </c>
      <c r="AK340" s="79" t="str">
        <f t="shared" si="19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16"/>
        <v/>
      </c>
      <c r="AE341" s="76" t="str">
        <f t="shared" si="17"/>
        <v/>
      </c>
      <c r="AF341" s="77"/>
      <c r="AG341" s="73"/>
      <c r="AH341" s="77"/>
      <c r="AI341" s="73"/>
      <c r="AJ341" s="78" t="str">
        <f t="shared" si="18"/>
        <v/>
      </c>
      <c r="AK341" s="79" t="str">
        <f t="shared" si="19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16"/>
        <v/>
      </c>
      <c r="AE342" s="76" t="str">
        <f t="shared" si="17"/>
        <v/>
      </c>
      <c r="AF342" s="77"/>
      <c r="AG342" s="73"/>
      <c r="AH342" s="77"/>
      <c r="AI342" s="73"/>
      <c r="AJ342" s="78" t="str">
        <f t="shared" si="18"/>
        <v/>
      </c>
      <c r="AK342" s="79" t="str">
        <f t="shared" si="19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16"/>
        <v/>
      </c>
      <c r="AE343" s="76" t="str">
        <f t="shared" si="17"/>
        <v/>
      </c>
      <c r="AF343" s="77"/>
      <c r="AG343" s="73"/>
      <c r="AH343" s="77"/>
      <c r="AI343" s="73"/>
      <c r="AJ343" s="78" t="str">
        <f t="shared" si="18"/>
        <v/>
      </c>
      <c r="AK343" s="79" t="str">
        <f t="shared" si="19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16"/>
        <v/>
      </c>
      <c r="AE344" s="76" t="str">
        <f t="shared" si="17"/>
        <v/>
      </c>
      <c r="AF344" s="77"/>
      <c r="AG344" s="73"/>
      <c r="AH344" s="77"/>
      <c r="AI344" s="73"/>
      <c r="AJ344" s="78" t="str">
        <f t="shared" si="18"/>
        <v/>
      </c>
      <c r="AK344" s="79" t="str">
        <f t="shared" si="19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16"/>
        <v/>
      </c>
      <c r="AE345" s="76" t="str">
        <f t="shared" si="17"/>
        <v/>
      </c>
      <c r="AF345" s="77"/>
      <c r="AG345" s="73"/>
      <c r="AH345" s="77"/>
      <c r="AI345" s="73"/>
      <c r="AJ345" s="78" t="str">
        <f t="shared" si="18"/>
        <v/>
      </c>
      <c r="AK345" s="79" t="str">
        <f t="shared" si="19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16"/>
        <v/>
      </c>
      <c r="AE346" s="76" t="str">
        <f t="shared" si="17"/>
        <v/>
      </c>
      <c r="AF346" s="77"/>
      <c r="AG346" s="73"/>
      <c r="AH346" s="77"/>
      <c r="AI346" s="73"/>
      <c r="AJ346" s="78" t="str">
        <f t="shared" si="18"/>
        <v/>
      </c>
      <c r="AK346" s="79" t="str">
        <f t="shared" si="19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16"/>
        <v/>
      </c>
      <c r="AE347" s="76" t="str">
        <f t="shared" si="17"/>
        <v/>
      </c>
      <c r="AF347" s="77"/>
      <c r="AG347" s="73"/>
      <c r="AH347" s="77"/>
      <c r="AI347" s="73"/>
      <c r="AJ347" s="78" t="str">
        <f t="shared" si="18"/>
        <v/>
      </c>
      <c r="AK347" s="79" t="str">
        <f t="shared" si="19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16"/>
        <v/>
      </c>
      <c r="AE348" s="76" t="str">
        <f t="shared" si="17"/>
        <v/>
      </c>
      <c r="AF348" s="77"/>
      <c r="AG348" s="73"/>
      <c r="AH348" s="77"/>
      <c r="AI348" s="73"/>
      <c r="AJ348" s="78" t="str">
        <f t="shared" si="18"/>
        <v/>
      </c>
      <c r="AK348" s="79" t="str">
        <f t="shared" si="19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16"/>
        <v/>
      </c>
      <c r="AE349" s="76" t="str">
        <f t="shared" si="17"/>
        <v/>
      </c>
      <c r="AF349" s="77"/>
      <c r="AG349" s="73"/>
      <c r="AH349" s="77"/>
      <c r="AI349" s="73"/>
      <c r="AJ349" s="78" t="str">
        <f t="shared" si="18"/>
        <v/>
      </c>
      <c r="AK349" s="79" t="str">
        <f t="shared" si="19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16"/>
        <v/>
      </c>
      <c r="AE350" s="76" t="str">
        <f t="shared" si="17"/>
        <v/>
      </c>
      <c r="AF350" s="77"/>
      <c r="AG350" s="73"/>
      <c r="AH350" s="77"/>
      <c r="AI350" s="73"/>
      <c r="AJ350" s="78" t="str">
        <f t="shared" si="18"/>
        <v/>
      </c>
      <c r="AK350" s="79" t="str">
        <f t="shared" si="19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6531" priority="76289" stopIfTrue="1" operator="equal">
      <formula>"En cours"</formula>
    </cfRule>
  </conditionalFormatting>
  <conditionalFormatting sqref="AJ181">
    <cfRule type="cellIs" dxfId="6530" priority="76290" stopIfTrue="1" operator="notEqual">
      <formula>"En cours"</formula>
    </cfRule>
  </conditionalFormatting>
  <conditionalFormatting sqref="AK181">
    <cfRule type="cellIs" dxfId="6529" priority="76291" stopIfTrue="1" operator="equal">
      <formula>"En cours"</formula>
    </cfRule>
  </conditionalFormatting>
  <conditionalFormatting sqref="AK181">
    <cfRule type="cellIs" dxfId="6528" priority="76292" stopIfTrue="1" operator="notEqual">
      <formula>"En cours"</formula>
    </cfRule>
  </conditionalFormatting>
  <conditionalFormatting sqref="AJ98">
    <cfRule type="cellIs" dxfId="6503" priority="139625" stopIfTrue="1" operator="equal">
      <formula>"En cours"</formula>
    </cfRule>
  </conditionalFormatting>
  <conditionalFormatting sqref="AJ98">
    <cfRule type="cellIs" dxfId="6502" priority="139626" stopIfTrue="1" operator="notEqual">
      <formula>"En cours"</formula>
    </cfRule>
  </conditionalFormatting>
  <conditionalFormatting sqref="AK98">
    <cfRule type="cellIs" dxfId="6501" priority="139627" stopIfTrue="1" operator="equal">
      <formula>"En cours"</formula>
    </cfRule>
  </conditionalFormatting>
  <conditionalFormatting sqref="AK98">
    <cfRule type="cellIs" dxfId="6500" priority="139628" stopIfTrue="1" operator="notEqual">
      <formula>"En cours"</formula>
    </cfRule>
  </conditionalFormatting>
  <conditionalFormatting sqref="AJ100">
    <cfRule type="cellIs" dxfId="6499" priority="139633" stopIfTrue="1" operator="equal">
      <formula>"En cours"</formula>
    </cfRule>
  </conditionalFormatting>
  <conditionalFormatting sqref="AJ100">
    <cfRule type="cellIs" dxfId="6498" priority="139634" stopIfTrue="1" operator="notEqual">
      <formula>"En cours"</formula>
    </cfRule>
  </conditionalFormatting>
  <conditionalFormatting sqref="AK100">
    <cfRule type="cellIs" dxfId="6497" priority="139635" stopIfTrue="1" operator="equal">
      <formula>"En cours"</formula>
    </cfRule>
  </conditionalFormatting>
  <conditionalFormatting sqref="AK100">
    <cfRule type="cellIs" dxfId="6496" priority="139636" stopIfTrue="1" operator="notEqual">
      <formula>"En cours"</formula>
    </cfRule>
  </conditionalFormatting>
  <conditionalFormatting sqref="AJ103">
    <cfRule type="cellIs" dxfId="6495" priority="139661" stopIfTrue="1" operator="equal">
      <formula>"En cours"</formula>
    </cfRule>
  </conditionalFormatting>
  <conditionalFormatting sqref="AJ103">
    <cfRule type="cellIs" dxfId="6494" priority="139662" stopIfTrue="1" operator="notEqual">
      <formula>"En cours"</formula>
    </cfRule>
  </conditionalFormatting>
  <conditionalFormatting sqref="AK103">
    <cfRule type="cellIs" dxfId="6493" priority="139663" stopIfTrue="1" operator="equal">
      <formula>"En cours"</formula>
    </cfRule>
  </conditionalFormatting>
  <conditionalFormatting sqref="AK103">
    <cfRule type="cellIs" dxfId="6492" priority="139664" stopIfTrue="1" operator="notEqual">
      <formula>"En cours"</formula>
    </cfRule>
  </conditionalFormatting>
  <conditionalFormatting sqref="AJ111">
    <cfRule type="cellIs" dxfId="6491" priority="139709" stopIfTrue="1" operator="equal">
      <formula>"En cours"</formula>
    </cfRule>
  </conditionalFormatting>
  <conditionalFormatting sqref="AJ111">
    <cfRule type="cellIs" dxfId="6490" priority="139710" stopIfTrue="1" operator="notEqual">
      <formula>"En cours"</formula>
    </cfRule>
  </conditionalFormatting>
  <conditionalFormatting sqref="AK111">
    <cfRule type="cellIs" dxfId="6489" priority="139711" stopIfTrue="1" operator="equal">
      <formula>"En cours"</formula>
    </cfRule>
  </conditionalFormatting>
  <conditionalFormatting sqref="AK111">
    <cfRule type="cellIs" dxfId="6488" priority="139712" stopIfTrue="1" operator="notEqual">
      <formula>"En cours"</formula>
    </cfRule>
  </conditionalFormatting>
  <conditionalFormatting sqref="AJ109">
    <cfRule type="cellIs" dxfId="6487" priority="139717" stopIfTrue="1" operator="equal">
      <formula>"En cours"</formula>
    </cfRule>
  </conditionalFormatting>
  <conditionalFormatting sqref="AJ109">
    <cfRule type="cellIs" dxfId="6486" priority="139718" stopIfTrue="1" operator="notEqual">
      <formula>"En cours"</formula>
    </cfRule>
  </conditionalFormatting>
  <conditionalFormatting sqref="AK109">
    <cfRule type="cellIs" dxfId="6485" priority="139719" stopIfTrue="1" operator="equal">
      <formula>"En cours"</formula>
    </cfRule>
  </conditionalFormatting>
  <conditionalFormatting sqref="AK109">
    <cfRule type="cellIs" dxfId="6484" priority="139720" stopIfTrue="1" operator="notEqual">
      <formula>"En cours"</formula>
    </cfRule>
  </conditionalFormatting>
  <conditionalFormatting sqref="AJ106">
    <cfRule type="cellIs" dxfId="6483" priority="139721" stopIfTrue="1" operator="equal">
      <formula>"En cours"</formula>
    </cfRule>
  </conditionalFormatting>
  <conditionalFormatting sqref="AJ106">
    <cfRule type="cellIs" dxfId="6482" priority="139722" stopIfTrue="1" operator="notEqual">
      <formula>"En cours"</formula>
    </cfRule>
  </conditionalFormatting>
  <conditionalFormatting sqref="AK106">
    <cfRule type="cellIs" dxfId="6481" priority="139723" stopIfTrue="1" operator="equal">
      <formula>"En cours"</formula>
    </cfRule>
  </conditionalFormatting>
  <conditionalFormatting sqref="AK106">
    <cfRule type="cellIs" dxfId="6480" priority="139724" stopIfTrue="1" operator="notEqual">
      <formula>"En cours"</formula>
    </cfRule>
  </conditionalFormatting>
  <conditionalFormatting sqref="AJ119">
    <cfRule type="cellIs" dxfId="6479" priority="139737" stopIfTrue="1" operator="equal">
      <formula>"En cours"</formula>
    </cfRule>
  </conditionalFormatting>
  <conditionalFormatting sqref="AJ119">
    <cfRule type="cellIs" dxfId="6478" priority="139738" stopIfTrue="1" operator="notEqual">
      <formula>"En cours"</formula>
    </cfRule>
  </conditionalFormatting>
  <conditionalFormatting sqref="AK119">
    <cfRule type="cellIs" dxfId="6477" priority="139739" stopIfTrue="1" operator="equal">
      <formula>"En cours"</formula>
    </cfRule>
  </conditionalFormatting>
  <conditionalFormatting sqref="AK119">
    <cfRule type="cellIs" dxfId="6476" priority="139740" stopIfTrue="1" operator="notEqual">
      <formula>"En cours"</formula>
    </cfRule>
  </conditionalFormatting>
  <conditionalFormatting sqref="AJ105">
    <cfRule type="cellIs" dxfId="6475" priority="139741" stopIfTrue="1" operator="equal">
      <formula>"En cours"</formula>
    </cfRule>
  </conditionalFormatting>
  <conditionalFormatting sqref="AJ105">
    <cfRule type="cellIs" dxfId="6474" priority="139742" stopIfTrue="1" operator="notEqual">
      <formula>"En cours"</formula>
    </cfRule>
  </conditionalFormatting>
  <conditionalFormatting sqref="AK105">
    <cfRule type="cellIs" dxfId="6473" priority="139743" stopIfTrue="1" operator="equal">
      <formula>"En cours"</formula>
    </cfRule>
  </conditionalFormatting>
  <conditionalFormatting sqref="AK105">
    <cfRule type="cellIs" dxfId="6472" priority="139744" stopIfTrue="1" operator="notEqual">
      <formula>"En cours"</formula>
    </cfRule>
  </conditionalFormatting>
  <conditionalFormatting sqref="AJ79">
    <cfRule type="cellIs" dxfId="6467" priority="140073" stopIfTrue="1" operator="equal">
      <formula>"En cours"</formula>
    </cfRule>
  </conditionalFormatting>
  <conditionalFormatting sqref="AJ79">
    <cfRule type="cellIs" dxfId="6466" priority="140074" stopIfTrue="1" operator="notEqual">
      <formula>"En cours"</formula>
    </cfRule>
  </conditionalFormatting>
  <conditionalFormatting sqref="AK79">
    <cfRule type="cellIs" dxfId="6465" priority="140075" stopIfTrue="1" operator="equal">
      <formula>"En cours"</formula>
    </cfRule>
  </conditionalFormatting>
  <conditionalFormatting sqref="AK79">
    <cfRule type="cellIs" dxfId="6464" priority="140076" stopIfTrue="1" operator="notEqual">
      <formula>"En cours"</formula>
    </cfRule>
  </conditionalFormatting>
  <conditionalFormatting sqref="AJ82">
    <cfRule type="cellIs" dxfId="6443" priority="140205" stopIfTrue="1" operator="equal">
      <formula>"En cours"</formula>
    </cfRule>
  </conditionalFormatting>
  <conditionalFormatting sqref="AJ82">
    <cfRule type="cellIs" dxfId="6442" priority="140206" stopIfTrue="1" operator="notEqual">
      <formula>"En cours"</formula>
    </cfRule>
  </conditionalFormatting>
  <conditionalFormatting sqref="AK82">
    <cfRule type="cellIs" dxfId="6441" priority="140207" stopIfTrue="1" operator="equal">
      <formula>"En cours"</formula>
    </cfRule>
  </conditionalFormatting>
  <conditionalFormatting sqref="AK82">
    <cfRule type="cellIs" dxfId="6440" priority="140208" stopIfTrue="1" operator="notEqual">
      <formula>"En cours"</formula>
    </cfRule>
  </conditionalFormatting>
  <conditionalFormatting sqref="AJ125">
    <cfRule type="cellIs" dxfId="6435" priority="140253" stopIfTrue="1" operator="equal">
      <formula>"En cours"</formula>
    </cfRule>
  </conditionalFormatting>
  <conditionalFormatting sqref="AJ125">
    <cfRule type="cellIs" dxfId="6434" priority="140254" stopIfTrue="1" operator="notEqual">
      <formula>"En cours"</formula>
    </cfRule>
  </conditionalFormatting>
  <conditionalFormatting sqref="AK125">
    <cfRule type="cellIs" dxfId="6433" priority="140255" stopIfTrue="1" operator="equal">
      <formula>"En cours"</formula>
    </cfRule>
  </conditionalFormatting>
  <conditionalFormatting sqref="AK125">
    <cfRule type="cellIs" dxfId="6432" priority="140256" stopIfTrue="1" operator="notEqual">
      <formula>"En cours"</formula>
    </cfRule>
  </conditionalFormatting>
  <conditionalFormatting sqref="AJ128">
    <cfRule type="cellIs" dxfId="6419" priority="140305" stopIfTrue="1" operator="equal">
      <formula>"En cours"</formula>
    </cfRule>
  </conditionalFormatting>
  <conditionalFormatting sqref="AJ128">
    <cfRule type="cellIs" dxfId="6418" priority="140306" stopIfTrue="1" operator="notEqual">
      <formula>"En cours"</formula>
    </cfRule>
  </conditionalFormatting>
  <conditionalFormatting sqref="AK128">
    <cfRule type="cellIs" dxfId="6417" priority="140307" stopIfTrue="1" operator="equal">
      <formula>"En cours"</formula>
    </cfRule>
  </conditionalFormatting>
  <conditionalFormatting sqref="AK128">
    <cfRule type="cellIs" dxfId="6416" priority="140308" stopIfTrue="1" operator="notEqual">
      <formula>"En cours"</formula>
    </cfRule>
  </conditionalFormatting>
  <conditionalFormatting sqref="AJ126">
    <cfRule type="cellIs" dxfId="6415" priority="140313" stopIfTrue="1" operator="equal">
      <formula>"En cours"</formula>
    </cfRule>
  </conditionalFormatting>
  <conditionalFormatting sqref="AJ126">
    <cfRule type="cellIs" dxfId="6414" priority="140314" stopIfTrue="1" operator="notEqual">
      <formula>"En cours"</formula>
    </cfRule>
  </conditionalFormatting>
  <conditionalFormatting sqref="AK126">
    <cfRule type="cellIs" dxfId="6413" priority="140315" stopIfTrue="1" operator="equal">
      <formula>"En cours"</formula>
    </cfRule>
  </conditionalFormatting>
  <conditionalFormatting sqref="AK126">
    <cfRule type="cellIs" dxfId="6412" priority="140316" stopIfTrue="1" operator="notEqual">
      <formula>"En cours"</formula>
    </cfRule>
  </conditionalFormatting>
  <conditionalFormatting sqref="AJ107">
    <cfRule type="cellIs" dxfId="6411" priority="140317" stopIfTrue="1" operator="equal">
      <formula>"En cours"</formula>
    </cfRule>
  </conditionalFormatting>
  <conditionalFormatting sqref="AJ107">
    <cfRule type="cellIs" dxfId="6410" priority="140318" stopIfTrue="1" operator="notEqual">
      <formula>"En cours"</formula>
    </cfRule>
  </conditionalFormatting>
  <conditionalFormatting sqref="AK107">
    <cfRule type="cellIs" dxfId="6409" priority="140319" stopIfTrue="1" operator="equal">
      <formula>"En cours"</formula>
    </cfRule>
  </conditionalFormatting>
  <conditionalFormatting sqref="AK107">
    <cfRule type="cellIs" dxfId="6408" priority="140320" stopIfTrue="1" operator="notEqual">
      <formula>"En cours"</formula>
    </cfRule>
  </conditionalFormatting>
  <conditionalFormatting sqref="AJ134">
    <cfRule type="cellIs" dxfId="6407" priority="140337" stopIfTrue="1" operator="equal">
      <formula>"En cours"</formula>
    </cfRule>
  </conditionalFormatting>
  <conditionalFormatting sqref="AJ134">
    <cfRule type="cellIs" dxfId="6406" priority="140338" stopIfTrue="1" operator="notEqual">
      <formula>"En cours"</formula>
    </cfRule>
  </conditionalFormatting>
  <conditionalFormatting sqref="AK134">
    <cfRule type="cellIs" dxfId="6405" priority="140339" stopIfTrue="1" operator="equal">
      <formula>"En cours"</formula>
    </cfRule>
  </conditionalFormatting>
  <conditionalFormatting sqref="AK134">
    <cfRule type="cellIs" dxfId="6404" priority="140340" stopIfTrue="1" operator="notEqual">
      <formula>"En cours"</formula>
    </cfRule>
  </conditionalFormatting>
  <conditionalFormatting sqref="AJ137">
    <cfRule type="cellIs" dxfId="6403" priority="140689" stopIfTrue="1" operator="equal">
      <formula>"En cours"</formula>
    </cfRule>
  </conditionalFormatting>
  <conditionalFormatting sqref="AJ137">
    <cfRule type="cellIs" dxfId="6402" priority="140690" stopIfTrue="1" operator="notEqual">
      <formula>"En cours"</formula>
    </cfRule>
  </conditionalFormatting>
  <conditionalFormatting sqref="AK137">
    <cfRule type="cellIs" dxfId="6401" priority="140691" stopIfTrue="1" operator="equal">
      <formula>"En cours"</formula>
    </cfRule>
  </conditionalFormatting>
  <conditionalFormatting sqref="AK137">
    <cfRule type="cellIs" dxfId="6400" priority="140692" stopIfTrue="1" operator="notEqual">
      <formula>"En cours"</formula>
    </cfRule>
  </conditionalFormatting>
  <conditionalFormatting sqref="AJ140">
    <cfRule type="cellIs" dxfId="6399" priority="140697" stopIfTrue="1" operator="equal">
      <formula>"En cours"</formula>
    </cfRule>
  </conditionalFormatting>
  <conditionalFormatting sqref="AJ140">
    <cfRule type="cellIs" dxfId="6398" priority="140698" stopIfTrue="1" operator="notEqual">
      <formula>"En cours"</formula>
    </cfRule>
  </conditionalFormatting>
  <conditionalFormatting sqref="AK140">
    <cfRule type="cellIs" dxfId="6397" priority="140699" stopIfTrue="1" operator="equal">
      <formula>"En cours"</formula>
    </cfRule>
  </conditionalFormatting>
  <conditionalFormatting sqref="AK140">
    <cfRule type="cellIs" dxfId="6396" priority="140700" stopIfTrue="1" operator="notEqual">
      <formula>"En cours"</formula>
    </cfRule>
  </conditionalFormatting>
  <conditionalFormatting sqref="AJ139">
    <cfRule type="cellIs" dxfId="6395" priority="140701" stopIfTrue="1" operator="equal">
      <formula>"En cours"</formula>
    </cfRule>
  </conditionalFormatting>
  <conditionalFormatting sqref="AJ139">
    <cfRule type="cellIs" dxfId="6394" priority="140702" stopIfTrue="1" operator="notEqual">
      <formula>"En cours"</formula>
    </cfRule>
  </conditionalFormatting>
  <conditionalFormatting sqref="AK139">
    <cfRule type="cellIs" dxfId="6393" priority="140703" stopIfTrue="1" operator="equal">
      <formula>"En cours"</formula>
    </cfRule>
  </conditionalFormatting>
  <conditionalFormatting sqref="AK139">
    <cfRule type="cellIs" dxfId="6392" priority="140704" stopIfTrue="1" operator="notEqual">
      <formula>"En cours"</formula>
    </cfRule>
  </conditionalFormatting>
  <conditionalFormatting sqref="AJ81">
    <cfRule type="cellIs" dxfId="6391" priority="140713" stopIfTrue="1" operator="equal">
      <formula>"En cours"</formula>
    </cfRule>
  </conditionalFormatting>
  <conditionalFormatting sqref="AJ81">
    <cfRule type="cellIs" dxfId="6390" priority="140714" stopIfTrue="1" operator="notEqual">
      <formula>"En cours"</formula>
    </cfRule>
  </conditionalFormatting>
  <conditionalFormatting sqref="AK81">
    <cfRule type="cellIs" dxfId="6389" priority="140715" stopIfTrue="1" operator="equal">
      <formula>"En cours"</formula>
    </cfRule>
  </conditionalFormatting>
  <conditionalFormatting sqref="AK81">
    <cfRule type="cellIs" dxfId="6388" priority="140716" stopIfTrue="1" operator="notEqual">
      <formula>"En cours"</formula>
    </cfRule>
  </conditionalFormatting>
  <conditionalFormatting sqref="AJ143">
    <cfRule type="cellIs" dxfId="6383" priority="140789" stopIfTrue="1" operator="equal">
      <formula>"En cours"</formula>
    </cfRule>
  </conditionalFormatting>
  <conditionalFormatting sqref="AJ143">
    <cfRule type="cellIs" dxfId="6382" priority="140790" stopIfTrue="1" operator="notEqual">
      <formula>"En cours"</formula>
    </cfRule>
  </conditionalFormatting>
  <conditionalFormatting sqref="AK143">
    <cfRule type="cellIs" dxfId="6381" priority="140791" stopIfTrue="1" operator="equal">
      <formula>"En cours"</formula>
    </cfRule>
  </conditionalFormatting>
  <conditionalFormatting sqref="AK143">
    <cfRule type="cellIs" dxfId="6380" priority="140792" stopIfTrue="1" operator="notEqual">
      <formula>"En cours"</formula>
    </cfRule>
  </conditionalFormatting>
  <conditionalFormatting sqref="AJ150">
    <cfRule type="cellIs" dxfId="6379" priority="140825" stopIfTrue="1" operator="equal">
      <formula>"En cours"</formula>
    </cfRule>
  </conditionalFormatting>
  <conditionalFormatting sqref="AJ150">
    <cfRule type="cellIs" dxfId="6378" priority="140826" stopIfTrue="1" operator="notEqual">
      <formula>"En cours"</formula>
    </cfRule>
  </conditionalFormatting>
  <conditionalFormatting sqref="AK150">
    <cfRule type="cellIs" dxfId="6377" priority="140827" stopIfTrue="1" operator="equal">
      <formula>"En cours"</formula>
    </cfRule>
  </conditionalFormatting>
  <conditionalFormatting sqref="AK150">
    <cfRule type="cellIs" dxfId="6376" priority="140828" stopIfTrue="1" operator="notEqual">
      <formula>"En cours"</formula>
    </cfRule>
  </conditionalFormatting>
  <conditionalFormatting sqref="AJ151">
    <cfRule type="cellIs" dxfId="6375" priority="140829" stopIfTrue="1" operator="equal">
      <formula>"En cours"</formula>
    </cfRule>
  </conditionalFormatting>
  <conditionalFormatting sqref="AJ151">
    <cfRule type="cellIs" dxfId="6374" priority="140830" stopIfTrue="1" operator="notEqual">
      <formula>"En cours"</formula>
    </cfRule>
  </conditionalFormatting>
  <conditionalFormatting sqref="AK151">
    <cfRule type="cellIs" dxfId="6373" priority="140831" stopIfTrue="1" operator="equal">
      <formula>"En cours"</formula>
    </cfRule>
  </conditionalFormatting>
  <conditionalFormatting sqref="AK151">
    <cfRule type="cellIs" dxfId="6372" priority="140832" stopIfTrue="1" operator="notEqual">
      <formula>"En cours"</formula>
    </cfRule>
  </conditionalFormatting>
  <conditionalFormatting sqref="AJ149">
    <cfRule type="cellIs" dxfId="6371" priority="140845" stopIfTrue="1" operator="equal">
      <formula>"En cours"</formula>
    </cfRule>
  </conditionalFormatting>
  <conditionalFormatting sqref="AJ149">
    <cfRule type="cellIs" dxfId="6370" priority="140846" stopIfTrue="1" operator="notEqual">
      <formula>"En cours"</formula>
    </cfRule>
  </conditionalFormatting>
  <conditionalFormatting sqref="AK149">
    <cfRule type="cellIs" dxfId="6369" priority="140847" stopIfTrue="1" operator="equal">
      <formula>"En cours"</formula>
    </cfRule>
  </conditionalFormatting>
  <conditionalFormatting sqref="AK149">
    <cfRule type="cellIs" dxfId="6368" priority="140848" stopIfTrue="1" operator="notEqual">
      <formula>"En cours"</formula>
    </cfRule>
  </conditionalFormatting>
  <conditionalFormatting sqref="AJ97">
    <cfRule type="cellIs" dxfId="6367" priority="140873" stopIfTrue="1" operator="equal">
      <formula>"En cours"</formula>
    </cfRule>
  </conditionalFormatting>
  <conditionalFormatting sqref="AJ97">
    <cfRule type="cellIs" dxfId="6366" priority="140874" stopIfTrue="1" operator="notEqual">
      <formula>"En cours"</formula>
    </cfRule>
  </conditionalFormatting>
  <conditionalFormatting sqref="AK97">
    <cfRule type="cellIs" dxfId="6365" priority="140875" stopIfTrue="1" operator="equal">
      <formula>"En cours"</formula>
    </cfRule>
  </conditionalFormatting>
  <conditionalFormatting sqref="AK97">
    <cfRule type="cellIs" dxfId="6364" priority="140876" stopIfTrue="1" operator="notEqual">
      <formula>"En cours"</formula>
    </cfRule>
  </conditionalFormatting>
  <conditionalFormatting sqref="AJ152">
    <cfRule type="cellIs" dxfId="6363" priority="140881" stopIfTrue="1" operator="equal">
      <formula>"En cours"</formula>
    </cfRule>
  </conditionalFormatting>
  <conditionalFormatting sqref="AJ152">
    <cfRule type="cellIs" dxfId="6362" priority="140882" stopIfTrue="1" operator="notEqual">
      <formula>"En cours"</formula>
    </cfRule>
  </conditionalFormatting>
  <conditionalFormatting sqref="AK152">
    <cfRule type="cellIs" dxfId="6361" priority="140883" stopIfTrue="1" operator="equal">
      <formula>"En cours"</formula>
    </cfRule>
  </conditionalFormatting>
  <conditionalFormatting sqref="AK152">
    <cfRule type="cellIs" dxfId="6360" priority="140884" stopIfTrue="1" operator="notEqual">
      <formula>"En cours"</formula>
    </cfRule>
  </conditionalFormatting>
  <conditionalFormatting sqref="AJ115">
    <cfRule type="cellIs" dxfId="6359" priority="140905" stopIfTrue="1" operator="equal">
      <formula>"En cours"</formula>
    </cfRule>
  </conditionalFormatting>
  <conditionalFormatting sqref="AJ115">
    <cfRule type="cellIs" dxfId="6358" priority="140906" stopIfTrue="1" operator="notEqual">
      <formula>"En cours"</formula>
    </cfRule>
  </conditionalFormatting>
  <conditionalFormatting sqref="AK115">
    <cfRule type="cellIs" dxfId="6357" priority="140907" stopIfTrue="1" operator="equal">
      <formula>"En cours"</formula>
    </cfRule>
  </conditionalFormatting>
  <conditionalFormatting sqref="AK115">
    <cfRule type="cellIs" dxfId="6356" priority="140908" stopIfTrue="1" operator="notEqual">
      <formula>"En cours"</formula>
    </cfRule>
  </conditionalFormatting>
  <conditionalFormatting sqref="AJ104">
    <cfRule type="cellIs" dxfId="6355" priority="140913" stopIfTrue="1" operator="equal">
      <formula>"En cours"</formula>
    </cfRule>
  </conditionalFormatting>
  <conditionalFormatting sqref="AJ104">
    <cfRule type="cellIs" dxfId="6354" priority="140914" stopIfTrue="1" operator="notEqual">
      <formula>"En cours"</formula>
    </cfRule>
  </conditionalFormatting>
  <conditionalFormatting sqref="AK104">
    <cfRule type="cellIs" dxfId="6353" priority="140915" stopIfTrue="1" operator="equal">
      <formula>"En cours"</formula>
    </cfRule>
  </conditionalFormatting>
  <conditionalFormatting sqref="AK104">
    <cfRule type="cellIs" dxfId="6352" priority="140916" stopIfTrue="1" operator="notEqual">
      <formula>"En cours"</formula>
    </cfRule>
  </conditionalFormatting>
  <conditionalFormatting sqref="AJ157">
    <cfRule type="cellIs" dxfId="6351" priority="140941" stopIfTrue="1" operator="equal">
      <formula>"En cours"</formula>
    </cfRule>
  </conditionalFormatting>
  <conditionalFormatting sqref="AJ157">
    <cfRule type="cellIs" dxfId="6350" priority="140942" stopIfTrue="1" operator="notEqual">
      <formula>"En cours"</formula>
    </cfRule>
  </conditionalFormatting>
  <conditionalFormatting sqref="AK157">
    <cfRule type="cellIs" dxfId="6349" priority="140943" stopIfTrue="1" operator="equal">
      <formula>"En cours"</formula>
    </cfRule>
  </conditionalFormatting>
  <conditionalFormatting sqref="AK157">
    <cfRule type="cellIs" dxfId="6348" priority="140944" stopIfTrue="1" operator="notEqual">
      <formula>"En cours"</formula>
    </cfRule>
  </conditionalFormatting>
  <conditionalFormatting sqref="AJ161">
    <cfRule type="cellIs" dxfId="6347" priority="140977" stopIfTrue="1" operator="equal">
      <formula>"En cours"</formula>
    </cfRule>
  </conditionalFormatting>
  <conditionalFormatting sqref="AJ161">
    <cfRule type="cellIs" dxfId="6346" priority="140978" stopIfTrue="1" operator="notEqual">
      <formula>"En cours"</formula>
    </cfRule>
  </conditionalFormatting>
  <conditionalFormatting sqref="AK161">
    <cfRule type="cellIs" dxfId="6345" priority="140979" stopIfTrue="1" operator="equal">
      <formula>"En cours"</formula>
    </cfRule>
  </conditionalFormatting>
  <conditionalFormatting sqref="AK161">
    <cfRule type="cellIs" dxfId="6344" priority="140980" stopIfTrue="1" operator="notEqual">
      <formula>"En cours"</formula>
    </cfRule>
  </conditionalFormatting>
  <conditionalFormatting sqref="AJ164">
    <cfRule type="cellIs" dxfId="6343" priority="140993" stopIfTrue="1" operator="equal">
      <formula>"En cours"</formula>
    </cfRule>
  </conditionalFormatting>
  <conditionalFormatting sqref="AJ164">
    <cfRule type="cellIs" dxfId="6342" priority="140994" stopIfTrue="1" operator="notEqual">
      <formula>"En cours"</formula>
    </cfRule>
  </conditionalFormatting>
  <conditionalFormatting sqref="AK164">
    <cfRule type="cellIs" dxfId="6341" priority="140995" stopIfTrue="1" operator="equal">
      <formula>"En cours"</formula>
    </cfRule>
  </conditionalFormatting>
  <conditionalFormatting sqref="AK164">
    <cfRule type="cellIs" dxfId="6340" priority="140996" stopIfTrue="1" operator="notEqual">
      <formula>"En cours"</formula>
    </cfRule>
  </conditionalFormatting>
  <conditionalFormatting sqref="AJ167">
    <cfRule type="cellIs" dxfId="6339" priority="141261" stopIfTrue="1" operator="equal">
      <formula>"En cours"</formula>
    </cfRule>
  </conditionalFormatting>
  <conditionalFormatting sqref="AJ167">
    <cfRule type="cellIs" dxfId="6338" priority="141262" stopIfTrue="1" operator="notEqual">
      <formula>"En cours"</formula>
    </cfRule>
  </conditionalFormatting>
  <conditionalFormatting sqref="AK167">
    <cfRule type="cellIs" dxfId="6337" priority="141263" stopIfTrue="1" operator="equal">
      <formula>"En cours"</formula>
    </cfRule>
  </conditionalFormatting>
  <conditionalFormatting sqref="AK167">
    <cfRule type="cellIs" dxfId="6336" priority="141264" stopIfTrue="1" operator="notEqual">
      <formula>"En cours"</formula>
    </cfRule>
  </conditionalFormatting>
  <conditionalFormatting sqref="AJ78">
    <cfRule type="cellIs" dxfId="6335" priority="141269" stopIfTrue="1" operator="equal">
      <formula>"En cours"</formula>
    </cfRule>
  </conditionalFormatting>
  <conditionalFormatting sqref="AJ78">
    <cfRule type="cellIs" dxfId="6334" priority="141270" stopIfTrue="1" operator="notEqual">
      <formula>"En cours"</formula>
    </cfRule>
  </conditionalFormatting>
  <conditionalFormatting sqref="AK78">
    <cfRule type="cellIs" dxfId="6333" priority="141271" stopIfTrue="1" operator="equal">
      <formula>"En cours"</formula>
    </cfRule>
  </conditionalFormatting>
  <conditionalFormatting sqref="AK78">
    <cfRule type="cellIs" dxfId="6332" priority="141272" stopIfTrue="1" operator="notEqual">
      <formula>"En cours"</formula>
    </cfRule>
  </conditionalFormatting>
  <conditionalFormatting sqref="AJ136">
    <cfRule type="cellIs" dxfId="6327" priority="141285" stopIfTrue="1" operator="equal">
      <formula>"En cours"</formula>
    </cfRule>
  </conditionalFormatting>
  <conditionalFormatting sqref="AJ136">
    <cfRule type="cellIs" dxfId="6326" priority="141286" stopIfTrue="1" operator="notEqual">
      <formula>"En cours"</formula>
    </cfRule>
  </conditionalFormatting>
  <conditionalFormatting sqref="AK136">
    <cfRule type="cellIs" dxfId="6325" priority="141287" stopIfTrue="1" operator="equal">
      <formula>"En cours"</formula>
    </cfRule>
  </conditionalFormatting>
  <conditionalFormatting sqref="AK136">
    <cfRule type="cellIs" dxfId="6324" priority="141288" stopIfTrue="1" operator="notEqual">
      <formula>"En cours"</formula>
    </cfRule>
  </conditionalFormatting>
  <conditionalFormatting sqref="AJ169">
    <cfRule type="cellIs" dxfId="6323" priority="141301" stopIfTrue="1" operator="equal">
      <formula>"En cours"</formula>
    </cfRule>
  </conditionalFormatting>
  <conditionalFormatting sqref="AJ169">
    <cfRule type="cellIs" dxfId="6322" priority="141302" stopIfTrue="1" operator="notEqual">
      <formula>"En cours"</formula>
    </cfRule>
  </conditionalFormatting>
  <conditionalFormatting sqref="AK169">
    <cfRule type="cellIs" dxfId="6321" priority="141303" stopIfTrue="1" operator="equal">
      <formula>"En cours"</formula>
    </cfRule>
  </conditionalFormatting>
  <conditionalFormatting sqref="AK169">
    <cfRule type="cellIs" dxfId="6320" priority="141304" stopIfTrue="1" operator="notEqual">
      <formula>"En cours"</formula>
    </cfRule>
  </conditionalFormatting>
  <conditionalFormatting sqref="AJ142">
    <cfRule type="cellIs" dxfId="6319" priority="141305" stopIfTrue="1" operator="equal">
      <formula>"En cours"</formula>
    </cfRule>
  </conditionalFormatting>
  <conditionalFormatting sqref="AJ142">
    <cfRule type="cellIs" dxfId="6318" priority="141306" stopIfTrue="1" operator="notEqual">
      <formula>"En cours"</formula>
    </cfRule>
  </conditionalFormatting>
  <conditionalFormatting sqref="AK142">
    <cfRule type="cellIs" dxfId="6317" priority="141307" stopIfTrue="1" operator="equal">
      <formula>"En cours"</formula>
    </cfRule>
  </conditionalFormatting>
  <conditionalFormatting sqref="AK142">
    <cfRule type="cellIs" dxfId="6316" priority="141308" stopIfTrue="1" operator="notEqual">
      <formula>"En cours"</formula>
    </cfRule>
  </conditionalFormatting>
  <conditionalFormatting sqref="AJ145">
    <cfRule type="cellIs" dxfId="6315" priority="141313" stopIfTrue="1" operator="equal">
      <formula>"En cours"</formula>
    </cfRule>
  </conditionalFormatting>
  <conditionalFormatting sqref="AJ145">
    <cfRule type="cellIs" dxfId="6314" priority="141314" stopIfTrue="1" operator="notEqual">
      <formula>"En cours"</formula>
    </cfRule>
  </conditionalFormatting>
  <conditionalFormatting sqref="AK145">
    <cfRule type="cellIs" dxfId="6313" priority="141315" stopIfTrue="1" operator="equal">
      <formula>"En cours"</formula>
    </cfRule>
  </conditionalFormatting>
  <conditionalFormatting sqref="AK145">
    <cfRule type="cellIs" dxfId="6312" priority="141316" stopIfTrue="1" operator="notEqual">
      <formula>"En cours"</formula>
    </cfRule>
  </conditionalFormatting>
  <conditionalFormatting sqref="AJ123">
    <cfRule type="cellIs" dxfId="6307" priority="141365" stopIfTrue="1" operator="equal">
      <formula>"En cours"</formula>
    </cfRule>
  </conditionalFormatting>
  <conditionalFormatting sqref="AJ123">
    <cfRule type="cellIs" dxfId="6306" priority="141366" stopIfTrue="1" operator="notEqual">
      <formula>"En cours"</formula>
    </cfRule>
  </conditionalFormatting>
  <conditionalFormatting sqref="AK123">
    <cfRule type="cellIs" dxfId="6305" priority="141367" stopIfTrue="1" operator="equal">
      <formula>"En cours"</formula>
    </cfRule>
  </conditionalFormatting>
  <conditionalFormatting sqref="AK123">
    <cfRule type="cellIs" dxfId="6304" priority="141368" stopIfTrue="1" operator="notEqual">
      <formula>"En cours"</formula>
    </cfRule>
  </conditionalFormatting>
  <conditionalFormatting sqref="AJ88">
    <cfRule type="cellIs" dxfId="6299" priority="141373" stopIfTrue="1" operator="equal">
      <formula>"En cours"</formula>
    </cfRule>
  </conditionalFormatting>
  <conditionalFormatting sqref="AJ88">
    <cfRule type="cellIs" dxfId="6298" priority="141374" stopIfTrue="1" operator="notEqual">
      <formula>"En cours"</formula>
    </cfRule>
  </conditionalFormatting>
  <conditionalFormatting sqref="AK88">
    <cfRule type="cellIs" dxfId="6297" priority="141375" stopIfTrue="1" operator="equal">
      <formula>"En cours"</formula>
    </cfRule>
  </conditionalFormatting>
  <conditionalFormatting sqref="AK88">
    <cfRule type="cellIs" dxfId="6296" priority="141376" stopIfTrue="1" operator="notEqual">
      <formula>"En cours"</formula>
    </cfRule>
  </conditionalFormatting>
  <conditionalFormatting sqref="AJ156">
    <cfRule type="cellIs" dxfId="6295" priority="141413" stopIfTrue="1" operator="equal">
      <formula>"En cours"</formula>
    </cfRule>
  </conditionalFormatting>
  <conditionalFormatting sqref="AJ156">
    <cfRule type="cellIs" dxfId="6294" priority="141414" stopIfTrue="1" operator="notEqual">
      <formula>"En cours"</formula>
    </cfRule>
  </conditionalFormatting>
  <conditionalFormatting sqref="AK156">
    <cfRule type="cellIs" dxfId="6293" priority="141415" stopIfTrue="1" operator="equal">
      <formula>"En cours"</formula>
    </cfRule>
  </conditionalFormatting>
  <conditionalFormatting sqref="AK156">
    <cfRule type="cellIs" dxfId="6292" priority="141416" stopIfTrue="1" operator="notEqual">
      <formula>"En cours"</formula>
    </cfRule>
  </conditionalFormatting>
  <conditionalFormatting sqref="AJ129">
    <cfRule type="cellIs" dxfId="6291" priority="141445" stopIfTrue="1" operator="equal">
      <formula>"En cours"</formula>
    </cfRule>
  </conditionalFormatting>
  <conditionalFormatting sqref="AJ129">
    <cfRule type="cellIs" dxfId="6290" priority="141446" stopIfTrue="1" operator="notEqual">
      <formula>"En cours"</formula>
    </cfRule>
  </conditionalFormatting>
  <conditionalFormatting sqref="AK129">
    <cfRule type="cellIs" dxfId="6289" priority="141447" stopIfTrue="1" operator="equal">
      <formula>"En cours"</formula>
    </cfRule>
  </conditionalFormatting>
  <conditionalFormatting sqref="AK129">
    <cfRule type="cellIs" dxfId="6288" priority="141448" stopIfTrue="1" operator="notEqual">
      <formula>"En cours"</formula>
    </cfRule>
  </conditionalFormatting>
  <conditionalFormatting sqref="AJ163">
    <cfRule type="cellIs" dxfId="6287" priority="141453" stopIfTrue="1" operator="equal">
      <formula>"En cours"</formula>
    </cfRule>
  </conditionalFormatting>
  <conditionalFormatting sqref="AJ163">
    <cfRule type="cellIs" dxfId="6286" priority="141454" stopIfTrue="1" operator="notEqual">
      <formula>"En cours"</formula>
    </cfRule>
  </conditionalFormatting>
  <conditionalFormatting sqref="AK163">
    <cfRule type="cellIs" dxfId="6285" priority="141455" stopIfTrue="1" operator="equal">
      <formula>"En cours"</formula>
    </cfRule>
  </conditionalFormatting>
  <conditionalFormatting sqref="AK163">
    <cfRule type="cellIs" dxfId="6284" priority="141456" stopIfTrue="1" operator="notEqual">
      <formula>"En cours"</formula>
    </cfRule>
  </conditionalFormatting>
  <conditionalFormatting sqref="AJ171">
    <cfRule type="cellIs" dxfId="6283" priority="141485" stopIfTrue="1" operator="equal">
      <formula>"En cours"</formula>
    </cfRule>
  </conditionalFormatting>
  <conditionalFormatting sqref="AJ171">
    <cfRule type="cellIs" dxfId="6282" priority="141486" stopIfTrue="1" operator="notEqual">
      <formula>"En cours"</formula>
    </cfRule>
  </conditionalFormatting>
  <conditionalFormatting sqref="AK171">
    <cfRule type="cellIs" dxfId="6281" priority="141487" stopIfTrue="1" operator="equal">
      <formula>"En cours"</formula>
    </cfRule>
  </conditionalFormatting>
  <conditionalFormatting sqref="AK171">
    <cfRule type="cellIs" dxfId="6280" priority="141488" stopIfTrue="1" operator="notEqual">
      <formula>"En cours"</formula>
    </cfRule>
  </conditionalFormatting>
  <conditionalFormatting sqref="AJ154">
    <cfRule type="cellIs" dxfId="6279" priority="141489" stopIfTrue="1" operator="equal">
      <formula>"En cours"</formula>
    </cfRule>
  </conditionalFormatting>
  <conditionalFormatting sqref="AJ154">
    <cfRule type="cellIs" dxfId="6278" priority="141490" stopIfTrue="1" operator="notEqual">
      <formula>"En cours"</formula>
    </cfRule>
  </conditionalFormatting>
  <conditionalFormatting sqref="AK154">
    <cfRule type="cellIs" dxfId="6277" priority="141491" stopIfTrue="1" operator="equal">
      <formula>"En cours"</formula>
    </cfRule>
  </conditionalFormatting>
  <conditionalFormatting sqref="AK154">
    <cfRule type="cellIs" dxfId="6276" priority="141492" stopIfTrue="1" operator="notEqual">
      <formula>"En cours"</formula>
    </cfRule>
  </conditionalFormatting>
  <conditionalFormatting sqref="AJ120">
    <cfRule type="cellIs" dxfId="6275" priority="141741" stopIfTrue="1" operator="equal">
      <formula>"En cours"</formula>
    </cfRule>
  </conditionalFormatting>
  <conditionalFormatting sqref="AJ120">
    <cfRule type="cellIs" dxfId="6274" priority="141742" stopIfTrue="1" operator="notEqual">
      <formula>"En cours"</formula>
    </cfRule>
  </conditionalFormatting>
  <conditionalFormatting sqref="AK120">
    <cfRule type="cellIs" dxfId="6273" priority="141743" stopIfTrue="1" operator="equal">
      <formula>"En cours"</formula>
    </cfRule>
  </conditionalFormatting>
  <conditionalFormatting sqref="AK120">
    <cfRule type="cellIs" dxfId="6272" priority="141744" stopIfTrue="1" operator="notEqual">
      <formula>"En cours"</formula>
    </cfRule>
  </conditionalFormatting>
  <conditionalFormatting sqref="AJ80">
    <cfRule type="cellIs" dxfId="6271" priority="141749" stopIfTrue="1" operator="equal">
      <formula>"En cours"</formula>
    </cfRule>
  </conditionalFormatting>
  <conditionalFormatting sqref="AJ80">
    <cfRule type="cellIs" dxfId="6270" priority="141750" stopIfTrue="1" operator="notEqual">
      <formula>"En cours"</formula>
    </cfRule>
  </conditionalFormatting>
  <conditionalFormatting sqref="AK80">
    <cfRule type="cellIs" dxfId="6269" priority="141751" stopIfTrue="1" operator="equal">
      <formula>"En cours"</formula>
    </cfRule>
  </conditionalFormatting>
  <conditionalFormatting sqref="AK80">
    <cfRule type="cellIs" dxfId="6268" priority="141752" stopIfTrue="1" operator="notEqual">
      <formula>"En cours"</formula>
    </cfRule>
  </conditionalFormatting>
  <conditionalFormatting sqref="AJ138">
    <cfRule type="cellIs" dxfId="6267" priority="141769" stopIfTrue="1" operator="equal">
      <formula>"En cours"</formula>
    </cfRule>
  </conditionalFormatting>
  <conditionalFormatting sqref="AJ138">
    <cfRule type="cellIs" dxfId="6266" priority="141770" stopIfTrue="1" operator="notEqual">
      <formula>"En cours"</formula>
    </cfRule>
  </conditionalFormatting>
  <conditionalFormatting sqref="AK138">
    <cfRule type="cellIs" dxfId="6265" priority="141771" stopIfTrue="1" operator="equal">
      <formula>"En cours"</formula>
    </cfRule>
  </conditionalFormatting>
  <conditionalFormatting sqref="AK138">
    <cfRule type="cellIs" dxfId="6264" priority="141772" stopIfTrue="1" operator="notEqual">
      <formula>"En cours"</formula>
    </cfRule>
  </conditionalFormatting>
  <conditionalFormatting sqref="AJ121">
    <cfRule type="cellIs" dxfId="6263" priority="141781" stopIfTrue="1" operator="equal">
      <formula>"En cours"</formula>
    </cfRule>
  </conditionalFormatting>
  <conditionalFormatting sqref="AJ121">
    <cfRule type="cellIs" dxfId="6262" priority="141782" stopIfTrue="1" operator="notEqual">
      <formula>"En cours"</formula>
    </cfRule>
  </conditionalFormatting>
  <conditionalFormatting sqref="AK121">
    <cfRule type="cellIs" dxfId="6261" priority="141783" stopIfTrue="1" operator="equal">
      <formula>"En cours"</formula>
    </cfRule>
  </conditionalFormatting>
  <conditionalFormatting sqref="AK121">
    <cfRule type="cellIs" dxfId="6260" priority="141784" stopIfTrue="1" operator="notEqual">
      <formula>"En cours"</formula>
    </cfRule>
  </conditionalFormatting>
  <conditionalFormatting sqref="AJ83">
    <cfRule type="cellIs" dxfId="6259" priority="141785" stopIfTrue="1" operator="equal">
      <formula>"En cours"</formula>
    </cfRule>
  </conditionalFormatting>
  <conditionalFormatting sqref="AJ83">
    <cfRule type="cellIs" dxfId="6258" priority="141786" stopIfTrue="1" operator="notEqual">
      <formula>"En cours"</formula>
    </cfRule>
  </conditionalFormatting>
  <conditionalFormatting sqref="AK83">
    <cfRule type="cellIs" dxfId="6257" priority="141787" stopIfTrue="1" operator="equal">
      <formula>"En cours"</formula>
    </cfRule>
  </conditionalFormatting>
  <conditionalFormatting sqref="AK83">
    <cfRule type="cellIs" dxfId="6256" priority="141788" stopIfTrue="1" operator="notEqual">
      <formula>"En cours"</formula>
    </cfRule>
  </conditionalFormatting>
  <conditionalFormatting sqref="AJ170">
    <cfRule type="cellIs" dxfId="6255" priority="141809" stopIfTrue="1" operator="equal">
      <formula>"En cours"</formula>
    </cfRule>
  </conditionalFormatting>
  <conditionalFormatting sqref="AJ170">
    <cfRule type="cellIs" dxfId="6254" priority="141810" stopIfTrue="1" operator="notEqual">
      <formula>"En cours"</formula>
    </cfRule>
  </conditionalFormatting>
  <conditionalFormatting sqref="AK170">
    <cfRule type="cellIs" dxfId="6253" priority="141811" stopIfTrue="1" operator="equal">
      <formula>"En cours"</formula>
    </cfRule>
  </conditionalFormatting>
  <conditionalFormatting sqref="AK170">
    <cfRule type="cellIs" dxfId="6252" priority="141812" stopIfTrue="1" operator="notEqual">
      <formula>"En cours"</formula>
    </cfRule>
  </conditionalFormatting>
  <conditionalFormatting sqref="AJ93">
    <cfRule type="cellIs" dxfId="6247" priority="141821" stopIfTrue="1" operator="equal">
      <formula>"En cours"</formula>
    </cfRule>
  </conditionalFormatting>
  <conditionalFormatting sqref="AJ93">
    <cfRule type="cellIs" dxfId="6246" priority="141822" stopIfTrue="1" operator="notEqual">
      <formula>"En cours"</formula>
    </cfRule>
  </conditionalFormatting>
  <conditionalFormatting sqref="AK93">
    <cfRule type="cellIs" dxfId="6245" priority="141823" stopIfTrue="1" operator="equal">
      <formula>"En cours"</formula>
    </cfRule>
  </conditionalFormatting>
  <conditionalFormatting sqref="AK93">
    <cfRule type="cellIs" dxfId="6244" priority="141824" stopIfTrue="1" operator="notEqual">
      <formula>"En cours"</formula>
    </cfRule>
  </conditionalFormatting>
  <conditionalFormatting sqref="AJ84">
    <cfRule type="cellIs" dxfId="6243" priority="141825" stopIfTrue="1" operator="equal">
      <formula>"En cours"</formula>
    </cfRule>
  </conditionalFormatting>
  <conditionalFormatting sqref="AJ84">
    <cfRule type="cellIs" dxfId="6242" priority="141826" stopIfTrue="1" operator="notEqual">
      <formula>"En cours"</formula>
    </cfRule>
  </conditionalFormatting>
  <conditionalFormatting sqref="AK84">
    <cfRule type="cellIs" dxfId="6241" priority="141827" stopIfTrue="1" operator="equal">
      <formula>"En cours"</formula>
    </cfRule>
  </conditionalFormatting>
  <conditionalFormatting sqref="AK84">
    <cfRule type="cellIs" dxfId="6240" priority="141828" stopIfTrue="1" operator="notEqual">
      <formula>"En cours"</formula>
    </cfRule>
  </conditionalFormatting>
  <conditionalFormatting sqref="AJ89">
    <cfRule type="cellIs" dxfId="6239" priority="141849" stopIfTrue="1" operator="equal">
      <formula>"En cours"</formula>
    </cfRule>
  </conditionalFormatting>
  <conditionalFormatting sqref="AJ89">
    <cfRule type="cellIs" dxfId="6238" priority="141850" stopIfTrue="1" operator="notEqual">
      <formula>"En cours"</formula>
    </cfRule>
  </conditionalFormatting>
  <conditionalFormatting sqref="AK89">
    <cfRule type="cellIs" dxfId="6237" priority="141851" stopIfTrue="1" operator="equal">
      <formula>"En cours"</formula>
    </cfRule>
  </conditionalFormatting>
  <conditionalFormatting sqref="AK89">
    <cfRule type="cellIs" dxfId="6236" priority="141852" stopIfTrue="1" operator="notEqual">
      <formula>"En cours"</formula>
    </cfRule>
  </conditionalFormatting>
  <conditionalFormatting sqref="AJ148">
    <cfRule type="cellIs" dxfId="6235" priority="141861" stopIfTrue="1" operator="equal">
      <formula>"En cours"</formula>
    </cfRule>
  </conditionalFormatting>
  <conditionalFormatting sqref="AJ148">
    <cfRule type="cellIs" dxfId="6234" priority="141862" stopIfTrue="1" operator="notEqual">
      <formula>"En cours"</formula>
    </cfRule>
  </conditionalFormatting>
  <conditionalFormatting sqref="AK148">
    <cfRule type="cellIs" dxfId="6233" priority="141863" stopIfTrue="1" operator="equal">
      <formula>"En cours"</formula>
    </cfRule>
  </conditionalFormatting>
  <conditionalFormatting sqref="AK148">
    <cfRule type="cellIs" dxfId="6232" priority="141864" stopIfTrue="1" operator="notEqual">
      <formula>"En cours"</formula>
    </cfRule>
  </conditionalFormatting>
  <conditionalFormatting sqref="AJ96">
    <cfRule type="cellIs" dxfId="6231" priority="141881" stopIfTrue="1" operator="equal">
      <formula>"En cours"</formula>
    </cfRule>
  </conditionalFormatting>
  <conditionalFormatting sqref="AJ96">
    <cfRule type="cellIs" dxfId="6230" priority="141882" stopIfTrue="1" operator="notEqual">
      <formula>"En cours"</formula>
    </cfRule>
  </conditionalFormatting>
  <conditionalFormatting sqref="AK96">
    <cfRule type="cellIs" dxfId="6229" priority="141883" stopIfTrue="1" operator="equal">
      <formula>"En cours"</formula>
    </cfRule>
  </conditionalFormatting>
  <conditionalFormatting sqref="AK96">
    <cfRule type="cellIs" dxfId="6228" priority="141884" stopIfTrue="1" operator="notEqual">
      <formula>"En cours"</formula>
    </cfRule>
  </conditionalFormatting>
  <conditionalFormatting sqref="AJ101">
    <cfRule type="cellIs" dxfId="6227" priority="141901" stopIfTrue="1" operator="equal">
      <formula>"En cours"</formula>
    </cfRule>
  </conditionalFormatting>
  <conditionalFormatting sqref="AJ101">
    <cfRule type="cellIs" dxfId="6226" priority="141902" stopIfTrue="1" operator="notEqual">
      <formula>"En cours"</formula>
    </cfRule>
  </conditionalFormatting>
  <conditionalFormatting sqref="AK101">
    <cfRule type="cellIs" dxfId="6225" priority="141903" stopIfTrue="1" operator="equal">
      <formula>"En cours"</formula>
    </cfRule>
  </conditionalFormatting>
  <conditionalFormatting sqref="AK101">
    <cfRule type="cellIs" dxfId="6224" priority="141904" stopIfTrue="1" operator="notEqual">
      <formula>"En cours"</formula>
    </cfRule>
  </conditionalFormatting>
  <conditionalFormatting sqref="AJ114">
    <cfRule type="cellIs" dxfId="6223" priority="141909" stopIfTrue="1" operator="equal">
      <formula>"En cours"</formula>
    </cfRule>
  </conditionalFormatting>
  <conditionalFormatting sqref="AJ114">
    <cfRule type="cellIs" dxfId="6222" priority="141910" stopIfTrue="1" operator="notEqual">
      <formula>"En cours"</formula>
    </cfRule>
  </conditionalFormatting>
  <conditionalFormatting sqref="AK114">
    <cfRule type="cellIs" dxfId="6221" priority="141911" stopIfTrue="1" operator="equal">
      <formula>"En cours"</formula>
    </cfRule>
  </conditionalFormatting>
  <conditionalFormatting sqref="AK114">
    <cfRule type="cellIs" dxfId="6220" priority="141912" stopIfTrue="1" operator="notEqual">
      <formula>"En cours"</formula>
    </cfRule>
  </conditionalFormatting>
  <conditionalFormatting sqref="AJ116">
    <cfRule type="cellIs" dxfId="6219" priority="141921" stopIfTrue="1" operator="equal">
      <formula>"En cours"</formula>
    </cfRule>
  </conditionalFormatting>
  <conditionalFormatting sqref="AJ116">
    <cfRule type="cellIs" dxfId="6218" priority="141922" stopIfTrue="1" operator="notEqual">
      <formula>"En cours"</formula>
    </cfRule>
  </conditionalFormatting>
  <conditionalFormatting sqref="AK116">
    <cfRule type="cellIs" dxfId="6217" priority="141923" stopIfTrue="1" operator="equal">
      <formula>"En cours"</formula>
    </cfRule>
  </conditionalFormatting>
  <conditionalFormatting sqref="AK116">
    <cfRule type="cellIs" dxfId="6216" priority="141924" stopIfTrue="1" operator="notEqual">
      <formula>"En cours"</formula>
    </cfRule>
  </conditionalFormatting>
  <conditionalFormatting sqref="AJ159">
    <cfRule type="cellIs" dxfId="6215" priority="141933" stopIfTrue="1" operator="equal">
      <formula>"En cours"</formula>
    </cfRule>
  </conditionalFormatting>
  <conditionalFormatting sqref="AJ159">
    <cfRule type="cellIs" dxfId="6214" priority="141934" stopIfTrue="1" operator="notEqual">
      <formula>"En cours"</formula>
    </cfRule>
  </conditionalFormatting>
  <conditionalFormatting sqref="AK159">
    <cfRule type="cellIs" dxfId="6213" priority="141935" stopIfTrue="1" operator="equal">
      <formula>"En cours"</formula>
    </cfRule>
  </conditionalFormatting>
  <conditionalFormatting sqref="AK159">
    <cfRule type="cellIs" dxfId="6212" priority="141936" stopIfTrue="1" operator="notEqual">
      <formula>"En cours"</formula>
    </cfRule>
  </conditionalFormatting>
  <conditionalFormatting sqref="AJ160">
    <cfRule type="cellIs" dxfId="6207" priority="141965" stopIfTrue="1" operator="equal">
      <formula>"En cours"</formula>
    </cfRule>
  </conditionalFormatting>
  <conditionalFormatting sqref="AJ160">
    <cfRule type="cellIs" dxfId="6206" priority="141966" stopIfTrue="1" operator="notEqual">
      <formula>"En cours"</formula>
    </cfRule>
  </conditionalFormatting>
  <conditionalFormatting sqref="AK160">
    <cfRule type="cellIs" dxfId="6205" priority="141967" stopIfTrue="1" operator="equal">
      <formula>"En cours"</formula>
    </cfRule>
  </conditionalFormatting>
  <conditionalFormatting sqref="AK160">
    <cfRule type="cellIs" dxfId="6204" priority="141968" stopIfTrue="1" operator="notEqual">
      <formula>"En cours"</formula>
    </cfRule>
  </conditionalFormatting>
  <conditionalFormatting sqref="AJ165">
    <cfRule type="cellIs" dxfId="6187" priority="142373" stopIfTrue="1" operator="equal">
      <formula>"En cours"</formula>
    </cfRule>
  </conditionalFormatting>
  <conditionalFormatting sqref="AJ165">
    <cfRule type="cellIs" dxfId="6186" priority="142374" stopIfTrue="1" operator="notEqual">
      <formula>"En cours"</formula>
    </cfRule>
  </conditionalFormatting>
  <conditionalFormatting sqref="AK165">
    <cfRule type="cellIs" dxfId="6185" priority="142375" stopIfTrue="1" operator="equal">
      <formula>"En cours"</formula>
    </cfRule>
  </conditionalFormatting>
  <conditionalFormatting sqref="AK165">
    <cfRule type="cellIs" dxfId="6184" priority="142376" stopIfTrue="1" operator="notEqual">
      <formula>"En cours"</formula>
    </cfRule>
  </conditionalFormatting>
  <conditionalFormatting sqref="AJ166">
    <cfRule type="cellIs" dxfId="6175" priority="142385" stopIfTrue="1" operator="equal">
      <formula>"En cours"</formula>
    </cfRule>
  </conditionalFormatting>
  <conditionalFormatting sqref="AJ166">
    <cfRule type="cellIs" dxfId="6174" priority="142386" stopIfTrue="1" operator="notEqual">
      <formula>"En cours"</formula>
    </cfRule>
  </conditionalFormatting>
  <conditionalFormatting sqref="AK166">
    <cfRule type="cellIs" dxfId="6173" priority="142387" stopIfTrue="1" operator="equal">
      <formula>"En cours"</formula>
    </cfRule>
  </conditionalFormatting>
  <conditionalFormatting sqref="AK166">
    <cfRule type="cellIs" dxfId="6172" priority="142388" stopIfTrue="1" operator="notEqual">
      <formula>"En cours"</formula>
    </cfRule>
  </conditionalFormatting>
  <conditionalFormatting sqref="AJ172">
    <cfRule type="cellIs" dxfId="6171" priority="142389" stopIfTrue="1" operator="equal">
      <formula>"En cours"</formula>
    </cfRule>
  </conditionalFormatting>
  <conditionalFormatting sqref="AJ172">
    <cfRule type="cellIs" dxfId="6170" priority="142390" stopIfTrue="1" operator="notEqual">
      <formula>"En cours"</formula>
    </cfRule>
  </conditionalFormatting>
  <conditionalFormatting sqref="AK172">
    <cfRule type="cellIs" dxfId="6169" priority="142391" stopIfTrue="1" operator="equal">
      <formula>"En cours"</formula>
    </cfRule>
  </conditionalFormatting>
  <conditionalFormatting sqref="AK172">
    <cfRule type="cellIs" dxfId="6168" priority="142392" stopIfTrue="1" operator="notEqual">
      <formula>"En cours"</formula>
    </cfRule>
  </conditionalFormatting>
  <conditionalFormatting sqref="AJ173">
    <cfRule type="cellIs" dxfId="6167" priority="142393" stopIfTrue="1" operator="equal">
      <formula>"En cours"</formula>
    </cfRule>
  </conditionalFormatting>
  <conditionalFormatting sqref="AJ173">
    <cfRule type="cellIs" dxfId="6166" priority="142394" stopIfTrue="1" operator="notEqual">
      <formula>"En cours"</formula>
    </cfRule>
  </conditionalFormatting>
  <conditionalFormatting sqref="AK173">
    <cfRule type="cellIs" dxfId="6165" priority="142395" stopIfTrue="1" operator="equal">
      <formula>"En cours"</formula>
    </cfRule>
  </conditionalFormatting>
  <conditionalFormatting sqref="AK173">
    <cfRule type="cellIs" dxfId="6164" priority="142396" stopIfTrue="1" operator="notEqual">
      <formula>"En cours"</formula>
    </cfRule>
  </conditionalFormatting>
  <conditionalFormatting sqref="AJ177">
    <cfRule type="cellIs" dxfId="6151" priority="142409" stopIfTrue="1" operator="equal">
      <formula>"En cours"</formula>
    </cfRule>
  </conditionalFormatting>
  <conditionalFormatting sqref="AJ177">
    <cfRule type="cellIs" dxfId="6150" priority="142410" stopIfTrue="1" operator="notEqual">
      <formula>"En cours"</formula>
    </cfRule>
  </conditionalFormatting>
  <conditionalFormatting sqref="AK177">
    <cfRule type="cellIs" dxfId="6149" priority="142411" stopIfTrue="1" operator="equal">
      <formula>"En cours"</formula>
    </cfRule>
  </conditionalFormatting>
  <conditionalFormatting sqref="AK177">
    <cfRule type="cellIs" dxfId="6148" priority="142412" stopIfTrue="1" operator="notEqual">
      <formula>"En cours"</formula>
    </cfRule>
  </conditionalFormatting>
  <conditionalFormatting sqref="AJ174">
    <cfRule type="cellIs" dxfId="6131" priority="142429" stopIfTrue="1" operator="equal">
      <formula>"En cours"</formula>
    </cfRule>
  </conditionalFormatting>
  <conditionalFormatting sqref="AJ174">
    <cfRule type="cellIs" dxfId="6130" priority="142430" stopIfTrue="1" operator="notEqual">
      <formula>"En cours"</formula>
    </cfRule>
  </conditionalFormatting>
  <conditionalFormatting sqref="AK174">
    <cfRule type="cellIs" dxfId="6129" priority="142431" stopIfTrue="1" operator="equal">
      <formula>"En cours"</formula>
    </cfRule>
  </conditionalFormatting>
  <conditionalFormatting sqref="AK174">
    <cfRule type="cellIs" dxfId="6128" priority="142432" stopIfTrue="1" operator="notEqual">
      <formula>"En cours"</formula>
    </cfRule>
  </conditionalFormatting>
  <conditionalFormatting sqref="AJ86">
    <cfRule type="cellIs" dxfId="6127" priority="142433" stopIfTrue="1" operator="equal">
      <formula>"En cours"</formula>
    </cfRule>
  </conditionalFormatting>
  <conditionalFormatting sqref="AJ86">
    <cfRule type="cellIs" dxfId="6126" priority="142434" stopIfTrue="1" operator="notEqual">
      <formula>"En cours"</formula>
    </cfRule>
  </conditionalFormatting>
  <conditionalFormatting sqref="AK86">
    <cfRule type="cellIs" dxfId="6125" priority="142435" stopIfTrue="1" operator="equal">
      <formula>"En cours"</formula>
    </cfRule>
  </conditionalFormatting>
  <conditionalFormatting sqref="AK86">
    <cfRule type="cellIs" dxfId="6124" priority="142436" stopIfTrue="1" operator="notEqual">
      <formula>"En cours"</formula>
    </cfRule>
  </conditionalFormatting>
  <conditionalFormatting sqref="AJ146">
    <cfRule type="cellIs" dxfId="6123" priority="142437" stopIfTrue="1" operator="equal">
      <formula>"En cours"</formula>
    </cfRule>
  </conditionalFormatting>
  <conditionalFormatting sqref="AJ146">
    <cfRule type="cellIs" dxfId="6122" priority="142438" stopIfTrue="1" operator="notEqual">
      <formula>"En cours"</formula>
    </cfRule>
  </conditionalFormatting>
  <conditionalFormatting sqref="AK146">
    <cfRule type="cellIs" dxfId="6121" priority="142439" stopIfTrue="1" operator="equal">
      <formula>"En cours"</formula>
    </cfRule>
  </conditionalFormatting>
  <conditionalFormatting sqref="AK146">
    <cfRule type="cellIs" dxfId="6120" priority="142440" stopIfTrue="1" operator="notEqual">
      <formula>"En cours"</formula>
    </cfRule>
  </conditionalFormatting>
  <conditionalFormatting sqref="AJ87">
    <cfRule type="cellIs" dxfId="6115" priority="142445" stopIfTrue="1" operator="equal">
      <formula>"En cours"</formula>
    </cfRule>
  </conditionalFormatting>
  <conditionalFormatting sqref="AJ87">
    <cfRule type="cellIs" dxfId="6114" priority="142446" stopIfTrue="1" operator="notEqual">
      <formula>"En cours"</formula>
    </cfRule>
  </conditionalFormatting>
  <conditionalFormatting sqref="AK87">
    <cfRule type="cellIs" dxfId="6113" priority="142447" stopIfTrue="1" operator="equal">
      <formula>"En cours"</formula>
    </cfRule>
  </conditionalFormatting>
  <conditionalFormatting sqref="AK87">
    <cfRule type="cellIs" dxfId="6112" priority="142448" stopIfTrue="1" operator="notEqual">
      <formula>"En cours"</formula>
    </cfRule>
  </conditionalFormatting>
  <conditionalFormatting sqref="AJ168">
    <cfRule type="cellIs" dxfId="6107" priority="142453" stopIfTrue="1" operator="equal">
      <formula>"En cours"</formula>
    </cfRule>
  </conditionalFormatting>
  <conditionalFormatting sqref="AJ168">
    <cfRule type="cellIs" dxfId="6106" priority="142454" stopIfTrue="1" operator="notEqual">
      <formula>"En cours"</formula>
    </cfRule>
  </conditionalFormatting>
  <conditionalFormatting sqref="AK168">
    <cfRule type="cellIs" dxfId="6105" priority="142455" stopIfTrue="1" operator="equal">
      <formula>"En cours"</formula>
    </cfRule>
  </conditionalFormatting>
  <conditionalFormatting sqref="AK168">
    <cfRule type="cellIs" dxfId="6104" priority="142456" stopIfTrue="1" operator="notEqual">
      <formula>"En cours"</formula>
    </cfRule>
  </conditionalFormatting>
  <conditionalFormatting sqref="AJ144">
    <cfRule type="cellIs" dxfId="6095" priority="142465" stopIfTrue="1" operator="equal">
      <formula>"En cours"</formula>
    </cfRule>
  </conditionalFormatting>
  <conditionalFormatting sqref="AJ144">
    <cfRule type="cellIs" dxfId="6094" priority="142466" stopIfTrue="1" operator="notEqual">
      <formula>"En cours"</formula>
    </cfRule>
  </conditionalFormatting>
  <conditionalFormatting sqref="AK144">
    <cfRule type="cellIs" dxfId="6093" priority="142467" stopIfTrue="1" operator="equal">
      <formula>"En cours"</formula>
    </cfRule>
  </conditionalFormatting>
  <conditionalFormatting sqref="AK144">
    <cfRule type="cellIs" dxfId="6092" priority="142468" stopIfTrue="1" operator="notEqual">
      <formula>"En cours"</formula>
    </cfRule>
  </conditionalFormatting>
  <conditionalFormatting sqref="AJ99">
    <cfRule type="cellIs" dxfId="6087" priority="142473" stopIfTrue="1" operator="equal">
      <formula>"En cours"</formula>
    </cfRule>
  </conditionalFormatting>
  <conditionalFormatting sqref="AJ99">
    <cfRule type="cellIs" dxfId="6086" priority="142474" stopIfTrue="1" operator="notEqual">
      <formula>"En cours"</formula>
    </cfRule>
  </conditionalFormatting>
  <conditionalFormatting sqref="AK99">
    <cfRule type="cellIs" dxfId="6085" priority="142475" stopIfTrue="1" operator="equal">
      <formula>"En cours"</formula>
    </cfRule>
  </conditionalFormatting>
  <conditionalFormatting sqref="AK99">
    <cfRule type="cellIs" dxfId="6084" priority="142476" stopIfTrue="1" operator="notEqual">
      <formula>"En cours"</formula>
    </cfRule>
  </conditionalFormatting>
  <conditionalFormatting sqref="AJ90">
    <cfRule type="cellIs" dxfId="6083" priority="142477" stopIfTrue="1" operator="equal">
      <formula>"En cours"</formula>
    </cfRule>
  </conditionalFormatting>
  <conditionalFormatting sqref="AJ90">
    <cfRule type="cellIs" dxfId="6082" priority="142478" stopIfTrue="1" operator="notEqual">
      <formula>"En cours"</formula>
    </cfRule>
  </conditionalFormatting>
  <conditionalFormatting sqref="AK90">
    <cfRule type="cellIs" dxfId="6081" priority="142479" stopIfTrue="1" operator="equal">
      <formula>"En cours"</formula>
    </cfRule>
  </conditionalFormatting>
  <conditionalFormatting sqref="AK90">
    <cfRule type="cellIs" dxfId="6080" priority="142480" stopIfTrue="1" operator="notEqual">
      <formula>"En cours"</formula>
    </cfRule>
  </conditionalFormatting>
  <conditionalFormatting sqref="AJ141">
    <cfRule type="cellIs" dxfId="6079" priority="142481" stopIfTrue="1" operator="equal">
      <formula>"En cours"</formula>
    </cfRule>
  </conditionalFormatting>
  <conditionalFormatting sqref="AJ141">
    <cfRule type="cellIs" dxfId="6078" priority="142482" stopIfTrue="1" operator="notEqual">
      <formula>"En cours"</formula>
    </cfRule>
  </conditionalFormatting>
  <conditionalFormatting sqref="AK141">
    <cfRule type="cellIs" dxfId="6077" priority="142483" stopIfTrue="1" operator="equal">
      <formula>"En cours"</formula>
    </cfRule>
  </conditionalFormatting>
  <conditionalFormatting sqref="AK141">
    <cfRule type="cellIs" dxfId="6076" priority="142484" stopIfTrue="1" operator="notEqual">
      <formula>"En cours"</formula>
    </cfRule>
  </conditionalFormatting>
  <conditionalFormatting sqref="AJ85">
    <cfRule type="cellIs" dxfId="6075" priority="142485" stopIfTrue="1" operator="equal">
      <formula>"En cours"</formula>
    </cfRule>
  </conditionalFormatting>
  <conditionalFormatting sqref="AJ85">
    <cfRule type="cellIs" dxfId="6074" priority="142486" stopIfTrue="1" operator="notEqual">
      <formula>"En cours"</formula>
    </cfRule>
  </conditionalFormatting>
  <conditionalFormatting sqref="AK85">
    <cfRule type="cellIs" dxfId="6073" priority="142487" stopIfTrue="1" operator="equal">
      <formula>"En cours"</formula>
    </cfRule>
  </conditionalFormatting>
  <conditionalFormatting sqref="AK85">
    <cfRule type="cellIs" dxfId="6072" priority="142488" stopIfTrue="1" operator="notEqual">
      <formula>"En cours"</formula>
    </cfRule>
  </conditionalFormatting>
  <conditionalFormatting sqref="AJ91">
    <cfRule type="cellIs" dxfId="6059" priority="142501" stopIfTrue="1" operator="equal">
      <formula>"En cours"</formula>
    </cfRule>
  </conditionalFormatting>
  <conditionalFormatting sqref="AJ91">
    <cfRule type="cellIs" dxfId="6058" priority="142502" stopIfTrue="1" operator="notEqual">
      <formula>"En cours"</formula>
    </cfRule>
  </conditionalFormatting>
  <conditionalFormatting sqref="AK91">
    <cfRule type="cellIs" dxfId="6057" priority="142503" stopIfTrue="1" operator="equal">
      <formula>"En cours"</formula>
    </cfRule>
  </conditionalFormatting>
  <conditionalFormatting sqref="AK91">
    <cfRule type="cellIs" dxfId="6056" priority="142504" stopIfTrue="1" operator="notEqual">
      <formula>"En cours"</formula>
    </cfRule>
  </conditionalFormatting>
  <conditionalFormatting sqref="AJ92">
    <cfRule type="cellIs" dxfId="6051" priority="142509" stopIfTrue="1" operator="equal">
      <formula>"En cours"</formula>
    </cfRule>
  </conditionalFormatting>
  <conditionalFormatting sqref="AJ92">
    <cfRule type="cellIs" dxfId="6050" priority="142510" stopIfTrue="1" operator="notEqual">
      <formula>"En cours"</formula>
    </cfRule>
  </conditionalFormatting>
  <conditionalFormatting sqref="AK92">
    <cfRule type="cellIs" dxfId="6049" priority="142511" stopIfTrue="1" operator="equal">
      <formula>"En cours"</formula>
    </cfRule>
  </conditionalFormatting>
  <conditionalFormatting sqref="AK92">
    <cfRule type="cellIs" dxfId="6048" priority="142512" stopIfTrue="1" operator="notEqual">
      <formula>"En cours"</formula>
    </cfRule>
  </conditionalFormatting>
  <conditionalFormatting sqref="AJ95">
    <cfRule type="cellIs" dxfId="6039" priority="142521" stopIfTrue="1" operator="equal">
      <formula>"En cours"</formula>
    </cfRule>
  </conditionalFormatting>
  <conditionalFormatting sqref="AJ95">
    <cfRule type="cellIs" dxfId="6038" priority="142522" stopIfTrue="1" operator="notEqual">
      <formula>"En cours"</formula>
    </cfRule>
  </conditionalFormatting>
  <conditionalFormatting sqref="AK95">
    <cfRule type="cellIs" dxfId="6037" priority="142523" stopIfTrue="1" operator="equal">
      <formula>"En cours"</formula>
    </cfRule>
  </conditionalFormatting>
  <conditionalFormatting sqref="AK95">
    <cfRule type="cellIs" dxfId="6036" priority="142524" stopIfTrue="1" operator="notEqual">
      <formula>"En cours"</formula>
    </cfRule>
  </conditionalFormatting>
  <conditionalFormatting sqref="AJ178">
    <cfRule type="cellIs" dxfId="6035" priority="142525" stopIfTrue="1" operator="equal">
      <formula>"En cours"</formula>
    </cfRule>
  </conditionalFormatting>
  <conditionalFormatting sqref="AJ178">
    <cfRule type="cellIs" dxfId="6034" priority="142526" stopIfTrue="1" operator="notEqual">
      <formula>"En cours"</formula>
    </cfRule>
  </conditionalFormatting>
  <conditionalFormatting sqref="AK178">
    <cfRule type="cellIs" dxfId="6033" priority="142527" stopIfTrue="1" operator="equal">
      <formula>"En cours"</formula>
    </cfRule>
  </conditionalFormatting>
  <conditionalFormatting sqref="AK178">
    <cfRule type="cellIs" dxfId="6032" priority="142528" stopIfTrue="1" operator="notEqual">
      <formula>"En cours"</formula>
    </cfRule>
  </conditionalFormatting>
  <conditionalFormatting sqref="AJ122">
    <cfRule type="cellIs" dxfId="6031" priority="142529" stopIfTrue="1" operator="equal">
      <formula>"En cours"</formula>
    </cfRule>
  </conditionalFormatting>
  <conditionalFormatting sqref="AJ122">
    <cfRule type="cellIs" dxfId="6030" priority="142530" stopIfTrue="1" operator="notEqual">
      <formula>"En cours"</formula>
    </cfRule>
  </conditionalFormatting>
  <conditionalFormatting sqref="AK122">
    <cfRule type="cellIs" dxfId="6029" priority="142531" stopIfTrue="1" operator="equal">
      <formula>"En cours"</formula>
    </cfRule>
  </conditionalFormatting>
  <conditionalFormatting sqref="AK122">
    <cfRule type="cellIs" dxfId="6028" priority="142532" stopIfTrue="1" operator="notEqual">
      <formula>"En cours"</formula>
    </cfRule>
  </conditionalFormatting>
  <conditionalFormatting sqref="AJ147">
    <cfRule type="cellIs" dxfId="6023" priority="142537" stopIfTrue="1" operator="equal">
      <formula>"En cours"</formula>
    </cfRule>
  </conditionalFormatting>
  <conditionalFormatting sqref="AJ147">
    <cfRule type="cellIs" dxfId="6022" priority="142538" stopIfTrue="1" operator="notEqual">
      <formula>"En cours"</formula>
    </cfRule>
  </conditionalFormatting>
  <conditionalFormatting sqref="AK147">
    <cfRule type="cellIs" dxfId="6021" priority="142539" stopIfTrue="1" operator="equal">
      <formula>"En cours"</formula>
    </cfRule>
  </conditionalFormatting>
  <conditionalFormatting sqref="AK147">
    <cfRule type="cellIs" dxfId="6020" priority="142540" stopIfTrue="1" operator="notEqual">
      <formula>"En cours"</formula>
    </cfRule>
  </conditionalFormatting>
  <conditionalFormatting sqref="AJ94">
    <cfRule type="cellIs" dxfId="5995" priority="142565" stopIfTrue="1" operator="equal">
      <formula>"En cours"</formula>
    </cfRule>
  </conditionalFormatting>
  <conditionalFormatting sqref="AJ94">
    <cfRule type="cellIs" dxfId="5994" priority="142566" stopIfTrue="1" operator="notEqual">
      <formula>"En cours"</formula>
    </cfRule>
  </conditionalFormatting>
  <conditionalFormatting sqref="AK94">
    <cfRule type="cellIs" dxfId="5993" priority="142567" stopIfTrue="1" operator="equal">
      <formula>"En cours"</formula>
    </cfRule>
  </conditionalFormatting>
  <conditionalFormatting sqref="AK94">
    <cfRule type="cellIs" dxfId="5992" priority="142568" stopIfTrue="1" operator="notEqual">
      <formula>"En cours"</formula>
    </cfRule>
  </conditionalFormatting>
  <conditionalFormatting sqref="AJ179">
    <cfRule type="cellIs" dxfId="5983" priority="142577" stopIfTrue="1" operator="equal">
      <formula>"En cours"</formula>
    </cfRule>
  </conditionalFormatting>
  <conditionalFormatting sqref="AJ179">
    <cfRule type="cellIs" dxfId="5982" priority="142578" stopIfTrue="1" operator="notEqual">
      <formula>"En cours"</formula>
    </cfRule>
  </conditionalFormatting>
  <conditionalFormatting sqref="AK179">
    <cfRule type="cellIs" dxfId="5981" priority="142579" stopIfTrue="1" operator="equal">
      <formula>"En cours"</formula>
    </cfRule>
  </conditionalFormatting>
  <conditionalFormatting sqref="AK179">
    <cfRule type="cellIs" dxfId="5980" priority="142580" stopIfTrue="1" operator="notEqual">
      <formula>"En cours"</formula>
    </cfRule>
  </conditionalFormatting>
  <conditionalFormatting sqref="AJ155">
    <cfRule type="cellIs" dxfId="5971" priority="142589" stopIfTrue="1" operator="equal">
      <formula>"En cours"</formula>
    </cfRule>
  </conditionalFormatting>
  <conditionalFormatting sqref="AJ155">
    <cfRule type="cellIs" dxfId="5970" priority="142590" stopIfTrue="1" operator="notEqual">
      <formula>"En cours"</formula>
    </cfRule>
  </conditionalFormatting>
  <conditionalFormatting sqref="AK155">
    <cfRule type="cellIs" dxfId="5969" priority="142591" stopIfTrue="1" operator="equal">
      <formula>"En cours"</formula>
    </cfRule>
  </conditionalFormatting>
  <conditionalFormatting sqref="AK155">
    <cfRule type="cellIs" dxfId="5968" priority="142592" stopIfTrue="1" operator="notEqual">
      <formula>"En cours"</formula>
    </cfRule>
  </conditionalFormatting>
  <conditionalFormatting sqref="AJ102">
    <cfRule type="cellIs" dxfId="5963" priority="142597" stopIfTrue="1" operator="equal">
      <formula>"En cours"</formula>
    </cfRule>
  </conditionalFormatting>
  <conditionalFormatting sqref="AJ102">
    <cfRule type="cellIs" dxfId="5962" priority="142598" stopIfTrue="1" operator="notEqual">
      <formula>"En cours"</formula>
    </cfRule>
  </conditionalFormatting>
  <conditionalFormatting sqref="AK102">
    <cfRule type="cellIs" dxfId="5961" priority="142599" stopIfTrue="1" operator="equal">
      <formula>"En cours"</formula>
    </cfRule>
  </conditionalFormatting>
  <conditionalFormatting sqref="AK102">
    <cfRule type="cellIs" dxfId="5960" priority="142600" stopIfTrue="1" operator="notEqual">
      <formula>"En cours"</formula>
    </cfRule>
  </conditionalFormatting>
  <conditionalFormatting sqref="AJ175">
    <cfRule type="cellIs" dxfId="5955" priority="142605" stopIfTrue="1" operator="equal">
      <formula>"En cours"</formula>
    </cfRule>
    <cfRule type="cellIs" dxfId="5954" priority="142606" stopIfTrue="1" operator="notEqual">
      <formula>"En cours"</formula>
    </cfRule>
  </conditionalFormatting>
  <conditionalFormatting sqref="AK175">
    <cfRule type="cellIs" dxfId="5953" priority="142607" stopIfTrue="1" operator="equal">
      <formula>"En cours"</formula>
    </cfRule>
    <cfRule type="cellIs" dxfId="5952" priority="142608" stopIfTrue="1" operator="notEqual">
      <formula>"En cours"</formula>
    </cfRule>
  </conditionalFormatting>
  <conditionalFormatting sqref="AJ176">
    <cfRule type="cellIs" dxfId="5951" priority="142609" stopIfTrue="1" operator="equal">
      <formula>"En cours"</formula>
    </cfRule>
    <cfRule type="cellIs" dxfId="5950" priority="142610" stopIfTrue="1" operator="notEqual">
      <formula>"En cours"</formula>
    </cfRule>
  </conditionalFormatting>
  <conditionalFormatting sqref="AK176">
    <cfRule type="cellIs" dxfId="5949" priority="142611" stopIfTrue="1" operator="equal">
      <formula>"En cours"</formula>
    </cfRule>
    <cfRule type="cellIs" dxfId="5948" priority="142612" stopIfTrue="1" operator="notEqual">
      <formula>"En cours"</formula>
    </cfRule>
  </conditionalFormatting>
  <conditionalFormatting sqref="AJ133">
    <cfRule type="cellIs" dxfId="5943" priority="142617" stopIfTrue="1" operator="equal">
      <formula>"En cours"</formula>
    </cfRule>
  </conditionalFormatting>
  <conditionalFormatting sqref="AJ133">
    <cfRule type="cellIs" dxfId="5942" priority="142618" stopIfTrue="1" operator="notEqual">
      <formula>"En cours"</formula>
    </cfRule>
  </conditionalFormatting>
  <conditionalFormatting sqref="AK133">
    <cfRule type="cellIs" dxfId="5941" priority="142619" stopIfTrue="1" operator="equal">
      <formula>"En cours"</formula>
    </cfRule>
  </conditionalFormatting>
  <conditionalFormatting sqref="AK133">
    <cfRule type="cellIs" dxfId="5940" priority="142620" stopIfTrue="1" operator="notEqual">
      <formula>"En cours"</formula>
    </cfRule>
  </conditionalFormatting>
  <conditionalFormatting sqref="AJ158">
    <cfRule type="cellIs" dxfId="5939" priority="142621" stopIfTrue="1" operator="equal">
      <formula>"En cours"</formula>
    </cfRule>
  </conditionalFormatting>
  <conditionalFormatting sqref="AJ158">
    <cfRule type="cellIs" dxfId="5938" priority="142622" stopIfTrue="1" operator="notEqual">
      <formula>"En cours"</formula>
    </cfRule>
  </conditionalFormatting>
  <conditionalFormatting sqref="AK158">
    <cfRule type="cellIs" dxfId="5937" priority="142623" stopIfTrue="1" operator="equal">
      <formula>"En cours"</formula>
    </cfRule>
  </conditionalFormatting>
  <conditionalFormatting sqref="AK158">
    <cfRule type="cellIs" dxfId="5936" priority="142624" stopIfTrue="1" operator="notEqual">
      <formula>"En cours"</formula>
    </cfRule>
  </conditionalFormatting>
  <conditionalFormatting sqref="AJ162">
    <cfRule type="cellIs" dxfId="5931" priority="142629" stopIfTrue="1" operator="equal">
      <formula>"En cours"</formula>
    </cfRule>
  </conditionalFormatting>
  <conditionalFormatting sqref="AJ162">
    <cfRule type="cellIs" dxfId="5930" priority="142630" stopIfTrue="1" operator="notEqual">
      <formula>"En cours"</formula>
    </cfRule>
  </conditionalFormatting>
  <conditionalFormatting sqref="AK162">
    <cfRule type="cellIs" dxfId="5929" priority="142631" stopIfTrue="1" operator="equal">
      <formula>"En cours"</formula>
    </cfRule>
  </conditionalFormatting>
  <conditionalFormatting sqref="AK162">
    <cfRule type="cellIs" dxfId="5928" priority="142632" stopIfTrue="1" operator="notEqual">
      <formula>"En cours"</formula>
    </cfRule>
  </conditionalFormatting>
  <conditionalFormatting sqref="AJ124">
    <cfRule type="cellIs" dxfId="5923" priority="142637" stopIfTrue="1" operator="equal">
      <formula>"En cours"</formula>
    </cfRule>
  </conditionalFormatting>
  <conditionalFormatting sqref="AJ124">
    <cfRule type="cellIs" dxfId="5922" priority="142638" stopIfTrue="1" operator="notEqual">
      <formula>"En cours"</formula>
    </cfRule>
  </conditionalFormatting>
  <conditionalFormatting sqref="AK124">
    <cfRule type="cellIs" dxfId="5921" priority="142639" stopIfTrue="1" operator="equal">
      <formula>"En cours"</formula>
    </cfRule>
  </conditionalFormatting>
  <conditionalFormatting sqref="AK124">
    <cfRule type="cellIs" dxfId="5920" priority="142640" stopIfTrue="1" operator="notEqual">
      <formula>"En cours"</formula>
    </cfRule>
  </conditionalFormatting>
  <conditionalFormatting sqref="AJ117">
    <cfRule type="cellIs" dxfId="5911" priority="142649" stopIfTrue="1" operator="equal">
      <formula>"En cours"</formula>
    </cfRule>
  </conditionalFormatting>
  <conditionalFormatting sqref="AJ117">
    <cfRule type="cellIs" dxfId="5910" priority="142650" stopIfTrue="1" operator="notEqual">
      <formula>"En cours"</formula>
    </cfRule>
  </conditionalFormatting>
  <conditionalFormatting sqref="AK117">
    <cfRule type="cellIs" dxfId="5909" priority="142651" stopIfTrue="1" operator="equal">
      <formula>"En cours"</formula>
    </cfRule>
  </conditionalFormatting>
  <conditionalFormatting sqref="AK117">
    <cfRule type="cellIs" dxfId="5908" priority="142652" stopIfTrue="1" operator="notEqual">
      <formula>"En cours"</formula>
    </cfRule>
  </conditionalFormatting>
  <conditionalFormatting sqref="AJ110">
    <cfRule type="cellIs" dxfId="5903" priority="142657" stopIfTrue="1" operator="equal">
      <formula>"En cours"</formula>
    </cfRule>
  </conditionalFormatting>
  <conditionalFormatting sqref="AJ110">
    <cfRule type="cellIs" dxfId="5902" priority="142658" stopIfTrue="1" operator="notEqual">
      <formula>"En cours"</formula>
    </cfRule>
  </conditionalFormatting>
  <conditionalFormatting sqref="AK110">
    <cfRule type="cellIs" dxfId="5901" priority="142659" stopIfTrue="1" operator="equal">
      <formula>"En cours"</formula>
    </cfRule>
  </conditionalFormatting>
  <conditionalFormatting sqref="AK110">
    <cfRule type="cellIs" dxfId="5900" priority="142660" stopIfTrue="1" operator="notEqual">
      <formula>"En cours"</formula>
    </cfRule>
  </conditionalFormatting>
  <conditionalFormatting sqref="AJ153">
    <cfRule type="cellIs" dxfId="5899" priority="142661" stopIfTrue="1" operator="equal">
      <formula>"En cours"</formula>
    </cfRule>
  </conditionalFormatting>
  <conditionalFormatting sqref="AJ153">
    <cfRule type="cellIs" dxfId="5898" priority="142662" stopIfTrue="1" operator="notEqual">
      <formula>"En cours"</formula>
    </cfRule>
  </conditionalFormatting>
  <conditionalFormatting sqref="AK153">
    <cfRule type="cellIs" dxfId="5897" priority="142663" stopIfTrue="1" operator="equal">
      <formula>"En cours"</formula>
    </cfRule>
  </conditionalFormatting>
  <conditionalFormatting sqref="AK153">
    <cfRule type="cellIs" dxfId="5896" priority="142664" stopIfTrue="1" operator="notEqual">
      <formula>"En cours"</formula>
    </cfRule>
  </conditionalFormatting>
  <conditionalFormatting sqref="AJ132">
    <cfRule type="cellIs" dxfId="5895" priority="142665" stopIfTrue="1" operator="equal">
      <formula>"En cours"</formula>
    </cfRule>
  </conditionalFormatting>
  <conditionalFormatting sqref="AJ132">
    <cfRule type="cellIs" dxfId="5894" priority="142666" stopIfTrue="1" operator="notEqual">
      <formula>"En cours"</formula>
    </cfRule>
  </conditionalFormatting>
  <conditionalFormatting sqref="AK132">
    <cfRule type="cellIs" dxfId="5893" priority="142667" stopIfTrue="1" operator="equal">
      <formula>"En cours"</formula>
    </cfRule>
  </conditionalFormatting>
  <conditionalFormatting sqref="AK132">
    <cfRule type="cellIs" dxfId="5892" priority="142668" stopIfTrue="1" operator="notEqual">
      <formula>"En cours"</formula>
    </cfRule>
  </conditionalFormatting>
  <conditionalFormatting sqref="AJ127">
    <cfRule type="cellIs" dxfId="5891" priority="142669" stopIfTrue="1" operator="equal">
      <formula>"En cours"</formula>
    </cfRule>
  </conditionalFormatting>
  <conditionalFormatting sqref="AJ127">
    <cfRule type="cellIs" dxfId="5890" priority="142670" stopIfTrue="1" operator="notEqual">
      <formula>"En cours"</formula>
    </cfRule>
  </conditionalFormatting>
  <conditionalFormatting sqref="AK127">
    <cfRule type="cellIs" dxfId="5889" priority="142671" stopIfTrue="1" operator="equal">
      <formula>"En cours"</formula>
    </cfRule>
  </conditionalFormatting>
  <conditionalFormatting sqref="AK127">
    <cfRule type="cellIs" dxfId="5888" priority="142672" stopIfTrue="1" operator="notEqual">
      <formula>"En cours"</formula>
    </cfRule>
  </conditionalFormatting>
  <conditionalFormatting sqref="AJ131">
    <cfRule type="cellIs" dxfId="5887" priority="142673" stopIfTrue="1" operator="equal">
      <formula>"En cours"</formula>
    </cfRule>
  </conditionalFormatting>
  <conditionalFormatting sqref="AJ131">
    <cfRule type="cellIs" dxfId="5886" priority="142674" stopIfTrue="1" operator="notEqual">
      <formula>"En cours"</formula>
    </cfRule>
  </conditionalFormatting>
  <conditionalFormatting sqref="AK131">
    <cfRule type="cellIs" dxfId="5885" priority="142675" stopIfTrue="1" operator="equal">
      <formula>"En cours"</formula>
    </cfRule>
  </conditionalFormatting>
  <conditionalFormatting sqref="AK131">
    <cfRule type="cellIs" dxfId="5884" priority="142676" stopIfTrue="1" operator="notEqual">
      <formula>"En cours"</formula>
    </cfRule>
  </conditionalFormatting>
  <conditionalFormatting sqref="AJ113">
    <cfRule type="cellIs" dxfId="5871" priority="142689" stopIfTrue="1" operator="equal">
      <formula>"En cours"</formula>
    </cfRule>
  </conditionalFormatting>
  <conditionalFormatting sqref="AJ113">
    <cfRule type="cellIs" dxfId="5870" priority="142690" stopIfTrue="1" operator="notEqual">
      <formula>"En cours"</formula>
    </cfRule>
  </conditionalFormatting>
  <conditionalFormatting sqref="AK113">
    <cfRule type="cellIs" dxfId="5869" priority="142691" stopIfTrue="1" operator="equal">
      <formula>"En cours"</formula>
    </cfRule>
  </conditionalFormatting>
  <conditionalFormatting sqref="AK113">
    <cfRule type="cellIs" dxfId="5868" priority="142692" stopIfTrue="1" operator="notEqual">
      <formula>"En cours"</formula>
    </cfRule>
  </conditionalFormatting>
  <conditionalFormatting sqref="AJ112">
    <cfRule type="cellIs" dxfId="5863" priority="142697" stopIfTrue="1" operator="equal">
      <formula>"En cours"</formula>
    </cfRule>
  </conditionalFormatting>
  <conditionalFormatting sqref="AJ112">
    <cfRule type="cellIs" dxfId="5862" priority="142698" stopIfTrue="1" operator="notEqual">
      <formula>"En cours"</formula>
    </cfRule>
  </conditionalFormatting>
  <conditionalFormatting sqref="AK112">
    <cfRule type="cellIs" dxfId="5861" priority="142699" stopIfTrue="1" operator="equal">
      <formula>"En cours"</formula>
    </cfRule>
  </conditionalFormatting>
  <conditionalFormatting sqref="AK112">
    <cfRule type="cellIs" dxfId="5860" priority="142700" stopIfTrue="1" operator="notEqual">
      <formula>"En cours"</formula>
    </cfRule>
  </conditionalFormatting>
  <conditionalFormatting sqref="AJ118">
    <cfRule type="cellIs" dxfId="5855" priority="142705" stopIfTrue="1" operator="equal">
      <formula>"En cours"</formula>
    </cfRule>
  </conditionalFormatting>
  <conditionalFormatting sqref="AJ118">
    <cfRule type="cellIs" dxfId="5854" priority="142706" stopIfTrue="1" operator="notEqual">
      <formula>"En cours"</formula>
    </cfRule>
  </conditionalFormatting>
  <conditionalFormatting sqref="AK118">
    <cfRule type="cellIs" dxfId="5853" priority="142707" stopIfTrue="1" operator="equal">
      <formula>"En cours"</formula>
    </cfRule>
  </conditionalFormatting>
  <conditionalFormatting sqref="AK118">
    <cfRule type="cellIs" dxfId="5852" priority="142708" stopIfTrue="1" operator="notEqual">
      <formula>"En cours"</formula>
    </cfRule>
  </conditionalFormatting>
  <conditionalFormatting sqref="AJ180">
    <cfRule type="cellIs" dxfId="5839" priority="142721" stopIfTrue="1" operator="equal">
      <formula>"En cours"</formula>
    </cfRule>
  </conditionalFormatting>
  <conditionalFormatting sqref="AJ180">
    <cfRule type="cellIs" dxfId="5838" priority="142722" stopIfTrue="1" operator="notEqual">
      <formula>"En cours"</formula>
    </cfRule>
  </conditionalFormatting>
  <conditionalFormatting sqref="AK180">
    <cfRule type="cellIs" dxfId="5837" priority="142723" stopIfTrue="1" operator="equal">
      <formula>"En cours"</formula>
    </cfRule>
  </conditionalFormatting>
  <conditionalFormatting sqref="AK180">
    <cfRule type="cellIs" dxfId="5836" priority="142724" stopIfTrue="1" operator="notEqual">
      <formula>"En cours"</formula>
    </cfRule>
  </conditionalFormatting>
  <conditionalFormatting sqref="AJ108">
    <cfRule type="cellIs" dxfId="5831" priority="142729" stopIfTrue="1" operator="equal">
      <formula>"En cours"</formula>
    </cfRule>
  </conditionalFormatting>
  <conditionalFormatting sqref="AJ108">
    <cfRule type="cellIs" dxfId="5830" priority="142730" stopIfTrue="1" operator="notEqual">
      <formula>"En cours"</formula>
    </cfRule>
  </conditionalFormatting>
  <conditionalFormatting sqref="AK108">
    <cfRule type="cellIs" dxfId="5829" priority="142731" stopIfTrue="1" operator="equal">
      <formula>"En cours"</formula>
    </cfRule>
  </conditionalFormatting>
  <conditionalFormatting sqref="AK108">
    <cfRule type="cellIs" dxfId="5828" priority="142732" stopIfTrue="1" operator="notEqual">
      <formula>"En cours"</formula>
    </cfRule>
  </conditionalFormatting>
  <conditionalFormatting sqref="AJ130">
    <cfRule type="cellIs" dxfId="5827" priority="142733" stopIfTrue="1" operator="equal">
      <formula>"En cours"</formula>
    </cfRule>
  </conditionalFormatting>
  <conditionalFormatting sqref="AJ130">
    <cfRule type="cellIs" dxfId="5826" priority="142734" stopIfTrue="1" operator="notEqual">
      <formula>"En cours"</formula>
    </cfRule>
  </conditionalFormatting>
  <conditionalFormatting sqref="AK130">
    <cfRule type="cellIs" dxfId="5825" priority="142735" stopIfTrue="1" operator="equal">
      <formula>"En cours"</formula>
    </cfRule>
  </conditionalFormatting>
  <conditionalFormatting sqref="AK130">
    <cfRule type="cellIs" dxfId="5824" priority="142736" stopIfTrue="1" operator="notEqual">
      <formula>"En cours"</formula>
    </cfRule>
  </conditionalFormatting>
  <conditionalFormatting sqref="AJ135">
    <cfRule type="cellIs" dxfId="5823" priority="142737" stopIfTrue="1" operator="equal">
      <formula>"En cours"</formula>
    </cfRule>
  </conditionalFormatting>
  <conditionalFormatting sqref="AJ135">
    <cfRule type="cellIs" dxfId="5822" priority="142738" stopIfTrue="1" operator="notEqual">
      <formula>"En cours"</formula>
    </cfRule>
  </conditionalFormatting>
  <conditionalFormatting sqref="AK135">
    <cfRule type="cellIs" dxfId="5821" priority="142739" stopIfTrue="1" operator="equal">
      <formula>"En cours"</formula>
    </cfRule>
  </conditionalFormatting>
  <conditionalFormatting sqref="AK135">
    <cfRule type="cellIs" dxfId="5820" priority="142740" stopIfTrue="1" operator="notEqual">
      <formula>"En cours"</formula>
    </cfRule>
  </conditionalFormatting>
  <conditionalFormatting sqref="AJ4">
    <cfRule type="cellIs" dxfId="1379" priority="147181" stopIfTrue="1" operator="equal">
      <formula>"En cours"</formula>
    </cfRule>
  </conditionalFormatting>
  <conditionalFormatting sqref="AJ4">
    <cfRule type="cellIs" dxfId="1378" priority="147182" stopIfTrue="1" operator="notEqual">
      <formula>"En cours"</formula>
    </cfRule>
  </conditionalFormatting>
  <conditionalFormatting sqref="AK4">
    <cfRule type="cellIs" dxfId="1377" priority="147183" stopIfTrue="1" operator="equal">
      <formula>"En cours"</formula>
    </cfRule>
  </conditionalFormatting>
  <conditionalFormatting sqref="AK4">
    <cfRule type="cellIs" dxfId="1376" priority="147184" stopIfTrue="1" operator="notEqual">
      <formula>"En cours"</formula>
    </cfRule>
  </conditionalFormatting>
  <conditionalFormatting sqref="AJ7">
    <cfRule type="cellIs" dxfId="1375" priority="147185" stopIfTrue="1" operator="equal">
      <formula>"En cours"</formula>
    </cfRule>
  </conditionalFormatting>
  <conditionalFormatting sqref="AJ7">
    <cfRule type="cellIs" dxfId="1374" priority="147186" stopIfTrue="1" operator="notEqual">
      <formula>"En cours"</formula>
    </cfRule>
  </conditionalFormatting>
  <conditionalFormatting sqref="AK7">
    <cfRule type="cellIs" dxfId="1373" priority="147187" stopIfTrue="1" operator="equal">
      <formula>"En cours"</formula>
    </cfRule>
  </conditionalFormatting>
  <conditionalFormatting sqref="AK7">
    <cfRule type="cellIs" dxfId="1372" priority="147188" stopIfTrue="1" operator="notEqual">
      <formula>"En cours"</formula>
    </cfRule>
  </conditionalFormatting>
  <conditionalFormatting sqref="AJ10">
    <cfRule type="cellIs" dxfId="1371" priority="147189" stopIfTrue="1" operator="equal">
      <formula>"En cours"</formula>
    </cfRule>
  </conditionalFormatting>
  <conditionalFormatting sqref="AJ10">
    <cfRule type="cellIs" dxfId="1370" priority="147190" stopIfTrue="1" operator="notEqual">
      <formula>"En cours"</formula>
    </cfRule>
  </conditionalFormatting>
  <conditionalFormatting sqref="AK10">
    <cfRule type="cellIs" dxfId="1369" priority="147191" stopIfTrue="1" operator="equal">
      <formula>"En cours"</formula>
    </cfRule>
  </conditionalFormatting>
  <conditionalFormatting sqref="AK10">
    <cfRule type="cellIs" dxfId="1368" priority="147192" stopIfTrue="1" operator="notEqual">
      <formula>"En cours"</formula>
    </cfRule>
  </conditionalFormatting>
  <conditionalFormatting sqref="AJ8">
    <cfRule type="cellIs" dxfId="1367" priority="147193" stopIfTrue="1" operator="equal">
      <formula>"En cours"</formula>
    </cfRule>
  </conditionalFormatting>
  <conditionalFormatting sqref="AJ8">
    <cfRule type="cellIs" dxfId="1366" priority="147194" stopIfTrue="1" operator="notEqual">
      <formula>"En cours"</formula>
    </cfRule>
  </conditionalFormatting>
  <conditionalFormatting sqref="AK8">
    <cfRule type="cellIs" dxfId="1365" priority="147195" stopIfTrue="1" operator="equal">
      <formula>"En cours"</formula>
    </cfRule>
  </conditionalFormatting>
  <conditionalFormatting sqref="AK8">
    <cfRule type="cellIs" dxfId="1364" priority="147196" stopIfTrue="1" operator="notEqual">
      <formula>"En cours"</formula>
    </cfRule>
  </conditionalFormatting>
  <conditionalFormatting sqref="AJ5">
    <cfRule type="cellIs" dxfId="1363" priority="147197" stopIfTrue="1" operator="equal">
      <formula>"En cours"</formula>
    </cfRule>
  </conditionalFormatting>
  <conditionalFormatting sqref="AJ5">
    <cfRule type="cellIs" dxfId="1362" priority="147198" stopIfTrue="1" operator="notEqual">
      <formula>"En cours"</formula>
    </cfRule>
  </conditionalFormatting>
  <conditionalFormatting sqref="AK5">
    <cfRule type="cellIs" dxfId="1361" priority="147199" stopIfTrue="1" operator="equal">
      <formula>"En cours"</formula>
    </cfRule>
  </conditionalFormatting>
  <conditionalFormatting sqref="AK5">
    <cfRule type="cellIs" dxfId="1360" priority="147200" stopIfTrue="1" operator="notEqual">
      <formula>"En cours"</formula>
    </cfRule>
  </conditionalFormatting>
  <conditionalFormatting sqref="AJ6">
    <cfRule type="cellIs" dxfId="1359" priority="147201" stopIfTrue="1" operator="equal">
      <formula>"En cours"</formula>
    </cfRule>
  </conditionalFormatting>
  <conditionalFormatting sqref="AJ6">
    <cfRule type="cellIs" dxfId="1358" priority="147202" stopIfTrue="1" operator="notEqual">
      <formula>"En cours"</formula>
    </cfRule>
  </conditionalFormatting>
  <conditionalFormatting sqref="AK6">
    <cfRule type="cellIs" dxfId="1357" priority="147203" stopIfTrue="1" operator="equal">
      <formula>"En cours"</formula>
    </cfRule>
  </conditionalFormatting>
  <conditionalFormatting sqref="AK6">
    <cfRule type="cellIs" dxfId="1356" priority="147204" stopIfTrue="1" operator="notEqual">
      <formula>"En cours"</formula>
    </cfRule>
  </conditionalFormatting>
  <conditionalFormatting sqref="AJ20">
    <cfRule type="cellIs" dxfId="1355" priority="147205" stopIfTrue="1" operator="equal">
      <formula>"En cours"</formula>
    </cfRule>
  </conditionalFormatting>
  <conditionalFormatting sqref="AJ20">
    <cfRule type="cellIs" dxfId="1354" priority="147206" stopIfTrue="1" operator="notEqual">
      <formula>"En cours"</formula>
    </cfRule>
  </conditionalFormatting>
  <conditionalFormatting sqref="AK20">
    <cfRule type="cellIs" dxfId="1353" priority="147207" stopIfTrue="1" operator="equal">
      <formula>"En cours"</formula>
    </cfRule>
  </conditionalFormatting>
  <conditionalFormatting sqref="AK20">
    <cfRule type="cellIs" dxfId="1352" priority="147208" stopIfTrue="1" operator="notEqual">
      <formula>"En cours"</formula>
    </cfRule>
  </conditionalFormatting>
  <conditionalFormatting sqref="AJ12">
    <cfRule type="cellIs" dxfId="1351" priority="147209" stopIfTrue="1" operator="equal">
      <formula>"En cours"</formula>
    </cfRule>
  </conditionalFormatting>
  <conditionalFormatting sqref="AJ12">
    <cfRule type="cellIs" dxfId="1350" priority="147210" stopIfTrue="1" operator="notEqual">
      <formula>"En cours"</formula>
    </cfRule>
  </conditionalFormatting>
  <conditionalFormatting sqref="AK12">
    <cfRule type="cellIs" dxfId="1349" priority="147211" stopIfTrue="1" operator="equal">
      <formula>"En cours"</formula>
    </cfRule>
  </conditionalFormatting>
  <conditionalFormatting sqref="AK12">
    <cfRule type="cellIs" dxfId="1348" priority="147212" stopIfTrue="1" operator="notEqual">
      <formula>"En cours"</formula>
    </cfRule>
  </conditionalFormatting>
  <conditionalFormatting sqref="AJ9">
    <cfRule type="cellIs" dxfId="1347" priority="147213" stopIfTrue="1" operator="equal">
      <formula>"En cours"</formula>
    </cfRule>
  </conditionalFormatting>
  <conditionalFormatting sqref="AJ9">
    <cfRule type="cellIs" dxfId="1346" priority="147214" stopIfTrue="1" operator="notEqual">
      <formula>"En cours"</formula>
    </cfRule>
  </conditionalFormatting>
  <conditionalFormatting sqref="AK9">
    <cfRule type="cellIs" dxfId="1345" priority="147215" stopIfTrue="1" operator="equal">
      <formula>"En cours"</formula>
    </cfRule>
  </conditionalFormatting>
  <conditionalFormatting sqref="AK9">
    <cfRule type="cellIs" dxfId="1344" priority="147216" stopIfTrue="1" operator="notEqual">
      <formula>"En cours"</formula>
    </cfRule>
  </conditionalFormatting>
  <conditionalFormatting sqref="AJ16">
    <cfRule type="cellIs" dxfId="1343" priority="147217" stopIfTrue="1" operator="equal">
      <formula>"En cours"</formula>
    </cfRule>
  </conditionalFormatting>
  <conditionalFormatting sqref="AJ16">
    <cfRule type="cellIs" dxfId="1342" priority="147218" stopIfTrue="1" operator="notEqual">
      <formula>"En cours"</formula>
    </cfRule>
  </conditionalFormatting>
  <conditionalFormatting sqref="AK16">
    <cfRule type="cellIs" dxfId="1341" priority="147219" stopIfTrue="1" operator="equal">
      <formula>"En cours"</formula>
    </cfRule>
  </conditionalFormatting>
  <conditionalFormatting sqref="AK16">
    <cfRule type="cellIs" dxfId="1340" priority="147220" stopIfTrue="1" operator="notEqual">
      <formula>"En cours"</formula>
    </cfRule>
  </conditionalFormatting>
  <conditionalFormatting sqref="AJ11">
    <cfRule type="cellIs" dxfId="1339" priority="147221" stopIfTrue="1" operator="equal">
      <formula>"En cours"</formula>
    </cfRule>
  </conditionalFormatting>
  <conditionalFormatting sqref="AJ11">
    <cfRule type="cellIs" dxfId="1338" priority="147222" stopIfTrue="1" operator="notEqual">
      <formula>"En cours"</formula>
    </cfRule>
  </conditionalFormatting>
  <conditionalFormatting sqref="AK11">
    <cfRule type="cellIs" dxfId="1337" priority="147223" stopIfTrue="1" operator="equal">
      <formula>"En cours"</formula>
    </cfRule>
  </conditionalFormatting>
  <conditionalFormatting sqref="AK11">
    <cfRule type="cellIs" dxfId="1336" priority="147224" stopIfTrue="1" operator="notEqual">
      <formula>"En cours"</formula>
    </cfRule>
  </conditionalFormatting>
  <conditionalFormatting sqref="AJ15">
    <cfRule type="cellIs" dxfId="1335" priority="147225" stopIfTrue="1" operator="equal">
      <formula>"En cours"</formula>
    </cfRule>
  </conditionalFormatting>
  <conditionalFormatting sqref="AJ15">
    <cfRule type="cellIs" dxfId="1334" priority="147226" stopIfTrue="1" operator="notEqual">
      <formula>"En cours"</formula>
    </cfRule>
  </conditionalFormatting>
  <conditionalFormatting sqref="AK15">
    <cfRule type="cellIs" dxfId="1333" priority="147227" stopIfTrue="1" operator="equal">
      <formula>"En cours"</formula>
    </cfRule>
  </conditionalFormatting>
  <conditionalFormatting sqref="AK15">
    <cfRule type="cellIs" dxfId="1332" priority="147228" stopIfTrue="1" operator="notEqual">
      <formula>"En cours"</formula>
    </cfRule>
  </conditionalFormatting>
  <conditionalFormatting sqref="AJ13">
    <cfRule type="cellIs" dxfId="1331" priority="147229" stopIfTrue="1" operator="equal">
      <formula>"En cours"</formula>
    </cfRule>
  </conditionalFormatting>
  <conditionalFormatting sqref="AJ13">
    <cfRule type="cellIs" dxfId="1330" priority="147230" stopIfTrue="1" operator="notEqual">
      <formula>"En cours"</formula>
    </cfRule>
  </conditionalFormatting>
  <conditionalFormatting sqref="AK13">
    <cfRule type="cellIs" dxfId="1329" priority="147231" stopIfTrue="1" operator="equal">
      <formula>"En cours"</formula>
    </cfRule>
  </conditionalFormatting>
  <conditionalFormatting sqref="AK13">
    <cfRule type="cellIs" dxfId="1328" priority="147232" stopIfTrue="1" operator="notEqual">
      <formula>"En cours"</formula>
    </cfRule>
  </conditionalFormatting>
  <conditionalFormatting sqref="AJ18">
    <cfRule type="cellIs" dxfId="1327" priority="147233" stopIfTrue="1" operator="equal">
      <formula>"En cours"</formula>
    </cfRule>
  </conditionalFormatting>
  <conditionalFormatting sqref="AJ18">
    <cfRule type="cellIs" dxfId="1326" priority="147234" stopIfTrue="1" operator="notEqual">
      <formula>"En cours"</formula>
    </cfRule>
  </conditionalFormatting>
  <conditionalFormatting sqref="AK18">
    <cfRule type="cellIs" dxfId="1325" priority="147235" stopIfTrue="1" operator="equal">
      <formula>"En cours"</formula>
    </cfRule>
  </conditionalFormatting>
  <conditionalFormatting sqref="AK18">
    <cfRule type="cellIs" dxfId="1324" priority="147236" stopIfTrue="1" operator="notEqual">
      <formula>"En cours"</formula>
    </cfRule>
  </conditionalFormatting>
  <conditionalFormatting sqref="AJ19">
    <cfRule type="cellIs" dxfId="1323" priority="147237" stopIfTrue="1" operator="equal">
      <formula>"En cours"</formula>
    </cfRule>
  </conditionalFormatting>
  <conditionalFormatting sqref="AJ19">
    <cfRule type="cellIs" dxfId="1322" priority="147238" stopIfTrue="1" operator="notEqual">
      <formula>"En cours"</formula>
    </cfRule>
  </conditionalFormatting>
  <conditionalFormatting sqref="AK19">
    <cfRule type="cellIs" dxfId="1321" priority="147239" stopIfTrue="1" operator="equal">
      <formula>"En cours"</formula>
    </cfRule>
  </conditionalFormatting>
  <conditionalFormatting sqref="AK19">
    <cfRule type="cellIs" dxfId="1320" priority="147240" stopIfTrue="1" operator="notEqual">
      <formula>"En cours"</formula>
    </cfRule>
  </conditionalFormatting>
  <conditionalFormatting sqref="AJ14">
    <cfRule type="cellIs" dxfId="1319" priority="147241" stopIfTrue="1" operator="equal">
      <formula>"En cours"</formula>
    </cfRule>
  </conditionalFormatting>
  <conditionalFormatting sqref="AJ14">
    <cfRule type="cellIs" dxfId="1318" priority="147242" stopIfTrue="1" operator="notEqual">
      <formula>"En cours"</formula>
    </cfRule>
  </conditionalFormatting>
  <conditionalFormatting sqref="AK14">
    <cfRule type="cellIs" dxfId="1317" priority="147243" stopIfTrue="1" operator="equal">
      <formula>"En cours"</formula>
    </cfRule>
  </conditionalFormatting>
  <conditionalFormatting sqref="AK14">
    <cfRule type="cellIs" dxfId="1316" priority="147244" stopIfTrue="1" operator="notEqual">
      <formula>"En cours"</formula>
    </cfRule>
  </conditionalFormatting>
  <conditionalFormatting sqref="AJ17">
    <cfRule type="cellIs" dxfId="1315" priority="147245" stopIfTrue="1" operator="equal">
      <formula>"En cours"</formula>
    </cfRule>
  </conditionalFormatting>
  <conditionalFormatting sqref="AJ17">
    <cfRule type="cellIs" dxfId="1314" priority="147246" stopIfTrue="1" operator="notEqual">
      <formula>"En cours"</formula>
    </cfRule>
  </conditionalFormatting>
  <conditionalFormatting sqref="AK17">
    <cfRule type="cellIs" dxfId="1313" priority="147247" stopIfTrue="1" operator="equal">
      <formula>"En cours"</formula>
    </cfRule>
  </conditionalFormatting>
  <conditionalFormatting sqref="AK17">
    <cfRule type="cellIs" dxfId="1312" priority="147248" stopIfTrue="1" operator="notEqual">
      <formula>"En cours"</formula>
    </cfRule>
  </conditionalFormatting>
  <conditionalFormatting sqref="AJ23">
    <cfRule type="cellIs" dxfId="1311" priority="147249" stopIfTrue="1" operator="equal">
      <formula>"En cours"</formula>
    </cfRule>
  </conditionalFormatting>
  <conditionalFormatting sqref="AJ23">
    <cfRule type="cellIs" dxfId="1310" priority="147250" stopIfTrue="1" operator="notEqual">
      <formula>"En cours"</formula>
    </cfRule>
  </conditionalFormatting>
  <conditionalFormatting sqref="AK23">
    <cfRule type="cellIs" dxfId="1309" priority="147251" stopIfTrue="1" operator="equal">
      <formula>"En cours"</formula>
    </cfRule>
  </conditionalFormatting>
  <conditionalFormatting sqref="AK23">
    <cfRule type="cellIs" dxfId="1308" priority="147252" stopIfTrue="1" operator="notEqual">
      <formula>"En cours"</formula>
    </cfRule>
  </conditionalFormatting>
  <conditionalFormatting sqref="AJ25">
    <cfRule type="cellIs" dxfId="1307" priority="147253" stopIfTrue="1" operator="equal">
      <formula>"En cours"</formula>
    </cfRule>
  </conditionalFormatting>
  <conditionalFormatting sqref="AJ25">
    <cfRule type="cellIs" dxfId="1306" priority="147254" stopIfTrue="1" operator="notEqual">
      <formula>"En cours"</formula>
    </cfRule>
  </conditionalFormatting>
  <conditionalFormatting sqref="AK25">
    <cfRule type="cellIs" dxfId="1305" priority="147255" stopIfTrue="1" operator="equal">
      <formula>"En cours"</formula>
    </cfRule>
  </conditionalFormatting>
  <conditionalFormatting sqref="AK25">
    <cfRule type="cellIs" dxfId="1304" priority="147256" stopIfTrue="1" operator="notEqual">
      <formula>"En cours"</formula>
    </cfRule>
  </conditionalFormatting>
  <conditionalFormatting sqref="AJ24">
    <cfRule type="cellIs" dxfId="1303" priority="147257" stopIfTrue="1" operator="equal">
      <formula>"En cours"</formula>
    </cfRule>
  </conditionalFormatting>
  <conditionalFormatting sqref="AJ24">
    <cfRule type="cellIs" dxfId="1302" priority="147258" stopIfTrue="1" operator="notEqual">
      <formula>"En cours"</formula>
    </cfRule>
  </conditionalFormatting>
  <conditionalFormatting sqref="AK24">
    <cfRule type="cellIs" dxfId="1301" priority="147259" stopIfTrue="1" operator="equal">
      <formula>"En cours"</formula>
    </cfRule>
  </conditionalFormatting>
  <conditionalFormatting sqref="AK24">
    <cfRule type="cellIs" dxfId="1300" priority="147260" stopIfTrue="1" operator="notEqual">
      <formula>"En cours"</formula>
    </cfRule>
  </conditionalFormatting>
  <conditionalFormatting sqref="AJ26">
    <cfRule type="cellIs" dxfId="1299" priority="147261" stopIfTrue="1" operator="equal">
      <formula>"En cours"</formula>
    </cfRule>
  </conditionalFormatting>
  <conditionalFormatting sqref="AJ26">
    <cfRule type="cellIs" dxfId="1298" priority="147262" stopIfTrue="1" operator="notEqual">
      <formula>"En cours"</formula>
    </cfRule>
  </conditionalFormatting>
  <conditionalFormatting sqref="AK26">
    <cfRule type="cellIs" dxfId="1297" priority="147263" stopIfTrue="1" operator="equal">
      <formula>"En cours"</formula>
    </cfRule>
  </conditionalFormatting>
  <conditionalFormatting sqref="AK26">
    <cfRule type="cellIs" dxfId="1296" priority="147264" stopIfTrue="1" operator="notEqual">
      <formula>"En cours"</formula>
    </cfRule>
  </conditionalFormatting>
  <conditionalFormatting sqref="AJ21">
    <cfRule type="cellIs" dxfId="1295" priority="147265" stopIfTrue="1" operator="equal">
      <formula>"En cours"</formula>
    </cfRule>
  </conditionalFormatting>
  <conditionalFormatting sqref="AJ21">
    <cfRule type="cellIs" dxfId="1294" priority="147266" stopIfTrue="1" operator="notEqual">
      <formula>"En cours"</formula>
    </cfRule>
  </conditionalFormatting>
  <conditionalFormatting sqref="AK21">
    <cfRule type="cellIs" dxfId="1293" priority="147267" stopIfTrue="1" operator="equal">
      <formula>"En cours"</formula>
    </cfRule>
  </conditionalFormatting>
  <conditionalFormatting sqref="AK21">
    <cfRule type="cellIs" dxfId="1292" priority="147268" stopIfTrue="1" operator="notEqual">
      <formula>"En cours"</formula>
    </cfRule>
  </conditionalFormatting>
  <conditionalFormatting sqref="AJ28">
    <cfRule type="cellIs" dxfId="1291" priority="147269" stopIfTrue="1" operator="equal">
      <formula>"En cours"</formula>
    </cfRule>
  </conditionalFormatting>
  <conditionalFormatting sqref="AJ28">
    <cfRule type="cellIs" dxfId="1290" priority="147270" stopIfTrue="1" operator="notEqual">
      <formula>"En cours"</formula>
    </cfRule>
  </conditionalFormatting>
  <conditionalFormatting sqref="AK28">
    <cfRule type="cellIs" dxfId="1289" priority="147271" stopIfTrue="1" operator="equal">
      <formula>"En cours"</formula>
    </cfRule>
  </conditionalFormatting>
  <conditionalFormatting sqref="AK28">
    <cfRule type="cellIs" dxfId="1288" priority="147272" stopIfTrue="1" operator="notEqual">
      <formula>"En cours"</formula>
    </cfRule>
  </conditionalFormatting>
  <conditionalFormatting sqref="AJ34">
    <cfRule type="cellIs" dxfId="1287" priority="147273" stopIfTrue="1" operator="equal">
      <formula>"En cours"</formula>
    </cfRule>
  </conditionalFormatting>
  <conditionalFormatting sqref="AJ34">
    <cfRule type="cellIs" dxfId="1286" priority="147274" stopIfTrue="1" operator="notEqual">
      <formula>"En cours"</formula>
    </cfRule>
  </conditionalFormatting>
  <conditionalFormatting sqref="AK34">
    <cfRule type="cellIs" dxfId="1285" priority="147275" stopIfTrue="1" operator="equal">
      <formula>"En cours"</formula>
    </cfRule>
  </conditionalFormatting>
  <conditionalFormatting sqref="AK34">
    <cfRule type="cellIs" dxfId="1284" priority="147276" stopIfTrue="1" operator="notEqual">
      <formula>"En cours"</formula>
    </cfRule>
  </conditionalFormatting>
  <conditionalFormatting sqref="AJ29">
    <cfRule type="cellIs" dxfId="1283" priority="147277" stopIfTrue="1" operator="equal">
      <formula>"En cours"</formula>
    </cfRule>
  </conditionalFormatting>
  <conditionalFormatting sqref="AJ29">
    <cfRule type="cellIs" dxfId="1282" priority="147278" stopIfTrue="1" operator="notEqual">
      <formula>"En cours"</formula>
    </cfRule>
  </conditionalFormatting>
  <conditionalFormatting sqref="AK29">
    <cfRule type="cellIs" dxfId="1281" priority="147279" stopIfTrue="1" operator="equal">
      <formula>"En cours"</formula>
    </cfRule>
  </conditionalFormatting>
  <conditionalFormatting sqref="AK29">
    <cfRule type="cellIs" dxfId="1280" priority="147280" stopIfTrue="1" operator="notEqual">
      <formula>"En cours"</formula>
    </cfRule>
  </conditionalFormatting>
  <conditionalFormatting sqref="AJ30">
    <cfRule type="cellIs" dxfId="1279" priority="147281" stopIfTrue="1" operator="equal">
      <formula>"En cours"</formula>
    </cfRule>
  </conditionalFormatting>
  <conditionalFormatting sqref="AJ30">
    <cfRule type="cellIs" dxfId="1278" priority="147282" stopIfTrue="1" operator="notEqual">
      <formula>"En cours"</formula>
    </cfRule>
  </conditionalFormatting>
  <conditionalFormatting sqref="AK30">
    <cfRule type="cellIs" dxfId="1277" priority="147283" stopIfTrue="1" operator="equal">
      <formula>"En cours"</formula>
    </cfRule>
  </conditionalFormatting>
  <conditionalFormatting sqref="AK30">
    <cfRule type="cellIs" dxfId="1276" priority="147284" stopIfTrue="1" operator="notEqual">
      <formula>"En cours"</formula>
    </cfRule>
  </conditionalFormatting>
  <conditionalFormatting sqref="AJ41">
    <cfRule type="cellIs" dxfId="1275" priority="147285" stopIfTrue="1" operator="equal">
      <formula>"En cours"</formula>
    </cfRule>
  </conditionalFormatting>
  <conditionalFormatting sqref="AJ41">
    <cfRule type="cellIs" dxfId="1274" priority="147286" stopIfTrue="1" operator="notEqual">
      <formula>"En cours"</formula>
    </cfRule>
  </conditionalFormatting>
  <conditionalFormatting sqref="AK41">
    <cfRule type="cellIs" dxfId="1273" priority="147287" stopIfTrue="1" operator="equal">
      <formula>"En cours"</formula>
    </cfRule>
  </conditionalFormatting>
  <conditionalFormatting sqref="AK41">
    <cfRule type="cellIs" dxfId="1272" priority="147288" stopIfTrue="1" operator="notEqual">
      <formula>"En cours"</formula>
    </cfRule>
  </conditionalFormatting>
  <conditionalFormatting sqref="AJ22">
    <cfRule type="cellIs" dxfId="1271" priority="147289" stopIfTrue="1" operator="equal">
      <formula>"En cours"</formula>
    </cfRule>
  </conditionalFormatting>
  <conditionalFormatting sqref="AJ22">
    <cfRule type="cellIs" dxfId="1270" priority="147290" stopIfTrue="1" operator="notEqual">
      <formula>"En cours"</formula>
    </cfRule>
  </conditionalFormatting>
  <conditionalFormatting sqref="AK22">
    <cfRule type="cellIs" dxfId="1269" priority="147291" stopIfTrue="1" operator="equal">
      <formula>"En cours"</formula>
    </cfRule>
  </conditionalFormatting>
  <conditionalFormatting sqref="AK22">
    <cfRule type="cellIs" dxfId="1268" priority="147292" stopIfTrue="1" operator="notEqual">
      <formula>"En cours"</formula>
    </cfRule>
  </conditionalFormatting>
  <conditionalFormatting sqref="AJ37">
    <cfRule type="cellIs" dxfId="1267" priority="147293" stopIfTrue="1" operator="equal">
      <formula>"En cours"</formula>
    </cfRule>
  </conditionalFormatting>
  <conditionalFormatting sqref="AJ37">
    <cfRule type="cellIs" dxfId="1266" priority="147294" stopIfTrue="1" operator="notEqual">
      <formula>"En cours"</formula>
    </cfRule>
  </conditionalFormatting>
  <conditionalFormatting sqref="AK37">
    <cfRule type="cellIs" dxfId="1265" priority="147295" stopIfTrue="1" operator="equal">
      <formula>"En cours"</formula>
    </cfRule>
  </conditionalFormatting>
  <conditionalFormatting sqref="AK37">
    <cfRule type="cellIs" dxfId="1264" priority="147296" stopIfTrue="1" operator="notEqual">
      <formula>"En cours"</formula>
    </cfRule>
  </conditionalFormatting>
  <conditionalFormatting sqref="AJ38">
    <cfRule type="cellIs" dxfId="1263" priority="147297" stopIfTrue="1" operator="equal">
      <formula>"En cours"</formula>
    </cfRule>
  </conditionalFormatting>
  <conditionalFormatting sqref="AJ38">
    <cfRule type="cellIs" dxfId="1262" priority="147298" stopIfTrue="1" operator="notEqual">
      <formula>"En cours"</formula>
    </cfRule>
  </conditionalFormatting>
  <conditionalFormatting sqref="AK38">
    <cfRule type="cellIs" dxfId="1261" priority="147299" stopIfTrue="1" operator="equal">
      <formula>"En cours"</formula>
    </cfRule>
  </conditionalFormatting>
  <conditionalFormatting sqref="AK38">
    <cfRule type="cellIs" dxfId="1260" priority="147300" stopIfTrue="1" operator="notEqual">
      <formula>"En cours"</formula>
    </cfRule>
  </conditionalFormatting>
  <conditionalFormatting sqref="AJ27">
    <cfRule type="cellIs" dxfId="1259" priority="147301" stopIfTrue="1" operator="equal">
      <formula>"En cours"</formula>
    </cfRule>
  </conditionalFormatting>
  <conditionalFormatting sqref="AJ27">
    <cfRule type="cellIs" dxfId="1258" priority="147302" stopIfTrue="1" operator="notEqual">
      <formula>"En cours"</formula>
    </cfRule>
  </conditionalFormatting>
  <conditionalFormatting sqref="AK27">
    <cfRule type="cellIs" dxfId="1257" priority="147303" stopIfTrue="1" operator="equal">
      <formula>"En cours"</formula>
    </cfRule>
  </conditionalFormatting>
  <conditionalFormatting sqref="AK27">
    <cfRule type="cellIs" dxfId="1256" priority="147304" stopIfTrue="1" operator="notEqual">
      <formula>"En cours"</formula>
    </cfRule>
  </conditionalFormatting>
  <conditionalFormatting sqref="AJ35">
    <cfRule type="cellIs" dxfId="1255" priority="147305" stopIfTrue="1" operator="equal">
      <formula>"En cours"</formula>
    </cfRule>
  </conditionalFormatting>
  <conditionalFormatting sqref="AJ35">
    <cfRule type="cellIs" dxfId="1254" priority="147306" stopIfTrue="1" operator="notEqual">
      <formula>"En cours"</formula>
    </cfRule>
  </conditionalFormatting>
  <conditionalFormatting sqref="AK35">
    <cfRule type="cellIs" dxfId="1253" priority="147307" stopIfTrue="1" operator="equal">
      <formula>"En cours"</formula>
    </cfRule>
  </conditionalFormatting>
  <conditionalFormatting sqref="AK35">
    <cfRule type="cellIs" dxfId="1252" priority="147308" stopIfTrue="1" operator="notEqual">
      <formula>"En cours"</formula>
    </cfRule>
  </conditionalFormatting>
  <conditionalFormatting sqref="AJ39">
    <cfRule type="cellIs" dxfId="1251" priority="147309" stopIfTrue="1" operator="equal">
      <formula>"En cours"</formula>
    </cfRule>
  </conditionalFormatting>
  <conditionalFormatting sqref="AJ39">
    <cfRule type="cellIs" dxfId="1250" priority="147310" stopIfTrue="1" operator="notEqual">
      <formula>"En cours"</formula>
    </cfRule>
  </conditionalFormatting>
  <conditionalFormatting sqref="AK39">
    <cfRule type="cellIs" dxfId="1249" priority="147311" stopIfTrue="1" operator="equal">
      <formula>"En cours"</formula>
    </cfRule>
  </conditionalFormatting>
  <conditionalFormatting sqref="AK39">
    <cfRule type="cellIs" dxfId="1248" priority="147312" stopIfTrue="1" operator="notEqual">
      <formula>"En cours"</formula>
    </cfRule>
  </conditionalFormatting>
  <conditionalFormatting sqref="AJ46">
    <cfRule type="cellIs" dxfId="1247" priority="147313" stopIfTrue="1" operator="equal">
      <formula>"En cours"</formula>
    </cfRule>
  </conditionalFormatting>
  <conditionalFormatting sqref="AJ46">
    <cfRule type="cellIs" dxfId="1246" priority="147314" stopIfTrue="1" operator="notEqual">
      <formula>"En cours"</formula>
    </cfRule>
  </conditionalFormatting>
  <conditionalFormatting sqref="AK46">
    <cfRule type="cellIs" dxfId="1245" priority="147315" stopIfTrue="1" operator="equal">
      <formula>"En cours"</formula>
    </cfRule>
  </conditionalFormatting>
  <conditionalFormatting sqref="AK46">
    <cfRule type="cellIs" dxfId="1244" priority="147316" stopIfTrue="1" operator="notEqual">
      <formula>"En cours"</formula>
    </cfRule>
  </conditionalFormatting>
  <conditionalFormatting sqref="AJ31">
    <cfRule type="cellIs" dxfId="1243" priority="147317" stopIfTrue="1" operator="equal">
      <formula>"En cours"</formula>
    </cfRule>
  </conditionalFormatting>
  <conditionalFormatting sqref="AJ31">
    <cfRule type="cellIs" dxfId="1242" priority="147318" stopIfTrue="1" operator="notEqual">
      <formula>"En cours"</formula>
    </cfRule>
  </conditionalFormatting>
  <conditionalFormatting sqref="AK31">
    <cfRule type="cellIs" dxfId="1241" priority="147319" stopIfTrue="1" operator="equal">
      <formula>"En cours"</formula>
    </cfRule>
  </conditionalFormatting>
  <conditionalFormatting sqref="AK31">
    <cfRule type="cellIs" dxfId="1240" priority="147320" stopIfTrue="1" operator="notEqual">
      <formula>"En cours"</formula>
    </cfRule>
  </conditionalFormatting>
  <conditionalFormatting sqref="AJ32">
    <cfRule type="cellIs" dxfId="1239" priority="147321" stopIfTrue="1" operator="equal">
      <formula>"En cours"</formula>
    </cfRule>
  </conditionalFormatting>
  <conditionalFormatting sqref="AJ32">
    <cfRule type="cellIs" dxfId="1238" priority="147322" stopIfTrue="1" operator="notEqual">
      <formula>"En cours"</formula>
    </cfRule>
  </conditionalFormatting>
  <conditionalFormatting sqref="AK32">
    <cfRule type="cellIs" dxfId="1237" priority="147323" stopIfTrue="1" operator="equal">
      <formula>"En cours"</formula>
    </cfRule>
  </conditionalFormatting>
  <conditionalFormatting sqref="AK32">
    <cfRule type="cellIs" dxfId="1236" priority="147324" stopIfTrue="1" operator="notEqual">
      <formula>"En cours"</formula>
    </cfRule>
  </conditionalFormatting>
  <conditionalFormatting sqref="AJ33">
    <cfRule type="cellIs" dxfId="1235" priority="147325" stopIfTrue="1" operator="equal">
      <formula>"En cours"</formula>
    </cfRule>
  </conditionalFormatting>
  <conditionalFormatting sqref="AJ33">
    <cfRule type="cellIs" dxfId="1234" priority="147326" stopIfTrue="1" operator="notEqual">
      <formula>"En cours"</formula>
    </cfRule>
  </conditionalFormatting>
  <conditionalFormatting sqref="AK33">
    <cfRule type="cellIs" dxfId="1233" priority="147327" stopIfTrue="1" operator="equal">
      <formula>"En cours"</formula>
    </cfRule>
  </conditionalFormatting>
  <conditionalFormatting sqref="AK33">
    <cfRule type="cellIs" dxfId="1232" priority="147328" stopIfTrue="1" operator="notEqual">
      <formula>"En cours"</formula>
    </cfRule>
  </conditionalFormatting>
  <conditionalFormatting sqref="AJ40">
    <cfRule type="cellIs" dxfId="1231" priority="147329" stopIfTrue="1" operator="equal">
      <formula>"En cours"</formula>
    </cfRule>
  </conditionalFormatting>
  <conditionalFormatting sqref="AJ40">
    <cfRule type="cellIs" dxfId="1230" priority="147330" stopIfTrue="1" operator="notEqual">
      <formula>"En cours"</formula>
    </cfRule>
  </conditionalFormatting>
  <conditionalFormatting sqref="AK40">
    <cfRule type="cellIs" dxfId="1229" priority="147331" stopIfTrue="1" operator="equal">
      <formula>"En cours"</formula>
    </cfRule>
  </conditionalFormatting>
  <conditionalFormatting sqref="AK40">
    <cfRule type="cellIs" dxfId="1228" priority="147332" stopIfTrue="1" operator="notEqual">
      <formula>"En cours"</formula>
    </cfRule>
  </conditionalFormatting>
  <conditionalFormatting sqref="AJ42">
    <cfRule type="cellIs" dxfId="1227" priority="147333" stopIfTrue="1" operator="equal">
      <formula>"En cours"</formula>
    </cfRule>
  </conditionalFormatting>
  <conditionalFormatting sqref="AJ42">
    <cfRule type="cellIs" dxfId="1226" priority="147334" stopIfTrue="1" operator="notEqual">
      <formula>"En cours"</formula>
    </cfRule>
  </conditionalFormatting>
  <conditionalFormatting sqref="AK42">
    <cfRule type="cellIs" dxfId="1225" priority="147335" stopIfTrue="1" operator="equal">
      <formula>"En cours"</formula>
    </cfRule>
  </conditionalFormatting>
  <conditionalFormatting sqref="AK42">
    <cfRule type="cellIs" dxfId="1224" priority="147336" stopIfTrue="1" operator="notEqual">
      <formula>"En cours"</formula>
    </cfRule>
  </conditionalFormatting>
  <conditionalFormatting sqref="AJ49">
    <cfRule type="cellIs" dxfId="1223" priority="147337" stopIfTrue="1" operator="equal">
      <formula>"En cours"</formula>
    </cfRule>
  </conditionalFormatting>
  <conditionalFormatting sqref="AJ49">
    <cfRule type="cellIs" dxfId="1222" priority="147338" stopIfTrue="1" operator="notEqual">
      <formula>"En cours"</formula>
    </cfRule>
  </conditionalFormatting>
  <conditionalFormatting sqref="AK49">
    <cfRule type="cellIs" dxfId="1221" priority="147339" stopIfTrue="1" operator="equal">
      <formula>"En cours"</formula>
    </cfRule>
  </conditionalFormatting>
  <conditionalFormatting sqref="AK49">
    <cfRule type="cellIs" dxfId="1220" priority="147340" stopIfTrue="1" operator="notEqual">
      <formula>"En cours"</formula>
    </cfRule>
  </conditionalFormatting>
  <conditionalFormatting sqref="AJ36">
    <cfRule type="cellIs" dxfId="1219" priority="147341" stopIfTrue="1" operator="equal">
      <formula>"En cours"</formula>
    </cfRule>
  </conditionalFormatting>
  <conditionalFormatting sqref="AJ36">
    <cfRule type="cellIs" dxfId="1218" priority="147342" stopIfTrue="1" operator="notEqual">
      <formula>"En cours"</formula>
    </cfRule>
  </conditionalFormatting>
  <conditionalFormatting sqref="AK36">
    <cfRule type="cellIs" dxfId="1217" priority="147343" stopIfTrue="1" operator="equal">
      <formula>"En cours"</formula>
    </cfRule>
  </conditionalFormatting>
  <conditionalFormatting sqref="AK36">
    <cfRule type="cellIs" dxfId="1216" priority="147344" stopIfTrue="1" operator="notEqual">
      <formula>"En cours"</formula>
    </cfRule>
  </conditionalFormatting>
  <conditionalFormatting sqref="AJ48">
    <cfRule type="cellIs" dxfId="1215" priority="147345" stopIfTrue="1" operator="equal">
      <formula>"En cours"</formula>
    </cfRule>
  </conditionalFormatting>
  <conditionalFormatting sqref="AJ48">
    <cfRule type="cellIs" dxfId="1214" priority="147346" stopIfTrue="1" operator="notEqual">
      <formula>"En cours"</formula>
    </cfRule>
  </conditionalFormatting>
  <conditionalFormatting sqref="AK48">
    <cfRule type="cellIs" dxfId="1213" priority="147347" stopIfTrue="1" operator="equal">
      <formula>"En cours"</formula>
    </cfRule>
  </conditionalFormatting>
  <conditionalFormatting sqref="AK48">
    <cfRule type="cellIs" dxfId="1212" priority="147348" stopIfTrue="1" operator="notEqual">
      <formula>"En cours"</formula>
    </cfRule>
  </conditionalFormatting>
  <conditionalFormatting sqref="AJ45">
    <cfRule type="cellIs" dxfId="1211" priority="147349" stopIfTrue="1" operator="equal">
      <formula>"En cours"</formula>
    </cfRule>
  </conditionalFormatting>
  <conditionalFormatting sqref="AJ45">
    <cfRule type="cellIs" dxfId="1210" priority="147350" stopIfTrue="1" operator="notEqual">
      <formula>"En cours"</formula>
    </cfRule>
  </conditionalFormatting>
  <conditionalFormatting sqref="AK45">
    <cfRule type="cellIs" dxfId="1209" priority="147351" stopIfTrue="1" operator="equal">
      <formula>"En cours"</formula>
    </cfRule>
  </conditionalFormatting>
  <conditionalFormatting sqref="AK45">
    <cfRule type="cellIs" dxfId="1208" priority="147352" stopIfTrue="1" operator="notEqual">
      <formula>"En cours"</formula>
    </cfRule>
  </conditionalFormatting>
  <conditionalFormatting sqref="AJ44">
    <cfRule type="cellIs" dxfId="1207" priority="147353" stopIfTrue="1" operator="equal">
      <formula>"En cours"</formula>
    </cfRule>
  </conditionalFormatting>
  <conditionalFormatting sqref="AJ44">
    <cfRule type="cellIs" dxfId="1206" priority="147354" stopIfTrue="1" operator="notEqual">
      <formula>"En cours"</formula>
    </cfRule>
  </conditionalFormatting>
  <conditionalFormatting sqref="AK44">
    <cfRule type="cellIs" dxfId="1205" priority="147355" stopIfTrue="1" operator="equal">
      <formula>"En cours"</formula>
    </cfRule>
  </conditionalFormatting>
  <conditionalFormatting sqref="AK44">
    <cfRule type="cellIs" dxfId="1204" priority="147356" stopIfTrue="1" operator="notEqual">
      <formula>"En cours"</formula>
    </cfRule>
  </conditionalFormatting>
  <conditionalFormatting sqref="AJ50">
    <cfRule type="cellIs" dxfId="1203" priority="147357" stopIfTrue="1" operator="equal">
      <formula>"En cours"</formula>
    </cfRule>
  </conditionalFormatting>
  <conditionalFormatting sqref="AJ50">
    <cfRule type="cellIs" dxfId="1202" priority="147358" stopIfTrue="1" operator="notEqual">
      <formula>"En cours"</formula>
    </cfRule>
  </conditionalFormatting>
  <conditionalFormatting sqref="AK50">
    <cfRule type="cellIs" dxfId="1201" priority="147359" stopIfTrue="1" operator="equal">
      <formula>"En cours"</formula>
    </cfRule>
  </conditionalFormatting>
  <conditionalFormatting sqref="AK50">
    <cfRule type="cellIs" dxfId="1200" priority="147360" stopIfTrue="1" operator="notEqual">
      <formula>"En cours"</formula>
    </cfRule>
  </conditionalFormatting>
  <conditionalFormatting sqref="AJ43">
    <cfRule type="cellIs" dxfId="1199" priority="147361" stopIfTrue="1" operator="equal">
      <formula>"En cours"</formula>
    </cfRule>
  </conditionalFormatting>
  <conditionalFormatting sqref="AJ43">
    <cfRule type="cellIs" dxfId="1198" priority="147362" stopIfTrue="1" operator="notEqual">
      <formula>"En cours"</formula>
    </cfRule>
  </conditionalFormatting>
  <conditionalFormatting sqref="AK43">
    <cfRule type="cellIs" dxfId="1197" priority="147363" stopIfTrue="1" operator="equal">
      <formula>"En cours"</formula>
    </cfRule>
  </conditionalFormatting>
  <conditionalFormatting sqref="AK43">
    <cfRule type="cellIs" dxfId="1196" priority="147364" stopIfTrue="1" operator="notEqual">
      <formula>"En cours"</formula>
    </cfRule>
  </conditionalFormatting>
  <conditionalFormatting sqref="AJ47">
    <cfRule type="cellIs" dxfId="1195" priority="147365" stopIfTrue="1" operator="equal">
      <formula>"En cours"</formula>
    </cfRule>
  </conditionalFormatting>
  <conditionalFormatting sqref="AJ47">
    <cfRule type="cellIs" dxfId="1194" priority="147366" stopIfTrue="1" operator="notEqual">
      <formula>"En cours"</formula>
    </cfRule>
  </conditionalFormatting>
  <conditionalFormatting sqref="AK47">
    <cfRule type="cellIs" dxfId="1193" priority="147367" stopIfTrue="1" operator="equal">
      <formula>"En cours"</formula>
    </cfRule>
  </conditionalFormatting>
  <conditionalFormatting sqref="AK47">
    <cfRule type="cellIs" dxfId="1192" priority="147368" stopIfTrue="1" operator="notEqual">
      <formula>"En cours"</formula>
    </cfRule>
  </conditionalFormatting>
  <conditionalFormatting sqref="AJ51">
    <cfRule type="cellIs" dxfId="1191" priority="147369" stopIfTrue="1" operator="equal">
      <formula>"En cours"</formula>
    </cfRule>
  </conditionalFormatting>
  <conditionalFormatting sqref="AJ51">
    <cfRule type="cellIs" dxfId="1190" priority="147370" stopIfTrue="1" operator="notEqual">
      <formula>"En cours"</formula>
    </cfRule>
  </conditionalFormatting>
  <conditionalFormatting sqref="AK51">
    <cfRule type="cellIs" dxfId="1189" priority="147371" stopIfTrue="1" operator="equal">
      <formula>"En cours"</formula>
    </cfRule>
  </conditionalFormatting>
  <conditionalFormatting sqref="AK51">
    <cfRule type="cellIs" dxfId="1188" priority="147372" stopIfTrue="1" operator="notEqual">
      <formula>"En cours"</formula>
    </cfRule>
  </conditionalFormatting>
  <conditionalFormatting sqref="AJ54">
    <cfRule type="cellIs" dxfId="1187" priority="147373" stopIfTrue="1" operator="equal">
      <formula>"En cours"</formula>
    </cfRule>
  </conditionalFormatting>
  <conditionalFormatting sqref="AJ54">
    <cfRule type="cellIs" dxfId="1186" priority="147374" stopIfTrue="1" operator="notEqual">
      <formula>"En cours"</formula>
    </cfRule>
  </conditionalFormatting>
  <conditionalFormatting sqref="AK54">
    <cfRule type="cellIs" dxfId="1185" priority="147375" stopIfTrue="1" operator="equal">
      <formula>"En cours"</formula>
    </cfRule>
  </conditionalFormatting>
  <conditionalFormatting sqref="AK54">
    <cfRule type="cellIs" dxfId="1184" priority="147376" stopIfTrue="1" operator="notEqual">
      <formula>"En cours"</formula>
    </cfRule>
  </conditionalFormatting>
  <conditionalFormatting sqref="AJ52">
    <cfRule type="cellIs" dxfId="1183" priority="147377" stopIfTrue="1" operator="equal">
      <formula>"En cours"</formula>
    </cfRule>
  </conditionalFormatting>
  <conditionalFormatting sqref="AJ52">
    <cfRule type="cellIs" dxfId="1182" priority="147378" stopIfTrue="1" operator="notEqual">
      <formula>"En cours"</formula>
    </cfRule>
  </conditionalFormatting>
  <conditionalFormatting sqref="AK52">
    <cfRule type="cellIs" dxfId="1181" priority="147379" stopIfTrue="1" operator="equal">
      <formula>"En cours"</formula>
    </cfRule>
  </conditionalFormatting>
  <conditionalFormatting sqref="AK52">
    <cfRule type="cellIs" dxfId="1180" priority="147380" stopIfTrue="1" operator="notEqual">
      <formula>"En cours"</formula>
    </cfRule>
  </conditionalFormatting>
  <conditionalFormatting sqref="AJ55">
    <cfRule type="cellIs" dxfId="1179" priority="147381" stopIfTrue="1" operator="equal">
      <formula>"En cours"</formula>
    </cfRule>
  </conditionalFormatting>
  <conditionalFormatting sqref="AJ55">
    <cfRule type="cellIs" dxfId="1178" priority="147382" stopIfTrue="1" operator="notEqual">
      <formula>"En cours"</formula>
    </cfRule>
  </conditionalFormatting>
  <conditionalFormatting sqref="AK55">
    <cfRule type="cellIs" dxfId="1177" priority="147383" stopIfTrue="1" operator="equal">
      <formula>"En cours"</formula>
    </cfRule>
  </conditionalFormatting>
  <conditionalFormatting sqref="AK55">
    <cfRule type="cellIs" dxfId="1176" priority="147384" stopIfTrue="1" operator="notEqual">
      <formula>"En cours"</formula>
    </cfRule>
  </conditionalFormatting>
  <conditionalFormatting sqref="AJ53">
    <cfRule type="cellIs" dxfId="1175" priority="147385" stopIfTrue="1" operator="equal">
      <formula>"En cours"</formula>
    </cfRule>
  </conditionalFormatting>
  <conditionalFormatting sqref="AJ53">
    <cfRule type="cellIs" dxfId="1174" priority="147386" stopIfTrue="1" operator="notEqual">
      <formula>"En cours"</formula>
    </cfRule>
  </conditionalFormatting>
  <conditionalFormatting sqref="AK53">
    <cfRule type="cellIs" dxfId="1173" priority="147387" stopIfTrue="1" operator="equal">
      <formula>"En cours"</formula>
    </cfRule>
  </conditionalFormatting>
  <conditionalFormatting sqref="AK53">
    <cfRule type="cellIs" dxfId="1172" priority="147388" stopIfTrue="1" operator="notEqual">
      <formula>"En cours"</formula>
    </cfRule>
  </conditionalFormatting>
  <conditionalFormatting sqref="AJ57">
    <cfRule type="cellIs" dxfId="1171" priority="147389" stopIfTrue="1" operator="equal">
      <formula>"En cours"</formula>
    </cfRule>
  </conditionalFormatting>
  <conditionalFormatting sqref="AJ57">
    <cfRule type="cellIs" dxfId="1170" priority="147390" stopIfTrue="1" operator="notEqual">
      <formula>"En cours"</formula>
    </cfRule>
  </conditionalFormatting>
  <conditionalFormatting sqref="AK57">
    <cfRule type="cellIs" dxfId="1169" priority="147391" stopIfTrue="1" operator="equal">
      <formula>"En cours"</formula>
    </cfRule>
  </conditionalFormatting>
  <conditionalFormatting sqref="AK57">
    <cfRule type="cellIs" dxfId="1168" priority="147392" stopIfTrue="1" operator="notEqual">
      <formula>"En cours"</formula>
    </cfRule>
  </conditionalFormatting>
  <conditionalFormatting sqref="AJ58">
    <cfRule type="cellIs" dxfId="1167" priority="147393" stopIfTrue="1" operator="equal">
      <formula>"En cours"</formula>
    </cfRule>
  </conditionalFormatting>
  <conditionalFormatting sqref="AJ58">
    <cfRule type="cellIs" dxfId="1166" priority="147394" stopIfTrue="1" operator="notEqual">
      <formula>"En cours"</formula>
    </cfRule>
  </conditionalFormatting>
  <conditionalFormatting sqref="AK58">
    <cfRule type="cellIs" dxfId="1165" priority="147395" stopIfTrue="1" operator="equal">
      <formula>"En cours"</formula>
    </cfRule>
  </conditionalFormatting>
  <conditionalFormatting sqref="AK58">
    <cfRule type="cellIs" dxfId="1164" priority="147396" stopIfTrue="1" operator="notEqual">
      <formula>"En cours"</formula>
    </cfRule>
  </conditionalFormatting>
  <conditionalFormatting sqref="AJ66">
    <cfRule type="cellIs" dxfId="1163" priority="147397" stopIfTrue="1" operator="equal">
      <formula>"En cours"</formula>
    </cfRule>
  </conditionalFormatting>
  <conditionalFormatting sqref="AJ66">
    <cfRule type="cellIs" dxfId="1162" priority="147398" stopIfTrue="1" operator="notEqual">
      <formula>"En cours"</formula>
    </cfRule>
  </conditionalFormatting>
  <conditionalFormatting sqref="AK66">
    <cfRule type="cellIs" dxfId="1161" priority="147399" stopIfTrue="1" operator="equal">
      <formula>"En cours"</formula>
    </cfRule>
  </conditionalFormatting>
  <conditionalFormatting sqref="AK66">
    <cfRule type="cellIs" dxfId="1160" priority="147400" stopIfTrue="1" operator="notEqual">
      <formula>"En cours"</formula>
    </cfRule>
  </conditionalFormatting>
  <conditionalFormatting sqref="AJ60">
    <cfRule type="cellIs" dxfId="1159" priority="147401" stopIfTrue="1" operator="equal">
      <formula>"En cours"</formula>
    </cfRule>
  </conditionalFormatting>
  <conditionalFormatting sqref="AJ60">
    <cfRule type="cellIs" dxfId="1158" priority="147402" stopIfTrue="1" operator="notEqual">
      <formula>"En cours"</formula>
    </cfRule>
  </conditionalFormatting>
  <conditionalFormatting sqref="AK60">
    <cfRule type="cellIs" dxfId="1157" priority="147403" stopIfTrue="1" operator="equal">
      <formula>"En cours"</formula>
    </cfRule>
  </conditionalFormatting>
  <conditionalFormatting sqref="AK60">
    <cfRule type="cellIs" dxfId="1156" priority="147404" stopIfTrue="1" operator="notEqual">
      <formula>"En cours"</formula>
    </cfRule>
  </conditionalFormatting>
  <conditionalFormatting sqref="AJ56">
    <cfRule type="cellIs" dxfId="1155" priority="147405" stopIfTrue="1" operator="equal">
      <formula>"En cours"</formula>
    </cfRule>
  </conditionalFormatting>
  <conditionalFormatting sqref="AJ56">
    <cfRule type="cellIs" dxfId="1154" priority="147406" stopIfTrue="1" operator="notEqual">
      <formula>"En cours"</formula>
    </cfRule>
  </conditionalFormatting>
  <conditionalFormatting sqref="AK56">
    <cfRule type="cellIs" dxfId="1153" priority="147407" stopIfTrue="1" operator="equal">
      <formula>"En cours"</formula>
    </cfRule>
  </conditionalFormatting>
  <conditionalFormatting sqref="AK56">
    <cfRule type="cellIs" dxfId="1152" priority="147408" stopIfTrue="1" operator="notEqual">
      <formula>"En cours"</formula>
    </cfRule>
  </conditionalFormatting>
  <conditionalFormatting sqref="AJ67">
    <cfRule type="cellIs" dxfId="1151" priority="147409" stopIfTrue="1" operator="equal">
      <formula>"En cours"</formula>
    </cfRule>
  </conditionalFormatting>
  <conditionalFormatting sqref="AJ67">
    <cfRule type="cellIs" dxfId="1150" priority="147410" stopIfTrue="1" operator="notEqual">
      <formula>"En cours"</formula>
    </cfRule>
  </conditionalFormatting>
  <conditionalFormatting sqref="AK67">
    <cfRule type="cellIs" dxfId="1149" priority="147411" stopIfTrue="1" operator="equal">
      <formula>"En cours"</formula>
    </cfRule>
  </conditionalFormatting>
  <conditionalFormatting sqref="AK67">
    <cfRule type="cellIs" dxfId="1148" priority="147412" stopIfTrue="1" operator="notEqual">
      <formula>"En cours"</formula>
    </cfRule>
  </conditionalFormatting>
  <conditionalFormatting sqref="AJ59">
    <cfRule type="cellIs" dxfId="1147" priority="147413" stopIfTrue="1" operator="equal">
      <formula>"En cours"</formula>
    </cfRule>
  </conditionalFormatting>
  <conditionalFormatting sqref="AJ59">
    <cfRule type="cellIs" dxfId="1146" priority="147414" stopIfTrue="1" operator="notEqual">
      <formula>"En cours"</formula>
    </cfRule>
  </conditionalFormatting>
  <conditionalFormatting sqref="AK59">
    <cfRule type="cellIs" dxfId="1145" priority="147415" stopIfTrue="1" operator="equal">
      <formula>"En cours"</formula>
    </cfRule>
  </conditionalFormatting>
  <conditionalFormatting sqref="AK59">
    <cfRule type="cellIs" dxfId="1144" priority="147416" stopIfTrue="1" operator="notEqual">
      <formula>"En cours"</formula>
    </cfRule>
  </conditionalFormatting>
  <conditionalFormatting sqref="AJ70">
    <cfRule type="cellIs" dxfId="1143" priority="147417" stopIfTrue="1" operator="equal">
      <formula>"En cours"</formula>
    </cfRule>
  </conditionalFormatting>
  <conditionalFormatting sqref="AJ70">
    <cfRule type="cellIs" dxfId="1142" priority="147418" stopIfTrue="1" operator="notEqual">
      <formula>"En cours"</formula>
    </cfRule>
  </conditionalFormatting>
  <conditionalFormatting sqref="AK70">
    <cfRule type="cellIs" dxfId="1141" priority="147419" stopIfTrue="1" operator="equal">
      <formula>"En cours"</formula>
    </cfRule>
  </conditionalFormatting>
  <conditionalFormatting sqref="AK70">
    <cfRule type="cellIs" dxfId="1140" priority="147420" stopIfTrue="1" operator="notEqual">
      <formula>"En cours"</formula>
    </cfRule>
  </conditionalFormatting>
  <conditionalFormatting sqref="AJ65">
    <cfRule type="cellIs" dxfId="1139" priority="147421" stopIfTrue="1" operator="equal">
      <formula>"En cours"</formula>
    </cfRule>
  </conditionalFormatting>
  <conditionalFormatting sqref="AJ65">
    <cfRule type="cellIs" dxfId="1138" priority="147422" stopIfTrue="1" operator="notEqual">
      <formula>"En cours"</formula>
    </cfRule>
  </conditionalFormatting>
  <conditionalFormatting sqref="AK65">
    <cfRule type="cellIs" dxfId="1137" priority="147423" stopIfTrue="1" operator="equal">
      <formula>"En cours"</formula>
    </cfRule>
  </conditionalFormatting>
  <conditionalFormatting sqref="AK65">
    <cfRule type="cellIs" dxfId="1136" priority="147424" stopIfTrue="1" operator="notEqual">
      <formula>"En cours"</formula>
    </cfRule>
  </conditionalFormatting>
  <conditionalFormatting sqref="AJ62">
    <cfRule type="cellIs" dxfId="1135" priority="147425" stopIfTrue="1" operator="equal">
      <formula>"En cours"</formula>
    </cfRule>
  </conditionalFormatting>
  <conditionalFormatting sqref="AJ62">
    <cfRule type="cellIs" dxfId="1134" priority="147426" stopIfTrue="1" operator="notEqual">
      <formula>"En cours"</formula>
    </cfRule>
  </conditionalFormatting>
  <conditionalFormatting sqref="AK62">
    <cfRule type="cellIs" dxfId="1133" priority="147427" stopIfTrue="1" operator="equal">
      <formula>"En cours"</formula>
    </cfRule>
  </conditionalFormatting>
  <conditionalFormatting sqref="AK62">
    <cfRule type="cellIs" dxfId="1132" priority="147428" stopIfTrue="1" operator="notEqual">
      <formula>"En cours"</formula>
    </cfRule>
  </conditionalFormatting>
  <conditionalFormatting sqref="AJ64">
    <cfRule type="cellIs" dxfId="1131" priority="147429" stopIfTrue="1" operator="equal">
      <formula>"En cours"</formula>
    </cfRule>
  </conditionalFormatting>
  <conditionalFormatting sqref="AJ64">
    <cfRule type="cellIs" dxfId="1130" priority="147430" stopIfTrue="1" operator="notEqual">
      <formula>"En cours"</formula>
    </cfRule>
  </conditionalFormatting>
  <conditionalFormatting sqref="AK64">
    <cfRule type="cellIs" dxfId="1129" priority="147431" stopIfTrue="1" operator="equal">
      <formula>"En cours"</formula>
    </cfRule>
  </conditionalFormatting>
  <conditionalFormatting sqref="AK64">
    <cfRule type="cellIs" dxfId="1128" priority="147432" stopIfTrue="1" operator="notEqual">
      <formula>"En cours"</formula>
    </cfRule>
  </conditionalFormatting>
  <conditionalFormatting sqref="AJ72">
    <cfRule type="cellIs" dxfId="1127" priority="147433" stopIfTrue="1" operator="equal">
      <formula>"En cours"</formula>
    </cfRule>
  </conditionalFormatting>
  <conditionalFormatting sqref="AJ72">
    <cfRule type="cellIs" dxfId="1126" priority="147434" stopIfTrue="1" operator="notEqual">
      <formula>"En cours"</formula>
    </cfRule>
  </conditionalFormatting>
  <conditionalFormatting sqref="AK72">
    <cfRule type="cellIs" dxfId="1125" priority="147435" stopIfTrue="1" operator="equal">
      <formula>"En cours"</formula>
    </cfRule>
  </conditionalFormatting>
  <conditionalFormatting sqref="AK72">
    <cfRule type="cellIs" dxfId="1124" priority="147436" stopIfTrue="1" operator="notEqual">
      <formula>"En cours"</formula>
    </cfRule>
  </conditionalFormatting>
  <conditionalFormatting sqref="AJ61">
    <cfRule type="cellIs" dxfId="1123" priority="147437" stopIfTrue="1" operator="equal">
      <formula>"En cours"</formula>
    </cfRule>
  </conditionalFormatting>
  <conditionalFormatting sqref="AJ61">
    <cfRule type="cellIs" dxfId="1122" priority="147438" stopIfTrue="1" operator="notEqual">
      <formula>"En cours"</formula>
    </cfRule>
  </conditionalFormatting>
  <conditionalFormatting sqref="AK61">
    <cfRule type="cellIs" dxfId="1121" priority="147439" stopIfTrue="1" operator="equal">
      <formula>"En cours"</formula>
    </cfRule>
  </conditionalFormatting>
  <conditionalFormatting sqref="AK61">
    <cfRule type="cellIs" dxfId="1120" priority="147440" stopIfTrue="1" operator="notEqual">
      <formula>"En cours"</formula>
    </cfRule>
  </conditionalFormatting>
  <conditionalFormatting sqref="AJ68">
    <cfRule type="cellIs" dxfId="1119" priority="147441" stopIfTrue="1" operator="equal">
      <formula>"En cours"</formula>
    </cfRule>
  </conditionalFormatting>
  <conditionalFormatting sqref="AJ68">
    <cfRule type="cellIs" dxfId="1118" priority="147442" stopIfTrue="1" operator="notEqual">
      <formula>"En cours"</formula>
    </cfRule>
  </conditionalFormatting>
  <conditionalFormatting sqref="AK68">
    <cfRule type="cellIs" dxfId="1117" priority="147443" stopIfTrue="1" operator="equal">
      <formula>"En cours"</formula>
    </cfRule>
  </conditionalFormatting>
  <conditionalFormatting sqref="AK68">
    <cfRule type="cellIs" dxfId="1116" priority="147444" stopIfTrue="1" operator="notEqual">
      <formula>"En cours"</formula>
    </cfRule>
  </conditionalFormatting>
  <conditionalFormatting sqref="AJ69">
    <cfRule type="cellIs" dxfId="1115" priority="147445" stopIfTrue="1" operator="equal">
      <formula>"En cours"</formula>
    </cfRule>
  </conditionalFormatting>
  <conditionalFormatting sqref="AJ69">
    <cfRule type="cellIs" dxfId="1114" priority="147446" stopIfTrue="1" operator="notEqual">
      <formula>"En cours"</formula>
    </cfRule>
  </conditionalFormatting>
  <conditionalFormatting sqref="AK69">
    <cfRule type="cellIs" dxfId="1113" priority="147447" stopIfTrue="1" operator="equal">
      <formula>"En cours"</formula>
    </cfRule>
  </conditionalFormatting>
  <conditionalFormatting sqref="AK69">
    <cfRule type="cellIs" dxfId="1112" priority="147448" stopIfTrue="1" operator="notEqual">
      <formula>"En cours"</formula>
    </cfRule>
  </conditionalFormatting>
  <conditionalFormatting sqref="AJ63">
    <cfRule type="cellIs" dxfId="1111" priority="147449" stopIfTrue="1" operator="equal">
      <formula>"En cours"</formula>
    </cfRule>
  </conditionalFormatting>
  <conditionalFormatting sqref="AJ63">
    <cfRule type="cellIs" dxfId="1110" priority="147450" stopIfTrue="1" operator="notEqual">
      <formula>"En cours"</formula>
    </cfRule>
  </conditionalFormatting>
  <conditionalFormatting sqref="AK63">
    <cfRule type="cellIs" dxfId="1109" priority="147451" stopIfTrue="1" operator="equal">
      <formula>"En cours"</formula>
    </cfRule>
  </conditionalFormatting>
  <conditionalFormatting sqref="AK63">
    <cfRule type="cellIs" dxfId="1108" priority="147452" stopIfTrue="1" operator="notEqual">
      <formula>"En cours"</formula>
    </cfRule>
  </conditionalFormatting>
  <conditionalFormatting sqref="AJ71">
    <cfRule type="cellIs" dxfId="1107" priority="147453" stopIfTrue="1" operator="equal">
      <formula>"En cours"</formula>
    </cfRule>
  </conditionalFormatting>
  <conditionalFormatting sqref="AJ71">
    <cfRule type="cellIs" dxfId="1106" priority="147454" stopIfTrue="1" operator="notEqual">
      <formula>"En cours"</formula>
    </cfRule>
  </conditionalFormatting>
  <conditionalFormatting sqref="AK71">
    <cfRule type="cellIs" dxfId="1105" priority="147455" stopIfTrue="1" operator="equal">
      <formula>"En cours"</formula>
    </cfRule>
  </conditionalFormatting>
  <conditionalFormatting sqref="AK71">
    <cfRule type="cellIs" dxfId="1104" priority="147456" stopIfTrue="1" operator="notEqual">
      <formula>"En cours"</formula>
    </cfRule>
  </conditionalFormatting>
  <conditionalFormatting sqref="AJ73">
    <cfRule type="cellIs" dxfId="1103" priority="147457" stopIfTrue="1" operator="equal">
      <formula>"En cours"</formula>
    </cfRule>
  </conditionalFormatting>
  <conditionalFormatting sqref="AJ73">
    <cfRule type="cellIs" dxfId="1102" priority="147458" stopIfTrue="1" operator="notEqual">
      <formula>"En cours"</formula>
    </cfRule>
  </conditionalFormatting>
  <conditionalFormatting sqref="AK73">
    <cfRule type="cellIs" dxfId="1101" priority="147459" stopIfTrue="1" operator="equal">
      <formula>"En cours"</formula>
    </cfRule>
  </conditionalFormatting>
  <conditionalFormatting sqref="AK73">
    <cfRule type="cellIs" dxfId="1100" priority="147460" stopIfTrue="1" operator="notEqual">
      <formula>"En cours"</formula>
    </cfRule>
  </conditionalFormatting>
  <conditionalFormatting sqref="AJ76">
    <cfRule type="cellIs" dxfId="1099" priority="147461" stopIfTrue="1" operator="equal">
      <formula>"En cours"</formula>
    </cfRule>
  </conditionalFormatting>
  <conditionalFormatting sqref="AJ76">
    <cfRule type="cellIs" dxfId="1098" priority="147462" stopIfTrue="1" operator="notEqual">
      <formula>"En cours"</formula>
    </cfRule>
  </conditionalFormatting>
  <conditionalFormatting sqref="AK76">
    <cfRule type="cellIs" dxfId="1097" priority="147463" stopIfTrue="1" operator="equal">
      <formula>"En cours"</formula>
    </cfRule>
  </conditionalFormatting>
  <conditionalFormatting sqref="AK76">
    <cfRule type="cellIs" dxfId="1096" priority="147464" stopIfTrue="1" operator="notEqual">
      <formula>"En cours"</formula>
    </cfRule>
  </conditionalFormatting>
  <conditionalFormatting sqref="AJ74">
    <cfRule type="cellIs" dxfId="1095" priority="147465" stopIfTrue="1" operator="equal">
      <formula>"En cours"</formula>
    </cfRule>
  </conditionalFormatting>
  <conditionalFormatting sqref="AJ74">
    <cfRule type="cellIs" dxfId="1094" priority="147466" stopIfTrue="1" operator="notEqual">
      <formula>"En cours"</formula>
    </cfRule>
  </conditionalFormatting>
  <conditionalFormatting sqref="AK74">
    <cfRule type="cellIs" dxfId="1093" priority="147467" stopIfTrue="1" operator="equal">
      <formula>"En cours"</formula>
    </cfRule>
  </conditionalFormatting>
  <conditionalFormatting sqref="AK74">
    <cfRule type="cellIs" dxfId="1092" priority="147468" stopIfTrue="1" operator="notEqual">
      <formula>"En cours"</formula>
    </cfRule>
  </conditionalFormatting>
  <conditionalFormatting sqref="AJ75">
    <cfRule type="cellIs" dxfId="1091" priority="147469" stopIfTrue="1" operator="equal">
      <formula>"En cours"</formula>
    </cfRule>
  </conditionalFormatting>
  <conditionalFormatting sqref="AJ75">
    <cfRule type="cellIs" dxfId="1090" priority="147470" stopIfTrue="1" operator="notEqual">
      <formula>"En cours"</formula>
    </cfRule>
  </conditionalFormatting>
  <conditionalFormatting sqref="AK75">
    <cfRule type="cellIs" dxfId="1089" priority="147471" stopIfTrue="1" operator="equal">
      <formula>"En cours"</formula>
    </cfRule>
  </conditionalFormatting>
  <conditionalFormatting sqref="AK75">
    <cfRule type="cellIs" dxfId="1088" priority="147472" stopIfTrue="1" operator="notEqual">
      <formula>"En cours"</formula>
    </cfRule>
  </conditionalFormatting>
  <conditionalFormatting sqref="AJ77">
    <cfRule type="cellIs" dxfId="1087" priority="147473" stopIfTrue="1" operator="equal">
      <formula>"En cours"</formula>
    </cfRule>
  </conditionalFormatting>
  <conditionalFormatting sqref="AJ77">
    <cfRule type="cellIs" dxfId="1086" priority="147474" stopIfTrue="1" operator="notEqual">
      <formula>"En cours"</formula>
    </cfRule>
  </conditionalFormatting>
  <conditionalFormatting sqref="AK77">
    <cfRule type="cellIs" dxfId="1085" priority="147475" stopIfTrue="1" operator="equal">
      <formula>"En cours"</formula>
    </cfRule>
  </conditionalFormatting>
  <conditionalFormatting sqref="AK77">
    <cfRule type="cellIs" dxfId="1084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8" t="s">
        <v>18</v>
      </c>
      <c r="G2" s="199"/>
      <c r="H2" s="199"/>
      <c r="I2" s="200"/>
      <c r="J2" s="201" t="s">
        <v>19</v>
      </c>
      <c r="K2" s="202"/>
      <c r="L2" s="202"/>
      <c r="M2" s="203"/>
      <c r="N2" s="204" t="s">
        <v>20</v>
      </c>
      <c r="O2" s="199"/>
      <c r="P2" s="199"/>
      <c r="Q2" s="200"/>
      <c r="R2" s="201" t="s">
        <v>21</v>
      </c>
      <c r="S2" s="202"/>
      <c r="T2" s="202"/>
      <c r="U2" s="203"/>
      <c r="V2" s="204" t="s">
        <v>22</v>
      </c>
      <c r="W2" s="199"/>
      <c r="X2" s="199"/>
      <c r="Y2" s="200"/>
      <c r="Z2" s="201" t="s">
        <v>23</v>
      </c>
      <c r="AA2" s="202"/>
      <c r="AB2" s="202"/>
      <c r="AC2" s="205"/>
      <c r="AD2" s="191" t="s">
        <v>24</v>
      </c>
      <c r="AE2" s="192"/>
      <c r="AF2" s="193" t="s">
        <v>17</v>
      </c>
      <c r="AG2" s="194"/>
      <c r="AH2" s="194"/>
      <c r="AI2" s="195"/>
      <c r="AJ2" s="196" t="s">
        <v>25</v>
      </c>
      <c r="AK2" s="197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>IF(MIN(F4,J4,N4,R4,V4,Z4)&lt;&gt;0,MIN(F4,J4,N4,R4,V4,Z4),"")</f>
        <v/>
      </c>
      <c r="AE4" s="163" t="str">
        <f>IF(MIN(H4,L4,P4,T4,X4,AB4)&lt;&gt;0,MIN(H4,L4,P4,T4,X4,AB4),"")</f>
        <v/>
      </c>
      <c r="AF4" s="163"/>
      <c r="AG4" s="162"/>
      <c r="AH4" s="163"/>
      <c r="AI4" s="162"/>
      <c r="AJ4" s="161" t="str">
        <f>IF(AD4="","",IF(ISBLANK(AF4),"En cours",AD4+AF4))</f>
        <v/>
      </c>
      <c r="AK4" s="161" t="str">
        <f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>IF(MIN(F5,J5,N5,R5,V5,Z5)&lt;&gt;0,MIN(F5,J5,N5,R5,V5,Z5),"")</f>
        <v/>
      </c>
      <c r="AE5" s="163" t="str">
        <f>IF(MIN(H5,L5,P5,T5,X5,AB5)&lt;&gt;0,MIN(H5,L5,P5,T5,X5,AB5),"")</f>
        <v/>
      </c>
      <c r="AF5" s="163"/>
      <c r="AG5" s="162"/>
      <c r="AH5" s="163"/>
      <c r="AI5" s="162"/>
      <c r="AJ5" s="161" t="str">
        <f>IF(AD5="","",IF(ISBLANK(AF5),"En cours",AD5+AF5))</f>
        <v/>
      </c>
      <c r="AK5" s="161" t="str">
        <f>IF(AE5="","",IF(ISBLANK(AH5),"En cours",AE5+AH5))</f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>IF(MIN(F6,J6,N6,R6,V6,Z6)&lt;&gt;0,MIN(F6,J6,N6,R6,V6,Z6),"")</f>
        <v/>
      </c>
      <c r="AE6" s="163" t="str">
        <f>IF(MIN(H6,L6,P6,T6,X6,AB6)&lt;&gt;0,MIN(H6,L6,P6,T6,X6,AB6),"")</f>
        <v/>
      </c>
      <c r="AF6" s="163"/>
      <c r="AG6" s="162"/>
      <c r="AH6" s="163"/>
      <c r="AI6" s="162"/>
      <c r="AJ6" s="161" t="str">
        <f>IF(AD6="","",IF(ISBLANK(AF6),"En cours",AD6+AF6))</f>
        <v/>
      </c>
      <c r="AK6" s="161" t="str">
        <f>IF(AE6="","",IF(ISBLANK(AH6),"En cours",AE6+AH6))</f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>IF(MIN(F7,J7,N7,R7,V7,Z7)&lt;&gt;0,MIN(F7,J7,N7,R7,V7,Z7),"")</f>
        <v/>
      </c>
      <c r="AE7" s="163" t="str">
        <f>IF(MIN(H7,L7,P7,T7,X7,AB7)&lt;&gt;0,MIN(H7,L7,P7,T7,X7,AB7),"")</f>
        <v/>
      </c>
      <c r="AF7" s="163"/>
      <c r="AG7" s="162"/>
      <c r="AH7" s="163"/>
      <c r="AI7" s="162"/>
      <c r="AJ7" s="161" t="str">
        <f>IF(AD7="","",IF(ISBLANK(AF7),"En cours",AD7+AF7))</f>
        <v/>
      </c>
      <c r="AK7" s="161" t="str">
        <f>IF(AE7="","",IF(ISBLANK(AH7),"En cours",AE7+AH7))</f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>IF(MIN(F8,J8,N8,R8,V8,Z8)&lt;&gt;0,MIN(F8,J8,N8,R8,V8,Z8),"")</f>
        <v/>
      </c>
      <c r="AE8" s="163" t="str">
        <f>IF(MIN(H8,L8,P8,T8,X8,AB8)&lt;&gt;0,MIN(H8,L8,P8,T8,X8,AB8),"")</f>
        <v/>
      </c>
      <c r="AF8" s="163"/>
      <c r="AG8" s="162"/>
      <c r="AH8" s="163"/>
      <c r="AI8" s="162"/>
      <c r="AJ8" s="161" t="str">
        <f>IF(AD8="","",IF(ISBLANK(AF8),"En cours",AD8+AF8))</f>
        <v/>
      </c>
      <c r="AK8" s="161" t="str">
        <f>IF(AE8="","",IF(ISBLANK(AH8),"En cours",AE8+AH8))</f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>IF(MIN(F9,J9,N9,R9,V9,Z9)&lt;&gt;0,MIN(F9,J9,N9,R9,V9,Z9),"")</f>
        <v/>
      </c>
      <c r="AE9" s="163" t="str">
        <f>IF(MIN(H9,L9,P9,T9,X9,AB9)&lt;&gt;0,MIN(H9,L9,P9,T9,X9,AB9),"")</f>
        <v/>
      </c>
      <c r="AF9" s="163"/>
      <c r="AG9" s="162"/>
      <c r="AH9" s="163"/>
      <c r="AI9" s="162"/>
      <c r="AJ9" s="161" t="str">
        <f>IF(AD9="","",IF(ISBLANK(AF9),"En cours",AD9+AF9))</f>
        <v/>
      </c>
      <c r="AK9" s="161" t="str">
        <f>IF(AE9="","",IF(ISBLANK(AH9),"En cours",AE9+AH9))</f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>IF(MIN(F10,J10,N10,R10,V10,Z10)&lt;&gt;0,MIN(F10,J10,N10,R10,V10,Z10),"")</f>
        <v/>
      </c>
      <c r="AE10" s="163" t="str">
        <f>IF(MIN(H10,L10,P10,T10,X10,AB10)&lt;&gt;0,MIN(H10,L10,P10,T10,X10,AB10),"")</f>
        <v/>
      </c>
      <c r="AF10" s="163"/>
      <c r="AG10" s="162"/>
      <c r="AH10" s="163"/>
      <c r="AI10" s="162"/>
      <c r="AJ10" s="161" t="str">
        <f>IF(AD10="","",IF(ISBLANK(AF10),"En cours",AD10+AF10))</f>
        <v/>
      </c>
      <c r="AK10" s="161" t="str">
        <f>IF(AE10="","",IF(ISBLANK(AH10),"En cours",AE10+AH10))</f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>IF(MIN(F11,J11,N11,R11,V11,Z11)&lt;&gt;0,MIN(F11,J11,N11,R11,V11,Z11),"")</f>
        <v/>
      </c>
      <c r="AE11" s="163" t="str">
        <f>IF(MIN(H11,L11,P11,T11,X11,AB11)&lt;&gt;0,MIN(H11,L11,P11,T11,X11,AB11),"")</f>
        <v/>
      </c>
      <c r="AF11" s="163"/>
      <c r="AG11" s="162"/>
      <c r="AH11" s="163"/>
      <c r="AI11" s="162"/>
      <c r="AJ11" s="161" t="str">
        <f>IF(AD11="","",IF(ISBLANK(AF11),"En cours",AD11+AF11))</f>
        <v/>
      </c>
      <c r="AK11" s="161" t="str">
        <f>IF(AE11="","",IF(ISBLANK(AH11),"En cours",AE11+AH11))</f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>IF(MIN(F12,J12,N12,R12,V12,Z12)&lt;&gt;0,MIN(F12,J12,N12,R12,V12,Z12),"")</f>
        <v/>
      </c>
      <c r="AE12" s="163" t="str">
        <f>IF(MIN(H12,L12,P12,T12,X12,AB12)&lt;&gt;0,MIN(H12,L12,P12,T12,X12,AB12),"")</f>
        <v/>
      </c>
      <c r="AF12" s="163"/>
      <c r="AG12" s="162"/>
      <c r="AH12" s="163"/>
      <c r="AI12" s="162"/>
      <c r="AJ12" s="161" t="str">
        <f>IF(AD12="","",IF(ISBLANK(AF12),"En cours",AD12+AF12))</f>
        <v/>
      </c>
      <c r="AK12" s="161" t="str">
        <f>IF(AE12="","",IF(ISBLANK(AH12),"En cours",AE12+AH12))</f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>IF(MIN(F13,J13,N13,R13,V13,Z13)&lt;&gt;0,MIN(F13,J13,N13,R13,V13,Z13),"")</f>
        <v/>
      </c>
      <c r="AE13" s="163" t="str">
        <f>IF(MIN(H13,L13,P13,T13,X13,AB13)&lt;&gt;0,MIN(H13,L13,P13,T13,X13,AB13),"")</f>
        <v/>
      </c>
      <c r="AF13" s="163"/>
      <c r="AG13" s="162"/>
      <c r="AH13" s="163"/>
      <c r="AI13" s="162"/>
      <c r="AJ13" s="161" t="str">
        <f>IF(AD13="","",IF(ISBLANK(AF13),"En cours",AD13+AF13))</f>
        <v/>
      </c>
      <c r="AK13" s="161" t="str">
        <f>IF(AE13="","",IF(ISBLANK(AH13),"En cours",AE13+AH13))</f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>IF(MIN(F14,J14,N14,R14,V14,Z14)&lt;&gt;0,MIN(F14,J14,N14,R14,V14,Z14),"")</f>
        <v/>
      </c>
      <c r="AE14" s="163" t="str">
        <f>IF(MIN(H14,L14,P14,T14,X14,AB14)&lt;&gt;0,MIN(H14,L14,P14,T14,X14,AB14),"")</f>
        <v/>
      </c>
      <c r="AF14" s="163"/>
      <c r="AG14" s="162"/>
      <c r="AH14" s="163"/>
      <c r="AI14" s="162"/>
      <c r="AJ14" s="161" t="str">
        <f>IF(AD14="","",IF(ISBLANK(AF14),"En cours",AD14+AF14))</f>
        <v/>
      </c>
      <c r="AK14" s="161" t="str">
        <f>IF(AE14="","",IF(ISBLANK(AH14),"En cours",AE14+AH14))</f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>IF(MIN(F15,J15,N15,R15,V15,Z15)&lt;&gt;0,MIN(F15,J15,N15,R15,V15,Z15),"")</f>
        <v/>
      </c>
      <c r="AE15" s="163" t="str">
        <f>IF(MIN(H15,L15,P15,T15,X15,AB15)&lt;&gt;0,MIN(H15,L15,P15,T15,X15,AB15),"")</f>
        <v/>
      </c>
      <c r="AF15" s="163"/>
      <c r="AG15" s="162"/>
      <c r="AH15" s="163"/>
      <c r="AI15" s="162"/>
      <c r="AJ15" s="161" t="str">
        <f>IF(AD15="","",IF(ISBLANK(AF15),"En cours",AD15+AF15))</f>
        <v/>
      </c>
      <c r="AK15" s="161" t="str">
        <f>IF(AE15="","",IF(ISBLANK(AH15),"En cours",AE15+AH15))</f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>IF(MIN(F16,J16,N16,R16,V16,Z16)&lt;&gt;0,MIN(F16,J16,N16,R16,V16,Z16),"")</f>
        <v/>
      </c>
      <c r="AE16" s="163" t="str">
        <f>IF(MIN(H16,L16,P16,T16,X16,AB16)&lt;&gt;0,MIN(H16,L16,P16,T16,X16,AB16),"")</f>
        <v/>
      </c>
      <c r="AF16" s="163"/>
      <c r="AG16" s="162"/>
      <c r="AH16" s="163"/>
      <c r="AI16" s="162"/>
      <c r="AJ16" s="161" t="str">
        <f>IF(AD16="","",IF(ISBLANK(AF16),"En cours",AD16+AF16))</f>
        <v/>
      </c>
      <c r="AK16" s="161" t="str">
        <f>IF(AE16="","",IF(ISBLANK(AH16),"En cours",AE16+AH16))</f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>IF(MIN(F17,J17,N17,R17,V17,Z17)&lt;&gt;0,MIN(F17,J17,N17,R17,V17,Z17),"")</f>
        <v/>
      </c>
      <c r="AE17" s="163" t="str">
        <f>IF(MIN(H17,L17,P17,T17,X17,AB17)&lt;&gt;0,MIN(H17,L17,P17,T17,X17,AB17),"")</f>
        <v/>
      </c>
      <c r="AF17" s="163"/>
      <c r="AG17" s="162"/>
      <c r="AH17" s="163"/>
      <c r="AI17" s="162"/>
      <c r="AJ17" s="161" t="str">
        <f>IF(AD17="","",IF(ISBLANK(AF17),"En cours",AD17+AF17))</f>
        <v/>
      </c>
      <c r="AK17" s="161" t="str">
        <f>IF(AE17="","",IF(ISBLANK(AH17),"En cours",AE17+AH17))</f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>IF(MIN(F18,J18,N18,R18,V18,Z18)&lt;&gt;0,MIN(F18,J18,N18,R18,V18,Z18),"")</f>
        <v/>
      </c>
      <c r="AE18" s="163" t="str">
        <f>IF(MIN(H18,L18,P18,T18,X18,AB18)&lt;&gt;0,MIN(H18,L18,P18,T18,X18,AB18),"")</f>
        <v/>
      </c>
      <c r="AF18" s="163"/>
      <c r="AG18" s="162"/>
      <c r="AH18" s="163"/>
      <c r="AI18" s="162"/>
      <c r="AJ18" s="161" t="str">
        <f>IF(AD18="","",IF(ISBLANK(AF18),"En cours",AD18+AF18))</f>
        <v/>
      </c>
      <c r="AK18" s="161" t="str">
        <f>IF(AE18="","",IF(ISBLANK(AH18),"En cours",AE18+AH18))</f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>IF(MIN(F19,J19,N19,R19,V19,Z19)&lt;&gt;0,MIN(F19,J19,N19,R19,V19,Z19),"")</f>
        <v/>
      </c>
      <c r="AE19" s="163" t="str">
        <f>IF(MIN(H19,L19,P19,T19,X19,AB19)&lt;&gt;0,MIN(H19,L19,P19,T19,X19,AB19),"")</f>
        <v/>
      </c>
      <c r="AF19" s="163"/>
      <c r="AG19" s="162"/>
      <c r="AH19" s="163"/>
      <c r="AI19" s="162"/>
      <c r="AJ19" s="161" t="str">
        <f>IF(AD19="","",IF(ISBLANK(AF19),"En cours",AD19+AF19))</f>
        <v/>
      </c>
      <c r="AK19" s="161" t="str">
        <f>IF(AE19="","",IF(ISBLANK(AH19),"En cours",AE19+AH19))</f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>IF(MIN(F20,J20,N20,R20,V20,Z20)&lt;&gt;0,MIN(F20,J20,N20,R20,V20,Z20),"")</f>
        <v/>
      </c>
      <c r="AE20" s="163" t="str">
        <f>IF(MIN(H20,L20,P20,T20,X20,AB20)&lt;&gt;0,MIN(H20,L20,P20,T20,X20,AB20),"")</f>
        <v/>
      </c>
      <c r="AF20" s="163"/>
      <c r="AG20" s="162"/>
      <c r="AH20" s="163"/>
      <c r="AI20" s="162"/>
      <c r="AJ20" s="161" t="str">
        <f>IF(AD20="","",IF(ISBLANK(AF20),"En cours",AD20+AF20))</f>
        <v/>
      </c>
      <c r="AK20" s="161" t="str">
        <f>IF(AE20="","",IF(ISBLANK(AH20),"En cours",AE20+AH20))</f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4:AD67" si="0">IF(MIN(F21,J21,N21,R21,V21,Z21)&lt;&gt;0,MIN(F21,J21,N21,R21,V21,Z21),"")</f>
        <v/>
      </c>
      <c r="AE21" s="163" t="str">
        <f t="shared" ref="AE4:AE67" si="1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4:AJ67" si="2">IF(AD21="","",IF(ISBLANK(AF21),"En cours",AD21+AF21))</f>
        <v/>
      </c>
      <c r="AK21" s="161" t="str">
        <f t="shared" ref="AK4:AK67" si="3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0"/>
        <v/>
      </c>
      <c r="AE34" s="129" t="str">
        <f t="shared" si="1"/>
        <v/>
      </c>
      <c r="AF34" s="129"/>
      <c r="AG34" s="128"/>
      <c r="AH34" s="129"/>
      <c r="AI34" s="128"/>
      <c r="AJ34" s="127" t="str">
        <f t="shared" si="2"/>
        <v/>
      </c>
      <c r="AK34" s="127" t="str">
        <f t="shared" si="3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0"/>
        <v/>
      </c>
      <c r="AE35" s="129" t="str">
        <f t="shared" si="1"/>
        <v/>
      </c>
      <c r="AF35" s="129"/>
      <c r="AG35" s="128"/>
      <c r="AH35" s="129"/>
      <c r="AI35" s="128"/>
      <c r="AJ35" s="127" t="str">
        <f t="shared" si="2"/>
        <v/>
      </c>
      <c r="AK35" s="127" t="str">
        <f t="shared" si="3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0"/>
        <v/>
      </c>
      <c r="AE36" s="126" t="str">
        <f t="shared" si="1"/>
        <v/>
      </c>
      <c r="AF36" s="126"/>
      <c r="AG36" s="125"/>
      <c r="AH36" s="126"/>
      <c r="AI36" s="125"/>
      <c r="AJ36" s="124" t="str">
        <f t="shared" si="2"/>
        <v/>
      </c>
      <c r="AK36" s="124" t="str">
        <f t="shared" si="3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0"/>
        <v/>
      </c>
      <c r="AE37" s="97" t="str">
        <f t="shared" si="1"/>
        <v/>
      </c>
      <c r="AF37" s="97"/>
      <c r="AG37" s="96"/>
      <c r="AH37" s="97"/>
      <c r="AI37" s="96"/>
      <c r="AJ37" s="98" t="str">
        <f t="shared" si="2"/>
        <v/>
      </c>
      <c r="AK37" s="99" t="str">
        <f t="shared" si="3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0"/>
        <v/>
      </c>
      <c r="AE38" s="97" t="str">
        <f t="shared" si="1"/>
        <v/>
      </c>
      <c r="AF38" s="97"/>
      <c r="AG38" s="96"/>
      <c r="AH38" s="97"/>
      <c r="AI38" s="96"/>
      <c r="AJ38" s="98" t="str">
        <f t="shared" si="2"/>
        <v/>
      </c>
      <c r="AK38" s="99" t="str">
        <f t="shared" si="3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0"/>
        <v/>
      </c>
      <c r="AE39" s="97" t="str">
        <f t="shared" si="1"/>
        <v/>
      </c>
      <c r="AF39" s="97"/>
      <c r="AG39" s="96"/>
      <c r="AH39" s="97"/>
      <c r="AI39" s="96"/>
      <c r="AJ39" s="98" t="str">
        <f t="shared" si="2"/>
        <v/>
      </c>
      <c r="AK39" s="99" t="str">
        <f t="shared" si="3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0"/>
        <v/>
      </c>
      <c r="AE40" s="97" t="str">
        <f t="shared" si="1"/>
        <v/>
      </c>
      <c r="AF40" s="97"/>
      <c r="AG40" s="96"/>
      <c r="AH40" s="97"/>
      <c r="AI40" s="96"/>
      <c r="AJ40" s="98" t="str">
        <f t="shared" si="2"/>
        <v/>
      </c>
      <c r="AK40" s="99" t="str">
        <f t="shared" si="3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0"/>
        <v/>
      </c>
      <c r="AE41" s="97" t="str">
        <f t="shared" si="1"/>
        <v/>
      </c>
      <c r="AF41" s="97"/>
      <c r="AG41" s="96"/>
      <c r="AH41" s="97"/>
      <c r="AI41" s="96"/>
      <c r="AJ41" s="98" t="str">
        <f t="shared" si="2"/>
        <v/>
      </c>
      <c r="AK41" s="99" t="str">
        <f t="shared" si="3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0"/>
        <v/>
      </c>
      <c r="AE42" s="97" t="str">
        <f t="shared" si="1"/>
        <v/>
      </c>
      <c r="AF42" s="97"/>
      <c r="AG42" s="96"/>
      <c r="AH42" s="97"/>
      <c r="AI42" s="96"/>
      <c r="AJ42" s="98" t="str">
        <f t="shared" si="2"/>
        <v/>
      </c>
      <c r="AK42" s="99" t="str">
        <f t="shared" si="3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0"/>
        <v/>
      </c>
      <c r="AE43" s="97" t="str">
        <f t="shared" si="1"/>
        <v/>
      </c>
      <c r="AF43" s="97"/>
      <c r="AG43" s="96"/>
      <c r="AH43" s="97"/>
      <c r="AI43" s="96"/>
      <c r="AJ43" s="98" t="str">
        <f t="shared" si="2"/>
        <v/>
      </c>
      <c r="AK43" s="99" t="str">
        <f t="shared" si="3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0"/>
        <v/>
      </c>
      <c r="AE44" s="97" t="str">
        <f t="shared" si="1"/>
        <v/>
      </c>
      <c r="AF44" s="97"/>
      <c r="AG44" s="96"/>
      <c r="AH44" s="97"/>
      <c r="AI44" s="96"/>
      <c r="AJ44" s="98" t="str">
        <f t="shared" si="2"/>
        <v/>
      </c>
      <c r="AK44" s="99" t="str">
        <f t="shared" si="3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0"/>
        <v/>
      </c>
      <c r="AE45" s="97" t="str">
        <f t="shared" si="1"/>
        <v/>
      </c>
      <c r="AF45" s="97"/>
      <c r="AG45" s="96"/>
      <c r="AH45" s="97"/>
      <c r="AI45" s="96"/>
      <c r="AJ45" s="98" t="str">
        <f t="shared" si="2"/>
        <v/>
      </c>
      <c r="AK45" s="99" t="str">
        <f t="shared" si="3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0"/>
        <v/>
      </c>
      <c r="AE46" s="97" t="str">
        <f t="shared" si="1"/>
        <v/>
      </c>
      <c r="AF46" s="97"/>
      <c r="AG46" s="96"/>
      <c r="AH46" s="97"/>
      <c r="AI46" s="96"/>
      <c r="AJ46" s="98" t="str">
        <f t="shared" si="2"/>
        <v/>
      </c>
      <c r="AK46" s="99" t="str">
        <f t="shared" si="3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0"/>
        <v/>
      </c>
      <c r="AE47" s="97" t="str">
        <f t="shared" si="1"/>
        <v/>
      </c>
      <c r="AF47" s="97"/>
      <c r="AG47" s="96"/>
      <c r="AH47" s="97"/>
      <c r="AI47" s="96"/>
      <c r="AJ47" s="98" t="str">
        <f t="shared" si="2"/>
        <v/>
      </c>
      <c r="AK47" s="99" t="str">
        <f t="shared" si="3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0"/>
        <v/>
      </c>
      <c r="AE48" s="76" t="str">
        <f t="shared" si="1"/>
        <v/>
      </c>
      <c r="AF48" s="77"/>
      <c r="AG48" s="73"/>
      <c r="AH48" s="77"/>
      <c r="AI48" s="73"/>
      <c r="AJ48" s="78" t="str">
        <f t="shared" si="2"/>
        <v/>
      </c>
      <c r="AK48" s="79" t="str">
        <f t="shared" si="3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0"/>
        <v/>
      </c>
      <c r="AE49" s="76" t="str">
        <f t="shared" si="1"/>
        <v/>
      </c>
      <c r="AF49" s="77"/>
      <c r="AG49" s="73"/>
      <c r="AH49" s="77"/>
      <c r="AI49" s="73"/>
      <c r="AJ49" s="78" t="str">
        <f t="shared" si="2"/>
        <v/>
      </c>
      <c r="AK49" s="79" t="str">
        <f t="shared" si="3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0"/>
        <v/>
      </c>
      <c r="AE50" s="76" t="str">
        <f t="shared" si="1"/>
        <v/>
      </c>
      <c r="AF50" s="77"/>
      <c r="AG50" s="73"/>
      <c r="AH50" s="77"/>
      <c r="AI50" s="73"/>
      <c r="AJ50" s="78" t="str">
        <f t="shared" si="2"/>
        <v/>
      </c>
      <c r="AK50" s="79" t="str">
        <f t="shared" si="3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0"/>
        <v/>
      </c>
      <c r="AE51" s="76" t="str">
        <f t="shared" si="1"/>
        <v/>
      </c>
      <c r="AF51" s="77"/>
      <c r="AG51" s="73"/>
      <c r="AH51" s="77"/>
      <c r="AI51" s="73"/>
      <c r="AJ51" s="78" t="str">
        <f t="shared" si="2"/>
        <v/>
      </c>
      <c r="AK51" s="79" t="str">
        <f t="shared" si="3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0"/>
        <v/>
      </c>
      <c r="AE52" s="76" t="str">
        <f t="shared" si="1"/>
        <v/>
      </c>
      <c r="AF52" s="77"/>
      <c r="AG52" s="73"/>
      <c r="AH52" s="77"/>
      <c r="AI52" s="73"/>
      <c r="AJ52" s="78" t="str">
        <f t="shared" si="2"/>
        <v/>
      </c>
      <c r="AK52" s="79" t="str">
        <f t="shared" si="3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0"/>
        <v/>
      </c>
      <c r="AE53" s="76" t="str">
        <f t="shared" si="1"/>
        <v/>
      </c>
      <c r="AF53" s="77"/>
      <c r="AG53" s="73"/>
      <c r="AH53" s="77"/>
      <c r="AI53" s="73"/>
      <c r="AJ53" s="78" t="str">
        <f t="shared" si="2"/>
        <v/>
      </c>
      <c r="AK53" s="79" t="str">
        <f t="shared" si="3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0"/>
        <v/>
      </c>
      <c r="AE54" s="76" t="str">
        <f t="shared" si="1"/>
        <v/>
      </c>
      <c r="AF54" s="77"/>
      <c r="AG54" s="73"/>
      <c r="AH54" s="77"/>
      <c r="AI54" s="73"/>
      <c r="AJ54" s="78" t="str">
        <f t="shared" si="2"/>
        <v/>
      </c>
      <c r="AK54" s="79" t="str">
        <f t="shared" si="3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0"/>
        <v/>
      </c>
      <c r="AE55" s="76" t="str">
        <f t="shared" si="1"/>
        <v/>
      </c>
      <c r="AF55" s="77"/>
      <c r="AG55" s="73"/>
      <c r="AH55" s="77"/>
      <c r="AI55" s="73"/>
      <c r="AJ55" s="78" t="str">
        <f t="shared" si="2"/>
        <v/>
      </c>
      <c r="AK55" s="79" t="str">
        <f t="shared" si="3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0"/>
        <v/>
      </c>
      <c r="AE56" s="76" t="str">
        <f t="shared" si="1"/>
        <v/>
      </c>
      <c r="AF56" s="77"/>
      <c r="AG56" s="73"/>
      <c r="AH56" s="77"/>
      <c r="AI56" s="73"/>
      <c r="AJ56" s="78" t="str">
        <f t="shared" si="2"/>
        <v/>
      </c>
      <c r="AK56" s="79" t="str">
        <f t="shared" si="3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0"/>
        <v/>
      </c>
      <c r="AE57" s="76" t="str">
        <f t="shared" si="1"/>
        <v/>
      </c>
      <c r="AF57" s="77"/>
      <c r="AG57" s="73"/>
      <c r="AH57" s="77"/>
      <c r="AI57" s="73"/>
      <c r="AJ57" s="78" t="str">
        <f t="shared" si="2"/>
        <v/>
      </c>
      <c r="AK57" s="79" t="str">
        <f t="shared" si="3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0"/>
        <v/>
      </c>
      <c r="AE58" s="76" t="str">
        <f t="shared" si="1"/>
        <v/>
      </c>
      <c r="AF58" s="77"/>
      <c r="AG58" s="73"/>
      <c r="AH58" s="77"/>
      <c r="AI58" s="73"/>
      <c r="AJ58" s="78" t="str">
        <f t="shared" si="2"/>
        <v/>
      </c>
      <c r="AK58" s="79" t="str">
        <f t="shared" si="3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0"/>
        <v/>
      </c>
      <c r="AE59" s="76" t="str">
        <f t="shared" si="1"/>
        <v/>
      </c>
      <c r="AF59" s="77"/>
      <c r="AG59" s="73"/>
      <c r="AH59" s="77"/>
      <c r="AI59" s="73"/>
      <c r="AJ59" s="78" t="str">
        <f t="shared" si="2"/>
        <v/>
      </c>
      <c r="AK59" s="79" t="str">
        <f t="shared" si="3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0"/>
        <v/>
      </c>
      <c r="AE60" s="76" t="str">
        <f t="shared" si="1"/>
        <v/>
      </c>
      <c r="AF60" s="77"/>
      <c r="AG60" s="73"/>
      <c r="AH60" s="77"/>
      <c r="AI60" s="73"/>
      <c r="AJ60" s="78" t="str">
        <f t="shared" si="2"/>
        <v/>
      </c>
      <c r="AK60" s="79" t="str">
        <f t="shared" si="3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0"/>
        <v/>
      </c>
      <c r="AE61" s="76" t="str">
        <f t="shared" si="1"/>
        <v/>
      </c>
      <c r="AF61" s="77"/>
      <c r="AG61" s="73"/>
      <c r="AH61" s="77"/>
      <c r="AI61" s="73"/>
      <c r="AJ61" s="78" t="str">
        <f t="shared" si="2"/>
        <v/>
      </c>
      <c r="AK61" s="79" t="str">
        <f t="shared" si="3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0"/>
        <v/>
      </c>
      <c r="AE62" s="76" t="str">
        <f t="shared" si="1"/>
        <v/>
      </c>
      <c r="AF62" s="77"/>
      <c r="AG62" s="73"/>
      <c r="AH62" s="77"/>
      <c r="AI62" s="73"/>
      <c r="AJ62" s="78" t="str">
        <f t="shared" si="2"/>
        <v/>
      </c>
      <c r="AK62" s="79" t="str">
        <f t="shared" si="3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0"/>
        <v/>
      </c>
      <c r="AE63" s="76" t="str">
        <f t="shared" si="1"/>
        <v/>
      </c>
      <c r="AF63" s="77"/>
      <c r="AG63" s="73"/>
      <c r="AH63" s="77"/>
      <c r="AI63" s="73"/>
      <c r="AJ63" s="78" t="str">
        <f t="shared" si="2"/>
        <v/>
      </c>
      <c r="AK63" s="79" t="str">
        <f t="shared" si="3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0"/>
        <v/>
      </c>
      <c r="AE64" s="76" t="str">
        <f t="shared" si="1"/>
        <v/>
      </c>
      <c r="AF64" s="77"/>
      <c r="AG64" s="73"/>
      <c r="AH64" s="77"/>
      <c r="AI64" s="73"/>
      <c r="AJ64" s="78" t="str">
        <f t="shared" si="2"/>
        <v/>
      </c>
      <c r="AK64" s="79" t="str">
        <f t="shared" si="3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0"/>
        <v/>
      </c>
      <c r="AE65" s="76" t="str">
        <f t="shared" si="1"/>
        <v/>
      </c>
      <c r="AF65" s="77"/>
      <c r="AG65" s="73"/>
      <c r="AH65" s="77"/>
      <c r="AI65" s="73"/>
      <c r="AJ65" s="78" t="str">
        <f t="shared" si="2"/>
        <v/>
      </c>
      <c r="AK65" s="79" t="str">
        <f t="shared" si="3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0"/>
        <v/>
      </c>
      <c r="AE66" s="76" t="str">
        <f t="shared" si="1"/>
        <v/>
      </c>
      <c r="AF66" s="77"/>
      <c r="AG66" s="73"/>
      <c r="AH66" s="77"/>
      <c r="AI66" s="73"/>
      <c r="AJ66" s="78" t="str">
        <f t="shared" si="2"/>
        <v/>
      </c>
      <c r="AK66" s="79" t="str">
        <f t="shared" si="3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0"/>
        <v/>
      </c>
      <c r="AE67" s="76" t="str">
        <f t="shared" si="1"/>
        <v/>
      </c>
      <c r="AF67" s="77"/>
      <c r="AG67" s="73"/>
      <c r="AH67" s="77"/>
      <c r="AI67" s="73"/>
      <c r="AJ67" s="78" t="str">
        <f t="shared" si="2"/>
        <v/>
      </c>
      <c r="AK67" s="79" t="str">
        <f t="shared" si="3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4">IF(MIN(F68,J68,N68,R68,V68,Z68)&lt;&gt;0,MIN(F68,J68,N68,R68,V68,Z68),"")</f>
        <v/>
      </c>
      <c r="AE68" s="76" t="str">
        <f t="shared" ref="AE68:AE131" si="5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6">IF(AD68="","",IF(ISBLANK(AF68),"En cours",AD68+AF68))</f>
        <v/>
      </c>
      <c r="AK68" s="79" t="str">
        <f t="shared" ref="AK68:AK131" si="7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4"/>
        <v/>
      </c>
      <c r="AE69" s="76" t="str">
        <f t="shared" si="5"/>
        <v/>
      </c>
      <c r="AF69" s="77"/>
      <c r="AG69" s="73"/>
      <c r="AH69" s="77"/>
      <c r="AI69" s="73"/>
      <c r="AJ69" s="78" t="str">
        <f t="shared" si="6"/>
        <v/>
      </c>
      <c r="AK69" s="79" t="str">
        <f t="shared" si="7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4"/>
        <v/>
      </c>
      <c r="AE70" s="76" t="str">
        <f t="shared" si="5"/>
        <v/>
      </c>
      <c r="AF70" s="77"/>
      <c r="AG70" s="73"/>
      <c r="AH70" s="77"/>
      <c r="AI70" s="73"/>
      <c r="AJ70" s="78" t="str">
        <f t="shared" si="6"/>
        <v/>
      </c>
      <c r="AK70" s="79" t="str">
        <f t="shared" si="7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4"/>
        <v/>
      </c>
      <c r="AE71" s="76" t="str">
        <f t="shared" si="5"/>
        <v/>
      </c>
      <c r="AF71" s="77"/>
      <c r="AG71" s="73"/>
      <c r="AH71" s="77"/>
      <c r="AI71" s="73"/>
      <c r="AJ71" s="78" t="str">
        <f t="shared" si="6"/>
        <v/>
      </c>
      <c r="AK71" s="79" t="str">
        <f t="shared" si="7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4"/>
        <v/>
      </c>
      <c r="AE72" s="76" t="str">
        <f t="shared" si="5"/>
        <v/>
      </c>
      <c r="AF72" s="77"/>
      <c r="AG72" s="73"/>
      <c r="AH72" s="77"/>
      <c r="AI72" s="73"/>
      <c r="AJ72" s="78" t="str">
        <f t="shared" si="6"/>
        <v/>
      </c>
      <c r="AK72" s="79" t="str">
        <f t="shared" si="7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4"/>
        <v/>
      </c>
      <c r="AE73" s="76" t="str">
        <f t="shared" si="5"/>
        <v/>
      </c>
      <c r="AF73" s="77"/>
      <c r="AG73" s="73"/>
      <c r="AH73" s="77"/>
      <c r="AI73" s="73"/>
      <c r="AJ73" s="78" t="str">
        <f t="shared" si="6"/>
        <v/>
      </c>
      <c r="AK73" s="79" t="str">
        <f t="shared" si="7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4"/>
        <v/>
      </c>
      <c r="AE74" s="76" t="str">
        <f t="shared" si="5"/>
        <v/>
      </c>
      <c r="AF74" s="77"/>
      <c r="AG74" s="73"/>
      <c r="AH74" s="77"/>
      <c r="AI74" s="73"/>
      <c r="AJ74" s="78" t="str">
        <f t="shared" si="6"/>
        <v/>
      </c>
      <c r="AK74" s="79" t="str">
        <f t="shared" si="7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4"/>
        <v/>
      </c>
      <c r="AE75" s="76" t="str">
        <f t="shared" si="5"/>
        <v/>
      </c>
      <c r="AF75" s="77"/>
      <c r="AG75" s="73"/>
      <c r="AH75" s="77"/>
      <c r="AI75" s="73"/>
      <c r="AJ75" s="78" t="str">
        <f t="shared" si="6"/>
        <v/>
      </c>
      <c r="AK75" s="79" t="str">
        <f t="shared" si="7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4"/>
        <v/>
      </c>
      <c r="AE76" s="76" t="str">
        <f t="shared" si="5"/>
        <v/>
      </c>
      <c r="AF76" s="77"/>
      <c r="AG76" s="73"/>
      <c r="AH76" s="77"/>
      <c r="AI76" s="73"/>
      <c r="AJ76" s="78" t="str">
        <f t="shared" si="6"/>
        <v/>
      </c>
      <c r="AK76" s="79" t="str">
        <f t="shared" si="7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4"/>
        <v/>
      </c>
      <c r="AE77" s="76" t="str">
        <f t="shared" si="5"/>
        <v/>
      </c>
      <c r="AF77" s="77"/>
      <c r="AG77" s="73"/>
      <c r="AH77" s="77"/>
      <c r="AI77" s="73"/>
      <c r="AJ77" s="78" t="str">
        <f t="shared" si="6"/>
        <v/>
      </c>
      <c r="AK77" s="79" t="str">
        <f t="shared" si="7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4"/>
        <v/>
      </c>
      <c r="AE78" s="76" t="str">
        <f t="shared" si="5"/>
        <v/>
      </c>
      <c r="AF78" s="77"/>
      <c r="AG78" s="73"/>
      <c r="AH78" s="77"/>
      <c r="AI78" s="73"/>
      <c r="AJ78" s="78" t="str">
        <f t="shared" si="6"/>
        <v/>
      </c>
      <c r="AK78" s="79" t="str">
        <f t="shared" si="7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4"/>
        <v/>
      </c>
      <c r="AE79" s="76" t="str">
        <f t="shared" si="5"/>
        <v/>
      </c>
      <c r="AF79" s="77"/>
      <c r="AG79" s="73"/>
      <c r="AH79" s="77"/>
      <c r="AI79" s="73"/>
      <c r="AJ79" s="78" t="str">
        <f t="shared" si="6"/>
        <v/>
      </c>
      <c r="AK79" s="79" t="str">
        <f t="shared" si="7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4"/>
        <v/>
      </c>
      <c r="AE80" s="76" t="str">
        <f t="shared" si="5"/>
        <v/>
      </c>
      <c r="AF80" s="77"/>
      <c r="AG80" s="73"/>
      <c r="AH80" s="77"/>
      <c r="AI80" s="73"/>
      <c r="AJ80" s="78" t="str">
        <f t="shared" si="6"/>
        <v/>
      </c>
      <c r="AK80" s="79" t="str">
        <f t="shared" si="7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4"/>
        <v/>
      </c>
      <c r="AE81" s="76" t="str">
        <f t="shared" si="5"/>
        <v/>
      </c>
      <c r="AF81" s="77"/>
      <c r="AG81" s="73"/>
      <c r="AH81" s="77"/>
      <c r="AI81" s="73"/>
      <c r="AJ81" s="78" t="str">
        <f t="shared" si="6"/>
        <v/>
      </c>
      <c r="AK81" s="79" t="str">
        <f t="shared" si="7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4"/>
        <v/>
      </c>
      <c r="AE82" s="76" t="str">
        <f t="shared" si="5"/>
        <v/>
      </c>
      <c r="AF82" s="77"/>
      <c r="AG82" s="73"/>
      <c r="AH82" s="77"/>
      <c r="AI82" s="73"/>
      <c r="AJ82" s="78" t="str">
        <f t="shared" si="6"/>
        <v/>
      </c>
      <c r="AK82" s="79" t="str">
        <f t="shared" si="7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4"/>
        <v/>
      </c>
      <c r="AE83" s="76" t="str">
        <f t="shared" si="5"/>
        <v/>
      </c>
      <c r="AF83" s="77"/>
      <c r="AG83" s="73"/>
      <c r="AH83" s="77"/>
      <c r="AI83" s="73"/>
      <c r="AJ83" s="78" t="str">
        <f t="shared" si="6"/>
        <v/>
      </c>
      <c r="AK83" s="79" t="str">
        <f t="shared" si="7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4"/>
        <v/>
      </c>
      <c r="AE84" s="76" t="str">
        <f t="shared" si="5"/>
        <v/>
      </c>
      <c r="AF84" s="77"/>
      <c r="AG84" s="73"/>
      <c r="AH84" s="77"/>
      <c r="AI84" s="73"/>
      <c r="AJ84" s="78" t="str">
        <f t="shared" si="6"/>
        <v/>
      </c>
      <c r="AK84" s="79" t="str">
        <f t="shared" si="7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4"/>
        <v/>
      </c>
      <c r="AE85" s="76" t="str">
        <f t="shared" si="5"/>
        <v/>
      </c>
      <c r="AF85" s="77"/>
      <c r="AG85" s="73"/>
      <c r="AH85" s="77"/>
      <c r="AI85" s="73"/>
      <c r="AJ85" s="78" t="str">
        <f t="shared" si="6"/>
        <v/>
      </c>
      <c r="AK85" s="79" t="str">
        <f t="shared" si="7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4"/>
        <v/>
      </c>
      <c r="AE86" s="76" t="str">
        <f t="shared" si="5"/>
        <v/>
      </c>
      <c r="AF86" s="77"/>
      <c r="AG86" s="73"/>
      <c r="AH86" s="77"/>
      <c r="AI86" s="73"/>
      <c r="AJ86" s="78" t="str">
        <f t="shared" si="6"/>
        <v/>
      </c>
      <c r="AK86" s="79" t="str">
        <f t="shared" si="7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4"/>
        <v/>
      </c>
      <c r="AE87" s="76" t="str">
        <f t="shared" si="5"/>
        <v/>
      </c>
      <c r="AF87" s="77"/>
      <c r="AG87" s="73"/>
      <c r="AH87" s="77"/>
      <c r="AI87" s="73"/>
      <c r="AJ87" s="78" t="str">
        <f t="shared" si="6"/>
        <v/>
      </c>
      <c r="AK87" s="79" t="str">
        <f t="shared" si="7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4"/>
        <v/>
      </c>
      <c r="AE88" s="76" t="str">
        <f t="shared" si="5"/>
        <v/>
      </c>
      <c r="AF88" s="77"/>
      <c r="AG88" s="73"/>
      <c r="AH88" s="77"/>
      <c r="AI88" s="73"/>
      <c r="AJ88" s="78" t="str">
        <f t="shared" si="6"/>
        <v/>
      </c>
      <c r="AK88" s="79" t="str">
        <f t="shared" si="7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4"/>
        <v/>
      </c>
      <c r="AE89" s="76" t="str">
        <f t="shared" si="5"/>
        <v/>
      </c>
      <c r="AF89" s="77"/>
      <c r="AG89" s="73"/>
      <c r="AH89" s="77"/>
      <c r="AI89" s="73"/>
      <c r="AJ89" s="78" t="str">
        <f t="shared" si="6"/>
        <v/>
      </c>
      <c r="AK89" s="79" t="str">
        <f t="shared" si="7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4"/>
        <v/>
      </c>
      <c r="AE90" s="76" t="str">
        <f t="shared" si="5"/>
        <v/>
      </c>
      <c r="AF90" s="77"/>
      <c r="AG90" s="73"/>
      <c r="AH90" s="77"/>
      <c r="AI90" s="73"/>
      <c r="AJ90" s="78" t="str">
        <f t="shared" si="6"/>
        <v/>
      </c>
      <c r="AK90" s="79" t="str">
        <f t="shared" si="7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4"/>
        <v/>
      </c>
      <c r="AE91" s="76" t="str">
        <f t="shared" si="5"/>
        <v/>
      </c>
      <c r="AF91" s="77"/>
      <c r="AG91" s="73"/>
      <c r="AH91" s="77"/>
      <c r="AI91" s="73"/>
      <c r="AJ91" s="78" t="str">
        <f t="shared" si="6"/>
        <v/>
      </c>
      <c r="AK91" s="79" t="str">
        <f t="shared" si="7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4"/>
        <v/>
      </c>
      <c r="AE92" s="76" t="str">
        <f t="shared" si="5"/>
        <v/>
      </c>
      <c r="AF92" s="77"/>
      <c r="AG92" s="73"/>
      <c r="AH92" s="77"/>
      <c r="AI92" s="73"/>
      <c r="AJ92" s="78" t="str">
        <f t="shared" si="6"/>
        <v/>
      </c>
      <c r="AK92" s="79" t="str">
        <f t="shared" si="7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4"/>
        <v/>
      </c>
      <c r="AE93" s="76" t="str">
        <f t="shared" si="5"/>
        <v/>
      </c>
      <c r="AF93" s="77"/>
      <c r="AG93" s="73"/>
      <c r="AH93" s="77"/>
      <c r="AI93" s="73"/>
      <c r="AJ93" s="78" t="str">
        <f t="shared" si="6"/>
        <v/>
      </c>
      <c r="AK93" s="79" t="str">
        <f t="shared" si="7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4"/>
        <v/>
      </c>
      <c r="AE94" s="76" t="str">
        <f t="shared" si="5"/>
        <v/>
      </c>
      <c r="AF94" s="77"/>
      <c r="AG94" s="73"/>
      <c r="AH94" s="77"/>
      <c r="AI94" s="73"/>
      <c r="AJ94" s="78" t="str">
        <f t="shared" si="6"/>
        <v/>
      </c>
      <c r="AK94" s="79" t="str">
        <f t="shared" si="7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4"/>
        <v/>
      </c>
      <c r="AE95" s="76" t="str">
        <f t="shared" si="5"/>
        <v/>
      </c>
      <c r="AF95" s="77"/>
      <c r="AG95" s="73"/>
      <c r="AH95" s="77"/>
      <c r="AI95" s="73"/>
      <c r="AJ95" s="78" t="str">
        <f t="shared" si="6"/>
        <v/>
      </c>
      <c r="AK95" s="79" t="str">
        <f t="shared" si="7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4"/>
        <v/>
      </c>
      <c r="AE96" s="76" t="str">
        <f t="shared" si="5"/>
        <v/>
      </c>
      <c r="AF96" s="77"/>
      <c r="AG96" s="73"/>
      <c r="AH96" s="77"/>
      <c r="AI96" s="73"/>
      <c r="AJ96" s="78" t="str">
        <f t="shared" si="6"/>
        <v/>
      </c>
      <c r="AK96" s="79" t="str">
        <f t="shared" si="7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4"/>
        <v/>
      </c>
      <c r="AE97" s="76" t="str">
        <f t="shared" si="5"/>
        <v/>
      </c>
      <c r="AF97" s="77"/>
      <c r="AG97" s="73"/>
      <c r="AH97" s="77"/>
      <c r="AI97" s="73"/>
      <c r="AJ97" s="78" t="str">
        <f t="shared" si="6"/>
        <v/>
      </c>
      <c r="AK97" s="79" t="str">
        <f t="shared" si="7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4"/>
        <v/>
      </c>
      <c r="AE98" s="76" t="str">
        <f t="shared" si="5"/>
        <v/>
      </c>
      <c r="AF98" s="77"/>
      <c r="AG98" s="73"/>
      <c r="AH98" s="77"/>
      <c r="AI98" s="73"/>
      <c r="AJ98" s="78" t="str">
        <f t="shared" si="6"/>
        <v/>
      </c>
      <c r="AK98" s="79" t="str">
        <f t="shared" si="7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4"/>
        <v/>
      </c>
      <c r="AE99" s="76" t="str">
        <f t="shared" si="5"/>
        <v/>
      </c>
      <c r="AF99" s="77"/>
      <c r="AG99" s="73"/>
      <c r="AH99" s="77"/>
      <c r="AI99" s="73"/>
      <c r="AJ99" s="78" t="str">
        <f t="shared" si="6"/>
        <v/>
      </c>
      <c r="AK99" s="79" t="str">
        <f t="shared" si="7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4"/>
        <v/>
      </c>
      <c r="AE100" s="76" t="str">
        <f t="shared" si="5"/>
        <v/>
      </c>
      <c r="AF100" s="77"/>
      <c r="AG100" s="73"/>
      <c r="AH100" s="77"/>
      <c r="AI100" s="73"/>
      <c r="AJ100" s="78" t="str">
        <f t="shared" si="6"/>
        <v/>
      </c>
      <c r="AK100" s="79" t="str">
        <f t="shared" si="7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4"/>
        <v/>
      </c>
      <c r="AE101" s="76" t="str">
        <f t="shared" si="5"/>
        <v/>
      </c>
      <c r="AF101" s="77"/>
      <c r="AG101" s="73"/>
      <c r="AH101" s="77"/>
      <c r="AI101" s="73"/>
      <c r="AJ101" s="78" t="str">
        <f t="shared" si="6"/>
        <v/>
      </c>
      <c r="AK101" s="79" t="str">
        <f t="shared" si="7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4"/>
        <v/>
      </c>
      <c r="AE102" s="76" t="str">
        <f t="shared" si="5"/>
        <v/>
      </c>
      <c r="AF102" s="77"/>
      <c r="AG102" s="73"/>
      <c r="AH102" s="77"/>
      <c r="AI102" s="73"/>
      <c r="AJ102" s="78" t="str">
        <f t="shared" si="6"/>
        <v/>
      </c>
      <c r="AK102" s="79" t="str">
        <f t="shared" si="7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4"/>
        <v/>
      </c>
      <c r="AE103" s="76" t="str">
        <f t="shared" si="5"/>
        <v/>
      </c>
      <c r="AF103" s="77"/>
      <c r="AG103" s="73"/>
      <c r="AH103" s="77"/>
      <c r="AI103" s="73"/>
      <c r="AJ103" s="78" t="str">
        <f t="shared" si="6"/>
        <v/>
      </c>
      <c r="AK103" s="79" t="str">
        <f t="shared" si="7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4"/>
        <v/>
      </c>
      <c r="AE104" s="76" t="str">
        <f t="shared" si="5"/>
        <v/>
      </c>
      <c r="AF104" s="77"/>
      <c r="AG104" s="73"/>
      <c r="AH104" s="77"/>
      <c r="AI104" s="73"/>
      <c r="AJ104" s="78" t="str">
        <f t="shared" si="6"/>
        <v/>
      </c>
      <c r="AK104" s="79" t="str">
        <f t="shared" si="7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4"/>
        <v/>
      </c>
      <c r="AE105" s="76" t="str">
        <f t="shared" si="5"/>
        <v/>
      </c>
      <c r="AF105" s="77"/>
      <c r="AG105" s="73"/>
      <c r="AH105" s="77"/>
      <c r="AI105" s="73"/>
      <c r="AJ105" s="78" t="str">
        <f t="shared" si="6"/>
        <v/>
      </c>
      <c r="AK105" s="79" t="str">
        <f t="shared" si="7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4"/>
        <v/>
      </c>
      <c r="AE106" s="76" t="str">
        <f t="shared" si="5"/>
        <v/>
      </c>
      <c r="AF106" s="77"/>
      <c r="AG106" s="73"/>
      <c r="AH106" s="77"/>
      <c r="AI106" s="73"/>
      <c r="AJ106" s="78" t="str">
        <f t="shared" si="6"/>
        <v/>
      </c>
      <c r="AK106" s="79" t="str">
        <f t="shared" si="7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4"/>
        <v/>
      </c>
      <c r="AE107" s="76" t="str">
        <f t="shared" si="5"/>
        <v/>
      </c>
      <c r="AF107" s="77"/>
      <c r="AG107" s="73"/>
      <c r="AH107" s="77"/>
      <c r="AI107" s="73"/>
      <c r="AJ107" s="78" t="str">
        <f t="shared" si="6"/>
        <v/>
      </c>
      <c r="AK107" s="79" t="str">
        <f t="shared" si="7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4"/>
        <v/>
      </c>
      <c r="AE108" s="76" t="str">
        <f t="shared" si="5"/>
        <v/>
      </c>
      <c r="AF108" s="77"/>
      <c r="AG108" s="73"/>
      <c r="AH108" s="77"/>
      <c r="AI108" s="73"/>
      <c r="AJ108" s="78" t="str">
        <f t="shared" si="6"/>
        <v/>
      </c>
      <c r="AK108" s="79" t="str">
        <f t="shared" si="7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4"/>
        <v/>
      </c>
      <c r="AE109" s="76" t="str">
        <f t="shared" si="5"/>
        <v/>
      </c>
      <c r="AF109" s="77"/>
      <c r="AG109" s="73"/>
      <c r="AH109" s="77"/>
      <c r="AI109" s="73"/>
      <c r="AJ109" s="78" t="str">
        <f t="shared" si="6"/>
        <v/>
      </c>
      <c r="AK109" s="79" t="str">
        <f t="shared" si="7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4"/>
        <v/>
      </c>
      <c r="AE110" s="76" t="str">
        <f t="shared" si="5"/>
        <v/>
      </c>
      <c r="AF110" s="77"/>
      <c r="AG110" s="73"/>
      <c r="AH110" s="77"/>
      <c r="AI110" s="73"/>
      <c r="AJ110" s="78" t="str">
        <f t="shared" si="6"/>
        <v/>
      </c>
      <c r="AK110" s="79" t="str">
        <f t="shared" si="7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4"/>
        <v/>
      </c>
      <c r="AE111" s="76" t="str">
        <f t="shared" si="5"/>
        <v/>
      </c>
      <c r="AF111" s="77"/>
      <c r="AG111" s="73"/>
      <c r="AH111" s="77"/>
      <c r="AI111" s="73"/>
      <c r="AJ111" s="78" t="str">
        <f t="shared" si="6"/>
        <v/>
      </c>
      <c r="AK111" s="79" t="str">
        <f t="shared" si="7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4"/>
        <v/>
      </c>
      <c r="AE112" s="76" t="str">
        <f t="shared" si="5"/>
        <v/>
      </c>
      <c r="AF112" s="77"/>
      <c r="AG112" s="73"/>
      <c r="AH112" s="77"/>
      <c r="AI112" s="73"/>
      <c r="AJ112" s="78" t="str">
        <f t="shared" si="6"/>
        <v/>
      </c>
      <c r="AK112" s="79" t="str">
        <f t="shared" si="7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4"/>
        <v/>
      </c>
      <c r="AE113" s="76" t="str">
        <f t="shared" si="5"/>
        <v/>
      </c>
      <c r="AF113" s="77"/>
      <c r="AG113" s="73"/>
      <c r="AH113" s="77"/>
      <c r="AI113" s="73"/>
      <c r="AJ113" s="78" t="str">
        <f t="shared" si="6"/>
        <v/>
      </c>
      <c r="AK113" s="79" t="str">
        <f t="shared" si="7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4"/>
        <v/>
      </c>
      <c r="AE114" s="76" t="str">
        <f t="shared" si="5"/>
        <v/>
      </c>
      <c r="AF114" s="77"/>
      <c r="AG114" s="73"/>
      <c r="AH114" s="77"/>
      <c r="AI114" s="73"/>
      <c r="AJ114" s="78" t="str">
        <f t="shared" si="6"/>
        <v/>
      </c>
      <c r="AK114" s="79" t="str">
        <f t="shared" si="7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4"/>
        <v/>
      </c>
      <c r="AE115" s="76" t="str">
        <f t="shared" si="5"/>
        <v/>
      </c>
      <c r="AF115" s="77"/>
      <c r="AG115" s="73"/>
      <c r="AH115" s="77"/>
      <c r="AI115" s="73"/>
      <c r="AJ115" s="78" t="str">
        <f t="shared" si="6"/>
        <v/>
      </c>
      <c r="AK115" s="79" t="str">
        <f t="shared" si="7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4"/>
        <v/>
      </c>
      <c r="AE116" s="76" t="str">
        <f t="shared" si="5"/>
        <v/>
      </c>
      <c r="AF116" s="77"/>
      <c r="AG116" s="73"/>
      <c r="AH116" s="77"/>
      <c r="AI116" s="73"/>
      <c r="AJ116" s="78" t="str">
        <f t="shared" si="6"/>
        <v/>
      </c>
      <c r="AK116" s="79" t="str">
        <f t="shared" si="7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4"/>
        <v/>
      </c>
      <c r="AE117" s="76" t="str">
        <f t="shared" si="5"/>
        <v/>
      </c>
      <c r="AF117" s="77"/>
      <c r="AG117" s="73"/>
      <c r="AH117" s="77"/>
      <c r="AI117" s="73"/>
      <c r="AJ117" s="78" t="str">
        <f t="shared" si="6"/>
        <v/>
      </c>
      <c r="AK117" s="79" t="str">
        <f t="shared" si="7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4"/>
        <v/>
      </c>
      <c r="AE118" s="76" t="str">
        <f t="shared" si="5"/>
        <v/>
      </c>
      <c r="AF118" s="77"/>
      <c r="AG118" s="73"/>
      <c r="AH118" s="77"/>
      <c r="AI118" s="73"/>
      <c r="AJ118" s="78" t="str">
        <f t="shared" si="6"/>
        <v/>
      </c>
      <c r="AK118" s="79" t="str">
        <f t="shared" si="7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4"/>
        <v/>
      </c>
      <c r="AE119" s="76" t="str">
        <f t="shared" si="5"/>
        <v/>
      </c>
      <c r="AF119" s="77"/>
      <c r="AG119" s="73"/>
      <c r="AH119" s="77"/>
      <c r="AI119" s="73"/>
      <c r="AJ119" s="78" t="str">
        <f t="shared" si="6"/>
        <v/>
      </c>
      <c r="AK119" s="79" t="str">
        <f t="shared" si="7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4"/>
        <v/>
      </c>
      <c r="AE120" s="76" t="str">
        <f t="shared" si="5"/>
        <v/>
      </c>
      <c r="AF120" s="77"/>
      <c r="AG120" s="73"/>
      <c r="AH120" s="77"/>
      <c r="AI120" s="73"/>
      <c r="AJ120" s="78" t="str">
        <f t="shared" si="6"/>
        <v/>
      </c>
      <c r="AK120" s="79" t="str">
        <f t="shared" si="7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4"/>
        <v/>
      </c>
      <c r="AE121" s="76" t="str">
        <f t="shared" si="5"/>
        <v/>
      </c>
      <c r="AF121" s="77"/>
      <c r="AG121" s="73"/>
      <c r="AH121" s="77"/>
      <c r="AI121" s="73"/>
      <c r="AJ121" s="78" t="str">
        <f t="shared" si="6"/>
        <v/>
      </c>
      <c r="AK121" s="79" t="str">
        <f t="shared" si="7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4"/>
        <v/>
      </c>
      <c r="AE122" s="76" t="str">
        <f t="shared" si="5"/>
        <v/>
      </c>
      <c r="AF122" s="77"/>
      <c r="AG122" s="73"/>
      <c r="AH122" s="77"/>
      <c r="AI122" s="73"/>
      <c r="AJ122" s="78" t="str">
        <f t="shared" si="6"/>
        <v/>
      </c>
      <c r="AK122" s="79" t="str">
        <f t="shared" si="7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4"/>
        <v/>
      </c>
      <c r="AE123" s="76" t="str">
        <f t="shared" si="5"/>
        <v/>
      </c>
      <c r="AF123" s="77"/>
      <c r="AG123" s="73"/>
      <c r="AH123" s="77"/>
      <c r="AI123" s="73"/>
      <c r="AJ123" s="78" t="str">
        <f t="shared" si="6"/>
        <v/>
      </c>
      <c r="AK123" s="79" t="str">
        <f t="shared" si="7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4"/>
        <v/>
      </c>
      <c r="AE124" s="76" t="str">
        <f t="shared" si="5"/>
        <v/>
      </c>
      <c r="AF124" s="77"/>
      <c r="AG124" s="73"/>
      <c r="AH124" s="77"/>
      <c r="AI124" s="73"/>
      <c r="AJ124" s="78" t="str">
        <f t="shared" si="6"/>
        <v/>
      </c>
      <c r="AK124" s="79" t="str">
        <f t="shared" si="7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4"/>
        <v/>
      </c>
      <c r="AE125" s="76" t="str">
        <f t="shared" si="5"/>
        <v/>
      </c>
      <c r="AF125" s="77"/>
      <c r="AG125" s="73"/>
      <c r="AH125" s="77"/>
      <c r="AI125" s="73"/>
      <c r="AJ125" s="78" t="str">
        <f t="shared" si="6"/>
        <v/>
      </c>
      <c r="AK125" s="79" t="str">
        <f t="shared" si="7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4"/>
        <v/>
      </c>
      <c r="AE126" s="76" t="str">
        <f t="shared" si="5"/>
        <v/>
      </c>
      <c r="AF126" s="77"/>
      <c r="AG126" s="73"/>
      <c r="AH126" s="77"/>
      <c r="AI126" s="73"/>
      <c r="AJ126" s="78" t="str">
        <f t="shared" si="6"/>
        <v/>
      </c>
      <c r="AK126" s="79" t="str">
        <f t="shared" si="7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4"/>
        <v/>
      </c>
      <c r="AE127" s="76" t="str">
        <f t="shared" si="5"/>
        <v/>
      </c>
      <c r="AF127" s="77"/>
      <c r="AG127" s="73"/>
      <c r="AH127" s="77"/>
      <c r="AI127" s="73"/>
      <c r="AJ127" s="78" t="str">
        <f t="shared" si="6"/>
        <v/>
      </c>
      <c r="AK127" s="79" t="str">
        <f t="shared" si="7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4"/>
        <v/>
      </c>
      <c r="AE128" s="76" t="str">
        <f t="shared" si="5"/>
        <v/>
      </c>
      <c r="AF128" s="77"/>
      <c r="AG128" s="73"/>
      <c r="AH128" s="77"/>
      <c r="AI128" s="73"/>
      <c r="AJ128" s="78" t="str">
        <f t="shared" si="6"/>
        <v/>
      </c>
      <c r="AK128" s="79" t="str">
        <f t="shared" si="7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4"/>
        <v/>
      </c>
      <c r="AE129" s="76" t="str">
        <f t="shared" si="5"/>
        <v/>
      </c>
      <c r="AF129" s="77"/>
      <c r="AG129" s="73"/>
      <c r="AH129" s="77"/>
      <c r="AI129" s="73"/>
      <c r="AJ129" s="78" t="str">
        <f t="shared" si="6"/>
        <v/>
      </c>
      <c r="AK129" s="79" t="str">
        <f t="shared" si="7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4"/>
        <v/>
      </c>
      <c r="AE130" s="76" t="str">
        <f t="shared" si="5"/>
        <v/>
      </c>
      <c r="AF130" s="77"/>
      <c r="AG130" s="73"/>
      <c r="AH130" s="77"/>
      <c r="AI130" s="73"/>
      <c r="AJ130" s="78" t="str">
        <f t="shared" si="6"/>
        <v/>
      </c>
      <c r="AK130" s="79" t="str">
        <f t="shared" si="7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4"/>
        <v/>
      </c>
      <c r="AE131" s="76" t="str">
        <f t="shared" si="5"/>
        <v/>
      </c>
      <c r="AF131" s="77"/>
      <c r="AG131" s="73"/>
      <c r="AH131" s="77"/>
      <c r="AI131" s="73"/>
      <c r="AJ131" s="78" t="str">
        <f t="shared" si="6"/>
        <v/>
      </c>
      <c r="AK131" s="79" t="str">
        <f t="shared" si="7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8">IF(MIN(F132,J132,N132,R132,V132,Z132)&lt;&gt;0,MIN(F132,J132,N132,R132,V132,Z132),"")</f>
        <v/>
      </c>
      <c r="AE132" s="76" t="str">
        <f t="shared" ref="AE132:AE195" si="9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0">IF(AD132="","",IF(ISBLANK(AF132),"En cours",AD132+AF132))</f>
        <v/>
      </c>
      <c r="AK132" s="79" t="str">
        <f t="shared" ref="AK132:AK195" si="11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8"/>
        <v/>
      </c>
      <c r="AE133" s="76" t="str">
        <f t="shared" si="9"/>
        <v/>
      </c>
      <c r="AF133" s="77"/>
      <c r="AG133" s="73"/>
      <c r="AH133" s="77"/>
      <c r="AI133" s="73"/>
      <c r="AJ133" s="78" t="str">
        <f t="shared" si="10"/>
        <v/>
      </c>
      <c r="AK133" s="79" t="str">
        <f t="shared" si="11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8"/>
        <v/>
      </c>
      <c r="AE134" s="76" t="str">
        <f t="shared" si="9"/>
        <v/>
      </c>
      <c r="AF134" s="77"/>
      <c r="AG134" s="73"/>
      <c r="AH134" s="77"/>
      <c r="AI134" s="73"/>
      <c r="AJ134" s="78" t="str">
        <f t="shared" si="10"/>
        <v/>
      </c>
      <c r="AK134" s="79" t="str">
        <f t="shared" si="11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8"/>
        <v/>
      </c>
      <c r="AE135" s="76" t="str">
        <f t="shared" si="9"/>
        <v/>
      </c>
      <c r="AF135" s="77"/>
      <c r="AG135" s="73"/>
      <c r="AH135" s="77"/>
      <c r="AI135" s="73"/>
      <c r="AJ135" s="78" t="str">
        <f t="shared" si="10"/>
        <v/>
      </c>
      <c r="AK135" s="79" t="str">
        <f t="shared" si="11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8"/>
        <v/>
      </c>
      <c r="AE136" s="76" t="str">
        <f t="shared" si="9"/>
        <v/>
      </c>
      <c r="AF136" s="77"/>
      <c r="AG136" s="73"/>
      <c r="AH136" s="77"/>
      <c r="AI136" s="73"/>
      <c r="AJ136" s="78" t="str">
        <f t="shared" si="10"/>
        <v/>
      </c>
      <c r="AK136" s="79" t="str">
        <f t="shared" si="11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8"/>
        <v/>
      </c>
      <c r="AE137" s="76" t="str">
        <f t="shared" si="9"/>
        <v/>
      </c>
      <c r="AF137" s="77"/>
      <c r="AG137" s="73"/>
      <c r="AH137" s="77"/>
      <c r="AI137" s="73"/>
      <c r="AJ137" s="78" t="str">
        <f t="shared" si="10"/>
        <v/>
      </c>
      <c r="AK137" s="79" t="str">
        <f t="shared" si="11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8"/>
        <v/>
      </c>
      <c r="AE138" s="76" t="str">
        <f t="shared" si="9"/>
        <v/>
      </c>
      <c r="AF138" s="77"/>
      <c r="AG138" s="73"/>
      <c r="AH138" s="77"/>
      <c r="AI138" s="73"/>
      <c r="AJ138" s="78" t="str">
        <f t="shared" si="10"/>
        <v/>
      </c>
      <c r="AK138" s="79" t="str">
        <f t="shared" si="11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8"/>
        <v/>
      </c>
      <c r="AE139" s="76" t="str">
        <f t="shared" si="9"/>
        <v/>
      </c>
      <c r="AF139" s="77"/>
      <c r="AG139" s="73"/>
      <c r="AH139" s="77"/>
      <c r="AI139" s="73"/>
      <c r="AJ139" s="78" t="str">
        <f t="shared" si="10"/>
        <v/>
      </c>
      <c r="AK139" s="79" t="str">
        <f t="shared" si="11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8"/>
        <v/>
      </c>
      <c r="AE140" s="76" t="str">
        <f t="shared" si="9"/>
        <v/>
      </c>
      <c r="AF140" s="77"/>
      <c r="AG140" s="73"/>
      <c r="AH140" s="77"/>
      <c r="AI140" s="73"/>
      <c r="AJ140" s="78" t="str">
        <f t="shared" si="10"/>
        <v/>
      </c>
      <c r="AK140" s="79" t="str">
        <f t="shared" si="11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8"/>
        <v/>
      </c>
      <c r="AE141" s="76" t="str">
        <f t="shared" si="9"/>
        <v/>
      </c>
      <c r="AF141" s="77"/>
      <c r="AG141" s="73"/>
      <c r="AH141" s="77"/>
      <c r="AI141" s="73"/>
      <c r="AJ141" s="78" t="str">
        <f t="shared" si="10"/>
        <v/>
      </c>
      <c r="AK141" s="79" t="str">
        <f t="shared" si="11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8"/>
        <v/>
      </c>
      <c r="AE142" s="76" t="str">
        <f t="shared" si="9"/>
        <v/>
      </c>
      <c r="AF142" s="77"/>
      <c r="AG142" s="73"/>
      <c r="AH142" s="77"/>
      <c r="AI142" s="73"/>
      <c r="AJ142" s="78" t="str">
        <f t="shared" si="10"/>
        <v/>
      </c>
      <c r="AK142" s="79" t="str">
        <f t="shared" si="11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8"/>
        <v/>
      </c>
      <c r="AE143" s="76" t="str">
        <f t="shared" si="9"/>
        <v/>
      </c>
      <c r="AF143" s="77"/>
      <c r="AG143" s="73"/>
      <c r="AH143" s="77"/>
      <c r="AI143" s="73"/>
      <c r="AJ143" s="78" t="str">
        <f t="shared" si="10"/>
        <v/>
      </c>
      <c r="AK143" s="79" t="str">
        <f t="shared" si="11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8"/>
        <v/>
      </c>
      <c r="AE144" s="76" t="str">
        <f t="shared" si="9"/>
        <v/>
      </c>
      <c r="AF144" s="77"/>
      <c r="AG144" s="73"/>
      <c r="AH144" s="77"/>
      <c r="AI144" s="73"/>
      <c r="AJ144" s="78" t="str">
        <f t="shared" si="10"/>
        <v/>
      </c>
      <c r="AK144" s="79" t="str">
        <f t="shared" si="11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8"/>
        <v/>
      </c>
      <c r="AE145" s="76" t="str">
        <f t="shared" si="9"/>
        <v/>
      </c>
      <c r="AF145" s="77"/>
      <c r="AG145" s="73"/>
      <c r="AH145" s="77"/>
      <c r="AI145" s="73"/>
      <c r="AJ145" s="78" t="str">
        <f t="shared" si="10"/>
        <v/>
      </c>
      <c r="AK145" s="79" t="str">
        <f t="shared" si="11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8"/>
        <v/>
      </c>
      <c r="AE146" s="76" t="str">
        <f t="shared" si="9"/>
        <v/>
      </c>
      <c r="AF146" s="77"/>
      <c r="AG146" s="73"/>
      <c r="AH146" s="77"/>
      <c r="AI146" s="73"/>
      <c r="AJ146" s="78" t="str">
        <f t="shared" si="10"/>
        <v/>
      </c>
      <c r="AK146" s="79" t="str">
        <f t="shared" si="11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8"/>
        <v/>
      </c>
      <c r="AE147" s="76" t="str">
        <f t="shared" si="9"/>
        <v/>
      </c>
      <c r="AF147" s="77"/>
      <c r="AG147" s="73"/>
      <c r="AH147" s="77"/>
      <c r="AI147" s="73"/>
      <c r="AJ147" s="78" t="str">
        <f t="shared" si="10"/>
        <v/>
      </c>
      <c r="AK147" s="79" t="str">
        <f t="shared" si="11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8"/>
        <v/>
      </c>
      <c r="AE148" s="76" t="str">
        <f t="shared" si="9"/>
        <v/>
      </c>
      <c r="AF148" s="77"/>
      <c r="AG148" s="73"/>
      <c r="AH148" s="77"/>
      <c r="AI148" s="73"/>
      <c r="AJ148" s="78" t="str">
        <f t="shared" si="10"/>
        <v/>
      </c>
      <c r="AK148" s="79" t="str">
        <f t="shared" si="11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8"/>
        <v/>
      </c>
      <c r="AE149" s="76" t="str">
        <f t="shared" si="9"/>
        <v/>
      </c>
      <c r="AF149" s="77"/>
      <c r="AG149" s="73"/>
      <c r="AH149" s="77"/>
      <c r="AI149" s="73"/>
      <c r="AJ149" s="78" t="str">
        <f t="shared" si="10"/>
        <v/>
      </c>
      <c r="AK149" s="79" t="str">
        <f t="shared" si="11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8"/>
        <v/>
      </c>
      <c r="AE150" s="76" t="str">
        <f t="shared" si="9"/>
        <v/>
      </c>
      <c r="AF150" s="77"/>
      <c r="AG150" s="73"/>
      <c r="AH150" s="77"/>
      <c r="AI150" s="73"/>
      <c r="AJ150" s="78" t="str">
        <f t="shared" si="10"/>
        <v/>
      </c>
      <c r="AK150" s="79" t="str">
        <f t="shared" si="11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8"/>
        <v/>
      </c>
      <c r="AE151" s="76" t="str">
        <f t="shared" si="9"/>
        <v/>
      </c>
      <c r="AF151" s="77"/>
      <c r="AG151" s="73"/>
      <c r="AH151" s="77"/>
      <c r="AI151" s="73"/>
      <c r="AJ151" s="78" t="str">
        <f t="shared" si="10"/>
        <v/>
      </c>
      <c r="AK151" s="79" t="str">
        <f t="shared" si="11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8"/>
        <v/>
      </c>
      <c r="AE152" s="76" t="str">
        <f t="shared" si="9"/>
        <v/>
      </c>
      <c r="AF152" s="77"/>
      <c r="AG152" s="73"/>
      <c r="AH152" s="77"/>
      <c r="AI152" s="73"/>
      <c r="AJ152" s="78" t="str">
        <f t="shared" si="10"/>
        <v/>
      </c>
      <c r="AK152" s="79" t="str">
        <f t="shared" si="11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8"/>
        <v/>
      </c>
      <c r="AE153" s="76" t="str">
        <f t="shared" si="9"/>
        <v/>
      </c>
      <c r="AF153" s="77"/>
      <c r="AG153" s="73"/>
      <c r="AH153" s="77"/>
      <c r="AI153" s="73"/>
      <c r="AJ153" s="78" t="str">
        <f t="shared" si="10"/>
        <v/>
      </c>
      <c r="AK153" s="79" t="str">
        <f t="shared" si="11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8"/>
        <v/>
      </c>
      <c r="AE154" s="76" t="str">
        <f t="shared" si="9"/>
        <v/>
      </c>
      <c r="AF154" s="77"/>
      <c r="AG154" s="73"/>
      <c r="AH154" s="77"/>
      <c r="AI154" s="73"/>
      <c r="AJ154" s="78" t="str">
        <f t="shared" si="10"/>
        <v/>
      </c>
      <c r="AK154" s="79" t="str">
        <f t="shared" si="11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8"/>
        <v/>
      </c>
      <c r="AE155" s="76" t="str">
        <f t="shared" si="9"/>
        <v/>
      </c>
      <c r="AF155" s="77"/>
      <c r="AG155" s="73"/>
      <c r="AH155" s="77"/>
      <c r="AI155" s="73"/>
      <c r="AJ155" s="78" t="str">
        <f t="shared" si="10"/>
        <v/>
      </c>
      <c r="AK155" s="79" t="str">
        <f t="shared" si="11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8"/>
        <v/>
      </c>
      <c r="AE156" s="76" t="str">
        <f t="shared" si="9"/>
        <v/>
      </c>
      <c r="AF156" s="77"/>
      <c r="AG156" s="73"/>
      <c r="AH156" s="77"/>
      <c r="AI156" s="73"/>
      <c r="AJ156" s="78" t="str">
        <f t="shared" si="10"/>
        <v/>
      </c>
      <c r="AK156" s="79" t="str">
        <f t="shared" si="11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8"/>
        <v/>
      </c>
      <c r="AE157" s="76" t="str">
        <f t="shared" si="9"/>
        <v/>
      </c>
      <c r="AF157" s="77"/>
      <c r="AG157" s="73"/>
      <c r="AH157" s="77"/>
      <c r="AI157" s="73"/>
      <c r="AJ157" s="78" t="str">
        <f t="shared" si="10"/>
        <v/>
      </c>
      <c r="AK157" s="79" t="str">
        <f t="shared" si="11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8"/>
        <v/>
      </c>
      <c r="AE158" s="76" t="str">
        <f t="shared" si="9"/>
        <v/>
      </c>
      <c r="AF158" s="77"/>
      <c r="AG158" s="73"/>
      <c r="AH158" s="77"/>
      <c r="AI158" s="73"/>
      <c r="AJ158" s="78" t="str">
        <f t="shared" si="10"/>
        <v/>
      </c>
      <c r="AK158" s="79" t="str">
        <f t="shared" si="11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8"/>
        <v/>
      </c>
      <c r="AE159" s="76" t="str">
        <f t="shared" si="9"/>
        <v/>
      </c>
      <c r="AF159" s="77"/>
      <c r="AG159" s="73"/>
      <c r="AH159" s="77"/>
      <c r="AI159" s="73"/>
      <c r="AJ159" s="78" t="str">
        <f t="shared" si="10"/>
        <v/>
      </c>
      <c r="AK159" s="79" t="str">
        <f t="shared" si="11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8"/>
        <v/>
      </c>
      <c r="AE160" s="76" t="str">
        <f t="shared" si="9"/>
        <v/>
      </c>
      <c r="AF160" s="77"/>
      <c r="AG160" s="73"/>
      <c r="AH160" s="77"/>
      <c r="AI160" s="73"/>
      <c r="AJ160" s="78" t="str">
        <f t="shared" si="10"/>
        <v/>
      </c>
      <c r="AK160" s="79" t="str">
        <f t="shared" si="11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8"/>
        <v/>
      </c>
      <c r="AE161" s="76" t="str">
        <f t="shared" si="9"/>
        <v/>
      </c>
      <c r="AF161" s="77"/>
      <c r="AG161" s="73"/>
      <c r="AH161" s="77"/>
      <c r="AI161" s="73"/>
      <c r="AJ161" s="78" t="str">
        <f t="shared" si="10"/>
        <v/>
      </c>
      <c r="AK161" s="79" t="str">
        <f t="shared" si="11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8"/>
        <v/>
      </c>
      <c r="AE162" s="76" t="str">
        <f t="shared" si="9"/>
        <v/>
      </c>
      <c r="AF162" s="77"/>
      <c r="AG162" s="73"/>
      <c r="AH162" s="77"/>
      <c r="AI162" s="73"/>
      <c r="AJ162" s="78" t="str">
        <f t="shared" si="10"/>
        <v/>
      </c>
      <c r="AK162" s="79" t="str">
        <f t="shared" si="11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8"/>
        <v/>
      </c>
      <c r="AE163" s="76" t="str">
        <f t="shared" si="9"/>
        <v/>
      </c>
      <c r="AF163" s="77"/>
      <c r="AG163" s="73"/>
      <c r="AH163" s="77"/>
      <c r="AI163" s="73"/>
      <c r="AJ163" s="78" t="str">
        <f t="shared" si="10"/>
        <v/>
      </c>
      <c r="AK163" s="79" t="str">
        <f t="shared" si="11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8"/>
        <v/>
      </c>
      <c r="AE164" s="76" t="str">
        <f t="shared" si="9"/>
        <v/>
      </c>
      <c r="AF164" s="77"/>
      <c r="AG164" s="73"/>
      <c r="AH164" s="77"/>
      <c r="AI164" s="73"/>
      <c r="AJ164" s="78" t="str">
        <f t="shared" si="10"/>
        <v/>
      </c>
      <c r="AK164" s="79" t="str">
        <f t="shared" si="11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8"/>
        <v/>
      </c>
      <c r="AE165" s="76" t="str">
        <f t="shared" si="9"/>
        <v/>
      </c>
      <c r="AF165" s="77"/>
      <c r="AG165" s="73"/>
      <c r="AH165" s="77"/>
      <c r="AI165" s="73"/>
      <c r="AJ165" s="78" t="str">
        <f t="shared" si="10"/>
        <v/>
      </c>
      <c r="AK165" s="79" t="str">
        <f t="shared" si="11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8"/>
        <v/>
      </c>
      <c r="AE166" s="76" t="str">
        <f t="shared" si="9"/>
        <v/>
      </c>
      <c r="AF166" s="77"/>
      <c r="AG166" s="73"/>
      <c r="AH166" s="77"/>
      <c r="AI166" s="73"/>
      <c r="AJ166" s="78" t="str">
        <f t="shared" si="10"/>
        <v/>
      </c>
      <c r="AK166" s="79" t="str">
        <f t="shared" si="11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8"/>
        <v/>
      </c>
      <c r="AE167" s="76" t="str">
        <f t="shared" si="9"/>
        <v/>
      </c>
      <c r="AF167" s="77"/>
      <c r="AG167" s="73"/>
      <c r="AH167" s="77"/>
      <c r="AI167" s="73"/>
      <c r="AJ167" s="78" t="str">
        <f t="shared" si="10"/>
        <v/>
      </c>
      <c r="AK167" s="79" t="str">
        <f t="shared" si="11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8"/>
        <v/>
      </c>
      <c r="AE168" s="76" t="str">
        <f t="shared" si="9"/>
        <v/>
      </c>
      <c r="AF168" s="77"/>
      <c r="AG168" s="73"/>
      <c r="AH168" s="77"/>
      <c r="AI168" s="73"/>
      <c r="AJ168" s="78" t="str">
        <f t="shared" si="10"/>
        <v/>
      </c>
      <c r="AK168" s="79" t="str">
        <f t="shared" si="11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8"/>
        <v/>
      </c>
      <c r="AE169" s="76" t="str">
        <f t="shared" si="9"/>
        <v/>
      </c>
      <c r="AF169" s="77"/>
      <c r="AG169" s="73"/>
      <c r="AH169" s="77"/>
      <c r="AI169" s="73"/>
      <c r="AJ169" s="78" t="str">
        <f t="shared" si="10"/>
        <v/>
      </c>
      <c r="AK169" s="79" t="str">
        <f t="shared" si="11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8"/>
        <v/>
      </c>
      <c r="AE170" s="76" t="str">
        <f t="shared" si="9"/>
        <v/>
      </c>
      <c r="AF170" s="77"/>
      <c r="AG170" s="73"/>
      <c r="AH170" s="77"/>
      <c r="AI170" s="73"/>
      <c r="AJ170" s="78" t="str">
        <f t="shared" si="10"/>
        <v/>
      </c>
      <c r="AK170" s="79" t="str">
        <f t="shared" si="11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8"/>
        <v/>
      </c>
      <c r="AE171" s="76" t="str">
        <f t="shared" si="9"/>
        <v/>
      </c>
      <c r="AF171" s="77"/>
      <c r="AG171" s="73"/>
      <c r="AH171" s="77"/>
      <c r="AI171" s="73"/>
      <c r="AJ171" s="78" t="str">
        <f t="shared" si="10"/>
        <v/>
      </c>
      <c r="AK171" s="79" t="str">
        <f t="shared" si="11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8"/>
        <v/>
      </c>
      <c r="AE172" s="76" t="str">
        <f t="shared" si="9"/>
        <v/>
      </c>
      <c r="AF172" s="77"/>
      <c r="AG172" s="73"/>
      <c r="AH172" s="77"/>
      <c r="AI172" s="73"/>
      <c r="AJ172" s="78" t="str">
        <f t="shared" si="10"/>
        <v/>
      </c>
      <c r="AK172" s="79" t="str">
        <f t="shared" si="11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8"/>
        <v/>
      </c>
      <c r="AE173" s="76" t="str">
        <f t="shared" si="9"/>
        <v/>
      </c>
      <c r="AF173" s="77"/>
      <c r="AG173" s="73"/>
      <c r="AH173" s="77"/>
      <c r="AI173" s="73"/>
      <c r="AJ173" s="78" t="str">
        <f t="shared" si="10"/>
        <v/>
      </c>
      <c r="AK173" s="79" t="str">
        <f t="shared" si="11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8"/>
        <v/>
      </c>
      <c r="AE174" s="76" t="str">
        <f t="shared" si="9"/>
        <v/>
      </c>
      <c r="AF174" s="77"/>
      <c r="AG174" s="73"/>
      <c r="AH174" s="77"/>
      <c r="AI174" s="73"/>
      <c r="AJ174" s="78" t="str">
        <f t="shared" si="10"/>
        <v/>
      </c>
      <c r="AK174" s="79" t="str">
        <f t="shared" si="11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8"/>
        <v/>
      </c>
      <c r="AE175" s="76" t="str">
        <f t="shared" si="9"/>
        <v/>
      </c>
      <c r="AF175" s="77"/>
      <c r="AG175" s="73"/>
      <c r="AH175" s="77"/>
      <c r="AI175" s="73"/>
      <c r="AJ175" s="78" t="str">
        <f t="shared" si="10"/>
        <v/>
      </c>
      <c r="AK175" s="79" t="str">
        <f t="shared" si="11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8"/>
        <v/>
      </c>
      <c r="AE176" s="76" t="str">
        <f t="shared" si="9"/>
        <v/>
      </c>
      <c r="AF176" s="77"/>
      <c r="AG176" s="73"/>
      <c r="AH176" s="77"/>
      <c r="AI176" s="73"/>
      <c r="AJ176" s="78" t="str">
        <f t="shared" si="10"/>
        <v/>
      </c>
      <c r="AK176" s="79" t="str">
        <f t="shared" si="11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8"/>
        <v/>
      </c>
      <c r="AE177" s="76" t="str">
        <f t="shared" si="9"/>
        <v/>
      </c>
      <c r="AF177" s="77"/>
      <c r="AG177" s="73"/>
      <c r="AH177" s="77"/>
      <c r="AI177" s="73"/>
      <c r="AJ177" s="78" t="str">
        <f t="shared" si="10"/>
        <v/>
      </c>
      <c r="AK177" s="79" t="str">
        <f t="shared" si="11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8"/>
        <v/>
      </c>
      <c r="AE178" s="76" t="str">
        <f t="shared" si="9"/>
        <v/>
      </c>
      <c r="AF178" s="77"/>
      <c r="AG178" s="73"/>
      <c r="AH178" s="77"/>
      <c r="AI178" s="73"/>
      <c r="AJ178" s="78" t="str">
        <f t="shared" si="10"/>
        <v/>
      </c>
      <c r="AK178" s="79" t="str">
        <f t="shared" si="11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8"/>
        <v/>
      </c>
      <c r="AE179" s="76" t="str">
        <f t="shared" si="9"/>
        <v/>
      </c>
      <c r="AF179" s="77"/>
      <c r="AG179" s="73"/>
      <c r="AH179" s="77"/>
      <c r="AI179" s="73"/>
      <c r="AJ179" s="78" t="str">
        <f t="shared" si="10"/>
        <v/>
      </c>
      <c r="AK179" s="79" t="str">
        <f t="shared" si="11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8"/>
        <v/>
      </c>
      <c r="AE180" s="76" t="str">
        <f t="shared" si="9"/>
        <v/>
      </c>
      <c r="AF180" s="77"/>
      <c r="AG180" s="73"/>
      <c r="AH180" s="77"/>
      <c r="AI180" s="73"/>
      <c r="AJ180" s="78" t="str">
        <f t="shared" si="10"/>
        <v/>
      </c>
      <c r="AK180" s="79" t="str">
        <f t="shared" si="11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8"/>
        <v/>
      </c>
      <c r="AE181" s="76" t="str">
        <f t="shared" si="9"/>
        <v/>
      </c>
      <c r="AF181" s="77"/>
      <c r="AG181" s="73"/>
      <c r="AH181" s="77"/>
      <c r="AI181" s="73"/>
      <c r="AJ181" s="78" t="str">
        <f t="shared" si="10"/>
        <v/>
      </c>
      <c r="AK181" s="79" t="str">
        <f t="shared" si="11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8"/>
        <v/>
      </c>
      <c r="AE182" s="76" t="str">
        <f t="shared" si="9"/>
        <v/>
      </c>
      <c r="AF182" s="77"/>
      <c r="AG182" s="73"/>
      <c r="AH182" s="77"/>
      <c r="AI182" s="73"/>
      <c r="AJ182" s="78" t="str">
        <f t="shared" si="10"/>
        <v/>
      </c>
      <c r="AK182" s="79" t="str">
        <f t="shared" si="11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8"/>
        <v/>
      </c>
      <c r="AE183" s="76" t="str">
        <f t="shared" si="9"/>
        <v/>
      </c>
      <c r="AF183" s="77"/>
      <c r="AG183" s="73"/>
      <c r="AH183" s="77"/>
      <c r="AI183" s="73"/>
      <c r="AJ183" s="78" t="str">
        <f t="shared" si="10"/>
        <v/>
      </c>
      <c r="AK183" s="79" t="str">
        <f t="shared" si="11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8"/>
        <v/>
      </c>
      <c r="AE184" s="76" t="str">
        <f t="shared" si="9"/>
        <v/>
      </c>
      <c r="AF184" s="77"/>
      <c r="AG184" s="73"/>
      <c r="AH184" s="77"/>
      <c r="AI184" s="73"/>
      <c r="AJ184" s="78" t="str">
        <f t="shared" si="10"/>
        <v/>
      </c>
      <c r="AK184" s="79" t="str">
        <f t="shared" si="11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8"/>
        <v/>
      </c>
      <c r="AE185" s="76" t="str">
        <f t="shared" si="9"/>
        <v/>
      </c>
      <c r="AF185" s="77"/>
      <c r="AG185" s="73"/>
      <c r="AH185" s="77"/>
      <c r="AI185" s="73"/>
      <c r="AJ185" s="78" t="str">
        <f t="shared" si="10"/>
        <v/>
      </c>
      <c r="AK185" s="79" t="str">
        <f t="shared" si="11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8"/>
        <v/>
      </c>
      <c r="AE186" s="76" t="str">
        <f t="shared" si="9"/>
        <v/>
      </c>
      <c r="AF186" s="77"/>
      <c r="AG186" s="73"/>
      <c r="AH186" s="77"/>
      <c r="AI186" s="73"/>
      <c r="AJ186" s="78" t="str">
        <f t="shared" si="10"/>
        <v/>
      </c>
      <c r="AK186" s="79" t="str">
        <f t="shared" si="11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8"/>
        <v/>
      </c>
      <c r="AE187" s="76" t="str">
        <f t="shared" si="9"/>
        <v/>
      </c>
      <c r="AF187" s="77"/>
      <c r="AG187" s="73"/>
      <c r="AH187" s="77"/>
      <c r="AI187" s="73"/>
      <c r="AJ187" s="78" t="str">
        <f t="shared" si="10"/>
        <v/>
      </c>
      <c r="AK187" s="79" t="str">
        <f t="shared" si="11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8"/>
        <v/>
      </c>
      <c r="AE188" s="76" t="str">
        <f t="shared" si="9"/>
        <v/>
      </c>
      <c r="AF188" s="77"/>
      <c r="AG188" s="73"/>
      <c r="AH188" s="77"/>
      <c r="AI188" s="73"/>
      <c r="AJ188" s="78" t="str">
        <f t="shared" si="10"/>
        <v/>
      </c>
      <c r="AK188" s="79" t="str">
        <f t="shared" si="11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8"/>
        <v/>
      </c>
      <c r="AE189" s="76" t="str">
        <f t="shared" si="9"/>
        <v/>
      </c>
      <c r="AF189" s="77"/>
      <c r="AG189" s="73"/>
      <c r="AH189" s="77"/>
      <c r="AI189" s="73"/>
      <c r="AJ189" s="78" t="str">
        <f t="shared" si="10"/>
        <v/>
      </c>
      <c r="AK189" s="79" t="str">
        <f t="shared" si="11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8"/>
        <v/>
      </c>
      <c r="AE190" s="76" t="str">
        <f t="shared" si="9"/>
        <v/>
      </c>
      <c r="AF190" s="77"/>
      <c r="AG190" s="73"/>
      <c r="AH190" s="77"/>
      <c r="AI190" s="73"/>
      <c r="AJ190" s="78" t="str">
        <f t="shared" si="10"/>
        <v/>
      </c>
      <c r="AK190" s="79" t="str">
        <f t="shared" si="11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8"/>
        <v/>
      </c>
      <c r="AE191" s="76" t="str">
        <f t="shared" si="9"/>
        <v/>
      </c>
      <c r="AF191" s="77"/>
      <c r="AG191" s="73"/>
      <c r="AH191" s="77"/>
      <c r="AI191" s="73"/>
      <c r="AJ191" s="78" t="str">
        <f t="shared" si="10"/>
        <v/>
      </c>
      <c r="AK191" s="79" t="str">
        <f t="shared" si="11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8"/>
        <v/>
      </c>
      <c r="AE192" s="76" t="str">
        <f t="shared" si="9"/>
        <v/>
      </c>
      <c r="AF192" s="77"/>
      <c r="AG192" s="73"/>
      <c r="AH192" s="77"/>
      <c r="AI192" s="73"/>
      <c r="AJ192" s="78" t="str">
        <f t="shared" si="10"/>
        <v/>
      </c>
      <c r="AK192" s="79" t="str">
        <f t="shared" si="11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8"/>
        <v/>
      </c>
      <c r="AE193" s="76" t="str">
        <f t="shared" si="9"/>
        <v/>
      </c>
      <c r="AF193" s="77"/>
      <c r="AG193" s="73"/>
      <c r="AH193" s="77"/>
      <c r="AI193" s="73"/>
      <c r="AJ193" s="78" t="str">
        <f t="shared" si="10"/>
        <v/>
      </c>
      <c r="AK193" s="79" t="str">
        <f t="shared" si="11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8"/>
        <v/>
      </c>
      <c r="AE194" s="76" t="str">
        <f t="shared" si="9"/>
        <v/>
      </c>
      <c r="AF194" s="77"/>
      <c r="AG194" s="73"/>
      <c r="AH194" s="77"/>
      <c r="AI194" s="73"/>
      <c r="AJ194" s="78" t="str">
        <f t="shared" si="10"/>
        <v/>
      </c>
      <c r="AK194" s="79" t="str">
        <f t="shared" si="11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8"/>
        <v/>
      </c>
      <c r="AE195" s="76" t="str">
        <f t="shared" si="9"/>
        <v/>
      </c>
      <c r="AF195" s="77"/>
      <c r="AG195" s="73"/>
      <c r="AH195" s="77"/>
      <c r="AI195" s="73"/>
      <c r="AJ195" s="78" t="str">
        <f t="shared" si="10"/>
        <v/>
      </c>
      <c r="AK195" s="79" t="str">
        <f t="shared" si="11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2">IF(MIN(F196,J196,N196,R196,V196,Z196)&lt;&gt;0,MIN(F196,J196,N196,R196,V196,Z196),"")</f>
        <v/>
      </c>
      <c r="AE196" s="76" t="str">
        <f t="shared" ref="AE196:AE259" si="13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4">IF(AD196="","",IF(ISBLANK(AF196),"En cours",AD196+AF196))</f>
        <v/>
      </c>
      <c r="AK196" s="79" t="str">
        <f t="shared" ref="AK196:AK259" si="15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2"/>
        <v/>
      </c>
      <c r="AE197" s="76" t="str">
        <f t="shared" si="13"/>
        <v/>
      </c>
      <c r="AF197" s="77"/>
      <c r="AG197" s="73"/>
      <c r="AH197" s="77"/>
      <c r="AI197" s="73"/>
      <c r="AJ197" s="78" t="str">
        <f t="shared" si="14"/>
        <v/>
      </c>
      <c r="AK197" s="79" t="str">
        <f t="shared" si="15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2"/>
        <v/>
      </c>
      <c r="AE198" s="76" t="str">
        <f t="shared" si="13"/>
        <v/>
      </c>
      <c r="AF198" s="77"/>
      <c r="AG198" s="73"/>
      <c r="AH198" s="77"/>
      <c r="AI198" s="73"/>
      <c r="AJ198" s="78" t="str">
        <f t="shared" si="14"/>
        <v/>
      </c>
      <c r="AK198" s="79" t="str">
        <f t="shared" si="15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2"/>
        <v/>
      </c>
      <c r="AE199" s="76" t="str">
        <f t="shared" si="13"/>
        <v/>
      </c>
      <c r="AF199" s="77"/>
      <c r="AG199" s="73"/>
      <c r="AH199" s="77"/>
      <c r="AI199" s="73"/>
      <c r="AJ199" s="78" t="str">
        <f t="shared" si="14"/>
        <v/>
      </c>
      <c r="AK199" s="79" t="str">
        <f t="shared" si="15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2"/>
        <v/>
      </c>
      <c r="AE200" s="76" t="str">
        <f t="shared" si="13"/>
        <v/>
      </c>
      <c r="AF200" s="77"/>
      <c r="AG200" s="73"/>
      <c r="AH200" s="77"/>
      <c r="AI200" s="73"/>
      <c r="AJ200" s="78" t="str">
        <f t="shared" si="14"/>
        <v/>
      </c>
      <c r="AK200" s="79" t="str">
        <f t="shared" si="15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2"/>
        <v/>
      </c>
      <c r="AE201" s="76" t="str">
        <f t="shared" si="13"/>
        <v/>
      </c>
      <c r="AF201" s="77"/>
      <c r="AG201" s="73"/>
      <c r="AH201" s="77"/>
      <c r="AI201" s="73"/>
      <c r="AJ201" s="78" t="str">
        <f t="shared" si="14"/>
        <v/>
      </c>
      <c r="AK201" s="79" t="str">
        <f t="shared" si="15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2"/>
        <v/>
      </c>
      <c r="AE202" s="76" t="str">
        <f t="shared" si="13"/>
        <v/>
      </c>
      <c r="AF202" s="77"/>
      <c r="AG202" s="73"/>
      <c r="AH202" s="77"/>
      <c r="AI202" s="73"/>
      <c r="AJ202" s="78" t="str">
        <f t="shared" si="14"/>
        <v/>
      </c>
      <c r="AK202" s="79" t="str">
        <f t="shared" si="15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2"/>
        <v/>
      </c>
      <c r="AE203" s="76" t="str">
        <f t="shared" si="13"/>
        <v/>
      </c>
      <c r="AF203" s="77"/>
      <c r="AG203" s="73"/>
      <c r="AH203" s="77"/>
      <c r="AI203" s="73"/>
      <c r="AJ203" s="78" t="str">
        <f t="shared" si="14"/>
        <v/>
      </c>
      <c r="AK203" s="79" t="str">
        <f t="shared" si="15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2"/>
        <v/>
      </c>
      <c r="AE204" s="76" t="str">
        <f t="shared" si="13"/>
        <v/>
      </c>
      <c r="AF204" s="77"/>
      <c r="AG204" s="73"/>
      <c r="AH204" s="77"/>
      <c r="AI204" s="73"/>
      <c r="AJ204" s="78" t="str">
        <f t="shared" si="14"/>
        <v/>
      </c>
      <c r="AK204" s="79" t="str">
        <f t="shared" si="15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2"/>
        <v/>
      </c>
      <c r="AE205" s="76" t="str">
        <f t="shared" si="13"/>
        <v/>
      </c>
      <c r="AF205" s="77"/>
      <c r="AG205" s="73"/>
      <c r="AH205" s="77"/>
      <c r="AI205" s="73"/>
      <c r="AJ205" s="78" t="str">
        <f t="shared" si="14"/>
        <v/>
      </c>
      <c r="AK205" s="79" t="str">
        <f t="shared" si="15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2"/>
        <v/>
      </c>
      <c r="AE206" s="76" t="str">
        <f t="shared" si="13"/>
        <v/>
      </c>
      <c r="AF206" s="77"/>
      <c r="AG206" s="73"/>
      <c r="AH206" s="77"/>
      <c r="AI206" s="73"/>
      <c r="AJ206" s="78" t="str">
        <f t="shared" si="14"/>
        <v/>
      </c>
      <c r="AK206" s="79" t="str">
        <f t="shared" si="15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2"/>
        <v/>
      </c>
      <c r="AE207" s="76" t="str">
        <f t="shared" si="13"/>
        <v/>
      </c>
      <c r="AF207" s="77"/>
      <c r="AG207" s="73"/>
      <c r="AH207" s="77"/>
      <c r="AI207" s="73"/>
      <c r="AJ207" s="78" t="str">
        <f t="shared" si="14"/>
        <v/>
      </c>
      <c r="AK207" s="79" t="str">
        <f t="shared" si="15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2"/>
        <v/>
      </c>
      <c r="AE208" s="76" t="str">
        <f t="shared" si="13"/>
        <v/>
      </c>
      <c r="AF208" s="77"/>
      <c r="AG208" s="73"/>
      <c r="AH208" s="77"/>
      <c r="AI208" s="73"/>
      <c r="AJ208" s="78" t="str">
        <f t="shared" si="14"/>
        <v/>
      </c>
      <c r="AK208" s="79" t="str">
        <f t="shared" si="15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2"/>
        <v/>
      </c>
      <c r="AE209" s="76" t="str">
        <f t="shared" si="13"/>
        <v/>
      </c>
      <c r="AF209" s="77"/>
      <c r="AG209" s="73"/>
      <c r="AH209" s="77"/>
      <c r="AI209" s="73"/>
      <c r="AJ209" s="78" t="str">
        <f t="shared" si="14"/>
        <v/>
      </c>
      <c r="AK209" s="79" t="str">
        <f t="shared" si="15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2"/>
        <v/>
      </c>
      <c r="AE210" s="76" t="str">
        <f t="shared" si="13"/>
        <v/>
      </c>
      <c r="AF210" s="77"/>
      <c r="AG210" s="73"/>
      <c r="AH210" s="77"/>
      <c r="AI210" s="73"/>
      <c r="AJ210" s="78" t="str">
        <f t="shared" si="14"/>
        <v/>
      </c>
      <c r="AK210" s="79" t="str">
        <f t="shared" si="15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2"/>
        <v/>
      </c>
      <c r="AE211" s="76" t="str">
        <f t="shared" si="13"/>
        <v/>
      </c>
      <c r="AF211" s="77"/>
      <c r="AG211" s="73"/>
      <c r="AH211" s="77"/>
      <c r="AI211" s="73"/>
      <c r="AJ211" s="78" t="str">
        <f t="shared" si="14"/>
        <v/>
      </c>
      <c r="AK211" s="79" t="str">
        <f t="shared" si="15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2"/>
        <v/>
      </c>
      <c r="AE212" s="76" t="str">
        <f t="shared" si="13"/>
        <v/>
      </c>
      <c r="AF212" s="77"/>
      <c r="AG212" s="73"/>
      <c r="AH212" s="77"/>
      <c r="AI212" s="73"/>
      <c r="AJ212" s="78" t="str">
        <f t="shared" si="14"/>
        <v/>
      </c>
      <c r="AK212" s="79" t="str">
        <f t="shared" si="15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2"/>
        <v/>
      </c>
      <c r="AE213" s="76" t="str">
        <f t="shared" si="13"/>
        <v/>
      </c>
      <c r="AF213" s="77"/>
      <c r="AG213" s="73"/>
      <c r="AH213" s="77"/>
      <c r="AI213" s="73"/>
      <c r="AJ213" s="78" t="str">
        <f t="shared" si="14"/>
        <v/>
      </c>
      <c r="AK213" s="79" t="str">
        <f t="shared" si="15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2"/>
        <v/>
      </c>
      <c r="AE214" s="76" t="str">
        <f t="shared" si="13"/>
        <v/>
      </c>
      <c r="AF214" s="77"/>
      <c r="AG214" s="73"/>
      <c r="AH214" s="77"/>
      <c r="AI214" s="73"/>
      <c r="AJ214" s="78" t="str">
        <f t="shared" si="14"/>
        <v/>
      </c>
      <c r="AK214" s="79" t="str">
        <f t="shared" si="15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2"/>
        <v/>
      </c>
      <c r="AE215" s="76" t="str">
        <f t="shared" si="13"/>
        <v/>
      </c>
      <c r="AF215" s="77"/>
      <c r="AG215" s="73"/>
      <c r="AH215" s="77"/>
      <c r="AI215" s="73"/>
      <c r="AJ215" s="78" t="str">
        <f t="shared" si="14"/>
        <v/>
      </c>
      <c r="AK215" s="79" t="str">
        <f t="shared" si="15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2"/>
        <v/>
      </c>
      <c r="AE216" s="76" t="str">
        <f t="shared" si="13"/>
        <v/>
      </c>
      <c r="AF216" s="77"/>
      <c r="AG216" s="73"/>
      <c r="AH216" s="77"/>
      <c r="AI216" s="73"/>
      <c r="AJ216" s="78" t="str">
        <f t="shared" si="14"/>
        <v/>
      </c>
      <c r="AK216" s="79" t="str">
        <f t="shared" si="15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2"/>
        <v/>
      </c>
      <c r="AE217" s="76" t="str">
        <f t="shared" si="13"/>
        <v/>
      </c>
      <c r="AF217" s="77"/>
      <c r="AG217" s="73"/>
      <c r="AH217" s="77"/>
      <c r="AI217" s="73"/>
      <c r="AJ217" s="78" t="str">
        <f t="shared" si="14"/>
        <v/>
      </c>
      <c r="AK217" s="79" t="str">
        <f t="shared" si="15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2"/>
        <v/>
      </c>
      <c r="AE218" s="76" t="str">
        <f t="shared" si="13"/>
        <v/>
      </c>
      <c r="AF218" s="77"/>
      <c r="AG218" s="73"/>
      <c r="AH218" s="77"/>
      <c r="AI218" s="73"/>
      <c r="AJ218" s="78" t="str">
        <f t="shared" si="14"/>
        <v/>
      </c>
      <c r="AK218" s="79" t="str">
        <f t="shared" si="15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2"/>
        <v/>
      </c>
      <c r="AE219" s="76" t="str">
        <f t="shared" si="13"/>
        <v/>
      </c>
      <c r="AF219" s="77"/>
      <c r="AG219" s="73"/>
      <c r="AH219" s="77"/>
      <c r="AI219" s="73"/>
      <c r="AJ219" s="78" t="str">
        <f t="shared" si="14"/>
        <v/>
      </c>
      <c r="AK219" s="79" t="str">
        <f t="shared" si="15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2"/>
        <v/>
      </c>
      <c r="AE220" s="76" t="str">
        <f t="shared" si="13"/>
        <v/>
      </c>
      <c r="AF220" s="77"/>
      <c r="AG220" s="73"/>
      <c r="AH220" s="77"/>
      <c r="AI220" s="73"/>
      <c r="AJ220" s="78" t="str">
        <f t="shared" si="14"/>
        <v/>
      </c>
      <c r="AK220" s="79" t="str">
        <f t="shared" si="15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2"/>
        <v/>
      </c>
      <c r="AE221" s="76" t="str">
        <f t="shared" si="13"/>
        <v/>
      </c>
      <c r="AF221" s="77"/>
      <c r="AG221" s="73"/>
      <c r="AH221" s="77"/>
      <c r="AI221" s="73"/>
      <c r="AJ221" s="78" t="str">
        <f t="shared" si="14"/>
        <v/>
      </c>
      <c r="AK221" s="79" t="str">
        <f t="shared" si="15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2"/>
        <v/>
      </c>
      <c r="AE222" s="76" t="str">
        <f t="shared" si="13"/>
        <v/>
      </c>
      <c r="AF222" s="77"/>
      <c r="AG222" s="73"/>
      <c r="AH222" s="77"/>
      <c r="AI222" s="73"/>
      <c r="AJ222" s="78" t="str">
        <f t="shared" si="14"/>
        <v/>
      </c>
      <c r="AK222" s="79" t="str">
        <f t="shared" si="15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2"/>
        <v/>
      </c>
      <c r="AE223" s="76" t="str">
        <f t="shared" si="13"/>
        <v/>
      </c>
      <c r="AF223" s="77"/>
      <c r="AG223" s="73"/>
      <c r="AH223" s="77"/>
      <c r="AI223" s="73"/>
      <c r="AJ223" s="78" t="str">
        <f t="shared" si="14"/>
        <v/>
      </c>
      <c r="AK223" s="79" t="str">
        <f t="shared" si="15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2"/>
        <v/>
      </c>
      <c r="AE224" s="76" t="str">
        <f t="shared" si="13"/>
        <v/>
      </c>
      <c r="AF224" s="77"/>
      <c r="AG224" s="73"/>
      <c r="AH224" s="77"/>
      <c r="AI224" s="73"/>
      <c r="AJ224" s="78" t="str">
        <f t="shared" si="14"/>
        <v/>
      </c>
      <c r="AK224" s="79" t="str">
        <f t="shared" si="15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2"/>
        <v/>
      </c>
      <c r="AE225" s="76" t="str">
        <f t="shared" si="13"/>
        <v/>
      </c>
      <c r="AF225" s="77"/>
      <c r="AG225" s="73"/>
      <c r="AH225" s="77"/>
      <c r="AI225" s="73"/>
      <c r="AJ225" s="78" t="str">
        <f t="shared" si="14"/>
        <v/>
      </c>
      <c r="AK225" s="79" t="str">
        <f t="shared" si="15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2"/>
        <v/>
      </c>
      <c r="AE226" s="76" t="str">
        <f t="shared" si="13"/>
        <v/>
      </c>
      <c r="AF226" s="77"/>
      <c r="AG226" s="73"/>
      <c r="AH226" s="77"/>
      <c r="AI226" s="73"/>
      <c r="AJ226" s="78" t="str">
        <f t="shared" si="14"/>
        <v/>
      </c>
      <c r="AK226" s="79" t="str">
        <f t="shared" si="15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2"/>
        <v/>
      </c>
      <c r="AE227" s="76" t="str">
        <f t="shared" si="13"/>
        <v/>
      </c>
      <c r="AF227" s="77"/>
      <c r="AG227" s="73"/>
      <c r="AH227" s="77"/>
      <c r="AI227" s="73"/>
      <c r="AJ227" s="78" t="str">
        <f t="shared" si="14"/>
        <v/>
      </c>
      <c r="AK227" s="79" t="str">
        <f t="shared" si="15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2"/>
        <v/>
      </c>
      <c r="AE228" s="76" t="str">
        <f t="shared" si="13"/>
        <v/>
      </c>
      <c r="AF228" s="77"/>
      <c r="AG228" s="73"/>
      <c r="AH228" s="77"/>
      <c r="AI228" s="73"/>
      <c r="AJ228" s="78" t="str">
        <f t="shared" si="14"/>
        <v/>
      </c>
      <c r="AK228" s="79" t="str">
        <f t="shared" si="15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2"/>
        <v/>
      </c>
      <c r="AE229" s="76" t="str">
        <f t="shared" si="13"/>
        <v/>
      </c>
      <c r="AF229" s="77"/>
      <c r="AG229" s="73"/>
      <c r="AH229" s="77"/>
      <c r="AI229" s="73"/>
      <c r="AJ229" s="78" t="str">
        <f t="shared" si="14"/>
        <v/>
      </c>
      <c r="AK229" s="79" t="str">
        <f t="shared" si="15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2"/>
        <v/>
      </c>
      <c r="AE230" s="76" t="str">
        <f t="shared" si="13"/>
        <v/>
      </c>
      <c r="AF230" s="77"/>
      <c r="AG230" s="73"/>
      <c r="AH230" s="77"/>
      <c r="AI230" s="73"/>
      <c r="AJ230" s="78" t="str">
        <f t="shared" si="14"/>
        <v/>
      </c>
      <c r="AK230" s="79" t="str">
        <f t="shared" si="15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2"/>
        <v/>
      </c>
      <c r="AE231" s="76" t="str">
        <f t="shared" si="13"/>
        <v/>
      </c>
      <c r="AF231" s="77"/>
      <c r="AG231" s="73"/>
      <c r="AH231" s="77"/>
      <c r="AI231" s="73"/>
      <c r="AJ231" s="78" t="str">
        <f t="shared" si="14"/>
        <v/>
      </c>
      <c r="AK231" s="79" t="str">
        <f t="shared" si="15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2"/>
        <v/>
      </c>
      <c r="AE232" s="76" t="str">
        <f t="shared" si="13"/>
        <v/>
      </c>
      <c r="AF232" s="77"/>
      <c r="AG232" s="73"/>
      <c r="AH232" s="77"/>
      <c r="AI232" s="73"/>
      <c r="AJ232" s="78" t="str">
        <f t="shared" si="14"/>
        <v/>
      </c>
      <c r="AK232" s="79" t="str">
        <f t="shared" si="15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2"/>
        <v/>
      </c>
      <c r="AE233" s="76" t="str">
        <f t="shared" si="13"/>
        <v/>
      </c>
      <c r="AF233" s="77"/>
      <c r="AG233" s="73"/>
      <c r="AH233" s="77"/>
      <c r="AI233" s="73"/>
      <c r="AJ233" s="78" t="str">
        <f t="shared" si="14"/>
        <v/>
      </c>
      <c r="AK233" s="79" t="str">
        <f t="shared" si="15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2"/>
        <v/>
      </c>
      <c r="AE234" s="76" t="str">
        <f t="shared" si="13"/>
        <v/>
      </c>
      <c r="AF234" s="77"/>
      <c r="AG234" s="73"/>
      <c r="AH234" s="77"/>
      <c r="AI234" s="73"/>
      <c r="AJ234" s="78" t="str">
        <f t="shared" si="14"/>
        <v/>
      </c>
      <c r="AK234" s="79" t="str">
        <f t="shared" si="15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2"/>
        <v/>
      </c>
      <c r="AE235" s="76" t="str">
        <f t="shared" si="13"/>
        <v/>
      </c>
      <c r="AF235" s="77"/>
      <c r="AG235" s="73"/>
      <c r="AH235" s="77"/>
      <c r="AI235" s="73"/>
      <c r="AJ235" s="78" t="str">
        <f t="shared" si="14"/>
        <v/>
      </c>
      <c r="AK235" s="79" t="str">
        <f t="shared" si="15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2"/>
        <v/>
      </c>
      <c r="AE236" s="76" t="str">
        <f t="shared" si="13"/>
        <v/>
      </c>
      <c r="AF236" s="77"/>
      <c r="AG236" s="73"/>
      <c r="AH236" s="77"/>
      <c r="AI236" s="73"/>
      <c r="AJ236" s="78" t="str">
        <f t="shared" si="14"/>
        <v/>
      </c>
      <c r="AK236" s="79" t="str">
        <f t="shared" si="15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2"/>
        <v/>
      </c>
      <c r="AE237" s="76" t="str">
        <f t="shared" si="13"/>
        <v/>
      </c>
      <c r="AF237" s="77"/>
      <c r="AG237" s="73"/>
      <c r="AH237" s="77"/>
      <c r="AI237" s="73"/>
      <c r="AJ237" s="78" t="str">
        <f t="shared" si="14"/>
        <v/>
      </c>
      <c r="AK237" s="79" t="str">
        <f t="shared" si="15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2"/>
        <v/>
      </c>
      <c r="AE238" s="76" t="str">
        <f t="shared" si="13"/>
        <v/>
      </c>
      <c r="AF238" s="77"/>
      <c r="AG238" s="73"/>
      <c r="AH238" s="77"/>
      <c r="AI238" s="73"/>
      <c r="AJ238" s="78" t="str">
        <f t="shared" si="14"/>
        <v/>
      </c>
      <c r="AK238" s="79" t="str">
        <f t="shared" si="15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2"/>
        <v/>
      </c>
      <c r="AE239" s="76" t="str">
        <f t="shared" si="13"/>
        <v/>
      </c>
      <c r="AF239" s="77"/>
      <c r="AG239" s="73"/>
      <c r="AH239" s="77"/>
      <c r="AI239" s="73"/>
      <c r="AJ239" s="78" t="str">
        <f t="shared" si="14"/>
        <v/>
      </c>
      <c r="AK239" s="79" t="str">
        <f t="shared" si="15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2"/>
        <v/>
      </c>
      <c r="AE240" s="76" t="str">
        <f t="shared" si="13"/>
        <v/>
      </c>
      <c r="AF240" s="77"/>
      <c r="AG240" s="73"/>
      <c r="AH240" s="77"/>
      <c r="AI240" s="73"/>
      <c r="AJ240" s="78" t="str">
        <f t="shared" si="14"/>
        <v/>
      </c>
      <c r="AK240" s="79" t="str">
        <f t="shared" si="15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2"/>
        <v/>
      </c>
      <c r="AE241" s="76" t="str">
        <f t="shared" si="13"/>
        <v/>
      </c>
      <c r="AF241" s="77"/>
      <c r="AG241" s="73"/>
      <c r="AH241" s="77"/>
      <c r="AI241" s="73"/>
      <c r="AJ241" s="78" t="str">
        <f t="shared" si="14"/>
        <v/>
      </c>
      <c r="AK241" s="79" t="str">
        <f t="shared" si="15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2"/>
        <v/>
      </c>
      <c r="AE242" s="76" t="str">
        <f t="shared" si="13"/>
        <v/>
      </c>
      <c r="AF242" s="77"/>
      <c r="AG242" s="73"/>
      <c r="AH242" s="77"/>
      <c r="AI242" s="73"/>
      <c r="AJ242" s="78" t="str">
        <f t="shared" si="14"/>
        <v/>
      </c>
      <c r="AK242" s="79" t="str">
        <f t="shared" si="15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2"/>
        <v/>
      </c>
      <c r="AE243" s="76" t="str">
        <f t="shared" si="13"/>
        <v/>
      </c>
      <c r="AF243" s="77"/>
      <c r="AG243" s="73"/>
      <c r="AH243" s="77"/>
      <c r="AI243" s="73"/>
      <c r="AJ243" s="78" t="str">
        <f t="shared" si="14"/>
        <v/>
      </c>
      <c r="AK243" s="79" t="str">
        <f t="shared" si="15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2"/>
        <v/>
      </c>
      <c r="AE244" s="76" t="str">
        <f t="shared" si="13"/>
        <v/>
      </c>
      <c r="AF244" s="77"/>
      <c r="AG244" s="73"/>
      <c r="AH244" s="77"/>
      <c r="AI244" s="73"/>
      <c r="AJ244" s="78" t="str">
        <f t="shared" si="14"/>
        <v/>
      </c>
      <c r="AK244" s="79" t="str">
        <f t="shared" si="15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2"/>
        <v/>
      </c>
      <c r="AE245" s="76" t="str">
        <f t="shared" si="13"/>
        <v/>
      </c>
      <c r="AF245" s="77"/>
      <c r="AG245" s="73"/>
      <c r="AH245" s="77"/>
      <c r="AI245" s="73"/>
      <c r="AJ245" s="78" t="str">
        <f t="shared" si="14"/>
        <v/>
      </c>
      <c r="AK245" s="79" t="str">
        <f t="shared" si="15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2"/>
        <v/>
      </c>
      <c r="AE246" s="76" t="str">
        <f t="shared" si="13"/>
        <v/>
      </c>
      <c r="AF246" s="77"/>
      <c r="AG246" s="73"/>
      <c r="AH246" s="77"/>
      <c r="AI246" s="73"/>
      <c r="AJ246" s="78" t="str">
        <f t="shared" si="14"/>
        <v/>
      </c>
      <c r="AK246" s="79" t="str">
        <f t="shared" si="15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2"/>
        <v/>
      </c>
      <c r="AE247" s="76" t="str">
        <f t="shared" si="13"/>
        <v/>
      </c>
      <c r="AF247" s="77"/>
      <c r="AG247" s="73"/>
      <c r="AH247" s="77"/>
      <c r="AI247" s="73"/>
      <c r="AJ247" s="78" t="str">
        <f t="shared" si="14"/>
        <v/>
      </c>
      <c r="AK247" s="79" t="str">
        <f t="shared" si="15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2"/>
        <v/>
      </c>
      <c r="AE248" s="76" t="str">
        <f t="shared" si="13"/>
        <v/>
      </c>
      <c r="AF248" s="77"/>
      <c r="AG248" s="73"/>
      <c r="AH248" s="77"/>
      <c r="AI248" s="73"/>
      <c r="AJ248" s="78" t="str">
        <f t="shared" si="14"/>
        <v/>
      </c>
      <c r="AK248" s="79" t="str">
        <f t="shared" si="15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2"/>
        <v/>
      </c>
      <c r="AE249" s="76" t="str">
        <f t="shared" si="13"/>
        <v/>
      </c>
      <c r="AF249" s="77"/>
      <c r="AG249" s="73"/>
      <c r="AH249" s="77"/>
      <c r="AI249" s="73"/>
      <c r="AJ249" s="78" t="str">
        <f t="shared" si="14"/>
        <v/>
      </c>
      <c r="AK249" s="79" t="str">
        <f t="shared" si="15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2"/>
        <v/>
      </c>
      <c r="AE250" s="76" t="str">
        <f t="shared" si="13"/>
        <v/>
      </c>
      <c r="AF250" s="77"/>
      <c r="AG250" s="73"/>
      <c r="AH250" s="77"/>
      <c r="AI250" s="73"/>
      <c r="AJ250" s="78" t="str">
        <f t="shared" si="14"/>
        <v/>
      </c>
      <c r="AK250" s="79" t="str">
        <f t="shared" si="15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2"/>
        <v/>
      </c>
      <c r="AE251" s="76" t="str">
        <f t="shared" si="13"/>
        <v/>
      </c>
      <c r="AF251" s="77"/>
      <c r="AG251" s="73"/>
      <c r="AH251" s="77"/>
      <c r="AI251" s="73"/>
      <c r="AJ251" s="78" t="str">
        <f t="shared" si="14"/>
        <v/>
      </c>
      <c r="AK251" s="79" t="str">
        <f t="shared" si="15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2"/>
        <v/>
      </c>
      <c r="AE252" s="76" t="str">
        <f t="shared" si="13"/>
        <v/>
      </c>
      <c r="AF252" s="77"/>
      <c r="AG252" s="73"/>
      <c r="AH252" s="77"/>
      <c r="AI252" s="73"/>
      <c r="AJ252" s="78" t="str">
        <f t="shared" si="14"/>
        <v/>
      </c>
      <c r="AK252" s="79" t="str">
        <f t="shared" si="15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2"/>
        <v/>
      </c>
      <c r="AE253" s="76" t="str">
        <f t="shared" si="13"/>
        <v/>
      </c>
      <c r="AF253" s="77"/>
      <c r="AG253" s="73"/>
      <c r="AH253" s="77"/>
      <c r="AI253" s="73"/>
      <c r="AJ253" s="78" t="str">
        <f t="shared" si="14"/>
        <v/>
      </c>
      <c r="AK253" s="79" t="str">
        <f t="shared" si="15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2"/>
        <v/>
      </c>
      <c r="AE254" s="76" t="str">
        <f t="shared" si="13"/>
        <v/>
      </c>
      <c r="AF254" s="77"/>
      <c r="AG254" s="73"/>
      <c r="AH254" s="77"/>
      <c r="AI254" s="73"/>
      <c r="AJ254" s="78" t="str">
        <f t="shared" si="14"/>
        <v/>
      </c>
      <c r="AK254" s="79" t="str">
        <f t="shared" si="15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2"/>
        <v/>
      </c>
      <c r="AE255" s="76" t="str">
        <f t="shared" si="13"/>
        <v/>
      </c>
      <c r="AF255" s="77"/>
      <c r="AG255" s="73"/>
      <c r="AH255" s="77"/>
      <c r="AI255" s="73"/>
      <c r="AJ255" s="78" t="str">
        <f t="shared" si="14"/>
        <v/>
      </c>
      <c r="AK255" s="79" t="str">
        <f t="shared" si="15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2"/>
        <v/>
      </c>
      <c r="AE256" s="76" t="str">
        <f t="shared" si="13"/>
        <v/>
      </c>
      <c r="AF256" s="77"/>
      <c r="AG256" s="73"/>
      <c r="AH256" s="77"/>
      <c r="AI256" s="73"/>
      <c r="AJ256" s="78" t="str">
        <f t="shared" si="14"/>
        <v/>
      </c>
      <c r="AK256" s="79" t="str">
        <f t="shared" si="15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2"/>
        <v/>
      </c>
      <c r="AE257" s="76" t="str">
        <f t="shared" si="13"/>
        <v/>
      </c>
      <c r="AF257" s="77"/>
      <c r="AG257" s="73"/>
      <c r="AH257" s="77"/>
      <c r="AI257" s="73"/>
      <c r="AJ257" s="78" t="str">
        <f t="shared" si="14"/>
        <v/>
      </c>
      <c r="AK257" s="79" t="str">
        <f t="shared" si="15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2"/>
        <v/>
      </c>
      <c r="AE258" s="76" t="str">
        <f t="shared" si="13"/>
        <v/>
      </c>
      <c r="AF258" s="77"/>
      <c r="AG258" s="73"/>
      <c r="AH258" s="77"/>
      <c r="AI258" s="73"/>
      <c r="AJ258" s="78" t="str">
        <f t="shared" si="14"/>
        <v/>
      </c>
      <c r="AK258" s="79" t="str">
        <f t="shared" si="15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2"/>
        <v/>
      </c>
      <c r="AE259" s="76" t="str">
        <f t="shared" si="13"/>
        <v/>
      </c>
      <c r="AF259" s="77"/>
      <c r="AG259" s="73"/>
      <c r="AH259" s="77"/>
      <c r="AI259" s="73"/>
      <c r="AJ259" s="78" t="str">
        <f t="shared" si="14"/>
        <v/>
      </c>
      <c r="AK259" s="79" t="str">
        <f t="shared" si="15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16">IF(MIN(F260,J260,N260,R260,V260,Z260)&lt;&gt;0,MIN(F260,J260,N260,R260,V260,Z260),"")</f>
        <v/>
      </c>
      <c r="AE260" s="76" t="str">
        <f t="shared" ref="AE260:AE323" si="17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18">IF(AD260="","",IF(ISBLANK(AF260),"En cours",AD260+AF260))</f>
        <v/>
      </c>
      <c r="AK260" s="79" t="str">
        <f t="shared" ref="AK260:AK323" si="19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16"/>
        <v/>
      </c>
      <c r="AE261" s="76" t="str">
        <f t="shared" si="17"/>
        <v/>
      </c>
      <c r="AF261" s="77"/>
      <c r="AG261" s="73"/>
      <c r="AH261" s="77"/>
      <c r="AI261" s="73"/>
      <c r="AJ261" s="78" t="str">
        <f t="shared" si="18"/>
        <v/>
      </c>
      <c r="AK261" s="79" t="str">
        <f t="shared" si="19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16"/>
        <v/>
      </c>
      <c r="AE262" s="76" t="str">
        <f t="shared" si="17"/>
        <v/>
      </c>
      <c r="AF262" s="77"/>
      <c r="AG262" s="73"/>
      <c r="AH262" s="77"/>
      <c r="AI262" s="73"/>
      <c r="AJ262" s="78" t="str">
        <f t="shared" si="18"/>
        <v/>
      </c>
      <c r="AK262" s="79" t="str">
        <f t="shared" si="19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16"/>
        <v/>
      </c>
      <c r="AE263" s="76" t="str">
        <f t="shared" si="17"/>
        <v/>
      </c>
      <c r="AF263" s="77"/>
      <c r="AG263" s="73"/>
      <c r="AH263" s="77"/>
      <c r="AI263" s="73"/>
      <c r="AJ263" s="78" t="str">
        <f t="shared" si="18"/>
        <v/>
      </c>
      <c r="AK263" s="79" t="str">
        <f t="shared" si="19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16"/>
        <v/>
      </c>
      <c r="AE264" s="76" t="str">
        <f t="shared" si="17"/>
        <v/>
      </c>
      <c r="AF264" s="77"/>
      <c r="AG264" s="73"/>
      <c r="AH264" s="77"/>
      <c r="AI264" s="73"/>
      <c r="AJ264" s="78" t="str">
        <f t="shared" si="18"/>
        <v/>
      </c>
      <c r="AK264" s="79" t="str">
        <f t="shared" si="19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16"/>
        <v/>
      </c>
      <c r="AE265" s="76" t="str">
        <f t="shared" si="17"/>
        <v/>
      </c>
      <c r="AF265" s="77"/>
      <c r="AG265" s="73"/>
      <c r="AH265" s="77"/>
      <c r="AI265" s="73"/>
      <c r="AJ265" s="78" t="str">
        <f t="shared" si="18"/>
        <v/>
      </c>
      <c r="AK265" s="79" t="str">
        <f t="shared" si="19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16"/>
        <v/>
      </c>
      <c r="AE266" s="76" t="str">
        <f t="shared" si="17"/>
        <v/>
      </c>
      <c r="AF266" s="77"/>
      <c r="AG266" s="73"/>
      <c r="AH266" s="77"/>
      <c r="AI266" s="73"/>
      <c r="AJ266" s="78" t="str">
        <f t="shared" si="18"/>
        <v/>
      </c>
      <c r="AK266" s="79" t="str">
        <f t="shared" si="19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16"/>
        <v/>
      </c>
      <c r="AE267" s="76" t="str">
        <f t="shared" si="17"/>
        <v/>
      </c>
      <c r="AF267" s="77"/>
      <c r="AG267" s="73"/>
      <c r="AH267" s="77"/>
      <c r="AI267" s="73"/>
      <c r="AJ267" s="78" t="str">
        <f t="shared" si="18"/>
        <v/>
      </c>
      <c r="AK267" s="79" t="str">
        <f t="shared" si="19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16"/>
        <v/>
      </c>
      <c r="AE268" s="76" t="str">
        <f t="shared" si="17"/>
        <v/>
      </c>
      <c r="AF268" s="77"/>
      <c r="AG268" s="73"/>
      <c r="AH268" s="77"/>
      <c r="AI268" s="73"/>
      <c r="AJ268" s="78" t="str">
        <f t="shared" si="18"/>
        <v/>
      </c>
      <c r="AK268" s="79" t="str">
        <f t="shared" si="19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16"/>
        <v/>
      </c>
      <c r="AE269" s="76" t="str">
        <f t="shared" si="17"/>
        <v/>
      </c>
      <c r="AF269" s="77"/>
      <c r="AG269" s="73"/>
      <c r="AH269" s="77"/>
      <c r="AI269" s="73"/>
      <c r="AJ269" s="78" t="str">
        <f t="shared" si="18"/>
        <v/>
      </c>
      <c r="AK269" s="79" t="str">
        <f t="shared" si="19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16"/>
        <v/>
      </c>
      <c r="AE270" s="76" t="str">
        <f t="shared" si="17"/>
        <v/>
      </c>
      <c r="AF270" s="77"/>
      <c r="AG270" s="73"/>
      <c r="AH270" s="77"/>
      <c r="AI270" s="73"/>
      <c r="AJ270" s="78" t="str">
        <f t="shared" si="18"/>
        <v/>
      </c>
      <c r="AK270" s="79" t="str">
        <f t="shared" si="19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16"/>
        <v/>
      </c>
      <c r="AE271" s="76" t="str">
        <f t="shared" si="17"/>
        <v/>
      </c>
      <c r="AF271" s="77"/>
      <c r="AG271" s="73"/>
      <c r="AH271" s="77"/>
      <c r="AI271" s="73"/>
      <c r="AJ271" s="78" t="str">
        <f t="shared" si="18"/>
        <v/>
      </c>
      <c r="AK271" s="79" t="str">
        <f t="shared" si="19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16"/>
        <v/>
      </c>
      <c r="AE272" s="76" t="str">
        <f t="shared" si="17"/>
        <v/>
      </c>
      <c r="AF272" s="77"/>
      <c r="AG272" s="73"/>
      <c r="AH272" s="77"/>
      <c r="AI272" s="73"/>
      <c r="AJ272" s="78" t="str">
        <f t="shared" si="18"/>
        <v/>
      </c>
      <c r="AK272" s="79" t="str">
        <f t="shared" si="19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16"/>
        <v/>
      </c>
      <c r="AE273" s="76" t="str">
        <f t="shared" si="17"/>
        <v/>
      </c>
      <c r="AF273" s="77"/>
      <c r="AG273" s="73"/>
      <c r="AH273" s="77"/>
      <c r="AI273" s="73"/>
      <c r="AJ273" s="78" t="str">
        <f t="shared" si="18"/>
        <v/>
      </c>
      <c r="AK273" s="79" t="str">
        <f t="shared" si="19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16"/>
        <v/>
      </c>
      <c r="AE274" s="76" t="str">
        <f t="shared" si="17"/>
        <v/>
      </c>
      <c r="AF274" s="77"/>
      <c r="AG274" s="73"/>
      <c r="AH274" s="77"/>
      <c r="AI274" s="73"/>
      <c r="AJ274" s="78" t="str">
        <f t="shared" si="18"/>
        <v/>
      </c>
      <c r="AK274" s="79" t="str">
        <f t="shared" si="19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16"/>
        <v/>
      </c>
      <c r="AE275" s="76" t="str">
        <f t="shared" si="17"/>
        <v/>
      </c>
      <c r="AF275" s="77"/>
      <c r="AG275" s="73"/>
      <c r="AH275" s="77"/>
      <c r="AI275" s="73"/>
      <c r="AJ275" s="78" t="str">
        <f t="shared" si="18"/>
        <v/>
      </c>
      <c r="AK275" s="79" t="str">
        <f t="shared" si="19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16"/>
        <v/>
      </c>
      <c r="AE276" s="76" t="str">
        <f t="shared" si="17"/>
        <v/>
      </c>
      <c r="AF276" s="77"/>
      <c r="AG276" s="73"/>
      <c r="AH276" s="77"/>
      <c r="AI276" s="73"/>
      <c r="AJ276" s="78" t="str">
        <f t="shared" si="18"/>
        <v/>
      </c>
      <c r="AK276" s="79" t="str">
        <f t="shared" si="19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16"/>
        <v/>
      </c>
      <c r="AE277" s="76" t="str">
        <f t="shared" si="17"/>
        <v/>
      </c>
      <c r="AF277" s="77"/>
      <c r="AG277" s="73"/>
      <c r="AH277" s="77"/>
      <c r="AI277" s="73"/>
      <c r="AJ277" s="78" t="str">
        <f t="shared" si="18"/>
        <v/>
      </c>
      <c r="AK277" s="79" t="str">
        <f t="shared" si="19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16"/>
        <v/>
      </c>
      <c r="AE278" s="76" t="str">
        <f t="shared" si="17"/>
        <v/>
      </c>
      <c r="AF278" s="77"/>
      <c r="AG278" s="73"/>
      <c r="AH278" s="77"/>
      <c r="AI278" s="73"/>
      <c r="AJ278" s="78" t="str">
        <f t="shared" si="18"/>
        <v/>
      </c>
      <c r="AK278" s="79" t="str">
        <f t="shared" si="19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16"/>
        <v/>
      </c>
      <c r="AE279" s="76" t="str">
        <f t="shared" si="17"/>
        <v/>
      </c>
      <c r="AF279" s="77"/>
      <c r="AG279" s="73"/>
      <c r="AH279" s="77"/>
      <c r="AI279" s="73"/>
      <c r="AJ279" s="78" t="str">
        <f t="shared" si="18"/>
        <v/>
      </c>
      <c r="AK279" s="79" t="str">
        <f t="shared" si="19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16"/>
        <v/>
      </c>
      <c r="AE280" s="76" t="str">
        <f t="shared" si="17"/>
        <v/>
      </c>
      <c r="AF280" s="77"/>
      <c r="AG280" s="73"/>
      <c r="AH280" s="77"/>
      <c r="AI280" s="73"/>
      <c r="AJ280" s="78" t="str">
        <f t="shared" si="18"/>
        <v/>
      </c>
      <c r="AK280" s="79" t="str">
        <f t="shared" si="19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16"/>
        <v/>
      </c>
      <c r="AE281" s="76" t="str">
        <f t="shared" si="17"/>
        <v/>
      </c>
      <c r="AF281" s="77"/>
      <c r="AG281" s="73"/>
      <c r="AH281" s="77"/>
      <c r="AI281" s="73"/>
      <c r="AJ281" s="78" t="str">
        <f t="shared" si="18"/>
        <v/>
      </c>
      <c r="AK281" s="79" t="str">
        <f t="shared" si="19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16"/>
        <v/>
      </c>
      <c r="AE282" s="76" t="str">
        <f t="shared" si="17"/>
        <v/>
      </c>
      <c r="AF282" s="77"/>
      <c r="AG282" s="73"/>
      <c r="AH282" s="77"/>
      <c r="AI282" s="73"/>
      <c r="AJ282" s="78" t="str">
        <f t="shared" si="18"/>
        <v/>
      </c>
      <c r="AK282" s="79" t="str">
        <f t="shared" si="19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16"/>
        <v/>
      </c>
      <c r="AE283" s="76" t="str">
        <f t="shared" si="17"/>
        <v/>
      </c>
      <c r="AF283" s="77"/>
      <c r="AG283" s="73"/>
      <c r="AH283" s="77"/>
      <c r="AI283" s="73"/>
      <c r="AJ283" s="78" t="str">
        <f t="shared" si="18"/>
        <v/>
      </c>
      <c r="AK283" s="79" t="str">
        <f t="shared" si="19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16"/>
        <v/>
      </c>
      <c r="AE284" s="76" t="str">
        <f t="shared" si="17"/>
        <v/>
      </c>
      <c r="AF284" s="77"/>
      <c r="AG284" s="73"/>
      <c r="AH284" s="77"/>
      <c r="AI284" s="73"/>
      <c r="AJ284" s="78" t="str">
        <f t="shared" si="18"/>
        <v/>
      </c>
      <c r="AK284" s="79" t="str">
        <f t="shared" si="19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16"/>
        <v/>
      </c>
      <c r="AE285" s="76" t="str">
        <f t="shared" si="17"/>
        <v/>
      </c>
      <c r="AF285" s="77"/>
      <c r="AG285" s="73"/>
      <c r="AH285" s="77"/>
      <c r="AI285" s="73"/>
      <c r="AJ285" s="78" t="str">
        <f t="shared" si="18"/>
        <v/>
      </c>
      <c r="AK285" s="79" t="str">
        <f t="shared" si="19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16"/>
        <v/>
      </c>
      <c r="AE286" s="76" t="str">
        <f t="shared" si="17"/>
        <v/>
      </c>
      <c r="AF286" s="77"/>
      <c r="AG286" s="73"/>
      <c r="AH286" s="77"/>
      <c r="AI286" s="73"/>
      <c r="AJ286" s="78" t="str">
        <f t="shared" si="18"/>
        <v/>
      </c>
      <c r="AK286" s="79" t="str">
        <f t="shared" si="19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16"/>
        <v/>
      </c>
      <c r="AE287" s="76" t="str">
        <f t="shared" si="17"/>
        <v/>
      </c>
      <c r="AF287" s="77"/>
      <c r="AG287" s="73"/>
      <c r="AH287" s="77"/>
      <c r="AI287" s="73"/>
      <c r="AJ287" s="78" t="str">
        <f t="shared" si="18"/>
        <v/>
      </c>
      <c r="AK287" s="79" t="str">
        <f t="shared" si="19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16"/>
        <v/>
      </c>
      <c r="AE288" s="76" t="str">
        <f t="shared" si="17"/>
        <v/>
      </c>
      <c r="AF288" s="77"/>
      <c r="AG288" s="73"/>
      <c r="AH288" s="77"/>
      <c r="AI288" s="73"/>
      <c r="AJ288" s="78" t="str">
        <f t="shared" si="18"/>
        <v/>
      </c>
      <c r="AK288" s="79" t="str">
        <f t="shared" si="19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16"/>
        <v/>
      </c>
      <c r="AE289" s="76" t="str">
        <f t="shared" si="17"/>
        <v/>
      </c>
      <c r="AF289" s="77"/>
      <c r="AG289" s="73"/>
      <c r="AH289" s="77"/>
      <c r="AI289" s="73"/>
      <c r="AJ289" s="78" t="str">
        <f t="shared" si="18"/>
        <v/>
      </c>
      <c r="AK289" s="79" t="str">
        <f t="shared" si="19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16"/>
        <v/>
      </c>
      <c r="AE290" s="76" t="str">
        <f t="shared" si="17"/>
        <v/>
      </c>
      <c r="AF290" s="77"/>
      <c r="AG290" s="73"/>
      <c r="AH290" s="77"/>
      <c r="AI290" s="73"/>
      <c r="AJ290" s="78" t="str">
        <f t="shared" si="18"/>
        <v/>
      </c>
      <c r="AK290" s="79" t="str">
        <f t="shared" si="19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16"/>
        <v/>
      </c>
      <c r="AE291" s="76" t="str">
        <f t="shared" si="17"/>
        <v/>
      </c>
      <c r="AF291" s="77"/>
      <c r="AG291" s="73"/>
      <c r="AH291" s="77"/>
      <c r="AI291" s="73"/>
      <c r="AJ291" s="78" t="str">
        <f t="shared" si="18"/>
        <v/>
      </c>
      <c r="AK291" s="79" t="str">
        <f t="shared" si="19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16"/>
        <v/>
      </c>
      <c r="AE292" s="76" t="str">
        <f t="shared" si="17"/>
        <v/>
      </c>
      <c r="AF292" s="77"/>
      <c r="AG292" s="73"/>
      <c r="AH292" s="77"/>
      <c r="AI292" s="73"/>
      <c r="AJ292" s="78" t="str">
        <f t="shared" si="18"/>
        <v/>
      </c>
      <c r="AK292" s="79" t="str">
        <f t="shared" si="19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16"/>
        <v/>
      </c>
      <c r="AE293" s="76" t="str">
        <f t="shared" si="17"/>
        <v/>
      </c>
      <c r="AF293" s="77"/>
      <c r="AG293" s="73"/>
      <c r="AH293" s="77"/>
      <c r="AI293" s="73"/>
      <c r="AJ293" s="78" t="str">
        <f t="shared" si="18"/>
        <v/>
      </c>
      <c r="AK293" s="79" t="str">
        <f t="shared" si="19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16"/>
        <v/>
      </c>
      <c r="AE294" s="76" t="str">
        <f t="shared" si="17"/>
        <v/>
      </c>
      <c r="AF294" s="77"/>
      <c r="AG294" s="73"/>
      <c r="AH294" s="77"/>
      <c r="AI294" s="73"/>
      <c r="AJ294" s="78" t="str">
        <f t="shared" si="18"/>
        <v/>
      </c>
      <c r="AK294" s="79" t="str">
        <f t="shared" si="19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16"/>
        <v/>
      </c>
      <c r="AE295" s="76" t="str">
        <f t="shared" si="17"/>
        <v/>
      </c>
      <c r="AF295" s="77"/>
      <c r="AG295" s="73"/>
      <c r="AH295" s="77"/>
      <c r="AI295" s="73"/>
      <c r="AJ295" s="78" t="str">
        <f t="shared" si="18"/>
        <v/>
      </c>
      <c r="AK295" s="79" t="str">
        <f t="shared" si="19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16"/>
        <v/>
      </c>
      <c r="AE296" s="76" t="str">
        <f t="shared" si="17"/>
        <v/>
      </c>
      <c r="AF296" s="77"/>
      <c r="AG296" s="73"/>
      <c r="AH296" s="77"/>
      <c r="AI296" s="73"/>
      <c r="AJ296" s="78" t="str">
        <f t="shared" si="18"/>
        <v/>
      </c>
      <c r="AK296" s="79" t="str">
        <f t="shared" si="19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16"/>
        <v/>
      </c>
      <c r="AE297" s="76" t="str">
        <f t="shared" si="17"/>
        <v/>
      </c>
      <c r="AF297" s="77"/>
      <c r="AG297" s="73"/>
      <c r="AH297" s="77"/>
      <c r="AI297" s="73"/>
      <c r="AJ297" s="78" t="str">
        <f t="shared" si="18"/>
        <v/>
      </c>
      <c r="AK297" s="79" t="str">
        <f t="shared" si="19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16"/>
        <v/>
      </c>
      <c r="AE298" s="76" t="str">
        <f t="shared" si="17"/>
        <v/>
      </c>
      <c r="AF298" s="77"/>
      <c r="AG298" s="73"/>
      <c r="AH298" s="77"/>
      <c r="AI298" s="73"/>
      <c r="AJ298" s="78" t="str">
        <f t="shared" si="18"/>
        <v/>
      </c>
      <c r="AK298" s="79" t="str">
        <f t="shared" si="19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16"/>
        <v/>
      </c>
      <c r="AE299" s="76" t="str">
        <f t="shared" si="17"/>
        <v/>
      </c>
      <c r="AF299" s="77"/>
      <c r="AG299" s="73"/>
      <c r="AH299" s="77"/>
      <c r="AI299" s="73"/>
      <c r="AJ299" s="78" t="str">
        <f t="shared" si="18"/>
        <v/>
      </c>
      <c r="AK299" s="79" t="str">
        <f t="shared" si="19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16"/>
        <v/>
      </c>
      <c r="AE300" s="76" t="str">
        <f t="shared" si="17"/>
        <v/>
      </c>
      <c r="AF300" s="77"/>
      <c r="AG300" s="73"/>
      <c r="AH300" s="77"/>
      <c r="AI300" s="73"/>
      <c r="AJ300" s="78" t="str">
        <f t="shared" si="18"/>
        <v/>
      </c>
      <c r="AK300" s="79" t="str">
        <f t="shared" si="19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16"/>
        <v/>
      </c>
      <c r="AE301" s="76" t="str">
        <f t="shared" si="17"/>
        <v/>
      </c>
      <c r="AF301" s="77"/>
      <c r="AG301" s="73"/>
      <c r="AH301" s="77"/>
      <c r="AI301" s="73"/>
      <c r="AJ301" s="78" t="str">
        <f t="shared" si="18"/>
        <v/>
      </c>
      <c r="AK301" s="79" t="str">
        <f t="shared" si="19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16"/>
        <v/>
      </c>
      <c r="AE302" s="76" t="str">
        <f t="shared" si="17"/>
        <v/>
      </c>
      <c r="AF302" s="77"/>
      <c r="AG302" s="73"/>
      <c r="AH302" s="77"/>
      <c r="AI302" s="73"/>
      <c r="AJ302" s="78" t="str">
        <f t="shared" si="18"/>
        <v/>
      </c>
      <c r="AK302" s="79" t="str">
        <f t="shared" si="19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16"/>
        <v/>
      </c>
      <c r="AE303" s="76" t="str">
        <f t="shared" si="17"/>
        <v/>
      </c>
      <c r="AF303" s="77"/>
      <c r="AG303" s="73"/>
      <c r="AH303" s="77"/>
      <c r="AI303" s="73"/>
      <c r="AJ303" s="78" t="str">
        <f t="shared" si="18"/>
        <v/>
      </c>
      <c r="AK303" s="79" t="str">
        <f t="shared" si="19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16"/>
        <v/>
      </c>
      <c r="AE304" s="76" t="str">
        <f t="shared" si="17"/>
        <v/>
      </c>
      <c r="AF304" s="77"/>
      <c r="AG304" s="73"/>
      <c r="AH304" s="77"/>
      <c r="AI304" s="73"/>
      <c r="AJ304" s="78" t="str">
        <f t="shared" si="18"/>
        <v/>
      </c>
      <c r="AK304" s="79" t="str">
        <f t="shared" si="19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16"/>
        <v/>
      </c>
      <c r="AE305" s="76" t="str">
        <f t="shared" si="17"/>
        <v/>
      </c>
      <c r="AF305" s="77"/>
      <c r="AG305" s="73"/>
      <c r="AH305" s="77"/>
      <c r="AI305" s="73"/>
      <c r="AJ305" s="78" t="str">
        <f t="shared" si="18"/>
        <v/>
      </c>
      <c r="AK305" s="79" t="str">
        <f t="shared" si="19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16"/>
        <v/>
      </c>
      <c r="AE306" s="76" t="str">
        <f t="shared" si="17"/>
        <v/>
      </c>
      <c r="AF306" s="77"/>
      <c r="AG306" s="73"/>
      <c r="AH306" s="77"/>
      <c r="AI306" s="73"/>
      <c r="AJ306" s="78" t="str">
        <f t="shared" si="18"/>
        <v/>
      </c>
      <c r="AK306" s="79" t="str">
        <f t="shared" si="19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16"/>
        <v/>
      </c>
      <c r="AE307" s="76" t="str">
        <f t="shared" si="17"/>
        <v/>
      </c>
      <c r="AF307" s="77"/>
      <c r="AG307" s="73"/>
      <c r="AH307" s="77"/>
      <c r="AI307" s="73"/>
      <c r="AJ307" s="78" t="str">
        <f t="shared" si="18"/>
        <v/>
      </c>
      <c r="AK307" s="79" t="str">
        <f t="shared" si="19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16"/>
        <v/>
      </c>
      <c r="AE308" s="76" t="str">
        <f t="shared" si="17"/>
        <v/>
      </c>
      <c r="AF308" s="77"/>
      <c r="AG308" s="73"/>
      <c r="AH308" s="77"/>
      <c r="AI308" s="73"/>
      <c r="AJ308" s="78" t="str">
        <f t="shared" si="18"/>
        <v/>
      </c>
      <c r="AK308" s="79" t="str">
        <f t="shared" si="19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16"/>
        <v/>
      </c>
      <c r="AE309" s="76" t="str">
        <f t="shared" si="17"/>
        <v/>
      </c>
      <c r="AF309" s="77"/>
      <c r="AG309" s="73"/>
      <c r="AH309" s="77"/>
      <c r="AI309" s="73"/>
      <c r="AJ309" s="78" t="str">
        <f t="shared" si="18"/>
        <v/>
      </c>
      <c r="AK309" s="79" t="str">
        <f t="shared" si="19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16"/>
        <v/>
      </c>
      <c r="AE310" s="76" t="str">
        <f t="shared" si="17"/>
        <v/>
      </c>
      <c r="AF310" s="77"/>
      <c r="AG310" s="73"/>
      <c r="AH310" s="77"/>
      <c r="AI310" s="73"/>
      <c r="AJ310" s="78" t="str">
        <f t="shared" si="18"/>
        <v/>
      </c>
      <c r="AK310" s="79" t="str">
        <f t="shared" si="19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16"/>
        <v/>
      </c>
      <c r="AE311" s="76" t="str">
        <f t="shared" si="17"/>
        <v/>
      </c>
      <c r="AF311" s="77"/>
      <c r="AG311" s="73"/>
      <c r="AH311" s="77"/>
      <c r="AI311" s="73"/>
      <c r="AJ311" s="78" t="str">
        <f t="shared" si="18"/>
        <v/>
      </c>
      <c r="AK311" s="79" t="str">
        <f t="shared" si="19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16"/>
        <v/>
      </c>
      <c r="AE312" s="76" t="str">
        <f t="shared" si="17"/>
        <v/>
      </c>
      <c r="AF312" s="77"/>
      <c r="AG312" s="73"/>
      <c r="AH312" s="77"/>
      <c r="AI312" s="73"/>
      <c r="AJ312" s="78" t="str">
        <f t="shared" si="18"/>
        <v/>
      </c>
      <c r="AK312" s="79" t="str">
        <f t="shared" si="19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16"/>
        <v/>
      </c>
      <c r="AE313" s="76" t="str">
        <f t="shared" si="17"/>
        <v/>
      </c>
      <c r="AF313" s="77"/>
      <c r="AG313" s="73"/>
      <c r="AH313" s="77"/>
      <c r="AI313" s="73"/>
      <c r="AJ313" s="78" t="str">
        <f t="shared" si="18"/>
        <v/>
      </c>
      <c r="AK313" s="79" t="str">
        <f t="shared" si="19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16"/>
        <v/>
      </c>
      <c r="AE314" s="76" t="str">
        <f t="shared" si="17"/>
        <v/>
      </c>
      <c r="AF314" s="77"/>
      <c r="AG314" s="73"/>
      <c r="AH314" s="77"/>
      <c r="AI314" s="73"/>
      <c r="AJ314" s="78" t="str">
        <f t="shared" si="18"/>
        <v/>
      </c>
      <c r="AK314" s="79" t="str">
        <f t="shared" si="19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16"/>
        <v/>
      </c>
      <c r="AE315" s="76" t="str">
        <f t="shared" si="17"/>
        <v/>
      </c>
      <c r="AF315" s="77"/>
      <c r="AG315" s="73"/>
      <c r="AH315" s="77"/>
      <c r="AI315" s="73"/>
      <c r="AJ315" s="78" t="str">
        <f t="shared" si="18"/>
        <v/>
      </c>
      <c r="AK315" s="79" t="str">
        <f t="shared" si="19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16"/>
        <v/>
      </c>
      <c r="AE316" s="76" t="str">
        <f t="shared" si="17"/>
        <v/>
      </c>
      <c r="AF316" s="77"/>
      <c r="AG316" s="73"/>
      <c r="AH316" s="77"/>
      <c r="AI316" s="73"/>
      <c r="AJ316" s="78" t="str">
        <f t="shared" si="18"/>
        <v/>
      </c>
      <c r="AK316" s="79" t="str">
        <f t="shared" si="19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16"/>
        <v/>
      </c>
      <c r="AE317" s="76" t="str">
        <f t="shared" si="17"/>
        <v/>
      </c>
      <c r="AF317" s="77"/>
      <c r="AG317" s="73"/>
      <c r="AH317" s="77"/>
      <c r="AI317" s="73"/>
      <c r="AJ317" s="78" t="str">
        <f t="shared" si="18"/>
        <v/>
      </c>
      <c r="AK317" s="79" t="str">
        <f t="shared" si="19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16"/>
        <v/>
      </c>
      <c r="AE318" s="76" t="str">
        <f t="shared" si="17"/>
        <v/>
      </c>
      <c r="AF318" s="77"/>
      <c r="AG318" s="73"/>
      <c r="AH318" s="77"/>
      <c r="AI318" s="73"/>
      <c r="AJ318" s="78" t="str">
        <f t="shared" si="18"/>
        <v/>
      </c>
      <c r="AK318" s="79" t="str">
        <f t="shared" si="19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16"/>
        <v/>
      </c>
      <c r="AE319" s="76" t="str">
        <f t="shared" si="17"/>
        <v/>
      </c>
      <c r="AF319" s="77"/>
      <c r="AG319" s="73"/>
      <c r="AH319" s="77"/>
      <c r="AI319" s="73"/>
      <c r="AJ319" s="78" t="str">
        <f t="shared" si="18"/>
        <v/>
      </c>
      <c r="AK319" s="79" t="str">
        <f t="shared" si="19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16"/>
        <v/>
      </c>
      <c r="AE320" s="76" t="str">
        <f t="shared" si="17"/>
        <v/>
      </c>
      <c r="AF320" s="77"/>
      <c r="AG320" s="73"/>
      <c r="AH320" s="77"/>
      <c r="AI320" s="73"/>
      <c r="AJ320" s="78" t="str">
        <f t="shared" si="18"/>
        <v/>
      </c>
      <c r="AK320" s="79" t="str">
        <f t="shared" si="19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16"/>
        <v/>
      </c>
      <c r="AE321" s="76" t="str">
        <f t="shared" si="17"/>
        <v/>
      </c>
      <c r="AF321" s="77"/>
      <c r="AG321" s="73"/>
      <c r="AH321" s="77"/>
      <c r="AI321" s="73"/>
      <c r="AJ321" s="78" t="str">
        <f t="shared" si="18"/>
        <v/>
      </c>
      <c r="AK321" s="79" t="str">
        <f t="shared" si="19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16"/>
        <v/>
      </c>
      <c r="AE322" s="76" t="str">
        <f t="shared" si="17"/>
        <v/>
      </c>
      <c r="AF322" s="77"/>
      <c r="AG322" s="73"/>
      <c r="AH322" s="77"/>
      <c r="AI322" s="73"/>
      <c r="AJ322" s="78" t="str">
        <f t="shared" si="18"/>
        <v/>
      </c>
      <c r="AK322" s="79" t="str">
        <f t="shared" si="19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16"/>
        <v/>
      </c>
      <c r="AE323" s="76" t="str">
        <f t="shared" si="17"/>
        <v/>
      </c>
      <c r="AF323" s="77"/>
      <c r="AG323" s="73"/>
      <c r="AH323" s="77"/>
      <c r="AI323" s="73"/>
      <c r="AJ323" s="78" t="str">
        <f t="shared" si="18"/>
        <v/>
      </c>
      <c r="AK323" s="79" t="str">
        <f t="shared" si="19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0">IF(MIN(F324,J324,N324,R324,V324,Z324)&lt;&gt;0,MIN(F324,J324,N324,R324,V324,Z324),"")</f>
        <v/>
      </c>
      <c r="AE324" s="76" t="str">
        <f t="shared" ref="AE324:AE350" si="21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2">IF(AD324="","",IF(ISBLANK(AF324),"En cours",AD324+AF324))</f>
        <v/>
      </c>
      <c r="AK324" s="79" t="str">
        <f t="shared" ref="AK324:AK350" si="23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0"/>
        <v/>
      </c>
      <c r="AE325" s="76" t="str">
        <f t="shared" si="21"/>
        <v/>
      </c>
      <c r="AF325" s="77"/>
      <c r="AG325" s="73"/>
      <c r="AH325" s="77"/>
      <c r="AI325" s="73"/>
      <c r="AJ325" s="78" t="str">
        <f t="shared" si="22"/>
        <v/>
      </c>
      <c r="AK325" s="79" t="str">
        <f t="shared" si="23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0"/>
        <v/>
      </c>
      <c r="AE326" s="76" t="str">
        <f t="shared" si="21"/>
        <v/>
      </c>
      <c r="AF326" s="77"/>
      <c r="AG326" s="73"/>
      <c r="AH326" s="77"/>
      <c r="AI326" s="73"/>
      <c r="AJ326" s="78" t="str">
        <f t="shared" si="22"/>
        <v/>
      </c>
      <c r="AK326" s="79" t="str">
        <f t="shared" si="23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0"/>
        <v/>
      </c>
      <c r="AE327" s="76" t="str">
        <f t="shared" si="21"/>
        <v/>
      </c>
      <c r="AF327" s="77"/>
      <c r="AG327" s="73"/>
      <c r="AH327" s="77"/>
      <c r="AI327" s="73"/>
      <c r="AJ327" s="78" t="str">
        <f t="shared" si="22"/>
        <v/>
      </c>
      <c r="AK327" s="79" t="str">
        <f t="shared" si="23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0"/>
        <v/>
      </c>
      <c r="AE328" s="76" t="str">
        <f t="shared" si="21"/>
        <v/>
      </c>
      <c r="AF328" s="77"/>
      <c r="AG328" s="73"/>
      <c r="AH328" s="77"/>
      <c r="AI328" s="73"/>
      <c r="AJ328" s="78" t="str">
        <f t="shared" si="22"/>
        <v/>
      </c>
      <c r="AK328" s="79" t="str">
        <f t="shared" si="23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0"/>
        <v/>
      </c>
      <c r="AE329" s="76" t="str">
        <f t="shared" si="21"/>
        <v/>
      </c>
      <c r="AF329" s="77"/>
      <c r="AG329" s="73"/>
      <c r="AH329" s="77"/>
      <c r="AI329" s="73"/>
      <c r="AJ329" s="78" t="str">
        <f t="shared" si="22"/>
        <v/>
      </c>
      <c r="AK329" s="79" t="str">
        <f t="shared" si="23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0"/>
        <v/>
      </c>
      <c r="AE330" s="76" t="str">
        <f t="shared" si="21"/>
        <v/>
      </c>
      <c r="AF330" s="77"/>
      <c r="AG330" s="73"/>
      <c r="AH330" s="77"/>
      <c r="AI330" s="73"/>
      <c r="AJ330" s="78" t="str">
        <f t="shared" si="22"/>
        <v/>
      </c>
      <c r="AK330" s="79" t="str">
        <f t="shared" si="23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0"/>
        <v/>
      </c>
      <c r="AE331" s="76" t="str">
        <f t="shared" si="21"/>
        <v/>
      </c>
      <c r="AF331" s="77"/>
      <c r="AG331" s="73"/>
      <c r="AH331" s="77"/>
      <c r="AI331" s="73"/>
      <c r="AJ331" s="78" t="str">
        <f t="shared" si="22"/>
        <v/>
      </c>
      <c r="AK331" s="79" t="str">
        <f t="shared" si="23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0"/>
        <v/>
      </c>
      <c r="AE332" s="76" t="str">
        <f t="shared" si="21"/>
        <v/>
      </c>
      <c r="AF332" s="77"/>
      <c r="AG332" s="73"/>
      <c r="AH332" s="77"/>
      <c r="AI332" s="73"/>
      <c r="AJ332" s="78" t="str">
        <f t="shared" si="22"/>
        <v/>
      </c>
      <c r="AK332" s="79" t="str">
        <f t="shared" si="23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0"/>
        <v/>
      </c>
      <c r="AE333" s="76" t="str">
        <f t="shared" si="21"/>
        <v/>
      </c>
      <c r="AF333" s="77"/>
      <c r="AG333" s="73"/>
      <c r="AH333" s="77"/>
      <c r="AI333" s="73"/>
      <c r="AJ333" s="78" t="str">
        <f t="shared" si="22"/>
        <v/>
      </c>
      <c r="AK333" s="79" t="str">
        <f t="shared" si="23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0"/>
        <v/>
      </c>
      <c r="AE334" s="76" t="str">
        <f t="shared" si="21"/>
        <v/>
      </c>
      <c r="AF334" s="77"/>
      <c r="AG334" s="73"/>
      <c r="AH334" s="77"/>
      <c r="AI334" s="73"/>
      <c r="AJ334" s="78" t="str">
        <f t="shared" si="22"/>
        <v/>
      </c>
      <c r="AK334" s="79" t="str">
        <f t="shared" si="23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0"/>
        <v/>
      </c>
      <c r="AE335" s="76" t="str">
        <f t="shared" si="21"/>
        <v/>
      </c>
      <c r="AF335" s="77"/>
      <c r="AG335" s="73"/>
      <c r="AH335" s="77"/>
      <c r="AI335" s="73"/>
      <c r="AJ335" s="78" t="str">
        <f t="shared" si="22"/>
        <v/>
      </c>
      <c r="AK335" s="79" t="str">
        <f t="shared" si="23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0"/>
        <v/>
      </c>
      <c r="AE336" s="76" t="str">
        <f t="shared" si="21"/>
        <v/>
      </c>
      <c r="AF336" s="77"/>
      <c r="AG336" s="73"/>
      <c r="AH336" s="77"/>
      <c r="AI336" s="73"/>
      <c r="AJ336" s="78" t="str">
        <f t="shared" si="22"/>
        <v/>
      </c>
      <c r="AK336" s="79" t="str">
        <f t="shared" si="23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0"/>
        <v/>
      </c>
      <c r="AE337" s="76" t="str">
        <f t="shared" si="21"/>
        <v/>
      </c>
      <c r="AF337" s="77"/>
      <c r="AG337" s="73"/>
      <c r="AH337" s="77"/>
      <c r="AI337" s="73"/>
      <c r="AJ337" s="78" t="str">
        <f t="shared" si="22"/>
        <v/>
      </c>
      <c r="AK337" s="79" t="str">
        <f t="shared" si="23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0"/>
        <v/>
      </c>
      <c r="AE338" s="76" t="str">
        <f t="shared" si="21"/>
        <v/>
      </c>
      <c r="AF338" s="77"/>
      <c r="AG338" s="73"/>
      <c r="AH338" s="77"/>
      <c r="AI338" s="73"/>
      <c r="AJ338" s="78" t="str">
        <f t="shared" si="22"/>
        <v/>
      </c>
      <c r="AK338" s="79" t="str">
        <f t="shared" si="23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0"/>
        <v/>
      </c>
      <c r="AE339" s="76" t="str">
        <f t="shared" si="21"/>
        <v/>
      </c>
      <c r="AF339" s="77"/>
      <c r="AG339" s="73"/>
      <c r="AH339" s="77"/>
      <c r="AI339" s="73"/>
      <c r="AJ339" s="78" t="str">
        <f t="shared" si="22"/>
        <v/>
      </c>
      <c r="AK339" s="79" t="str">
        <f t="shared" si="23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0"/>
        <v/>
      </c>
      <c r="AE340" s="76" t="str">
        <f t="shared" si="21"/>
        <v/>
      </c>
      <c r="AF340" s="77"/>
      <c r="AG340" s="73"/>
      <c r="AH340" s="77"/>
      <c r="AI340" s="73"/>
      <c r="AJ340" s="78" t="str">
        <f t="shared" si="22"/>
        <v/>
      </c>
      <c r="AK340" s="79" t="str">
        <f t="shared" si="23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0"/>
        <v/>
      </c>
      <c r="AE341" s="76" t="str">
        <f t="shared" si="21"/>
        <v/>
      </c>
      <c r="AF341" s="77"/>
      <c r="AG341" s="73"/>
      <c r="AH341" s="77"/>
      <c r="AI341" s="73"/>
      <c r="AJ341" s="78" t="str">
        <f t="shared" si="22"/>
        <v/>
      </c>
      <c r="AK341" s="79" t="str">
        <f t="shared" si="23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0"/>
        <v/>
      </c>
      <c r="AE342" s="76" t="str">
        <f t="shared" si="21"/>
        <v/>
      </c>
      <c r="AF342" s="77"/>
      <c r="AG342" s="73"/>
      <c r="AH342" s="77"/>
      <c r="AI342" s="73"/>
      <c r="AJ342" s="78" t="str">
        <f t="shared" si="22"/>
        <v/>
      </c>
      <c r="AK342" s="79" t="str">
        <f t="shared" si="23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0"/>
        <v/>
      </c>
      <c r="AE343" s="76" t="str">
        <f t="shared" si="21"/>
        <v/>
      </c>
      <c r="AF343" s="77"/>
      <c r="AG343" s="73"/>
      <c r="AH343" s="77"/>
      <c r="AI343" s="73"/>
      <c r="AJ343" s="78" t="str">
        <f t="shared" si="22"/>
        <v/>
      </c>
      <c r="AK343" s="79" t="str">
        <f t="shared" si="23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0"/>
        <v/>
      </c>
      <c r="AE344" s="76" t="str">
        <f t="shared" si="21"/>
        <v/>
      </c>
      <c r="AF344" s="77"/>
      <c r="AG344" s="73"/>
      <c r="AH344" s="77"/>
      <c r="AI344" s="73"/>
      <c r="AJ344" s="78" t="str">
        <f t="shared" si="22"/>
        <v/>
      </c>
      <c r="AK344" s="79" t="str">
        <f t="shared" si="23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0"/>
        <v/>
      </c>
      <c r="AE345" s="76" t="str">
        <f t="shared" si="21"/>
        <v/>
      </c>
      <c r="AF345" s="77"/>
      <c r="AG345" s="73"/>
      <c r="AH345" s="77"/>
      <c r="AI345" s="73"/>
      <c r="AJ345" s="78" t="str">
        <f t="shared" si="22"/>
        <v/>
      </c>
      <c r="AK345" s="79" t="str">
        <f t="shared" si="23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0"/>
        <v/>
      </c>
      <c r="AE346" s="76" t="str">
        <f t="shared" si="21"/>
        <v/>
      </c>
      <c r="AF346" s="77"/>
      <c r="AG346" s="73"/>
      <c r="AH346" s="77"/>
      <c r="AI346" s="73"/>
      <c r="AJ346" s="78" t="str">
        <f t="shared" si="22"/>
        <v/>
      </c>
      <c r="AK346" s="79" t="str">
        <f t="shared" si="23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0"/>
        <v/>
      </c>
      <c r="AE347" s="76" t="str">
        <f t="shared" si="21"/>
        <v/>
      </c>
      <c r="AF347" s="77"/>
      <c r="AG347" s="73"/>
      <c r="AH347" s="77"/>
      <c r="AI347" s="73"/>
      <c r="AJ347" s="78" t="str">
        <f t="shared" si="22"/>
        <v/>
      </c>
      <c r="AK347" s="79" t="str">
        <f t="shared" si="23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0"/>
        <v/>
      </c>
      <c r="AE348" s="76" t="str">
        <f t="shared" si="21"/>
        <v/>
      </c>
      <c r="AF348" s="77"/>
      <c r="AG348" s="73"/>
      <c r="AH348" s="77"/>
      <c r="AI348" s="73"/>
      <c r="AJ348" s="78" t="str">
        <f t="shared" si="22"/>
        <v/>
      </c>
      <c r="AK348" s="79" t="str">
        <f t="shared" si="23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0"/>
        <v/>
      </c>
      <c r="AE349" s="76" t="str">
        <f t="shared" si="21"/>
        <v/>
      </c>
      <c r="AF349" s="77"/>
      <c r="AG349" s="73"/>
      <c r="AH349" s="77"/>
      <c r="AI349" s="73"/>
      <c r="AJ349" s="78" t="str">
        <f t="shared" si="22"/>
        <v/>
      </c>
      <c r="AK349" s="79" t="str">
        <f t="shared" si="23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0"/>
        <v/>
      </c>
      <c r="AE350" s="76" t="str">
        <f t="shared" si="21"/>
        <v/>
      </c>
      <c r="AF350" s="77"/>
      <c r="AG350" s="73"/>
      <c r="AH350" s="77"/>
      <c r="AI350" s="73"/>
      <c r="AJ350" s="78" t="str">
        <f t="shared" si="22"/>
        <v/>
      </c>
      <c r="AK350" s="79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083" priority="8633" stopIfTrue="1" operator="equal">
      <formula>"En cours"</formula>
    </cfRule>
    <cfRule type="cellIs" dxfId="1082" priority="8634" stopIfTrue="1" operator="notEqual">
      <formula>"En cours"</formula>
    </cfRule>
  </conditionalFormatting>
  <conditionalFormatting sqref="AK36">
    <cfRule type="cellIs" dxfId="1081" priority="8635" stopIfTrue="1" operator="equal">
      <formula>"En cours"</formula>
    </cfRule>
    <cfRule type="cellIs" dxfId="1080" priority="8636" stopIfTrue="1" operator="notEqual">
      <formula>"En cours"</formula>
    </cfRule>
  </conditionalFormatting>
  <conditionalFormatting sqref="AJ34">
    <cfRule type="cellIs" dxfId="1079" priority="31769" stopIfTrue="1" operator="equal">
      <formula>"En cours"</formula>
    </cfRule>
    <cfRule type="cellIs" dxfId="1078" priority="31770" stopIfTrue="1" operator="notEqual">
      <formula>"En cours"</formula>
    </cfRule>
  </conditionalFormatting>
  <conditionalFormatting sqref="AK34">
    <cfRule type="cellIs" dxfId="1077" priority="31771" stopIfTrue="1" operator="equal">
      <formula>"En cours"</formula>
    </cfRule>
    <cfRule type="cellIs" dxfId="1076" priority="31772" stopIfTrue="1" operator="notEqual">
      <formula>"En cours"</formula>
    </cfRule>
  </conditionalFormatting>
  <conditionalFormatting sqref="AJ35">
    <cfRule type="cellIs" dxfId="1075" priority="32081" stopIfTrue="1" operator="equal">
      <formula>"En cours"</formula>
    </cfRule>
  </conditionalFormatting>
  <conditionalFormatting sqref="AJ35">
    <cfRule type="cellIs" dxfId="1074" priority="32082" stopIfTrue="1" operator="notEqual">
      <formula>"En cours"</formula>
    </cfRule>
  </conditionalFormatting>
  <conditionalFormatting sqref="AK35">
    <cfRule type="cellIs" dxfId="1073" priority="32083" stopIfTrue="1" operator="equal">
      <formula>"En cours"</formula>
    </cfRule>
  </conditionalFormatting>
  <conditionalFormatting sqref="AK35">
    <cfRule type="cellIs" dxfId="1072" priority="32084" stopIfTrue="1" operator="notEqual">
      <formula>"En cours"</formula>
    </cfRule>
  </conditionalFormatting>
  <conditionalFormatting sqref="AJ22">
    <cfRule type="cellIs" dxfId="1071" priority="43381" stopIfTrue="1" operator="equal">
      <formula>"En cours"</formula>
    </cfRule>
  </conditionalFormatting>
  <conditionalFormatting sqref="AJ22">
    <cfRule type="cellIs" dxfId="1070" priority="43382" stopIfTrue="1" operator="notEqual">
      <formula>"En cours"</formula>
    </cfRule>
  </conditionalFormatting>
  <conditionalFormatting sqref="AK22">
    <cfRule type="cellIs" dxfId="1069" priority="43383" stopIfTrue="1" operator="equal">
      <formula>"En cours"</formula>
    </cfRule>
  </conditionalFormatting>
  <conditionalFormatting sqref="AK22">
    <cfRule type="cellIs" dxfId="1068" priority="43384" stopIfTrue="1" operator="notEqual">
      <formula>"En cours"</formula>
    </cfRule>
  </conditionalFormatting>
  <conditionalFormatting sqref="AJ26">
    <cfRule type="cellIs" dxfId="1063" priority="43477" stopIfTrue="1" operator="equal">
      <formula>"En cours"</formula>
    </cfRule>
  </conditionalFormatting>
  <conditionalFormatting sqref="AJ26">
    <cfRule type="cellIs" dxfId="1062" priority="43478" stopIfTrue="1" operator="notEqual">
      <formula>"En cours"</formula>
    </cfRule>
  </conditionalFormatting>
  <conditionalFormatting sqref="AK26">
    <cfRule type="cellIs" dxfId="1061" priority="43479" stopIfTrue="1" operator="equal">
      <formula>"En cours"</formula>
    </cfRule>
  </conditionalFormatting>
  <conditionalFormatting sqref="AK26">
    <cfRule type="cellIs" dxfId="1060" priority="43480" stopIfTrue="1" operator="notEqual">
      <formula>"En cours"</formula>
    </cfRule>
  </conditionalFormatting>
  <conditionalFormatting sqref="AJ32">
    <cfRule type="cellIs" dxfId="1055" priority="43569" stopIfTrue="1" operator="equal">
      <formula>"En cours"</formula>
    </cfRule>
  </conditionalFormatting>
  <conditionalFormatting sqref="AJ32">
    <cfRule type="cellIs" dxfId="1054" priority="43570" stopIfTrue="1" operator="notEqual">
      <formula>"En cours"</formula>
    </cfRule>
  </conditionalFormatting>
  <conditionalFormatting sqref="AK32">
    <cfRule type="cellIs" dxfId="1053" priority="43571" stopIfTrue="1" operator="equal">
      <formula>"En cours"</formula>
    </cfRule>
  </conditionalFormatting>
  <conditionalFormatting sqref="AK32">
    <cfRule type="cellIs" dxfId="1052" priority="43572" stopIfTrue="1" operator="notEqual">
      <formula>"En cours"</formula>
    </cfRule>
  </conditionalFormatting>
  <conditionalFormatting sqref="AJ29">
    <cfRule type="cellIs" dxfId="1051" priority="43573" stopIfTrue="1" operator="equal">
      <formula>"En cours"</formula>
    </cfRule>
  </conditionalFormatting>
  <conditionalFormatting sqref="AJ29">
    <cfRule type="cellIs" dxfId="1050" priority="43574" stopIfTrue="1" operator="notEqual">
      <formula>"En cours"</formula>
    </cfRule>
  </conditionalFormatting>
  <conditionalFormatting sqref="AK29">
    <cfRule type="cellIs" dxfId="1049" priority="43575" stopIfTrue="1" operator="equal">
      <formula>"En cours"</formula>
    </cfRule>
  </conditionalFormatting>
  <conditionalFormatting sqref="AK29">
    <cfRule type="cellIs" dxfId="1048" priority="43576" stopIfTrue="1" operator="notEqual">
      <formula>"En cours"</formula>
    </cfRule>
  </conditionalFormatting>
  <conditionalFormatting sqref="AJ24">
    <cfRule type="cellIs" dxfId="1047" priority="43673" stopIfTrue="1" operator="equal">
      <formula>"En cours"</formula>
    </cfRule>
  </conditionalFormatting>
  <conditionalFormatting sqref="AJ24">
    <cfRule type="cellIs" dxfId="1046" priority="43674" stopIfTrue="1" operator="notEqual">
      <formula>"En cours"</formula>
    </cfRule>
  </conditionalFormatting>
  <conditionalFormatting sqref="AK24">
    <cfRule type="cellIs" dxfId="1045" priority="43675" stopIfTrue="1" operator="equal">
      <formula>"En cours"</formula>
    </cfRule>
  </conditionalFormatting>
  <conditionalFormatting sqref="AK24">
    <cfRule type="cellIs" dxfId="1044" priority="43676" stopIfTrue="1" operator="notEqual">
      <formula>"En cours"</formula>
    </cfRule>
  </conditionalFormatting>
  <conditionalFormatting sqref="AJ31">
    <cfRule type="cellIs" dxfId="1043" priority="43801" stopIfTrue="1" operator="equal">
      <formula>"En cours"</formula>
    </cfRule>
  </conditionalFormatting>
  <conditionalFormatting sqref="AJ31">
    <cfRule type="cellIs" dxfId="1042" priority="43802" stopIfTrue="1" operator="notEqual">
      <formula>"En cours"</formula>
    </cfRule>
  </conditionalFormatting>
  <conditionalFormatting sqref="AK31">
    <cfRule type="cellIs" dxfId="1041" priority="43803" stopIfTrue="1" operator="equal">
      <formula>"En cours"</formula>
    </cfRule>
  </conditionalFormatting>
  <conditionalFormatting sqref="AK31">
    <cfRule type="cellIs" dxfId="1040" priority="43804" stopIfTrue="1" operator="notEqual">
      <formula>"En cours"</formula>
    </cfRule>
  </conditionalFormatting>
  <conditionalFormatting sqref="AJ25">
    <cfRule type="cellIs" dxfId="1031" priority="43813" stopIfTrue="1" operator="equal">
      <formula>"En cours"</formula>
    </cfRule>
  </conditionalFormatting>
  <conditionalFormatting sqref="AJ25">
    <cfRule type="cellIs" dxfId="1030" priority="43814" stopIfTrue="1" operator="notEqual">
      <formula>"En cours"</formula>
    </cfRule>
  </conditionalFormatting>
  <conditionalFormatting sqref="AK25">
    <cfRule type="cellIs" dxfId="1029" priority="43815" stopIfTrue="1" operator="equal">
      <formula>"En cours"</formula>
    </cfRule>
  </conditionalFormatting>
  <conditionalFormatting sqref="AK25">
    <cfRule type="cellIs" dxfId="1028" priority="43816" stopIfTrue="1" operator="notEqual">
      <formula>"En cours"</formula>
    </cfRule>
  </conditionalFormatting>
  <conditionalFormatting sqref="AJ21">
    <cfRule type="cellIs" dxfId="1023" priority="43821" stopIfTrue="1" operator="equal">
      <formula>"En cours"</formula>
    </cfRule>
  </conditionalFormatting>
  <conditionalFormatting sqref="AJ21">
    <cfRule type="cellIs" dxfId="1022" priority="43822" stopIfTrue="1" operator="notEqual">
      <formula>"En cours"</formula>
    </cfRule>
  </conditionalFormatting>
  <conditionalFormatting sqref="AK21">
    <cfRule type="cellIs" dxfId="1021" priority="43823" stopIfTrue="1" operator="equal">
      <formula>"En cours"</formula>
    </cfRule>
  </conditionalFormatting>
  <conditionalFormatting sqref="AK21">
    <cfRule type="cellIs" dxfId="1020" priority="43824" stopIfTrue="1" operator="notEqual">
      <formula>"En cours"</formula>
    </cfRule>
  </conditionalFormatting>
  <conditionalFormatting sqref="AJ27">
    <cfRule type="cellIs" dxfId="995" priority="43849" stopIfTrue="1" operator="equal">
      <formula>"En cours"</formula>
    </cfRule>
  </conditionalFormatting>
  <conditionalFormatting sqref="AJ27">
    <cfRule type="cellIs" dxfId="994" priority="43850" stopIfTrue="1" operator="notEqual">
      <formula>"En cours"</formula>
    </cfRule>
  </conditionalFormatting>
  <conditionalFormatting sqref="AK27">
    <cfRule type="cellIs" dxfId="993" priority="43851" stopIfTrue="1" operator="equal">
      <formula>"En cours"</formula>
    </cfRule>
  </conditionalFormatting>
  <conditionalFormatting sqref="AK27">
    <cfRule type="cellIs" dxfId="992" priority="43852" stopIfTrue="1" operator="notEqual">
      <formula>"En cours"</formula>
    </cfRule>
  </conditionalFormatting>
  <conditionalFormatting sqref="AJ23">
    <cfRule type="cellIs" dxfId="987" priority="43857" stopIfTrue="1" operator="equal">
      <formula>"En cours"</formula>
    </cfRule>
  </conditionalFormatting>
  <conditionalFormatting sqref="AJ23">
    <cfRule type="cellIs" dxfId="986" priority="43858" stopIfTrue="1" operator="notEqual">
      <formula>"En cours"</formula>
    </cfRule>
  </conditionalFormatting>
  <conditionalFormatting sqref="AK23">
    <cfRule type="cellIs" dxfId="985" priority="43859" stopIfTrue="1" operator="equal">
      <formula>"En cours"</formula>
    </cfRule>
  </conditionalFormatting>
  <conditionalFormatting sqref="AK23">
    <cfRule type="cellIs" dxfId="984" priority="43860" stopIfTrue="1" operator="notEqual">
      <formula>"En cours"</formula>
    </cfRule>
  </conditionalFormatting>
  <conditionalFormatting sqref="AJ30">
    <cfRule type="cellIs" dxfId="971" priority="43873" stopIfTrue="1" operator="equal">
      <formula>"En cours"</formula>
    </cfRule>
  </conditionalFormatting>
  <conditionalFormatting sqref="AJ30">
    <cfRule type="cellIs" dxfId="970" priority="43874" stopIfTrue="1" operator="notEqual">
      <formula>"En cours"</formula>
    </cfRule>
  </conditionalFormatting>
  <conditionalFormatting sqref="AK30">
    <cfRule type="cellIs" dxfId="969" priority="43875" stopIfTrue="1" operator="equal">
      <formula>"En cours"</formula>
    </cfRule>
  </conditionalFormatting>
  <conditionalFormatting sqref="AK30">
    <cfRule type="cellIs" dxfId="968" priority="43876" stopIfTrue="1" operator="notEqual">
      <formula>"En cours"</formula>
    </cfRule>
  </conditionalFormatting>
  <conditionalFormatting sqref="AJ33">
    <cfRule type="cellIs" dxfId="963" priority="43881" stopIfTrue="1" operator="equal">
      <formula>"En cours"</formula>
    </cfRule>
  </conditionalFormatting>
  <conditionalFormatting sqref="AJ33">
    <cfRule type="cellIs" dxfId="962" priority="43882" stopIfTrue="1" operator="notEqual">
      <formula>"En cours"</formula>
    </cfRule>
  </conditionalFormatting>
  <conditionalFormatting sqref="AK33">
    <cfRule type="cellIs" dxfId="961" priority="43883" stopIfTrue="1" operator="equal">
      <formula>"En cours"</formula>
    </cfRule>
  </conditionalFormatting>
  <conditionalFormatting sqref="AK33">
    <cfRule type="cellIs" dxfId="960" priority="43884" stopIfTrue="1" operator="notEqual">
      <formula>"En cours"</formula>
    </cfRule>
  </conditionalFormatting>
  <conditionalFormatting sqref="AJ28">
    <cfRule type="cellIs" dxfId="959" priority="43885" stopIfTrue="1" operator="equal">
      <formula>"En cours"</formula>
    </cfRule>
    <cfRule type="cellIs" dxfId="958" priority="43886" stopIfTrue="1" operator="notEqual">
      <formula>"En cours"</formula>
    </cfRule>
  </conditionalFormatting>
  <conditionalFormatting sqref="AK28">
    <cfRule type="cellIs" dxfId="957" priority="43887" stopIfTrue="1" operator="equal">
      <formula>"En cours"</formula>
    </cfRule>
    <cfRule type="cellIs" dxfId="956" priority="43888" stopIfTrue="1" operator="notEqual">
      <formula>"En cours"</formula>
    </cfRule>
  </conditionalFormatting>
  <conditionalFormatting sqref="AJ5">
    <cfRule type="cellIs" dxfId="67" priority="44777" stopIfTrue="1" operator="equal">
      <formula>"En cours"</formula>
    </cfRule>
  </conditionalFormatting>
  <conditionalFormatting sqref="AJ5">
    <cfRule type="cellIs" dxfId="66" priority="44778" stopIfTrue="1" operator="notEqual">
      <formula>"En cours"</formula>
    </cfRule>
  </conditionalFormatting>
  <conditionalFormatting sqref="AK5">
    <cfRule type="cellIs" dxfId="65" priority="44779" stopIfTrue="1" operator="equal">
      <formula>"En cours"</formula>
    </cfRule>
  </conditionalFormatting>
  <conditionalFormatting sqref="AK5">
    <cfRule type="cellIs" dxfId="64" priority="44780" stopIfTrue="1" operator="notEqual">
      <formula>"En cours"</formula>
    </cfRule>
  </conditionalFormatting>
  <conditionalFormatting sqref="AJ6">
    <cfRule type="cellIs" dxfId="63" priority="44781" stopIfTrue="1" operator="equal">
      <formula>"En cours"</formula>
    </cfRule>
  </conditionalFormatting>
  <conditionalFormatting sqref="AJ6">
    <cfRule type="cellIs" dxfId="62" priority="44782" stopIfTrue="1" operator="notEqual">
      <formula>"En cours"</formula>
    </cfRule>
  </conditionalFormatting>
  <conditionalFormatting sqref="AK6">
    <cfRule type="cellIs" dxfId="61" priority="44783" stopIfTrue="1" operator="equal">
      <formula>"En cours"</formula>
    </cfRule>
  </conditionalFormatting>
  <conditionalFormatting sqref="AK6">
    <cfRule type="cellIs" dxfId="60" priority="44784" stopIfTrue="1" operator="notEqual">
      <formula>"En cours"</formula>
    </cfRule>
  </conditionalFormatting>
  <conditionalFormatting sqref="AJ4">
    <cfRule type="cellIs" dxfId="59" priority="44785" stopIfTrue="1" operator="equal">
      <formula>"En cours"</formula>
    </cfRule>
    <cfRule type="cellIs" dxfId="58" priority="44786" stopIfTrue="1" operator="notEqual">
      <formula>"En cours"</formula>
    </cfRule>
  </conditionalFormatting>
  <conditionalFormatting sqref="AK4">
    <cfRule type="cellIs" dxfId="57" priority="44787" stopIfTrue="1" operator="equal">
      <formula>"En cours"</formula>
    </cfRule>
    <cfRule type="cellIs" dxfId="56" priority="44788" stopIfTrue="1" operator="notEqual">
      <formula>"En cours"</formula>
    </cfRule>
  </conditionalFormatting>
  <conditionalFormatting sqref="AJ7">
    <cfRule type="cellIs" dxfId="55" priority="44789" stopIfTrue="1" operator="equal">
      <formula>"En cours"</formula>
    </cfRule>
  </conditionalFormatting>
  <conditionalFormatting sqref="AJ7">
    <cfRule type="cellIs" dxfId="54" priority="44790" stopIfTrue="1" operator="notEqual">
      <formula>"En cours"</formula>
    </cfRule>
  </conditionalFormatting>
  <conditionalFormatting sqref="AK7">
    <cfRule type="cellIs" dxfId="53" priority="44791" stopIfTrue="1" operator="equal">
      <formula>"En cours"</formula>
    </cfRule>
  </conditionalFormatting>
  <conditionalFormatting sqref="AK7">
    <cfRule type="cellIs" dxfId="52" priority="44792" stopIfTrue="1" operator="notEqual">
      <formula>"En cours"</formula>
    </cfRule>
  </conditionalFormatting>
  <conditionalFormatting sqref="AJ8">
    <cfRule type="cellIs" dxfId="51" priority="44793" stopIfTrue="1" operator="equal">
      <formula>"En cours"</formula>
    </cfRule>
  </conditionalFormatting>
  <conditionalFormatting sqref="AJ8">
    <cfRule type="cellIs" dxfId="50" priority="44794" stopIfTrue="1" operator="notEqual">
      <formula>"En cours"</formula>
    </cfRule>
  </conditionalFormatting>
  <conditionalFormatting sqref="AK8">
    <cfRule type="cellIs" dxfId="49" priority="44795" stopIfTrue="1" operator="equal">
      <formula>"En cours"</formula>
    </cfRule>
  </conditionalFormatting>
  <conditionalFormatting sqref="AK8">
    <cfRule type="cellIs" dxfId="48" priority="44796" stopIfTrue="1" operator="notEqual">
      <formula>"En cours"</formula>
    </cfRule>
  </conditionalFormatting>
  <conditionalFormatting sqref="AJ9">
    <cfRule type="cellIs" dxfId="47" priority="44797" stopIfTrue="1" operator="equal">
      <formula>"En cours"</formula>
    </cfRule>
  </conditionalFormatting>
  <conditionalFormatting sqref="AJ9">
    <cfRule type="cellIs" dxfId="46" priority="44798" stopIfTrue="1" operator="notEqual">
      <formula>"En cours"</formula>
    </cfRule>
  </conditionalFormatting>
  <conditionalFormatting sqref="AK9">
    <cfRule type="cellIs" dxfId="45" priority="44799" stopIfTrue="1" operator="equal">
      <formula>"En cours"</formula>
    </cfRule>
  </conditionalFormatting>
  <conditionalFormatting sqref="AK9">
    <cfRule type="cellIs" dxfId="44" priority="44800" stopIfTrue="1" operator="notEqual">
      <formula>"En cours"</formula>
    </cfRule>
  </conditionalFormatting>
  <conditionalFormatting sqref="AJ10">
    <cfRule type="cellIs" dxfId="43" priority="44801" stopIfTrue="1" operator="equal">
      <formula>"En cours"</formula>
    </cfRule>
  </conditionalFormatting>
  <conditionalFormatting sqref="AJ10">
    <cfRule type="cellIs" dxfId="42" priority="44802" stopIfTrue="1" operator="notEqual">
      <formula>"En cours"</formula>
    </cfRule>
  </conditionalFormatting>
  <conditionalFormatting sqref="AK10">
    <cfRule type="cellIs" dxfId="41" priority="44803" stopIfTrue="1" operator="equal">
      <formula>"En cours"</formula>
    </cfRule>
  </conditionalFormatting>
  <conditionalFormatting sqref="AK10">
    <cfRule type="cellIs" dxfId="40" priority="44804" stopIfTrue="1" operator="notEqual">
      <formula>"En cours"</formula>
    </cfRule>
  </conditionalFormatting>
  <conditionalFormatting sqref="AJ11">
    <cfRule type="cellIs" dxfId="39" priority="44805" stopIfTrue="1" operator="equal">
      <formula>"En cours"</formula>
    </cfRule>
  </conditionalFormatting>
  <conditionalFormatting sqref="AJ11">
    <cfRule type="cellIs" dxfId="38" priority="44806" stopIfTrue="1" operator="notEqual">
      <formula>"En cours"</formula>
    </cfRule>
  </conditionalFormatting>
  <conditionalFormatting sqref="AK11">
    <cfRule type="cellIs" dxfId="37" priority="44807" stopIfTrue="1" operator="equal">
      <formula>"En cours"</formula>
    </cfRule>
  </conditionalFormatting>
  <conditionalFormatting sqref="AK11">
    <cfRule type="cellIs" dxfId="36" priority="44808" stopIfTrue="1" operator="notEqual">
      <formula>"En cours"</formula>
    </cfRule>
  </conditionalFormatting>
  <conditionalFormatting sqref="AJ12">
    <cfRule type="cellIs" dxfId="35" priority="44809" stopIfTrue="1" operator="equal">
      <formula>"En cours"</formula>
    </cfRule>
  </conditionalFormatting>
  <conditionalFormatting sqref="AJ12">
    <cfRule type="cellIs" dxfId="34" priority="44810" stopIfTrue="1" operator="notEqual">
      <formula>"En cours"</formula>
    </cfRule>
  </conditionalFormatting>
  <conditionalFormatting sqref="AK12">
    <cfRule type="cellIs" dxfId="33" priority="44811" stopIfTrue="1" operator="equal">
      <formula>"En cours"</formula>
    </cfRule>
  </conditionalFormatting>
  <conditionalFormatting sqref="AK12">
    <cfRule type="cellIs" dxfId="32" priority="44812" stopIfTrue="1" operator="notEqual">
      <formula>"En cours"</formula>
    </cfRule>
  </conditionalFormatting>
  <conditionalFormatting sqref="AJ14">
    <cfRule type="cellIs" dxfId="31" priority="44813" stopIfTrue="1" operator="equal">
      <formula>"En cours"</formula>
    </cfRule>
  </conditionalFormatting>
  <conditionalFormatting sqref="AJ14">
    <cfRule type="cellIs" dxfId="30" priority="44814" stopIfTrue="1" operator="notEqual">
      <formula>"En cours"</formula>
    </cfRule>
  </conditionalFormatting>
  <conditionalFormatting sqref="AK14">
    <cfRule type="cellIs" dxfId="29" priority="44815" stopIfTrue="1" operator="equal">
      <formula>"En cours"</formula>
    </cfRule>
  </conditionalFormatting>
  <conditionalFormatting sqref="AK14">
    <cfRule type="cellIs" dxfId="28" priority="44816" stopIfTrue="1" operator="notEqual">
      <formula>"En cours"</formula>
    </cfRule>
  </conditionalFormatting>
  <conditionalFormatting sqref="AJ13">
    <cfRule type="cellIs" dxfId="27" priority="44817" stopIfTrue="1" operator="equal">
      <formula>"En cours"</formula>
    </cfRule>
  </conditionalFormatting>
  <conditionalFormatting sqref="AJ13">
    <cfRule type="cellIs" dxfId="26" priority="44818" stopIfTrue="1" operator="notEqual">
      <formula>"En cours"</formula>
    </cfRule>
  </conditionalFormatting>
  <conditionalFormatting sqref="AK13">
    <cfRule type="cellIs" dxfId="25" priority="44819" stopIfTrue="1" operator="equal">
      <formula>"En cours"</formula>
    </cfRule>
  </conditionalFormatting>
  <conditionalFormatting sqref="AK13">
    <cfRule type="cellIs" dxfId="24" priority="44820" stopIfTrue="1" operator="notEqual">
      <formula>"En cours"</formula>
    </cfRule>
  </conditionalFormatting>
  <conditionalFormatting sqref="AJ16">
    <cfRule type="cellIs" dxfId="23" priority="44821" stopIfTrue="1" operator="equal">
      <formula>"En cours"</formula>
    </cfRule>
  </conditionalFormatting>
  <conditionalFormatting sqref="AJ16">
    <cfRule type="cellIs" dxfId="22" priority="44822" stopIfTrue="1" operator="notEqual">
      <formula>"En cours"</formula>
    </cfRule>
  </conditionalFormatting>
  <conditionalFormatting sqref="AK16">
    <cfRule type="cellIs" dxfId="21" priority="44823" stopIfTrue="1" operator="equal">
      <formula>"En cours"</formula>
    </cfRule>
  </conditionalFormatting>
  <conditionalFormatting sqref="AK16">
    <cfRule type="cellIs" dxfId="20" priority="44824" stopIfTrue="1" operator="notEqual">
      <formula>"En cours"</formula>
    </cfRule>
  </conditionalFormatting>
  <conditionalFormatting sqref="AJ15">
    <cfRule type="cellIs" dxfId="19" priority="44825" stopIfTrue="1" operator="equal">
      <formula>"En cours"</formula>
    </cfRule>
  </conditionalFormatting>
  <conditionalFormatting sqref="AJ15">
    <cfRule type="cellIs" dxfId="18" priority="44826" stopIfTrue="1" operator="notEqual">
      <formula>"En cours"</formula>
    </cfRule>
  </conditionalFormatting>
  <conditionalFormatting sqref="AK15">
    <cfRule type="cellIs" dxfId="17" priority="44827" stopIfTrue="1" operator="equal">
      <formula>"En cours"</formula>
    </cfRule>
  </conditionalFormatting>
  <conditionalFormatting sqref="AK15">
    <cfRule type="cellIs" dxfId="16" priority="44828" stopIfTrue="1" operator="notEqual">
      <formula>"En cours"</formula>
    </cfRule>
  </conditionalFormatting>
  <conditionalFormatting sqref="AJ19">
    <cfRule type="cellIs" dxfId="15" priority="44829" stopIfTrue="1" operator="equal">
      <formula>"En cours"</formula>
    </cfRule>
  </conditionalFormatting>
  <conditionalFormatting sqref="AJ19">
    <cfRule type="cellIs" dxfId="14" priority="44830" stopIfTrue="1" operator="notEqual">
      <formula>"En cours"</formula>
    </cfRule>
  </conditionalFormatting>
  <conditionalFormatting sqref="AK19">
    <cfRule type="cellIs" dxfId="13" priority="44831" stopIfTrue="1" operator="equal">
      <formula>"En cours"</formula>
    </cfRule>
  </conditionalFormatting>
  <conditionalFormatting sqref="AK19">
    <cfRule type="cellIs" dxfId="12" priority="44832" stopIfTrue="1" operator="notEqual">
      <formula>"En cours"</formula>
    </cfRule>
  </conditionalFormatting>
  <conditionalFormatting sqref="AJ17">
    <cfRule type="cellIs" dxfId="11" priority="44833" stopIfTrue="1" operator="equal">
      <formula>"En cours"</formula>
    </cfRule>
  </conditionalFormatting>
  <conditionalFormatting sqref="AJ17">
    <cfRule type="cellIs" dxfId="10" priority="44834" stopIfTrue="1" operator="notEqual">
      <formula>"En cours"</formula>
    </cfRule>
  </conditionalFormatting>
  <conditionalFormatting sqref="AK17">
    <cfRule type="cellIs" dxfId="9" priority="44835" stopIfTrue="1" operator="equal">
      <formula>"En cours"</formula>
    </cfRule>
  </conditionalFormatting>
  <conditionalFormatting sqref="AK17">
    <cfRule type="cellIs" dxfId="8" priority="44836" stopIfTrue="1" operator="notEqual">
      <formula>"En cours"</formula>
    </cfRule>
  </conditionalFormatting>
  <conditionalFormatting sqref="AJ20">
    <cfRule type="cellIs" dxfId="7" priority="44837" stopIfTrue="1" operator="equal">
      <formula>"En cours"</formula>
    </cfRule>
  </conditionalFormatting>
  <conditionalFormatting sqref="AJ20">
    <cfRule type="cellIs" dxfId="6" priority="44838" stopIfTrue="1" operator="notEqual">
      <formula>"En cours"</formula>
    </cfRule>
  </conditionalFormatting>
  <conditionalFormatting sqref="AK20">
    <cfRule type="cellIs" dxfId="5" priority="44839" stopIfTrue="1" operator="equal">
      <formula>"En cours"</formula>
    </cfRule>
  </conditionalFormatting>
  <conditionalFormatting sqref="AK20">
    <cfRule type="cellIs" dxfId="4" priority="44840" stopIfTrue="1" operator="notEqual">
      <formula>"En cours"</formula>
    </cfRule>
  </conditionalFormatting>
  <conditionalFormatting sqref="AJ18">
    <cfRule type="cellIs" dxfId="3" priority="44841" stopIfTrue="1" operator="equal">
      <formula>"En cours"</formula>
    </cfRule>
  </conditionalFormatting>
  <conditionalFormatting sqref="AJ18">
    <cfRule type="cellIs" dxfId="2" priority="44842" stopIfTrue="1" operator="notEqual">
      <formula>"En cours"</formula>
    </cfRule>
  </conditionalFormatting>
  <conditionalFormatting sqref="AK18">
    <cfRule type="cellIs" dxfId="1" priority="44843" stopIfTrue="1" operator="equal">
      <formula>"En cours"</formula>
    </cfRule>
  </conditionalFormatting>
  <conditionalFormatting sqref="AK18">
    <cfRule type="cellIs" dxfId="0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B5" s="206"/>
      <c r="C5" s="206"/>
      <c r="D5" s="206"/>
      <c r="E5" s="206"/>
      <c r="F5" s="20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2024-08-08T20:47:15Z</dcterms:modified>
</cp:coreProperties>
</file>