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D5774BFC-FA61-4CE7-B0D8-490889D7C3A1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5" i="4" l="1"/>
  <c r="AK5" i="4" s="1"/>
  <c r="AD5" i="4"/>
  <c r="AJ5" i="4" s="1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E15" i="5"/>
  <c r="AK15" i="5" s="1"/>
  <c r="AD15" i="5"/>
  <c r="AJ15" i="5" s="1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E10" i="5"/>
  <c r="AK10" i="5" s="1"/>
  <c r="AD10" i="5"/>
  <c r="AJ10" i="5" s="1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E5" i="5"/>
  <c r="AK5" i="5" s="1"/>
  <c r="AD5" i="5"/>
  <c r="AJ5" i="5" s="1"/>
  <c r="V37" i="1"/>
  <c r="V29" i="1"/>
  <c r="V33" i="1"/>
  <c r="V32" i="1"/>
  <c r="K3" i="1"/>
  <c r="V34" i="1"/>
  <c r="B3" i="1"/>
  <c r="AE18" i="4" l="1"/>
  <c r="AK18" i="4" s="1"/>
  <c r="AD18" i="4"/>
  <c r="AJ18" i="4" s="1"/>
  <c r="AE20" i="4"/>
  <c r="AK20" i="4" s="1"/>
  <c r="AD20" i="4"/>
  <c r="AJ20" i="4" s="1"/>
  <c r="AE17" i="4"/>
  <c r="AK17" i="4" s="1"/>
  <c r="AD17" i="4"/>
  <c r="AJ17" i="4" s="1"/>
  <c r="AE19" i="4"/>
  <c r="AK19" i="4" s="1"/>
  <c r="AD19" i="4"/>
  <c r="AJ19" i="4" s="1"/>
  <c r="AE15" i="4"/>
  <c r="AK15" i="4" s="1"/>
  <c r="AD15" i="4"/>
  <c r="AJ15" i="4" s="1"/>
  <c r="AE16" i="4"/>
  <c r="AK16" i="4" s="1"/>
  <c r="AD16" i="4"/>
  <c r="AJ16" i="4" s="1"/>
  <c r="AE13" i="4"/>
  <c r="AK13" i="4" s="1"/>
  <c r="AD13" i="4"/>
  <c r="AJ13" i="4" s="1"/>
  <c r="AE14" i="4"/>
  <c r="AK14" i="4" s="1"/>
  <c r="AD14" i="4"/>
  <c r="AJ14" i="4" s="1"/>
  <c r="AE12" i="4"/>
  <c r="AK12" i="4" s="1"/>
  <c r="AD12" i="4"/>
  <c r="AJ12" i="4" s="1"/>
  <c r="AE11" i="4"/>
  <c r="AK11" i="4" s="1"/>
  <c r="AD11" i="4"/>
  <c r="AJ11" i="4" s="1"/>
  <c r="AE10" i="4"/>
  <c r="AK10" i="4" s="1"/>
  <c r="AD10" i="4"/>
  <c r="AJ10" i="4" s="1"/>
  <c r="AE9" i="4"/>
  <c r="AK9" i="4" s="1"/>
  <c r="AD9" i="4"/>
  <c r="AJ9" i="4" s="1"/>
  <c r="AE8" i="4"/>
  <c r="AK8" i="4" s="1"/>
  <c r="AD8" i="4"/>
  <c r="AJ8" i="4" s="1"/>
  <c r="AE7" i="4"/>
  <c r="AK7" i="4" s="1"/>
  <c r="AD7" i="4"/>
  <c r="AJ7" i="4" s="1"/>
  <c r="AE6" i="4"/>
  <c r="AK6" i="4" s="1"/>
  <c r="AD6" i="4"/>
  <c r="AJ6" i="4" s="1"/>
  <c r="AE21" i="5"/>
  <c r="AK21" i="5" s="1"/>
  <c r="AD21" i="5"/>
  <c r="AJ21" i="5" s="1"/>
  <c r="AE22" i="5"/>
  <c r="AK22" i="5" s="1"/>
  <c r="AD22" i="5"/>
  <c r="AJ22" i="5" s="1"/>
  <c r="AE42" i="4" l="1"/>
  <c r="AK42" i="4" s="1"/>
  <c r="AD42" i="4"/>
  <c r="AJ42" i="4" s="1"/>
  <c r="AE41" i="4"/>
  <c r="AK41" i="4" s="1"/>
  <c r="AD41" i="4"/>
  <c r="AJ41" i="4" s="1"/>
  <c r="AE40" i="4"/>
  <c r="AK40" i="4" s="1"/>
  <c r="AD40" i="4"/>
  <c r="AJ40" i="4" s="1"/>
  <c r="AE39" i="4"/>
  <c r="AK39" i="4" s="1"/>
  <c r="AD39" i="4"/>
  <c r="AJ39" i="4" s="1"/>
  <c r="AE37" i="4"/>
  <c r="AK37" i="4" s="1"/>
  <c r="AD37" i="4"/>
  <c r="AJ37" i="4" s="1"/>
  <c r="AE34" i="4"/>
  <c r="AK34" i="4" s="1"/>
  <c r="AD34" i="4"/>
  <c r="AJ34" i="4" s="1"/>
  <c r="AE38" i="4"/>
  <c r="AK38" i="4" s="1"/>
  <c r="AD38" i="4"/>
  <c r="AJ38" i="4" s="1"/>
  <c r="AE36" i="4"/>
  <c r="AK36" i="4" s="1"/>
  <c r="AD36" i="4"/>
  <c r="AJ36" i="4" s="1"/>
  <c r="AE35" i="4"/>
  <c r="AK35" i="4" s="1"/>
  <c r="AD35" i="4"/>
  <c r="AJ35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30" i="4"/>
  <c r="AK30" i="4" s="1"/>
  <c r="AD30" i="4"/>
  <c r="AJ30" i="4" s="1"/>
  <c r="AE29" i="4"/>
  <c r="AK29" i="4" s="1"/>
  <c r="AD29" i="4"/>
  <c r="AJ29" i="4" s="1"/>
  <c r="AE25" i="4"/>
  <c r="AK25" i="4" s="1"/>
  <c r="AD25" i="4"/>
  <c r="AJ25" i="4" s="1"/>
  <c r="AE28" i="4"/>
  <c r="AK28" i="4" s="1"/>
  <c r="AD28" i="4"/>
  <c r="AJ28" i="4" s="1"/>
  <c r="AE24" i="4"/>
  <c r="AK24" i="4" s="1"/>
  <c r="AD24" i="4"/>
  <c r="AJ24" i="4" s="1"/>
  <c r="AE26" i="4"/>
  <c r="AK26" i="4" s="1"/>
  <c r="AD26" i="4"/>
  <c r="AJ26" i="4" s="1"/>
  <c r="AE27" i="4"/>
  <c r="AK27" i="4" s="1"/>
  <c r="AD27" i="4"/>
  <c r="AJ27" i="4" s="1"/>
  <c r="AE21" i="4"/>
  <c r="AK21" i="4" s="1"/>
  <c r="AD21" i="4"/>
  <c r="AJ21" i="4" s="1"/>
  <c r="AE23" i="4"/>
  <c r="AK23" i="4" s="1"/>
  <c r="AD23" i="4"/>
  <c r="AJ23" i="4" s="1"/>
  <c r="AE22" i="4"/>
  <c r="AK22" i="4" s="1"/>
  <c r="AD22" i="4"/>
  <c r="AJ22" i="4" s="1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<sst xmlns="http://schemas.openxmlformats.org/spreadsheetml/2006/main" count="168" uniqueCount="103">
  <si>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</si>
  <si>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</si>
  <si>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</si>
  <si>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</si>
  <si>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</si>
  <si>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</si>
  <si>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</si>
  <si>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</si>
  <si>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</si>
  <si>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</si>
  <si>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</si>
  <si>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</si>
  <si>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</si>
  <si>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</si>
  <si>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</si>
  <si>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</si>
  <si>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</si>
  <si>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</si>
  <si>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</si>
  <si>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</si>
  <si>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</si>
  <si>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</si>
  <si>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</si>
  <si>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</si>
  <si>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</si>
  <si>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</si>
  <si>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</si>
  <si>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</si>
  <si>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</si>
  <si>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</si>
  <si>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</si>
  <si>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</si>
  <si>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</si>
  <si>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</si>
  <si>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</si>
  <si>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</si>
  <si>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</si>
  <si>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</si>
  <si>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</si>
  <si>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</si>
  <si>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</si>
  <si>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</si>
  <si>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</si>
  <si>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</si>
  <si>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</si>
  <si>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</si>
  <si>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</si>
  <si>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</si>
  <si>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</si>
  <si>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</si>
  <si>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</si>
  <si>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</si>
  <si>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</si>
  <si>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</si>
  <si>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</si>
  <si>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</si>
  <si>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</si>
  <si>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</si>
  <si>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</si>
  <si>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</si>
  <si>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</si>
  <si>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</si>
  <si>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</si>
  <si>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</si>
  <si>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</si>
  <si>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</si>
  <si>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</si>
  <si>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</si>
  <si>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</si>
  <si>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</si>
  <si>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</si>
  <si>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</si>
  <si>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</si>
  <si>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</si>
  <si>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</si>
  <si>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</si>
  <si>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</si>
  <si>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</si>
  <si>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</si>
  <si>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</si>
  <si>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</si>
  <si>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</si>
  <si>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</si>
  <si>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</si>
  <si>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</si>
  <si>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</si>
  <si>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</si>
  <si>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</si>
  <si>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</si>
  <si>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</si>
  <si>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</si>
  <si>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</si>
  <si>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</si>
  <si>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</si>
  <si>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</si>
  <si>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</si>
  <si>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</si>
  <si>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</si>
  <si>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</si>
  <si>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</si>
  <si>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tous les tours</t>
  </si>
  <si>
    <t>C:\dev-data\golf\ASGLM LGS\LGS_Application\T1\2d. Extraction XLS globale_light_all.xlsx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</si>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</sst>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3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6" xfId="0" applyFill="1" applyBorder="1"/>
    <xf numFmtId="0" fontId="0" fillId="5" borderId="67" xfId="0" applyFill="1" applyBorder="1"/>
    <xf numFmtId="0" fontId="0" fillId="5" borderId="52" xfId="0" applyFill="1" applyBorder="1"/>
    <xf numFmtId="0" fontId="0" fillId="10" borderId="20" xfId="0" applyFill="1" applyBorder="1" applyAlignment="1">
      <alignment vertical="top"/>
    </xf>
    <xf numFmtId="0" fontId="0" fillId="13" borderId="3" xfId="0" applyFill="1" applyBorder="1"/>
    <xf numFmtId="0" fontId="0" fillId="13" borderId="6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8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2772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70" dropStyle="combo" dx="16" fmlaLink="$F$13" fmlaRange="$AB$8:$AB$10" sel="3" val="0"/>
</file>

<file path=xl/ctrlProps/ctrlProp13.xml><?xml version="1.0" encoding="utf-8"?>
<formControlPr xmlns="http://schemas.microsoft.com/office/spreadsheetml/2009/9/main" objectType="CheckBox" fmlaLink="$D$9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12574"/>
          <a:ext cx="3238500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5</xdr:row>
          <xdr:rowOff>238125</xdr:rowOff>
        </xdr:from>
        <xdr:to>
          <xdr:col>3</xdr:col>
          <xdr:colOff>1571625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8" y="1238571"/>
          <a:ext cx="4139597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4" cy="1200138"/>
            <a:chOff x="7698064" y="870461"/>
            <a:chExt cx="3897983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21" cy="333376"/>
                <a:chOff x="7724775" y="1544583"/>
                <a:chExt cx="1790721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21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74" y="1535062"/>
                <a:ext cx="1596273" cy="342898"/>
                <a:chOff x="9999774" y="1535062"/>
                <a:chExt cx="1596273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74" y="1535062"/>
                      <a:ext cx="1596273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4941794" y="1131793"/>
          <a:ext cx="784412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118412" y="1568821"/>
          <a:ext cx="1311089" cy="470649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74441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107206" y="2074769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69794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933766" y="2696133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470648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997823" y="1647265"/>
          <a:ext cx="381001" cy="403411"/>
        </a:xfrm>
        <a:prstGeom prst="down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2771" tableBorderDxfId="2770">
  <tableColumns count="4">
    <tableColumn id="1" xr3:uid="{86185E31-EC52-4ECC-BC3E-33C26B14F7C2}" name="Series" dataDxfId="2769">
      <calculatedColumnFormula>_xlfn.CONCAT($V$7," ",V8)</calculatedColumnFormula>
    </tableColumn>
    <tableColumn id="2" xr3:uid="{788D8AF7-A2FF-4152-9FEC-3D734C94A926}" name="Serie" dataDxfId="2768"/>
    <tableColumn id="3" xr3:uid="{98F42830-BCA0-414B-9FEF-78FCD5DB348B}" name="indexMin" dataDxfId="2767"/>
    <tableColumn id="4" xr3:uid="{E4B94243-8BBE-45E2-AAC0-0D18C5A6695E}" name="indexMax" dataDxfId="276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2765" dataDxfId="2763" headerRowBorderDxfId="2764" tableBorderDxfId="2762">
  <tableColumns count="1">
    <tableColumn id="1" xr3:uid="{8473C081-0E42-4FA9-8C99-E5B7E8CD3209}" name="Tours" dataDxfId="276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2760" headerRowBorderDxfId="2759" tableBorderDxfId="2758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2757" dataDxfId="2756" tableBorderDxfId="2755">
  <autoFilter ref="D12:F13" xr:uid="{FCA0E9AA-8BD9-46EB-B07B-67F06EACCB48}"/>
  <tableColumns count="3">
    <tableColumn id="1" xr3:uid="{47561816-2B53-47F6-822E-269C476F3FFD}" name="Tour importé" dataDxfId="2754"/>
    <tableColumn id="2" xr3:uid="{E2C3F515-D8A3-4FC2-B632-32DB6D91A198}" name="Type" dataDxfId="2753">
      <calculatedColumnFormula>INDEX(TableauType[TYPE],Tableau6[[#This Row],[TypeIndex]])</calculatedColumnFormula>
    </tableColumn>
    <tableColumn id="3" xr3:uid="{617E6B65-5E58-4C9B-9DC4-488608A74753}" name="TypeIndex" dataDxfId="2752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2751" dataDxfId="2750">
  <autoFilter ref="AD7:AD15" xr:uid="{9029752C-EFC9-4C60-BDF1-B009EF2F440D}"/>
  <tableColumns count="1">
    <tableColumn id="1" xr3:uid="{47EFDC89-116E-4E91-94A2-C4CDC0579100}" name="Fichiers" dataDxfId="274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2748" headerRowBorderDxfId="2747" tableBorderDxfId="2746" totalsRowBorderDxfId="2745">
  <autoFilter ref="U18:V22" xr:uid="{BBFFD128-4797-4BD5-B581-AA8D8277F8F3}"/>
  <tableColumns count="2">
    <tableColumn id="1" xr3:uid="{903026A3-43DC-4900-8F6E-2271BCA97B81}" name="Colonne1" dataDxfId="2744"/>
    <tableColumn id="2" xr3:uid="{C9FC1671-8A12-4C52-9797-E5DB3A7B67E7}" name="Colonne2" dataDxfId="2743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742" tableBorderDxfId="2741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740"/>
    <tableColumn id="2" xr3:uid="{ECBEFB46-CF2E-4172-8E5C-37DBEC25E1AE}" name="Club" dataDxfId="2739"/>
    <tableColumn id="3" xr3:uid="{FBA83F7F-D4E7-4A15-99EC-CE8D436D7EB3}" name="Index" dataDxfId="2738"/>
    <tableColumn id="4" xr3:uid="{0090B21E-C7ED-4CC4-A4C8-7AED1146F2F9}" name="Série" dataDxfId="2737"/>
    <tableColumn id="5" xr3:uid="{7D4E8E6A-E590-441A-A2B5-664E220061CC}" name="Score     Net1" dataDxfId="2736"/>
    <tableColumn id="6" xr3:uid="{84241967-A195-4D05-9846-F0E084774539}" name="Rang   Net1" dataDxfId="2735"/>
    <tableColumn id="7" xr3:uid="{F27CD3EA-D421-4623-93DF-5DFCAA423771}" name="Score    Brut1" dataDxfId="2734"/>
    <tableColumn id="8" xr3:uid="{62D1F21B-032A-484B-BC39-395CC4756A54}" name="Rang   Brut1" dataDxfId="2733"/>
    <tableColumn id="9" xr3:uid="{D3289CF1-FAC6-4CC0-B2B6-80CBB0406845}" name="Score      Net2" dataDxfId="2732"/>
    <tableColumn id="10" xr3:uid="{2F18A068-FD19-4313-83C9-0AB3AA88EE3F}" name="Rang      Net2" dataDxfId="2731"/>
    <tableColumn id="11" xr3:uid="{A7248FAA-403B-4BFE-B0D4-859E30DE4A95}" name="Score      Brut2" dataDxfId="2730"/>
    <tableColumn id="12" xr3:uid="{4F6F4506-16A0-4352-A12B-8992CD80B9B6}" name="Rang      Brut2" dataDxfId="2729"/>
    <tableColumn id="13" xr3:uid="{68CAD2A6-712A-4B66-A7A3-D58BF5303438}" name="Score      Net3" dataDxfId="2728"/>
    <tableColumn id="14" xr3:uid="{9F172573-6C25-46FC-BE9F-F56834E813D9}" name="Rang      Net3" dataDxfId="2727"/>
    <tableColumn id="15" xr3:uid="{618A094F-BB99-4883-A19C-4EBA6E699BCF}" name="Score      Brut3" dataDxfId="2726"/>
    <tableColumn id="16" xr3:uid="{0E544C66-61C9-46D5-A427-A9677AE96910}" name="Rang      Brut3" dataDxfId="2725"/>
    <tableColumn id="17" xr3:uid="{24730B87-D2CD-487D-99BD-EACD109C443F}" name="Score        Net4" dataDxfId="2724"/>
    <tableColumn id="18" xr3:uid="{F0B85087-E217-4534-9BC7-B04BDDCCA8B9}" name="Rang        Net4" dataDxfId="2723"/>
    <tableColumn id="19" xr3:uid="{7DDCD1A6-A182-48A1-9F3F-836B917D0B07}" name="Score        Brut4" dataDxfId="2722"/>
    <tableColumn id="20" xr3:uid="{8EABA2E9-9ADA-4192-8BB2-2F58072A8E01}" name="Rang        Brut4" dataDxfId="2721"/>
    <tableColumn id="21" xr3:uid="{79E31DB6-4982-4160-9B1D-20DE3F5E1BB8}" name="Score        Net5" dataDxfId="2720"/>
    <tableColumn id="22" xr3:uid="{DB589AF3-34B3-447A-A354-D474E90FDB4F}" name="Rang        Net5" dataDxfId="2719"/>
    <tableColumn id="23" xr3:uid="{EC9FE005-CE9F-448B-81FE-28EDD1A971F9}" name="Score        Brut5" dataDxfId="2718"/>
    <tableColumn id="24" xr3:uid="{220294A2-C79D-45F3-9AE5-D46451BBF584}" name="Rang        Brut5" dataDxfId="2717"/>
    <tableColumn id="25" xr3:uid="{A772CA9D-C689-4C9F-9855-E6A692839D23}" name="Score        Net6" dataDxfId="2716"/>
    <tableColumn id="26" xr3:uid="{D2589416-857A-4C41-AC6D-96D41817DEC7}" name="Rang        Net6" dataDxfId="2715"/>
    <tableColumn id="27" xr3:uid="{27ADC7D0-24DE-4505-9913-856D8DE338A9}" name="Score        Brut6" dataDxfId="2714"/>
    <tableColumn id="28" xr3:uid="{ABDBDCB4-7B27-49F8-BC7A-7843BC9FF7A5}" name="Rang        Brut6" dataDxfId="2713"/>
    <tableColumn id="29" xr3:uid="{941D9336-449B-439E-B469-314E549EA186}" name="Score Net Max" dataDxfId="2712">
      <calculatedColumnFormula>IF(MIN(F4,J4,N4,R4,V4,Z4)&lt;&gt;0,MIN(F4,J4,N4,R4,V4,Z4),"")</calculatedColumnFormula>
    </tableColumn>
    <tableColumn id="30" xr3:uid="{90574FCA-077D-4C2D-95A6-25042040131A}" name="Score Brut Max" dataDxfId="2711">
      <calculatedColumnFormula>IF(MIN(H4,L4,P4,T4,X4,AB4)&lt;&gt;0,MIN(H4,L4,P4,T4,X4,AB4),"")</calculatedColumnFormula>
    </tableColumn>
    <tableColumn id="31" xr3:uid="{7D46739F-AA9F-4F4C-8559-42672BDC3359}" name="Score Net Finale" dataDxfId="2710"/>
    <tableColumn id="32" xr3:uid="{11EAF1CA-8CD4-40A4-91A3-87D38FCF3433}" name="Rang Net Finale" dataDxfId="2709"/>
    <tableColumn id="33" xr3:uid="{66A96B4D-B263-479C-A036-CA0A68FB1450}" name="Score Brut Finale" dataDxfId="2708"/>
    <tableColumn id="34" xr3:uid="{AB46E898-F45B-460F-A38E-C5A2BFD53000}" name="Rang Brut Finale" dataDxfId="2707"/>
    <tableColumn id="35" xr3:uid="{E7B91838-CDE0-4965-B3BE-53C906009CF4}" name="Score Net LGS" dataDxfId="2706">
      <calculatedColumnFormula>IF(AD4="","",IF(ISBLANK(AF4),"En cours",AD4+AF4))</calculatedColumnFormula>
    </tableColumn>
    <tableColumn id="36" xr3:uid="{2A90CEF2-3F60-4761-BD52-022404B7522C}" name="Score Brut LGS" dataDxfId="2705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2704" tableBorderDxfId="270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2702"/>
    <tableColumn id="2" xr3:uid="{6DF6013E-11A9-4F6E-B527-4EB5242D32FC}" name="Club" dataDxfId="2701"/>
    <tableColumn id="3" xr3:uid="{809481FC-1207-4212-8E64-39319F31B86C}" name="Index" dataDxfId="2700"/>
    <tableColumn id="4" xr3:uid="{61BCE2E5-DC5C-48C2-BA39-6573DBA32351}" name="Série" dataDxfId="2699"/>
    <tableColumn id="5" xr3:uid="{5210E73B-D34C-4FAE-A187-64170B309A2C}" name="Score     Net1" dataDxfId="2698"/>
    <tableColumn id="6" xr3:uid="{0C146610-8133-4769-A4EC-4AF4A9EB4EEA}" name="Rang   Net1" dataDxfId="2697"/>
    <tableColumn id="7" xr3:uid="{DC3B3441-4412-46B5-8015-7E44D9FF0A16}" name="Score    Brut1" dataDxfId="2696"/>
    <tableColumn id="8" xr3:uid="{780A2D1B-C1E0-4E66-A641-80609193E5ED}" name="Rang   Brut1" dataDxfId="2695"/>
    <tableColumn id="9" xr3:uid="{A286DE62-5493-4750-8D3A-4E0268951135}" name="Score      Net2" dataDxfId="2694"/>
    <tableColumn id="10" xr3:uid="{9AA9E923-19AE-4E9C-B03E-6CCB420B0DE0}" name="Rang      Net2" dataDxfId="2693"/>
    <tableColumn id="11" xr3:uid="{13D9FCED-A177-4823-BBF5-CB6BBFD92170}" name="Score      Brut2" dataDxfId="2692"/>
    <tableColumn id="12" xr3:uid="{AE79BCC0-99C9-4A29-85F9-06518743CC41}" name="Rang      Brut2" dataDxfId="2691"/>
    <tableColumn id="13" xr3:uid="{6260EBE1-C4F8-4892-8111-6848B59FFDDC}" name="Score      Net3" dataDxfId="2690"/>
    <tableColumn id="14" xr3:uid="{70D3C91B-53A9-4C67-AA7C-86DB6FCC84EA}" name="Rang      Net3" dataDxfId="2689"/>
    <tableColumn id="15" xr3:uid="{316ABADB-80DF-4341-9456-B07A916EE828}" name="Score      Brut3" dataDxfId="2688"/>
    <tableColumn id="16" xr3:uid="{5F33B9A2-6C2B-44A9-B727-D955FDD7A57E}" name="Rang      Brut3" dataDxfId="2687"/>
    <tableColumn id="17" xr3:uid="{7405128E-0D40-44C5-B3B7-9098CE3F571B}" name="Score        Net4" dataDxfId="2686"/>
    <tableColumn id="18" xr3:uid="{57B1622B-69C7-4A1C-8967-6906A0E60401}" name="Rang        Net4" dataDxfId="2685"/>
    <tableColumn id="19" xr3:uid="{765D8E18-32EC-4D78-B6D5-C889630A0B4D}" name="Score        Brut4" dataDxfId="2684"/>
    <tableColumn id="20" xr3:uid="{F9E9BC2E-A9E0-415E-92F8-F007D70D402D}" name="Rang        Brut4" dataDxfId="2683"/>
    <tableColumn id="21" xr3:uid="{56B8C53B-2683-43AB-BA94-98D12846892B}" name="Score        Net5" dataDxfId="2682"/>
    <tableColumn id="22" xr3:uid="{CEE64EB1-2B37-4BE8-AD6C-F73635777200}" name="Rang        Net5" dataDxfId="2681"/>
    <tableColumn id="23" xr3:uid="{08967303-5AA9-43EB-A7B1-57000258446B}" name="Score        Brut5" dataDxfId="2680"/>
    <tableColumn id="24" xr3:uid="{8200C06D-A6A7-4584-BCE4-DE94947CAA08}" name="Rang        Brut5" dataDxfId="2679"/>
    <tableColumn id="25" xr3:uid="{E363B218-F04E-4259-A65F-BE04FA1C15B3}" name="Score        Net6" dataDxfId="2678"/>
    <tableColumn id="26" xr3:uid="{EC92842C-B321-4087-AA25-F376E0579048}" name="Rang        Net6" dataDxfId="2677"/>
    <tableColumn id="27" xr3:uid="{3EF61377-66C7-4D60-AF65-BAFD2DD291D8}" name="Score        Brut6" dataDxfId="2676"/>
    <tableColumn id="28" xr3:uid="{251BB10E-2B2F-4B4A-8805-D7C49FF7D091}" name="Rang        Brut6" dataDxfId="2675"/>
    <tableColumn id="29" xr3:uid="{937492D8-E20B-486F-B289-5EBB929EA97E}" name="Score Net Max" dataDxfId="2674">
      <calculatedColumnFormula>IF(MIN(F4,J4,N4,R4,V4,Z4)&lt;&gt;0,MIN(F4,J4,N4,R4,V4,Z4),"")</calculatedColumnFormula>
    </tableColumn>
    <tableColumn id="30" xr3:uid="{BFCE7449-4F11-49CA-B00B-6CF4C21DE23E}" name="Score Brut Max" dataDxfId="2673">
      <calculatedColumnFormula>IF(MIN(H4,L4,P4,T4,X4,AB4)&lt;&gt;0,MIN(H4,L4,P4,T4,X4,AB4),"")</calculatedColumnFormula>
    </tableColumn>
    <tableColumn id="31" xr3:uid="{061F8C59-D91F-49DB-89E4-FD5BF5DEA2BE}" name="Score Net Finale" dataDxfId="2672"/>
    <tableColumn id="32" xr3:uid="{47CCF636-B700-4893-BB69-C5F49188A737}" name="Rang Net Finale" dataDxfId="2671"/>
    <tableColumn id="33" xr3:uid="{34BE4EC2-EAC1-40DC-82EA-B21BFA645C43}" name="Score Brut Finale" dataDxfId="2670"/>
    <tableColumn id="34" xr3:uid="{B4CC10FB-AE7D-4F7B-B5E6-A21DFBD43F7A}" name="Rang Brut Finale" dataDxfId="2669"/>
    <tableColumn id="35" xr3:uid="{2A85E5CE-D8F3-4ABA-BB20-EF4EC4E5400C}" name="Score Net LGS" dataDxfId="2668">
      <calculatedColumnFormula>IF(AD4="","",IF(ISBLANK(AF4),"En cours",AD4+AF4))</calculatedColumnFormula>
    </tableColumn>
    <tableColumn id="36" xr3:uid="{E2505702-E088-4E30-97F4-10F7B06362C7}" name="Score Brut LGS" dataDxfId="266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2666" dataDxfId="2665">
  <autoFilter ref="B4:F5" xr:uid="{BEE036B7-08A7-43AF-AC9F-62B639BE2327}"/>
  <tableColumns count="5">
    <tableColumn id="1" xr3:uid="{07F0EE21-57C5-4450-A337-C4E93B37093B}" name="type" dataDxfId="2664"/>
    <tableColumn id="4" xr3:uid="{5D76DE16-D7AC-47BB-8E5C-7D62535B0C45}" name="joueurs" dataDxfId="2663"/>
    <tableColumn id="6" xr3:uid="{AAEF716B-5939-451B-9370-6D6F4B67A6B4}" name="feuille" dataDxfId="2662"/>
    <tableColumn id="2" xr3:uid="{15443A43-A7C3-4E12-8B5A-8DC832EBEFF5}" name="reference" dataDxfId="2661"/>
    <tableColumn id="3" xr3:uid="{C5F94F07-C4F6-41F7-9201-803FDABD5D1F}" name="date" dataDxfId="266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COUNTA($B$17:$B$7704)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COUNTA($K$17:$K$7702)</f>
        <v>0</v>
      </c>
      <c r="L3" s="60"/>
      <c r="M3" s="60" t="str">
        <f>_xlfn.CONCAT("Resultat LGS (",Tableau6[Type],")")</f>
        <v>Resultat LGS (ALL)</v>
      </c>
      <c r="N3" s="66"/>
      <c r="O3" s="67">
        <v>45509</v>
      </c>
      <c r="T3" t="s">
        <v>101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81" t="s">
        <v>81</v>
      </c>
      <c r="Q5" s="182"/>
      <c r="R5" s="183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5" t="s">
        <v>100</v>
      </c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84">
        <f>IF(Tableau6[Type]=INDEX(TableauType[],1),U19,V19)</f>
        <v>0</v>
      </c>
      <c r="Q6" s="185"/>
      <c r="R6" s="18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87" t="str">
        <f>IF(Tableau6[Type]=INDEX(TableauType[],1),U20,V20)</f>
        <v>export_DAME_Net_12.xlsx</v>
      </c>
      <c r="Q7" s="188"/>
      <c r="R7" s="189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90" t="str">
        <f>IF(Tableau6[Type]=INDEX(TableauType[],1),U21,V21)</f>
        <v>export_DAME_Brut_34.xlsx</v>
      </c>
      <c r="Q8" s="191"/>
      <c r="R8" s="192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93" t="str">
        <f>IF(Tableau6[Type]=INDEX(TableauType[],1),U22,V22)</f>
        <v>export_DAME_Net_34.xlsx</v>
      </c>
      <c r="Q9" s="194"/>
      <c r="R9" s="195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102</v>
      </c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ALL</v>
      </c>
      <c r="F13" s="113">
        <v>3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79" t="s">
        <v>1</v>
      </c>
      <c r="C15" s="179"/>
      <c r="D15" s="179"/>
      <c r="E15" s="179"/>
      <c r="F15" s="179"/>
      <c r="G15" s="179"/>
      <c r="H15" s="179"/>
      <c r="I15" s="179"/>
      <c r="K15" s="180" t="s">
        <v>2</v>
      </c>
      <c r="L15" s="180"/>
      <c r="M15" s="180"/>
      <c r="N15" s="180"/>
      <c r="O15" s="180"/>
      <c r="P15" s="180"/>
      <c r="Q15" s="180"/>
      <c r="R15" s="18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89</v>
      </c>
      <c r="V18" s="123" t="s">
        <v>90</v>
      </c>
      <c r="W18" s="25"/>
      <c r="X18" s="176" t="s">
        <v>98</v>
      </c>
      <c r="Y18" s="177"/>
      <c r="Z18" s="177"/>
      <c r="AA18" s="177"/>
      <c r="AB18" s="178"/>
      <c r="AC18" s="25"/>
      <c r="AD18" s="25"/>
      <c r="AE18" s="28"/>
    </row>
    <row r="19" spans="6:31" x14ac:dyDescent="0.25">
      <c r="F19"/>
      <c r="O19"/>
      <c r="T19" s="23"/>
      <c r="U19" s="5"/>
      <c r="V19" s="124"/>
      <c r="W19" s="25"/>
      <c r="X19" s="152" t="s">
        <v>94</v>
      </c>
      <c r="Y19" s="150"/>
      <c r="Z19" s="150" t="s">
        <v>92</v>
      </c>
      <c r="AA19" s="150"/>
      <c r="AB19" s="151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5" t="s">
        <v>84</v>
      </c>
      <c r="W20" s="25"/>
      <c r="X20" s="153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87</v>
      </c>
      <c r="V22" s="127" t="s">
        <v>88</v>
      </c>
      <c r="W22" s="25"/>
      <c r="X22" s="176" t="s">
        <v>99</v>
      </c>
      <c r="Y22" s="177"/>
      <c r="Z22" s="177"/>
      <c r="AA22" s="177"/>
      <c r="AB22" s="178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54" t="s">
        <v>96</v>
      </c>
      <c r="Y23" s="148"/>
      <c r="Z23" s="148" t="s">
        <v>97</v>
      </c>
      <c r="AA23" s="148"/>
      <c r="AB23" s="149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72"/>
      <c r="U28" s="169"/>
      <c r="V28" s="169"/>
      <c r="W28" s="166"/>
    </row>
    <row r="29" spans="6:31" ht="15.75" thickBot="1" x14ac:dyDescent="0.3">
      <c r="F29"/>
      <c r="O29"/>
      <c r="T29" s="173"/>
      <c r="U29" s="164" t="s">
        <v>35</v>
      </c>
      <c r="V29" s="156" t="str">
        <f ca="1">MID(CELL("nomfichier",A1),FIND("]",CELL("nomfichier",A1))+1,LEN(CELL("nomfichier",A1))-FIND("]",CELL("nomfichier",A1)))</f>
        <v>Import Resultats Tour</v>
      </c>
      <c r="W29" s="167"/>
    </row>
    <row r="30" spans="6:31" ht="15.75" thickBot="1" x14ac:dyDescent="0.3">
      <c r="F30"/>
      <c r="O30"/>
      <c r="T30" s="173"/>
      <c r="U30" s="164" t="s">
        <v>36</v>
      </c>
      <c r="V30" s="156" t="str">
        <f>_xlfn.CONCAT("Resultat LGS (",Tableau6[Type],")")</f>
        <v>Resultat LGS (ALL)</v>
      </c>
      <c r="W30" s="167"/>
    </row>
    <row r="31" spans="6:31" ht="15.75" thickBot="1" x14ac:dyDescent="0.3">
      <c r="F31"/>
      <c r="O31"/>
      <c r="T31" s="173"/>
      <c r="U31" s="170"/>
      <c r="V31" s="171"/>
      <c r="W31" s="167"/>
    </row>
    <row r="32" spans="6:31" x14ac:dyDescent="0.25">
      <c r="F32"/>
      <c r="O32"/>
      <c r="T32" s="173"/>
      <c r="U32" s="163" t="s">
        <v>34</v>
      </c>
      <c r="V32" s="158">
        <f>COUNTA($B$17:$B$7704)</f>
        <v>0</v>
      </c>
      <c r="W32" s="167"/>
    </row>
    <row r="33" spans="6:23" ht="15.75" thickBot="1" x14ac:dyDescent="0.3">
      <c r="F33"/>
      <c r="O33"/>
      <c r="T33" s="173"/>
      <c r="U33" s="161" t="s">
        <v>33</v>
      </c>
      <c r="V33" s="159">
        <f>COUNTA($K$17:$K$7702)</f>
        <v>0</v>
      </c>
      <c r="W33" s="167"/>
    </row>
    <row r="34" spans="6:23" ht="15.75" thickBot="1" x14ac:dyDescent="0.3">
      <c r="F34"/>
      <c r="O34"/>
      <c r="T34" s="173"/>
      <c r="U34" s="162" t="s">
        <v>3</v>
      </c>
      <c r="V34" s="160">
        <f>TourSelected</f>
        <v>1</v>
      </c>
      <c r="W34" s="167"/>
    </row>
    <row r="35" spans="6:23" ht="15.75" thickBot="1" x14ac:dyDescent="0.3">
      <c r="F35"/>
      <c r="O35"/>
      <c r="T35" s="173"/>
      <c r="U35" s="170"/>
      <c r="V35" s="171"/>
      <c r="W35" s="167"/>
    </row>
    <row r="36" spans="6:23" x14ac:dyDescent="0.25">
      <c r="F36"/>
      <c r="O36"/>
      <c r="T36" s="173"/>
      <c r="U36" s="157" t="s">
        <v>31</v>
      </c>
      <c r="V36" s="158"/>
      <c r="W36" s="167"/>
    </row>
    <row r="37" spans="6:23" ht="15.75" thickBot="1" x14ac:dyDescent="0.3">
      <c r="F37"/>
      <c r="O37"/>
      <c r="T37" s="173"/>
      <c r="U37" s="161" t="s">
        <v>32</v>
      </c>
      <c r="V37" s="165">
        <f>DateImport</f>
        <v>45509</v>
      </c>
      <c r="W37" s="167"/>
    </row>
    <row r="38" spans="6:23" ht="15.75" thickBot="1" x14ac:dyDescent="0.3">
      <c r="F38"/>
      <c r="O38"/>
      <c r="T38" s="174"/>
      <c r="U38" s="175"/>
      <c r="V38" s="175"/>
      <c r="W38" s="168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238125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190500</xdr:colOff>
                    <xdr:row>5</xdr:row>
                    <xdr:rowOff>238125</xdr:rowOff>
                  </from>
                  <to>
                    <xdr:col>3</xdr:col>
                    <xdr:colOff>1571625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76200</xdr:rowOff>
                  </from>
                  <to>
                    <xdr:col>4</xdr:col>
                    <xdr:colOff>2076450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mdGenererFeuille">
              <controlPr defaultSize="0" autoFill="0" autoPict="0" macro="[0]!CalculTour">
                <anchor moveWithCells="1">
                  <from>
                    <xdr:col>7</xdr:col>
                    <xdr:colOff>76200</xdr:colOff>
                    <xdr:row>6</xdr:row>
                    <xdr:rowOff>190500</xdr:rowOff>
                  </from>
                  <to>
                    <xdr:col>9</xdr:col>
                    <xdr:colOff>133350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203" t="s">
        <v>18</v>
      </c>
      <c r="G2" s="204"/>
      <c r="H2" s="204"/>
      <c r="I2" s="205"/>
      <c r="J2" s="206" t="s">
        <v>19</v>
      </c>
      <c r="K2" s="207"/>
      <c r="L2" s="207"/>
      <c r="M2" s="208"/>
      <c r="N2" s="209" t="s">
        <v>20</v>
      </c>
      <c r="O2" s="204"/>
      <c r="P2" s="204"/>
      <c r="Q2" s="205"/>
      <c r="R2" s="206" t="s">
        <v>21</v>
      </c>
      <c r="S2" s="207"/>
      <c r="T2" s="207"/>
      <c r="U2" s="208"/>
      <c r="V2" s="209" t="s">
        <v>22</v>
      </c>
      <c r="W2" s="204"/>
      <c r="X2" s="204"/>
      <c r="Y2" s="205"/>
      <c r="Z2" s="206" t="s">
        <v>23</v>
      </c>
      <c r="AA2" s="207"/>
      <c r="AB2" s="207"/>
      <c r="AC2" s="210"/>
      <c r="AD2" s="196" t="s">
        <v>82</v>
      </c>
      <c r="AE2" s="197"/>
      <c r="AF2" s="198" t="s">
        <v>17</v>
      </c>
      <c r="AG2" s="199"/>
      <c r="AH2" s="199"/>
      <c r="AI2" s="200"/>
      <c r="AJ2" s="201" t="s">
        <v>25</v>
      </c>
      <c r="AK2" s="20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>IF(MIN(F4,J4,N4,R4,V4,Z4)&lt;&gt;0,MIN(F4,J4,N4,R4,V4,Z4),"")</f>
        <v/>
      </c>
      <c r="AE4" s="147" t="str">
        <f>IF(MIN(H4,L4,P4,T4,X4,AB4)&lt;&gt;0,MIN(H4,L4,P4,T4,X4,AB4),"")</f>
        <v/>
      </c>
      <c r="AF4" s="147"/>
      <c r="AG4" s="146"/>
      <c r="AH4" s="147"/>
      <c r="AI4" s="146"/>
      <c r="AJ4" s="145" t="str">
        <f>IF(AD4="","",IF(ISBLANK(AF4),"En cours",AD4+AF4))</f>
        <v/>
      </c>
      <c r="AK4" s="145" t="str">
        <f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>IF(MIN(F5,J5,N5,R5,V5,Z5)&lt;&gt;0,MIN(F5,J5,N5,R5,V5,Z5),"")</f>
        <v/>
      </c>
      <c r="AE5" s="147" t="str">
        <f>IF(MIN(H5,L5,P5,T5,X5,AB5)&lt;&gt;0,MIN(H5,L5,P5,T5,X5,AB5),"")</f>
        <v/>
      </c>
      <c r="AF5" s="147"/>
      <c r="AG5" s="146"/>
      <c r="AH5" s="147"/>
      <c r="AI5" s="146"/>
      <c r="AJ5" s="145" t="str">
        <f>IF(AD5="","",IF(ISBLANK(AF5),"En cours",AD5+AF5))</f>
        <v/>
      </c>
      <c r="AK5" s="145" t="str">
        <f>IF(AE5="","",IF(ISBLANK(AH5),"En cours",AE5+AH5))</f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ref="AD6:AD20" si="0">IF(MIN(F6,J6,N6,R6,V6,Z6)&lt;&gt;0,MIN(F6,J6,N6,R6,V6,Z6),"")</f>
        <v/>
      </c>
      <c r="AE6" s="147" t="str">
        <f t="shared" ref="AE6:AE20" si="1">IF(MIN(H6,L6,P6,T6,X6,AB6)&lt;&gt;0,MIN(H6,L6,P6,T6,X6,AB6),"")</f>
        <v/>
      </c>
      <c r="AF6" s="147"/>
      <c r="AG6" s="146"/>
      <c r="AH6" s="147"/>
      <c r="AI6" s="146"/>
      <c r="AJ6" s="145" t="str">
        <f t="shared" ref="AJ6:AJ20" si="2">IF(AD6="","",IF(ISBLANK(AF6),"En cours",AD6+AF6))</f>
        <v/>
      </c>
      <c r="AK6" s="145" t="str">
        <f t="shared" ref="AK6:AK20" si="3"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42" si="4">IF(MIN(F21,J21,N21,R21,V21,Z21)&lt;&gt;0,MIN(F21,J21,N21,R21,V21,Z21),"")</f>
        <v/>
      </c>
      <c r="AE21" s="147" t="str">
        <f t="shared" ref="AE21:AE4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42" si="6">IF(AD21="","",IF(ISBLANK(AF21),"En cours",AD21+AF21))</f>
        <v/>
      </c>
      <c r="AK21" s="145" t="str">
        <f t="shared" ref="AK21:AK4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4"/>
        <v/>
      </c>
      <c r="AE23" s="147" t="str">
        <f t="shared" si="5"/>
        <v/>
      </c>
      <c r="AF23" s="147"/>
      <c r="AG23" s="146"/>
      <c r="AH23" s="147"/>
      <c r="AI23" s="146"/>
      <c r="AJ23" s="145" t="str">
        <f t="shared" si="6"/>
        <v/>
      </c>
      <c r="AK23" s="145" t="str">
        <f t="shared" si="7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4"/>
        <v/>
      </c>
      <c r="AE27" s="147" t="str">
        <f t="shared" si="5"/>
        <v/>
      </c>
      <c r="AF27" s="147"/>
      <c r="AG27" s="146"/>
      <c r="AH27" s="147"/>
      <c r="AI27" s="146"/>
      <c r="AJ27" s="145" t="str">
        <f t="shared" si="6"/>
        <v/>
      </c>
      <c r="AK27" s="145" t="str">
        <f t="shared" si="7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4"/>
        <v/>
      </c>
      <c r="AE28" s="147" t="str">
        <f t="shared" si="5"/>
        <v/>
      </c>
      <c r="AF28" s="147"/>
      <c r="AG28" s="146"/>
      <c r="AH28" s="147"/>
      <c r="AI28" s="146"/>
      <c r="AJ28" s="145" t="str">
        <f t="shared" si="6"/>
        <v/>
      </c>
      <c r="AK28" s="145" t="str">
        <f t="shared" si="7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4"/>
        <v/>
      </c>
      <c r="AE29" s="147" t="str">
        <f t="shared" si="5"/>
        <v/>
      </c>
      <c r="AF29" s="147"/>
      <c r="AG29" s="146"/>
      <c r="AH29" s="147"/>
      <c r="AI29" s="146"/>
      <c r="AJ29" s="145" t="str">
        <f t="shared" si="6"/>
        <v/>
      </c>
      <c r="AK29" s="145" t="str">
        <f t="shared" si="7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4"/>
        <v/>
      </c>
      <c r="AE30" s="147" t="str">
        <f t="shared" si="5"/>
        <v/>
      </c>
      <c r="AF30" s="147"/>
      <c r="AG30" s="146"/>
      <c r="AH30" s="147"/>
      <c r="AI30" s="146"/>
      <c r="AJ30" s="145" t="str">
        <f t="shared" si="6"/>
        <v/>
      </c>
      <c r="AK30" s="145" t="str">
        <f t="shared" si="7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4"/>
        <v/>
      </c>
      <c r="AE31" s="147" t="str">
        <f t="shared" si="5"/>
        <v/>
      </c>
      <c r="AF31" s="147"/>
      <c r="AG31" s="146"/>
      <c r="AH31" s="147"/>
      <c r="AI31" s="146"/>
      <c r="AJ31" s="145" t="str">
        <f t="shared" si="6"/>
        <v/>
      </c>
      <c r="AK31" s="145" t="str">
        <f t="shared" si="7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4"/>
        <v/>
      </c>
      <c r="AE32" s="147" t="str">
        <f t="shared" si="5"/>
        <v/>
      </c>
      <c r="AF32" s="147"/>
      <c r="AG32" s="146"/>
      <c r="AH32" s="147"/>
      <c r="AI32" s="146"/>
      <c r="AJ32" s="145" t="str">
        <f t="shared" si="6"/>
        <v/>
      </c>
      <c r="AK32" s="145" t="str">
        <f t="shared" si="7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4"/>
        <v/>
      </c>
      <c r="AE33" s="147" t="str">
        <f t="shared" si="5"/>
        <v/>
      </c>
      <c r="AF33" s="147"/>
      <c r="AG33" s="146"/>
      <c r="AH33" s="147"/>
      <c r="AI33" s="146"/>
      <c r="AJ33" s="145" t="str">
        <f t="shared" si="6"/>
        <v/>
      </c>
      <c r="AK33" s="145" t="str">
        <f t="shared" si="7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4"/>
        <v/>
      </c>
      <c r="AE34" s="147" t="str">
        <f t="shared" si="5"/>
        <v/>
      </c>
      <c r="AF34" s="147"/>
      <c r="AG34" s="146"/>
      <c r="AH34" s="147"/>
      <c r="AI34" s="146"/>
      <c r="AJ34" s="145" t="str">
        <f t="shared" si="6"/>
        <v/>
      </c>
      <c r="AK34" s="145" t="str">
        <f t="shared" si="7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4"/>
        <v/>
      </c>
      <c r="AE35" s="147" t="str">
        <f t="shared" si="5"/>
        <v/>
      </c>
      <c r="AF35" s="147"/>
      <c r="AG35" s="146"/>
      <c r="AH35" s="147"/>
      <c r="AI35" s="146"/>
      <c r="AJ35" s="145" t="str">
        <f t="shared" si="6"/>
        <v/>
      </c>
      <c r="AK35" s="145" t="str">
        <f t="shared" si="7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4"/>
        <v/>
      </c>
      <c r="AE36" s="147" t="str">
        <f t="shared" si="5"/>
        <v/>
      </c>
      <c r="AF36" s="147"/>
      <c r="AG36" s="146"/>
      <c r="AH36" s="147"/>
      <c r="AI36" s="146"/>
      <c r="AJ36" s="145" t="str">
        <f t="shared" si="6"/>
        <v/>
      </c>
      <c r="AK36" s="145" t="str">
        <f t="shared" si="7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4"/>
        <v/>
      </c>
      <c r="AE37" s="147" t="str">
        <f t="shared" si="5"/>
        <v/>
      </c>
      <c r="AF37" s="147"/>
      <c r="AG37" s="146"/>
      <c r="AH37" s="147"/>
      <c r="AI37" s="146"/>
      <c r="AJ37" s="145" t="str">
        <f t="shared" si="6"/>
        <v/>
      </c>
      <c r="AK37" s="145" t="str">
        <f t="shared" si="7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4"/>
        <v/>
      </c>
      <c r="AE38" s="147" t="str">
        <f t="shared" si="5"/>
        <v/>
      </c>
      <c r="AF38" s="147"/>
      <c r="AG38" s="146"/>
      <c r="AH38" s="147"/>
      <c r="AI38" s="146"/>
      <c r="AJ38" s="145" t="str">
        <f t="shared" si="6"/>
        <v/>
      </c>
      <c r="AK38" s="145" t="str">
        <f t="shared" si="7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4"/>
        <v/>
      </c>
      <c r="AE39" s="147" t="str">
        <f t="shared" si="5"/>
        <v/>
      </c>
      <c r="AF39" s="147"/>
      <c r="AG39" s="146"/>
      <c r="AH39" s="147"/>
      <c r="AI39" s="146"/>
      <c r="AJ39" s="145" t="str">
        <f t="shared" si="6"/>
        <v/>
      </c>
      <c r="AK39" s="145" t="str">
        <f t="shared" si="7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4"/>
        <v/>
      </c>
      <c r="AE40" s="147" t="str">
        <f t="shared" si="5"/>
        <v/>
      </c>
      <c r="AF40" s="147"/>
      <c r="AG40" s="146"/>
      <c r="AH40" s="147"/>
      <c r="AI40" s="146"/>
      <c r="AJ40" s="145" t="str">
        <f t="shared" si="6"/>
        <v/>
      </c>
      <c r="AK40" s="145" t="str">
        <f t="shared" si="7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4"/>
        <v/>
      </c>
      <c r="AE41" s="147" t="str">
        <f t="shared" si="5"/>
        <v/>
      </c>
      <c r="AF41" s="147"/>
      <c r="AG41" s="146"/>
      <c r="AH41" s="147"/>
      <c r="AI41" s="146"/>
      <c r="AJ41" s="145" t="str">
        <f t="shared" si="6"/>
        <v/>
      </c>
      <c r="AK41" s="145" t="str">
        <f t="shared" si="7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4"/>
        <v/>
      </c>
      <c r="AE42" s="147" t="str">
        <f t="shared" si="5"/>
        <v/>
      </c>
      <c r="AF42" s="147"/>
      <c r="AG42" s="146"/>
      <c r="AH42" s="147"/>
      <c r="AI42" s="146"/>
      <c r="AJ42" s="145" t="str">
        <f t="shared" si="6"/>
        <v/>
      </c>
      <c r="AK42" s="145" t="str">
        <f t="shared" si="7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8">IF(MIN(F43,J43,N43,R43,V43,Z43)&lt;&gt;0,MIN(F43,J43,N43,R43,V43,Z43),"")</f>
        <v/>
      </c>
      <c r="AE43" s="147" t="str">
        <f t="shared" ref="AE43:AE67" si="9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10">IF(AD43="","",IF(ISBLANK(AF43),"En cours",AD43+AF43))</f>
        <v/>
      </c>
      <c r="AK43" s="145" t="str">
        <f t="shared" ref="AK43:AK67" si="11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8"/>
        <v/>
      </c>
      <c r="AE44" s="147" t="str">
        <f t="shared" si="9"/>
        <v/>
      </c>
      <c r="AF44" s="147"/>
      <c r="AG44" s="146"/>
      <c r="AH44" s="147"/>
      <c r="AI44" s="146"/>
      <c r="AJ44" s="145" t="str">
        <f t="shared" si="10"/>
        <v/>
      </c>
      <c r="AK44" s="145" t="str">
        <f t="shared" si="11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8"/>
        <v/>
      </c>
      <c r="AE45" s="147" t="str">
        <f t="shared" si="9"/>
        <v/>
      </c>
      <c r="AF45" s="147"/>
      <c r="AG45" s="146"/>
      <c r="AH45" s="147"/>
      <c r="AI45" s="146"/>
      <c r="AJ45" s="145" t="str">
        <f t="shared" si="10"/>
        <v/>
      </c>
      <c r="AK45" s="145" t="str">
        <f t="shared" si="11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8"/>
        <v/>
      </c>
      <c r="AE46" s="147" t="str">
        <f t="shared" si="9"/>
        <v/>
      </c>
      <c r="AF46" s="147"/>
      <c r="AG46" s="146"/>
      <c r="AH46" s="147"/>
      <c r="AI46" s="146"/>
      <c r="AJ46" s="145" t="str">
        <f t="shared" si="10"/>
        <v/>
      </c>
      <c r="AK46" s="145" t="str">
        <f t="shared" si="11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8"/>
        <v/>
      </c>
      <c r="AE47" s="147" t="str">
        <f t="shared" si="9"/>
        <v/>
      </c>
      <c r="AF47" s="147"/>
      <c r="AG47" s="146"/>
      <c r="AH47" s="147"/>
      <c r="AI47" s="146"/>
      <c r="AJ47" s="145" t="str">
        <f t="shared" si="10"/>
        <v/>
      </c>
      <c r="AK47" s="145" t="str">
        <f t="shared" si="11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8"/>
        <v/>
      </c>
      <c r="AE48" s="147" t="str">
        <f t="shared" si="9"/>
        <v/>
      </c>
      <c r="AF48" s="147"/>
      <c r="AG48" s="146"/>
      <c r="AH48" s="147"/>
      <c r="AI48" s="146"/>
      <c r="AJ48" s="145" t="str">
        <f t="shared" si="10"/>
        <v/>
      </c>
      <c r="AK48" s="145" t="str">
        <f t="shared" si="11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8"/>
        <v/>
      </c>
      <c r="AE49" s="147" t="str">
        <f t="shared" si="9"/>
        <v/>
      </c>
      <c r="AF49" s="147"/>
      <c r="AG49" s="146"/>
      <c r="AH49" s="147"/>
      <c r="AI49" s="146"/>
      <c r="AJ49" s="145" t="str">
        <f t="shared" si="10"/>
        <v/>
      </c>
      <c r="AK49" s="145" t="str">
        <f t="shared" si="11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8"/>
        <v/>
      </c>
      <c r="AE50" s="147" t="str">
        <f t="shared" si="9"/>
        <v/>
      </c>
      <c r="AF50" s="147"/>
      <c r="AG50" s="146"/>
      <c r="AH50" s="147"/>
      <c r="AI50" s="146"/>
      <c r="AJ50" s="145" t="str">
        <f t="shared" si="10"/>
        <v/>
      </c>
      <c r="AK50" s="145" t="str">
        <f t="shared" si="11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8"/>
        <v/>
      </c>
      <c r="AE51" s="147" t="str">
        <f t="shared" si="9"/>
        <v/>
      </c>
      <c r="AF51" s="147"/>
      <c r="AG51" s="146"/>
      <c r="AH51" s="147"/>
      <c r="AI51" s="146"/>
      <c r="AJ51" s="145" t="str">
        <f t="shared" si="10"/>
        <v/>
      </c>
      <c r="AK51" s="145" t="str">
        <f t="shared" si="11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8"/>
        <v/>
      </c>
      <c r="AE52" s="147" t="str">
        <f t="shared" si="9"/>
        <v/>
      </c>
      <c r="AF52" s="147"/>
      <c r="AG52" s="146"/>
      <c r="AH52" s="147"/>
      <c r="AI52" s="146"/>
      <c r="AJ52" s="145" t="str">
        <f t="shared" si="10"/>
        <v/>
      </c>
      <c r="AK52" s="145" t="str">
        <f t="shared" si="11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8"/>
        <v/>
      </c>
      <c r="AE53" s="147" t="str">
        <f t="shared" si="9"/>
        <v/>
      </c>
      <c r="AF53" s="147"/>
      <c r="AG53" s="146"/>
      <c r="AH53" s="147"/>
      <c r="AI53" s="146"/>
      <c r="AJ53" s="145" t="str">
        <f t="shared" si="10"/>
        <v/>
      </c>
      <c r="AK53" s="145" t="str">
        <f t="shared" si="11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8"/>
        <v/>
      </c>
      <c r="AE54" s="147" t="str">
        <f t="shared" si="9"/>
        <v/>
      </c>
      <c r="AF54" s="147"/>
      <c r="AG54" s="146"/>
      <c r="AH54" s="147"/>
      <c r="AI54" s="146"/>
      <c r="AJ54" s="145" t="str">
        <f t="shared" si="10"/>
        <v/>
      </c>
      <c r="AK54" s="145" t="str">
        <f t="shared" si="11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8"/>
        <v/>
      </c>
      <c r="AE55" s="147" t="str">
        <f t="shared" si="9"/>
        <v/>
      </c>
      <c r="AF55" s="147"/>
      <c r="AG55" s="146"/>
      <c r="AH55" s="147"/>
      <c r="AI55" s="146"/>
      <c r="AJ55" s="145" t="str">
        <f t="shared" si="10"/>
        <v/>
      </c>
      <c r="AK55" s="145" t="str">
        <f t="shared" si="11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8"/>
        <v/>
      </c>
      <c r="AE56" s="147" t="str">
        <f t="shared" si="9"/>
        <v/>
      </c>
      <c r="AF56" s="147"/>
      <c r="AG56" s="146"/>
      <c r="AH56" s="147"/>
      <c r="AI56" s="146"/>
      <c r="AJ56" s="145" t="str">
        <f t="shared" si="10"/>
        <v/>
      </c>
      <c r="AK56" s="145" t="str">
        <f t="shared" si="11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8"/>
        <v/>
      </c>
      <c r="AE57" s="147" t="str">
        <f t="shared" si="9"/>
        <v/>
      </c>
      <c r="AF57" s="147"/>
      <c r="AG57" s="146"/>
      <c r="AH57" s="147"/>
      <c r="AI57" s="146"/>
      <c r="AJ57" s="145" t="str">
        <f t="shared" si="10"/>
        <v/>
      </c>
      <c r="AK57" s="145" t="str">
        <f t="shared" si="11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8"/>
        <v/>
      </c>
      <c r="AE58" s="147" t="str">
        <f t="shared" si="9"/>
        <v/>
      </c>
      <c r="AF58" s="147"/>
      <c r="AG58" s="146"/>
      <c r="AH58" s="147"/>
      <c r="AI58" s="146"/>
      <c r="AJ58" s="145" t="str">
        <f t="shared" si="10"/>
        <v/>
      </c>
      <c r="AK58" s="145" t="str">
        <f t="shared" si="11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8"/>
        <v/>
      </c>
      <c r="AE59" s="147" t="str">
        <f t="shared" si="9"/>
        <v/>
      </c>
      <c r="AF59" s="147"/>
      <c r="AG59" s="146"/>
      <c r="AH59" s="147"/>
      <c r="AI59" s="146"/>
      <c r="AJ59" s="145" t="str">
        <f t="shared" si="10"/>
        <v/>
      </c>
      <c r="AK59" s="145" t="str">
        <f t="shared" si="11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8"/>
        <v/>
      </c>
      <c r="AE60" s="147" t="str">
        <f t="shared" si="9"/>
        <v/>
      </c>
      <c r="AF60" s="147"/>
      <c r="AG60" s="146"/>
      <c r="AH60" s="147"/>
      <c r="AI60" s="146"/>
      <c r="AJ60" s="145" t="str">
        <f t="shared" si="10"/>
        <v/>
      </c>
      <c r="AK60" s="145" t="str">
        <f t="shared" si="11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8"/>
        <v/>
      </c>
      <c r="AE61" s="147" t="str">
        <f t="shared" si="9"/>
        <v/>
      </c>
      <c r="AF61" s="147"/>
      <c r="AG61" s="146"/>
      <c r="AH61" s="147"/>
      <c r="AI61" s="146"/>
      <c r="AJ61" s="145" t="str">
        <f t="shared" si="10"/>
        <v/>
      </c>
      <c r="AK61" s="145" t="str">
        <f t="shared" si="11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8"/>
        <v/>
      </c>
      <c r="AE62" s="147" t="str">
        <f t="shared" si="9"/>
        <v/>
      </c>
      <c r="AF62" s="147"/>
      <c r="AG62" s="146"/>
      <c r="AH62" s="147"/>
      <c r="AI62" s="146"/>
      <c r="AJ62" s="145" t="str">
        <f t="shared" si="10"/>
        <v/>
      </c>
      <c r="AK62" s="145" t="str">
        <f t="shared" si="11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8"/>
        <v/>
      </c>
      <c r="AE63" s="147" t="str">
        <f t="shared" si="9"/>
        <v/>
      </c>
      <c r="AF63" s="147"/>
      <c r="AG63" s="146"/>
      <c r="AH63" s="147"/>
      <c r="AI63" s="146"/>
      <c r="AJ63" s="145" t="str">
        <f t="shared" si="10"/>
        <v/>
      </c>
      <c r="AK63" s="145" t="str">
        <f t="shared" si="11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8"/>
        <v/>
      </c>
      <c r="AE64" s="147" t="str">
        <f t="shared" si="9"/>
        <v/>
      </c>
      <c r="AF64" s="147"/>
      <c r="AG64" s="146"/>
      <c r="AH64" s="147"/>
      <c r="AI64" s="146"/>
      <c r="AJ64" s="145" t="str">
        <f t="shared" si="10"/>
        <v/>
      </c>
      <c r="AK64" s="145" t="str">
        <f t="shared" si="11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8"/>
        <v/>
      </c>
      <c r="AE65" s="147" t="str">
        <f t="shared" si="9"/>
        <v/>
      </c>
      <c r="AF65" s="147"/>
      <c r="AG65" s="146"/>
      <c r="AH65" s="147"/>
      <c r="AI65" s="146"/>
      <c r="AJ65" s="145" t="str">
        <f t="shared" si="10"/>
        <v/>
      </c>
      <c r="AK65" s="145" t="str">
        <f t="shared" si="11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8"/>
        <v/>
      </c>
      <c r="AE66" s="147" t="str">
        <f t="shared" si="9"/>
        <v/>
      </c>
      <c r="AF66" s="147"/>
      <c r="AG66" s="146"/>
      <c r="AH66" s="147"/>
      <c r="AI66" s="146"/>
      <c r="AJ66" s="145" t="str">
        <f t="shared" si="10"/>
        <v/>
      </c>
      <c r="AK66" s="145" t="str">
        <f t="shared" si="11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8"/>
        <v/>
      </c>
      <c r="AE67" s="147" t="str">
        <f t="shared" si="9"/>
        <v/>
      </c>
      <c r="AF67" s="147"/>
      <c r="AG67" s="146"/>
      <c r="AH67" s="147"/>
      <c r="AI67" s="146"/>
      <c r="AJ67" s="145" t="str">
        <f t="shared" si="10"/>
        <v/>
      </c>
      <c r="AK67" s="145" t="str">
        <f t="shared" si="11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12">IF(MIN(F68,J68,N68,R68,V68,Z68)&lt;&gt;0,MIN(F68,J68,N68,R68,V68,Z68),"")</f>
        <v/>
      </c>
      <c r="AE68" s="147" t="str">
        <f t="shared" ref="AE68:AE131" si="13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4">IF(AD68="","",IF(ISBLANK(AF68),"En cours",AD68+AF68))</f>
        <v/>
      </c>
      <c r="AK68" s="145" t="str">
        <f t="shared" ref="AK68:AK131" si="15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12"/>
        <v/>
      </c>
      <c r="AE69" s="147" t="str">
        <f t="shared" si="13"/>
        <v/>
      </c>
      <c r="AF69" s="147"/>
      <c r="AG69" s="146"/>
      <c r="AH69" s="147"/>
      <c r="AI69" s="146"/>
      <c r="AJ69" s="145" t="str">
        <f t="shared" si="14"/>
        <v/>
      </c>
      <c r="AK69" s="145" t="str">
        <f t="shared" si="15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12"/>
        <v/>
      </c>
      <c r="AE70" s="147" t="str">
        <f t="shared" si="13"/>
        <v/>
      </c>
      <c r="AF70" s="147"/>
      <c r="AG70" s="146"/>
      <c r="AH70" s="147"/>
      <c r="AI70" s="146"/>
      <c r="AJ70" s="145" t="str">
        <f t="shared" si="14"/>
        <v/>
      </c>
      <c r="AK70" s="145" t="str">
        <f t="shared" si="15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12"/>
        <v/>
      </c>
      <c r="AE71" s="147" t="str">
        <f t="shared" si="13"/>
        <v/>
      </c>
      <c r="AF71" s="147"/>
      <c r="AG71" s="146"/>
      <c r="AH71" s="147"/>
      <c r="AI71" s="146"/>
      <c r="AJ71" s="145" t="str">
        <f t="shared" si="14"/>
        <v/>
      </c>
      <c r="AK71" s="145" t="str">
        <f t="shared" si="15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12"/>
        <v/>
      </c>
      <c r="AE72" s="147" t="str">
        <f t="shared" si="13"/>
        <v/>
      </c>
      <c r="AF72" s="147"/>
      <c r="AG72" s="146"/>
      <c r="AH72" s="147"/>
      <c r="AI72" s="146"/>
      <c r="AJ72" s="145" t="str">
        <f t="shared" si="14"/>
        <v/>
      </c>
      <c r="AK72" s="145" t="str">
        <f t="shared" si="15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12"/>
        <v/>
      </c>
      <c r="AE73" s="147" t="str">
        <f t="shared" si="13"/>
        <v/>
      </c>
      <c r="AF73" s="147"/>
      <c r="AG73" s="146"/>
      <c r="AH73" s="147"/>
      <c r="AI73" s="146"/>
      <c r="AJ73" s="145" t="str">
        <f t="shared" si="14"/>
        <v/>
      </c>
      <c r="AK73" s="145" t="str">
        <f t="shared" si="15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12"/>
        <v/>
      </c>
      <c r="AE74" s="147" t="str">
        <f t="shared" si="13"/>
        <v/>
      </c>
      <c r="AF74" s="147"/>
      <c r="AG74" s="146"/>
      <c r="AH74" s="147"/>
      <c r="AI74" s="146"/>
      <c r="AJ74" s="145" t="str">
        <f t="shared" si="14"/>
        <v/>
      </c>
      <c r="AK74" s="145" t="str">
        <f t="shared" si="15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12"/>
        <v/>
      </c>
      <c r="AE75" s="147" t="str">
        <f t="shared" si="13"/>
        <v/>
      </c>
      <c r="AF75" s="147"/>
      <c r="AG75" s="146"/>
      <c r="AH75" s="147"/>
      <c r="AI75" s="146"/>
      <c r="AJ75" s="145" t="str">
        <f t="shared" si="14"/>
        <v/>
      </c>
      <c r="AK75" s="145" t="str">
        <f t="shared" si="15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12"/>
        <v/>
      </c>
      <c r="AE76" s="147" t="str">
        <f t="shared" si="13"/>
        <v/>
      </c>
      <c r="AF76" s="147"/>
      <c r="AG76" s="146"/>
      <c r="AH76" s="147"/>
      <c r="AI76" s="146"/>
      <c r="AJ76" s="145" t="str">
        <f t="shared" si="14"/>
        <v/>
      </c>
      <c r="AK76" s="145" t="str">
        <f t="shared" si="15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12"/>
        <v/>
      </c>
      <c r="AE77" s="147" t="str">
        <f t="shared" si="13"/>
        <v/>
      </c>
      <c r="AF77" s="147"/>
      <c r="AG77" s="146"/>
      <c r="AH77" s="147"/>
      <c r="AI77" s="146"/>
      <c r="AJ77" s="145" t="str">
        <f t="shared" si="14"/>
        <v/>
      </c>
      <c r="AK77" s="145" t="str">
        <f t="shared" si="15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12"/>
        <v/>
      </c>
      <c r="AE78" s="147" t="str">
        <f t="shared" si="13"/>
        <v/>
      </c>
      <c r="AF78" s="147"/>
      <c r="AG78" s="146"/>
      <c r="AH78" s="147"/>
      <c r="AI78" s="146"/>
      <c r="AJ78" s="145" t="str">
        <f t="shared" si="14"/>
        <v/>
      </c>
      <c r="AK78" s="145" t="str">
        <f t="shared" si="15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12"/>
        <v/>
      </c>
      <c r="AE79" s="147" t="str">
        <f t="shared" si="13"/>
        <v/>
      </c>
      <c r="AF79" s="147"/>
      <c r="AG79" s="146"/>
      <c r="AH79" s="147"/>
      <c r="AI79" s="146"/>
      <c r="AJ79" s="145" t="str">
        <f t="shared" si="14"/>
        <v/>
      </c>
      <c r="AK79" s="145" t="str">
        <f t="shared" si="15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12"/>
        <v/>
      </c>
      <c r="AE80" s="147" t="str">
        <f t="shared" si="13"/>
        <v/>
      </c>
      <c r="AF80" s="147"/>
      <c r="AG80" s="146"/>
      <c r="AH80" s="147"/>
      <c r="AI80" s="146"/>
      <c r="AJ80" s="145" t="str">
        <f t="shared" si="14"/>
        <v/>
      </c>
      <c r="AK80" s="145" t="str">
        <f t="shared" si="15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12"/>
        <v/>
      </c>
      <c r="AE81" s="147" t="str">
        <f t="shared" si="13"/>
        <v/>
      </c>
      <c r="AF81" s="147"/>
      <c r="AG81" s="146"/>
      <c r="AH81" s="147"/>
      <c r="AI81" s="146"/>
      <c r="AJ81" s="145" t="str">
        <f t="shared" si="14"/>
        <v/>
      </c>
      <c r="AK81" s="145" t="str">
        <f t="shared" si="15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12"/>
        <v/>
      </c>
      <c r="AE82" s="147" t="str">
        <f t="shared" si="13"/>
        <v/>
      </c>
      <c r="AF82" s="147"/>
      <c r="AG82" s="146"/>
      <c r="AH82" s="147"/>
      <c r="AI82" s="146"/>
      <c r="AJ82" s="145" t="str">
        <f t="shared" si="14"/>
        <v/>
      </c>
      <c r="AK82" s="145" t="str">
        <f t="shared" si="15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12"/>
        <v/>
      </c>
      <c r="AE83" s="147" t="str">
        <f t="shared" si="13"/>
        <v/>
      </c>
      <c r="AF83" s="147"/>
      <c r="AG83" s="146"/>
      <c r="AH83" s="147"/>
      <c r="AI83" s="146"/>
      <c r="AJ83" s="145" t="str">
        <f t="shared" si="14"/>
        <v/>
      </c>
      <c r="AK83" s="145" t="str">
        <f t="shared" si="15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12"/>
        <v/>
      </c>
      <c r="AE84" s="147" t="str">
        <f t="shared" si="13"/>
        <v/>
      </c>
      <c r="AF84" s="147"/>
      <c r="AG84" s="146"/>
      <c r="AH84" s="147"/>
      <c r="AI84" s="146"/>
      <c r="AJ84" s="145" t="str">
        <f t="shared" si="14"/>
        <v/>
      </c>
      <c r="AK84" s="145" t="str">
        <f t="shared" si="15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12"/>
        <v/>
      </c>
      <c r="AE85" s="147" t="str">
        <f t="shared" si="13"/>
        <v/>
      </c>
      <c r="AF85" s="147"/>
      <c r="AG85" s="146"/>
      <c r="AH85" s="147"/>
      <c r="AI85" s="146"/>
      <c r="AJ85" s="145" t="str">
        <f t="shared" si="14"/>
        <v/>
      </c>
      <c r="AK85" s="145" t="str">
        <f t="shared" si="15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12"/>
        <v/>
      </c>
      <c r="AE86" s="147" t="str">
        <f t="shared" si="13"/>
        <v/>
      </c>
      <c r="AF86" s="147"/>
      <c r="AG86" s="146"/>
      <c r="AH86" s="147"/>
      <c r="AI86" s="146"/>
      <c r="AJ86" s="145" t="str">
        <f t="shared" si="14"/>
        <v/>
      </c>
      <c r="AK86" s="145" t="str">
        <f t="shared" si="15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12"/>
        <v/>
      </c>
      <c r="AE87" s="147" t="str">
        <f t="shared" si="13"/>
        <v/>
      </c>
      <c r="AF87" s="147"/>
      <c r="AG87" s="146"/>
      <c r="AH87" s="147"/>
      <c r="AI87" s="146"/>
      <c r="AJ87" s="145" t="str">
        <f t="shared" si="14"/>
        <v/>
      </c>
      <c r="AK87" s="145" t="str">
        <f t="shared" si="15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12"/>
        <v/>
      </c>
      <c r="AE88" s="147" t="str">
        <f t="shared" si="13"/>
        <v/>
      </c>
      <c r="AF88" s="147"/>
      <c r="AG88" s="146"/>
      <c r="AH88" s="147"/>
      <c r="AI88" s="146"/>
      <c r="AJ88" s="145" t="str">
        <f t="shared" si="14"/>
        <v/>
      </c>
      <c r="AK88" s="145" t="str">
        <f t="shared" si="15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12"/>
        <v/>
      </c>
      <c r="AE89" s="147" t="str">
        <f t="shared" si="13"/>
        <v/>
      </c>
      <c r="AF89" s="147"/>
      <c r="AG89" s="146"/>
      <c r="AH89" s="147"/>
      <c r="AI89" s="146"/>
      <c r="AJ89" s="145" t="str">
        <f t="shared" si="14"/>
        <v/>
      </c>
      <c r="AK89" s="145" t="str">
        <f t="shared" si="15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12"/>
        <v/>
      </c>
      <c r="AE90" s="147" t="str">
        <f t="shared" si="13"/>
        <v/>
      </c>
      <c r="AF90" s="147"/>
      <c r="AG90" s="146"/>
      <c r="AH90" s="147"/>
      <c r="AI90" s="146"/>
      <c r="AJ90" s="145" t="str">
        <f t="shared" si="14"/>
        <v/>
      </c>
      <c r="AK90" s="145" t="str">
        <f t="shared" si="15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12"/>
        <v/>
      </c>
      <c r="AE91" s="147" t="str">
        <f t="shared" si="13"/>
        <v/>
      </c>
      <c r="AF91" s="147"/>
      <c r="AG91" s="146"/>
      <c r="AH91" s="147"/>
      <c r="AI91" s="146"/>
      <c r="AJ91" s="145" t="str">
        <f t="shared" si="14"/>
        <v/>
      </c>
      <c r="AK91" s="145" t="str">
        <f t="shared" si="15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12"/>
        <v/>
      </c>
      <c r="AE92" s="147" t="str">
        <f t="shared" si="13"/>
        <v/>
      </c>
      <c r="AF92" s="147"/>
      <c r="AG92" s="146"/>
      <c r="AH92" s="147"/>
      <c r="AI92" s="146"/>
      <c r="AJ92" s="145" t="str">
        <f t="shared" si="14"/>
        <v/>
      </c>
      <c r="AK92" s="145" t="str">
        <f t="shared" si="15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12"/>
        <v/>
      </c>
      <c r="AE93" s="147" t="str">
        <f t="shared" si="13"/>
        <v/>
      </c>
      <c r="AF93" s="147"/>
      <c r="AG93" s="146"/>
      <c r="AH93" s="147"/>
      <c r="AI93" s="146"/>
      <c r="AJ93" s="145" t="str">
        <f t="shared" si="14"/>
        <v/>
      </c>
      <c r="AK93" s="145" t="str">
        <f t="shared" si="15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12"/>
        <v/>
      </c>
      <c r="AE94" s="147" t="str">
        <f t="shared" si="13"/>
        <v/>
      </c>
      <c r="AF94" s="147"/>
      <c r="AG94" s="146"/>
      <c r="AH94" s="147"/>
      <c r="AI94" s="146"/>
      <c r="AJ94" s="145" t="str">
        <f t="shared" si="14"/>
        <v/>
      </c>
      <c r="AK94" s="145" t="str">
        <f t="shared" si="15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12"/>
        <v/>
      </c>
      <c r="AE95" s="147" t="str">
        <f t="shared" si="13"/>
        <v/>
      </c>
      <c r="AF95" s="147"/>
      <c r="AG95" s="146"/>
      <c r="AH95" s="147"/>
      <c r="AI95" s="146"/>
      <c r="AJ95" s="145" t="str">
        <f t="shared" si="14"/>
        <v/>
      </c>
      <c r="AK95" s="145" t="str">
        <f t="shared" si="15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12"/>
        <v/>
      </c>
      <c r="AE96" s="147" t="str">
        <f t="shared" si="13"/>
        <v/>
      </c>
      <c r="AF96" s="147"/>
      <c r="AG96" s="146"/>
      <c r="AH96" s="147"/>
      <c r="AI96" s="146"/>
      <c r="AJ96" s="145" t="str">
        <f t="shared" si="14"/>
        <v/>
      </c>
      <c r="AK96" s="145" t="str">
        <f t="shared" si="15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12"/>
        <v/>
      </c>
      <c r="AE97" s="147" t="str">
        <f t="shared" si="13"/>
        <v/>
      </c>
      <c r="AF97" s="147"/>
      <c r="AG97" s="146"/>
      <c r="AH97" s="147"/>
      <c r="AI97" s="146"/>
      <c r="AJ97" s="145" t="str">
        <f t="shared" si="14"/>
        <v/>
      </c>
      <c r="AK97" s="145" t="str">
        <f t="shared" si="15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12"/>
        <v/>
      </c>
      <c r="AE98" s="147" t="str">
        <f t="shared" si="13"/>
        <v/>
      </c>
      <c r="AF98" s="147"/>
      <c r="AG98" s="146"/>
      <c r="AH98" s="147"/>
      <c r="AI98" s="146"/>
      <c r="AJ98" s="145" t="str">
        <f t="shared" si="14"/>
        <v/>
      </c>
      <c r="AK98" s="145" t="str">
        <f t="shared" si="15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12"/>
        <v/>
      </c>
      <c r="AE99" s="147" t="str">
        <f t="shared" si="13"/>
        <v/>
      </c>
      <c r="AF99" s="147"/>
      <c r="AG99" s="146"/>
      <c r="AH99" s="147"/>
      <c r="AI99" s="146"/>
      <c r="AJ99" s="145" t="str">
        <f t="shared" si="14"/>
        <v/>
      </c>
      <c r="AK99" s="145" t="str">
        <f t="shared" si="15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12"/>
        <v/>
      </c>
      <c r="AE100" s="147" t="str">
        <f t="shared" si="13"/>
        <v/>
      </c>
      <c r="AF100" s="147"/>
      <c r="AG100" s="146"/>
      <c r="AH100" s="147"/>
      <c r="AI100" s="146"/>
      <c r="AJ100" s="145" t="str">
        <f t="shared" si="14"/>
        <v/>
      </c>
      <c r="AK100" s="145" t="str">
        <f t="shared" si="15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12"/>
        <v/>
      </c>
      <c r="AE101" s="147" t="str">
        <f t="shared" si="13"/>
        <v/>
      </c>
      <c r="AF101" s="147"/>
      <c r="AG101" s="146"/>
      <c r="AH101" s="147"/>
      <c r="AI101" s="146"/>
      <c r="AJ101" s="145" t="str">
        <f t="shared" si="14"/>
        <v/>
      </c>
      <c r="AK101" s="145" t="str">
        <f t="shared" si="15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12"/>
        <v/>
      </c>
      <c r="AE102" s="147" t="str">
        <f t="shared" si="13"/>
        <v/>
      </c>
      <c r="AF102" s="147"/>
      <c r="AG102" s="146"/>
      <c r="AH102" s="147"/>
      <c r="AI102" s="146"/>
      <c r="AJ102" s="145" t="str">
        <f t="shared" si="14"/>
        <v/>
      </c>
      <c r="AK102" s="145" t="str">
        <f t="shared" si="15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12"/>
        <v/>
      </c>
      <c r="AE103" s="147" t="str">
        <f t="shared" si="13"/>
        <v/>
      </c>
      <c r="AF103" s="147"/>
      <c r="AG103" s="146"/>
      <c r="AH103" s="147"/>
      <c r="AI103" s="146"/>
      <c r="AJ103" s="145" t="str">
        <f t="shared" si="14"/>
        <v/>
      </c>
      <c r="AK103" s="145" t="str">
        <f t="shared" si="15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12"/>
        <v/>
      </c>
      <c r="AE104" s="147" t="str">
        <f t="shared" si="13"/>
        <v/>
      </c>
      <c r="AF104" s="147"/>
      <c r="AG104" s="146"/>
      <c r="AH104" s="147"/>
      <c r="AI104" s="146"/>
      <c r="AJ104" s="145" t="str">
        <f t="shared" si="14"/>
        <v/>
      </c>
      <c r="AK104" s="145" t="str">
        <f t="shared" si="15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12"/>
        <v/>
      </c>
      <c r="AE105" s="147" t="str">
        <f t="shared" si="13"/>
        <v/>
      </c>
      <c r="AF105" s="147"/>
      <c r="AG105" s="146"/>
      <c r="AH105" s="147"/>
      <c r="AI105" s="146"/>
      <c r="AJ105" s="145" t="str">
        <f t="shared" si="14"/>
        <v/>
      </c>
      <c r="AK105" s="145" t="str">
        <f t="shared" si="15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12"/>
        <v/>
      </c>
      <c r="AE106" s="147" t="str">
        <f t="shared" si="13"/>
        <v/>
      </c>
      <c r="AF106" s="147"/>
      <c r="AG106" s="146"/>
      <c r="AH106" s="147"/>
      <c r="AI106" s="146"/>
      <c r="AJ106" s="145" t="str">
        <f t="shared" si="14"/>
        <v/>
      </c>
      <c r="AK106" s="145" t="str">
        <f t="shared" si="15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12"/>
        <v/>
      </c>
      <c r="AE107" s="147" t="str">
        <f t="shared" si="13"/>
        <v/>
      </c>
      <c r="AF107" s="147"/>
      <c r="AG107" s="146"/>
      <c r="AH107" s="147"/>
      <c r="AI107" s="146"/>
      <c r="AJ107" s="145" t="str">
        <f t="shared" si="14"/>
        <v/>
      </c>
      <c r="AK107" s="145" t="str">
        <f t="shared" si="15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12"/>
        <v/>
      </c>
      <c r="AE108" s="147" t="str">
        <f t="shared" si="13"/>
        <v/>
      </c>
      <c r="AF108" s="147"/>
      <c r="AG108" s="146"/>
      <c r="AH108" s="147"/>
      <c r="AI108" s="146"/>
      <c r="AJ108" s="145" t="str">
        <f t="shared" si="14"/>
        <v/>
      </c>
      <c r="AK108" s="145" t="str">
        <f t="shared" si="15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12"/>
        <v/>
      </c>
      <c r="AE109" s="147" t="str">
        <f t="shared" si="13"/>
        <v/>
      </c>
      <c r="AF109" s="147"/>
      <c r="AG109" s="146"/>
      <c r="AH109" s="147"/>
      <c r="AI109" s="146"/>
      <c r="AJ109" s="145" t="str">
        <f t="shared" si="14"/>
        <v/>
      </c>
      <c r="AK109" s="145" t="str">
        <f t="shared" si="15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12"/>
        <v/>
      </c>
      <c r="AE110" s="147" t="str">
        <f t="shared" si="13"/>
        <v/>
      </c>
      <c r="AF110" s="147"/>
      <c r="AG110" s="146"/>
      <c r="AH110" s="147"/>
      <c r="AI110" s="146"/>
      <c r="AJ110" s="145" t="str">
        <f t="shared" si="14"/>
        <v/>
      </c>
      <c r="AK110" s="145" t="str">
        <f t="shared" si="15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12"/>
        <v/>
      </c>
      <c r="AE111" s="147" t="str">
        <f t="shared" si="13"/>
        <v/>
      </c>
      <c r="AF111" s="147"/>
      <c r="AG111" s="146"/>
      <c r="AH111" s="147"/>
      <c r="AI111" s="146"/>
      <c r="AJ111" s="145" t="str">
        <f t="shared" si="14"/>
        <v/>
      </c>
      <c r="AK111" s="145" t="str">
        <f t="shared" si="15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12"/>
        <v/>
      </c>
      <c r="AE112" s="147" t="str">
        <f t="shared" si="13"/>
        <v/>
      </c>
      <c r="AF112" s="147"/>
      <c r="AG112" s="146"/>
      <c r="AH112" s="147"/>
      <c r="AI112" s="146"/>
      <c r="AJ112" s="145" t="str">
        <f t="shared" si="14"/>
        <v/>
      </c>
      <c r="AK112" s="145" t="str">
        <f t="shared" si="15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12"/>
        <v/>
      </c>
      <c r="AE113" s="147" t="str">
        <f t="shared" si="13"/>
        <v/>
      </c>
      <c r="AF113" s="147"/>
      <c r="AG113" s="146"/>
      <c r="AH113" s="147"/>
      <c r="AI113" s="146"/>
      <c r="AJ113" s="145" t="str">
        <f t="shared" si="14"/>
        <v/>
      </c>
      <c r="AK113" s="145" t="str">
        <f t="shared" si="15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12"/>
        <v/>
      </c>
      <c r="AE114" s="147" t="str">
        <f t="shared" si="13"/>
        <v/>
      </c>
      <c r="AF114" s="147"/>
      <c r="AG114" s="146"/>
      <c r="AH114" s="147"/>
      <c r="AI114" s="146"/>
      <c r="AJ114" s="145" t="str">
        <f t="shared" si="14"/>
        <v/>
      </c>
      <c r="AK114" s="145" t="str">
        <f t="shared" si="15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12"/>
        <v/>
      </c>
      <c r="AE115" s="147" t="str">
        <f t="shared" si="13"/>
        <v/>
      </c>
      <c r="AF115" s="147"/>
      <c r="AG115" s="146"/>
      <c r="AH115" s="147"/>
      <c r="AI115" s="146"/>
      <c r="AJ115" s="145" t="str">
        <f t="shared" si="14"/>
        <v/>
      </c>
      <c r="AK115" s="145" t="str">
        <f t="shared" si="15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12"/>
        <v/>
      </c>
      <c r="AE116" s="147" t="str">
        <f t="shared" si="13"/>
        <v/>
      </c>
      <c r="AF116" s="147"/>
      <c r="AG116" s="146"/>
      <c r="AH116" s="147"/>
      <c r="AI116" s="146"/>
      <c r="AJ116" s="145" t="str">
        <f t="shared" si="14"/>
        <v/>
      </c>
      <c r="AK116" s="145" t="str">
        <f t="shared" si="15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12"/>
        <v/>
      </c>
      <c r="AE117" s="147" t="str">
        <f t="shared" si="13"/>
        <v/>
      </c>
      <c r="AF117" s="147"/>
      <c r="AG117" s="146"/>
      <c r="AH117" s="147"/>
      <c r="AI117" s="146"/>
      <c r="AJ117" s="145" t="str">
        <f t="shared" si="14"/>
        <v/>
      </c>
      <c r="AK117" s="145" t="str">
        <f t="shared" si="15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12"/>
        <v/>
      </c>
      <c r="AE118" s="147" t="str">
        <f t="shared" si="13"/>
        <v/>
      </c>
      <c r="AF118" s="147"/>
      <c r="AG118" s="146"/>
      <c r="AH118" s="147"/>
      <c r="AI118" s="146"/>
      <c r="AJ118" s="145" t="str">
        <f t="shared" si="14"/>
        <v/>
      </c>
      <c r="AK118" s="145" t="str">
        <f t="shared" si="15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12"/>
        <v/>
      </c>
      <c r="AE119" s="147" t="str">
        <f t="shared" si="13"/>
        <v/>
      </c>
      <c r="AF119" s="147"/>
      <c r="AG119" s="146"/>
      <c r="AH119" s="147"/>
      <c r="AI119" s="146"/>
      <c r="AJ119" s="145" t="str">
        <f t="shared" si="14"/>
        <v/>
      </c>
      <c r="AK119" s="145" t="str">
        <f t="shared" si="15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12"/>
        <v/>
      </c>
      <c r="AE120" s="147" t="str">
        <f t="shared" si="13"/>
        <v/>
      </c>
      <c r="AF120" s="147"/>
      <c r="AG120" s="146"/>
      <c r="AH120" s="147"/>
      <c r="AI120" s="146"/>
      <c r="AJ120" s="145" t="str">
        <f t="shared" si="14"/>
        <v/>
      </c>
      <c r="AK120" s="145" t="str">
        <f t="shared" si="15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12"/>
        <v/>
      </c>
      <c r="AE121" s="147" t="str">
        <f t="shared" si="13"/>
        <v/>
      </c>
      <c r="AF121" s="147"/>
      <c r="AG121" s="146"/>
      <c r="AH121" s="147"/>
      <c r="AI121" s="146"/>
      <c r="AJ121" s="145" t="str">
        <f t="shared" si="14"/>
        <v/>
      </c>
      <c r="AK121" s="145" t="str">
        <f t="shared" si="15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12"/>
        <v/>
      </c>
      <c r="AE122" s="147" t="str">
        <f t="shared" si="13"/>
        <v/>
      </c>
      <c r="AF122" s="147"/>
      <c r="AG122" s="146"/>
      <c r="AH122" s="147"/>
      <c r="AI122" s="146"/>
      <c r="AJ122" s="145" t="str">
        <f t="shared" si="14"/>
        <v/>
      </c>
      <c r="AK122" s="145" t="str">
        <f t="shared" si="15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12"/>
        <v/>
      </c>
      <c r="AE123" s="147" t="str">
        <f t="shared" si="13"/>
        <v/>
      </c>
      <c r="AF123" s="147"/>
      <c r="AG123" s="146"/>
      <c r="AH123" s="147"/>
      <c r="AI123" s="146"/>
      <c r="AJ123" s="145" t="str">
        <f t="shared" si="14"/>
        <v/>
      </c>
      <c r="AK123" s="145" t="str">
        <f t="shared" si="15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12"/>
        <v/>
      </c>
      <c r="AE124" s="147" t="str">
        <f t="shared" si="13"/>
        <v/>
      </c>
      <c r="AF124" s="147"/>
      <c r="AG124" s="146"/>
      <c r="AH124" s="147"/>
      <c r="AI124" s="146"/>
      <c r="AJ124" s="145" t="str">
        <f t="shared" si="14"/>
        <v/>
      </c>
      <c r="AK124" s="145" t="str">
        <f t="shared" si="15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12"/>
        <v/>
      </c>
      <c r="AE125" s="147" t="str">
        <f t="shared" si="13"/>
        <v/>
      </c>
      <c r="AF125" s="147"/>
      <c r="AG125" s="146"/>
      <c r="AH125" s="147"/>
      <c r="AI125" s="146"/>
      <c r="AJ125" s="145" t="str">
        <f t="shared" si="14"/>
        <v/>
      </c>
      <c r="AK125" s="145" t="str">
        <f t="shared" si="15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12"/>
        <v/>
      </c>
      <c r="AE126" s="147" t="str">
        <f t="shared" si="13"/>
        <v/>
      </c>
      <c r="AF126" s="147"/>
      <c r="AG126" s="146"/>
      <c r="AH126" s="147"/>
      <c r="AI126" s="146"/>
      <c r="AJ126" s="145" t="str">
        <f t="shared" si="14"/>
        <v/>
      </c>
      <c r="AK126" s="145" t="str">
        <f t="shared" si="15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12"/>
        <v/>
      </c>
      <c r="AE127" s="147" t="str">
        <f t="shared" si="13"/>
        <v/>
      </c>
      <c r="AF127" s="147"/>
      <c r="AG127" s="146"/>
      <c r="AH127" s="147"/>
      <c r="AI127" s="146"/>
      <c r="AJ127" s="145" t="str">
        <f t="shared" si="14"/>
        <v/>
      </c>
      <c r="AK127" s="145" t="str">
        <f t="shared" si="15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12"/>
        <v/>
      </c>
      <c r="AE128" s="147" t="str">
        <f t="shared" si="13"/>
        <v/>
      </c>
      <c r="AF128" s="147"/>
      <c r="AG128" s="146"/>
      <c r="AH128" s="147"/>
      <c r="AI128" s="146"/>
      <c r="AJ128" s="145" t="str">
        <f t="shared" si="14"/>
        <v/>
      </c>
      <c r="AK128" s="145" t="str">
        <f t="shared" si="15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12"/>
        <v/>
      </c>
      <c r="AE129" s="147" t="str">
        <f t="shared" si="13"/>
        <v/>
      </c>
      <c r="AF129" s="147"/>
      <c r="AG129" s="146"/>
      <c r="AH129" s="147"/>
      <c r="AI129" s="146"/>
      <c r="AJ129" s="145" t="str">
        <f t="shared" si="14"/>
        <v/>
      </c>
      <c r="AK129" s="145" t="str">
        <f t="shared" si="15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12"/>
        <v/>
      </c>
      <c r="AE130" s="147" t="str">
        <f t="shared" si="13"/>
        <v/>
      </c>
      <c r="AF130" s="147"/>
      <c r="AG130" s="146"/>
      <c r="AH130" s="147"/>
      <c r="AI130" s="146"/>
      <c r="AJ130" s="145" t="str">
        <f t="shared" si="14"/>
        <v/>
      </c>
      <c r="AK130" s="145" t="str">
        <f t="shared" si="15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12"/>
        <v/>
      </c>
      <c r="AE131" s="147" t="str">
        <f t="shared" si="13"/>
        <v/>
      </c>
      <c r="AF131" s="147"/>
      <c r="AG131" s="146"/>
      <c r="AH131" s="147"/>
      <c r="AI131" s="146"/>
      <c r="AJ131" s="145" t="str">
        <f t="shared" si="14"/>
        <v/>
      </c>
      <c r="AK131" s="145" t="str">
        <f t="shared" si="15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6">IF(MIN(F132,J132,N132,R132,V132,Z132)&lt;&gt;0,MIN(F132,J132,N132,R132,V132,Z132),"")</f>
        <v/>
      </c>
      <c r="AE132" s="147" t="str">
        <f t="shared" ref="AE132:AE195" si="17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8">IF(AD132="","",IF(ISBLANK(AF132),"En cours",AD132+AF132))</f>
        <v/>
      </c>
      <c r="AK132" s="145" t="str">
        <f t="shared" ref="AK132:AK195" si="19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6"/>
        <v/>
      </c>
      <c r="AE133" s="147" t="str">
        <f t="shared" si="17"/>
        <v/>
      </c>
      <c r="AF133" s="147"/>
      <c r="AG133" s="146"/>
      <c r="AH133" s="147"/>
      <c r="AI133" s="146"/>
      <c r="AJ133" s="145" t="str">
        <f t="shared" si="18"/>
        <v/>
      </c>
      <c r="AK133" s="145" t="str">
        <f t="shared" si="19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6"/>
        <v/>
      </c>
      <c r="AE134" s="147" t="str">
        <f t="shared" si="17"/>
        <v/>
      </c>
      <c r="AF134" s="147"/>
      <c r="AG134" s="146"/>
      <c r="AH134" s="147"/>
      <c r="AI134" s="146"/>
      <c r="AJ134" s="145" t="str">
        <f t="shared" si="18"/>
        <v/>
      </c>
      <c r="AK134" s="145" t="str">
        <f t="shared" si="19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6"/>
        <v/>
      </c>
      <c r="AE135" s="147" t="str">
        <f t="shared" si="17"/>
        <v/>
      </c>
      <c r="AF135" s="147"/>
      <c r="AG135" s="146"/>
      <c r="AH135" s="147"/>
      <c r="AI135" s="146"/>
      <c r="AJ135" s="145" t="str">
        <f t="shared" si="18"/>
        <v/>
      </c>
      <c r="AK135" s="145" t="str">
        <f t="shared" si="19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6"/>
        <v/>
      </c>
      <c r="AE136" s="147" t="str">
        <f t="shared" si="17"/>
        <v/>
      </c>
      <c r="AF136" s="147"/>
      <c r="AG136" s="146"/>
      <c r="AH136" s="147"/>
      <c r="AI136" s="146"/>
      <c r="AJ136" s="145" t="str">
        <f t="shared" si="18"/>
        <v/>
      </c>
      <c r="AK136" s="145" t="str">
        <f t="shared" si="19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6"/>
        <v/>
      </c>
      <c r="AE137" s="147" t="str">
        <f t="shared" si="17"/>
        <v/>
      </c>
      <c r="AF137" s="147"/>
      <c r="AG137" s="146"/>
      <c r="AH137" s="147"/>
      <c r="AI137" s="146"/>
      <c r="AJ137" s="145" t="str">
        <f t="shared" si="18"/>
        <v/>
      </c>
      <c r="AK137" s="145" t="str">
        <f t="shared" si="19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6"/>
        <v/>
      </c>
      <c r="AE138" s="147" t="str">
        <f t="shared" si="17"/>
        <v/>
      </c>
      <c r="AF138" s="147"/>
      <c r="AG138" s="146"/>
      <c r="AH138" s="147"/>
      <c r="AI138" s="146"/>
      <c r="AJ138" s="145" t="str">
        <f t="shared" si="18"/>
        <v/>
      </c>
      <c r="AK138" s="145" t="str">
        <f t="shared" si="19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6"/>
        <v/>
      </c>
      <c r="AE139" s="147" t="str">
        <f t="shared" si="17"/>
        <v/>
      </c>
      <c r="AF139" s="147"/>
      <c r="AG139" s="146"/>
      <c r="AH139" s="147"/>
      <c r="AI139" s="146"/>
      <c r="AJ139" s="145" t="str">
        <f t="shared" si="18"/>
        <v/>
      </c>
      <c r="AK139" s="145" t="str">
        <f t="shared" si="19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6"/>
        <v/>
      </c>
      <c r="AE140" s="147" t="str">
        <f t="shared" si="17"/>
        <v/>
      </c>
      <c r="AF140" s="147"/>
      <c r="AG140" s="146"/>
      <c r="AH140" s="147"/>
      <c r="AI140" s="146"/>
      <c r="AJ140" s="145" t="str">
        <f t="shared" si="18"/>
        <v/>
      </c>
      <c r="AK140" s="145" t="str">
        <f t="shared" si="19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6"/>
        <v/>
      </c>
      <c r="AE141" s="147" t="str">
        <f t="shared" si="17"/>
        <v/>
      </c>
      <c r="AF141" s="147"/>
      <c r="AG141" s="146"/>
      <c r="AH141" s="147"/>
      <c r="AI141" s="146"/>
      <c r="AJ141" s="145" t="str">
        <f t="shared" si="18"/>
        <v/>
      </c>
      <c r="AK141" s="145" t="str">
        <f t="shared" si="19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6"/>
        <v/>
      </c>
      <c r="AE142" s="147" t="str">
        <f t="shared" si="17"/>
        <v/>
      </c>
      <c r="AF142" s="147"/>
      <c r="AG142" s="146"/>
      <c r="AH142" s="147"/>
      <c r="AI142" s="146"/>
      <c r="AJ142" s="145" t="str">
        <f t="shared" si="18"/>
        <v/>
      </c>
      <c r="AK142" s="145" t="str">
        <f t="shared" si="19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6"/>
        <v/>
      </c>
      <c r="AE143" s="147" t="str">
        <f t="shared" si="17"/>
        <v/>
      </c>
      <c r="AF143" s="147"/>
      <c r="AG143" s="146"/>
      <c r="AH143" s="147"/>
      <c r="AI143" s="146"/>
      <c r="AJ143" s="145" t="str">
        <f t="shared" si="18"/>
        <v/>
      </c>
      <c r="AK143" s="145" t="str">
        <f t="shared" si="19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6"/>
        <v/>
      </c>
      <c r="AE144" s="147" t="str">
        <f t="shared" si="17"/>
        <v/>
      </c>
      <c r="AF144" s="147"/>
      <c r="AG144" s="146"/>
      <c r="AH144" s="147"/>
      <c r="AI144" s="146"/>
      <c r="AJ144" s="145" t="str">
        <f t="shared" si="18"/>
        <v/>
      </c>
      <c r="AK144" s="145" t="str">
        <f t="shared" si="19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6"/>
        <v/>
      </c>
      <c r="AE145" s="147" t="str">
        <f t="shared" si="17"/>
        <v/>
      </c>
      <c r="AF145" s="147"/>
      <c r="AG145" s="146"/>
      <c r="AH145" s="147"/>
      <c r="AI145" s="146"/>
      <c r="AJ145" s="145" t="str">
        <f t="shared" si="18"/>
        <v/>
      </c>
      <c r="AK145" s="145" t="str">
        <f t="shared" si="19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6"/>
        <v/>
      </c>
      <c r="AE146" s="147" t="str">
        <f t="shared" si="17"/>
        <v/>
      </c>
      <c r="AF146" s="147"/>
      <c r="AG146" s="146"/>
      <c r="AH146" s="147"/>
      <c r="AI146" s="146"/>
      <c r="AJ146" s="145" t="str">
        <f t="shared" si="18"/>
        <v/>
      </c>
      <c r="AK146" s="145" t="str">
        <f t="shared" si="19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6"/>
        <v/>
      </c>
      <c r="AE147" s="147" t="str">
        <f t="shared" si="17"/>
        <v/>
      </c>
      <c r="AF147" s="147"/>
      <c r="AG147" s="146"/>
      <c r="AH147" s="147"/>
      <c r="AI147" s="146"/>
      <c r="AJ147" s="145" t="str">
        <f t="shared" si="18"/>
        <v/>
      </c>
      <c r="AK147" s="145" t="str">
        <f t="shared" si="19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6"/>
        <v/>
      </c>
      <c r="AE148" s="147" t="str">
        <f t="shared" si="17"/>
        <v/>
      </c>
      <c r="AF148" s="147"/>
      <c r="AG148" s="146"/>
      <c r="AH148" s="147"/>
      <c r="AI148" s="146"/>
      <c r="AJ148" s="145" t="str">
        <f t="shared" si="18"/>
        <v/>
      </c>
      <c r="AK148" s="145" t="str">
        <f t="shared" si="19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6"/>
        <v/>
      </c>
      <c r="AE149" s="147" t="str">
        <f t="shared" si="17"/>
        <v/>
      </c>
      <c r="AF149" s="147"/>
      <c r="AG149" s="146"/>
      <c r="AH149" s="147"/>
      <c r="AI149" s="146"/>
      <c r="AJ149" s="145" t="str">
        <f t="shared" si="18"/>
        <v/>
      </c>
      <c r="AK149" s="145" t="str">
        <f t="shared" si="19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6"/>
        <v/>
      </c>
      <c r="AE150" s="147" t="str">
        <f t="shared" si="17"/>
        <v/>
      </c>
      <c r="AF150" s="147"/>
      <c r="AG150" s="146"/>
      <c r="AH150" s="147"/>
      <c r="AI150" s="146"/>
      <c r="AJ150" s="145" t="str">
        <f t="shared" si="18"/>
        <v/>
      </c>
      <c r="AK150" s="145" t="str">
        <f t="shared" si="19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6"/>
        <v/>
      </c>
      <c r="AE151" s="147" t="str">
        <f t="shared" si="17"/>
        <v/>
      </c>
      <c r="AF151" s="147"/>
      <c r="AG151" s="146"/>
      <c r="AH151" s="147"/>
      <c r="AI151" s="146"/>
      <c r="AJ151" s="145" t="str">
        <f t="shared" si="18"/>
        <v/>
      </c>
      <c r="AK151" s="145" t="str">
        <f t="shared" si="19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6"/>
        <v/>
      </c>
      <c r="AE152" s="147" t="str">
        <f t="shared" si="17"/>
        <v/>
      </c>
      <c r="AF152" s="147"/>
      <c r="AG152" s="146"/>
      <c r="AH152" s="147"/>
      <c r="AI152" s="146"/>
      <c r="AJ152" s="145" t="str">
        <f t="shared" si="18"/>
        <v/>
      </c>
      <c r="AK152" s="145" t="str">
        <f t="shared" si="19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6"/>
        <v/>
      </c>
      <c r="AE153" s="147" t="str">
        <f t="shared" si="17"/>
        <v/>
      </c>
      <c r="AF153" s="147"/>
      <c r="AG153" s="146"/>
      <c r="AH153" s="147"/>
      <c r="AI153" s="146"/>
      <c r="AJ153" s="145" t="str">
        <f t="shared" si="18"/>
        <v/>
      </c>
      <c r="AK153" s="145" t="str">
        <f t="shared" si="19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6"/>
        <v/>
      </c>
      <c r="AE154" s="147" t="str">
        <f t="shared" si="17"/>
        <v/>
      </c>
      <c r="AF154" s="147"/>
      <c r="AG154" s="146"/>
      <c r="AH154" s="147"/>
      <c r="AI154" s="146"/>
      <c r="AJ154" s="145" t="str">
        <f t="shared" si="18"/>
        <v/>
      </c>
      <c r="AK154" s="145" t="str">
        <f t="shared" si="19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6"/>
        <v/>
      </c>
      <c r="AE155" s="147" t="str">
        <f t="shared" si="17"/>
        <v/>
      </c>
      <c r="AF155" s="147"/>
      <c r="AG155" s="146"/>
      <c r="AH155" s="147"/>
      <c r="AI155" s="146"/>
      <c r="AJ155" s="145" t="str">
        <f t="shared" si="18"/>
        <v/>
      </c>
      <c r="AK155" s="145" t="str">
        <f t="shared" si="19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6"/>
        <v/>
      </c>
      <c r="AE156" s="147" t="str">
        <f t="shared" si="17"/>
        <v/>
      </c>
      <c r="AF156" s="147"/>
      <c r="AG156" s="146"/>
      <c r="AH156" s="147"/>
      <c r="AI156" s="146"/>
      <c r="AJ156" s="145" t="str">
        <f t="shared" si="18"/>
        <v/>
      </c>
      <c r="AK156" s="145" t="str">
        <f t="shared" si="19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6"/>
        <v/>
      </c>
      <c r="AE157" s="147" t="str">
        <f t="shared" si="17"/>
        <v/>
      </c>
      <c r="AF157" s="147"/>
      <c r="AG157" s="146"/>
      <c r="AH157" s="147"/>
      <c r="AI157" s="146"/>
      <c r="AJ157" s="145" t="str">
        <f t="shared" si="18"/>
        <v/>
      </c>
      <c r="AK157" s="145" t="str">
        <f t="shared" si="19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6"/>
        <v/>
      </c>
      <c r="AE158" s="147" t="str">
        <f t="shared" si="17"/>
        <v/>
      </c>
      <c r="AF158" s="147"/>
      <c r="AG158" s="146"/>
      <c r="AH158" s="147"/>
      <c r="AI158" s="146"/>
      <c r="AJ158" s="145" t="str">
        <f t="shared" si="18"/>
        <v/>
      </c>
      <c r="AK158" s="145" t="str">
        <f t="shared" si="19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6"/>
        <v/>
      </c>
      <c r="AE159" s="147" t="str">
        <f t="shared" si="17"/>
        <v/>
      </c>
      <c r="AF159" s="147"/>
      <c r="AG159" s="146"/>
      <c r="AH159" s="147"/>
      <c r="AI159" s="146"/>
      <c r="AJ159" s="145" t="str">
        <f t="shared" si="18"/>
        <v/>
      </c>
      <c r="AK159" s="145" t="str">
        <f t="shared" si="19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6"/>
        <v/>
      </c>
      <c r="AE160" s="147" t="str">
        <f t="shared" si="17"/>
        <v/>
      </c>
      <c r="AF160" s="147"/>
      <c r="AG160" s="146"/>
      <c r="AH160" s="147"/>
      <c r="AI160" s="146"/>
      <c r="AJ160" s="145" t="str">
        <f t="shared" si="18"/>
        <v/>
      </c>
      <c r="AK160" s="145" t="str">
        <f t="shared" si="19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6"/>
        <v/>
      </c>
      <c r="AE161" s="147" t="str">
        <f t="shared" si="17"/>
        <v/>
      </c>
      <c r="AF161" s="147"/>
      <c r="AG161" s="146"/>
      <c r="AH161" s="147"/>
      <c r="AI161" s="146"/>
      <c r="AJ161" s="145" t="str">
        <f t="shared" si="18"/>
        <v/>
      </c>
      <c r="AK161" s="145" t="str">
        <f t="shared" si="19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6"/>
        <v/>
      </c>
      <c r="AE162" s="147" t="str">
        <f t="shared" si="17"/>
        <v/>
      </c>
      <c r="AF162" s="147"/>
      <c r="AG162" s="146"/>
      <c r="AH162" s="147"/>
      <c r="AI162" s="146"/>
      <c r="AJ162" s="145" t="str">
        <f t="shared" si="18"/>
        <v/>
      </c>
      <c r="AK162" s="145" t="str">
        <f t="shared" si="19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6"/>
        <v/>
      </c>
      <c r="AE163" s="147" t="str">
        <f t="shared" si="17"/>
        <v/>
      </c>
      <c r="AF163" s="147"/>
      <c r="AG163" s="146"/>
      <c r="AH163" s="147"/>
      <c r="AI163" s="146"/>
      <c r="AJ163" s="145" t="str">
        <f t="shared" si="18"/>
        <v/>
      </c>
      <c r="AK163" s="145" t="str">
        <f t="shared" si="19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6"/>
        <v/>
      </c>
      <c r="AE164" s="147" t="str">
        <f t="shared" si="17"/>
        <v/>
      </c>
      <c r="AF164" s="147"/>
      <c r="AG164" s="146"/>
      <c r="AH164" s="147"/>
      <c r="AI164" s="146"/>
      <c r="AJ164" s="145" t="str">
        <f t="shared" si="18"/>
        <v/>
      </c>
      <c r="AK164" s="145" t="str">
        <f t="shared" si="19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6"/>
        <v/>
      </c>
      <c r="AE165" s="147" t="str">
        <f t="shared" si="17"/>
        <v/>
      </c>
      <c r="AF165" s="147"/>
      <c r="AG165" s="146"/>
      <c r="AH165" s="147"/>
      <c r="AI165" s="146"/>
      <c r="AJ165" s="145" t="str">
        <f t="shared" si="18"/>
        <v/>
      </c>
      <c r="AK165" s="145" t="str">
        <f t="shared" si="19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6"/>
        <v/>
      </c>
      <c r="AE166" s="147" t="str">
        <f t="shared" si="17"/>
        <v/>
      </c>
      <c r="AF166" s="147"/>
      <c r="AG166" s="146"/>
      <c r="AH166" s="147"/>
      <c r="AI166" s="146"/>
      <c r="AJ166" s="145" t="str">
        <f t="shared" si="18"/>
        <v/>
      </c>
      <c r="AK166" s="145" t="str">
        <f t="shared" si="19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6"/>
        <v/>
      </c>
      <c r="AE167" s="147" t="str">
        <f t="shared" si="17"/>
        <v/>
      </c>
      <c r="AF167" s="147"/>
      <c r="AG167" s="146"/>
      <c r="AH167" s="147"/>
      <c r="AI167" s="146"/>
      <c r="AJ167" s="145" t="str">
        <f t="shared" si="18"/>
        <v/>
      </c>
      <c r="AK167" s="145" t="str">
        <f t="shared" si="19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6"/>
        <v/>
      </c>
      <c r="AE168" s="147" t="str">
        <f t="shared" si="17"/>
        <v/>
      </c>
      <c r="AF168" s="147"/>
      <c r="AG168" s="146"/>
      <c r="AH168" s="147"/>
      <c r="AI168" s="146"/>
      <c r="AJ168" s="145" t="str">
        <f t="shared" si="18"/>
        <v/>
      </c>
      <c r="AK168" s="145" t="str">
        <f t="shared" si="19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6"/>
        <v/>
      </c>
      <c r="AE169" s="147" t="str">
        <f t="shared" si="17"/>
        <v/>
      </c>
      <c r="AF169" s="147"/>
      <c r="AG169" s="146"/>
      <c r="AH169" s="147"/>
      <c r="AI169" s="146"/>
      <c r="AJ169" s="145" t="str">
        <f t="shared" si="18"/>
        <v/>
      </c>
      <c r="AK169" s="145" t="str">
        <f t="shared" si="19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6"/>
        <v/>
      </c>
      <c r="AE170" s="147" t="str">
        <f t="shared" si="17"/>
        <v/>
      </c>
      <c r="AF170" s="147"/>
      <c r="AG170" s="146"/>
      <c r="AH170" s="147"/>
      <c r="AI170" s="146"/>
      <c r="AJ170" s="145" t="str">
        <f t="shared" si="18"/>
        <v/>
      </c>
      <c r="AK170" s="145" t="str">
        <f t="shared" si="19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6"/>
        <v/>
      </c>
      <c r="AE171" s="147" t="str">
        <f t="shared" si="17"/>
        <v/>
      </c>
      <c r="AF171" s="147"/>
      <c r="AG171" s="146"/>
      <c r="AH171" s="147"/>
      <c r="AI171" s="146"/>
      <c r="AJ171" s="145" t="str">
        <f t="shared" si="18"/>
        <v/>
      </c>
      <c r="AK171" s="145" t="str">
        <f t="shared" si="19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6"/>
        <v/>
      </c>
      <c r="AE172" s="147" t="str">
        <f t="shared" si="17"/>
        <v/>
      </c>
      <c r="AF172" s="147"/>
      <c r="AG172" s="146"/>
      <c r="AH172" s="147"/>
      <c r="AI172" s="146"/>
      <c r="AJ172" s="145" t="str">
        <f t="shared" si="18"/>
        <v/>
      </c>
      <c r="AK172" s="145" t="str">
        <f t="shared" si="19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6"/>
        <v/>
      </c>
      <c r="AE173" s="147" t="str">
        <f t="shared" si="17"/>
        <v/>
      </c>
      <c r="AF173" s="147"/>
      <c r="AG173" s="146"/>
      <c r="AH173" s="147"/>
      <c r="AI173" s="146"/>
      <c r="AJ173" s="145" t="str">
        <f t="shared" si="18"/>
        <v/>
      </c>
      <c r="AK173" s="145" t="str">
        <f t="shared" si="19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6"/>
        <v/>
      </c>
      <c r="AE174" s="147" t="str">
        <f t="shared" si="17"/>
        <v/>
      </c>
      <c r="AF174" s="147"/>
      <c r="AG174" s="146"/>
      <c r="AH174" s="147"/>
      <c r="AI174" s="146"/>
      <c r="AJ174" s="145" t="str">
        <f t="shared" si="18"/>
        <v/>
      </c>
      <c r="AK174" s="145" t="str">
        <f t="shared" si="19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6"/>
        <v/>
      </c>
      <c r="AE175" s="147" t="str">
        <f t="shared" si="17"/>
        <v/>
      </c>
      <c r="AF175" s="147"/>
      <c r="AG175" s="146"/>
      <c r="AH175" s="147"/>
      <c r="AI175" s="146"/>
      <c r="AJ175" s="145" t="str">
        <f t="shared" si="18"/>
        <v/>
      </c>
      <c r="AK175" s="145" t="str">
        <f t="shared" si="19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6"/>
        <v/>
      </c>
      <c r="AE176" s="136" t="str">
        <f t="shared" si="17"/>
        <v/>
      </c>
      <c r="AF176" s="136"/>
      <c r="AG176" s="135"/>
      <c r="AH176" s="136"/>
      <c r="AI176" s="135"/>
      <c r="AJ176" s="137" t="str">
        <f t="shared" si="18"/>
        <v/>
      </c>
      <c r="AK176" s="138" t="str">
        <f t="shared" si="19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6"/>
        <v/>
      </c>
      <c r="AE177" s="136" t="str">
        <f t="shared" si="17"/>
        <v/>
      </c>
      <c r="AF177" s="136"/>
      <c r="AG177" s="135"/>
      <c r="AH177" s="136"/>
      <c r="AI177" s="135"/>
      <c r="AJ177" s="137" t="str">
        <f t="shared" si="18"/>
        <v/>
      </c>
      <c r="AK177" s="138" t="str">
        <f t="shared" si="19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6"/>
        <v/>
      </c>
      <c r="AE178" s="136" t="str">
        <f t="shared" si="17"/>
        <v/>
      </c>
      <c r="AF178" s="136"/>
      <c r="AG178" s="135"/>
      <c r="AH178" s="136"/>
      <c r="AI178" s="135"/>
      <c r="AJ178" s="137" t="str">
        <f t="shared" si="18"/>
        <v/>
      </c>
      <c r="AK178" s="138" t="str">
        <f t="shared" si="19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6"/>
        <v/>
      </c>
      <c r="AE179" s="143" t="str">
        <f t="shared" si="17"/>
        <v/>
      </c>
      <c r="AF179" s="143"/>
      <c r="AG179" s="142"/>
      <c r="AH179" s="143"/>
      <c r="AI179" s="142"/>
      <c r="AJ179" s="144" t="str">
        <f t="shared" si="18"/>
        <v/>
      </c>
      <c r="AK179" s="145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78">
    <cfRule type="cellIs" dxfId="2659" priority="19757" stopIfTrue="1" operator="equal">
      <formula>"En cours"</formula>
    </cfRule>
  </conditionalFormatting>
  <conditionalFormatting sqref="AJ178">
    <cfRule type="cellIs" dxfId="2658" priority="19758" stopIfTrue="1" operator="notEqual">
      <formula>"En cours"</formula>
    </cfRule>
  </conditionalFormatting>
  <conditionalFormatting sqref="AK178">
    <cfRule type="cellIs" dxfId="2657" priority="19759" stopIfTrue="1" operator="equal">
      <formula>"En cours"</formula>
    </cfRule>
  </conditionalFormatting>
  <conditionalFormatting sqref="AK178">
    <cfRule type="cellIs" dxfId="2656" priority="19760" stopIfTrue="1" operator="notEqual">
      <formula>"En cours"</formula>
    </cfRule>
  </conditionalFormatting>
  <conditionalFormatting sqref="AJ177">
    <cfRule type="cellIs" dxfId="2655" priority="20525" stopIfTrue="1" operator="equal">
      <formula>"En cours"</formula>
    </cfRule>
  </conditionalFormatting>
  <conditionalFormatting sqref="AJ177">
    <cfRule type="cellIs" dxfId="2654" priority="20526" stopIfTrue="1" operator="notEqual">
      <formula>"En cours"</formula>
    </cfRule>
  </conditionalFormatting>
  <conditionalFormatting sqref="AK177">
    <cfRule type="cellIs" dxfId="2653" priority="20527" stopIfTrue="1" operator="equal">
      <formula>"En cours"</formula>
    </cfRule>
  </conditionalFormatting>
  <conditionalFormatting sqref="AK177">
    <cfRule type="cellIs" dxfId="2652" priority="20528" stopIfTrue="1" operator="notEqual">
      <formula>"En cours"</formula>
    </cfRule>
  </conditionalFormatting>
  <conditionalFormatting sqref="AJ176">
    <cfRule type="cellIs" dxfId="2651" priority="20733" stopIfTrue="1" operator="equal">
      <formula>"En cours"</formula>
    </cfRule>
  </conditionalFormatting>
  <conditionalFormatting sqref="AJ176">
    <cfRule type="cellIs" dxfId="2650" priority="20734" stopIfTrue="1" operator="notEqual">
      <formula>"En cours"</formula>
    </cfRule>
  </conditionalFormatting>
  <conditionalFormatting sqref="AK176">
    <cfRule type="cellIs" dxfId="2649" priority="20735" stopIfTrue="1" operator="equal">
      <formula>"En cours"</formula>
    </cfRule>
  </conditionalFormatting>
  <conditionalFormatting sqref="AK176">
    <cfRule type="cellIs" dxfId="2648" priority="20736" stopIfTrue="1" operator="notEqual">
      <formula>"En cours"</formula>
    </cfRule>
  </conditionalFormatting>
  <conditionalFormatting sqref="AJ179">
    <cfRule type="cellIs" dxfId="2647" priority="20981" stopIfTrue="1" operator="equal">
      <formula>"En cours"</formula>
    </cfRule>
  </conditionalFormatting>
  <conditionalFormatting sqref="AJ179">
    <cfRule type="cellIs" dxfId="2646" priority="20982" stopIfTrue="1" operator="notEqual">
      <formula>"En cours"</formula>
    </cfRule>
  </conditionalFormatting>
  <conditionalFormatting sqref="AK179">
    <cfRule type="cellIs" dxfId="2645" priority="20983" stopIfTrue="1" operator="equal">
      <formula>"En cours"</formula>
    </cfRule>
  </conditionalFormatting>
  <conditionalFormatting sqref="AK179">
    <cfRule type="cellIs" dxfId="2644" priority="20984" stopIfTrue="1" operator="notEqual">
      <formula>"En cours"</formula>
    </cfRule>
  </conditionalFormatting>
  <conditionalFormatting sqref="AJ139">
    <cfRule type="cellIs" dxfId="2643" priority="46473" stopIfTrue="1" operator="equal">
      <formula>"En cours"</formula>
    </cfRule>
  </conditionalFormatting>
  <conditionalFormatting sqref="AJ139">
    <cfRule type="cellIs" dxfId="2642" priority="46474" stopIfTrue="1" operator="notEqual">
      <formula>"En cours"</formula>
    </cfRule>
  </conditionalFormatting>
  <conditionalFormatting sqref="AK139">
    <cfRule type="cellIs" dxfId="2641" priority="46475" stopIfTrue="1" operator="equal">
      <formula>"En cours"</formula>
    </cfRule>
  </conditionalFormatting>
  <conditionalFormatting sqref="AK139">
    <cfRule type="cellIs" dxfId="2640" priority="46476" stopIfTrue="1" operator="notEqual">
      <formula>"En cours"</formula>
    </cfRule>
  </conditionalFormatting>
  <conditionalFormatting sqref="AJ134">
    <cfRule type="cellIs" dxfId="2639" priority="46573" stopIfTrue="1" operator="equal">
      <formula>"En cours"</formula>
    </cfRule>
  </conditionalFormatting>
  <conditionalFormatting sqref="AJ134">
    <cfRule type="cellIs" dxfId="2638" priority="46574" stopIfTrue="1" operator="notEqual">
      <formula>"En cours"</formula>
    </cfRule>
  </conditionalFormatting>
  <conditionalFormatting sqref="AK134">
    <cfRule type="cellIs" dxfId="2637" priority="46575" stopIfTrue="1" operator="equal">
      <formula>"En cours"</formula>
    </cfRule>
  </conditionalFormatting>
  <conditionalFormatting sqref="AK134">
    <cfRule type="cellIs" dxfId="2636" priority="46576" stopIfTrue="1" operator="notEqual">
      <formula>"En cours"</formula>
    </cfRule>
  </conditionalFormatting>
  <conditionalFormatting sqref="AJ162">
    <cfRule type="cellIs" dxfId="2635" priority="47081" stopIfTrue="1" operator="equal">
      <formula>"En cours"</formula>
    </cfRule>
  </conditionalFormatting>
  <conditionalFormatting sqref="AJ162">
    <cfRule type="cellIs" dxfId="2634" priority="47082" stopIfTrue="1" operator="notEqual">
      <formula>"En cours"</formula>
    </cfRule>
  </conditionalFormatting>
  <conditionalFormatting sqref="AK162">
    <cfRule type="cellIs" dxfId="2633" priority="47083" stopIfTrue="1" operator="equal">
      <formula>"En cours"</formula>
    </cfRule>
  </conditionalFormatting>
  <conditionalFormatting sqref="AK162">
    <cfRule type="cellIs" dxfId="2632" priority="47084" stopIfTrue="1" operator="notEqual">
      <formula>"En cours"</formula>
    </cfRule>
  </conditionalFormatting>
  <conditionalFormatting sqref="AJ126">
    <cfRule type="cellIs" dxfId="2631" priority="47129" stopIfTrue="1" operator="equal">
      <formula>"En cours"</formula>
    </cfRule>
  </conditionalFormatting>
  <conditionalFormatting sqref="AJ126">
    <cfRule type="cellIs" dxfId="2630" priority="47130" stopIfTrue="1" operator="notEqual">
      <formula>"En cours"</formula>
    </cfRule>
  </conditionalFormatting>
  <conditionalFormatting sqref="AK126">
    <cfRule type="cellIs" dxfId="2629" priority="47131" stopIfTrue="1" operator="equal">
      <formula>"En cours"</formula>
    </cfRule>
  </conditionalFormatting>
  <conditionalFormatting sqref="AK126">
    <cfRule type="cellIs" dxfId="2628" priority="47132" stopIfTrue="1" operator="notEqual">
      <formula>"En cours"</formula>
    </cfRule>
  </conditionalFormatting>
  <conditionalFormatting sqref="AJ148">
    <cfRule type="cellIs" dxfId="2627" priority="47169" stopIfTrue="1" operator="equal">
      <formula>"En cours"</formula>
    </cfRule>
  </conditionalFormatting>
  <conditionalFormatting sqref="AJ148">
    <cfRule type="cellIs" dxfId="2626" priority="47170" stopIfTrue="1" operator="notEqual">
      <formula>"En cours"</formula>
    </cfRule>
  </conditionalFormatting>
  <conditionalFormatting sqref="AK148">
    <cfRule type="cellIs" dxfId="2625" priority="47171" stopIfTrue="1" operator="equal">
      <formula>"En cours"</formula>
    </cfRule>
  </conditionalFormatting>
  <conditionalFormatting sqref="AK148">
    <cfRule type="cellIs" dxfId="2624" priority="47172" stopIfTrue="1" operator="notEqual">
      <formula>"En cours"</formula>
    </cfRule>
  </conditionalFormatting>
  <conditionalFormatting sqref="AJ154">
    <cfRule type="cellIs" dxfId="2623" priority="47221" stopIfTrue="1" operator="equal">
      <formula>"En cours"</formula>
    </cfRule>
  </conditionalFormatting>
  <conditionalFormatting sqref="AJ154">
    <cfRule type="cellIs" dxfId="2622" priority="47222" stopIfTrue="1" operator="notEqual">
      <formula>"En cours"</formula>
    </cfRule>
  </conditionalFormatting>
  <conditionalFormatting sqref="AK154">
    <cfRule type="cellIs" dxfId="2621" priority="47223" stopIfTrue="1" operator="equal">
      <formula>"En cours"</formula>
    </cfRule>
  </conditionalFormatting>
  <conditionalFormatting sqref="AK154">
    <cfRule type="cellIs" dxfId="2620" priority="47224" stopIfTrue="1" operator="notEqual">
      <formula>"En cours"</formula>
    </cfRule>
  </conditionalFormatting>
  <conditionalFormatting sqref="AJ116">
    <cfRule type="cellIs" dxfId="2619" priority="47237" stopIfTrue="1" operator="equal">
      <formula>"En cours"</formula>
    </cfRule>
  </conditionalFormatting>
  <conditionalFormatting sqref="AJ116">
    <cfRule type="cellIs" dxfId="2618" priority="47238" stopIfTrue="1" operator="notEqual">
      <formula>"En cours"</formula>
    </cfRule>
  </conditionalFormatting>
  <conditionalFormatting sqref="AK116">
    <cfRule type="cellIs" dxfId="2617" priority="47239" stopIfTrue="1" operator="equal">
      <formula>"En cours"</formula>
    </cfRule>
  </conditionalFormatting>
  <conditionalFormatting sqref="AK116">
    <cfRule type="cellIs" dxfId="2616" priority="47240" stopIfTrue="1" operator="notEqual">
      <formula>"En cours"</formula>
    </cfRule>
  </conditionalFormatting>
  <conditionalFormatting sqref="AJ106">
    <cfRule type="cellIs" dxfId="2615" priority="47249" stopIfTrue="1" operator="equal">
      <formula>"En cours"</formula>
    </cfRule>
  </conditionalFormatting>
  <conditionalFormatting sqref="AJ106">
    <cfRule type="cellIs" dxfId="2614" priority="47250" stopIfTrue="1" operator="notEqual">
      <formula>"En cours"</formula>
    </cfRule>
  </conditionalFormatting>
  <conditionalFormatting sqref="AK106">
    <cfRule type="cellIs" dxfId="2613" priority="47251" stopIfTrue="1" operator="equal">
      <formula>"En cours"</formula>
    </cfRule>
  </conditionalFormatting>
  <conditionalFormatting sqref="AK106">
    <cfRule type="cellIs" dxfId="2612" priority="47252" stopIfTrue="1" operator="notEqual">
      <formula>"En cours"</formula>
    </cfRule>
  </conditionalFormatting>
  <conditionalFormatting sqref="AJ133">
    <cfRule type="cellIs" dxfId="2611" priority="47253" stopIfTrue="1" operator="equal">
      <formula>"En cours"</formula>
    </cfRule>
  </conditionalFormatting>
  <conditionalFormatting sqref="AJ133">
    <cfRule type="cellIs" dxfId="2610" priority="47254" stopIfTrue="1" operator="notEqual">
      <formula>"En cours"</formula>
    </cfRule>
  </conditionalFormatting>
  <conditionalFormatting sqref="AK133">
    <cfRule type="cellIs" dxfId="2609" priority="47255" stopIfTrue="1" operator="equal">
      <formula>"En cours"</formula>
    </cfRule>
  </conditionalFormatting>
  <conditionalFormatting sqref="AK133">
    <cfRule type="cellIs" dxfId="2608" priority="47256" stopIfTrue="1" operator="notEqual">
      <formula>"En cours"</formula>
    </cfRule>
  </conditionalFormatting>
  <conditionalFormatting sqref="AJ107">
    <cfRule type="cellIs" dxfId="2607" priority="47273" stopIfTrue="1" operator="equal">
      <formula>"En cours"</formula>
    </cfRule>
  </conditionalFormatting>
  <conditionalFormatting sqref="AJ107">
    <cfRule type="cellIs" dxfId="2606" priority="47274" stopIfTrue="1" operator="notEqual">
      <formula>"En cours"</formula>
    </cfRule>
  </conditionalFormatting>
  <conditionalFormatting sqref="AK107">
    <cfRule type="cellIs" dxfId="2605" priority="47275" stopIfTrue="1" operator="equal">
      <formula>"En cours"</formula>
    </cfRule>
  </conditionalFormatting>
  <conditionalFormatting sqref="AK107">
    <cfRule type="cellIs" dxfId="2604" priority="47276" stopIfTrue="1" operator="notEqual">
      <formula>"En cours"</formula>
    </cfRule>
  </conditionalFormatting>
  <conditionalFormatting sqref="AJ125">
    <cfRule type="cellIs" dxfId="2603" priority="47285" stopIfTrue="1" operator="equal">
      <formula>"En cours"</formula>
    </cfRule>
  </conditionalFormatting>
  <conditionalFormatting sqref="AJ125">
    <cfRule type="cellIs" dxfId="2602" priority="47286" stopIfTrue="1" operator="notEqual">
      <formula>"En cours"</formula>
    </cfRule>
  </conditionalFormatting>
  <conditionalFormatting sqref="AK125">
    <cfRule type="cellIs" dxfId="2601" priority="47287" stopIfTrue="1" operator="equal">
      <formula>"En cours"</formula>
    </cfRule>
  </conditionalFormatting>
  <conditionalFormatting sqref="AK125">
    <cfRule type="cellIs" dxfId="2600" priority="47288" stopIfTrue="1" operator="notEqual">
      <formula>"En cours"</formula>
    </cfRule>
  </conditionalFormatting>
  <conditionalFormatting sqref="AJ112">
    <cfRule type="cellIs" dxfId="2599" priority="47301" stopIfTrue="1" operator="equal">
      <formula>"En cours"</formula>
    </cfRule>
  </conditionalFormatting>
  <conditionalFormatting sqref="AJ112">
    <cfRule type="cellIs" dxfId="2598" priority="47302" stopIfTrue="1" operator="notEqual">
      <formula>"En cours"</formula>
    </cfRule>
  </conditionalFormatting>
  <conditionalFormatting sqref="AK112">
    <cfRule type="cellIs" dxfId="2597" priority="47303" stopIfTrue="1" operator="equal">
      <formula>"En cours"</formula>
    </cfRule>
  </conditionalFormatting>
  <conditionalFormatting sqref="AK112">
    <cfRule type="cellIs" dxfId="2596" priority="47304" stopIfTrue="1" operator="notEqual">
      <formula>"En cours"</formula>
    </cfRule>
  </conditionalFormatting>
  <conditionalFormatting sqref="AJ172">
    <cfRule type="cellIs" dxfId="2595" priority="47313" stopIfTrue="1" operator="equal">
      <formula>"En cours"</formula>
    </cfRule>
  </conditionalFormatting>
  <conditionalFormatting sqref="AJ172">
    <cfRule type="cellIs" dxfId="2594" priority="47314" stopIfTrue="1" operator="notEqual">
      <formula>"En cours"</formula>
    </cfRule>
  </conditionalFormatting>
  <conditionalFormatting sqref="AK172">
    <cfRule type="cellIs" dxfId="2593" priority="47315" stopIfTrue="1" operator="equal">
      <formula>"En cours"</formula>
    </cfRule>
  </conditionalFormatting>
  <conditionalFormatting sqref="AK172">
    <cfRule type="cellIs" dxfId="2592" priority="47316" stopIfTrue="1" operator="notEqual">
      <formula>"En cours"</formula>
    </cfRule>
  </conditionalFormatting>
  <conditionalFormatting sqref="AJ118">
    <cfRule type="cellIs" dxfId="2591" priority="47673" stopIfTrue="1" operator="equal">
      <formula>"En cours"</formula>
    </cfRule>
  </conditionalFormatting>
  <conditionalFormatting sqref="AJ118">
    <cfRule type="cellIs" dxfId="2590" priority="47674" stopIfTrue="1" operator="notEqual">
      <formula>"En cours"</formula>
    </cfRule>
  </conditionalFormatting>
  <conditionalFormatting sqref="AK118">
    <cfRule type="cellIs" dxfId="2589" priority="47675" stopIfTrue="1" operator="equal">
      <formula>"En cours"</formula>
    </cfRule>
  </conditionalFormatting>
  <conditionalFormatting sqref="AK118">
    <cfRule type="cellIs" dxfId="2588" priority="47676" stopIfTrue="1" operator="notEqual">
      <formula>"En cours"</formula>
    </cfRule>
  </conditionalFormatting>
  <conditionalFormatting sqref="AJ165">
    <cfRule type="cellIs" dxfId="2587" priority="47705" stopIfTrue="1" operator="equal">
      <formula>"En cours"</formula>
    </cfRule>
  </conditionalFormatting>
  <conditionalFormatting sqref="AJ165">
    <cfRule type="cellIs" dxfId="2586" priority="47706" stopIfTrue="1" operator="notEqual">
      <formula>"En cours"</formula>
    </cfRule>
  </conditionalFormatting>
  <conditionalFormatting sqref="AK165">
    <cfRule type="cellIs" dxfId="2585" priority="47707" stopIfTrue="1" operator="equal">
      <formula>"En cours"</formula>
    </cfRule>
  </conditionalFormatting>
  <conditionalFormatting sqref="AK165">
    <cfRule type="cellIs" dxfId="2584" priority="47708" stopIfTrue="1" operator="notEqual">
      <formula>"En cours"</formula>
    </cfRule>
  </conditionalFormatting>
  <conditionalFormatting sqref="AJ164">
    <cfRule type="cellIs" dxfId="2583" priority="47733" stopIfTrue="1" operator="equal">
      <formula>"En cours"</formula>
    </cfRule>
  </conditionalFormatting>
  <conditionalFormatting sqref="AJ164">
    <cfRule type="cellIs" dxfId="2582" priority="47734" stopIfTrue="1" operator="notEqual">
      <formula>"En cours"</formula>
    </cfRule>
  </conditionalFormatting>
  <conditionalFormatting sqref="AK164">
    <cfRule type="cellIs" dxfId="2581" priority="47735" stopIfTrue="1" operator="equal">
      <formula>"En cours"</formula>
    </cfRule>
  </conditionalFormatting>
  <conditionalFormatting sqref="AK164">
    <cfRule type="cellIs" dxfId="2580" priority="47736" stopIfTrue="1" operator="notEqual">
      <formula>"En cours"</formula>
    </cfRule>
  </conditionalFormatting>
  <conditionalFormatting sqref="AJ150">
    <cfRule type="cellIs" dxfId="2579" priority="47745" stopIfTrue="1" operator="equal">
      <formula>"En cours"</formula>
    </cfRule>
  </conditionalFormatting>
  <conditionalFormatting sqref="AJ150">
    <cfRule type="cellIs" dxfId="2578" priority="47746" stopIfTrue="1" operator="notEqual">
      <formula>"En cours"</formula>
    </cfRule>
  </conditionalFormatting>
  <conditionalFormatting sqref="AK150">
    <cfRule type="cellIs" dxfId="2577" priority="47747" stopIfTrue="1" operator="equal">
      <formula>"En cours"</formula>
    </cfRule>
  </conditionalFormatting>
  <conditionalFormatting sqref="AK150">
    <cfRule type="cellIs" dxfId="2576" priority="47748" stopIfTrue="1" operator="notEqual">
      <formula>"En cours"</formula>
    </cfRule>
  </conditionalFormatting>
  <conditionalFormatting sqref="AJ173">
    <cfRule type="cellIs" dxfId="2575" priority="47805" stopIfTrue="1" operator="equal">
      <formula>"En cours"</formula>
    </cfRule>
  </conditionalFormatting>
  <conditionalFormatting sqref="AJ173">
    <cfRule type="cellIs" dxfId="2574" priority="47806" stopIfTrue="1" operator="notEqual">
      <formula>"En cours"</formula>
    </cfRule>
  </conditionalFormatting>
  <conditionalFormatting sqref="AK173">
    <cfRule type="cellIs" dxfId="2573" priority="47807" stopIfTrue="1" operator="equal">
      <formula>"En cours"</formula>
    </cfRule>
  </conditionalFormatting>
  <conditionalFormatting sqref="AK173">
    <cfRule type="cellIs" dxfId="2572" priority="47808" stopIfTrue="1" operator="notEqual">
      <formula>"En cours"</formula>
    </cfRule>
  </conditionalFormatting>
  <conditionalFormatting sqref="AJ168">
    <cfRule type="cellIs" dxfId="2571" priority="48149" stopIfTrue="1" operator="equal">
      <formula>"En cours"</formula>
    </cfRule>
  </conditionalFormatting>
  <conditionalFormatting sqref="AJ168">
    <cfRule type="cellIs" dxfId="2570" priority="48150" stopIfTrue="1" operator="notEqual">
      <formula>"En cours"</formula>
    </cfRule>
  </conditionalFormatting>
  <conditionalFormatting sqref="AK168">
    <cfRule type="cellIs" dxfId="2569" priority="48151" stopIfTrue="1" operator="equal">
      <formula>"En cours"</formula>
    </cfRule>
  </conditionalFormatting>
  <conditionalFormatting sqref="AK168">
    <cfRule type="cellIs" dxfId="2568" priority="48152" stopIfTrue="1" operator="notEqual">
      <formula>"En cours"</formula>
    </cfRule>
  </conditionalFormatting>
  <conditionalFormatting sqref="AJ145">
    <cfRule type="cellIs" dxfId="2567" priority="48253" stopIfTrue="1" operator="equal">
      <formula>"En cours"</formula>
    </cfRule>
  </conditionalFormatting>
  <conditionalFormatting sqref="AJ145">
    <cfRule type="cellIs" dxfId="2566" priority="48254" stopIfTrue="1" operator="notEqual">
      <formula>"En cours"</formula>
    </cfRule>
  </conditionalFormatting>
  <conditionalFormatting sqref="AK145">
    <cfRule type="cellIs" dxfId="2565" priority="48255" stopIfTrue="1" operator="equal">
      <formula>"En cours"</formula>
    </cfRule>
  </conditionalFormatting>
  <conditionalFormatting sqref="AK145">
    <cfRule type="cellIs" dxfId="2564" priority="48256" stopIfTrue="1" operator="notEqual">
      <formula>"En cours"</formula>
    </cfRule>
  </conditionalFormatting>
  <conditionalFormatting sqref="AJ149">
    <cfRule type="cellIs" dxfId="2563" priority="48689" stopIfTrue="1" operator="equal">
      <formula>"En cours"</formula>
    </cfRule>
  </conditionalFormatting>
  <conditionalFormatting sqref="AJ149">
    <cfRule type="cellIs" dxfId="2562" priority="48690" stopIfTrue="1" operator="notEqual">
      <formula>"En cours"</formula>
    </cfRule>
  </conditionalFormatting>
  <conditionalFormatting sqref="AK149">
    <cfRule type="cellIs" dxfId="2561" priority="48691" stopIfTrue="1" operator="equal">
      <formula>"En cours"</formula>
    </cfRule>
  </conditionalFormatting>
  <conditionalFormatting sqref="AK149">
    <cfRule type="cellIs" dxfId="2560" priority="48692" stopIfTrue="1" operator="notEqual">
      <formula>"En cours"</formula>
    </cfRule>
  </conditionalFormatting>
  <conditionalFormatting sqref="AJ127">
    <cfRule type="cellIs" dxfId="2559" priority="48757" stopIfTrue="1" operator="equal">
      <formula>"En cours"</formula>
    </cfRule>
  </conditionalFormatting>
  <conditionalFormatting sqref="AJ127">
    <cfRule type="cellIs" dxfId="2558" priority="48758" stopIfTrue="1" operator="notEqual">
      <formula>"En cours"</formula>
    </cfRule>
  </conditionalFormatting>
  <conditionalFormatting sqref="AK127">
    <cfRule type="cellIs" dxfId="2557" priority="48759" stopIfTrue="1" operator="equal">
      <formula>"En cours"</formula>
    </cfRule>
  </conditionalFormatting>
  <conditionalFormatting sqref="AK127">
    <cfRule type="cellIs" dxfId="2556" priority="48760" stopIfTrue="1" operator="notEqual">
      <formula>"En cours"</formula>
    </cfRule>
  </conditionalFormatting>
  <conditionalFormatting sqref="AJ122">
    <cfRule type="cellIs" dxfId="2555" priority="48765" stopIfTrue="1" operator="equal">
      <formula>"En cours"</formula>
    </cfRule>
  </conditionalFormatting>
  <conditionalFormatting sqref="AJ122">
    <cfRule type="cellIs" dxfId="2554" priority="48766" stopIfTrue="1" operator="notEqual">
      <formula>"En cours"</formula>
    </cfRule>
  </conditionalFormatting>
  <conditionalFormatting sqref="AK122">
    <cfRule type="cellIs" dxfId="2553" priority="48767" stopIfTrue="1" operator="equal">
      <formula>"En cours"</formula>
    </cfRule>
  </conditionalFormatting>
  <conditionalFormatting sqref="AK122">
    <cfRule type="cellIs" dxfId="2552" priority="48768" stopIfTrue="1" operator="notEqual">
      <formula>"En cours"</formula>
    </cfRule>
  </conditionalFormatting>
  <conditionalFormatting sqref="AJ123">
    <cfRule type="cellIs" dxfId="2551" priority="48769" stopIfTrue="1" operator="equal">
      <formula>"En cours"</formula>
    </cfRule>
  </conditionalFormatting>
  <conditionalFormatting sqref="AJ123">
    <cfRule type="cellIs" dxfId="2550" priority="48770" stopIfTrue="1" operator="notEqual">
      <formula>"En cours"</formula>
    </cfRule>
  </conditionalFormatting>
  <conditionalFormatting sqref="AK123">
    <cfRule type="cellIs" dxfId="2549" priority="48771" stopIfTrue="1" operator="equal">
      <formula>"En cours"</formula>
    </cfRule>
  </conditionalFormatting>
  <conditionalFormatting sqref="AK123">
    <cfRule type="cellIs" dxfId="2548" priority="48772" stopIfTrue="1" operator="notEqual">
      <formula>"En cours"</formula>
    </cfRule>
  </conditionalFormatting>
  <conditionalFormatting sqref="AJ132">
    <cfRule type="cellIs" dxfId="2547" priority="48777" stopIfTrue="1" operator="equal">
      <formula>"En cours"</formula>
    </cfRule>
  </conditionalFormatting>
  <conditionalFormatting sqref="AJ132">
    <cfRule type="cellIs" dxfId="2546" priority="48778" stopIfTrue="1" operator="notEqual">
      <formula>"En cours"</formula>
    </cfRule>
  </conditionalFormatting>
  <conditionalFormatting sqref="AK132">
    <cfRule type="cellIs" dxfId="2545" priority="48779" stopIfTrue="1" operator="equal">
      <formula>"En cours"</formula>
    </cfRule>
  </conditionalFormatting>
  <conditionalFormatting sqref="AK132">
    <cfRule type="cellIs" dxfId="2544" priority="48780" stopIfTrue="1" operator="notEqual">
      <formula>"En cours"</formula>
    </cfRule>
  </conditionalFormatting>
  <conditionalFormatting sqref="AJ159">
    <cfRule type="cellIs" dxfId="2543" priority="48789" stopIfTrue="1" operator="equal">
      <formula>"En cours"</formula>
    </cfRule>
  </conditionalFormatting>
  <conditionalFormatting sqref="AJ159">
    <cfRule type="cellIs" dxfId="2542" priority="48790" stopIfTrue="1" operator="notEqual">
      <formula>"En cours"</formula>
    </cfRule>
  </conditionalFormatting>
  <conditionalFormatting sqref="AK159">
    <cfRule type="cellIs" dxfId="2541" priority="48791" stopIfTrue="1" operator="equal">
      <formula>"En cours"</formula>
    </cfRule>
  </conditionalFormatting>
  <conditionalFormatting sqref="AK159">
    <cfRule type="cellIs" dxfId="2540" priority="48792" stopIfTrue="1" operator="notEqual">
      <formula>"En cours"</formula>
    </cfRule>
  </conditionalFormatting>
  <conditionalFormatting sqref="AJ136">
    <cfRule type="cellIs" dxfId="2539" priority="48825" stopIfTrue="1" operator="equal">
      <formula>"En cours"</formula>
    </cfRule>
  </conditionalFormatting>
  <conditionalFormatting sqref="AJ136">
    <cfRule type="cellIs" dxfId="2538" priority="48826" stopIfTrue="1" operator="notEqual">
      <formula>"En cours"</formula>
    </cfRule>
  </conditionalFormatting>
  <conditionalFormatting sqref="AK136">
    <cfRule type="cellIs" dxfId="2537" priority="48827" stopIfTrue="1" operator="equal">
      <formula>"En cours"</formula>
    </cfRule>
  </conditionalFormatting>
  <conditionalFormatting sqref="AK136">
    <cfRule type="cellIs" dxfId="2536" priority="48828" stopIfTrue="1" operator="notEqual">
      <formula>"En cours"</formula>
    </cfRule>
  </conditionalFormatting>
  <conditionalFormatting sqref="AJ120">
    <cfRule type="cellIs" dxfId="2535" priority="48829" stopIfTrue="1" operator="equal">
      <formula>"En cours"</formula>
    </cfRule>
  </conditionalFormatting>
  <conditionalFormatting sqref="AJ120">
    <cfRule type="cellIs" dxfId="2534" priority="48830" stopIfTrue="1" operator="notEqual">
      <formula>"En cours"</formula>
    </cfRule>
  </conditionalFormatting>
  <conditionalFormatting sqref="AK120">
    <cfRule type="cellIs" dxfId="2533" priority="48831" stopIfTrue="1" operator="equal">
      <formula>"En cours"</formula>
    </cfRule>
  </conditionalFormatting>
  <conditionalFormatting sqref="AK120">
    <cfRule type="cellIs" dxfId="2532" priority="48832" stopIfTrue="1" operator="notEqual">
      <formula>"En cours"</formula>
    </cfRule>
  </conditionalFormatting>
  <conditionalFormatting sqref="AJ157">
    <cfRule type="cellIs" dxfId="2531" priority="48845" stopIfTrue="1" operator="equal">
      <formula>"En cours"</formula>
    </cfRule>
  </conditionalFormatting>
  <conditionalFormatting sqref="AJ157">
    <cfRule type="cellIs" dxfId="2530" priority="48846" stopIfTrue="1" operator="notEqual">
      <formula>"En cours"</formula>
    </cfRule>
  </conditionalFormatting>
  <conditionalFormatting sqref="AK157">
    <cfRule type="cellIs" dxfId="2529" priority="48847" stopIfTrue="1" operator="equal">
      <formula>"En cours"</formula>
    </cfRule>
  </conditionalFormatting>
  <conditionalFormatting sqref="AK157">
    <cfRule type="cellIs" dxfId="2528" priority="48848" stopIfTrue="1" operator="notEqual">
      <formula>"En cours"</formula>
    </cfRule>
  </conditionalFormatting>
  <conditionalFormatting sqref="AJ144">
    <cfRule type="cellIs" dxfId="2527" priority="48865" stopIfTrue="1" operator="equal">
      <formula>"En cours"</formula>
    </cfRule>
  </conditionalFormatting>
  <conditionalFormatting sqref="AJ144">
    <cfRule type="cellIs" dxfId="2526" priority="48866" stopIfTrue="1" operator="notEqual">
      <formula>"En cours"</formula>
    </cfRule>
  </conditionalFormatting>
  <conditionalFormatting sqref="AK144">
    <cfRule type="cellIs" dxfId="2525" priority="48867" stopIfTrue="1" operator="equal">
      <formula>"En cours"</formula>
    </cfRule>
  </conditionalFormatting>
  <conditionalFormatting sqref="AK144">
    <cfRule type="cellIs" dxfId="2524" priority="48868" stopIfTrue="1" operator="notEqual">
      <formula>"En cours"</formula>
    </cfRule>
  </conditionalFormatting>
  <conditionalFormatting sqref="AJ174">
    <cfRule type="cellIs" dxfId="2523" priority="48877" stopIfTrue="1" operator="equal">
      <formula>"En cours"</formula>
    </cfRule>
  </conditionalFormatting>
  <conditionalFormatting sqref="AJ174">
    <cfRule type="cellIs" dxfId="2522" priority="48878" stopIfTrue="1" operator="notEqual">
      <formula>"En cours"</formula>
    </cfRule>
  </conditionalFormatting>
  <conditionalFormatting sqref="AK174">
    <cfRule type="cellIs" dxfId="2521" priority="48879" stopIfTrue="1" operator="equal">
      <formula>"En cours"</formula>
    </cfRule>
  </conditionalFormatting>
  <conditionalFormatting sqref="AK174">
    <cfRule type="cellIs" dxfId="2520" priority="48880" stopIfTrue="1" operator="notEqual">
      <formula>"En cours"</formula>
    </cfRule>
  </conditionalFormatting>
  <conditionalFormatting sqref="AJ119">
    <cfRule type="cellIs" dxfId="2519" priority="48901" stopIfTrue="1" operator="equal">
      <formula>"En cours"</formula>
    </cfRule>
  </conditionalFormatting>
  <conditionalFormatting sqref="AJ119">
    <cfRule type="cellIs" dxfId="2518" priority="48902" stopIfTrue="1" operator="notEqual">
      <formula>"En cours"</formula>
    </cfRule>
  </conditionalFormatting>
  <conditionalFormatting sqref="AK119">
    <cfRule type="cellIs" dxfId="2517" priority="48903" stopIfTrue="1" operator="equal">
      <formula>"En cours"</formula>
    </cfRule>
  </conditionalFormatting>
  <conditionalFormatting sqref="AK119">
    <cfRule type="cellIs" dxfId="2516" priority="48904" stopIfTrue="1" operator="notEqual">
      <formula>"En cours"</formula>
    </cfRule>
  </conditionalFormatting>
  <conditionalFormatting sqref="AJ169">
    <cfRule type="cellIs" dxfId="2515" priority="48933" stopIfTrue="1" operator="equal">
      <formula>"En cours"</formula>
    </cfRule>
  </conditionalFormatting>
  <conditionalFormatting sqref="AJ169">
    <cfRule type="cellIs" dxfId="2514" priority="48934" stopIfTrue="1" operator="notEqual">
      <formula>"En cours"</formula>
    </cfRule>
  </conditionalFormatting>
  <conditionalFormatting sqref="AK169">
    <cfRule type="cellIs" dxfId="2513" priority="48935" stopIfTrue="1" operator="equal">
      <formula>"En cours"</formula>
    </cfRule>
  </conditionalFormatting>
  <conditionalFormatting sqref="AK169">
    <cfRule type="cellIs" dxfId="2512" priority="48936" stopIfTrue="1" operator="notEqual">
      <formula>"En cours"</formula>
    </cfRule>
  </conditionalFormatting>
  <conditionalFormatting sqref="AJ170">
    <cfRule type="cellIs" dxfId="2511" priority="48937" stopIfTrue="1" operator="equal">
      <formula>"En cours"</formula>
    </cfRule>
  </conditionalFormatting>
  <conditionalFormatting sqref="AJ170">
    <cfRule type="cellIs" dxfId="2510" priority="48938" stopIfTrue="1" operator="notEqual">
      <formula>"En cours"</formula>
    </cfRule>
  </conditionalFormatting>
  <conditionalFormatting sqref="AK170">
    <cfRule type="cellIs" dxfId="2509" priority="48939" stopIfTrue="1" operator="equal">
      <formula>"En cours"</formula>
    </cfRule>
  </conditionalFormatting>
  <conditionalFormatting sqref="AK170">
    <cfRule type="cellIs" dxfId="2508" priority="48940" stopIfTrue="1" operator="notEqual">
      <formula>"En cours"</formula>
    </cfRule>
  </conditionalFormatting>
  <conditionalFormatting sqref="AJ156">
    <cfRule type="cellIs" dxfId="2507" priority="49401" stopIfTrue="1" operator="equal">
      <formula>"En cours"</formula>
    </cfRule>
  </conditionalFormatting>
  <conditionalFormatting sqref="AJ156">
    <cfRule type="cellIs" dxfId="2506" priority="49402" stopIfTrue="1" operator="notEqual">
      <formula>"En cours"</formula>
    </cfRule>
  </conditionalFormatting>
  <conditionalFormatting sqref="AK156">
    <cfRule type="cellIs" dxfId="2505" priority="49403" stopIfTrue="1" operator="equal">
      <formula>"En cours"</formula>
    </cfRule>
  </conditionalFormatting>
  <conditionalFormatting sqref="AK156">
    <cfRule type="cellIs" dxfId="2504" priority="49404" stopIfTrue="1" operator="notEqual">
      <formula>"En cours"</formula>
    </cfRule>
  </conditionalFormatting>
  <conditionalFormatting sqref="AJ147">
    <cfRule type="cellIs" dxfId="2503" priority="49405" stopIfTrue="1" operator="equal">
      <formula>"En cours"</formula>
    </cfRule>
  </conditionalFormatting>
  <conditionalFormatting sqref="AJ147">
    <cfRule type="cellIs" dxfId="2502" priority="49406" stopIfTrue="1" operator="notEqual">
      <formula>"En cours"</formula>
    </cfRule>
  </conditionalFormatting>
  <conditionalFormatting sqref="AK147">
    <cfRule type="cellIs" dxfId="2501" priority="49407" stopIfTrue="1" operator="equal">
      <formula>"En cours"</formula>
    </cfRule>
  </conditionalFormatting>
  <conditionalFormatting sqref="AK147">
    <cfRule type="cellIs" dxfId="2500" priority="49408" stopIfTrue="1" operator="notEqual">
      <formula>"En cours"</formula>
    </cfRule>
  </conditionalFormatting>
  <conditionalFormatting sqref="AJ108">
    <cfRule type="cellIs" dxfId="2499" priority="49409" stopIfTrue="1" operator="equal">
      <formula>"En cours"</formula>
    </cfRule>
  </conditionalFormatting>
  <conditionalFormatting sqref="AJ108">
    <cfRule type="cellIs" dxfId="2498" priority="49410" stopIfTrue="1" operator="notEqual">
      <formula>"En cours"</formula>
    </cfRule>
  </conditionalFormatting>
  <conditionalFormatting sqref="AK108">
    <cfRule type="cellIs" dxfId="2497" priority="49411" stopIfTrue="1" operator="equal">
      <formula>"En cours"</formula>
    </cfRule>
  </conditionalFormatting>
  <conditionalFormatting sqref="AK108">
    <cfRule type="cellIs" dxfId="2496" priority="49412" stopIfTrue="1" operator="notEqual">
      <formula>"En cours"</formula>
    </cfRule>
  </conditionalFormatting>
  <conditionalFormatting sqref="AJ153">
    <cfRule type="cellIs" dxfId="2495" priority="49421" stopIfTrue="1" operator="equal">
      <formula>"En cours"</formula>
    </cfRule>
  </conditionalFormatting>
  <conditionalFormatting sqref="AJ153">
    <cfRule type="cellIs" dxfId="2494" priority="49422" stopIfTrue="1" operator="notEqual">
      <formula>"En cours"</formula>
    </cfRule>
  </conditionalFormatting>
  <conditionalFormatting sqref="AK153">
    <cfRule type="cellIs" dxfId="2493" priority="49423" stopIfTrue="1" operator="equal">
      <formula>"En cours"</formula>
    </cfRule>
  </conditionalFormatting>
  <conditionalFormatting sqref="AK153">
    <cfRule type="cellIs" dxfId="2492" priority="49424" stopIfTrue="1" operator="notEqual">
      <formula>"En cours"</formula>
    </cfRule>
  </conditionalFormatting>
  <conditionalFormatting sqref="AJ130">
    <cfRule type="cellIs" dxfId="2491" priority="49437" stopIfTrue="1" operator="equal">
      <formula>"En cours"</formula>
    </cfRule>
  </conditionalFormatting>
  <conditionalFormatting sqref="AJ130">
    <cfRule type="cellIs" dxfId="2490" priority="49438" stopIfTrue="1" operator="notEqual">
      <formula>"En cours"</formula>
    </cfRule>
  </conditionalFormatting>
  <conditionalFormatting sqref="AK130">
    <cfRule type="cellIs" dxfId="2489" priority="49439" stopIfTrue="1" operator="equal">
      <formula>"En cours"</formula>
    </cfRule>
  </conditionalFormatting>
  <conditionalFormatting sqref="AK130">
    <cfRule type="cellIs" dxfId="2488" priority="49440" stopIfTrue="1" operator="notEqual">
      <formula>"En cours"</formula>
    </cfRule>
  </conditionalFormatting>
  <conditionalFormatting sqref="AJ115">
    <cfRule type="cellIs" dxfId="2487" priority="49441" stopIfTrue="1" operator="equal">
      <formula>"En cours"</formula>
    </cfRule>
  </conditionalFormatting>
  <conditionalFormatting sqref="AJ115">
    <cfRule type="cellIs" dxfId="2486" priority="49442" stopIfTrue="1" operator="notEqual">
      <formula>"En cours"</formula>
    </cfRule>
  </conditionalFormatting>
  <conditionalFormatting sqref="AK115">
    <cfRule type="cellIs" dxfId="2485" priority="49443" stopIfTrue="1" operator="equal">
      <formula>"En cours"</formula>
    </cfRule>
  </conditionalFormatting>
  <conditionalFormatting sqref="AK115">
    <cfRule type="cellIs" dxfId="2484" priority="49444" stopIfTrue="1" operator="notEqual">
      <formula>"En cours"</formula>
    </cfRule>
  </conditionalFormatting>
  <conditionalFormatting sqref="AJ111">
    <cfRule type="cellIs" dxfId="2483" priority="49445" stopIfTrue="1" operator="equal">
      <formula>"En cours"</formula>
    </cfRule>
  </conditionalFormatting>
  <conditionalFormatting sqref="AJ111">
    <cfRule type="cellIs" dxfId="2482" priority="49446" stopIfTrue="1" operator="notEqual">
      <formula>"En cours"</formula>
    </cfRule>
  </conditionalFormatting>
  <conditionalFormatting sqref="AK111">
    <cfRule type="cellIs" dxfId="2481" priority="49447" stopIfTrue="1" operator="equal">
      <formula>"En cours"</formula>
    </cfRule>
  </conditionalFormatting>
  <conditionalFormatting sqref="AK111">
    <cfRule type="cellIs" dxfId="2480" priority="49448" stopIfTrue="1" operator="notEqual">
      <formula>"En cours"</formula>
    </cfRule>
  </conditionalFormatting>
  <conditionalFormatting sqref="AJ138">
    <cfRule type="cellIs" dxfId="2479" priority="49449" stopIfTrue="1" operator="equal">
      <formula>"En cours"</formula>
    </cfRule>
  </conditionalFormatting>
  <conditionalFormatting sqref="AJ138">
    <cfRule type="cellIs" dxfId="2478" priority="49450" stopIfTrue="1" operator="notEqual">
      <formula>"En cours"</formula>
    </cfRule>
  </conditionalFormatting>
  <conditionalFormatting sqref="AK138">
    <cfRule type="cellIs" dxfId="2477" priority="49451" stopIfTrue="1" operator="equal">
      <formula>"En cours"</formula>
    </cfRule>
  </conditionalFormatting>
  <conditionalFormatting sqref="AK138">
    <cfRule type="cellIs" dxfId="2476" priority="49452" stopIfTrue="1" operator="notEqual">
      <formula>"En cours"</formula>
    </cfRule>
  </conditionalFormatting>
  <conditionalFormatting sqref="AJ142">
    <cfRule type="cellIs" dxfId="2475" priority="49461" stopIfTrue="1" operator="equal">
      <formula>"En cours"</formula>
    </cfRule>
  </conditionalFormatting>
  <conditionalFormatting sqref="AJ142">
    <cfRule type="cellIs" dxfId="2474" priority="49462" stopIfTrue="1" operator="notEqual">
      <formula>"En cours"</formula>
    </cfRule>
  </conditionalFormatting>
  <conditionalFormatting sqref="AK142">
    <cfRule type="cellIs" dxfId="2473" priority="49463" stopIfTrue="1" operator="equal">
      <formula>"En cours"</formula>
    </cfRule>
  </conditionalFormatting>
  <conditionalFormatting sqref="AK142">
    <cfRule type="cellIs" dxfId="2472" priority="49464" stopIfTrue="1" operator="notEqual">
      <formula>"En cours"</formula>
    </cfRule>
  </conditionalFormatting>
  <conditionalFormatting sqref="AJ129">
    <cfRule type="cellIs" dxfId="2471" priority="49465" stopIfTrue="1" operator="equal">
      <formula>"En cours"</formula>
    </cfRule>
  </conditionalFormatting>
  <conditionalFormatting sqref="AJ129">
    <cfRule type="cellIs" dxfId="2470" priority="49466" stopIfTrue="1" operator="notEqual">
      <formula>"En cours"</formula>
    </cfRule>
  </conditionalFormatting>
  <conditionalFormatting sqref="AK129">
    <cfRule type="cellIs" dxfId="2469" priority="49467" stopIfTrue="1" operator="equal">
      <formula>"En cours"</formula>
    </cfRule>
  </conditionalFormatting>
  <conditionalFormatting sqref="AK129">
    <cfRule type="cellIs" dxfId="2468" priority="49468" stopIfTrue="1" operator="notEqual">
      <formula>"En cours"</formula>
    </cfRule>
  </conditionalFormatting>
  <conditionalFormatting sqref="AJ167">
    <cfRule type="cellIs" dxfId="2467" priority="49477" stopIfTrue="1" operator="equal">
      <formula>"En cours"</formula>
    </cfRule>
  </conditionalFormatting>
  <conditionalFormatting sqref="AJ167">
    <cfRule type="cellIs" dxfId="2466" priority="49478" stopIfTrue="1" operator="notEqual">
      <formula>"En cours"</formula>
    </cfRule>
  </conditionalFormatting>
  <conditionalFormatting sqref="AK167">
    <cfRule type="cellIs" dxfId="2465" priority="49479" stopIfTrue="1" operator="equal">
      <formula>"En cours"</formula>
    </cfRule>
  </conditionalFormatting>
  <conditionalFormatting sqref="AK167">
    <cfRule type="cellIs" dxfId="2464" priority="49480" stopIfTrue="1" operator="notEqual">
      <formula>"En cours"</formula>
    </cfRule>
  </conditionalFormatting>
  <conditionalFormatting sqref="AJ146">
    <cfRule type="cellIs" dxfId="2463" priority="49481" stopIfTrue="1" operator="equal">
      <formula>"En cours"</formula>
    </cfRule>
  </conditionalFormatting>
  <conditionalFormatting sqref="AJ146">
    <cfRule type="cellIs" dxfId="2462" priority="49482" stopIfTrue="1" operator="notEqual">
      <formula>"En cours"</formula>
    </cfRule>
  </conditionalFormatting>
  <conditionalFormatting sqref="AK146">
    <cfRule type="cellIs" dxfId="2461" priority="49483" stopIfTrue="1" operator="equal">
      <formula>"En cours"</formula>
    </cfRule>
  </conditionalFormatting>
  <conditionalFormatting sqref="AK146">
    <cfRule type="cellIs" dxfId="2460" priority="49484" stopIfTrue="1" operator="notEqual">
      <formula>"En cours"</formula>
    </cfRule>
  </conditionalFormatting>
  <conditionalFormatting sqref="AJ151">
    <cfRule type="cellIs" dxfId="2459" priority="49489" stopIfTrue="1" operator="equal">
      <formula>"En cours"</formula>
    </cfRule>
  </conditionalFormatting>
  <conditionalFormatting sqref="AJ151">
    <cfRule type="cellIs" dxfId="2458" priority="49490" stopIfTrue="1" operator="notEqual">
      <formula>"En cours"</formula>
    </cfRule>
  </conditionalFormatting>
  <conditionalFormatting sqref="AK151">
    <cfRule type="cellIs" dxfId="2457" priority="49491" stopIfTrue="1" operator="equal">
      <formula>"En cours"</formula>
    </cfRule>
  </conditionalFormatting>
  <conditionalFormatting sqref="AK151">
    <cfRule type="cellIs" dxfId="2456" priority="49492" stopIfTrue="1" operator="notEqual">
      <formula>"En cours"</formula>
    </cfRule>
  </conditionalFormatting>
  <conditionalFormatting sqref="AJ163">
    <cfRule type="cellIs" dxfId="2455" priority="49493" stopIfTrue="1" operator="equal">
      <formula>"En cours"</formula>
    </cfRule>
  </conditionalFormatting>
  <conditionalFormatting sqref="AJ163">
    <cfRule type="cellIs" dxfId="2454" priority="49494" stopIfTrue="1" operator="notEqual">
      <formula>"En cours"</formula>
    </cfRule>
  </conditionalFormatting>
  <conditionalFormatting sqref="AK163">
    <cfRule type="cellIs" dxfId="2453" priority="49495" stopIfTrue="1" operator="equal">
      <formula>"En cours"</formula>
    </cfRule>
  </conditionalFormatting>
  <conditionalFormatting sqref="AK163">
    <cfRule type="cellIs" dxfId="2452" priority="49496" stopIfTrue="1" operator="notEqual">
      <formula>"En cours"</formula>
    </cfRule>
  </conditionalFormatting>
  <conditionalFormatting sqref="AJ124">
    <cfRule type="cellIs" dxfId="2451" priority="49501" stopIfTrue="1" operator="equal">
      <formula>"En cours"</formula>
    </cfRule>
  </conditionalFormatting>
  <conditionalFormatting sqref="AJ124">
    <cfRule type="cellIs" dxfId="2450" priority="49502" stopIfTrue="1" operator="notEqual">
      <formula>"En cours"</formula>
    </cfRule>
  </conditionalFormatting>
  <conditionalFormatting sqref="AK124">
    <cfRule type="cellIs" dxfId="2449" priority="49503" stopIfTrue="1" operator="equal">
      <formula>"En cours"</formula>
    </cfRule>
  </conditionalFormatting>
  <conditionalFormatting sqref="AK124">
    <cfRule type="cellIs" dxfId="2448" priority="49504" stopIfTrue="1" operator="notEqual">
      <formula>"En cours"</formula>
    </cfRule>
  </conditionalFormatting>
  <conditionalFormatting sqref="AJ161">
    <cfRule type="cellIs" dxfId="2447" priority="49505" stopIfTrue="1" operator="equal">
      <formula>"En cours"</formula>
    </cfRule>
  </conditionalFormatting>
  <conditionalFormatting sqref="AJ161">
    <cfRule type="cellIs" dxfId="2446" priority="49506" stopIfTrue="1" operator="notEqual">
      <formula>"En cours"</formula>
    </cfRule>
  </conditionalFormatting>
  <conditionalFormatting sqref="AK161">
    <cfRule type="cellIs" dxfId="2445" priority="49507" stopIfTrue="1" operator="equal">
      <formula>"En cours"</formula>
    </cfRule>
  </conditionalFormatting>
  <conditionalFormatting sqref="AK161">
    <cfRule type="cellIs" dxfId="2444" priority="49508" stopIfTrue="1" operator="notEqual">
      <formula>"En cours"</formula>
    </cfRule>
  </conditionalFormatting>
  <conditionalFormatting sqref="AJ110">
    <cfRule type="cellIs" dxfId="2443" priority="49521" stopIfTrue="1" operator="equal">
      <formula>"En cours"</formula>
    </cfRule>
  </conditionalFormatting>
  <conditionalFormatting sqref="AJ110">
    <cfRule type="cellIs" dxfId="2442" priority="49522" stopIfTrue="1" operator="notEqual">
      <formula>"En cours"</formula>
    </cfRule>
  </conditionalFormatting>
  <conditionalFormatting sqref="AK110">
    <cfRule type="cellIs" dxfId="2441" priority="49523" stopIfTrue="1" operator="equal">
      <formula>"En cours"</formula>
    </cfRule>
  </conditionalFormatting>
  <conditionalFormatting sqref="AK110">
    <cfRule type="cellIs" dxfId="2440" priority="49524" stopIfTrue="1" operator="notEqual">
      <formula>"En cours"</formula>
    </cfRule>
  </conditionalFormatting>
  <conditionalFormatting sqref="AJ158">
    <cfRule type="cellIs" dxfId="2439" priority="49529" stopIfTrue="1" operator="equal">
      <formula>"En cours"</formula>
    </cfRule>
  </conditionalFormatting>
  <conditionalFormatting sqref="AJ158">
    <cfRule type="cellIs" dxfId="2438" priority="49530" stopIfTrue="1" operator="notEqual">
      <formula>"En cours"</formula>
    </cfRule>
  </conditionalFormatting>
  <conditionalFormatting sqref="AK158">
    <cfRule type="cellIs" dxfId="2437" priority="49531" stopIfTrue="1" operator="equal">
      <formula>"En cours"</formula>
    </cfRule>
  </conditionalFormatting>
  <conditionalFormatting sqref="AK158">
    <cfRule type="cellIs" dxfId="2436" priority="49532" stopIfTrue="1" operator="notEqual">
      <formula>"En cours"</formula>
    </cfRule>
  </conditionalFormatting>
  <conditionalFormatting sqref="AJ140">
    <cfRule type="cellIs" dxfId="2435" priority="49533" stopIfTrue="1" operator="equal">
      <formula>"En cours"</formula>
    </cfRule>
  </conditionalFormatting>
  <conditionalFormatting sqref="AJ140">
    <cfRule type="cellIs" dxfId="2434" priority="49534" stopIfTrue="1" operator="notEqual">
      <formula>"En cours"</formula>
    </cfRule>
  </conditionalFormatting>
  <conditionalFormatting sqref="AK140">
    <cfRule type="cellIs" dxfId="2433" priority="49535" stopIfTrue="1" operator="equal">
      <formula>"En cours"</formula>
    </cfRule>
  </conditionalFormatting>
  <conditionalFormatting sqref="AK140">
    <cfRule type="cellIs" dxfId="2432" priority="49536" stopIfTrue="1" operator="notEqual">
      <formula>"En cours"</formula>
    </cfRule>
  </conditionalFormatting>
  <conditionalFormatting sqref="AJ171">
    <cfRule type="cellIs" dxfId="2431" priority="49569" stopIfTrue="1" operator="equal">
      <formula>"En cours"</formula>
    </cfRule>
  </conditionalFormatting>
  <conditionalFormatting sqref="AJ171">
    <cfRule type="cellIs" dxfId="2430" priority="49570" stopIfTrue="1" operator="notEqual">
      <formula>"En cours"</formula>
    </cfRule>
  </conditionalFormatting>
  <conditionalFormatting sqref="AK171">
    <cfRule type="cellIs" dxfId="2429" priority="49571" stopIfTrue="1" operator="equal">
      <formula>"En cours"</formula>
    </cfRule>
  </conditionalFormatting>
  <conditionalFormatting sqref="AK171">
    <cfRule type="cellIs" dxfId="2428" priority="49572" stopIfTrue="1" operator="notEqual">
      <formula>"En cours"</formula>
    </cfRule>
  </conditionalFormatting>
  <conditionalFormatting sqref="AJ152">
    <cfRule type="cellIs" dxfId="2427" priority="49573" stopIfTrue="1" operator="equal">
      <formula>"En cours"</formula>
    </cfRule>
  </conditionalFormatting>
  <conditionalFormatting sqref="AJ152">
    <cfRule type="cellIs" dxfId="2426" priority="49574" stopIfTrue="1" operator="notEqual">
      <formula>"En cours"</formula>
    </cfRule>
  </conditionalFormatting>
  <conditionalFormatting sqref="AK152">
    <cfRule type="cellIs" dxfId="2425" priority="49575" stopIfTrue="1" operator="equal">
      <formula>"En cours"</formula>
    </cfRule>
  </conditionalFormatting>
  <conditionalFormatting sqref="AK152">
    <cfRule type="cellIs" dxfId="2424" priority="49576" stopIfTrue="1" operator="notEqual">
      <formula>"En cours"</formula>
    </cfRule>
  </conditionalFormatting>
  <conditionalFormatting sqref="AJ114">
    <cfRule type="cellIs" dxfId="2423" priority="49581" stopIfTrue="1" operator="equal">
      <formula>"En cours"</formula>
    </cfRule>
  </conditionalFormatting>
  <conditionalFormatting sqref="AJ114">
    <cfRule type="cellIs" dxfId="2422" priority="49582" stopIfTrue="1" operator="notEqual">
      <formula>"En cours"</formula>
    </cfRule>
  </conditionalFormatting>
  <conditionalFormatting sqref="AK114">
    <cfRule type="cellIs" dxfId="2421" priority="49583" stopIfTrue="1" operator="equal">
      <formula>"En cours"</formula>
    </cfRule>
  </conditionalFormatting>
  <conditionalFormatting sqref="AK114">
    <cfRule type="cellIs" dxfId="2420" priority="49584" stopIfTrue="1" operator="notEqual">
      <formula>"En cours"</formula>
    </cfRule>
  </conditionalFormatting>
  <conditionalFormatting sqref="AJ141">
    <cfRule type="cellIs" dxfId="2419" priority="49589" stopIfTrue="1" operator="equal">
      <formula>"En cours"</formula>
    </cfRule>
  </conditionalFormatting>
  <conditionalFormatting sqref="AJ141">
    <cfRule type="cellIs" dxfId="2418" priority="49590" stopIfTrue="1" operator="notEqual">
      <formula>"En cours"</formula>
    </cfRule>
  </conditionalFormatting>
  <conditionalFormatting sqref="AK141">
    <cfRule type="cellIs" dxfId="2417" priority="49591" stopIfTrue="1" operator="equal">
      <formula>"En cours"</formula>
    </cfRule>
  </conditionalFormatting>
  <conditionalFormatting sqref="AK141">
    <cfRule type="cellIs" dxfId="2416" priority="49592" stopIfTrue="1" operator="notEqual">
      <formula>"En cours"</formula>
    </cfRule>
  </conditionalFormatting>
  <conditionalFormatting sqref="AJ135">
    <cfRule type="cellIs" dxfId="2415" priority="49593" stopIfTrue="1" operator="equal">
      <formula>"En cours"</formula>
    </cfRule>
  </conditionalFormatting>
  <conditionalFormatting sqref="AJ135">
    <cfRule type="cellIs" dxfId="2414" priority="49594" stopIfTrue="1" operator="notEqual">
      <formula>"En cours"</formula>
    </cfRule>
  </conditionalFormatting>
  <conditionalFormatting sqref="AK135">
    <cfRule type="cellIs" dxfId="2413" priority="49595" stopIfTrue="1" operator="equal">
      <formula>"En cours"</formula>
    </cfRule>
  </conditionalFormatting>
  <conditionalFormatting sqref="AK135">
    <cfRule type="cellIs" dxfId="2412" priority="49596" stopIfTrue="1" operator="notEqual">
      <formula>"En cours"</formula>
    </cfRule>
  </conditionalFormatting>
  <conditionalFormatting sqref="AJ128">
    <cfRule type="cellIs" dxfId="2411" priority="49609" stopIfTrue="1" operator="equal">
      <formula>"En cours"</formula>
    </cfRule>
  </conditionalFormatting>
  <conditionalFormatting sqref="AJ128">
    <cfRule type="cellIs" dxfId="2410" priority="49610" stopIfTrue="1" operator="notEqual">
      <formula>"En cours"</formula>
    </cfRule>
  </conditionalFormatting>
  <conditionalFormatting sqref="AK128">
    <cfRule type="cellIs" dxfId="2409" priority="49611" stopIfTrue="1" operator="equal">
      <formula>"En cours"</formula>
    </cfRule>
  </conditionalFormatting>
  <conditionalFormatting sqref="AK128">
    <cfRule type="cellIs" dxfId="2408" priority="49612" stopIfTrue="1" operator="notEqual">
      <formula>"En cours"</formula>
    </cfRule>
  </conditionalFormatting>
  <conditionalFormatting sqref="AJ143">
    <cfRule type="cellIs" dxfId="2407" priority="49857" stopIfTrue="1" operator="equal">
      <formula>"En cours"</formula>
    </cfRule>
  </conditionalFormatting>
  <conditionalFormatting sqref="AJ143">
    <cfRule type="cellIs" dxfId="2406" priority="49858" stopIfTrue="1" operator="notEqual">
      <formula>"En cours"</formula>
    </cfRule>
  </conditionalFormatting>
  <conditionalFormatting sqref="AK143">
    <cfRule type="cellIs" dxfId="2405" priority="49859" stopIfTrue="1" operator="equal">
      <formula>"En cours"</formula>
    </cfRule>
  </conditionalFormatting>
  <conditionalFormatting sqref="AK143">
    <cfRule type="cellIs" dxfId="2404" priority="49860" stopIfTrue="1" operator="notEqual">
      <formula>"En cours"</formula>
    </cfRule>
  </conditionalFormatting>
  <conditionalFormatting sqref="AJ166">
    <cfRule type="cellIs" dxfId="2403" priority="49861" stopIfTrue="1" operator="equal">
      <formula>"En cours"</formula>
    </cfRule>
  </conditionalFormatting>
  <conditionalFormatting sqref="AJ166">
    <cfRule type="cellIs" dxfId="2402" priority="49862" stopIfTrue="1" operator="notEqual">
      <formula>"En cours"</formula>
    </cfRule>
  </conditionalFormatting>
  <conditionalFormatting sqref="AK166">
    <cfRule type="cellIs" dxfId="2401" priority="49863" stopIfTrue="1" operator="equal">
      <formula>"En cours"</formula>
    </cfRule>
  </conditionalFormatting>
  <conditionalFormatting sqref="AK166">
    <cfRule type="cellIs" dxfId="2400" priority="49864" stopIfTrue="1" operator="notEqual">
      <formula>"En cours"</formula>
    </cfRule>
  </conditionalFormatting>
  <conditionalFormatting sqref="AJ104">
    <cfRule type="cellIs" dxfId="2399" priority="49865" stopIfTrue="1" operator="equal">
      <formula>"En cours"</formula>
    </cfRule>
  </conditionalFormatting>
  <conditionalFormatting sqref="AJ104">
    <cfRule type="cellIs" dxfId="2398" priority="49866" stopIfTrue="1" operator="notEqual">
      <formula>"En cours"</formula>
    </cfRule>
  </conditionalFormatting>
  <conditionalFormatting sqref="AK104">
    <cfRule type="cellIs" dxfId="2397" priority="49867" stopIfTrue="1" operator="equal">
      <formula>"En cours"</formula>
    </cfRule>
  </conditionalFormatting>
  <conditionalFormatting sqref="AK104">
    <cfRule type="cellIs" dxfId="2396" priority="49868" stopIfTrue="1" operator="notEqual">
      <formula>"En cours"</formula>
    </cfRule>
  </conditionalFormatting>
  <conditionalFormatting sqref="AJ109">
    <cfRule type="cellIs" dxfId="2395" priority="49873" stopIfTrue="1" operator="equal">
      <formula>"En cours"</formula>
    </cfRule>
  </conditionalFormatting>
  <conditionalFormatting sqref="AJ109">
    <cfRule type="cellIs" dxfId="2394" priority="49874" stopIfTrue="1" operator="notEqual">
      <formula>"En cours"</formula>
    </cfRule>
  </conditionalFormatting>
  <conditionalFormatting sqref="AK109">
    <cfRule type="cellIs" dxfId="2393" priority="49875" stopIfTrue="1" operator="equal">
      <formula>"En cours"</formula>
    </cfRule>
  </conditionalFormatting>
  <conditionalFormatting sqref="AK109">
    <cfRule type="cellIs" dxfId="2392" priority="49876" stopIfTrue="1" operator="notEqual">
      <formula>"En cours"</formula>
    </cfRule>
  </conditionalFormatting>
  <conditionalFormatting sqref="AJ175">
    <cfRule type="cellIs" dxfId="2391" priority="49881" stopIfTrue="1" operator="equal">
      <formula>"En cours"</formula>
    </cfRule>
  </conditionalFormatting>
  <conditionalFormatting sqref="AJ175">
    <cfRule type="cellIs" dxfId="2390" priority="49882" stopIfTrue="1" operator="notEqual">
      <formula>"En cours"</formula>
    </cfRule>
  </conditionalFormatting>
  <conditionalFormatting sqref="AK175">
    <cfRule type="cellIs" dxfId="2389" priority="49883" stopIfTrue="1" operator="equal">
      <formula>"En cours"</formula>
    </cfRule>
  </conditionalFormatting>
  <conditionalFormatting sqref="AK175">
    <cfRule type="cellIs" dxfId="2388" priority="49884" stopIfTrue="1" operator="notEqual">
      <formula>"En cours"</formula>
    </cfRule>
  </conditionalFormatting>
  <conditionalFormatting sqref="AJ121">
    <cfRule type="cellIs" dxfId="2387" priority="49885" stopIfTrue="1" operator="equal">
      <formula>"En cours"</formula>
    </cfRule>
  </conditionalFormatting>
  <conditionalFormatting sqref="AJ121">
    <cfRule type="cellIs" dxfId="2386" priority="49886" stopIfTrue="1" operator="notEqual">
      <formula>"En cours"</formula>
    </cfRule>
  </conditionalFormatting>
  <conditionalFormatting sqref="AK121">
    <cfRule type="cellIs" dxfId="2385" priority="49887" stopIfTrue="1" operator="equal">
      <formula>"En cours"</formula>
    </cfRule>
  </conditionalFormatting>
  <conditionalFormatting sqref="AK121">
    <cfRule type="cellIs" dxfId="2384" priority="49888" stopIfTrue="1" operator="notEqual">
      <formula>"En cours"</formula>
    </cfRule>
  </conditionalFormatting>
  <conditionalFormatting sqref="AJ117">
    <cfRule type="cellIs" dxfId="2383" priority="49889" stopIfTrue="1" operator="equal">
      <formula>"En cours"</formula>
    </cfRule>
  </conditionalFormatting>
  <conditionalFormatting sqref="AJ117">
    <cfRule type="cellIs" dxfId="2382" priority="49890" stopIfTrue="1" operator="notEqual">
      <formula>"En cours"</formula>
    </cfRule>
  </conditionalFormatting>
  <conditionalFormatting sqref="AK117">
    <cfRule type="cellIs" dxfId="2381" priority="49891" stopIfTrue="1" operator="equal">
      <formula>"En cours"</formula>
    </cfRule>
  </conditionalFormatting>
  <conditionalFormatting sqref="AK117">
    <cfRule type="cellIs" dxfId="2380" priority="49892" stopIfTrue="1" operator="notEqual">
      <formula>"En cours"</formula>
    </cfRule>
  </conditionalFormatting>
  <conditionalFormatting sqref="AJ113">
    <cfRule type="cellIs" dxfId="2379" priority="49893" stopIfTrue="1" operator="equal">
      <formula>"En cours"</formula>
    </cfRule>
  </conditionalFormatting>
  <conditionalFormatting sqref="AJ113">
    <cfRule type="cellIs" dxfId="2378" priority="49894" stopIfTrue="1" operator="notEqual">
      <formula>"En cours"</formula>
    </cfRule>
  </conditionalFormatting>
  <conditionalFormatting sqref="AK113">
    <cfRule type="cellIs" dxfId="2377" priority="49895" stopIfTrue="1" operator="equal">
      <formula>"En cours"</formula>
    </cfRule>
  </conditionalFormatting>
  <conditionalFormatting sqref="AK113">
    <cfRule type="cellIs" dxfId="2376" priority="49896" stopIfTrue="1" operator="notEqual">
      <formula>"En cours"</formula>
    </cfRule>
  </conditionalFormatting>
  <conditionalFormatting sqref="AJ155">
    <cfRule type="cellIs" dxfId="2375" priority="49909" stopIfTrue="1" operator="equal">
      <formula>"En cours"</formula>
    </cfRule>
  </conditionalFormatting>
  <conditionalFormatting sqref="AJ155">
    <cfRule type="cellIs" dxfId="2374" priority="49910" stopIfTrue="1" operator="notEqual">
      <formula>"En cours"</formula>
    </cfRule>
  </conditionalFormatting>
  <conditionalFormatting sqref="AK155">
    <cfRule type="cellIs" dxfId="2373" priority="49911" stopIfTrue="1" operator="equal">
      <formula>"En cours"</formula>
    </cfRule>
  </conditionalFormatting>
  <conditionalFormatting sqref="AK155">
    <cfRule type="cellIs" dxfId="2372" priority="49912" stopIfTrue="1" operator="notEqual">
      <formula>"En cours"</formula>
    </cfRule>
  </conditionalFormatting>
  <conditionalFormatting sqref="AJ137">
    <cfRule type="cellIs" dxfId="2371" priority="49913" stopIfTrue="1" operator="equal">
      <formula>"En cours"</formula>
    </cfRule>
  </conditionalFormatting>
  <conditionalFormatting sqref="AJ137">
    <cfRule type="cellIs" dxfId="2370" priority="49914" stopIfTrue="1" operator="notEqual">
      <formula>"En cours"</formula>
    </cfRule>
  </conditionalFormatting>
  <conditionalFormatting sqref="AK137">
    <cfRule type="cellIs" dxfId="2369" priority="49915" stopIfTrue="1" operator="equal">
      <formula>"En cours"</formula>
    </cfRule>
  </conditionalFormatting>
  <conditionalFormatting sqref="AK137">
    <cfRule type="cellIs" dxfId="2368" priority="49916" stopIfTrue="1" operator="notEqual">
      <formula>"En cours"</formula>
    </cfRule>
  </conditionalFormatting>
  <conditionalFormatting sqref="AJ131">
    <cfRule type="cellIs" dxfId="2367" priority="49921" stopIfTrue="1" operator="equal">
      <formula>"En cours"</formula>
    </cfRule>
  </conditionalFormatting>
  <conditionalFormatting sqref="AJ131">
    <cfRule type="cellIs" dxfId="2366" priority="49922" stopIfTrue="1" operator="notEqual">
      <formula>"En cours"</formula>
    </cfRule>
  </conditionalFormatting>
  <conditionalFormatting sqref="AK131">
    <cfRule type="cellIs" dxfId="2365" priority="49923" stopIfTrue="1" operator="equal">
      <formula>"En cours"</formula>
    </cfRule>
  </conditionalFormatting>
  <conditionalFormatting sqref="AK131">
    <cfRule type="cellIs" dxfId="2364" priority="49924" stopIfTrue="1" operator="notEqual">
      <formula>"En cours"</formula>
    </cfRule>
  </conditionalFormatting>
  <conditionalFormatting sqref="AJ105">
    <cfRule type="cellIs" dxfId="2363" priority="49925" stopIfTrue="1" operator="equal">
      <formula>"En cours"</formula>
    </cfRule>
  </conditionalFormatting>
  <conditionalFormatting sqref="AJ105">
    <cfRule type="cellIs" dxfId="2362" priority="49926" stopIfTrue="1" operator="notEqual">
      <formula>"En cours"</formula>
    </cfRule>
  </conditionalFormatting>
  <conditionalFormatting sqref="AK105">
    <cfRule type="cellIs" dxfId="2361" priority="49927" stopIfTrue="1" operator="equal">
      <formula>"En cours"</formula>
    </cfRule>
  </conditionalFormatting>
  <conditionalFormatting sqref="AK105">
    <cfRule type="cellIs" dxfId="2360" priority="49928" stopIfTrue="1" operator="notEqual">
      <formula>"En cours"</formula>
    </cfRule>
  </conditionalFormatting>
  <conditionalFormatting sqref="AJ160">
    <cfRule type="cellIs" dxfId="2359" priority="49929" stopIfTrue="1" operator="equal">
      <formula>"En cours"</formula>
    </cfRule>
  </conditionalFormatting>
  <conditionalFormatting sqref="AJ160">
    <cfRule type="cellIs" dxfId="2358" priority="49930" stopIfTrue="1" operator="notEqual">
      <formula>"En cours"</formula>
    </cfRule>
  </conditionalFormatting>
  <conditionalFormatting sqref="AK160">
    <cfRule type="cellIs" dxfId="2357" priority="49931" stopIfTrue="1" operator="equal">
      <formula>"En cours"</formula>
    </cfRule>
  </conditionalFormatting>
  <conditionalFormatting sqref="AK160">
    <cfRule type="cellIs" dxfId="2356" priority="49932" stopIfTrue="1" operator="notEqual">
      <formula>"En cours"</formula>
    </cfRule>
  </conditionalFormatting>
  <conditionalFormatting sqref="AJ69">
    <cfRule type="cellIs" dxfId="2355" priority="52585" stopIfTrue="1" operator="equal">
      <formula>"En cours"</formula>
    </cfRule>
  </conditionalFormatting>
  <conditionalFormatting sqref="AJ69">
    <cfRule type="cellIs" dxfId="2354" priority="52586" stopIfTrue="1" operator="notEqual">
      <formula>"En cours"</formula>
    </cfRule>
  </conditionalFormatting>
  <conditionalFormatting sqref="AK69">
    <cfRule type="cellIs" dxfId="2353" priority="52587" stopIfTrue="1" operator="equal">
      <formula>"En cours"</formula>
    </cfRule>
  </conditionalFormatting>
  <conditionalFormatting sqref="AK69">
    <cfRule type="cellIs" dxfId="2352" priority="52588" stopIfTrue="1" operator="notEqual">
      <formula>"En cours"</formula>
    </cfRule>
  </conditionalFormatting>
  <conditionalFormatting sqref="AJ71">
    <cfRule type="cellIs" dxfId="2351" priority="52593" stopIfTrue="1" operator="equal">
      <formula>"En cours"</formula>
    </cfRule>
  </conditionalFormatting>
  <conditionalFormatting sqref="AJ71">
    <cfRule type="cellIs" dxfId="2350" priority="52594" stopIfTrue="1" operator="notEqual">
      <formula>"En cours"</formula>
    </cfRule>
  </conditionalFormatting>
  <conditionalFormatting sqref="AK71">
    <cfRule type="cellIs" dxfId="2349" priority="52595" stopIfTrue="1" operator="equal">
      <formula>"En cours"</formula>
    </cfRule>
  </conditionalFormatting>
  <conditionalFormatting sqref="AK71">
    <cfRule type="cellIs" dxfId="2348" priority="52596" stopIfTrue="1" operator="notEqual">
      <formula>"En cours"</formula>
    </cfRule>
  </conditionalFormatting>
  <conditionalFormatting sqref="AJ73">
    <cfRule type="cellIs" dxfId="2347" priority="52601" stopIfTrue="1" operator="equal">
      <formula>"En cours"</formula>
    </cfRule>
  </conditionalFormatting>
  <conditionalFormatting sqref="AJ73">
    <cfRule type="cellIs" dxfId="2346" priority="52602" stopIfTrue="1" operator="notEqual">
      <formula>"En cours"</formula>
    </cfRule>
  </conditionalFormatting>
  <conditionalFormatting sqref="AK73">
    <cfRule type="cellIs" dxfId="2345" priority="52603" stopIfTrue="1" operator="equal">
      <formula>"En cours"</formula>
    </cfRule>
  </conditionalFormatting>
  <conditionalFormatting sqref="AK73">
    <cfRule type="cellIs" dxfId="2344" priority="52604" stopIfTrue="1" operator="notEqual">
      <formula>"En cours"</formula>
    </cfRule>
  </conditionalFormatting>
  <conditionalFormatting sqref="AJ74">
    <cfRule type="cellIs" dxfId="2343" priority="52605" stopIfTrue="1" operator="equal">
      <formula>"En cours"</formula>
    </cfRule>
  </conditionalFormatting>
  <conditionalFormatting sqref="AJ74">
    <cfRule type="cellIs" dxfId="2342" priority="52606" stopIfTrue="1" operator="notEqual">
      <formula>"En cours"</formula>
    </cfRule>
  </conditionalFormatting>
  <conditionalFormatting sqref="AK74">
    <cfRule type="cellIs" dxfId="2341" priority="52607" stopIfTrue="1" operator="equal">
      <formula>"En cours"</formula>
    </cfRule>
  </conditionalFormatting>
  <conditionalFormatting sqref="AK74">
    <cfRule type="cellIs" dxfId="2340" priority="52608" stopIfTrue="1" operator="notEqual">
      <formula>"En cours"</formula>
    </cfRule>
  </conditionalFormatting>
  <conditionalFormatting sqref="AJ76">
    <cfRule type="cellIs" dxfId="2339" priority="52609" stopIfTrue="1" operator="equal">
      <formula>"En cours"</formula>
    </cfRule>
  </conditionalFormatting>
  <conditionalFormatting sqref="AJ76">
    <cfRule type="cellIs" dxfId="2338" priority="52610" stopIfTrue="1" operator="notEqual">
      <formula>"En cours"</formula>
    </cfRule>
  </conditionalFormatting>
  <conditionalFormatting sqref="AK76">
    <cfRule type="cellIs" dxfId="2337" priority="52611" stopIfTrue="1" operator="equal">
      <formula>"En cours"</formula>
    </cfRule>
  </conditionalFormatting>
  <conditionalFormatting sqref="AK76">
    <cfRule type="cellIs" dxfId="2336" priority="52612" stopIfTrue="1" operator="notEqual">
      <formula>"En cours"</formula>
    </cfRule>
  </conditionalFormatting>
  <conditionalFormatting sqref="AJ68">
    <cfRule type="cellIs" dxfId="2335" priority="52621" stopIfTrue="1" operator="equal">
      <formula>"En cours"</formula>
    </cfRule>
  </conditionalFormatting>
  <conditionalFormatting sqref="AJ68">
    <cfRule type="cellIs" dxfId="2334" priority="52622" stopIfTrue="1" operator="notEqual">
      <formula>"En cours"</formula>
    </cfRule>
  </conditionalFormatting>
  <conditionalFormatting sqref="AK68">
    <cfRule type="cellIs" dxfId="2333" priority="52623" stopIfTrue="1" operator="equal">
      <formula>"En cours"</formula>
    </cfRule>
  </conditionalFormatting>
  <conditionalFormatting sqref="AK68">
    <cfRule type="cellIs" dxfId="2332" priority="52624" stopIfTrue="1" operator="notEqual">
      <formula>"En cours"</formula>
    </cfRule>
  </conditionalFormatting>
  <conditionalFormatting sqref="AJ77">
    <cfRule type="cellIs" dxfId="2331" priority="52625" stopIfTrue="1" operator="equal">
      <formula>"En cours"</formula>
    </cfRule>
  </conditionalFormatting>
  <conditionalFormatting sqref="AJ77">
    <cfRule type="cellIs" dxfId="2330" priority="52626" stopIfTrue="1" operator="notEqual">
      <formula>"En cours"</formula>
    </cfRule>
  </conditionalFormatting>
  <conditionalFormatting sqref="AK77">
    <cfRule type="cellIs" dxfId="2329" priority="52627" stopIfTrue="1" operator="equal">
      <formula>"En cours"</formula>
    </cfRule>
  </conditionalFormatting>
  <conditionalFormatting sqref="AK77">
    <cfRule type="cellIs" dxfId="2328" priority="52628" stopIfTrue="1" operator="notEqual">
      <formula>"En cours"</formula>
    </cfRule>
  </conditionalFormatting>
  <conditionalFormatting sqref="AJ78">
    <cfRule type="cellIs" dxfId="2327" priority="52629" stopIfTrue="1" operator="equal">
      <formula>"En cours"</formula>
    </cfRule>
  </conditionalFormatting>
  <conditionalFormatting sqref="AJ78">
    <cfRule type="cellIs" dxfId="2326" priority="52630" stopIfTrue="1" operator="notEqual">
      <formula>"En cours"</formula>
    </cfRule>
  </conditionalFormatting>
  <conditionalFormatting sqref="AK78">
    <cfRule type="cellIs" dxfId="2325" priority="52631" stopIfTrue="1" operator="equal">
      <formula>"En cours"</formula>
    </cfRule>
  </conditionalFormatting>
  <conditionalFormatting sqref="AK78">
    <cfRule type="cellIs" dxfId="2324" priority="52632" stopIfTrue="1" operator="notEqual">
      <formula>"En cours"</formula>
    </cfRule>
  </conditionalFormatting>
  <conditionalFormatting sqref="AJ79">
    <cfRule type="cellIs" dxfId="2323" priority="52633" stopIfTrue="1" operator="equal">
      <formula>"En cours"</formula>
    </cfRule>
  </conditionalFormatting>
  <conditionalFormatting sqref="AJ79">
    <cfRule type="cellIs" dxfId="2322" priority="52634" stopIfTrue="1" operator="notEqual">
      <formula>"En cours"</formula>
    </cfRule>
  </conditionalFormatting>
  <conditionalFormatting sqref="AK79">
    <cfRule type="cellIs" dxfId="2321" priority="52635" stopIfTrue="1" operator="equal">
      <formula>"En cours"</formula>
    </cfRule>
  </conditionalFormatting>
  <conditionalFormatting sqref="AK79">
    <cfRule type="cellIs" dxfId="2320" priority="52636" stopIfTrue="1" operator="notEqual">
      <formula>"En cours"</formula>
    </cfRule>
  </conditionalFormatting>
  <conditionalFormatting sqref="AJ82">
    <cfRule type="cellIs" dxfId="2319" priority="52637" stopIfTrue="1" operator="equal">
      <formula>"En cours"</formula>
    </cfRule>
  </conditionalFormatting>
  <conditionalFormatting sqref="AJ82">
    <cfRule type="cellIs" dxfId="2318" priority="52638" stopIfTrue="1" operator="notEqual">
      <formula>"En cours"</formula>
    </cfRule>
  </conditionalFormatting>
  <conditionalFormatting sqref="AK82">
    <cfRule type="cellIs" dxfId="2317" priority="52639" stopIfTrue="1" operator="equal">
      <formula>"En cours"</formula>
    </cfRule>
  </conditionalFormatting>
  <conditionalFormatting sqref="AK82">
    <cfRule type="cellIs" dxfId="2316" priority="52640" stopIfTrue="1" operator="notEqual">
      <formula>"En cours"</formula>
    </cfRule>
  </conditionalFormatting>
  <conditionalFormatting sqref="AJ86">
    <cfRule type="cellIs" dxfId="2315" priority="52641" stopIfTrue="1" operator="equal">
      <formula>"En cours"</formula>
    </cfRule>
  </conditionalFormatting>
  <conditionalFormatting sqref="AJ86">
    <cfRule type="cellIs" dxfId="2314" priority="52642" stopIfTrue="1" operator="notEqual">
      <formula>"En cours"</formula>
    </cfRule>
  </conditionalFormatting>
  <conditionalFormatting sqref="AK86">
    <cfRule type="cellIs" dxfId="2313" priority="52643" stopIfTrue="1" operator="equal">
      <formula>"En cours"</formula>
    </cfRule>
  </conditionalFormatting>
  <conditionalFormatting sqref="AK86">
    <cfRule type="cellIs" dxfId="2312" priority="52644" stopIfTrue="1" operator="notEqual">
      <formula>"En cours"</formula>
    </cfRule>
  </conditionalFormatting>
  <conditionalFormatting sqref="AJ81">
    <cfRule type="cellIs" dxfId="2311" priority="52649" stopIfTrue="1" operator="equal">
      <formula>"En cours"</formula>
    </cfRule>
  </conditionalFormatting>
  <conditionalFormatting sqref="AJ81">
    <cfRule type="cellIs" dxfId="2310" priority="52650" stopIfTrue="1" operator="notEqual">
      <formula>"En cours"</formula>
    </cfRule>
  </conditionalFormatting>
  <conditionalFormatting sqref="AK81">
    <cfRule type="cellIs" dxfId="2309" priority="52651" stopIfTrue="1" operator="equal">
      <formula>"En cours"</formula>
    </cfRule>
  </conditionalFormatting>
  <conditionalFormatting sqref="AK81">
    <cfRule type="cellIs" dxfId="2308" priority="52652" stopIfTrue="1" operator="notEqual">
      <formula>"En cours"</formula>
    </cfRule>
  </conditionalFormatting>
  <conditionalFormatting sqref="AJ75">
    <cfRule type="cellIs" dxfId="2307" priority="52653" stopIfTrue="1" operator="equal">
      <formula>"En cours"</formula>
    </cfRule>
  </conditionalFormatting>
  <conditionalFormatting sqref="AJ75">
    <cfRule type="cellIs" dxfId="2306" priority="52654" stopIfTrue="1" operator="notEqual">
      <formula>"En cours"</formula>
    </cfRule>
  </conditionalFormatting>
  <conditionalFormatting sqref="AK75">
    <cfRule type="cellIs" dxfId="2305" priority="52655" stopIfTrue="1" operator="equal">
      <formula>"En cours"</formula>
    </cfRule>
  </conditionalFormatting>
  <conditionalFormatting sqref="AK75">
    <cfRule type="cellIs" dxfId="2304" priority="52656" stopIfTrue="1" operator="notEqual">
      <formula>"En cours"</formula>
    </cfRule>
  </conditionalFormatting>
  <conditionalFormatting sqref="AJ90">
    <cfRule type="cellIs" dxfId="2303" priority="52657" stopIfTrue="1" operator="equal">
      <formula>"En cours"</formula>
    </cfRule>
  </conditionalFormatting>
  <conditionalFormatting sqref="AJ90">
    <cfRule type="cellIs" dxfId="2302" priority="52658" stopIfTrue="1" operator="notEqual">
      <formula>"En cours"</formula>
    </cfRule>
  </conditionalFormatting>
  <conditionalFormatting sqref="AK90">
    <cfRule type="cellIs" dxfId="2301" priority="52659" stopIfTrue="1" operator="equal">
      <formula>"En cours"</formula>
    </cfRule>
  </conditionalFormatting>
  <conditionalFormatting sqref="AK90">
    <cfRule type="cellIs" dxfId="2300" priority="52660" stopIfTrue="1" operator="notEqual">
      <formula>"En cours"</formula>
    </cfRule>
  </conditionalFormatting>
  <conditionalFormatting sqref="AJ70">
    <cfRule type="cellIs" dxfId="2299" priority="52661" stopIfTrue="1" operator="equal">
      <formula>"En cours"</formula>
    </cfRule>
  </conditionalFormatting>
  <conditionalFormatting sqref="AJ70">
    <cfRule type="cellIs" dxfId="2298" priority="52662" stopIfTrue="1" operator="notEqual">
      <formula>"En cours"</formula>
    </cfRule>
  </conditionalFormatting>
  <conditionalFormatting sqref="AK70">
    <cfRule type="cellIs" dxfId="2297" priority="52663" stopIfTrue="1" operator="equal">
      <formula>"En cours"</formula>
    </cfRule>
  </conditionalFormatting>
  <conditionalFormatting sqref="AK70">
    <cfRule type="cellIs" dxfId="2296" priority="52664" stopIfTrue="1" operator="notEqual">
      <formula>"En cours"</formula>
    </cfRule>
  </conditionalFormatting>
  <conditionalFormatting sqref="AJ93">
    <cfRule type="cellIs" dxfId="2295" priority="52665" stopIfTrue="1" operator="equal">
      <formula>"En cours"</formula>
    </cfRule>
    <cfRule type="cellIs" dxfId="2294" priority="52666" stopIfTrue="1" operator="notEqual">
      <formula>"En cours"</formula>
    </cfRule>
  </conditionalFormatting>
  <conditionalFormatting sqref="AK93">
    <cfRule type="cellIs" dxfId="2293" priority="52667" stopIfTrue="1" operator="equal">
      <formula>"En cours"</formula>
    </cfRule>
    <cfRule type="cellIs" dxfId="2292" priority="52668" stopIfTrue="1" operator="notEqual">
      <formula>"En cours"</formula>
    </cfRule>
  </conditionalFormatting>
  <conditionalFormatting sqref="AJ96">
    <cfRule type="cellIs" dxfId="2291" priority="52669" stopIfTrue="1" operator="equal">
      <formula>"En cours"</formula>
    </cfRule>
    <cfRule type="cellIs" dxfId="2290" priority="52670" stopIfTrue="1" operator="notEqual">
      <formula>"En cours"</formula>
    </cfRule>
  </conditionalFormatting>
  <conditionalFormatting sqref="AK96">
    <cfRule type="cellIs" dxfId="2289" priority="52671" stopIfTrue="1" operator="equal">
      <formula>"En cours"</formula>
    </cfRule>
    <cfRule type="cellIs" dxfId="2288" priority="52672" stopIfTrue="1" operator="notEqual">
      <formula>"En cours"</formula>
    </cfRule>
  </conditionalFormatting>
  <conditionalFormatting sqref="AJ80">
    <cfRule type="cellIs" dxfId="2287" priority="52673" stopIfTrue="1" operator="equal">
      <formula>"En cours"</formula>
    </cfRule>
  </conditionalFormatting>
  <conditionalFormatting sqref="AJ80">
    <cfRule type="cellIs" dxfId="2286" priority="52674" stopIfTrue="1" operator="notEqual">
      <formula>"En cours"</formula>
    </cfRule>
  </conditionalFormatting>
  <conditionalFormatting sqref="AK80">
    <cfRule type="cellIs" dxfId="2285" priority="52675" stopIfTrue="1" operator="equal">
      <formula>"En cours"</formula>
    </cfRule>
  </conditionalFormatting>
  <conditionalFormatting sqref="AK80">
    <cfRule type="cellIs" dxfId="2284" priority="52676" stopIfTrue="1" operator="notEqual">
      <formula>"En cours"</formula>
    </cfRule>
  </conditionalFormatting>
  <conditionalFormatting sqref="AJ97">
    <cfRule type="cellIs" dxfId="2283" priority="52677" stopIfTrue="1" operator="equal">
      <formula>"En cours"</formula>
    </cfRule>
  </conditionalFormatting>
  <conditionalFormatting sqref="AJ97">
    <cfRule type="cellIs" dxfId="2282" priority="52678" stopIfTrue="1" operator="notEqual">
      <formula>"En cours"</formula>
    </cfRule>
  </conditionalFormatting>
  <conditionalFormatting sqref="AK97">
    <cfRule type="cellIs" dxfId="2281" priority="52679" stopIfTrue="1" operator="equal">
      <formula>"En cours"</formula>
    </cfRule>
  </conditionalFormatting>
  <conditionalFormatting sqref="AK97">
    <cfRule type="cellIs" dxfId="2280" priority="52680" stopIfTrue="1" operator="notEqual">
      <formula>"En cours"</formula>
    </cfRule>
  </conditionalFormatting>
  <conditionalFormatting sqref="AJ83">
    <cfRule type="cellIs" dxfId="2279" priority="52681" stopIfTrue="1" operator="equal">
      <formula>"En cours"</formula>
    </cfRule>
  </conditionalFormatting>
  <conditionalFormatting sqref="AJ83">
    <cfRule type="cellIs" dxfId="2278" priority="52682" stopIfTrue="1" operator="notEqual">
      <formula>"En cours"</formula>
    </cfRule>
  </conditionalFormatting>
  <conditionalFormatting sqref="AK83">
    <cfRule type="cellIs" dxfId="2277" priority="52683" stopIfTrue="1" operator="equal">
      <formula>"En cours"</formula>
    </cfRule>
  </conditionalFormatting>
  <conditionalFormatting sqref="AK83">
    <cfRule type="cellIs" dxfId="2276" priority="52684" stopIfTrue="1" operator="notEqual">
      <formula>"En cours"</formula>
    </cfRule>
  </conditionalFormatting>
  <conditionalFormatting sqref="AJ100">
    <cfRule type="cellIs" dxfId="2275" priority="52685" stopIfTrue="1" operator="equal">
      <formula>"En cours"</formula>
    </cfRule>
  </conditionalFormatting>
  <conditionalFormatting sqref="AJ100">
    <cfRule type="cellIs" dxfId="2274" priority="52686" stopIfTrue="1" operator="notEqual">
      <formula>"En cours"</formula>
    </cfRule>
  </conditionalFormatting>
  <conditionalFormatting sqref="AK100">
    <cfRule type="cellIs" dxfId="2273" priority="52687" stopIfTrue="1" operator="equal">
      <formula>"En cours"</formula>
    </cfRule>
  </conditionalFormatting>
  <conditionalFormatting sqref="AK100">
    <cfRule type="cellIs" dxfId="2272" priority="52688" stopIfTrue="1" operator="notEqual">
      <formula>"En cours"</formula>
    </cfRule>
  </conditionalFormatting>
  <conditionalFormatting sqref="AJ72">
    <cfRule type="cellIs" dxfId="2271" priority="52689" stopIfTrue="1" operator="equal">
      <formula>"En cours"</formula>
    </cfRule>
  </conditionalFormatting>
  <conditionalFormatting sqref="AJ72">
    <cfRule type="cellIs" dxfId="2270" priority="52690" stopIfTrue="1" operator="notEqual">
      <formula>"En cours"</formula>
    </cfRule>
  </conditionalFormatting>
  <conditionalFormatting sqref="AK72">
    <cfRule type="cellIs" dxfId="2269" priority="52691" stopIfTrue="1" operator="equal">
      <formula>"En cours"</formula>
    </cfRule>
  </conditionalFormatting>
  <conditionalFormatting sqref="AK72">
    <cfRule type="cellIs" dxfId="2268" priority="52692" stopIfTrue="1" operator="notEqual">
      <formula>"En cours"</formula>
    </cfRule>
  </conditionalFormatting>
  <conditionalFormatting sqref="AJ87">
    <cfRule type="cellIs" dxfId="2267" priority="52693" stopIfTrue="1" operator="equal">
      <formula>"En cours"</formula>
    </cfRule>
  </conditionalFormatting>
  <conditionalFormatting sqref="AJ87">
    <cfRule type="cellIs" dxfId="2266" priority="52694" stopIfTrue="1" operator="notEqual">
      <formula>"En cours"</formula>
    </cfRule>
  </conditionalFormatting>
  <conditionalFormatting sqref="AK87">
    <cfRule type="cellIs" dxfId="2265" priority="52695" stopIfTrue="1" operator="equal">
      <formula>"En cours"</formula>
    </cfRule>
  </conditionalFormatting>
  <conditionalFormatting sqref="AK87">
    <cfRule type="cellIs" dxfId="2264" priority="52696" stopIfTrue="1" operator="notEqual">
      <formula>"En cours"</formula>
    </cfRule>
  </conditionalFormatting>
  <conditionalFormatting sqref="AJ101">
    <cfRule type="cellIs" dxfId="2263" priority="52697" stopIfTrue="1" operator="equal">
      <formula>"En cours"</formula>
    </cfRule>
  </conditionalFormatting>
  <conditionalFormatting sqref="AJ101">
    <cfRule type="cellIs" dxfId="2262" priority="52698" stopIfTrue="1" operator="notEqual">
      <formula>"En cours"</formula>
    </cfRule>
  </conditionalFormatting>
  <conditionalFormatting sqref="AK101">
    <cfRule type="cellIs" dxfId="2261" priority="52699" stopIfTrue="1" operator="equal">
      <formula>"En cours"</formula>
    </cfRule>
  </conditionalFormatting>
  <conditionalFormatting sqref="AK101">
    <cfRule type="cellIs" dxfId="2260" priority="52700" stopIfTrue="1" operator="notEqual">
      <formula>"En cours"</formula>
    </cfRule>
  </conditionalFormatting>
  <conditionalFormatting sqref="AJ89">
    <cfRule type="cellIs" dxfId="2259" priority="52701" stopIfTrue="1" operator="equal">
      <formula>"En cours"</formula>
    </cfRule>
  </conditionalFormatting>
  <conditionalFormatting sqref="AJ89">
    <cfRule type="cellIs" dxfId="2258" priority="52702" stopIfTrue="1" operator="notEqual">
      <formula>"En cours"</formula>
    </cfRule>
  </conditionalFormatting>
  <conditionalFormatting sqref="AK89">
    <cfRule type="cellIs" dxfId="2257" priority="52703" stopIfTrue="1" operator="equal">
      <formula>"En cours"</formula>
    </cfRule>
  </conditionalFormatting>
  <conditionalFormatting sqref="AK89">
    <cfRule type="cellIs" dxfId="2256" priority="52704" stopIfTrue="1" operator="notEqual">
      <formula>"En cours"</formula>
    </cfRule>
  </conditionalFormatting>
  <conditionalFormatting sqref="AJ98">
    <cfRule type="cellIs" dxfId="2255" priority="52705" stopIfTrue="1" operator="equal">
      <formula>"En cours"</formula>
    </cfRule>
  </conditionalFormatting>
  <conditionalFormatting sqref="AJ98">
    <cfRule type="cellIs" dxfId="2254" priority="52706" stopIfTrue="1" operator="notEqual">
      <formula>"En cours"</formula>
    </cfRule>
  </conditionalFormatting>
  <conditionalFormatting sqref="AK98">
    <cfRule type="cellIs" dxfId="2253" priority="52707" stopIfTrue="1" operator="equal">
      <formula>"En cours"</formula>
    </cfRule>
  </conditionalFormatting>
  <conditionalFormatting sqref="AK98">
    <cfRule type="cellIs" dxfId="2252" priority="52708" stopIfTrue="1" operator="notEqual">
      <formula>"En cours"</formula>
    </cfRule>
  </conditionalFormatting>
  <conditionalFormatting sqref="AJ91">
    <cfRule type="cellIs" dxfId="2251" priority="52709" stopIfTrue="1" operator="equal">
      <formula>"En cours"</formula>
    </cfRule>
  </conditionalFormatting>
  <conditionalFormatting sqref="AJ91">
    <cfRule type="cellIs" dxfId="2250" priority="52710" stopIfTrue="1" operator="notEqual">
      <formula>"En cours"</formula>
    </cfRule>
  </conditionalFormatting>
  <conditionalFormatting sqref="AK91">
    <cfRule type="cellIs" dxfId="2249" priority="52711" stopIfTrue="1" operator="equal">
      <formula>"En cours"</formula>
    </cfRule>
  </conditionalFormatting>
  <conditionalFormatting sqref="AK91">
    <cfRule type="cellIs" dxfId="2248" priority="52712" stopIfTrue="1" operator="notEqual">
      <formula>"En cours"</formula>
    </cfRule>
  </conditionalFormatting>
  <conditionalFormatting sqref="AJ92">
    <cfRule type="cellIs" dxfId="2247" priority="52713" stopIfTrue="1" operator="equal">
      <formula>"En cours"</formula>
    </cfRule>
  </conditionalFormatting>
  <conditionalFormatting sqref="AJ92">
    <cfRule type="cellIs" dxfId="2246" priority="52714" stopIfTrue="1" operator="notEqual">
      <formula>"En cours"</formula>
    </cfRule>
  </conditionalFormatting>
  <conditionalFormatting sqref="AK92">
    <cfRule type="cellIs" dxfId="2245" priority="52715" stopIfTrue="1" operator="equal">
      <formula>"En cours"</formula>
    </cfRule>
  </conditionalFormatting>
  <conditionalFormatting sqref="AK92">
    <cfRule type="cellIs" dxfId="2244" priority="52716" stopIfTrue="1" operator="notEqual">
      <formula>"En cours"</formula>
    </cfRule>
  </conditionalFormatting>
  <conditionalFormatting sqref="AJ84">
    <cfRule type="cellIs" dxfId="2243" priority="52717" stopIfTrue="1" operator="equal">
      <formula>"En cours"</formula>
    </cfRule>
  </conditionalFormatting>
  <conditionalFormatting sqref="AJ84">
    <cfRule type="cellIs" dxfId="2242" priority="52718" stopIfTrue="1" operator="notEqual">
      <formula>"En cours"</formula>
    </cfRule>
  </conditionalFormatting>
  <conditionalFormatting sqref="AK84">
    <cfRule type="cellIs" dxfId="2241" priority="52719" stopIfTrue="1" operator="equal">
      <formula>"En cours"</formula>
    </cfRule>
  </conditionalFormatting>
  <conditionalFormatting sqref="AK84">
    <cfRule type="cellIs" dxfId="2240" priority="52720" stopIfTrue="1" operator="notEqual">
      <formula>"En cours"</formula>
    </cfRule>
  </conditionalFormatting>
  <conditionalFormatting sqref="AJ99">
    <cfRule type="cellIs" dxfId="2239" priority="52721" stopIfTrue="1" operator="equal">
      <formula>"En cours"</formula>
    </cfRule>
  </conditionalFormatting>
  <conditionalFormatting sqref="AJ99">
    <cfRule type="cellIs" dxfId="2238" priority="52722" stopIfTrue="1" operator="notEqual">
      <formula>"En cours"</formula>
    </cfRule>
  </conditionalFormatting>
  <conditionalFormatting sqref="AK99">
    <cfRule type="cellIs" dxfId="2237" priority="52723" stopIfTrue="1" operator="equal">
      <formula>"En cours"</formula>
    </cfRule>
  </conditionalFormatting>
  <conditionalFormatting sqref="AK99">
    <cfRule type="cellIs" dxfId="2236" priority="52724" stopIfTrue="1" operator="notEqual">
      <formula>"En cours"</formula>
    </cfRule>
  </conditionalFormatting>
  <conditionalFormatting sqref="AJ95">
    <cfRule type="cellIs" dxfId="2235" priority="52725" stopIfTrue="1" operator="equal">
      <formula>"En cours"</formula>
    </cfRule>
    <cfRule type="cellIs" dxfId="2234" priority="52726" stopIfTrue="1" operator="notEqual">
      <formula>"En cours"</formula>
    </cfRule>
  </conditionalFormatting>
  <conditionalFormatting sqref="AK95">
    <cfRule type="cellIs" dxfId="2233" priority="52727" stopIfTrue="1" operator="equal">
      <formula>"En cours"</formula>
    </cfRule>
    <cfRule type="cellIs" dxfId="2232" priority="52728" stopIfTrue="1" operator="notEqual">
      <formula>"En cours"</formula>
    </cfRule>
  </conditionalFormatting>
  <conditionalFormatting sqref="AJ102">
    <cfRule type="cellIs" dxfId="2231" priority="52729" stopIfTrue="1" operator="equal">
      <formula>"En cours"</formula>
    </cfRule>
  </conditionalFormatting>
  <conditionalFormatting sqref="AJ102">
    <cfRule type="cellIs" dxfId="2230" priority="52730" stopIfTrue="1" operator="notEqual">
      <formula>"En cours"</formula>
    </cfRule>
  </conditionalFormatting>
  <conditionalFormatting sqref="AK102">
    <cfRule type="cellIs" dxfId="2229" priority="52731" stopIfTrue="1" operator="equal">
      <formula>"En cours"</formula>
    </cfRule>
  </conditionalFormatting>
  <conditionalFormatting sqref="AK102">
    <cfRule type="cellIs" dxfId="2228" priority="52732" stopIfTrue="1" operator="notEqual">
      <formula>"En cours"</formula>
    </cfRule>
  </conditionalFormatting>
  <conditionalFormatting sqref="AJ103">
    <cfRule type="cellIs" dxfId="2227" priority="52733" stopIfTrue="1" operator="equal">
      <formula>"En cours"</formula>
    </cfRule>
  </conditionalFormatting>
  <conditionalFormatting sqref="AJ103">
    <cfRule type="cellIs" dxfId="2226" priority="52734" stopIfTrue="1" operator="notEqual">
      <formula>"En cours"</formula>
    </cfRule>
  </conditionalFormatting>
  <conditionalFormatting sqref="AK103">
    <cfRule type="cellIs" dxfId="2225" priority="52735" stopIfTrue="1" operator="equal">
      <formula>"En cours"</formula>
    </cfRule>
  </conditionalFormatting>
  <conditionalFormatting sqref="AK103">
    <cfRule type="cellIs" dxfId="2224" priority="52736" stopIfTrue="1" operator="notEqual">
      <formula>"En cours"</formula>
    </cfRule>
  </conditionalFormatting>
  <conditionalFormatting sqref="AJ85">
    <cfRule type="cellIs" dxfId="2223" priority="52737" stopIfTrue="1" operator="equal">
      <formula>"En cours"</formula>
    </cfRule>
  </conditionalFormatting>
  <conditionalFormatting sqref="AJ85">
    <cfRule type="cellIs" dxfId="2222" priority="52738" stopIfTrue="1" operator="notEqual">
      <formula>"En cours"</formula>
    </cfRule>
  </conditionalFormatting>
  <conditionalFormatting sqref="AK85">
    <cfRule type="cellIs" dxfId="2221" priority="52739" stopIfTrue="1" operator="equal">
      <formula>"En cours"</formula>
    </cfRule>
  </conditionalFormatting>
  <conditionalFormatting sqref="AK85">
    <cfRule type="cellIs" dxfId="2220" priority="52740" stopIfTrue="1" operator="notEqual">
      <formula>"En cours"</formula>
    </cfRule>
  </conditionalFormatting>
  <conditionalFormatting sqref="AJ94">
    <cfRule type="cellIs" dxfId="2219" priority="52741" stopIfTrue="1" operator="equal">
      <formula>"En cours"</formula>
    </cfRule>
    <cfRule type="cellIs" dxfId="2218" priority="52742" stopIfTrue="1" operator="notEqual">
      <formula>"En cours"</formula>
    </cfRule>
  </conditionalFormatting>
  <conditionalFormatting sqref="AK94">
    <cfRule type="cellIs" dxfId="2217" priority="52743" stopIfTrue="1" operator="equal">
      <formula>"En cours"</formula>
    </cfRule>
    <cfRule type="cellIs" dxfId="2216" priority="52744" stopIfTrue="1" operator="notEqual">
      <formula>"En cours"</formula>
    </cfRule>
  </conditionalFormatting>
  <conditionalFormatting sqref="AJ88">
    <cfRule type="cellIs" dxfId="2215" priority="52745" stopIfTrue="1" operator="equal">
      <formula>"En cours"</formula>
    </cfRule>
  </conditionalFormatting>
  <conditionalFormatting sqref="AJ88">
    <cfRule type="cellIs" dxfId="2214" priority="52746" stopIfTrue="1" operator="notEqual">
      <formula>"En cours"</formula>
    </cfRule>
  </conditionalFormatting>
  <conditionalFormatting sqref="AK88">
    <cfRule type="cellIs" dxfId="2213" priority="52747" stopIfTrue="1" operator="equal">
      <formula>"En cours"</formula>
    </cfRule>
  </conditionalFormatting>
  <conditionalFormatting sqref="AK88">
    <cfRule type="cellIs" dxfId="2212" priority="52748" stopIfTrue="1" operator="notEqual">
      <formula>"En cours"</formula>
    </cfRule>
  </conditionalFormatting>
  <conditionalFormatting sqref="AJ43">
    <cfRule type="cellIs" dxfId="2211" priority="52905" stopIfTrue="1" operator="equal">
      <formula>"En cours"</formula>
    </cfRule>
  </conditionalFormatting>
  <conditionalFormatting sqref="AJ43">
    <cfRule type="cellIs" dxfId="2210" priority="52906" stopIfTrue="1" operator="notEqual">
      <formula>"En cours"</formula>
    </cfRule>
  </conditionalFormatting>
  <conditionalFormatting sqref="AK43">
    <cfRule type="cellIs" dxfId="2209" priority="52907" stopIfTrue="1" operator="equal">
      <formula>"En cours"</formula>
    </cfRule>
  </conditionalFormatting>
  <conditionalFormatting sqref="AK43">
    <cfRule type="cellIs" dxfId="2208" priority="52908" stopIfTrue="1" operator="notEqual">
      <formula>"En cours"</formula>
    </cfRule>
  </conditionalFormatting>
  <conditionalFormatting sqref="AJ44">
    <cfRule type="cellIs" dxfId="2207" priority="52909" stopIfTrue="1" operator="equal">
      <formula>"En cours"</formula>
    </cfRule>
  </conditionalFormatting>
  <conditionalFormatting sqref="AJ44">
    <cfRule type="cellIs" dxfId="2206" priority="52910" stopIfTrue="1" operator="notEqual">
      <formula>"En cours"</formula>
    </cfRule>
  </conditionalFormatting>
  <conditionalFormatting sqref="AK44">
    <cfRule type="cellIs" dxfId="2205" priority="52911" stopIfTrue="1" operator="equal">
      <formula>"En cours"</formula>
    </cfRule>
  </conditionalFormatting>
  <conditionalFormatting sqref="AK44">
    <cfRule type="cellIs" dxfId="2204" priority="52912" stopIfTrue="1" operator="notEqual">
      <formula>"En cours"</formula>
    </cfRule>
  </conditionalFormatting>
  <conditionalFormatting sqref="AJ45">
    <cfRule type="cellIs" dxfId="2203" priority="52913" stopIfTrue="1" operator="equal">
      <formula>"En cours"</formula>
    </cfRule>
  </conditionalFormatting>
  <conditionalFormatting sqref="AJ45">
    <cfRule type="cellIs" dxfId="2202" priority="52914" stopIfTrue="1" operator="notEqual">
      <formula>"En cours"</formula>
    </cfRule>
  </conditionalFormatting>
  <conditionalFormatting sqref="AK45">
    <cfRule type="cellIs" dxfId="2201" priority="52915" stopIfTrue="1" operator="equal">
      <formula>"En cours"</formula>
    </cfRule>
  </conditionalFormatting>
  <conditionalFormatting sqref="AK45">
    <cfRule type="cellIs" dxfId="2200" priority="52916" stopIfTrue="1" operator="notEqual">
      <formula>"En cours"</formula>
    </cfRule>
  </conditionalFormatting>
  <conditionalFormatting sqref="AJ46">
    <cfRule type="cellIs" dxfId="2199" priority="52917" stopIfTrue="1" operator="equal">
      <formula>"En cours"</formula>
    </cfRule>
  </conditionalFormatting>
  <conditionalFormatting sqref="AJ46">
    <cfRule type="cellIs" dxfId="2198" priority="52918" stopIfTrue="1" operator="notEqual">
      <formula>"En cours"</formula>
    </cfRule>
  </conditionalFormatting>
  <conditionalFormatting sqref="AK46">
    <cfRule type="cellIs" dxfId="2197" priority="52919" stopIfTrue="1" operator="equal">
      <formula>"En cours"</formula>
    </cfRule>
  </conditionalFormatting>
  <conditionalFormatting sqref="AK46">
    <cfRule type="cellIs" dxfId="2196" priority="52920" stopIfTrue="1" operator="notEqual">
      <formula>"En cours"</formula>
    </cfRule>
  </conditionalFormatting>
  <conditionalFormatting sqref="AJ47">
    <cfRule type="cellIs" dxfId="2195" priority="52921" stopIfTrue="1" operator="equal">
      <formula>"En cours"</formula>
    </cfRule>
  </conditionalFormatting>
  <conditionalFormatting sqref="AJ47">
    <cfRule type="cellIs" dxfId="2194" priority="52922" stopIfTrue="1" operator="notEqual">
      <formula>"En cours"</formula>
    </cfRule>
  </conditionalFormatting>
  <conditionalFormatting sqref="AK47">
    <cfRule type="cellIs" dxfId="2193" priority="52923" stopIfTrue="1" operator="equal">
      <formula>"En cours"</formula>
    </cfRule>
  </conditionalFormatting>
  <conditionalFormatting sqref="AK47">
    <cfRule type="cellIs" dxfId="2192" priority="52924" stopIfTrue="1" operator="notEqual">
      <formula>"En cours"</formula>
    </cfRule>
  </conditionalFormatting>
  <conditionalFormatting sqref="AJ48">
    <cfRule type="cellIs" dxfId="2191" priority="52925" stopIfTrue="1" operator="equal">
      <formula>"En cours"</formula>
    </cfRule>
  </conditionalFormatting>
  <conditionalFormatting sqref="AJ48">
    <cfRule type="cellIs" dxfId="2190" priority="52926" stopIfTrue="1" operator="notEqual">
      <formula>"En cours"</formula>
    </cfRule>
  </conditionalFormatting>
  <conditionalFormatting sqref="AK48">
    <cfRule type="cellIs" dxfId="2189" priority="52927" stopIfTrue="1" operator="equal">
      <formula>"En cours"</formula>
    </cfRule>
  </conditionalFormatting>
  <conditionalFormatting sqref="AK48">
    <cfRule type="cellIs" dxfId="2188" priority="52928" stopIfTrue="1" operator="notEqual">
      <formula>"En cours"</formula>
    </cfRule>
  </conditionalFormatting>
  <conditionalFormatting sqref="AJ49">
    <cfRule type="cellIs" dxfId="2187" priority="52929" stopIfTrue="1" operator="equal">
      <formula>"En cours"</formula>
    </cfRule>
  </conditionalFormatting>
  <conditionalFormatting sqref="AJ49">
    <cfRule type="cellIs" dxfId="2186" priority="52930" stopIfTrue="1" operator="notEqual">
      <formula>"En cours"</formula>
    </cfRule>
  </conditionalFormatting>
  <conditionalFormatting sqref="AK49">
    <cfRule type="cellIs" dxfId="2185" priority="52931" stopIfTrue="1" operator="equal">
      <formula>"En cours"</formula>
    </cfRule>
  </conditionalFormatting>
  <conditionalFormatting sqref="AK49">
    <cfRule type="cellIs" dxfId="2184" priority="52932" stopIfTrue="1" operator="notEqual">
      <formula>"En cours"</formula>
    </cfRule>
  </conditionalFormatting>
  <conditionalFormatting sqref="AJ50">
    <cfRule type="cellIs" dxfId="2183" priority="52933" stopIfTrue="1" operator="equal">
      <formula>"En cours"</formula>
    </cfRule>
  </conditionalFormatting>
  <conditionalFormatting sqref="AJ50">
    <cfRule type="cellIs" dxfId="2182" priority="52934" stopIfTrue="1" operator="notEqual">
      <formula>"En cours"</formula>
    </cfRule>
  </conditionalFormatting>
  <conditionalFormatting sqref="AK50">
    <cfRule type="cellIs" dxfId="2181" priority="52935" stopIfTrue="1" operator="equal">
      <formula>"En cours"</formula>
    </cfRule>
  </conditionalFormatting>
  <conditionalFormatting sqref="AK50">
    <cfRule type="cellIs" dxfId="2180" priority="52936" stopIfTrue="1" operator="notEqual">
      <formula>"En cours"</formula>
    </cfRule>
  </conditionalFormatting>
  <conditionalFormatting sqref="AJ51">
    <cfRule type="cellIs" dxfId="2179" priority="52937" stopIfTrue="1" operator="equal">
      <formula>"En cours"</formula>
    </cfRule>
  </conditionalFormatting>
  <conditionalFormatting sqref="AJ51">
    <cfRule type="cellIs" dxfId="2178" priority="52938" stopIfTrue="1" operator="notEqual">
      <formula>"En cours"</formula>
    </cfRule>
  </conditionalFormatting>
  <conditionalFormatting sqref="AK51">
    <cfRule type="cellIs" dxfId="2177" priority="52939" stopIfTrue="1" operator="equal">
      <formula>"En cours"</formula>
    </cfRule>
  </conditionalFormatting>
  <conditionalFormatting sqref="AK51">
    <cfRule type="cellIs" dxfId="2176" priority="52940" stopIfTrue="1" operator="notEqual">
      <formula>"En cours"</formula>
    </cfRule>
  </conditionalFormatting>
  <conditionalFormatting sqref="AJ52">
    <cfRule type="cellIs" dxfId="2175" priority="52941" stopIfTrue="1" operator="equal">
      <formula>"En cours"</formula>
    </cfRule>
  </conditionalFormatting>
  <conditionalFormatting sqref="AJ52">
    <cfRule type="cellIs" dxfId="2174" priority="52942" stopIfTrue="1" operator="notEqual">
      <formula>"En cours"</formula>
    </cfRule>
  </conditionalFormatting>
  <conditionalFormatting sqref="AK52">
    <cfRule type="cellIs" dxfId="2173" priority="52943" stopIfTrue="1" operator="equal">
      <formula>"En cours"</formula>
    </cfRule>
  </conditionalFormatting>
  <conditionalFormatting sqref="AK52">
    <cfRule type="cellIs" dxfId="2172" priority="52944" stopIfTrue="1" operator="notEqual">
      <formula>"En cours"</formula>
    </cfRule>
  </conditionalFormatting>
  <conditionalFormatting sqref="AJ53">
    <cfRule type="cellIs" dxfId="2171" priority="52945" stopIfTrue="1" operator="equal">
      <formula>"En cours"</formula>
    </cfRule>
  </conditionalFormatting>
  <conditionalFormatting sqref="AJ53">
    <cfRule type="cellIs" dxfId="2170" priority="52946" stopIfTrue="1" operator="notEqual">
      <formula>"En cours"</formula>
    </cfRule>
  </conditionalFormatting>
  <conditionalFormatting sqref="AK53">
    <cfRule type="cellIs" dxfId="2169" priority="52947" stopIfTrue="1" operator="equal">
      <formula>"En cours"</formula>
    </cfRule>
  </conditionalFormatting>
  <conditionalFormatting sqref="AK53">
    <cfRule type="cellIs" dxfId="2168" priority="52948" stopIfTrue="1" operator="notEqual">
      <formula>"En cours"</formula>
    </cfRule>
  </conditionalFormatting>
  <conditionalFormatting sqref="AJ54">
    <cfRule type="cellIs" dxfId="2167" priority="52949" stopIfTrue="1" operator="equal">
      <formula>"En cours"</formula>
    </cfRule>
  </conditionalFormatting>
  <conditionalFormatting sqref="AJ54">
    <cfRule type="cellIs" dxfId="2166" priority="52950" stopIfTrue="1" operator="notEqual">
      <formula>"En cours"</formula>
    </cfRule>
  </conditionalFormatting>
  <conditionalFormatting sqref="AK54">
    <cfRule type="cellIs" dxfId="2165" priority="52951" stopIfTrue="1" operator="equal">
      <formula>"En cours"</formula>
    </cfRule>
  </conditionalFormatting>
  <conditionalFormatting sqref="AK54">
    <cfRule type="cellIs" dxfId="2164" priority="52952" stopIfTrue="1" operator="notEqual">
      <formula>"En cours"</formula>
    </cfRule>
  </conditionalFormatting>
  <conditionalFormatting sqref="AJ55">
    <cfRule type="cellIs" dxfId="2163" priority="52953" stopIfTrue="1" operator="equal">
      <formula>"En cours"</formula>
    </cfRule>
  </conditionalFormatting>
  <conditionalFormatting sqref="AJ55">
    <cfRule type="cellIs" dxfId="2162" priority="52954" stopIfTrue="1" operator="notEqual">
      <formula>"En cours"</formula>
    </cfRule>
  </conditionalFormatting>
  <conditionalFormatting sqref="AK55">
    <cfRule type="cellIs" dxfId="2161" priority="52955" stopIfTrue="1" operator="equal">
      <formula>"En cours"</formula>
    </cfRule>
  </conditionalFormatting>
  <conditionalFormatting sqref="AK55">
    <cfRule type="cellIs" dxfId="2160" priority="52956" stopIfTrue="1" operator="notEqual">
      <formula>"En cours"</formula>
    </cfRule>
  </conditionalFormatting>
  <conditionalFormatting sqref="AJ56">
    <cfRule type="cellIs" dxfId="2159" priority="52957" stopIfTrue="1" operator="equal">
      <formula>"En cours"</formula>
    </cfRule>
  </conditionalFormatting>
  <conditionalFormatting sqref="AJ56">
    <cfRule type="cellIs" dxfId="2158" priority="52958" stopIfTrue="1" operator="notEqual">
      <formula>"En cours"</formula>
    </cfRule>
  </conditionalFormatting>
  <conditionalFormatting sqref="AK56">
    <cfRule type="cellIs" dxfId="2157" priority="52959" stopIfTrue="1" operator="equal">
      <formula>"En cours"</formula>
    </cfRule>
  </conditionalFormatting>
  <conditionalFormatting sqref="AK56">
    <cfRule type="cellIs" dxfId="2156" priority="52960" stopIfTrue="1" operator="notEqual">
      <formula>"En cours"</formula>
    </cfRule>
  </conditionalFormatting>
  <conditionalFormatting sqref="AJ57">
    <cfRule type="cellIs" dxfId="2155" priority="52961" stopIfTrue="1" operator="equal">
      <formula>"En cours"</formula>
    </cfRule>
  </conditionalFormatting>
  <conditionalFormatting sqref="AJ57">
    <cfRule type="cellIs" dxfId="2154" priority="52962" stopIfTrue="1" operator="notEqual">
      <formula>"En cours"</formula>
    </cfRule>
  </conditionalFormatting>
  <conditionalFormatting sqref="AK57">
    <cfRule type="cellIs" dxfId="2153" priority="52963" stopIfTrue="1" operator="equal">
      <formula>"En cours"</formula>
    </cfRule>
  </conditionalFormatting>
  <conditionalFormatting sqref="AK57">
    <cfRule type="cellIs" dxfId="2152" priority="52964" stopIfTrue="1" operator="notEqual">
      <formula>"En cours"</formula>
    </cfRule>
  </conditionalFormatting>
  <conditionalFormatting sqref="AJ58">
    <cfRule type="cellIs" dxfId="2151" priority="52965" stopIfTrue="1" operator="equal">
      <formula>"En cours"</formula>
    </cfRule>
  </conditionalFormatting>
  <conditionalFormatting sqref="AJ58">
    <cfRule type="cellIs" dxfId="2150" priority="52966" stopIfTrue="1" operator="notEqual">
      <formula>"En cours"</formula>
    </cfRule>
  </conditionalFormatting>
  <conditionalFormatting sqref="AK58">
    <cfRule type="cellIs" dxfId="2149" priority="52967" stopIfTrue="1" operator="equal">
      <formula>"En cours"</formula>
    </cfRule>
  </conditionalFormatting>
  <conditionalFormatting sqref="AK58">
    <cfRule type="cellIs" dxfId="2148" priority="52968" stopIfTrue="1" operator="notEqual">
      <formula>"En cours"</formula>
    </cfRule>
  </conditionalFormatting>
  <conditionalFormatting sqref="AJ59">
    <cfRule type="cellIs" dxfId="2147" priority="52969" stopIfTrue="1" operator="equal">
      <formula>"En cours"</formula>
    </cfRule>
  </conditionalFormatting>
  <conditionalFormatting sqref="AJ59">
    <cfRule type="cellIs" dxfId="2146" priority="52970" stopIfTrue="1" operator="notEqual">
      <formula>"En cours"</formula>
    </cfRule>
  </conditionalFormatting>
  <conditionalFormatting sqref="AK59">
    <cfRule type="cellIs" dxfId="2145" priority="52971" stopIfTrue="1" operator="equal">
      <formula>"En cours"</formula>
    </cfRule>
  </conditionalFormatting>
  <conditionalFormatting sqref="AK59">
    <cfRule type="cellIs" dxfId="2144" priority="52972" stopIfTrue="1" operator="notEqual">
      <formula>"En cours"</formula>
    </cfRule>
  </conditionalFormatting>
  <conditionalFormatting sqref="AJ60">
    <cfRule type="cellIs" dxfId="2143" priority="52973" stopIfTrue="1" operator="equal">
      <formula>"En cours"</formula>
    </cfRule>
  </conditionalFormatting>
  <conditionalFormatting sqref="AJ60">
    <cfRule type="cellIs" dxfId="2142" priority="52974" stopIfTrue="1" operator="notEqual">
      <formula>"En cours"</formula>
    </cfRule>
  </conditionalFormatting>
  <conditionalFormatting sqref="AK60">
    <cfRule type="cellIs" dxfId="2141" priority="52975" stopIfTrue="1" operator="equal">
      <formula>"En cours"</formula>
    </cfRule>
  </conditionalFormatting>
  <conditionalFormatting sqref="AK60">
    <cfRule type="cellIs" dxfId="2140" priority="52976" stopIfTrue="1" operator="notEqual">
      <formula>"En cours"</formula>
    </cfRule>
  </conditionalFormatting>
  <conditionalFormatting sqref="AJ61">
    <cfRule type="cellIs" dxfId="2139" priority="52977" stopIfTrue="1" operator="equal">
      <formula>"En cours"</formula>
    </cfRule>
  </conditionalFormatting>
  <conditionalFormatting sqref="AJ61">
    <cfRule type="cellIs" dxfId="2138" priority="52978" stopIfTrue="1" operator="notEqual">
      <formula>"En cours"</formula>
    </cfRule>
  </conditionalFormatting>
  <conditionalFormatting sqref="AK61">
    <cfRule type="cellIs" dxfId="2137" priority="52979" stopIfTrue="1" operator="equal">
      <formula>"En cours"</formula>
    </cfRule>
  </conditionalFormatting>
  <conditionalFormatting sqref="AK61">
    <cfRule type="cellIs" dxfId="2136" priority="52980" stopIfTrue="1" operator="notEqual">
      <formula>"En cours"</formula>
    </cfRule>
  </conditionalFormatting>
  <conditionalFormatting sqref="AJ62">
    <cfRule type="cellIs" dxfId="2135" priority="52981" stopIfTrue="1" operator="equal">
      <formula>"En cours"</formula>
    </cfRule>
  </conditionalFormatting>
  <conditionalFormatting sqref="AJ62">
    <cfRule type="cellIs" dxfId="2134" priority="52982" stopIfTrue="1" operator="notEqual">
      <formula>"En cours"</formula>
    </cfRule>
  </conditionalFormatting>
  <conditionalFormatting sqref="AK62">
    <cfRule type="cellIs" dxfId="2133" priority="52983" stopIfTrue="1" operator="equal">
      <formula>"En cours"</formula>
    </cfRule>
  </conditionalFormatting>
  <conditionalFormatting sqref="AK62">
    <cfRule type="cellIs" dxfId="2132" priority="52984" stopIfTrue="1" operator="notEqual">
      <formula>"En cours"</formula>
    </cfRule>
  </conditionalFormatting>
  <conditionalFormatting sqref="AJ63">
    <cfRule type="cellIs" dxfId="2131" priority="52985" stopIfTrue="1" operator="equal">
      <formula>"En cours"</formula>
    </cfRule>
  </conditionalFormatting>
  <conditionalFormatting sqref="AJ63">
    <cfRule type="cellIs" dxfId="2130" priority="52986" stopIfTrue="1" operator="notEqual">
      <formula>"En cours"</formula>
    </cfRule>
  </conditionalFormatting>
  <conditionalFormatting sqref="AK63">
    <cfRule type="cellIs" dxfId="2129" priority="52987" stopIfTrue="1" operator="equal">
      <formula>"En cours"</formula>
    </cfRule>
  </conditionalFormatting>
  <conditionalFormatting sqref="AK63">
    <cfRule type="cellIs" dxfId="2128" priority="52988" stopIfTrue="1" operator="notEqual">
      <formula>"En cours"</formula>
    </cfRule>
  </conditionalFormatting>
  <conditionalFormatting sqref="AJ64">
    <cfRule type="cellIs" dxfId="2127" priority="52989" stopIfTrue="1" operator="equal">
      <formula>"En cours"</formula>
    </cfRule>
  </conditionalFormatting>
  <conditionalFormatting sqref="AJ64">
    <cfRule type="cellIs" dxfId="2126" priority="52990" stopIfTrue="1" operator="notEqual">
      <formula>"En cours"</formula>
    </cfRule>
  </conditionalFormatting>
  <conditionalFormatting sqref="AK64">
    <cfRule type="cellIs" dxfId="2125" priority="52991" stopIfTrue="1" operator="equal">
      <formula>"En cours"</formula>
    </cfRule>
  </conditionalFormatting>
  <conditionalFormatting sqref="AK64">
    <cfRule type="cellIs" dxfId="2124" priority="52992" stopIfTrue="1" operator="notEqual">
      <formula>"En cours"</formula>
    </cfRule>
  </conditionalFormatting>
  <conditionalFormatting sqref="AJ65">
    <cfRule type="cellIs" dxfId="2123" priority="52993" stopIfTrue="1" operator="equal">
      <formula>"En cours"</formula>
    </cfRule>
  </conditionalFormatting>
  <conditionalFormatting sqref="AJ65">
    <cfRule type="cellIs" dxfId="2122" priority="52994" stopIfTrue="1" operator="notEqual">
      <formula>"En cours"</formula>
    </cfRule>
  </conditionalFormatting>
  <conditionalFormatting sqref="AK65">
    <cfRule type="cellIs" dxfId="2121" priority="52995" stopIfTrue="1" operator="equal">
      <formula>"En cours"</formula>
    </cfRule>
  </conditionalFormatting>
  <conditionalFormatting sqref="AK65">
    <cfRule type="cellIs" dxfId="2120" priority="52996" stopIfTrue="1" operator="notEqual">
      <formula>"En cours"</formula>
    </cfRule>
  </conditionalFormatting>
  <conditionalFormatting sqref="AJ66">
    <cfRule type="cellIs" dxfId="2119" priority="52997" stopIfTrue="1" operator="equal">
      <formula>"En cours"</formula>
    </cfRule>
  </conditionalFormatting>
  <conditionalFormatting sqref="AJ66">
    <cfRule type="cellIs" dxfId="2118" priority="52998" stopIfTrue="1" operator="notEqual">
      <formula>"En cours"</formula>
    </cfRule>
  </conditionalFormatting>
  <conditionalFormatting sqref="AK66">
    <cfRule type="cellIs" dxfId="2117" priority="52999" stopIfTrue="1" operator="equal">
      <formula>"En cours"</formula>
    </cfRule>
  </conditionalFormatting>
  <conditionalFormatting sqref="AK66">
    <cfRule type="cellIs" dxfId="2116" priority="53000" stopIfTrue="1" operator="notEqual">
      <formula>"En cours"</formula>
    </cfRule>
  </conditionalFormatting>
  <conditionalFormatting sqref="AJ67">
    <cfRule type="cellIs" dxfId="2115" priority="53001" stopIfTrue="1" operator="equal">
      <formula>"En cours"</formula>
    </cfRule>
  </conditionalFormatting>
  <conditionalFormatting sqref="AJ67">
    <cfRule type="cellIs" dxfId="2114" priority="53002" stopIfTrue="1" operator="notEqual">
      <formula>"En cours"</formula>
    </cfRule>
  </conditionalFormatting>
  <conditionalFormatting sqref="AK67">
    <cfRule type="cellIs" dxfId="2113" priority="53003" stopIfTrue="1" operator="equal">
      <formula>"En cours"</formula>
    </cfRule>
  </conditionalFormatting>
  <conditionalFormatting sqref="AK67">
    <cfRule type="cellIs" dxfId="2112" priority="53004" stopIfTrue="1" operator="notEqual">
      <formula>"En cours"</formula>
    </cfRule>
  </conditionalFormatting>
  <conditionalFormatting sqref="AJ22">
    <cfRule type="cellIs" dxfId="2111" priority="55145" stopIfTrue="1" operator="equal">
      <formula>"En cours"</formula>
    </cfRule>
  </conditionalFormatting>
  <conditionalFormatting sqref="AJ22">
    <cfRule type="cellIs" dxfId="2110" priority="55146" stopIfTrue="1" operator="notEqual">
      <formula>"En cours"</formula>
    </cfRule>
  </conditionalFormatting>
  <conditionalFormatting sqref="AK22">
    <cfRule type="cellIs" dxfId="2109" priority="55147" stopIfTrue="1" operator="equal">
      <formula>"En cours"</formula>
    </cfRule>
  </conditionalFormatting>
  <conditionalFormatting sqref="AK22">
    <cfRule type="cellIs" dxfId="2108" priority="55148" stopIfTrue="1" operator="notEqual">
      <formula>"En cours"</formula>
    </cfRule>
  </conditionalFormatting>
  <conditionalFormatting sqref="AJ23">
    <cfRule type="cellIs" dxfId="2107" priority="55153" stopIfTrue="1" operator="equal">
      <formula>"En cours"</formula>
    </cfRule>
  </conditionalFormatting>
  <conditionalFormatting sqref="AJ23">
    <cfRule type="cellIs" dxfId="2106" priority="55154" stopIfTrue="1" operator="notEqual">
      <formula>"En cours"</formula>
    </cfRule>
  </conditionalFormatting>
  <conditionalFormatting sqref="AK23">
    <cfRule type="cellIs" dxfId="2105" priority="55155" stopIfTrue="1" operator="equal">
      <formula>"En cours"</formula>
    </cfRule>
  </conditionalFormatting>
  <conditionalFormatting sqref="AK23">
    <cfRule type="cellIs" dxfId="2104" priority="55156" stopIfTrue="1" operator="notEqual">
      <formula>"En cours"</formula>
    </cfRule>
  </conditionalFormatting>
  <conditionalFormatting sqref="AJ21">
    <cfRule type="cellIs" dxfId="2103" priority="55157" stopIfTrue="1" operator="equal">
      <formula>"En cours"</formula>
    </cfRule>
  </conditionalFormatting>
  <conditionalFormatting sqref="AJ21">
    <cfRule type="cellIs" dxfId="2102" priority="55158" stopIfTrue="1" operator="notEqual">
      <formula>"En cours"</formula>
    </cfRule>
  </conditionalFormatting>
  <conditionalFormatting sqref="AK21">
    <cfRule type="cellIs" dxfId="2101" priority="55159" stopIfTrue="1" operator="equal">
      <formula>"En cours"</formula>
    </cfRule>
  </conditionalFormatting>
  <conditionalFormatting sqref="AK21">
    <cfRule type="cellIs" dxfId="2100" priority="55160" stopIfTrue="1" operator="notEqual">
      <formula>"En cours"</formula>
    </cfRule>
  </conditionalFormatting>
  <conditionalFormatting sqref="AJ27">
    <cfRule type="cellIs" dxfId="2099" priority="55161" stopIfTrue="1" operator="equal">
      <formula>"En cours"</formula>
    </cfRule>
  </conditionalFormatting>
  <conditionalFormatting sqref="AJ27">
    <cfRule type="cellIs" dxfId="2098" priority="55162" stopIfTrue="1" operator="notEqual">
      <formula>"En cours"</formula>
    </cfRule>
  </conditionalFormatting>
  <conditionalFormatting sqref="AK27">
    <cfRule type="cellIs" dxfId="2097" priority="55163" stopIfTrue="1" operator="equal">
      <formula>"En cours"</formula>
    </cfRule>
  </conditionalFormatting>
  <conditionalFormatting sqref="AK27">
    <cfRule type="cellIs" dxfId="2096" priority="55164" stopIfTrue="1" operator="notEqual">
      <formula>"En cours"</formula>
    </cfRule>
  </conditionalFormatting>
  <conditionalFormatting sqref="AJ26">
    <cfRule type="cellIs" dxfId="2095" priority="55165" stopIfTrue="1" operator="equal">
      <formula>"En cours"</formula>
    </cfRule>
  </conditionalFormatting>
  <conditionalFormatting sqref="AJ26">
    <cfRule type="cellIs" dxfId="2094" priority="55166" stopIfTrue="1" operator="notEqual">
      <formula>"En cours"</formula>
    </cfRule>
  </conditionalFormatting>
  <conditionalFormatting sqref="AK26">
    <cfRule type="cellIs" dxfId="2093" priority="55167" stopIfTrue="1" operator="equal">
      <formula>"En cours"</formula>
    </cfRule>
  </conditionalFormatting>
  <conditionalFormatting sqref="AK26">
    <cfRule type="cellIs" dxfId="2092" priority="55168" stopIfTrue="1" operator="notEqual">
      <formula>"En cours"</formula>
    </cfRule>
  </conditionalFormatting>
  <conditionalFormatting sqref="AJ24">
    <cfRule type="cellIs" dxfId="2091" priority="55169" stopIfTrue="1" operator="equal">
      <formula>"En cours"</formula>
    </cfRule>
  </conditionalFormatting>
  <conditionalFormatting sqref="AJ24">
    <cfRule type="cellIs" dxfId="2090" priority="55170" stopIfTrue="1" operator="notEqual">
      <formula>"En cours"</formula>
    </cfRule>
  </conditionalFormatting>
  <conditionalFormatting sqref="AK24">
    <cfRule type="cellIs" dxfId="2089" priority="55171" stopIfTrue="1" operator="equal">
      <formula>"En cours"</formula>
    </cfRule>
  </conditionalFormatting>
  <conditionalFormatting sqref="AK24">
    <cfRule type="cellIs" dxfId="2088" priority="55172" stopIfTrue="1" operator="notEqual">
      <formula>"En cours"</formula>
    </cfRule>
  </conditionalFormatting>
  <conditionalFormatting sqref="AJ28">
    <cfRule type="cellIs" dxfId="2087" priority="55173" stopIfTrue="1" operator="equal">
      <formula>"En cours"</formula>
    </cfRule>
  </conditionalFormatting>
  <conditionalFormatting sqref="AJ28">
    <cfRule type="cellIs" dxfId="2086" priority="55174" stopIfTrue="1" operator="notEqual">
      <formula>"En cours"</formula>
    </cfRule>
  </conditionalFormatting>
  <conditionalFormatting sqref="AK28">
    <cfRule type="cellIs" dxfId="2085" priority="55175" stopIfTrue="1" operator="equal">
      <formula>"En cours"</formula>
    </cfRule>
  </conditionalFormatting>
  <conditionalFormatting sqref="AK28">
    <cfRule type="cellIs" dxfId="2084" priority="55176" stopIfTrue="1" operator="notEqual">
      <formula>"En cours"</formula>
    </cfRule>
  </conditionalFormatting>
  <conditionalFormatting sqref="AJ25">
    <cfRule type="cellIs" dxfId="2083" priority="55177" stopIfTrue="1" operator="equal">
      <formula>"En cours"</formula>
    </cfRule>
  </conditionalFormatting>
  <conditionalFormatting sqref="AJ25">
    <cfRule type="cellIs" dxfId="2082" priority="55178" stopIfTrue="1" operator="notEqual">
      <formula>"En cours"</formula>
    </cfRule>
  </conditionalFormatting>
  <conditionalFormatting sqref="AK25">
    <cfRule type="cellIs" dxfId="2081" priority="55179" stopIfTrue="1" operator="equal">
      <formula>"En cours"</formula>
    </cfRule>
  </conditionalFormatting>
  <conditionalFormatting sqref="AK25">
    <cfRule type="cellIs" dxfId="2080" priority="55180" stopIfTrue="1" operator="notEqual">
      <formula>"En cours"</formula>
    </cfRule>
  </conditionalFormatting>
  <conditionalFormatting sqref="AJ29">
    <cfRule type="cellIs" dxfId="2079" priority="55181" stopIfTrue="1" operator="equal">
      <formula>"En cours"</formula>
    </cfRule>
  </conditionalFormatting>
  <conditionalFormatting sqref="AJ29">
    <cfRule type="cellIs" dxfId="2078" priority="55182" stopIfTrue="1" operator="notEqual">
      <formula>"En cours"</formula>
    </cfRule>
  </conditionalFormatting>
  <conditionalFormatting sqref="AK29">
    <cfRule type="cellIs" dxfId="2077" priority="55183" stopIfTrue="1" operator="equal">
      <formula>"En cours"</formula>
    </cfRule>
  </conditionalFormatting>
  <conditionalFormatting sqref="AK29">
    <cfRule type="cellIs" dxfId="2076" priority="55184" stopIfTrue="1" operator="notEqual">
      <formula>"En cours"</formula>
    </cfRule>
  </conditionalFormatting>
  <conditionalFormatting sqref="AJ30">
    <cfRule type="cellIs" dxfId="2075" priority="55185" stopIfTrue="1" operator="equal">
      <formula>"En cours"</formula>
    </cfRule>
  </conditionalFormatting>
  <conditionalFormatting sqref="AJ30">
    <cfRule type="cellIs" dxfId="2074" priority="55186" stopIfTrue="1" operator="notEqual">
      <formula>"En cours"</formula>
    </cfRule>
  </conditionalFormatting>
  <conditionalFormatting sqref="AK30">
    <cfRule type="cellIs" dxfId="2073" priority="55187" stopIfTrue="1" operator="equal">
      <formula>"En cours"</formula>
    </cfRule>
  </conditionalFormatting>
  <conditionalFormatting sqref="AK30">
    <cfRule type="cellIs" dxfId="2072" priority="55188" stopIfTrue="1" operator="notEqual">
      <formula>"En cours"</formula>
    </cfRule>
  </conditionalFormatting>
  <conditionalFormatting sqref="AJ31">
    <cfRule type="cellIs" dxfId="2071" priority="55189" stopIfTrue="1" operator="equal">
      <formula>"En cours"</formula>
    </cfRule>
  </conditionalFormatting>
  <conditionalFormatting sqref="AJ31">
    <cfRule type="cellIs" dxfId="2070" priority="55190" stopIfTrue="1" operator="notEqual">
      <formula>"En cours"</formula>
    </cfRule>
  </conditionalFormatting>
  <conditionalFormatting sqref="AK31">
    <cfRule type="cellIs" dxfId="2069" priority="55191" stopIfTrue="1" operator="equal">
      <formula>"En cours"</formula>
    </cfRule>
  </conditionalFormatting>
  <conditionalFormatting sqref="AK31">
    <cfRule type="cellIs" dxfId="2068" priority="55192" stopIfTrue="1" operator="notEqual">
      <formula>"En cours"</formula>
    </cfRule>
  </conditionalFormatting>
  <conditionalFormatting sqref="AJ32">
    <cfRule type="cellIs" dxfId="2067" priority="55193" stopIfTrue="1" operator="equal">
      <formula>"En cours"</formula>
    </cfRule>
  </conditionalFormatting>
  <conditionalFormatting sqref="AJ32">
    <cfRule type="cellIs" dxfId="2066" priority="55194" stopIfTrue="1" operator="notEqual">
      <formula>"En cours"</formula>
    </cfRule>
  </conditionalFormatting>
  <conditionalFormatting sqref="AK32">
    <cfRule type="cellIs" dxfId="2065" priority="55195" stopIfTrue="1" operator="equal">
      <formula>"En cours"</formula>
    </cfRule>
  </conditionalFormatting>
  <conditionalFormatting sqref="AK32">
    <cfRule type="cellIs" dxfId="2064" priority="55196" stopIfTrue="1" operator="notEqual">
      <formula>"En cours"</formula>
    </cfRule>
  </conditionalFormatting>
  <conditionalFormatting sqref="AJ33">
    <cfRule type="cellIs" dxfId="2063" priority="55197" stopIfTrue="1" operator="equal">
      <formula>"En cours"</formula>
    </cfRule>
  </conditionalFormatting>
  <conditionalFormatting sqref="AJ33">
    <cfRule type="cellIs" dxfId="2062" priority="55198" stopIfTrue="1" operator="notEqual">
      <formula>"En cours"</formula>
    </cfRule>
  </conditionalFormatting>
  <conditionalFormatting sqref="AK33">
    <cfRule type="cellIs" dxfId="2061" priority="55199" stopIfTrue="1" operator="equal">
      <formula>"En cours"</formula>
    </cfRule>
  </conditionalFormatting>
  <conditionalFormatting sqref="AK33">
    <cfRule type="cellIs" dxfId="2060" priority="55200" stopIfTrue="1" operator="notEqual">
      <formula>"En cours"</formula>
    </cfRule>
  </conditionalFormatting>
  <conditionalFormatting sqref="AJ35">
    <cfRule type="cellIs" dxfId="2059" priority="55201" stopIfTrue="1" operator="equal">
      <formula>"En cours"</formula>
    </cfRule>
  </conditionalFormatting>
  <conditionalFormatting sqref="AJ35">
    <cfRule type="cellIs" dxfId="2058" priority="55202" stopIfTrue="1" operator="notEqual">
      <formula>"En cours"</formula>
    </cfRule>
  </conditionalFormatting>
  <conditionalFormatting sqref="AK35">
    <cfRule type="cellIs" dxfId="2057" priority="55203" stopIfTrue="1" operator="equal">
      <formula>"En cours"</formula>
    </cfRule>
  </conditionalFormatting>
  <conditionalFormatting sqref="AK35">
    <cfRule type="cellIs" dxfId="2056" priority="55204" stopIfTrue="1" operator="notEqual">
      <formula>"En cours"</formula>
    </cfRule>
  </conditionalFormatting>
  <conditionalFormatting sqref="AJ36">
    <cfRule type="cellIs" dxfId="2055" priority="55205" stopIfTrue="1" operator="equal">
      <formula>"En cours"</formula>
    </cfRule>
  </conditionalFormatting>
  <conditionalFormatting sqref="AJ36">
    <cfRule type="cellIs" dxfId="2054" priority="55206" stopIfTrue="1" operator="notEqual">
      <formula>"En cours"</formula>
    </cfRule>
  </conditionalFormatting>
  <conditionalFormatting sqref="AK36">
    <cfRule type="cellIs" dxfId="2053" priority="55207" stopIfTrue="1" operator="equal">
      <formula>"En cours"</formula>
    </cfRule>
  </conditionalFormatting>
  <conditionalFormatting sqref="AK36">
    <cfRule type="cellIs" dxfId="2052" priority="55208" stopIfTrue="1" operator="notEqual">
      <formula>"En cours"</formula>
    </cfRule>
  </conditionalFormatting>
  <conditionalFormatting sqref="AJ38">
    <cfRule type="cellIs" dxfId="2051" priority="55209" stopIfTrue="1" operator="equal">
      <formula>"En cours"</formula>
    </cfRule>
  </conditionalFormatting>
  <conditionalFormatting sqref="AJ38">
    <cfRule type="cellIs" dxfId="2050" priority="55210" stopIfTrue="1" operator="notEqual">
      <formula>"En cours"</formula>
    </cfRule>
  </conditionalFormatting>
  <conditionalFormatting sqref="AK38">
    <cfRule type="cellIs" dxfId="2049" priority="55211" stopIfTrue="1" operator="equal">
      <formula>"En cours"</formula>
    </cfRule>
  </conditionalFormatting>
  <conditionalFormatting sqref="AK38">
    <cfRule type="cellIs" dxfId="2048" priority="55212" stopIfTrue="1" operator="notEqual">
      <formula>"En cours"</formula>
    </cfRule>
  </conditionalFormatting>
  <conditionalFormatting sqref="AJ34">
    <cfRule type="cellIs" dxfId="2047" priority="55213" stopIfTrue="1" operator="equal">
      <formula>"En cours"</formula>
    </cfRule>
  </conditionalFormatting>
  <conditionalFormatting sqref="AJ34">
    <cfRule type="cellIs" dxfId="2046" priority="55214" stopIfTrue="1" operator="notEqual">
      <formula>"En cours"</formula>
    </cfRule>
  </conditionalFormatting>
  <conditionalFormatting sqref="AK34">
    <cfRule type="cellIs" dxfId="2045" priority="55215" stopIfTrue="1" operator="equal">
      <formula>"En cours"</formula>
    </cfRule>
  </conditionalFormatting>
  <conditionalFormatting sqref="AK34">
    <cfRule type="cellIs" dxfId="2044" priority="55216" stopIfTrue="1" operator="notEqual">
      <formula>"En cours"</formula>
    </cfRule>
  </conditionalFormatting>
  <conditionalFormatting sqref="AJ37">
    <cfRule type="cellIs" dxfId="2043" priority="55217" stopIfTrue="1" operator="equal">
      <formula>"En cours"</formula>
    </cfRule>
  </conditionalFormatting>
  <conditionalFormatting sqref="AJ37">
    <cfRule type="cellIs" dxfId="2042" priority="55218" stopIfTrue="1" operator="notEqual">
      <formula>"En cours"</formula>
    </cfRule>
  </conditionalFormatting>
  <conditionalFormatting sqref="AK37">
    <cfRule type="cellIs" dxfId="2041" priority="55219" stopIfTrue="1" operator="equal">
      <formula>"En cours"</formula>
    </cfRule>
  </conditionalFormatting>
  <conditionalFormatting sqref="AK37">
    <cfRule type="cellIs" dxfId="2040" priority="55220" stopIfTrue="1" operator="notEqual">
      <formula>"En cours"</formula>
    </cfRule>
  </conditionalFormatting>
  <conditionalFormatting sqref="AJ39">
    <cfRule type="cellIs" dxfId="2039" priority="55221" stopIfTrue="1" operator="equal">
      <formula>"En cours"</formula>
    </cfRule>
  </conditionalFormatting>
  <conditionalFormatting sqref="AJ39">
    <cfRule type="cellIs" dxfId="2038" priority="55222" stopIfTrue="1" operator="notEqual">
      <formula>"En cours"</formula>
    </cfRule>
  </conditionalFormatting>
  <conditionalFormatting sqref="AK39">
    <cfRule type="cellIs" dxfId="2037" priority="55223" stopIfTrue="1" operator="equal">
      <formula>"En cours"</formula>
    </cfRule>
  </conditionalFormatting>
  <conditionalFormatting sqref="AK39">
    <cfRule type="cellIs" dxfId="2036" priority="55224" stopIfTrue="1" operator="notEqual">
      <formula>"En cours"</formula>
    </cfRule>
  </conditionalFormatting>
  <conditionalFormatting sqref="AJ40">
    <cfRule type="cellIs" dxfId="2035" priority="55225" stopIfTrue="1" operator="equal">
      <formula>"En cours"</formula>
    </cfRule>
  </conditionalFormatting>
  <conditionalFormatting sqref="AJ40">
    <cfRule type="cellIs" dxfId="2034" priority="55226" stopIfTrue="1" operator="notEqual">
      <formula>"En cours"</formula>
    </cfRule>
  </conditionalFormatting>
  <conditionalFormatting sqref="AK40">
    <cfRule type="cellIs" dxfId="2033" priority="55227" stopIfTrue="1" operator="equal">
      <formula>"En cours"</formula>
    </cfRule>
  </conditionalFormatting>
  <conditionalFormatting sqref="AK40">
    <cfRule type="cellIs" dxfId="2032" priority="55228" stopIfTrue="1" operator="notEqual">
      <formula>"En cours"</formula>
    </cfRule>
  </conditionalFormatting>
  <conditionalFormatting sqref="AJ41">
    <cfRule type="cellIs" dxfId="2031" priority="55229" stopIfTrue="1" operator="equal">
      <formula>"En cours"</formula>
    </cfRule>
  </conditionalFormatting>
  <conditionalFormatting sqref="AJ41">
    <cfRule type="cellIs" dxfId="2030" priority="55230" stopIfTrue="1" operator="notEqual">
      <formula>"En cours"</formula>
    </cfRule>
  </conditionalFormatting>
  <conditionalFormatting sqref="AK41">
    <cfRule type="cellIs" dxfId="2029" priority="55231" stopIfTrue="1" operator="equal">
      <formula>"En cours"</formula>
    </cfRule>
  </conditionalFormatting>
  <conditionalFormatting sqref="AK41">
    <cfRule type="cellIs" dxfId="2028" priority="55232" stopIfTrue="1" operator="notEqual">
      <formula>"En cours"</formula>
    </cfRule>
  </conditionalFormatting>
  <conditionalFormatting sqref="AJ42">
    <cfRule type="cellIs" dxfId="2027" priority="55233" stopIfTrue="1" operator="equal">
      <formula>"En cours"</formula>
    </cfRule>
  </conditionalFormatting>
  <conditionalFormatting sqref="AJ42">
    <cfRule type="cellIs" dxfId="2026" priority="55234" stopIfTrue="1" operator="notEqual">
      <formula>"En cours"</formula>
    </cfRule>
  </conditionalFormatting>
  <conditionalFormatting sqref="AK42">
    <cfRule type="cellIs" dxfId="2025" priority="55235" stopIfTrue="1" operator="equal">
      <formula>"En cours"</formula>
    </cfRule>
  </conditionalFormatting>
  <conditionalFormatting sqref="AK42">
    <cfRule type="cellIs" dxfId="2024" priority="55236" stopIfTrue="1" operator="notEqual">
      <formula>"En cours"</formula>
    </cfRule>
  </conditionalFormatting>
  <conditionalFormatting sqref="AJ6">
    <cfRule type="cellIs" dxfId="2023" priority="56037" stopIfTrue="1" operator="equal">
      <formula>"En cours"</formula>
    </cfRule>
  </conditionalFormatting>
  <conditionalFormatting sqref="AJ6">
    <cfRule type="cellIs" dxfId="2022" priority="56038" stopIfTrue="1" operator="notEqual">
      <formula>"En cours"</formula>
    </cfRule>
  </conditionalFormatting>
  <conditionalFormatting sqref="AK6">
    <cfRule type="cellIs" dxfId="2021" priority="56039" stopIfTrue="1" operator="equal">
      <formula>"En cours"</formula>
    </cfRule>
  </conditionalFormatting>
  <conditionalFormatting sqref="AK6">
    <cfRule type="cellIs" dxfId="2020" priority="56040" stopIfTrue="1" operator="notEqual">
      <formula>"En cours"</formula>
    </cfRule>
  </conditionalFormatting>
  <conditionalFormatting sqref="AJ7">
    <cfRule type="cellIs" dxfId="2019" priority="56045" stopIfTrue="1" operator="equal">
      <formula>"En cours"</formula>
    </cfRule>
  </conditionalFormatting>
  <conditionalFormatting sqref="AJ7">
    <cfRule type="cellIs" dxfId="2018" priority="56046" stopIfTrue="1" operator="notEqual">
      <formula>"En cours"</formula>
    </cfRule>
  </conditionalFormatting>
  <conditionalFormatting sqref="AK7">
    <cfRule type="cellIs" dxfId="2017" priority="56047" stopIfTrue="1" operator="equal">
      <formula>"En cours"</formula>
    </cfRule>
  </conditionalFormatting>
  <conditionalFormatting sqref="AK7">
    <cfRule type="cellIs" dxfId="2016" priority="56048" stopIfTrue="1" operator="notEqual">
      <formula>"En cours"</formula>
    </cfRule>
  </conditionalFormatting>
  <conditionalFormatting sqref="AJ8">
    <cfRule type="cellIs" dxfId="2015" priority="56049" stopIfTrue="1" operator="equal">
      <formula>"En cours"</formula>
    </cfRule>
  </conditionalFormatting>
  <conditionalFormatting sqref="AJ8">
    <cfRule type="cellIs" dxfId="2014" priority="56050" stopIfTrue="1" operator="notEqual">
      <formula>"En cours"</formula>
    </cfRule>
  </conditionalFormatting>
  <conditionalFormatting sqref="AK8">
    <cfRule type="cellIs" dxfId="2013" priority="56051" stopIfTrue="1" operator="equal">
      <formula>"En cours"</formula>
    </cfRule>
  </conditionalFormatting>
  <conditionalFormatting sqref="AK8">
    <cfRule type="cellIs" dxfId="2012" priority="56052" stopIfTrue="1" operator="notEqual">
      <formula>"En cours"</formula>
    </cfRule>
  </conditionalFormatting>
  <conditionalFormatting sqref="AJ9">
    <cfRule type="cellIs" dxfId="2011" priority="56053" stopIfTrue="1" operator="equal">
      <formula>"En cours"</formula>
    </cfRule>
  </conditionalFormatting>
  <conditionalFormatting sqref="AJ9">
    <cfRule type="cellIs" dxfId="2010" priority="56054" stopIfTrue="1" operator="notEqual">
      <formula>"En cours"</formula>
    </cfRule>
  </conditionalFormatting>
  <conditionalFormatting sqref="AK9">
    <cfRule type="cellIs" dxfId="2009" priority="56055" stopIfTrue="1" operator="equal">
      <formula>"En cours"</formula>
    </cfRule>
  </conditionalFormatting>
  <conditionalFormatting sqref="AK9">
    <cfRule type="cellIs" dxfId="2008" priority="56056" stopIfTrue="1" operator="notEqual">
      <formula>"En cours"</formula>
    </cfRule>
  </conditionalFormatting>
  <conditionalFormatting sqref="AJ10">
    <cfRule type="cellIs" dxfId="2007" priority="56057" stopIfTrue="1" operator="equal">
      <formula>"En cours"</formula>
    </cfRule>
  </conditionalFormatting>
  <conditionalFormatting sqref="AJ10">
    <cfRule type="cellIs" dxfId="2006" priority="56058" stopIfTrue="1" operator="notEqual">
      <formula>"En cours"</formula>
    </cfRule>
  </conditionalFormatting>
  <conditionalFormatting sqref="AK10">
    <cfRule type="cellIs" dxfId="2005" priority="56059" stopIfTrue="1" operator="equal">
      <formula>"En cours"</formula>
    </cfRule>
  </conditionalFormatting>
  <conditionalFormatting sqref="AK10">
    <cfRule type="cellIs" dxfId="2004" priority="56060" stopIfTrue="1" operator="notEqual">
      <formula>"En cours"</formula>
    </cfRule>
  </conditionalFormatting>
  <conditionalFormatting sqref="AJ11">
    <cfRule type="cellIs" dxfId="2003" priority="56061" stopIfTrue="1" operator="equal">
      <formula>"En cours"</formula>
    </cfRule>
  </conditionalFormatting>
  <conditionalFormatting sqref="AJ11">
    <cfRule type="cellIs" dxfId="2002" priority="56062" stopIfTrue="1" operator="notEqual">
      <formula>"En cours"</formula>
    </cfRule>
  </conditionalFormatting>
  <conditionalFormatting sqref="AK11">
    <cfRule type="cellIs" dxfId="2001" priority="56063" stopIfTrue="1" operator="equal">
      <formula>"En cours"</formula>
    </cfRule>
  </conditionalFormatting>
  <conditionalFormatting sqref="AK11">
    <cfRule type="cellIs" dxfId="2000" priority="56064" stopIfTrue="1" operator="notEqual">
      <formula>"En cours"</formula>
    </cfRule>
  </conditionalFormatting>
  <conditionalFormatting sqref="AJ12">
    <cfRule type="cellIs" dxfId="1999" priority="56065" stopIfTrue="1" operator="equal">
      <formula>"En cours"</formula>
    </cfRule>
  </conditionalFormatting>
  <conditionalFormatting sqref="AJ12">
    <cfRule type="cellIs" dxfId="1998" priority="56066" stopIfTrue="1" operator="notEqual">
      <formula>"En cours"</formula>
    </cfRule>
  </conditionalFormatting>
  <conditionalFormatting sqref="AK12">
    <cfRule type="cellIs" dxfId="1997" priority="56067" stopIfTrue="1" operator="equal">
      <formula>"En cours"</formula>
    </cfRule>
  </conditionalFormatting>
  <conditionalFormatting sqref="AK12">
    <cfRule type="cellIs" dxfId="1996" priority="56068" stopIfTrue="1" operator="notEqual">
      <formula>"En cours"</formula>
    </cfRule>
  </conditionalFormatting>
  <conditionalFormatting sqref="AJ14">
    <cfRule type="cellIs" dxfId="1995" priority="56069" stopIfTrue="1" operator="equal">
      <formula>"En cours"</formula>
    </cfRule>
  </conditionalFormatting>
  <conditionalFormatting sqref="AJ14">
    <cfRule type="cellIs" dxfId="1994" priority="56070" stopIfTrue="1" operator="notEqual">
      <formula>"En cours"</formula>
    </cfRule>
  </conditionalFormatting>
  <conditionalFormatting sqref="AK14">
    <cfRule type="cellIs" dxfId="1993" priority="56071" stopIfTrue="1" operator="equal">
      <formula>"En cours"</formula>
    </cfRule>
  </conditionalFormatting>
  <conditionalFormatting sqref="AK14">
    <cfRule type="cellIs" dxfId="1992" priority="56072" stopIfTrue="1" operator="notEqual">
      <formula>"En cours"</formula>
    </cfRule>
  </conditionalFormatting>
  <conditionalFormatting sqref="AJ13">
    <cfRule type="cellIs" dxfId="1991" priority="56073" stopIfTrue="1" operator="equal">
      <formula>"En cours"</formula>
    </cfRule>
  </conditionalFormatting>
  <conditionalFormatting sqref="AJ13">
    <cfRule type="cellIs" dxfId="1990" priority="56074" stopIfTrue="1" operator="notEqual">
      <formula>"En cours"</formula>
    </cfRule>
  </conditionalFormatting>
  <conditionalFormatting sqref="AK13">
    <cfRule type="cellIs" dxfId="1989" priority="56075" stopIfTrue="1" operator="equal">
      <formula>"En cours"</formula>
    </cfRule>
  </conditionalFormatting>
  <conditionalFormatting sqref="AK13">
    <cfRule type="cellIs" dxfId="1988" priority="56076" stopIfTrue="1" operator="notEqual">
      <formula>"En cours"</formula>
    </cfRule>
  </conditionalFormatting>
  <conditionalFormatting sqref="AJ16">
    <cfRule type="cellIs" dxfId="1987" priority="56077" stopIfTrue="1" operator="equal">
      <formula>"En cours"</formula>
    </cfRule>
  </conditionalFormatting>
  <conditionalFormatting sqref="AJ16">
    <cfRule type="cellIs" dxfId="1986" priority="56078" stopIfTrue="1" operator="notEqual">
      <formula>"En cours"</formula>
    </cfRule>
  </conditionalFormatting>
  <conditionalFormatting sqref="AK16">
    <cfRule type="cellIs" dxfId="1985" priority="56079" stopIfTrue="1" operator="equal">
      <formula>"En cours"</formula>
    </cfRule>
  </conditionalFormatting>
  <conditionalFormatting sqref="AK16">
    <cfRule type="cellIs" dxfId="1984" priority="56080" stopIfTrue="1" operator="notEqual">
      <formula>"En cours"</formula>
    </cfRule>
  </conditionalFormatting>
  <conditionalFormatting sqref="AJ15">
    <cfRule type="cellIs" dxfId="1983" priority="56081" stopIfTrue="1" operator="equal">
      <formula>"En cours"</formula>
    </cfRule>
  </conditionalFormatting>
  <conditionalFormatting sqref="AJ15">
    <cfRule type="cellIs" dxfId="1982" priority="56082" stopIfTrue="1" operator="notEqual">
      <formula>"En cours"</formula>
    </cfRule>
  </conditionalFormatting>
  <conditionalFormatting sqref="AK15">
    <cfRule type="cellIs" dxfId="1981" priority="56083" stopIfTrue="1" operator="equal">
      <formula>"En cours"</formula>
    </cfRule>
  </conditionalFormatting>
  <conditionalFormatting sqref="AK15">
    <cfRule type="cellIs" dxfId="1980" priority="56084" stopIfTrue="1" operator="notEqual">
      <formula>"En cours"</formula>
    </cfRule>
  </conditionalFormatting>
  <conditionalFormatting sqref="AJ19">
    <cfRule type="cellIs" dxfId="1979" priority="56085" stopIfTrue="1" operator="equal">
      <formula>"En cours"</formula>
    </cfRule>
  </conditionalFormatting>
  <conditionalFormatting sqref="AJ19">
    <cfRule type="cellIs" dxfId="1978" priority="56086" stopIfTrue="1" operator="notEqual">
      <formula>"En cours"</formula>
    </cfRule>
  </conditionalFormatting>
  <conditionalFormatting sqref="AK19">
    <cfRule type="cellIs" dxfId="1977" priority="56087" stopIfTrue="1" operator="equal">
      <formula>"En cours"</formula>
    </cfRule>
  </conditionalFormatting>
  <conditionalFormatting sqref="AK19">
    <cfRule type="cellIs" dxfId="1976" priority="56088" stopIfTrue="1" operator="notEqual">
      <formula>"En cours"</formula>
    </cfRule>
  </conditionalFormatting>
  <conditionalFormatting sqref="AJ17">
    <cfRule type="cellIs" dxfId="1975" priority="56089" stopIfTrue="1" operator="equal">
      <formula>"En cours"</formula>
    </cfRule>
  </conditionalFormatting>
  <conditionalFormatting sqref="AJ17">
    <cfRule type="cellIs" dxfId="1974" priority="56090" stopIfTrue="1" operator="notEqual">
      <formula>"En cours"</formula>
    </cfRule>
  </conditionalFormatting>
  <conditionalFormatting sqref="AK17">
    <cfRule type="cellIs" dxfId="1973" priority="56091" stopIfTrue="1" operator="equal">
      <formula>"En cours"</formula>
    </cfRule>
  </conditionalFormatting>
  <conditionalFormatting sqref="AK17">
    <cfRule type="cellIs" dxfId="1972" priority="56092" stopIfTrue="1" operator="notEqual">
      <formula>"En cours"</formula>
    </cfRule>
  </conditionalFormatting>
  <conditionalFormatting sqref="AJ20">
    <cfRule type="cellIs" dxfId="1971" priority="56093" stopIfTrue="1" operator="equal">
      <formula>"En cours"</formula>
    </cfRule>
  </conditionalFormatting>
  <conditionalFormatting sqref="AJ20">
    <cfRule type="cellIs" dxfId="1970" priority="56094" stopIfTrue="1" operator="notEqual">
      <formula>"En cours"</formula>
    </cfRule>
  </conditionalFormatting>
  <conditionalFormatting sqref="AK20">
    <cfRule type="cellIs" dxfId="1969" priority="56095" stopIfTrue="1" operator="equal">
      <formula>"En cours"</formula>
    </cfRule>
  </conditionalFormatting>
  <conditionalFormatting sqref="AK20">
    <cfRule type="cellIs" dxfId="1968" priority="56096" stopIfTrue="1" operator="notEqual">
      <formula>"En cours"</formula>
    </cfRule>
  </conditionalFormatting>
  <conditionalFormatting sqref="AJ18">
    <cfRule type="cellIs" dxfId="1967" priority="56097" stopIfTrue="1" operator="equal">
      <formula>"En cours"</formula>
    </cfRule>
  </conditionalFormatting>
  <conditionalFormatting sqref="AJ18">
    <cfRule type="cellIs" dxfId="1966" priority="56098" stopIfTrue="1" operator="notEqual">
      <formula>"En cours"</formula>
    </cfRule>
  </conditionalFormatting>
  <conditionalFormatting sqref="AK18">
    <cfRule type="cellIs" dxfId="1965" priority="56099" stopIfTrue="1" operator="equal">
      <formula>"En cours"</formula>
    </cfRule>
  </conditionalFormatting>
  <conditionalFormatting sqref="AK18">
    <cfRule type="cellIs" dxfId="1964" priority="56100" stopIfTrue="1" operator="notEqual">
      <formula>"En cours"</formula>
    </cfRule>
  </conditionalFormatting>
  <conditionalFormatting sqref="AJ4">
    <cfRule type="cellIs" dxfId="1771" priority="56909" stopIfTrue="1" operator="equal">
      <formula>"En cours"</formula>
    </cfRule>
  </conditionalFormatting>
  <conditionalFormatting sqref="AJ4">
    <cfRule type="cellIs" dxfId="1770" priority="56910" stopIfTrue="1" operator="notEqual">
      <formula>"En cours"</formula>
    </cfRule>
  </conditionalFormatting>
  <conditionalFormatting sqref="AK4">
    <cfRule type="cellIs" dxfId="1769" priority="56911" stopIfTrue="1" operator="equal">
      <formula>"En cours"</formula>
    </cfRule>
  </conditionalFormatting>
  <conditionalFormatting sqref="AK4">
    <cfRule type="cellIs" dxfId="1768" priority="56912" stopIfTrue="1" operator="notEqual">
      <formula>"En cours"</formula>
    </cfRule>
  </conditionalFormatting>
  <conditionalFormatting sqref="AJ5">
    <cfRule type="cellIs" dxfId="1767" priority="56913" stopIfTrue="1" operator="equal">
      <formula>"En cours"</formula>
    </cfRule>
  </conditionalFormatting>
  <conditionalFormatting sqref="AJ5">
    <cfRule type="cellIs" dxfId="1766" priority="56914" stopIfTrue="1" operator="notEqual">
      <formula>"En cours"</formula>
    </cfRule>
  </conditionalFormatting>
  <conditionalFormatting sqref="AK5">
    <cfRule type="cellIs" dxfId="1765" priority="56915" stopIfTrue="1" operator="equal">
      <formula>"En cours"</formula>
    </cfRule>
  </conditionalFormatting>
  <conditionalFormatting sqref="AK5">
    <cfRule type="cellIs" dxfId="1764" priority="5691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203" t="s">
        <v>18</v>
      </c>
      <c r="G2" s="204"/>
      <c r="H2" s="204"/>
      <c r="I2" s="205"/>
      <c r="J2" s="206" t="s">
        <v>19</v>
      </c>
      <c r="K2" s="207"/>
      <c r="L2" s="207"/>
      <c r="M2" s="208"/>
      <c r="N2" s="209" t="s">
        <v>20</v>
      </c>
      <c r="O2" s="204"/>
      <c r="P2" s="204"/>
      <c r="Q2" s="205"/>
      <c r="R2" s="206" t="s">
        <v>21</v>
      </c>
      <c r="S2" s="207"/>
      <c r="T2" s="207"/>
      <c r="U2" s="208"/>
      <c r="V2" s="209" t="s">
        <v>22</v>
      </c>
      <c r="W2" s="204"/>
      <c r="X2" s="204"/>
      <c r="Y2" s="205"/>
      <c r="Z2" s="206" t="s">
        <v>23</v>
      </c>
      <c r="AA2" s="207"/>
      <c r="AB2" s="207"/>
      <c r="AC2" s="210"/>
      <c r="AD2" s="196" t="s">
        <v>24</v>
      </c>
      <c r="AE2" s="197"/>
      <c r="AF2" s="198" t="s">
        <v>17</v>
      </c>
      <c r="AG2" s="199"/>
      <c r="AH2" s="199"/>
      <c r="AI2" s="200"/>
      <c r="AJ2" s="201" t="s">
        <v>25</v>
      </c>
      <c r="AK2" s="20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>IF(MIN(F4,J4,N4,R4,V4,Z4)&lt;&gt;0,MIN(F4,J4,N4,R4,V4,Z4),"")</f>
        <v/>
      </c>
      <c r="AE4" s="147" t="str">
        <f>IF(MIN(H4,L4,P4,T4,X4,AB4)&lt;&gt;0,MIN(H4,L4,P4,T4,X4,AB4),"")</f>
        <v/>
      </c>
      <c r="AF4" s="147"/>
      <c r="AG4" s="146"/>
      <c r="AH4" s="147"/>
      <c r="AI4" s="146"/>
      <c r="AJ4" s="145" t="str">
        <f>IF(AD4="","",IF(ISBLANK(AF4),"En cours",AD4+AF4))</f>
        <v/>
      </c>
      <c r="AK4" s="145" t="str">
        <f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>IF(MIN(F5,J5,N5,R5,V5,Z5)&lt;&gt;0,MIN(F5,J5,N5,R5,V5,Z5),"")</f>
        <v/>
      </c>
      <c r="AE5" s="147" t="str">
        <f>IF(MIN(H5,L5,P5,T5,X5,AB5)&lt;&gt;0,MIN(H5,L5,P5,T5,X5,AB5),"")</f>
        <v/>
      </c>
      <c r="AF5" s="147"/>
      <c r="AG5" s="146"/>
      <c r="AH5" s="147"/>
      <c r="AI5" s="146"/>
      <c r="AJ5" s="145" t="str">
        <f>IF(AD5="","",IF(ISBLANK(AF5),"En cours",AD5+AF5))</f>
        <v/>
      </c>
      <c r="AK5" s="145" t="str">
        <f>IF(AE5="","",IF(ISBLANK(AH5),"En cours",AE5+AH5))</f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>IF(MIN(F6,J6,N6,R6,V6,Z6)&lt;&gt;0,MIN(F6,J6,N6,R6,V6,Z6),"")</f>
        <v/>
      </c>
      <c r="AE6" s="147" t="str">
        <f>IF(MIN(H6,L6,P6,T6,X6,AB6)&lt;&gt;0,MIN(H6,L6,P6,T6,X6,AB6),"")</f>
        <v/>
      </c>
      <c r="AF6" s="147"/>
      <c r="AG6" s="146"/>
      <c r="AH6" s="147"/>
      <c r="AI6" s="146"/>
      <c r="AJ6" s="145" t="str">
        <f>IF(AD6="","",IF(ISBLANK(AF6),"En cours",AD6+AF6))</f>
        <v/>
      </c>
      <c r="AK6" s="145" t="str">
        <f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>IF(MIN(F7,J7,N7,R7,V7,Z7)&lt;&gt;0,MIN(F7,J7,N7,R7,V7,Z7),"")</f>
        <v/>
      </c>
      <c r="AE7" s="147" t="str">
        <f>IF(MIN(H7,L7,P7,T7,X7,AB7)&lt;&gt;0,MIN(H7,L7,P7,T7,X7,AB7),"")</f>
        <v/>
      </c>
      <c r="AF7" s="147"/>
      <c r="AG7" s="146"/>
      <c r="AH7" s="147"/>
      <c r="AI7" s="146"/>
      <c r="AJ7" s="145" t="str">
        <f>IF(AD7="","",IF(ISBLANK(AF7),"En cours",AD7+AF7))</f>
        <v/>
      </c>
      <c r="AK7" s="145" t="str">
        <f>IF(AE7="","",IF(ISBLANK(AH7),"En cours",AE7+AH7))</f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>IF(MIN(F8,J8,N8,R8,V8,Z8)&lt;&gt;0,MIN(F8,J8,N8,R8,V8,Z8),"")</f>
        <v/>
      </c>
      <c r="AE8" s="147" t="str">
        <f>IF(MIN(H8,L8,P8,T8,X8,AB8)&lt;&gt;0,MIN(H8,L8,P8,T8,X8,AB8),"")</f>
        <v/>
      </c>
      <c r="AF8" s="147"/>
      <c r="AG8" s="146"/>
      <c r="AH8" s="147"/>
      <c r="AI8" s="146"/>
      <c r="AJ8" s="145" t="str">
        <f>IF(AD8="","",IF(ISBLANK(AF8),"En cours",AD8+AF8))</f>
        <v/>
      </c>
      <c r="AK8" s="145" t="str">
        <f>IF(AE8="","",IF(ISBLANK(AH8),"En cours",AE8+AH8))</f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>IF(MIN(F9,J9,N9,R9,V9,Z9)&lt;&gt;0,MIN(F9,J9,N9,R9,V9,Z9),"")</f>
        <v/>
      </c>
      <c r="AE9" s="147" t="str">
        <f>IF(MIN(H9,L9,P9,T9,X9,AB9)&lt;&gt;0,MIN(H9,L9,P9,T9,X9,AB9),"")</f>
        <v/>
      </c>
      <c r="AF9" s="147"/>
      <c r="AG9" s="146"/>
      <c r="AH9" s="147"/>
      <c r="AI9" s="146"/>
      <c r="AJ9" s="145" t="str">
        <f>IF(AD9="","",IF(ISBLANK(AF9),"En cours",AD9+AF9))</f>
        <v/>
      </c>
      <c r="AK9" s="145" t="str">
        <f>IF(AE9="","",IF(ISBLANK(AH9),"En cours",AE9+AH9))</f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>IF(MIN(F10,J10,N10,R10,V10,Z10)&lt;&gt;0,MIN(F10,J10,N10,R10,V10,Z10),"")</f>
        <v/>
      </c>
      <c r="AE10" s="147" t="str">
        <f>IF(MIN(H10,L10,P10,T10,X10,AB10)&lt;&gt;0,MIN(H10,L10,P10,T10,X10,AB10),"")</f>
        <v/>
      </c>
      <c r="AF10" s="147"/>
      <c r="AG10" s="146"/>
      <c r="AH10" s="147"/>
      <c r="AI10" s="146"/>
      <c r="AJ10" s="145" t="str">
        <f>IF(AD10="","",IF(ISBLANK(AF10),"En cours",AD10+AF10))</f>
        <v/>
      </c>
      <c r="AK10" s="145" t="str">
        <f>IF(AE10="","",IF(ISBLANK(AH10),"En cours",AE10+AH10))</f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>IF(MIN(F11,J11,N11,R11,V11,Z11)&lt;&gt;0,MIN(F11,J11,N11,R11,V11,Z11),"")</f>
        <v/>
      </c>
      <c r="AE11" s="147" t="str">
        <f>IF(MIN(H11,L11,P11,T11,X11,AB11)&lt;&gt;0,MIN(H11,L11,P11,T11,X11,AB11),"")</f>
        <v/>
      </c>
      <c r="AF11" s="147"/>
      <c r="AG11" s="146"/>
      <c r="AH11" s="147"/>
      <c r="AI11" s="146"/>
      <c r="AJ11" s="145" t="str">
        <f>IF(AD11="","",IF(ISBLANK(AF11),"En cours",AD11+AF11))</f>
        <v/>
      </c>
      <c r="AK11" s="145" t="str">
        <f>IF(AE11="","",IF(ISBLANK(AH11),"En cours",AE11+AH11))</f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>IF(MIN(F12,J12,N12,R12,V12,Z12)&lt;&gt;0,MIN(F12,J12,N12,R12,V12,Z12),"")</f>
        <v/>
      </c>
      <c r="AE12" s="147" t="str">
        <f>IF(MIN(H12,L12,P12,T12,X12,AB12)&lt;&gt;0,MIN(H12,L12,P12,T12,X12,AB12),"")</f>
        <v/>
      </c>
      <c r="AF12" s="147"/>
      <c r="AG12" s="146"/>
      <c r="AH12" s="147"/>
      <c r="AI12" s="146"/>
      <c r="AJ12" s="145" t="str">
        <f>IF(AD12="","",IF(ISBLANK(AF12),"En cours",AD12+AF12))</f>
        <v/>
      </c>
      <c r="AK12" s="145" t="str">
        <f>IF(AE12="","",IF(ISBLANK(AH12),"En cours",AE12+AH12))</f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>IF(MIN(F13,J13,N13,R13,V13,Z13)&lt;&gt;0,MIN(F13,J13,N13,R13,V13,Z13),"")</f>
        <v/>
      </c>
      <c r="AE13" s="147" t="str">
        <f>IF(MIN(H13,L13,P13,T13,X13,AB13)&lt;&gt;0,MIN(H13,L13,P13,T13,X13,AB13),"")</f>
        <v/>
      </c>
      <c r="AF13" s="147"/>
      <c r="AG13" s="146"/>
      <c r="AH13" s="147"/>
      <c r="AI13" s="146"/>
      <c r="AJ13" s="145" t="str">
        <f>IF(AD13="","",IF(ISBLANK(AF13),"En cours",AD13+AF13))</f>
        <v/>
      </c>
      <c r="AK13" s="145" t="str">
        <f>IF(AE13="","",IF(ISBLANK(AH13),"En cours",AE13+AH13))</f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>IF(MIN(F14,J14,N14,R14,V14,Z14)&lt;&gt;0,MIN(F14,J14,N14,R14,V14,Z14),"")</f>
        <v/>
      </c>
      <c r="AE14" s="147" t="str">
        <f>IF(MIN(H14,L14,P14,T14,X14,AB14)&lt;&gt;0,MIN(H14,L14,P14,T14,X14,AB14),"")</f>
        <v/>
      </c>
      <c r="AF14" s="147"/>
      <c r="AG14" s="146"/>
      <c r="AH14" s="147"/>
      <c r="AI14" s="146"/>
      <c r="AJ14" s="145" t="str">
        <f>IF(AD14="","",IF(ISBLANK(AF14),"En cours",AD14+AF14))</f>
        <v/>
      </c>
      <c r="AK14" s="145" t="str">
        <f>IF(AE14="","",IF(ISBLANK(AH14),"En cours",AE14+AH14))</f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>IF(MIN(F15,J15,N15,R15,V15,Z15)&lt;&gt;0,MIN(F15,J15,N15,R15,V15,Z15),"")</f>
        <v/>
      </c>
      <c r="AE15" s="147" t="str">
        <f>IF(MIN(H15,L15,P15,T15,X15,AB15)&lt;&gt;0,MIN(H15,L15,P15,T15,X15,AB15),"")</f>
        <v/>
      </c>
      <c r="AF15" s="147"/>
      <c r="AG15" s="146"/>
      <c r="AH15" s="147"/>
      <c r="AI15" s="146"/>
      <c r="AJ15" s="145" t="str">
        <f>IF(AD15="","",IF(ISBLANK(AF15),"En cours",AD15+AF15))</f>
        <v/>
      </c>
      <c r="AK15" s="145" t="str">
        <f>IF(AE15="","",IF(ISBLANK(AH15),"En cours",AE15+AH15))</f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>IF(MIN(F16,J16,N16,R16,V16,Z16)&lt;&gt;0,MIN(F16,J16,N16,R16,V16,Z16),"")</f>
        <v/>
      </c>
      <c r="AE16" s="147" t="str">
        <f>IF(MIN(H16,L16,P16,T16,X16,AB16)&lt;&gt;0,MIN(H16,L16,P16,T16,X16,AB16),"")</f>
        <v/>
      </c>
      <c r="AF16" s="147"/>
      <c r="AG16" s="146"/>
      <c r="AH16" s="147"/>
      <c r="AI16" s="146"/>
      <c r="AJ16" s="145" t="str">
        <f>IF(AD16="","",IF(ISBLANK(AF16),"En cours",AD16+AF16))</f>
        <v/>
      </c>
      <c r="AK16" s="145" t="str">
        <f>IF(AE16="","",IF(ISBLANK(AH16),"En cours",AE16+AH16))</f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>IF(MIN(F17,J17,N17,R17,V17,Z17)&lt;&gt;0,MIN(F17,J17,N17,R17,V17,Z17),"")</f>
        <v/>
      </c>
      <c r="AE17" s="147" t="str">
        <f>IF(MIN(H17,L17,P17,T17,X17,AB17)&lt;&gt;0,MIN(H17,L17,P17,T17,X17,AB17),"")</f>
        <v/>
      </c>
      <c r="AF17" s="147"/>
      <c r="AG17" s="146"/>
      <c r="AH17" s="147"/>
      <c r="AI17" s="146"/>
      <c r="AJ17" s="145" t="str">
        <f>IF(AD17="","",IF(ISBLANK(AF17),"En cours",AD17+AF17))</f>
        <v/>
      </c>
      <c r="AK17" s="145" t="str">
        <f>IF(AE17="","",IF(ISBLANK(AH17),"En cours",AE17+AH17))</f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>IF(MIN(F18,J18,N18,R18,V18,Z18)&lt;&gt;0,MIN(F18,J18,N18,R18,V18,Z18),"")</f>
        <v/>
      </c>
      <c r="AE18" s="147" t="str">
        <f>IF(MIN(H18,L18,P18,T18,X18,AB18)&lt;&gt;0,MIN(H18,L18,P18,T18,X18,AB18),"")</f>
        <v/>
      </c>
      <c r="AF18" s="147"/>
      <c r="AG18" s="146"/>
      <c r="AH18" s="147"/>
      <c r="AI18" s="146"/>
      <c r="AJ18" s="145" t="str">
        <f>IF(AD18="","",IF(ISBLANK(AF18),"En cours",AD18+AF18))</f>
        <v/>
      </c>
      <c r="AK18" s="145" t="str">
        <f>IF(AE18="","",IF(ISBLANK(AH18),"En cours",AE18+AH18))</f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>IF(MIN(F19,J19,N19,R19,V19,Z19)&lt;&gt;0,MIN(F19,J19,N19,R19,V19,Z19),"")</f>
        <v/>
      </c>
      <c r="AE19" s="147" t="str">
        <f>IF(MIN(H19,L19,P19,T19,X19,AB19)&lt;&gt;0,MIN(H19,L19,P19,T19,X19,AB19),"")</f>
        <v/>
      </c>
      <c r="AF19" s="147"/>
      <c r="AG19" s="146"/>
      <c r="AH19" s="147"/>
      <c r="AI19" s="146"/>
      <c r="AJ19" s="145" t="str">
        <f>IF(AD19="","",IF(ISBLANK(AF19),"En cours",AD19+AF19))</f>
        <v/>
      </c>
      <c r="AK19" s="145" t="str">
        <f>IF(AE19="","",IF(ISBLANK(AH19),"En cours",AE19+AH19))</f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>IF(MIN(F20,J20,N20,R20,V20,Z20)&lt;&gt;0,MIN(F20,J20,N20,R20,V20,Z20),"")</f>
        <v/>
      </c>
      <c r="AE20" s="147" t="str">
        <f>IF(MIN(H20,L20,P20,T20,X20,AB20)&lt;&gt;0,MIN(H20,L20,P20,T20,X20,AB20),"")</f>
        <v/>
      </c>
      <c r="AF20" s="147"/>
      <c r="AG20" s="146"/>
      <c r="AH20" s="147"/>
      <c r="AI20" s="146"/>
      <c r="AJ20" s="145" t="str">
        <f>IF(AD20="","",IF(ISBLANK(AF20),"En cours",AD20+AF20))</f>
        <v/>
      </c>
      <c r="AK20" s="145" t="str">
        <f>IF(AE20="","",IF(ISBLANK(AH20),"En cours",AE20+AH20))</f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22" si="0">IF(MIN(F21,J21,N21,R21,V21,Z21)&lt;&gt;0,MIN(F21,J21,N21,R21,V21,Z21),"")</f>
        <v/>
      </c>
      <c r="AE21" s="147" t="str">
        <f t="shared" ref="AE21:AE22" si="1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22" si="2">IF(AD21="","",IF(ISBLANK(AF21),"En cours",AD21+AF21))</f>
        <v/>
      </c>
      <c r="AK21" s="145" t="str">
        <f t="shared" ref="AK21:AK22" si="3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0"/>
        <v/>
      </c>
      <c r="AE22" s="147" t="str">
        <f t="shared" si="1"/>
        <v/>
      </c>
      <c r="AF22" s="147"/>
      <c r="AG22" s="146"/>
      <c r="AH22" s="147"/>
      <c r="AI22" s="146"/>
      <c r="AJ22" s="145" t="str">
        <f t="shared" si="2"/>
        <v/>
      </c>
      <c r="AK22" s="145" t="str">
        <f t="shared" si="3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ref="AD23:AD67" si="4">IF(MIN(F23,J23,N23,R23,V23,Z23)&lt;&gt;0,MIN(F23,J23,N23,R23,V23,Z23),"")</f>
        <v/>
      </c>
      <c r="AE23" s="147" t="str">
        <f t="shared" ref="AE23:AE67" si="5">IF(MIN(H23,L23,P23,T23,X23,AB23)&lt;&gt;0,MIN(H23,L23,P23,T23,X23,AB23),"")</f>
        <v/>
      </c>
      <c r="AF23" s="147"/>
      <c r="AG23" s="146"/>
      <c r="AH23" s="147"/>
      <c r="AI23" s="146"/>
      <c r="AJ23" s="145" t="str">
        <f t="shared" ref="AJ23:AJ67" si="6">IF(AD23="","",IF(ISBLANK(AF23),"En cours",AD23+AF23))</f>
        <v/>
      </c>
      <c r="AK23" s="145" t="str">
        <f t="shared" ref="AK23:AK67" si="7"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4"/>
        <v/>
      </c>
      <c r="AE27" s="130" t="str">
        <f t="shared" si="5"/>
        <v/>
      </c>
      <c r="AF27" s="130"/>
      <c r="AG27" s="129"/>
      <c r="AH27" s="130"/>
      <c r="AI27" s="129"/>
      <c r="AJ27" s="128" t="str">
        <f t="shared" si="6"/>
        <v/>
      </c>
      <c r="AK27" s="128" t="str">
        <f t="shared" si="7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4"/>
        <v/>
      </c>
      <c r="AE28" s="130" t="str">
        <f t="shared" si="5"/>
        <v/>
      </c>
      <c r="AF28" s="130"/>
      <c r="AG28" s="129"/>
      <c r="AH28" s="130"/>
      <c r="AI28" s="129"/>
      <c r="AJ28" s="128" t="str">
        <f t="shared" si="6"/>
        <v/>
      </c>
      <c r="AK28" s="128" t="str">
        <f t="shared" si="7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4"/>
        <v/>
      </c>
      <c r="AE29" s="130" t="str">
        <f t="shared" si="5"/>
        <v/>
      </c>
      <c r="AF29" s="130"/>
      <c r="AG29" s="129"/>
      <c r="AH29" s="130"/>
      <c r="AI29" s="129"/>
      <c r="AJ29" s="128" t="str">
        <f t="shared" si="6"/>
        <v/>
      </c>
      <c r="AK29" s="128" t="str">
        <f t="shared" si="7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4"/>
        <v/>
      </c>
      <c r="AE30" s="130" t="str">
        <f t="shared" si="5"/>
        <v/>
      </c>
      <c r="AF30" s="130"/>
      <c r="AG30" s="129"/>
      <c r="AH30" s="130"/>
      <c r="AI30" s="129"/>
      <c r="AJ30" s="128" t="str">
        <f t="shared" si="6"/>
        <v/>
      </c>
      <c r="AK30" s="128" t="str">
        <f t="shared" si="7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4"/>
        <v/>
      </c>
      <c r="AE31" s="130" t="str">
        <f t="shared" si="5"/>
        <v/>
      </c>
      <c r="AF31" s="130"/>
      <c r="AG31" s="129"/>
      <c r="AH31" s="130"/>
      <c r="AI31" s="129"/>
      <c r="AJ31" s="128" t="str">
        <f t="shared" si="6"/>
        <v/>
      </c>
      <c r="AK31" s="128" t="str">
        <f t="shared" si="7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4"/>
        <v/>
      </c>
      <c r="AE32" s="130" t="str">
        <f t="shared" si="5"/>
        <v/>
      </c>
      <c r="AF32" s="130"/>
      <c r="AG32" s="129"/>
      <c r="AH32" s="130"/>
      <c r="AI32" s="129"/>
      <c r="AJ32" s="128" t="str">
        <f t="shared" si="6"/>
        <v/>
      </c>
      <c r="AK32" s="128" t="str">
        <f t="shared" si="7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4"/>
        <v/>
      </c>
      <c r="AE33" s="133" t="str">
        <f t="shared" si="5"/>
        <v/>
      </c>
      <c r="AF33" s="133"/>
      <c r="AG33" s="132"/>
      <c r="AH33" s="133"/>
      <c r="AI33" s="132"/>
      <c r="AJ33" s="131" t="str">
        <f t="shared" si="6"/>
        <v/>
      </c>
      <c r="AK33" s="131" t="str">
        <f t="shared" si="7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4"/>
        <v/>
      </c>
      <c r="AE34" s="133" t="str">
        <f t="shared" si="5"/>
        <v/>
      </c>
      <c r="AF34" s="133"/>
      <c r="AG34" s="132"/>
      <c r="AH34" s="133"/>
      <c r="AI34" s="132"/>
      <c r="AJ34" s="131" t="str">
        <f t="shared" si="6"/>
        <v/>
      </c>
      <c r="AK34" s="131" t="str">
        <f t="shared" si="7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4"/>
        <v/>
      </c>
      <c r="AE35" s="140" t="str">
        <f t="shared" si="5"/>
        <v/>
      </c>
      <c r="AF35" s="140"/>
      <c r="AG35" s="139"/>
      <c r="AH35" s="140"/>
      <c r="AI35" s="139"/>
      <c r="AJ35" s="138" t="str">
        <f t="shared" si="6"/>
        <v/>
      </c>
      <c r="AK35" s="138" t="str">
        <f t="shared" si="7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4"/>
        <v/>
      </c>
      <c r="AE36" s="140" t="str">
        <f t="shared" si="5"/>
        <v/>
      </c>
      <c r="AF36" s="140"/>
      <c r="AG36" s="139"/>
      <c r="AH36" s="140"/>
      <c r="AI36" s="139"/>
      <c r="AJ36" s="138" t="str">
        <f t="shared" si="6"/>
        <v/>
      </c>
      <c r="AK36" s="138" t="str">
        <f t="shared" si="7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4"/>
        <v/>
      </c>
      <c r="AE37" s="101" t="str">
        <f t="shared" si="5"/>
        <v/>
      </c>
      <c r="AF37" s="101"/>
      <c r="AG37" s="100"/>
      <c r="AH37" s="101"/>
      <c r="AI37" s="100"/>
      <c r="AJ37" s="102" t="str">
        <f t="shared" si="6"/>
        <v/>
      </c>
      <c r="AK37" s="103" t="str">
        <f t="shared" si="7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4"/>
        <v/>
      </c>
      <c r="AE38" s="101" t="str">
        <f t="shared" si="5"/>
        <v/>
      </c>
      <c r="AF38" s="101"/>
      <c r="AG38" s="100"/>
      <c r="AH38" s="101"/>
      <c r="AI38" s="100"/>
      <c r="AJ38" s="102" t="str">
        <f t="shared" si="6"/>
        <v/>
      </c>
      <c r="AK38" s="103" t="str">
        <f t="shared" si="7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4"/>
        <v/>
      </c>
      <c r="AE39" s="101" t="str">
        <f t="shared" si="5"/>
        <v/>
      </c>
      <c r="AF39" s="101"/>
      <c r="AG39" s="100"/>
      <c r="AH39" s="101"/>
      <c r="AI39" s="100"/>
      <c r="AJ39" s="102" t="str">
        <f t="shared" si="6"/>
        <v/>
      </c>
      <c r="AK39" s="103" t="str">
        <f t="shared" si="7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4"/>
        <v/>
      </c>
      <c r="AE40" s="101" t="str">
        <f t="shared" si="5"/>
        <v/>
      </c>
      <c r="AF40" s="101"/>
      <c r="AG40" s="100"/>
      <c r="AH40" s="101"/>
      <c r="AI40" s="100"/>
      <c r="AJ40" s="102" t="str">
        <f t="shared" si="6"/>
        <v/>
      </c>
      <c r="AK40" s="103" t="str">
        <f t="shared" si="7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4"/>
        <v/>
      </c>
      <c r="AE41" s="101" t="str">
        <f t="shared" si="5"/>
        <v/>
      </c>
      <c r="AF41" s="101"/>
      <c r="AG41" s="100"/>
      <c r="AH41" s="101"/>
      <c r="AI41" s="100"/>
      <c r="AJ41" s="102" t="str">
        <f t="shared" si="6"/>
        <v/>
      </c>
      <c r="AK41" s="103" t="str">
        <f t="shared" si="7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4"/>
        <v/>
      </c>
      <c r="AE42" s="101" t="str">
        <f t="shared" si="5"/>
        <v/>
      </c>
      <c r="AF42" s="101"/>
      <c r="AG42" s="100"/>
      <c r="AH42" s="101"/>
      <c r="AI42" s="100"/>
      <c r="AJ42" s="102" t="str">
        <f t="shared" si="6"/>
        <v/>
      </c>
      <c r="AK42" s="103" t="str">
        <f t="shared" si="7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4"/>
        <v/>
      </c>
      <c r="AE43" s="101" t="str">
        <f t="shared" si="5"/>
        <v/>
      </c>
      <c r="AF43" s="101"/>
      <c r="AG43" s="100"/>
      <c r="AH43" s="101"/>
      <c r="AI43" s="100"/>
      <c r="AJ43" s="102" t="str">
        <f t="shared" si="6"/>
        <v/>
      </c>
      <c r="AK43" s="103" t="str">
        <f t="shared" si="7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4"/>
        <v/>
      </c>
      <c r="AE44" s="101" t="str">
        <f t="shared" si="5"/>
        <v/>
      </c>
      <c r="AF44" s="101"/>
      <c r="AG44" s="100"/>
      <c r="AH44" s="101"/>
      <c r="AI44" s="100"/>
      <c r="AJ44" s="102" t="str">
        <f t="shared" si="6"/>
        <v/>
      </c>
      <c r="AK44" s="103" t="str">
        <f t="shared" si="7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4"/>
        <v/>
      </c>
      <c r="AE45" s="101" t="str">
        <f t="shared" si="5"/>
        <v/>
      </c>
      <c r="AF45" s="101"/>
      <c r="AG45" s="100"/>
      <c r="AH45" s="101"/>
      <c r="AI45" s="100"/>
      <c r="AJ45" s="102" t="str">
        <f t="shared" si="6"/>
        <v/>
      </c>
      <c r="AK45" s="103" t="str">
        <f t="shared" si="7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4"/>
        <v/>
      </c>
      <c r="AE46" s="101" t="str">
        <f t="shared" si="5"/>
        <v/>
      </c>
      <c r="AF46" s="101"/>
      <c r="AG46" s="100"/>
      <c r="AH46" s="101"/>
      <c r="AI46" s="100"/>
      <c r="AJ46" s="102" t="str">
        <f t="shared" si="6"/>
        <v/>
      </c>
      <c r="AK46" s="103" t="str">
        <f t="shared" si="7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4"/>
        <v/>
      </c>
      <c r="AE47" s="101" t="str">
        <f t="shared" si="5"/>
        <v/>
      </c>
      <c r="AF47" s="101"/>
      <c r="AG47" s="100"/>
      <c r="AH47" s="101"/>
      <c r="AI47" s="100"/>
      <c r="AJ47" s="102" t="str">
        <f t="shared" si="6"/>
        <v/>
      </c>
      <c r="AK47" s="103" t="str">
        <f t="shared" si="7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4"/>
        <v/>
      </c>
      <c r="AE48" s="80" t="str">
        <f t="shared" si="5"/>
        <v/>
      </c>
      <c r="AF48" s="81"/>
      <c r="AG48" s="77"/>
      <c r="AH48" s="81"/>
      <c r="AI48" s="77"/>
      <c r="AJ48" s="82" t="str">
        <f t="shared" si="6"/>
        <v/>
      </c>
      <c r="AK48" s="83" t="str">
        <f t="shared" si="7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4"/>
        <v/>
      </c>
      <c r="AE49" s="80" t="str">
        <f t="shared" si="5"/>
        <v/>
      </c>
      <c r="AF49" s="81"/>
      <c r="AG49" s="77"/>
      <c r="AH49" s="81"/>
      <c r="AI49" s="77"/>
      <c r="AJ49" s="82" t="str">
        <f t="shared" si="6"/>
        <v/>
      </c>
      <c r="AK49" s="83" t="str">
        <f t="shared" si="7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4"/>
        <v/>
      </c>
      <c r="AE50" s="80" t="str">
        <f t="shared" si="5"/>
        <v/>
      </c>
      <c r="AF50" s="81"/>
      <c r="AG50" s="77"/>
      <c r="AH50" s="81"/>
      <c r="AI50" s="77"/>
      <c r="AJ50" s="82" t="str">
        <f t="shared" si="6"/>
        <v/>
      </c>
      <c r="AK50" s="83" t="str">
        <f t="shared" si="7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4"/>
        <v/>
      </c>
      <c r="AE51" s="80" t="str">
        <f t="shared" si="5"/>
        <v/>
      </c>
      <c r="AF51" s="81"/>
      <c r="AG51" s="77"/>
      <c r="AH51" s="81"/>
      <c r="AI51" s="77"/>
      <c r="AJ51" s="82" t="str">
        <f t="shared" si="6"/>
        <v/>
      </c>
      <c r="AK51" s="83" t="str">
        <f t="shared" si="7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4"/>
        <v/>
      </c>
      <c r="AE52" s="80" t="str">
        <f t="shared" si="5"/>
        <v/>
      </c>
      <c r="AF52" s="81"/>
      <c r="AG52" s="77"/>
      <c r="AH52" s="81"/>
      <c r="AI52" s="77"/>
      <c r="AJ52" s="82" t="str">
        <f t="shared" si="6"/>
        <v/>
      </c>
      <c r="AK52" s="83" t="str">
        <f t="shared" si="7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4"/>
        <v/>
      </c>
      <c r="AE53" s="80" t="str">
        <f t="shared" si="5"/>
        <v/>
      </c>
      <c r="AF53" s="81"/>
      <c r="AG53" s="77"/>
      <c r="AH53" s="81"/>
      <c r="AI53" s="77"/>
      <c r="AJ53" s="82" t="str">
        <f t="shared" si="6"/>
        <v/>
      </c>
      <c r="AK53" s="83" t="str">
        <f t="shared" si="7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4"/>
        <v/>
      </c>
      <c r="AE54" s="80" t="str">
        <f t="shared" si="5"/>
        <v/>
      </c>
      <c r="AF54" s="81"/>
      <c r="AG54" s="77"/>
      <c r="AH54" s="81"/>
      <c r="AI54" s="77"/>
      <c r="AJ54" s="82" t="str">
        <f t="shared" si="6"/>
        <v/>
      </c>
      <c r="AK54" s="83" t="str">
        <f t="shared" si="7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4"/>
        <v/>
      </c>
      <c r="AE55" s="80" t="str">
        <f t="shared" si="5"/>
        <v/>
      </c>
      <c r="AF55" s="81"/>
      <c r="AG55" s="77"/>
      <c r="AH55" s="81"/>
      <c r="AI55" s="77"/>
      <c r="AJ55" s="82" t="str">
        <f t="shared" si="6"/>
        <v/>
      </c>
      <c r="AK55" s="83" t="str">
        <f t="shared" si="7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4"/>
        <v/>
      </c>
      <c r="AE56" s="80" t="str">
        <f t="shared" si="5"/>
        <v/>
      </c>
      <c r="AF56" s="81"/>
      <c r="AG56" s="77"/>
      <c r="AH56" s="81"/>
      <c r="AI56" s="77"/>
      <c r="AJ56" s="82" t="str">
        <f t="shared" si="6"/>
        <v/>
      </c>
      <c r="AK56" s="83" t="str">
        <f t="shared" si="7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4"/>
        <v/>
      </c>
      <c r="AE57" s="80" t="str">
        <f t="shared" si="5"/>
        <v/>
      </c>
      <c r="AF57" s="81"/>
      <c r="AG57" s="77"/>
      <c r="AH57" s="81"/>
      <c r="AI57" s="77"/>
      <c r="AJ57" s="82" t="str">
        <f t="shared" si="6"/>
        <v/>
      </c>
      <c r="AK57" s="83" t="str">
        <f t="shared" si="7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4"/>
        <v/>
      </c>
      <c r="AE58" s="80" t="str">
        <f t="shared" si="5"/>
        <v/>
      </c>
      <c r="AF58" s="81"/>
      <c r="AG58" s="77"/>
      <c r="AH58" s="81"/>
      <c r="AI58" s="77"/>
      <c r="AJ58" s="82" t="str">
        <f t="shared" si="6"/>
        <v/>
      </c>
      <c r="AK58" s="83" t="str">
        <f t="shared" si="7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4"/>
        <v/>
      </c>
      <c r="AE59" s="80" t="str">
        <f t="shared" si="5"/>
        <v/>
      </c>
      <c r="AF59" s="81"/>
      <c r="AG59" s="77"/>
      <c r="AH59" s="81"/>
      <c r="AI59" s="77"/>
      <c r="AJ59" s="82" t="str">
        <f t="shared" si="6"/>
        <v/>
      </c>
      <c r="AK59" s="83" t="str">
        <f t="shared" si="7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4"/>
        <v/>
      </c>
      <c r="AE60" s="80" t="str">
        <f t="shared" si="5"/>
        <v/>
      </c>
      <c r="AF60" s="81"/>
      <c r="AG60" s="77"/>
      <c r="AH60" s="81"/>
      <c r="AI60" s="77"/>
      <c r="AJ60" s="82" t="str">
        <f t="shared" si="6"/>
        <v/>
      </c>
      <c r="AK60" s="83" t="str">
        <f t="shared" si="7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4"/>
        <v/>
      </c>
      <c r="AE61" s="80" t="str">
        <f t="shared" si="5"/>
        <v/>
      </c>
      <c r="AF61" s="81"/>
      <c r="AG61" s="77"/>
      <c r="AH61" s="81"/>
      <c r="AI61" s="77"/>
      <c r="AJ61" s="82" t="str">
        <f t="shared" si="6"/>
        <v/>
      </c>
      <c r="AK61" s="83" t="str">
        <f t="shared" si="7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4"/>
        <v/>
      </c>
      <c r="AE62" s="80" t="str">
        <f t="shared" si="5"/>
        <v/>
      </c>
      <c r="AF62" s="81"/>
      <c r="AG62" s="77"/>
      <c r="AH62" s="81"/>
      <c r="AI62" s="77"/>
      <c r="AJ62" s="82" t="str">
        <f t="shared" si="6"/>
        <v/>
      </c>
      <c r="AK62" s="83" t="str">
        <f t="shared" si="7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4"/>
        <v/>
      </c>
      <c r="AE63" s="80" t="str">
        <f t="shared" si="5"/>
        <v/>
      </c>
      <c r="AF63" s="81"/>
      <c r="AG63" s="77"/>
      <c r="AH63" s="81"/>
      <c r="AI63" s="77"/>
      <c r="AJ63" s="82" t="str">
        <f t="shared" si="6"/>
        <v/>
      </c>
      <c r="AK63" s="83" t="str">
        <f t="shared" si="7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4"/>
        <v/>
      </c>
      <c r="AE64" s="80" t="str">
        <f t="shared" si="5"/>
        <v/>
      </c>
      <c r="AF64" s="81"/>
      <c r="AG64" s="77"/>
      <c r="AH64" s="81"/>
      <c r="AI64" s="77"/>
      <c r="AJ64" s="82" t="str">
        <f t="shared" si="6"/>
        <v/>
      </c>
      <c r="AK64" s="83" t="str">
        <f t="shared" si="7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4"/>
        <v/>
      </c>
      <c r="AE65" s="80" t="str">
        <f t="shared" si="5"/>
        <v/>
      </c>
      <c r="AF65" s="81"/>
      <c r="AG65" s="77"/>
      <c r="AH65" s="81"/>
      <c r="AI65" s="77"/>
      <c r="AJ65" s="82" t="str">
        <f t="shared" si="6"/>
        <v/>
      </c>
      <c r="AK65" s="83" t="str">
        <f t="shared" si="7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4"/>
        <v/>
      </c>
      <c r="AE66" s="80" t="str">
        <f t="shared" si="5"/>
        <v/>
      </c>
      <c r="AF66" s="81"/>
      <c r="AG66" s="77"/>
      <c r="AH66" s="81"/>
      <c r="AI66" s="77"/>
      <c r="AJ66" s="82" t="str">
        <f t="shared" si="6"/>
        <v/>
      </c>
      <c r="AK66" s="83" t="str">
        <f t="shared" si="7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4"/>
        <v/>
      </c>
      <c r="AE67" s="80" t="str">
        <f t="shared" si="5"/>
        <v/>
      </c>
      <c r="AF67" s="81"/>
      <c r="AG67" s="77"/>
      <c r="AH67" s="81"/>
      <c r="AI67" s="77"/>
      <c r="AJ67" s="82" t="str">
        <f t="shared" si="6"/>
        <v/>
      </c>
      <c r="AK67" s="83" t="str">
        <f t="shared" si="7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8">IF(MIN(F68,J68,N68,R68,V68,Z68)&lt;&gt;0,MIN(F68,J68,N68,R68,V68,Z68),"")</f>
        <v/>
      </c>
      <c r="AE68" s="80" t="str">
        <f t="shared" ref="AE68:AE131" si="9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10">IF(AD68="","",IF(ISBLANK(AF68),"En cours",AD68+AF68))</f>
        <v/>
      </c>
      <c r="AK68" s="83" t="str">
        <f t="shared" ref="AK68:AK131" si="11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8"/>
        <v/>
      </c>
      <c r="AE69" s="80" t="str">
        <f t="shared" si="9"/>
        <v/>
      </c>
      <c r="AF69" s="81"/>
      <c r="AG69" s="77"/>
      <c r="AH69" s="81"/>
      <c r="AI69" s="77"/>
      <c r="AJ69" s="82" t="str">
        <f t="shared" si="10"/>
        <v/>
      </c>
      <c r="AK69" s="83" t="str">
        <f t="shared" si="11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8"/>
        <v/>
      </c>
      <c r="AE70" s="80" t="str">
        <f t="shared" si="9"/>
        <v/>
      </c>
      <c r="AF70" s="81"/>
      <c r="AG70" s="77"/>
      <c r="AH70" s="81"/>
      <c r="AI70" s="77"/>
      <c r="AJ70" s="82" t="str">
        <f t="shared" si="10"/>
        <v/>
      </c>
      <c r="AK70" s="83" t="str">
        <f t="shared" si="11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8"/>
        <v/>
      </c>
      <c r="AE71" s="80" t="str">
        <f t="shared" si="9"/>
        <v/>
      </c>
      <c r="AF71" s="81"/>
      <c r="AG71" s="77"/>
      <c r="AH71" s="81"/>
      <c r="AI71" s="77"/>
      <c r="AJ71" s="82" t="str">
        <f t="shared" si="10"/>
        <v/>
      </c>
      <c r="AK71" s="83" t="str">
        <f t="shared" si="11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8"/>
        <v/>
      </c>
      <c r="AE72" s="80" t="str">
        <f t="shared" si="9"/>
        <v/>
      </c>
      <c r="AF72" s="81"/>
      <c r="AG72" s="77"/>
      <c r="AH72" s="81"/>
      <c r="AI72" s="77"/>
      <c r="AJ72" s="82" t="str">
        <f t="shared" si="10"/>
        <v/>
      </c>
      <c r="AK72" s="83" t="str">
        <f t="shared" si="11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8"/>
        <v/>
      </c>
      <c r="AE73" s="80" t="str">
        <f t="shared" si="9"/>
        <v/>
      </c>
      <c r="AF73" s="81"/>
      <c r="AG73" s="77"/>
      <c r="AH73" s="81"/>
      <c r="AI73" s="77"/>
      <c r="AJ73" s="82" t="str">
        <f t="shared" si="10"/>
        <v/>
      </c>
      <c r="AK73" s="83" t="str">
        <f t="shared" si="11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8"/>
        <v/>
      </c>
      <c r="AE74" s="80" t="str">
        <f t="shared" si="9"/>
        <v/>
      </c>
      <c r="AF74" s="81"/>
      <c r="AG74" s="77"/>
      <c r="AH74" s="81"/>
      <c r="AI74" s="77"/>
      <c r="AJ74" s="82" t="str">
        <f t="shared" si="10"/>
        <v/>
      </c>
      <c r="AK74" s="83" t="str">
        <f t="shared" si="11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8"/>
        <v/>
      </c>
      <c r="AE75" s="80" t="str">
        <f t="shared" si="9"/>
        <v/>
      </c>
      <c r="AF75" s="81"/>
      <c r="AG75" s="77"/>
      <c r="AH75" s="81"/>
      <c r="AI75" s="77"/>
      <c r="AJ75" s="82" t="str">
        <f t="shared" si="10"/>
        <v/>
      </c>
      <c r="AK75" s="83" t="str">
        <f t="shared" si="11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8"/>
        <v/>
      </c>
      <c r="AE76" s="80" t="str">
        <f t="shared" si="9"/>
        <v/>
      </c>
      <c r="AF76" s="81"/>
      <c r="AG76" s="77"/>
      <c r="AH76" s="81"/>
      <c r="AI76" s="77"/>
      <c r="AJ76" s="82" t="str">
        <f t="shared" si="10"/>
        <v/>
      </c>
      <c r="AK76" s="83" t="str">
        <f t="shared" si="11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8"/>
        <v/>
      </c>
      <c r="AE77" s="80" t="str">
        <f t="shared" si="9"/>
        <v/>
      </c>
      <c r="AF77" s="81"/>
      <c r="AG77" s="77"/>
      <c r="AH77" s="81"/>
      <c r="AI77" s="77"/>
      <c r="AJ77" s="82" t="str">
        <f t="shared" si="10"/>
        <v/>
      </c>
      <c r="AK77" s="83" t="str">
        <f t="shared" si="11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8"/>
        <v/>
      </c>
      <c r="AE78" s="80" t="str">
        <f t="shared" si="9"/>
        <v/>
      </c>
      <c r="AF78" s="81"/>
      <c r="AG78" s="77"/>
      <c r="AH78" s="81"/>
      <c r="AI78" s="77"/>
      <c r="AJ78" s="82" t="str">
        <f t="shared" si="10"/>
        <v/>
      </c>
      <c r="AK78" s="83" t="str">
        <f t="shared" si="11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8"/>
        <v/>
      </c>
      <c r="AE79" s="80" t="str">
        <f t="shared" si="9"/>
        <v/>
      </c>
      <c r="AF79" s="81"/>
      <c r="AG79" s="77"/>
      <c r="AH79" s="81"/>
      <c r="AI79" s="77"/>
      <c r="AJ79" s="82" t="str">
        <f t="shared" si="10"/>
        <v/>
      </c>
      <c r="AK79" s="83" t="str">
        <f t="shared" si="11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8"/>
        <v/>
      </c>
      <c r="AE80" s="80" t="str">
        <f t="shared" si="9"/>
        <v/>
      </c>
      <c r="AF80" s="81"/>
      <c r="AG80" s="77"/>
      <c r="AH80" s="81"/>
      <c r="AI80" s="77"/>
      <c r="AJ80" s="82" t="str">
        <f t="shared" si="10"/>
        <v/>
      </c>
      <c r="AK80" s="83" t="str">
        <f t="shared" si="11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8"/>
        <v/>
      </c>
      <c r="AE81" s="80" t="str">
        <f t="shared" si="9"/>
        <v/>
      </c>
      <c r="AF81" s="81"/>
      <c r="AG81" s="77"/>
      <c r="AH81" s="81"/>
      <c r="AI81" s="77"/>
      <c r="AJ81" s="82" t="str">
        <f t="shared" si="10"/>
        <v/>
      </c>
      <c r="AK81" s="83" t="str">
        <f t="shared" si="11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8"/>
        <v/>
      </c>
      <c r="AE82" s="80" t="str">
        <f t="shared" si="9"/>
        <v/>
      </c>
      <c r="AF82" s="81"/>
      <c r="AG82" s="77"/>
      <c r="AH82" s="81"/>
      <c r="AI82" s="77"/>
      <c r="AJ82" s="82" t="str">
        <f t="shared" si="10"/>
        <v/>
      </c>
      <c r="AK82" s="83" t="str">
        <f t="shared" si="11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8"/>
        <v/>
      </c>
      <c r="AE83" s="80" t="str">
        <f t="shared" si="9"/>
        <v/>
      </c>
      <c r="AF83" s="81"/>
      <c r="AG83" s="77"/>
      <c r="AH83" s="81"/>
      <c r="AI83" s="77"/>
      <c r="AJ83" s="82" t="str">
        <f t="shared" si="10"/>
        <v/>
      </c>
      <c r="AK83" s="83" t="str">
        <f t="shared" si="11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8"/>
        <v/>
      </c>
      <c r="AE84" s="80" t="str">
        <f t="shared" si="9"/>
        <v/>
      </c>
      <c r="AF84" s="81"/>
      <c r="AG84" s="77"/>
      <c r="AH84" s="81"/>
      <c r="AI84" s="77"/>
      <c r="AJ84" s="82" t="str">
        <f t="shared" si="10"/>
        <v/>
      </c>
      <c r="AK84" s="83" t="str">
        <f t="shared" si="11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8"/>
        <v/>
      </c>
      <c r="AE85" s="80" t="str">
        <f t="shared" si="9"/>
        <v/>
      </c>
      <c r="AF85" s="81"/>
      <c r="AG85" s="77"/>
      <c r="AH85" s="81"/>
      <c r="AI85" s="77"/>
      <c r="AJ85" s="82" t="str">
        <f t="shared" si="10"/>
        <v/>
      </c>
      <c r="AK85" s="83" t="str">
        <f t="shared" si="11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8"/>
        <v/>
      </c>
      <c r="AE86" s="80" t="str">
        <f t="shared" si="9"/>
        <v/>
      </c>
      <c r="AF86" s="81"/>
      <c r="AG86" s="77"/>
      <c r="AH86" s="81"/>
      <c r="AI86" s="77"/>
      <c r="AJ86" s="82" t="str">
        <f t="shared" si="10"/>
        <v/>
      </c>
      <c r="AK86" s="83" t="str">
        <f t="shared" si="11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8"/>
        <v/>
      </c>
      <c r="AE87" s="80" t="str">
        <f t="shared" si="9"/>
        <v/>
      </c>
      <c r="AF87" s="81"/>
      <c r="AG87" s="77"/>
      <c r="AH87" s="81"/>
      <c r="AI87" s="77"/>
      <c r="AJ87" s="82" t="str">
        <f t="shared" si="10"/>
        <v/>
      </c>
      <c r="AK87" s="83" t="str">
        <f t="shared" si="11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8"/>
        <v/>
      </c>
      <c r="AE88" s="80" t="str">
        <f t="shared" si="9"/>
        <v/>
      </c>
      <c r="AF88" s="81"/>
      <c r="AG88" s="77"/>
      <c r="AH88" s="81"/>
      <c r="AI88" s="77"/>
      <c r="AJ88" s="82" t="str">
        <f t="shared" si="10"/>
        <v/>
      </c>
      <c r="AK88" s="83" t="str">
        <f t="shared" si="11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8"/>
        <v/>
      </c>
      <c r="AE89" s="80" t="str">
        <f t="shared" si="9"/>
        <v/>
      </c>
      <c r="AF89" s="81"/>
      <c r="AG89" s="77"/>
      <c r="AH89" s="81"/>
      <c r="AI89" s="77"/>
      <c r="AJ89" s="82" t="str">
        <f t="shared" si="10"/>
        <v/>
      </c>
      <c r="AK89" s="83" t="str">
        <f t="shared" si="11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8"/>
        <v/>
      </c>
      <c r="AE90" s="80" t="str">
        <f t="shared" si="9"/>
        <v/>
      </c>
      <c r="AF90" s="81"/>
      <c r="AG90" s="77"/>
      <c r="AH90" s="81"/>
      <c r="AI90" s="77"/>
      <c r="AJ90" s="82" t="str">
        <f t="shared" si="10"/>
        <v/>
      </c>
      <c r="AK90" s="83" t="str">
        <f t="shared" si="11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8"/>
        <v/>
      </c>
      <c r="AE91" s="80" t="str">
        <f t="shared" si="9"/>
        <v/>
      </c>
      <c r="AF91" s="81"/>
      <c r="AG91" s="77"/>
      <c r="AH91" s="81"/>
      <c r="AI91" s="77"/>
      <c r="AJ91" s="82" t="str">
        <f t="shared" si="10"/>
        <v/>
      </c>
      <c r="AK91" s="83" t="str">
        <f t="shared" si="11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8"/>
        <v/>
      </c>
      <c r="AE92" s="80" t="str">
        <f t="shared" si="9"/>
        <v/>
      </c>
      <c r="AF92" s="81"/>
      <c r="AG92" s="77"/>
      <c r="AH92" s="81"/>
      <c r="AI92" s="77"/>
      <c r="AJ92" s="82" t="str">
        <f t="shared" si="10"/>
        <v/>
      </c>
      <c r="AK92" s="83" t="str">
        <f t="shared" si="11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8"/>
        <v/>
      </c>
      <c r="AE93" s="80" t="str">
        <f t="shared" si="9"/>
        <v/>
      </c>
      <c r="AF93" s="81"/>
      <c r="AG93" s="77"/>
      <c r="AH93" s="81"/>
      <c r="AI93" s="77"/>
      <c r="AJ93" s="82" t="str">
        <f t="shared" si="10"/>
        <v/>
      </c>
      <c r="AK93" s="83" t="str">
        <f t="shared" si="11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8"/>
        <v/>
      </c>
      <c r="AE94" s="80" t="str">
        <f t="shared" si="9"/>
        <v/>
      </c>
      <c r="AF94" s="81"/>
      <c r="AG94" s="77"/>
      <c r="AH94" s="81"/>
      <c r="AI94" s="77"/>
      <c r="AJ94" s="82" t="str">
        <f t="shared" si="10"/>
        <v/>
      </c>
      <c r="AK94" s="83" t="str">
        <f t="shared" si="11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8"/>
        <v/>
      </c>
      <c r="AE95" s="80" t="str">
        <f t="shared" si="9"/>
        <v/>
      </c>
      <c r="AF95" s="81"/>
      <c r="AG95" s="77"/>
      <c r="AH95" s="81"/>
      <c r="AI95" s="77"/>
      <c r="AJ95" s="82" t="str">
        <f t="shared" si="10"/>
        <v/>
      </c>
      <c r="AK95" s="83" t="str">
        <f t="shared" si="11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8"/>
        <v/>
      </c>
      <c r="AE96" s="80" t="str">
        <f t="shared" si="9"/>
        <v/>
      </c>
      <c r="AF96" s="81"/>
      <c r="AG96" s="77"/>
      <c r="AH96" s="81"/>
      <c r="AI96" s="77"/>
      <c r="AJ96" s="82" t="str">
        <f t="shared" si="10"/>
        <v/>
      </c>
      <c r="AK96" s="83" t="str">
        <f t="shared" si="11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8"/>
        <v/>
      </c>
      <c r="AE97" s="80" t="str">
        <f t="shared" si="9"/>
        <v/>
      </c>
      <c r="AF97" s="81"/>
      <c r="AG97" s="77"/>
      <c r="AH97" s="81"/>
      <c r="AI97" s="77"/>
      <c r="AJ97" s="82" t="str">
        <f t="shared" si="10"/>
        <v/>
      </c>
      <c r="AK97" s="83" t="str">
        <f t="shared" si="11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8"/>
        <v/>
      </c>
      <c r="AE98" s="80" t="str">
        <f t="shared" si="9"/>
        <v/>
      </c>
      <c r="AF98" s="81"/>
      <c r="AG98" s="77"/>
      <c r="AH98" s="81"/>
      <c r="AI98" s="77"/>
      <c r="AJ98" s="82" t="str">
        <f t="shared" si="10"/>
        <v/>
      </c>
      <c r="AK98" s="83" t="str">
        <f t="shared" si="11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8"/>
        <v/>
      </c>
      <c r="AE99" s="80" t="str">
        <f t="shared" si="9"/>
        <v/>
      </c>
      <c r="AF99" s="81"/>
      <c r="AG99" s="77"/>
      <c r="AH99" s="81"/>
      <c r="AI99" s="77"/>
      <c r="AJ99" s="82" t="str">
        <f t="shared" si="10"/>
        <v/>
      </c>
      <c r="AK99" s="83" t="str">
        <f t="shared" si="11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8"/>
        <v/>
      </c>
      <c r="AE100" s="80" t="str">
        <f t="shared" si="9"/>
        <v/>
      </c>
      <c r="AF100" s="81"/>
      <c r="AG100" s="77"/>
      <c r="AH100" s="81"/>
      <c r="AI100" s="77"/>
      <c r="AJ100" s="82" t="str">
        <f t="shared" si="10"/>
        <v/>
      </c>
      <c r="AK100" s="83" t="str">
        <f t="shared" si="11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8"/>
        <v/>
      </c>
      <c r="AE101" s="80" t="str">
        <f t="shared" si="9"/>
        <v/>
      </c>
      <c r="AF101" s="81"/>
      <c r="AG101" s="77"/>
      <c r="AH101" s="81"/>
      <c r="AI101" s="77"/>
      <c r="AJ101" s="82" t="str">
        <f t="shared" si="10"/>
        <v/>
      </c>
      <c r="AK101" s="83" t="str">
        <f t="shared" si="11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8"/>
        <v/>
      </c>
      <c r="AE102" s="80" t="str">
        <f t="shared" si="9"/>
        <v/>
      </c>
      <c r="AF102" s="81"/>
      <c r="AG102" s="77"/>
      <c r="AH102" s="81"/>
      <c r="AI102" s="77"/>
      <c r="AJ102" s="82" t="str">
        <f t="shared" si="10"/>
        <v/>
      </c>
      <c r="AK102" s="83" t="str">
        <f t="shared" si="11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8"/>
        <v/>
      </c>
      <c r="AE103" s="80" t="str">
        <f t="shared" si="9"/>
        <v/>
      </c>
      <c r="AF103" s="81"/>
      <c r="AG103" s="77"/>
      <c r="AH103" s="81"/>
      <c r="AI103" s="77"/>
      <c r="AJ103" s="82" t="str">
        <f t="shared" si="10"/>
        <v/>
      </c>
      <c r="AK103" s="83" t="str">
        <f t="shared" si="11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8"/>
        <v/>
      </c>
      <c r="AE104" s="80" t="str">
        <f t="shared" si="9"/>
        <v/>
      </c>
      <c r="AF104" s="81"/>
      <c r="AG104" s="77"/>
      <c r="AH104" s="81"/>
      <c r="AI104" s="77"/>
      <c r="AJ104" s="82" t="str">
        <f t="shared" si="10"/>
        <v/>
      </c>
      <c r="AK104" s="83" t="str">
        <f t="shared" si="11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8"/>
        <v/>
      </c>
      <c r="AE105" s="80" t="str">
        <f t="shared" si="9"/>
        <v/>
      </c>
      <c r="AF105" s="81"/>
      <c r="AG105" s="77"/>
      <c r="AH105" s="81"/>
      <c r="AI105" s="77"/>
      <c r="AJ105" s="82" t="str">
        <f t="shared" si="10"/>
        <v/>
      </c>
      <c r="AK105" s="83" t="str">
        <f t="shared" si="11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8"/>
        <v/>
      </c>
      <c r="AE106" s="80" t="str">
        <f t="shared" si="9"/>
        <v/>
      </c>
      <c r="AF106" s="81"/>
      <c r="AG106" s="77"/>
      <c r="AH106" s="81"/>
      <c r="AI106" s="77"/>
      <c r="AJ106" s="82" t="str">
        <f t="shared" si="10"/>
        <v/>
      </c>
      <c r="AK106" s="83" t="str">
        <f t="shared" si="11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8"/>
        <v/>
      </c>
      <c r="AE107" s="80" t="str">
        <f t="shared" si="9"/>
        <v/>
      </c>
      <c r="AF107" s="81"/>
      <c r="AG107" s="77"/>
      <c r="AH107" s="81"/>
      <c r="AI107" s="77"/>
      <c r="AJ107" s="82" t="str">
        <f t="shared" si="10"/>
        <v/>
      </c>
      <c r="AK107" s="83" t="str">
        <f t="shared" si="11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8"/>
        <v/>
      </c>
      <c r="AE108" s="80" t="str">
        <f t="shared" si="9"/>
        <v/>
      </c>
      <c r="AF108" s="81"/>
      <c r="AG108" s="77"/>
      <c r="AH108" s="81"/>
      <c r="AI108" s="77"/>
      <c r="AJ108" s="82" t="str">
        <f t="shared" si="10"/>
        <v/>
      </c>
      <c r="AK108" s="83" t="str">
        <f t="shared" si="11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8"/>
        <v/>
      </c>
      <c r="AE109" s="80" t="str">
        <f t="shared" si="9"/>
        <v/>
      </c>
      <c r="AF109" s="81"/>
      <c r="AG109" s="77"/>
      <c r="AH109" s="81"/>
      <c r="AI109" s="77"/>
      <c r="AJ109" s="82" t="str">
        <f t="shared" si="10"/>
        <v/>
      </c>
      <c r="AK109" s="83" t="str">
        <f t="shared" si="11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8"/>
        <v/>
      </c>
      <c r="AE110" s="80" t="str">
        <f t="shared" si="9"/>
        <v/>
      </c>
      <c r="AF110" s="81"/>
      <c r="AG110" s="77"/>
      <c r="AH110" s="81"/>
      <c r="AI110" s="77"/>
      <c r="AJ110" s="82" t="str">
        <f t="shared" si="10"/>
        <v/>
      </c>
      <c r="AK110" s="83" t="str">
        <f t="shared" si="11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8"/>
        <v/>
      </c>
      <c r="AE111" s="80" t="str">
        <f t="shared" si="9"/>
        <v/>
      </c>
      <c r="AF111" s="81"/>
      <c r="AG111" s="77"/>
      <c r="AH111" s="81"/>
      <c r="AI111" s="77"/>
      <c r="AJ111" s="82" t="str">
        <f t="shared" si="10"/>
        <v/>
      </c>
      <c r="AK111" s="83" t="str">
        <f t="shared" si="11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8"/>
        <v/>
      </c>
      <c r="AE112" s="80" t="str">
        <f t="shared" si="9"/>
        <v/>
      </c>
      <c r="AF112" s="81"/>
      <c r="AG112" s="77"/>
      <c r="AH112" s="81"/>
      <c r="AI112" s="77"/>
      <c r="AJ112" s="82" t="str">
        <f t="shared" si="10"/>
        <v/>
      </c>
      <c r="AK112" s="83" t="str">
        <f t="shared" si="11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8"/>
        <v/>
      </c>
      <c r="AE113" s="80" t="str">
        <f t="shared" si="9"/>
        <v/>
      </c>
      <c r="AF113" s="81"/>
      <c r="AG113" s="77"/>
      <c r="AH113" s="81"/>
      <c r="AI113" s="77"/>
      <c r="AJ113" s="82" t="str">
        <f t="shared" si="10"/>
        <v/>
      </c>
      <c r="AK113" s="83" t="str">
        <f t="shared" si="11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8"/>
        <v/>
      </c>
      <c r="AE114" s="80" t="str">
        <f t="shared" si="9"/>
        <v/>
      </c>
      <c r="AF114" s="81"/>
      <c r="AG114" s="77"/>
      <c r="AH114" s="81"/>
      <c r="AI114" s="77"/>
      <c r="AJ114" s="82" t="str">
        <f t="shared" si="10"/>
        <v/>
      </c>
      <c r="AK114" s="83" t="str">
        <f t="shared" si="11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8"/>
        <v/>
      </c>
      <c r="AE115" s="80" t="str">
        <f t="shared" si="9"/>
        <v/>
      </c>
      <c r="AF115" s="81"/>
      <c r="AG115" s="77"/>
      <c r="AH115" s="81"/>
      <c r="AI115" s="77"/>
      <c r="AJ115" s="82" t="str">
        <f t="shared" si="10"/>
        <v/>
      </c>
      <c r="AK115" s="83" t="str">
        <f t="shared" si="11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8"/>
        <v/>
      </c>
      <c r="AE116" s="80" t="str">
        <f t="shared" si="9"/>
        <v/>
      </c>
      <c r="AF116" s="81"/>
      <c r="AG116" s="77"/>
      <c r="AH116" s="81"/>
      <c r="AI116" s="77"/>
      <c r="AJ116" s="82" t="str">
        <f t="shared" si="10"/>
        <v/>
      </c>
      <c r="AK116" s="83" t="str">
        <f t="shared" si="11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8"/>
        <v/>
      </c>
      <c r="AE117" s="80" t="str">
        <f t="shared" si="9"/>
        <v/>
      </c>
      <c r="AF117" s="81"/>
      <c r="AG117" s="77"/>
      <c r="AH117" s="81"/>
      <c r="AI117" s="77"/>
      <c r="AJ117" s="82" t="str">
        <f t="shared" si="10"/>
        <v/>
      </c>
      <c r="AK117" s="83" t="str">
        <f t="shared" si="11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8"/>
        <v/>
      </c>
      <c r="AE118" s="80" t="str">
        <f t="shared" si="9"/>
        <v/>
      </c>
      <c r="AF118" s="81"/>
      <c r="AG118" s="77"/>
      <c r="AH118" s="81"/>
      <c r="AI118" s="77"/>
      <c r="AJ118" s="82" t="str">
        <f t="shared" si="10"/>
        <v/>
      </c>
      <c r="AK118" s="83" t="str">
        <f t="shared" si="11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8"/>
        <v/>
      </c>
      <c r="AE119" s="80" t="str">
        <f t="shared" si="9"/>
        <v/>
      </c>
      <c r="AF119" s="81"/>
      <c r="AG119" s="77"/>
      <c r="AH119" s="81"/>
      <c r="AI119" s="77"/>
      <c r="AJ119" s="82" t="str">
        <f t="shared" si="10"/>
        <v/>
      </c>
      <c r="AK119" s="83" t="str">
        <f t="shared" si="11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8"/>
        <v/>
      </c>
      <c r="AE120" s="80" t="str">
        <f t="shared" si="9"/>
        <v/>
      </c>
      <c r="AF120" s="81"/>
      <c r="AG120" s="77"/>
      <c r="AH120" s="81"/>
      <c r="AI120" s="77"/>
      <c r="AJ120" s="82" t="str">
        <f t="shared" si="10"/>
        <v/>
      </c>
      <c r="AK120" s="83" t="str">
        <f t="shared" si="11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8"/>
        <v/>
      </c>
      <c r="AE121" s="80" t="str">
        <f t="shared" si="9"/>
        <v/>
      </c>
      <c r="AF121" s="81"/>
      <c r="AG121" s="77"/>
      <c r="AH121" s="81"/>
      <c r="AI121" s="77"/>
      <c r="AJ121" s="82" t="str">
        <f t="shared" si="10"/>
        <v/>
      </c>
      <c r="AK121" s="83" t="str">
        <f t="shared" si="11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8"/>
        <v/>
      </c>
      <c r="AE122" s="80" t="str">
        <f t="shared" si="9"/>
        <v/>
      </c>
      <c r="AF122" s="81"/>
      <c r="AG122" s="77"/>
      <c r="AH122" s="81"/>
      <c r="AI122" s="77"/>
      <c r="AJ122" s="82" t="str">
        <f t="shared" si="10"/>
        <v/>
      </c>
      <c r="AK122" s="83" t="str">
        <f t="shared" si="11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8"/>
        <v/>
      </c>
      <c r="AE123" s="80" t="str">
        <f t="shared" si="9"/>
        <v/>
      </c>
      <c r="AF123" s="81"/>
      <c r="AG123" s="77"/>
      <c r="AH123" s="81"/>
      <c r="AI123" s="77"/>
      <c r="AJ123" s="82" t="str">
        <f t="shared" si="10"/>
        <v/>
      </c>
      <c r="AK123" s="83" t="str">
        <f t="shared" si="11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8"/>
        <v/>
      </c>
      <c r="AE124" s="80" t="str">
        <f t="shared" si="9"/>
        <v/>
      </c>
      <c r="AF124" s="81"/>
      <c r="AG124" s="77"/>
      <c r="AH124" s="81"/>
      <c r="AI124" s="77"/>
      <c r="AJ124" s="82" t="str">
        <f t="shared" si="10"/>
        <v/>
      </c>
      <c r="AK124" s="83" t="str">
        <f t="shared" si="11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8"/>
        <v/>
      </c>
      <c r="AE125" s="80" t="str">
        <f t="shared" si="9"/>
        <v/>
      </c>
      <c r="AF125" s="81"/>
      <c r="AG125" s="77"/>
      <c r="AH125" s="81"/>
      <c r="AI125" s="77"/>
      <c r="AJ125" s="82" t="str">
        <f t="shared" si="10"/>
        <v/>
      </c>
      <c r="AK125" s="83" t="str">
        <f t="shared" si="11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8"/>
        <v/>
      </c>
      <c r="AE126" s="80" t="str">
        <f t="shared" si="9"/>
        <v/>
      </c>
      <c r="AF126" s="81"/>
      <c r="AG126" s="77"/>
      <c r="AH126" s="81"/>
      <c r="AI126" s="77"/>
      <c r="AJ126" s="82" t="str">
        <f t="shared" si="10"/>
        <v/>
      </c>
      <c r="AK126" s="83" t="str">
        <f t="shared" si="11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8"/>
        <v/>
      </c>
      <c r="AE127" s="80" t="str">
        <f t="shared" si="9"/>
        <v/>
      </c>
      <c r="AF127" s="81"/>
      <c r="AG127" s="77"/>
      <c r="AH127" s="81"/>
      <c r="AI127" s="77"/>
      <c r="AJ127" s="82" t="str">
        <f t="shared" si="10"/>
        <v/>
      </c>
      <c r="AK127" s="83" t="str">
        <f t="shared" si="11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8"/>
        <v/>
      </c>
      <c r="AE128" s="80" t="str">
        <f t="shared" si="9"/>
        <v/>
      </c>
      <c r="AF128" s="81"/>
      <c r="AG128" s="77"/>
      <c r="AH128" s="81"/>
      <c r="AI128" s="77"/>
      <c r="AJ128" s="82" t="str">
        <f t="shared" si="10"/>
        <v/>
      </c>
      <c r="AK128" s="83" t="str">
        <f t="shared" si="11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8"/>
        <v/>
      </c>
      <c r="AE129" s="80" t="str">
        <f t="shared" si="9"/>
        <v/>
      </c>
      <c r="AF129" s="81"/>
      <c r="AG129" s="77"/>
      <c r="AH129" s="81"/>
      <c r="AI129" s="77"/>
      <c r="AJ129" s="82" t="str">
        <f t="shared" si="10"/>
        <v/>
      </c>
      <c r="AK129" s="83" t="str">
        <f t="shared" si="11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8"/>
        <v/>
      </c>
      <c r="AE130" s="80" t="str">
        <f t="shared" si="9"/>
        <v/>
      </c>
      <c r="AF130" s="81"/>
      <c r="AG130" s="77"/>
      <c r="AH130" s="81"/>
      <c r="AI130" s="77"/>
      <c r="AJ130" s="82" t="str">
        <f t="shared" si="10"/>
        <v/>
      </c>
      <c r="AK130" s="83" t="str">
        <f t="shared" si="11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8"/>
        <v/>
      </c>
      <c r="AE131" s="80" t="str">
        <f t="shared" si="9"/>
        <v/>
      </c>
      <c r="AF131" s="81"/>
      <c r="AG131" s="77"/>
      <c r="AH131" s="81"/>
      <c r="AI131" s="77"/>
      <c r="AJ131" s="82" t="str">
        <f t="shared" si="10"/>
        <v/>
      </c>
      <c r="AK131" s="83" t="str">
        <f t="shared" si="11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12">IF(MIN(F132,J132,N132,R132,V132,Z132)&lt;&gt;0,MIN(F132,J132,N132,R132,V132,Z132),"")</f>
        <v/>
      </c>
      <c r="AE132" s="80" t="str">
        <f t="shared" ref="AE132:AE195" si="13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4">IF(AD132="","",IF(ISBLANK(AF132),"En cours",AD132+AF132))</f>
        <v/>
      </c>
      <c r="AK132" s="83" t="str">
        <f t="shared" ref="AK132:AK195" si="15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12"/>
        <v/>
      </c>
      <c r="AE133" s="80" t="str">
        <f t="shared" si="13"/>
        <v/>
      </c>
      <c r="AF133" s="81"/>
      <c r="AG133" s="77"/>
      <c r="AH133" s="81"/>
      <c r="AI133" s="77"/>
      <c r="AJ133" s="82" t="str">
        <f t="shared" si="14"/>
        <v/>
      </c>
      <c r="AK133" s="83" t="str">
        <f t="shared" si="15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12"/>
        <v/>
      </c>
      <c r="AE134" s="80" t="str">
        <f t="shared" si="13"/>
        <v/>
      </c>
      <c r="AF134" s="81"/>
      <c r="AG134" s="77"/>
      <c r="AH134" s="81"/>
      <c r="AI134" s="77"/>
      <c r="AJ134" s="82" t="str">
        <f t="shared" si="14"/>
        <v/>
      </c>
      <c r="AK134" s="83" t="str">
        <f t="shared" si="15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12"/>
        <v/>
      </c>
      <c r="AE135" s="80" t="str">
        <f t="shared" si="13"/>
        <v/>
      </c>
      <c r="AF135" s="81"/>
      <c r="AG135" s="77"/>
      <c r="AH135" s="81"/>
      <c r="AI135" s="77"/>
      <c r="AJ135" s="82" t="str">
        <f t="shared" si="14"/>
        <v/>
      </c>
      <c r="AK135" s="83" t="str">
        <f t="shared" si="15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12"/>
        <v/>
      </c>
      <c r="AE136" s="80" t="str">
        <f t="shared" si="13"/>
        <v/>
      </c>
      <c r="AF136" s="81"/>
      <c r="AG136" s="77"/>
      <c r="AH136" s="81"/>
      <c r="AI136" s="77"/>
      <c r="AJ136" s="82" t="str">
        <f t="shared" si="14"/>
        <v/>
      </c>
      <c r="AK136" s="83" t="str">
        <f t="shared" si="15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12"/>
        <v/>
      </c>
      <c r="AE137" s="80" t="str">
        <f t="shared" si="13"/>
        <v/>
      </c>
      <c r="AF137" s="81"/>
      <c r="AG137" s="77"/>
      <c r="AH137" s="81"/>
      <c r="AI137" s="77"/>
      <c r="AJ137" s="82" t="str">
        <f t="shared" si="14"/>
        <v/>
      </c>
      <c r="AK137" s="83" t="str">
        <f t="shared" si="15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12"/>
        <v/>
      </c>
      <c r="AE138" s="80" t="str">
        <f t="shared" si="13"/>
        <v/>
      </c>
      <c r="AF138" s="81"/>
      <c r="AG138" s="77"/>
      <c r="AH138" s="81"/>
      <c r="AI138" s="77"/>
      <c r="AJ138" s="82" t="str">
        <f t="shared" si="14"/>
        <v/>
      </c>
      <c r="AK138" s="83" t="str">
        <f t="shared" si="15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12"/>
        <v/>
      </c>
      <c r="AE139" s="80" t="str">
        <f t="shared" si="13"/>
        <v/>
      </c>
      <c r="AF139" s="81"/>
      <c r="AG139" s="77"/>
      <c r="AH139" s="81"/>
      <c r="AI139" s="77"/>
      <c r="AJ139" s="82" t="str">
        <f t="shared" si="14"/>
        <v/>
      </c>
      <c r="AK139" s="83" t="str">
        <f t="shared" si="15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12"/>
        <v/>
      </c>
      <c r="AE140" s="80" t="str">
        <f t="shared" si="13"/>
        <v/>
      </c>
      <c r="AF140" s="81"/>
      <c r="AG140" s="77"/>
      <c r="AH140" s="81"/>
      <c r="AI140" s="77"/>
      <c r="AJ140" s="82" t="str">
        <f t="shared" si="14"/>
        <v/>
      </c>
      <c r="AK140" s="83" t="str">
        <f t="shared" si="15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12"/>
        <v/>
      </c>
      <c r="AE141" s="80" t="str">
        <f t="shared" si="13"/>
        <v/>
      </c>
      <c r="AF141" s="81"/>
      <c r="AG141" s="77"/>
      <c r="AH141" s="81"/>
      <c r="AI141" s="77"/>
      <c r="AJ141" s="82" t="str">
        <f t="shared" si="14"/>
        <v/>
      </c>
      <c r="AK141" s="83" t="str">
        <f t="shared" si="15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12"/>
        <v/>
      </c>
      <c r="AE142" s="80" t="str">
        <f t="shared" si="13"/>
        <v/>
      </c>
      <c r="AF142" s="81"/>
      <c r="AG142" s="77"/>
      <c r="AH142" s="81"/>
      <c r="AI142" s="77"/>
      <c r="AJ142" s="82" t="str">
        <f t="shared" si="14"/>
        <v/>
      </c>
      <c r="AK142" s="83" t="str">
        <f t="shared" si="15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12"/>
        <v/>
      </c>
      <c r="AE143" s="80" t="str">
        <f t="shared" si="13"/>
        <v/>
      </c>
      <c r="AF143" s="81"/>
      <c r="AG143" s="77"/>
      <c r="AH143" s="81"/>
      <c r="AI143" s="77"/>
      <c r="AJ143" s="82" t="str">
        <f t="shared" si="14"/>
        <v/>
      </c>
      <c r="AK143" s="83" t="str">
        <f t="shared" si="15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12"/>
        <v/>
      </c>
      <c r="AE144" s="80" t="str">
        <f t="shared" si="13"/>
        <v/>
      </c>
      <c r="AF144" s="81"/>
      <c r="AG144" s="77"/>
      <c r="AH144" s="81"/>
      <c r="AI144" s="77"/>
      <c r="AJ144" s="82" t="str">
        <f t="shared" si="14"/>
        <v/>
      </c>
      <c r="AK144" s="83" t="str">
        <f t="shared" si="15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12"/>
        <v/>
      </c>
      <c r="AE145" s="80" t="str">
        <f t="shared" si="13"/>
        <v/>
      </c>
      <c r="AF145" s="81"/>
      <c r="AG145" s="77"/>
      <c r="AH145" s="81"/>
      <c r="AI145" s="77"/>
      <c r="AJ145" s="82" t="str">
        <f t="shared" si="14"/>
        <v/>
      </c>
      <c r="AK145" s="83" t="str">
        <f t="shared" si="15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12"/>
        <v/>
      </c>
      <c r="AE146" s="80" t="str">
        <f t="shared" si="13"/>
        <v/>
      </c>
      <c r="AF146" s="81"/>
      <c r="AG146" s="77"/>
      <c r="AH146" s="81"/>
      <c r="AI146" s="77"/>
      <c r="AJ146" s="82" t="str">
        <f t="shared" si="14"/>
        <v/>
      </c>
      <c r="AK146" s="83" t="str">
        <f t="shared" si="15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12"/>
        <v/>
      </c>
      <c r="AE147" s="80" t="str">
        <f t="shared" si="13"/>
        <v/>
      </c>
      <c r="AF147" s="81"/>
      <c r="AG147" s="77"/>
      <c r="AH147" s="81"/>
      <c r="AI147" s="77"/>
      <c r="AJ147" s="82" t="str">
        <f t="shared" si="14"/>
        <v/>
      </c>
      <c r="AK147" s="83" t="str">
        <f t="shared" si="15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12"/>
        <v/>
      </c>
      <c r="AE148" s="80" t="str">
        <f t="shared" si="13"/>
        <v/>
      </c>
      <c r="AF148" s="81"/>
      <c r="AG148" s="77"/>
      <c r="AH148" s="81"/>
      <c r="AI148" s="77"/>
      <c r="AJ148" s="82" t="str">
        <f t="shared" si="14"/>
        <v/>
      </c>
      <c r="AK148" s="83" t="str">
        <f t="shared" si="15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12"/>
        <v/>
      </c>
      <c r="AE149" s="80" t="str">
        <f t="shared" si="13"/>
        <v/>
      </c>
      <c r="AF149" s="81"/>
      <c r="AG149" s="77"/>
      <c r="AH149" s="81"/>
      <c r="AI149" s="77"/>
      <c r="AJ149" s="82" t="str">
        <f t="shared" si="14"/>
        <v/>
      </c>
      <c r="AK149" s="83" t="str">
        <f t="shared" si="15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12"/>
        <v/>
      </c>
      <c r="AE150" s="80" t="str">
        <f t="shared" si="13"/>
        <v/>
      </c>
      <c r="AF150" s="81"/>
      <c r="AG150" s="77"/>
      <c r="AH150" s="81"/>
      <c r="AI150" s="77"/>
      <c r="AJ150" s="82" t="str">
        <f t="shared" si="14"/>
        <v/>
      </c>
      <c r="AK150" s="83" t="str">
        <f t="shared" si="15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12"/>
        <v/>
      </c>
      <c r="AE151" s="80" t="str">
        <f t="shared" si="13"/>
        <v/>
      </c>
      <c r="AF151" s="81"/>
      <c r="AG151" s="77"/>
      <c r="AH151" s="81"/>
      <c r="AI151" s="77"/>
      <c r="AJ151" s="82" t="str">
        <f t="shared" si="14"/>
        <v/>
      </c>
      <c r="AK151" s="83" t="str">
        <f t="shared" si="15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12"/>
        <v/>
      </c>
      <c r="AE152" s="80" t="str">
        <f t="shared" si="13"/>
        <v/>
      </c>
      <c r="AF152" s="81"/>
      <c r="AG152" s="77"/>
      <c r="AH152" s="81"/>
      <c r="AI152" s="77"/>
      <c r="AJ152" s="82" t="str">
        <f t="shared" si="14"/>
        <v/>
      </c>
      <c r="AK152" s="83" t="str">
        <f t="shared" si="15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12"/>
        <v/>
      </c>
      <c r="AE153" s="80" t="str">
        <f t="shared" si="13"/>
        <v/>
      </c>
      <c r="AF153" s="81"/>
      <c r="AG153" s="77"/>
      <c r="AH153" s="81"/>
      <c r="AI153" s="77"/>
      <c r="AJ153" s="82" t="str">
        <f t="shared" si="14"/>
        <v/>
      </c>
      <c r="AK153" s="83" t="str">
        <f t="shared" si="15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12"/>
        <v/>
      </c>
      <c r="AE154" s="80" t="str">
        <f t="shared" si="13"/>
        <v/>
      </c>
      <c r="AF154" s="81"/>
      <c r="AG154" s="77"/>
      <c r="AH154" s="81"/>
      <c r="AI154" s="77"/>
      <c r="AJ154" s="82" t="str">
        <f t="shared" si="14"/>
        <v/>
      </c>
      <c r="AK154" s="83" t="str">
        <f t="shared" si="15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12"/>
        <v/>
      </c>
      <c r="AE155" s="80" t="str">
        <f t="shared" si="13"/>
        <v/>
      </c>
      <c r="AF155" s="81"/>
      <c r="AG155" s="77"/>
      <c r="AH155" s="81"/>
      <c r="AI155" s="77"/>
      <c r="AJ155" s="82" t="str">
        <f t="shared" si="14"/>
        <v/>
      </c>
      <c r="AK155" s="83" t="str">
        <f t="shared" si="15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12"/>
        <v/>
      </c>
      <c r="AE156" s="80" t="str">
        <f t="shared" si="13"/>
        <v/>
      </c>
      <c r="AF156" s="81"/>
      <c r="AG156" s="77"/>
      <c r="AH156" s="81"/>
      <c r="AI156" s="77"/>
      <c r="AJ156" s="82" t="str">
        <f t="shared" si="14"/>
        <v/>
      </c>
      <c r="AK156" s="83" t="str">
        <f t="shared" si="15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12"/>
        <v/>
      </c>
      <c r="AE157" s="80" t="str">
        <f t="shared" si="13"/>
        <v/>
      </c>
      <c r="AF157" s="81"/>
      <c r="AG157" s="77"/>
      <c r="AH157" s="81"/>
      <c r="AI157" s="77"/>
      <c r="AJ157" s="82" t="str">
        <f t="shared" si="14"/>
        <v/>
      </c>
      <c r="AK157" s="83" t="str">
        <f t="shared" si="15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12"/>
        <v/>
      </c>
      <c r="AE158" s="80" t="str">
        <f t="shared" si="13"/>
        <v/>
      </c>
      <c r="AF158" s="81"/>
      <c r="AG158" s="77"/>
      <c r="AH158" s="81"/>
      <c r="AI158" s="77"/>
      <c r="AJ158" s="82" t="str">
        <f t="shared" si="14"/>
        <v/>
      </c>
      <c r="AK158" s="83" t="str">
        <f t="shared" si="15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12"/>
        <v/>
      </c>
      <c r="AE159" s="80" t="str">
        <f t="shared" si="13"/>
        <v/>
      </c>
      <c r="AF159" s="81"/>
      <c r="AG159" s="77"/>
      <c r="AH159" s="81"/>
      <c r="AI159" s="77"/>
      <c r="AJ159" s="82" t="str">
        <f t="shared" si="14"/>
        <v/>
      </c>
      <c r="AK159" s="83" t="str">
        <f t="shared" si="15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12"/>
        <v/>
      </c>
      <c r="AE160" s="80" t="str">
        <f t="shared" si="13"/>
        <v/>
      </c>
      <c r="AF160" s="81"/>
      <c r="AG160" s="77"/>
      <c r="AH160" s="81"/>
      <c r="AI160" s="77"/>
      <c r="AJ160" s="82" t="str">
        <f t="shared" si="14"/>
        <v/>
      </c>
      <c r="AK160" s="83" t="str">
        <f t="shared" si="15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12"/>
        <v/>
      </c>
      <c r="AE161" s="80" t="str">
        <f t="shared" si="13"/>
        <v/>
      </c>
      <c r="AF161" s="81"/>
      <c r="AG161" s="77"/>
      <c r="AH161" s="81"/>
      <c r="AI161" s="77"/>
      <c r="AJ161" s="82" t="str">
        <f t="shared" si="14"/>
        <v/>
      </c>
      <c r="AK161" s="83" t="str">
        <f t="shared" si="15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12"/>
        <v/>
      </c>
      <c r="AE162" s="80" t="str">
        <f t="shared" si="13"/>
        <v/>
      </c>
      <c r="AF162" s="81"/>
      <c r="AG162" s="77"/>
      <c r="AH162" s="81"/>
      <c r="AI162" s="77"/>
      <c r="AJ162" s="82" t="str">
        <f t="shared" si="14"/>
        <v/>
      </c>
      <c r="AK162" s="83" t="str">
        <f t="shared" si="15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12"/>
        <v/>
      </c>
      <c r="AE163" s="80" t="str">
        <f t="shared" si="13"/>
        <v/>
      </c>
      <c r="AF163" s="81"/>
      <c r="AG163" s="77"/>
      <c r="AH163" s="81"/>
      <c r="AI163" s="77"/>
      <c r="AJ163" s="82" t="str">
        <f t="shared" si="14"/>
        <v/>
      </c>
      <c r="AK163" s="83" t="str">
        <f t="shared" si="15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12"/>
        <v/>
      </c>
      <c r="AE164" s="80" t="str">
        <f t="shared" si="13"/>
        <v/>
      </c>
      <c r="AF164" s="81"/>
      <c r="AG164" s="77"/>
      <c r="AH164" s="81"/>
      <c r="AI164" s="77"/>
      <c r="AJ164" s="82" t="str">
        <f t="shared" si="14"/>
        <v/>
      </c>
      <c r="AK164" s="83" t="str">
        <f t="shared" si="15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12"/>
        <v/>
      </c>
      <c r="AE165" s="80" t="str">
        <f t="shared" si="13"/>
        <v/>
      </c>
      <c r="AF165" s="81"/>
      <c r="AG165" s="77"/>
      <c r="AH165" s="81"/>
      <c r="AI165" s="77"/>
      <c r="AJ165" s="82" t="str">
        <f t="shared" si="14"/>
        <v/>
      </c>
      <c r="AK165" s="83" t="str">
        <f t="shared" si="15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12"/>
        <v/>
      </c>
      <c r="AE166" s="80" t="str">
        <f t="shared" si="13"/>
        <v/>
      </c>
      <c r="AF166" s="81"/>
      <c r="AG166" s="77"/>
      <c r="AH166" s="81"/>
      <c r="AI166" s="77"/>
      <c r="AJ166" s="82" t="str">
        <f t="shared" si="14"/>
        <v/>
      </c>
      <c r="AK166" s="83" t="str">
        <f t="shared" si="15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12"/>
        <v/>
      </c>
      <c r="AE167" s="80" t="str">
        <f t="shared" si="13"/>
        <v/>
      </c>
      <c r="AF167" s="81"/>
      <c r="AG167" s="77"/>
      <c r="AH167" s="81"/>
      <c r="AI167" s="77"/>
      <c r="AJ167" s="82" t="str">
        <f t="shared" si="14"/>
        <v/>
      </c>
      <c r="AK167" s="83" t="str">
        <f t="shared" si="15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12"/>
        <v/>
      </c>
      <c r="AE168" s="80" t="str">
        <f t="shared" si="13"/>
        <v/>
      </c>
      <c r="AF168" s="81"/>
      <c r="AG168" s="77"/>
      <c r="AH168" s="81"/>
      <c r="AI168" s="77"/>
      <c r="AJ168" s="82" t="str">
        <f t="shared" si="14"/>
        <v/>
      </c>
      <c r="AK168" s="83" t="str">
        <f t="shared" si="15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12"/>
        <v/>
      </c>
      <c r="AE169" s="80" t="str">
        <f t="shared" si="13"/>
        <v/>
      </c>
      <c r="AF169" s="81"/>
      <c r="AG169" s="77"/>
      <c r="AH169" s="81"/>
      <c r="AI169" s="77"/>
      <c r="AJ169" s="82" t="str">
        <f t="shared" si="14"/>
        <v/>
      </c>
      <c r="AK169" s="83" t="str">
        <f t="shared" si="15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12"/>
        <v/>
      </c>
      <c r="AE170" s="80" t="str">
        <f t="shared" si="13"/>
        <v/>
      </c>
      <c r="AF170" s="81"/>
      <c r="AG170" s="77"/>
      <c r="AH170" s="81"/>
      <c r="AI170" s="77"/>
      <c r="AJ170" s="82" t="str">
        <f t="shared" si="14"/>
        <v/>
      </c>
      <c r="AK170" s="83" t="str">
        <f t="shared" si="15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12"/>
        <v/>
      </c>
      <c r="AE171" s="80" t="str">
        <f t="shared" si="13"/>
        <v/>
      </c>
      <c r="AF171" s="81"/>
      <c r="AG171" s="77"/>
      <c r="AH171" s="81"/>
      <c r="AI171" s="77"/>
      <c r="AJ171" s="82" t="str">
        <f t="shared" si="14"/>
        <v/>
      </c>
      <c r="AK171" s="83" t="str">
        <f t="shared" si="15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12"/>
        <v/>
      </c>
      <c r="AE172" s="80" t="str">
        <f t="shared" si="13"/>
        <v/>
      </c>
      <c r="AF172" s="81"/>
      <c r="AG172" s="77"/>
      <c r="AH172" s="81"/>
      <c r="AI172" s="77"/>
      <c r="AJ172" s="82" t="str">
        <f t="shared" si="14"/>
        <v/>
      </c>
      <c r="AK172" s="83" t="str">
        <f t="shared" si="15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12"/>
        <v/>
      </c>
      <c r="AE173" s="80" t="str">
        <f t="shared" si="13"/>
        <v/>
      </c>
      <c r="AF173" s="81"/>
      <c r="AG173" s="77"/>
      <c r="AH173" s="81"/>
      <c r="AI173" s="77"/>
      <c r="AJ173" s="82" t="str">
        <f t="shared" si="14"/>
        <v/>
      </c>
      <c r="AK173" s="83" t="str">
        <f t="shared" si="15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12"/>
        <v/>
      </c>
      <c r="AE174" s="80" t="str">
        <f t="shared" si="13"/>
        <v/>
      </c>
      <c r="AF174" s="81"/>
      <c r="AG174" s="77"/>
      <c r="AH174" s="81"/>
      <c r="AI174" s="77"/>
      <c r="AJ174" s="82" t="str">
        <f t="shared" si="14"/>
        <v/>
      </c>
      <c r="AK174" s="83" t="str">
        <f t="shared" si="15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12"/>
        <v/>
      </c>
      <c r="AE175" s="80" t="str">
        <f t="shared" si="13"/>
        <v/>
      </c>
      <c r="AF175" s="81"/>
      <c r="AG175" s="77"/>
      <c r="AH175" s="81"/>
      <c r="AI175" s="77"/>
      <c r="AJ175" s="82" t="str">
        <f t="shared" si="14"/>
        <v/>
      </c>
      <c r="AK175" s="83" t="str">
        <f t="shared" si="15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12"/>
        <v/>
      </c>
      <c r="AE176" s="80" t="str">
        <f t="shared" si="13"/>
        <v/>
      </c>
      <c r="AF176" s="81"/>
      <c r="AG176" s="77"/>
      <c r="AH176" s="81"/>
      <c r="AI176" s="77"/>
      <c r="AJ176" s="82" t="str">
        <f t="shared" si="14"/>
        <v/>
      </c>
      <c r="AK176" s="83" t="str">
        <f t="shared" si="15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12"/>
        <v/>
      </c>
      <c r="AE177" s="80" t="str">
        <f t="shared" si="13"/>
        <v/>
      </c>
      <c r="AF177" s="81"/>
      <c r="AG177" s="77"/>
      <c r="AH177" s="81"/>
      <c r="AI177" s="77"/>
      <c r="AJ177" s="82" t="str">
        <f t="shared" si="14"/>
        <v/>
      </c>
      <c r="AK177" s="83" t="str">
        <f t="shared" si="15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12"/>
        <v/>
      </c>
      <c r="AE178" s="80" t="str">
        <f t="shared" si="13"/>
        <v/>
      </c>
      <c r="AF178" s="81"/>
      <c r="AG178" s="77"/>
      <c r="AH178" s="81"/>
      <c r="AI178" s="77"/>
      <c r="AJ178" s="82" t="str">
        <f t="shared" si="14"/>
        <v/>
      </c>
      <c r="AK178" s="83" t="str">
        <f t="shared" si="15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12"/>
        <v/>
      </c>
      <c r="AE179" s="80" t="str">
        <f t="shared" si="13"/>
        <v/>
      </c>
      <c r="AF179" s="81"/>
      <c r="AG179" s="77"/>
      <c r="AH179" s="81"/>
      <c r="AI179" s="77"/>
      <c r="AJ179" s="82" t="str">
        <f t="shared" si="14"/>
        <v/>
      </c>
      <c r="AK179" s="83" t="str">
        <f t="shared" si="15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2"/>
        <v/>
      </c>
      <c r="AE180" s="80" t="str">
        <f t="shared" si="13"/>
        <v/>
      </c>
      <c r="AF180" s="81"/>
      <c r="AG180" s="77"/>
      <c r="AH180" s="81"/>
      <c r="AI180" s="77"/>
      <c r="AJ180" s="82" t="str">
        <f t="shared" si="14"/>
        <v/>
      </c>
      <c r="AK180" s="83" t="str">
        <f t="shared" si="15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2"/>
        <v/>
      </c>
      <c r="AE181" s="80" t="str">
        <f t="shared" si="13"/>
        <v/>
      </c>
      <c r="AF181" s="81"/>
      <c r="AG181" s="77"/>
      <c r="AH181" s="81"/>
      <c r="AI181" s="77"/>
      <c r="AJ181" s="82" t="str">
        <f t="shared" si="14"/>
        <v/>
      </c>
      <c r="AK181" s="83" t="str">
        <f t="shared" si="15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2"/>
        <v/>
      </c>
      <c r="AE182" s="80" t="str">
        <f t="shared" si="13"/>
        <v/>
      </c>
      <c r="AF182" s="81"/>
      <c r="AG182" s="77"/>
      <c r="AH182" s="81"/>
      <c r="AI182" s="77"/>
      <c r="AJ182" s="82" t="str">
        <f t="shared" si="14"/>
        <v/>
      </c>
      <c r="AK182" s="83" t="str">
        <f t="shared" si="15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2"/>
        <v/>
      </c>
      <c r="AE183" s="80" t="str">
        <f t="shared" si="13"/>
        <v/>
      </c>
      <c r="AF183" s="81"/>
      <c r="AG183" s="77"/>
      <c r="AH183" s="81"/>
      <c r="AI183" s="77"/>
      <c r="AJ183" s="82" t="str">
        <f t="shared" si="14"/>
        <v/>
      </c>
      <c r="AK183" s="83" t="str">
        <f t="shared" si="15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2"/>
        <v/>
      </c>
      <c r="AE184" s="80" t="str">
        <f t="shared" si="13"/>
        <v/>
      </c>
      <c r="AF184" s="81"/>
      <c r="AG184" s="77"/>
      <c r="AH184" s="81"/>
      <c r="AI184" s="77"/>
      <c r="AJ184" s="82" t="str">
        <f t="shared" si="14"/>
        <v/>
      </c>
      <c r="AK184" s="83" t="str">
        <f t="shared" si="15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2"/>
        <v/>
      </c>
      <c r="AE185" s="80" t="str">
        <f t="shared" si="13"/>
        <v/>
      </c>
      <c r="AF185" s="81"/>
      <c r="AG185" s="77"/>
      <c r="AH185" s="81"/>
      <c r="AI185" s="77"/>
      <c r="AJ185" s="82" t="str">
        <f t="shared" si="14"/>
        <v/>
      </c>
      <c r="AK185" s="83" t="str">
        <f t="shared" si="15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2"/>
        <v/>
      </c>
      <c r="AE186" s="80" t="str">
        <f t="shared" si="13"/>
        <v/>
      </c>
      <c r="AF186" s="81"/>
      <c r="AG186" s="77"/>
      <c r="AH186" s="81"/>
      <c r="AI186" s="77"/>
      <c r="AJ186" s="82" t="str">
        <f t="shared" si="14"/>
        <v/>
      </c>
      <c r="AK186" s="83" t="str">
        <f t="shared" si="15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2"/>
        <v/>
      </c>
      <c r="AE187" s="80" t="str">
        <f t="shared" si="13"/>
        <v/>
      </c>
      <c r="AF187" s="81"/>
      <c r="AG187" s="77"/>
      <c r="AH187" s="81"/>
      <c r="AI187" s="77"/>
      <c r="AJ187" s="82" t="str">
        <f t="shared" si="14"/>
        <v/>
      </c>
      <c r="AK187" s="83" t="str">
        <f t="shared" si="15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2"/>
        <v/>
      </c>
      <c r="AE188" s="80" t="str">
        <f t="shared" si="13"/>
        <v/>
      </c>
      <c r="AF188" s="81"/>
      <c r="AG188" s="77"/>
      <c r="AH188" s="81"/>
      <c r="AI188" s="77"/>
      <c r="AJ188" s="82" t="str">
        <f t="shared" si="14"/>
        <v/>
      </c>
      <c r="AK188" s="83" t="str">
        <f t="shared" si="15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2"/>
        <v/>
      </c>
      <c r="AE189" s="80" t="str">
        <f t="shared" si="13"/>
        <v/>
      </c>
      <c r="AF189" s="81"/>
      <c r="AG189" s="77"/>
      <c r="AH189" s="81"/>
      <c r="AI189" s="77"/>
      <c r="AJ189" s="82" t="str">
        <f t="shared" si="14"/>
        <v/>
      </c>
      <c r="AK189" s="83" t="str">
        <f t="shared" si="15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2"/>
        <v/>
      </c>
      <c r="AE190" s="80" t="str">
        <f t="shared" si="13"/>
        <v/>
      </c>
      <c r="AF190" s="81"/>
      <c r="AG190" s="77"/>
      <c r="AH190" s="81"/>
      <c r="AI190" s="77"/>
      <c r="AJ190" s="82" t="str">
        <f t="shared" si="14"/>
        <v/>
      </c>
      <c r="AK190" s="83" t="str">
        <f t="shared" si="15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2"/>
        <v/>
      </c>
      <c r="AE191" s="80" t="str">
        <f t="shared" si="13"/>
        <v/>
      </c>
      <c r="AF191" s="81"/>
      <c r="AG191" s="77"/>
      <c r="AH191" s="81"/>
      <c r="AI191" s="77"/>
      <c r="AJ191" s="82" t="str">
        <f t="shared" si="14"/>
        <v/>
      </c>
      <c r="AK191" s="83" t="str">
        <f t="shared" si="15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2"/>
        <v/>
      </c>
      <c r="AE192" s="80" t="str">
        <f t="shared" si="13"/>
        <v/>
      </c>
      <c r="AF192" s="81"/>
      <c r="AG192" s="77"/>
      <c r="AH192" s="81"/>
      <c r="AI192" s="77"/>
      <c r="AJ192" s="82" t="str">
        <f t="shared" si="14"/>
        <v/>
      </c>
      <c r="AK192" s="83" t="str">
        <f t="shared" si="15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2"/>
        <v/>
      </c>
      <c r="AE193" s="80" t="str">
        <f t="shared" si="13"/>
        <v/>
      </c>
      <c r="AF193" s="81"/>
      <c r="AG193" s="77"/>
      <c r="AH193" s="81"/>
      <c r="AI193" s="77"/>
      <c r="AJ193" s="82" t="str">
        <f t="shared" si="14"/>
        <v/>
      </c>
      <c r="AK193" s="83" t="str">
        <f t="shared" si="15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2"/>
        <v/>
      </c>
      <c r="AE194" s="80" t="str">
        <f t="shared" si="13"/>
        <v/>
      </c>
      <c r="AF194" s="81"/>
      <c r="AG194" s="77"/>
      <c r="AH194" s="81"/>
      <c r="AI194" s="77"/>
      <c r="AJ194" s="82" t="str">
        <f t="shared" si="14"/>
        <v/>
      </c>
      <c r="AK194" s="83" t="str">
        <f t="shared" si="15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2"/>
        <v/>
      </c>
      <c r="AE195" s="80" t="str">
        <f t="shared" si="13"/>
        <v/>
      </c>
      <c r="AF195" s="81"/>
      <c r="AG195" s="77"/>
      <c r="AH195" s="81"/>
      <c r="AI195" s="77"/>
      <c r="AJ195" s="82" t="str">
        <f t="shared" si="14"/>
        <v/>
      </c>
      <c r="AK195" s="83" t="str">
        <f t="shared" si="15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6">IF(MIN(F196,J196,N196,R196,V196,Z196)&lt;&gt;0,MIN(F196,J196,N196,R196,V196,Z196),"")</f>
        <v/>
      </c>
      <c r="AE196" s="80" t="str">
        <f t="shared" ref="AE196:AE259" si="17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8">IF(AD196="","",IF(ISBLANK(AF196),"En cours",AD196+AF196))</f>
        <v/>
      </c>
      <c r="AK196" s="83" t="str">
        <f t="shared" ref="AK196:AK259" si="19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6"/>
        <v/>
      </c>
      <c r="AE197" s="80" t="str">
        <f t="shared" si="17"/>
        <v/>
      </c>
      <c r="AF197" s="81"/>
      <c r="AG197" s="77"/>
      <c r="AH197" s="81"/>
      <c r="AI197" s="77"/>
      <c r="AJ197" s="82" t="str">
        <f t="shared" si="18"/>
        <v/>
      </c>
      <c r="AK197" s="83" t="str">
        <f t="shared" si="19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6"/>
        <v/>
      </c>
      <c r="AE198" s="80" t="str">
        <f t="shared" si="17"/>
        <v/>
      </c>
      <c r="AF198" s="81"/>
      <c r="AG198" s="77"/>
      <c r="AH198" s="81"/>
      <c r="AI198" s="77"/>
      <c r="AJ198" s="82" t="str">
        <f t="shared" si="18"/>
        <v/>
      </c>
      <c r="AK198" s="83" t="str">
        <f t="shared" si="19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6"/>
        <v/>
      </c>
      <c r="AE199" s="80" t="str">
        <f t="shared" si="17"/>
        <v/>
      </c>
      <c r="AF199" s="81"/>
      <c r="AG199" s="77"/>
      <c r="AH199" s="81"/>
      <c r="AI199" s="77"/>
      <c r="AJ199" s="82" t="str">
        <f t="shared" si="18"/>
        <v/>
      </c>
      <c r="AK199" s="83" t="str">
        <f t="shared" si="19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6"/>
        <v/>
      </c>
      <c r="AE200" s="80" t="str">
        <f t="shared" si="17"/>
        <v/>
      </c>
      <c r="AF200" s="81"/>
      <c r="AG200" s="77"/>
      <c r="AH200" s="81"/>
      <c r="AI200" s="77"/>
      <c r="AJ200" s="82" t="str">
        <f t="shared" si="18"/>
        <v/>
      </c>
      <c r="AK200" s="83" t="str">
        <f t="shared" si="19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6"/>
        <v/>
      </c>
      <c r="AE201" s="80" t="str">
        <f t="shared" si="17"/>
        <v/>
      </c>
      <c r="AF201" s="81"/>
      <c r="AG201" s="77"/>
      <c r="AH201" s="81"/>
      <c r="AI201" s="77"/>
      <c r="AJ201" s="82" t="str">
        <f t="shared" si="18"/>
        <v/>
      </c>
      <c r="AK201" s="83" t="str">
        <f t="shared" si="19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6"/>
        <v/>
      </c>
      <c r="AE202" s="80" t="str">
        <f t="shared" si="17"/>
        <v/>
      </c>
      <c r="AF202" s="81"/>
      <c r="AG202" s="77"/>
      <c r="AH202" s="81"/>
      <c r="AI202" s="77"/>
      <c r="AJ202" s="82" t="str">
        <f t="shared" si="18"/>
        <v/>
      </c>
      <c r="AK202" s="83" t="str">
        <f t="shared" si="19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6"/>
        <v/>
      </c>
      <c r="AE203" s="80" t="str">
        <f t="shared" si="17"/>
        <v/>
      </c>
      <c r="AF203" s="81"/>
      <c r="AG203" s="77"/>
      <c r="AH203" s="81"/>
      <c r="AI203" s="77"/>
      <c r="AJ203" s="82" t="str">
        <f t="shared" si="18"/>
        <v/>
      </c>
      <c r="AK203" s="83" t="str">
        <f t="shared" si="19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6"/>
        <v/>
      </c>
      <c r="AE204" s="80" t="str">
        <f t="shared" si="17"/>
        <v/>
      </c>
      <c r="AF204" s="81"/>
      <c r="AG204" s="77"/>
      <c r="AH204" s="81"/>
      <c r="AI204" s="77"/>
      <c r="AJ204" s="82" t="str">
        <f t="shared" si="18"/>
        <v/>
      </c>
      <c r="AK204" s="83" t="str">
        <f t="shared" si="19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6"/>
        <v/>
      </c>
      <c r="AE205" s="80" t="str">
        <f t="shared" si="17"/>
        <v/>
      </c>
      <c r="AF205" s="81"/>
      <c r="AG205" s="77"/>
      <c r="AH205" s="81"/>
      <c r="AI205" s="77"/>
      <c r="AJ205" s="82" t="str">
        <f t="shared" si="18"/>
        <v/>
      </c>
      <c r="AK205" s="83" t="str">
        <f t="shared" si="19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6"/>
        <v/>
      </c>
      <c r="AE206" s="80" t="str">
        <f t="shared" si="17"/>
        <v/>
      </c>
      <c r="AF206" s="81"/>
      <c r="AG206" s="77"/>
      <c r="AH206" s="81"/>
      <c r="AI206" s="77"/>
      <c r="AJ206" s="82" t="str">
        <f t="shared" si="18"/>
        <v/>
      </c>
      <c r="AK206" s="83" t="str">
        <f t="shared" si="19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6"/>
        <v/>
      </c>
      <c r="AE207" s="80" t="str">
        <f t="shared" si="17"/>
        <v/>
      </c>
      <c r="AF207" s="81"/>
      <c r="AG207" s="77"/>
      <c r="AH207" s="81"/>
      <c r="AI207" s="77"/>
      <c r="AJ207" s="82" t="str">
        <f t="shared" si="18"/>
        <v/>
      </c>
      <c r="AK207" s="83" t="str">
        <f t="shared" si="19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6"/>
        <v/>
      </c>
      <c r="AE208" s="80" t="str">
        <f t="shared" si="17"/>
        <v/>
      </c>
      <c r="AF208" s="81"/>
      <c r="AG208" s="77"/>
      <c r="AH208" s="81"/>
      <c r="AI208" s="77"/>
      <c r="AJ208" s="82" t="str">
        <f t="shared" si="18"/>
        <v/>
      </c>
      <c r="AK208" s="83" t="str">
        <f t="shared" si="19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6"/>
        <v/>
      </c>
      <c r="AE209" s="80" t="str">
        <f t="shared" si="17"/>
        <v/>
      </c>
      <c r="AF209" s="81"/>
      <c r="AG209" s="77"/>
      <c r="AH209" s="81"/>
      <c r="AI209" s="77"/>
      <c r="AJ209" s="82" t="str">
        <f t="shared" si="18"/>
        <v/>
      </c>
      <c r="AK209" s="83" t="str">
        <f t="shared" si="19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6"/>
        <v/>
      </c>
      <c r="AE210" s="80" t="str">
        <f t="shared" si="17"/>
        <v/>
      </c>
      <c r="AF210" s="81"/>
      <c r="AG210" s="77"/>
      <c r="AH210" s="81"/>
      <c r="AI210" s="77"/>
      <c r="AJ210" s="82" t="str">
        <f t="shared" si="18"/>
        <v/>
      </c>
      <c r="AK210" s="83" t="str">
        <f t="shared" si="19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6"/>
        <v/>
      </c>
      <c r="AE211" s="80" t="str">
        <f t="shared" si="17"/>
        <v/>
      </c>
      <c r="AF211" s="81"/>
      <c r="AG211" s="77"/>
      <c r="AH211" s="81"/>
      <c r="AI211" s="77"/>
      <c r="AJ211" s="82" t="str">
        <f t="shared" si="18"/>
        <v/>
      </c>
      <c r="AK211" s="83" t="str">
        <f t="shared" si="19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6"/>
        <v/>
      </c>
      <c r="AE212" s="80" t="str">
        <f t="shared" si="17"/>
        <v/>
      </c>
      <c r="AF212" s="81"/>
      <c r="AG212" s="77"/>
      <c r="AH212" s="81"/>
      <c r="AI212" s="77"/>
      <c r="AJ212" s="82" t="str">
        <f t="shared" si="18"/>
        <v/>
      </c>
      <c r="AK212" s="83" t="str">
        <f t="shared" si="19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6"/>
        <v/>
      </c>
      <c r="AE213" s="80" t="str">
        <f t="shared" si="17"/>
        <v/>
      </c>
      <c r="AF213" s="81"/>
      <c r="AG213" s="77"/>
      <c r="AH213" s="81"/>
      <c r="AI213" s="77"/>
      <c r="AJ213" s="82" t="str">
        <f t="shared" si="18"/>
        <v/>
      </c>
      <c r="AK213" s="83" t="str">
        <f t="shared" si="19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6"/>
        <v/>
      </c>
      <c r="AE214" s="80" t="str">
        <f t="shared" si="17"/>
        <v/>
      </c>
      <c r="AF214" s="81"/>
      <c r="AG214" s="77"/>
      <c r="AH214" s="81"/>
      <c r="AI214" s="77"/>
      <c r="AJ214" s="82" t="str">
        <f t="shared" si="18"/>
        <v/>
      </c>
      <c r="AK214" s="83" t="str">
        <f t="shared" si="19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6"/>
        <v/>
      </c>
      <c r="AE215" s="80" t="str">
        <f t="shared" si="17"/>
        <v/>
      </c>
      <c r="AF215" s="81"/>
      <c r="AG215" s="77"/>
      <c r="AH215" s="81"/>
      <c r="AI215" s="77"/>
      <c r="AJ215" s="82" t="str">
        <f t="shared" si="18"/>
        <v/>
      </c>
      <c r="AK215" s="83" t="str">
        <f t="shared" si="19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6"/>
        <v/>
      </c>
      <c r="AE216" s="80" t="str">
        <f t="shared" si="17"/>
        <v/>
      </c>
      <c r="AF216" s="81"/>
      <c r="AG216" s="77"/>
      <c r="AH216" s="81"/>
      <c r="AI216" s="77"/>
      <c r="AJ216" s="82" t="str">
        <f t="shared" si="18"/>
        <v/>
      </c>
      <c r="AK216" s="83" t="str">
        <f t="shared" si="19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6"/>
        <v/>
      </c>
      <c r="AE217" s="80" t="str">
        <f t="shared" si="17"/>
        <v/>
      </c>
      <c r="AF217" s="81"/>
      <c r="AG217" s="77"/>
      <c r="AH217" s="81"/>
      <c r="AI217" s="77"/>
      <c r="AJ217" s="82" t="str">
        <f t="shared" si="18"/>
        <v/>
      </c>
      <c r="AK217" s="83" t="str">
        <f t="shared" si="19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6"/>
        <v/>
      </c>
      <c r="AE218" s="80" t="str">
        <f t="shared" si="17"/>
        <v/>
      </c>
      <c r="AF218" s="81"/>
      <c r="AG218" s="77"/>
      <c r="AH218" s="81"/>
      <c r="AI218" s="77"/>
      <c r="AJ218" s="82" t="str">
        <f t="shared" si="18"/>
        <v/>
      </c>
      <c r="AK218" s="83" t="str">
        <f t="shared" si="19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6"/>
        <v/>
      </c>
      <c r="AE219" s="80" t="str">
        <f t="shared" si="17"/>
        <v/>
      </c>
      <c r="AF219" s="81"/>
      <c r="AG219" s="77"/>
      <c r="AH219" s="81"/>
      <c r="AI219" s="77"/>
      <c r="AJ219" s="82" t="str">
        <f t="shared" si="18"/>
        <v/>
      </c>
      <c r="AK219" s="83" t="str">
        <f t="shared" si="19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6"/>
        <v/>
      </c>
      <c r="AE220" s="80" t="str">
        <f t="shared" si="17"/>
        <v/>
      </c>
      <c r="AF220" s="81"/>
      <c r="AG220" s="77"/>
      <c r="AH220" s="81"/>
      <c r="AI220" s="77"/>
      <c r="AJ220" s="82" t="str">
        <f t="shared" si="18"/>
        <v/>
      </c>
      <c r="AK220" s="83" t="str">
        <f t="shared" si="19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6"/>
        <v/>
      </c>
      <c r="AE221" s="80" t="str">
        <f t="shared" si="17"/>
        <v/>
      </c>
      <c r="AF221" s="81"/>
      <c r="AG221" s="77"/>
      <c r="AH221" s="81"/>
      <c r="AI221" s="77"/>
      <c r="AJ221" s="82" t="str">
        <f t="shared" si="18"/>
        <v/>
      </c>
      <c r="AK221" s="83" t="str">
        <f t="shared" si="19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6"/>
        <v/>
      </c>
      <c r="AE222" s="80" t="str">
        <f t="shared" si="17"/>
        <v/>
      </c>
      <c r="AF222" s="81"/>
      <c r="AG222" s="77"/>
      <c r="AH222" s="81"/>
      <c r="AI222" s="77"/>
      <c r="AJ222" s="82" t="str">
        <f t="shared" si="18"/>
        <v/>
      </c>
      <c r="AK222" s="83" t="str">
        <f t="shared" si="19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6"/>
        <v/>
      </c>
      <c r="AE223" s="80" t="str">
        <f t="shared" si="17"/>
        <v/>
      </c>
      <c r="AF223" s="81"/>
      <c r="AG223" s="77"/>
      <c r="AH223" s="81"/>
      <c r="AI223" s="77"/>
      <c r="AJ223" s="82" t="str">
        <f t="shared" si="18"/>
        <v/>
      </c>
      <c r="AK223" s="83" t="str">
        <f t="shared" si="19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6"/>
        <v/>
      </c>
      <c r="AE224" s="80" t="str">
        <f t="shared" si="17"/>
        <v/>
      </c>
      <c r="AF224" s="81"/>
      <c r="AG224" s="77"/>
      <c r="AH224" s="81"/>
      <c r="AI224" s="77"/>
      <c r="AJ224" s="82" t="str">
        <f t="shared" si="18"/>
        <v/>
      </c>
      <c r="AK224" s="83" t="str">
        <f t="shared" si="19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6"/>
        <v/>
      </c>
      <c r="AE225" s="80" t="str">
        <f t="shared" si="17"/>
        <v/>
      </c>
      <c r="AF225" s="81"/>
      <c r="AG225" s="77"/>
      <c r="AH225" s="81"/>
      <c r="AI225" s="77"/>
      <c r="AJ225" s="82" t="str">
        <f t="shared" si="18"/>
        <v/>
      </c>
      <c r="AK225" s="83" t="str">
        <f t="shared" si="19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6"/>
        <v/>
      </c>
      <c r="AE226" s="80" t="str">
        <f t="shared" si="17"/>
        <v/>
      </c>
      <c r="AF226" s="81"/>
      <c r="AG226" s="77"/>
      <c r="AH226" s="81"/>
      <c r="AI226" s="77"/>
      <c r="AJ226" s="82" t="str">
        <f t="shared" si="18"/>
        <v/>
      </c>
      <c r="AK226" s="83" t="str">
        <f t="shared" si="19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6"/>
        <v/>
      </c>
      <c r="AE227" s="80" t="str">
        <f t="shared" si="17"/>
        <v/>
      </c>
      <c r="AF227" s="81"/>
      <c r="AG227" s="77"/>
      <c r="AH227" s="81"/>
      <c r="AI227" s="77"/>
      <c r="AJ227" s="82" t="str">
        <f t="shared" si="18"/>
        <v/>
      </c>
      <c r="AK227" s="83" t="str">
        <f t="shared" si="19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6"/>
        <v/>
      </c>
      <c r="AE228" s="80" t="str">
        <f t="shared" si="17"/>
        <v/>
      </c>
      <c r="AF228" s="81"/>
      <c r="AG228" s="77"/>
      <c r="AH228" s="81"/>
      <c r="AI228" s="77"/>
      <c r="AJ228" s="82" t="str">
        <f t="shared" si="18"/>
        <v/>
      </c>
      <c r="AK228" s="83" t="str">
        <f t="shared" si="19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6"/>
        <v/>
      </c>
      <c r="AE229" s="80" t="str">
        <f t="shared" si="17"/>
        <v/>
      </c>
      <c r="AF229" s="81"/>
      <c r="AG229" s="77"/>
      <c r="AH229" s="81"/>
      <c r="AI229" s="77"/>
      <c r="AJ229" s="82" t="str">
        <f t="shared" si="18"/>
        <v/>
      </c>
      <c r="AK229" s="83" t="str">
        <f t="shared" si="19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6"/>
        <v/>
      </c>
      <c r="AE230" s="80" t="str">
        <f t="shared" si="17"/>
        <v/>
      </c>
      <c r="AF230" s="81"/>
      <c r="AG230" s="77"/>
      <c r="AH230" s="81"/>
      <c r="AI230" s="77"/>
      <c r="AJ230" s="82" t="str">
        <f t="shared" si="18"/>
        <v/>
      </c>
      <c r="AK230" s="83" t="str">
        <f t="shared" si="19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6"/>
        <v/>
      </c>
      <c r="AE231" s="80" t="str">
        <f t="shared" si="17"/>
        <v/>
      </c>
      <c r="AF231" s="81"/>
      <c r="AG231" s="77"/>
      <c r="AH231" s="81"/>
      <c r="AI231" s="77"/>
      <c r="AJ231" s="82" t="str">
        <f t="shared" si="18"/>
        <v/>
      </c>
      <c r="AK231" s="83" t="str">
        <f t="shared" si="19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6"/>
        <v/>
      </c>
      <c r="AE232" s="80" t="str">
        <f t="shared" si="17"/>
        <v/>
      </c>
      <c r="AF232" s="81"/>
      <c r="AG232" s="77"/>
      <c r="AH232" s="81"/>
      <c r="AI232" s="77"/>
      <c r="AJ232" s="82" t="str">
        <f t="shared" si="18"/>
        <v/>
      </c>
      <c r="AK232" s="83" t="str">
        <f t="shared" si="19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6"/>
        <v/>
      </c>
      <c r="AE233" s="80" t="str">
        <f t="shared" si="17"/>
        <v/>
      </c>
      <c r="AF233" s="81"/>
      <c r="AG233" s="77"/>
      <c r="AH233" s="81"/>
      <c r="AI233" s="77"/>
      <c r="AJ233" s="82" t="str">
        <f t="shared" si="18"/>
        <v/>
      </c>
      <c r="AK233" s="83" t="str">
        <f t="shared" si="19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6"/>
        <v/>
      </c>
      <c r="AE234" s="80" t="str">
        <f t="shared" si="17"/>
        <v/>
      </c>
      <c r="AF234" s="81"/>
      <c r="AG234" s="77"/>
      <c r="AH234" s="81"/>
      <c r="AI234" s="77"/>
      <c r="AJ234" s="82" t="str">
        <f t="shared" si="18"/>
        <v/>
      </c>
      <c r="AK234" s="83" t="str">
        <f t="shared" si="19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6"/>
        <v/>
      </c>
      <c r="AE235" s="80" t="str">
        <f t="shared" si="17"/>
        <v/>
      </c>
      <c r="AF235" s="81"/>
      <c r="AG235" s="77"/>
      <c r="AH235" s="81"/>
      <c r="AI235" s="77"/>
      <c r="AJ235" s="82" t="str">
        <f t="shared" si="18"/>
        <v/>
      </c>
      <c r="AK235" s="83" t="str">
        <f t="shared" si="19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6"/>
        <v/>
      </c>
      <c r="AE236" s="80" t="str">
        <f t="shared" si="17"/>
        <v/>
      </c>
      <c r="AF236" s="81"/>
      <c r="AG236" s="77"/>
      <c r="AH236" s="81"/>
      <c r="AI236" s="77"/>
      <c r="AJ236" s="82" t="str">
        <f t="shared" si="18"/>
        <v/>
      </c>
      <c r="AK236" s="83" t="str">
        <f t="shared" si="19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6"/>
        <v/>
      </c>
      <c r="AE237" s="80" t="str">
        <f t="shared" si="17"/>
        <v/>
      </c>
      <c r="AF237" s="81"/>
      <c r="AG237" s="77"/>
      <c r="AH237" s="81"/>
      <c r="AI237" s="77"/>
      <c r="AJ237" s="82" t="str">
        <f t="shared" si="18"/>
        <v/>
      </c>
      <c r="AK237" s="83" t="str">
        <f t="shared" si="19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6"/>
        <v/>
      </c>
      <c r="AE238" s="80" t="str">
        <f t="shared" si="17"/>
        <v/>
      </c>
      <c r="AF238" s="81"/>
      <c r="AG238" s="77"/>
      <c r="AH238" s="81"/>
      <c r="AI238" s="77"/>
      <c r="AJ238" s="82" t="str">
        <f t="shared" si="18"/>
        <v/>
      </c>
      <c r="AK238" s="83" t="str">
        <f t="shared" si="19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6"/>
        <v/>
      </c>
      <c r="AE239" s="80" t="str">
        <f t="shared" si="17"/>
        <v/>
      </c>
      <c r="AF239" s="81"/>
      <c r="AG239" s="77"/>
      <c r="AH239" s="81"/>
      <c r="AI239" s="77"/>
      <c r="AJ239" s="82" t="str">
        <f t="shared" si="18"/>
        <v/>
      </c>
      <c r="AK239" s="83" t="str">
        <f t="shared" si="19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6"/>
        <v/>
      </c>
      <c r="AE240" s="80" t="str">
        <f t="shared" si="17"/>
        <v/>
      </c>
      <c r="AF240" s="81"/>
      <c r="AG240" s="77"/>
      <c r="AH240" s="81"/>
      <c r="AI240" s="77"/>
      <c r="AJ240" s="82" t="str">
        <f t="shared" si="18"/>
        <v/>
      </c>
      <c r="AK240" s="83" t="str">
        <f t="shared" si="19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6"/>
        <v/>
      </c>
      <c r="AE241" s="80" t="str">
        <f t="shared" si="17"/>
        <v/>
      </c>
      <c r="AF241" s="81"/>
      <c r="AG241" s="77"/>
      <c r="AH241" s="81"/>
      <c r="AI241" s="77"/>
      <c r="AJ241" s="82" t="str">
        <f t="shared" si="18"/>
        <v/>
      </c>
      <c r="AK241" s="83" t="str">
        <f t="shared" si="19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6"/>
        <v/>
      </c>
      <c r="AE242" s="80" t="str">
        <f t="shared" si="17"/>
        <v/>
      </c>
      <c r="AF242" s="81"/>
      <c r="AG242" s="77"/>
      <c r="AH242" s="81"/>
      <c r="AI242" s="77"/>
      <c r="AJ242" s="82" t="str">
        <f t="shared" si="18"/>
        <v/>
      </c>
      <c r="AK242" s="83" t="str">
        <f t="shared" si="19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6"/>
        <v/>
      </c>
      <c r="AE243" s="80" t="str">
        <f t="shared" si="17"/>
        <v/>
      </c>
      <c r="AF243" s="81"/>
      <c r="AG243" s="77"/>
      <c r="AH243" s="81"/>
      <c r="AI243" s="77"/>
      <c r="AJ243" s="82" t="str">
        <f t="shared" si="18"/>
        <v/>
      </c>
      <c r="AK243" s="83" t="str">
        <f t="shared" si="19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6"/>
        <v/>
      </c>
      <c r="AE244" s="80" t="str">
        <f t="shared" si="17"/>
        <v/>
      </c>
      <c r="AF244" s="81"/>
      <c r="AG244" s="77"/>
      <c r="AH244" s="81"/>
      <c r="AI244" s="77"/>
      <c r="AJ244" s="82" t="str">
        <f t="shared" si="18"/>
        <v/>
      </c>
      <c r="AK244" s="83" t="str">
        <f t="shared" si="19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6"/>
        <v/>
      </c>
      <c r="AE245" s="80" t="str">
        <f t="shared" si="17"/>
        <v/>
      </c>
      <c r="AF245" s="81"/>
      <c r="AG245" s="77"/>
      <c r="AH245" s="81"/>
      <c r="AI245" s="77"/>
      <c r="AJ245" s="82" t="str">
        <f t="shared" si="18"/>
        <v/>
      </c>
      <c r="AK245" s="83" t="str">
        <f t="shared" si="19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6"/>
        <v/>
      </c>
      <c r="AE246" s="80" t="str">
        <f t="shared" si="17"/>
        <v/>
      </c>
      <c r="AF246" s="81"/>
      <c r="AG246" s="77"/>
      <c r="AH246" s="81"/>
      <c r="AI246" s="77"/>
      <c r="AJ246" s="82" t="str">
        <f t="shared" si="18"/>
        <v/>
      </c>
      <c r="AK246" s="83" t="str">
        <f t="shared" si="19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6"/>
        <v/>
      </c>
      <c r="AE247" s="80" t="str">
        <f t="shared" si="17"/>
        <v/>
      </c>
      <c r="AF247" s="81"/>
      <c r="AG247" s="77"/>
      <c r="AH247" s="81"/>
      <c r="AI247" s="77"/>
      <c r="AJ247" s="82" t="str">
        <f t="shared" si="18"/>
        <v/>
      </c>
      <c r="AK247" s="83" t="str">
        <f t="shared" si="19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6"/>
        <v/>
      </c>
      <c r="AE248" s="80" t="str">
        <f t="shared" si="17"/>
        <v/>
      </c>
      <c r="AF248" s="81"/>
      <c r="AG248" s="77"/>
      <c r="AH248" s="81"/>
      <c r="AI248" s="77"/>
      <c r="AJ248" s="82" t="str">
        <f t="shared" si="18"/>
        <v/>
      </c>
      <c r="AK248" s="83" t="str">
        <f t="shared" si="19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6"/>
        <v/>
      </c>
      <c r="AE249" s="80" t="str">
        <f t="shared" si="17"/>
        <v/>
      </c>
      <c r="AF249" s="81"/>
      <c r="AG249" s="77"/>
      <c r="AH249" s="81"/>
      <c r="AI249" s="77"/>
      <c r="AJ249" s="82" t="str">
        <f t="shared" si="18"/>
        <v/>
      </c>
      <c r="AK249" s="83" t="str">
        <f t="shared" si="19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6"/>
        <v/>
      </c>
      <c r="AE250" s="80" t="str">
        <f t="shared" si="17"/>
        <v/>
      </c>
      <c r="AF250" s="81"/>
      <c r="AG250" s="77"/>
      <c r="AH250" s="81"/>
      <c r="AI250" s="77"/>
      <c r="AJ250" s="82" t="str">
        <f t="shared" si="18"/>
        <v/>
      </c>
      <c r="AK250" s="83" t="str">
        <f t="shared" si="19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6"/>
        <v/>
      </c>
      <c r="AE251" s="80" t="str">
        <f t="shared" si="17"/>
        <v/>
      </c>
      <c r="AF251" s="81"/>
      <c r="AG251" s="77"/>
      <c r="AH251" s="81"/>
      <c r="AI251" s="77"/>
      <c r="AJ251" s="82" t="str">
        <f t="shared" si="18"/>
        <v/>
      </c>
      <c r="AK251" s="83" t="str">
        <f t="shared" si="19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6"/>
        <v/>
      </c>
      <c r="AE252" s="80" t="str">
        <f t="shared" si="17"/>
        <v/>
      </c>
      <c r="AF252" s="81"/>
      <c r="AG252" s="77"/>
      <c r="AH252" s="81"/>
      <c r="AI252" s="77"/>
      <c r="AJ252" s="82" t="str">
        <f t="shared" si="18"/>
        <v/>
      </c>
      <c r="AK252" s="83" t="str">
        <f t="shared" si="19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6"/>
        <v/>
      </c>
      <c r="AE253" s="80" t="str">
        <f t="shared" si="17"/>
        <v/>
      </c>
      <c r="AF253" s="81"/>
      <c r="AG253" s="77"/>
      <c r="AH253" s="81"/>
      <c r="AI253" s="77"/>
      <c r="AJ253" s="82" t="str">
        <f t="shared" si="18"/>
        <v/>
      </c>
      <c r="AK253" s="83" t="str">
        <f t="shared" si="19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6"/>
        <v/>
      </c>
      <c r="AE254" s="80" t="str">
        <f t="shared" si="17"/>
        <v/>
      </c>
      <c r="AF254" s="81"/>
      <c r="AG254" s="77"/>
      <c r="AH254" s="81"/>
      <c r="AI254" s="77"/>
      <c r="AJ254" s="82" t="str">
        <f t="shared" si="18"/>
        <v/>
      </c>
      <c r="AK254" s="83" t="str">
        <f t="shared" si="19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6"/>
        <v/>
      </c>
      <c r="AE255" s="80" t="str">
        <f t="shared" si="17"/>
        <v/>
      </c>
      <c r="AF255" s="81"/>
      <c r="AG255" s="77"/>
      <c r="AH255" s="81"/>
      <c r="AI255" s="77"/>
      <c r="AJ255" s="82" t="str">
        <f t="shared" si="18"/>
        <v/>
      </c>
      <c r="AK255" s="83" t="str">
        <f t="shared" si="19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6"/>
        <v/>
      </c>
      <c r="AE256" s="80" t="str">
        <f t="shared" si="17"/>
        <v/>
      </c>
      <c r="AF256" s="81"/>
      <c r="AG256" s="77"/>
      <c r="AH256" s="81"/>
      <c r="AI256" s="77"/>
      <c r="AJ256" s="82" t="str">
        <f t="shared" si="18"/>
        <v/>
      </c>
      <c r="AK256" s="83" t="str">
        <f t="shared" si="19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6"/>
        <v/>
      </c>
      <c r="AE257" s="80" t="str">
        <f t="shared" si="17"/>
        <v/>
      </c>
      <c r="AF257" s="81"/>
      <c r="AG257" s="77"/>
      <c r="AH257" s="81"/>
      <c r="AI257" s="77"/>
      <c r="AJ257" s="82" t="str">
        <f t="shared" si="18"/>
        <v/>
      </c>
      <c r="AK257" s="83" t="str">
        <f t="shared" si="19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6"/>
        <v/>
      </c>
      <c r="AE258" s="80" t="str">
        <f t="shared" si="17"/>
        <v/>
      </c>
      <c r="AF258" s="81"/>
      <c r="AG258" s="77"/>
      <c r="AH258" s="81"/>
      <c r="AI258" s="77"/>
      <c r="AJ258" s="82" t="str">
        <f t="shared" si="18"/>
        <v/>
      </c>
      <c r="AK258" s="83" t="str">
        <f t="shared" si="19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6"/>
        <v/>
      </c>
      <c r="AE259" s="80" t="str">
        <f t="shared" si="17"/>
        <v/>
      </c>
      <c r="AF259" s="81"/>
      <c r="AG259" s="77"/>
      <c r="AH259" s="81"/>
      <c r="AI259" s="77"/>
      <c r="AJ259" s="82" t="str">
        <f t="shared" si="18"/>
        <v/>
      </c>
      <c r="AK259" s="83" t="str">
        <f t="shared" si="19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0">IF(MIN(F260,J260,N260,R260,V260,Z260)&lt;&gt;0,MIN(F260,J260,N260,R260,V260,Z260),"")</f>
        <v/>
      </c>
      <c r="AE260" s="80" t="str">
        <f t="shared" ref="AE260:AE323" si="21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2">IF(AD260="","",IF(ISBLANK(AF260),"En cours",AD260+AF260))</f>
        <v/>
      </c>
      <c r="AK260" s="83" t="str">
        <f t="shared" ref="AK260:AK323" si="23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0"/>
        <v/>
      </c>
      <c r="AE261" s="80" t="str">
        <f t="shared" si="21"/>
        <v/>
      </c>
      <c r="AF261" s="81"/>
      <c r="AG261" s="77"/>
      <c r="AH261" s="81"/>
      <c r="AI261" s="77"/>
      <c r="AJ261" s="82" t="str">
        <f t="shared" si="22"/>
        <v/>
      </c>
      <c r="AK261" s="83" t="str">
        <f t="shared" si="23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0"/>
        <v/>
      </c>
      <c r="AE262" s="80" t="str">
        <f t="shared" si="21"/>
        <v/>
      </c>
      <c r="AF262" s="81"/>
      <c r="AG262" s="77"/>
      <c r="AH262" s="81"/>
      <c r="AI262" s="77"/>
      <c r="AJ262" s="82" t="str">
        <f t="shared" si="22"/>
        <v/>
      </c>
      <c r="AK262" s="83" t="str">
        <f t="shared" si="23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0"/>
        <v/>
      </c>
      <c r="AE263" s="80" t="str">
        <f t="shared" si="21"/>
        <v/>
      </c>
      <c r="AF263" s="81"/>
      <c r="AG263" s="77"/>
      <c r="AH263" s="81"/>
      <c r="AI263" s="77"/>
      <c r="AJ263" s="82" t="str">
        <f t="shared" si="22"/>
        <v/>
      </c>
      <c r="AK263" s="83" t="str">
        <f t="shared" si="23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0"/>
        <v/>
      </c>
      <c r="AE264" s="80" t="str">
        <f t="shared" si="21"/>
        <v/>
      </c>
      <c r="AF264" s="81"/>
      <c r="AG264" s="77"/>
      <c r="AH264" s="81"/>
      <c r="AI264" s="77"/>
      <c r="AJ264" s="82" t="str">
        <f t="shared" si="22"/>
        <v/>
      </c>
      <c r="AK264" s="83" t="str">
        <f t="shared" si="23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0"/>
        <v/>
      </c>
      <c r="AE265" s="80" t="str">
        <f t="shared" si="21"/>
        <v/>
      </c>
      <c r="AF265" s="81"/>
      <c r="AG265" s="77"/>
      <c r="AH265" s="81"/>
      <c r="AI265" s="77"/>
      <c r="AJ265" s="82" t="str">
        <f t="shared" si="22"/>
        <v/>
      </c>
      <c r="AK265" s="83" t="str">
        <f t="shared" si="23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0"/>
        <v/>
      </c>
      <c r="AE266" s="80" t="str">
        <f t="shared" si="21"/>
        <v/>
      </c>
      <c r="AF266" s="81"/>
      <c r="AG266" s="77"/>
      <c r="AH266" s="81"/>
      <c r="AI266" s="77"/>
      <c r="AJ266" s="82" t="str">
        <f t="shared" si="22"/>
        <v/>
      </c>
      <c r="AK266" s="83" t="str">
        <f t="shared" si="23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0"/>
        <v/>
      </c>
      <c r="AE267" s="80" t="str">
        <f t="shared" si="21"/>
        <v/>
      </c>
      <c r="AF267" s="81"/>
      <c r="AG267" s="77"/>
      <c r="AH267" s="81"/>
      <c r="AI267" s="77"/>
      <c r="AJ267" s="82" t="str">
        <f t="shared" si="22"/>
        <v/>
      </c>
      <c r="AK267" s="83" t="str">
        <f t="shared" si="23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0"/>
        <v/>
      </c>
      <c r="AE268" s="80" t="str">
        <f t="shared" si="21"/>
        <v/>
      </c>
      <c r="AF268" s="81"/>
      <c r="AG268" s="77"/>
      <c r="AH268" s="81"/>
      <c r="AI268" s="77"/>
      <c r="AJ268" s="82" t="str">
        <f t="shared" si="22"/>
        <v/>
      </c>
      <c r="AK268" s="83" t="str">
        <f t="shared" si="23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0"/>
        <v/>
      </c>
      <c r="AE269" s="80" t="str">
        <f t="shared" si="21"/>
        <v/>
      </c>
      <c r="AF269" s="81"/>
      <c r="AG269" s="77"/>
      <c r="AH269" s="81"/>
      <c r="AI269" s="77"/>
      <c r="AJ269" s="82" t="str">
        <f t="shared" si="22"/>
        <v/>
      </c>
      <c r="AK269" s="83" t="str">
        <f t="shared" si="23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0"/>
        <v/>
      </c>
      <c r="AE270" s="80" t="str">
        <f t="shared" si="21"/>
        <v/>
      </c>
      <c r="AF270" s="81"/>
      <c r="AG270" s="77"/>
      <c r="AH270" s="81"/>
      <c r="AI270" s="77"/>
      <c r="AJ270" s="82" t="str">
        <f t="shared" si="22"/>
        <v/>
      </c>
      <c r="AK270" s="83" t="str">
        <f t="shared" si="23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0"/>
        <v/>
      </c>
      <c r="AE271" s="80" t="str">
        <f t="shared" si="21"/>
        <v/>
      </c>
      <c r="AF271" s="81"/>
      <c r="AG271" s="77"/>
      <c r="AH271" s="81"/>
      <c r="AI271" s="77"/>
      <c r="AJ271" s="82" t="str">
        <f t="shared" si="22"/>
        <v/>
      </c>
      <c r="AK271" s="83" t="str">
        <f t="shared" si="23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0"/>
        <v/>
      </c>
      <c r="AE272" s="80" t="str">
        <f t="shared" si="21"/>
        <v/>
      </c>
      <c r="AF272" s="81"/>
      <c r="AG272" s="77"/>
      <c r="AH272" s="81"/>
      <c r="AI272" s="77"/>
      <c r="AJ272" s="82" t="str">
        <f t="shared" si="22"/>
        <v/>
      </c>
      <c r="AK272" s="83" t="str">
        <f t="shared" si="23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0"/>
        <v/>
      </c>
      <c r="AE273" s="80" t="str">
        <f t="shared" si="21"/>
        <v/>
      </c>
      <c r="AF273" s="81"/>
      <c r="AG273" s="77"/>
      <c r="AH273" s="81"/>
      <c r="AI273" s="77"/>
      <c r="AJ273" s="82" t="str">
        <f t="shared" si="22"/>
        <v/>
      </c>
      <c r="AK273" s="83" t="str">
        <f t="shared" si="23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0"/>
        <v/>
      </c>
      <c r="AE274" s="80" t="str">
        <f t="shared" si="21"/>
        <v/>
      </c>
      <c r="AF274" s="81"/>
      <c r="AG274" s="77"/>
      <c r="AH274" s="81"/>
      <c r="AI274" s="77"/>
      <c r="AJ274" s="82" t="str">
        <f t="shared" si="22"/>
        <v/>
      </c>
      <c r="AK274" s="83" t="str">
        <f t="shared" si="23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0"/>
        <v/>
      </c>
      <c r="AE275" s="80" t="str">
        <f t="shared" si="21"/>
        <v/>
      </c>
      <c r="AF275" s="81"/>
      <c r="AG275" s="77"/>
      <c r="AH275" s="81"/>
      <c r="AI275" s="77"/>
      <c r="AJ275" s="82" t="str">
        <f t="shared" si="22"/>
        <v/>
      </c>
      <c r="AK275" s="83" t="str">
        <f t="shared" si="23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0"/>
        <v/>
      </c>
      <c r="AE276" s="80" t="str">
        <f t="shared" si="21"/>
        <v/>
      </c>
      <c r="AF276" s="81"/>
      <c r="AG276" s="77"/>
      <c r="AH276" s="81"/>
      <c r="AI276" s="77"/>
      <c r="AJ276" s="82" t="str">
        <f t="shared" si="22"/>
        <v/>
      </c>
      <c r="AK276" s="83" t="str">
        <f t="shared" si="23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0"/>
        <v/>
      </c>
      <c r="AE277" s="80" t="str">
        <f t="shared" si="21"/>
        <v/>
      </c>
      <c r="AF277" s="81"/>
      <c r="AG277" s="77"/>
      <c r="AH277" s="81"/>
      <c r="AI277" s="77"/>
      <c r="AJ277" s="82" t="str">
        <f t="shared" si="22"/>
        <v/>
      </c>
      <c r="AK277" s="83" t="str">
        <f t="shared" si="23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0"/>
        <v/>
      </c>
      <c r="AE278" s="80" t="str">
        <f t="shared" si="21"/>
        <v/>
      </c>
      <c r="AF278" s="81"/>
      <c r="AG278" s="77"/>
      <c r="AH278" s="81"/>
      <c r="AI278" s="77"/>
      <c r="AJ278" s="82" t="str">
        <f t="shared" si="22"/>
        <v/>
      </c>
      <c r="AK278" s="83" t="str">
        <f t="shared" si="23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0"/>
        <v/>
      </c>
      <c r="AE279" s="80" t="str">
        <f t="shared" si="21"/>
        <v/>
      </c>
      <c r="AF279" s="81"/>
      <c r="AG279" s="77"/>
      <c r="AH279" s="81"/>
      <c r="AI279" s="77"/>
      <c r="AJ279" s="82" t="str">
        <f t="shared" si="22"/>
        <v/>
      </c>
      <c r="AK279" s="83" t="str">
        <f t="shared" si="23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0"/>
        <v/>
      </c>
      <c r="AE280" s="80" t="str">
        <f t="shared" si="21"/>
        <v/>
      </c>
      <c r="AF280" s="81"/>
      <c r="AG280" s="77"/>
      <c r="AH280" s="81"/>
      <c r="AI280" s="77"/>
      <c r="AJ280" s="82" t="str">
        <f t="shared" si="22"/>
        <v/>
      </c>
      <c r="AK280" s="83" t="str">
        <f t="shared" si="23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0"/>
        <v/>
      </c>
      <c r="AE281" s="80" t="str">
        <f t="shared" si="21"/>
        <v/>
      </c>
      <c r="AF281" s="81"/>
      <c r="AG281" s="77"/>
      <c r="AH281" s="81"/>
      <c r="AI281" s="77"/>
      <c r="AJ281" s="82" t="str">
        <f t="shared" si="22"/>
        <v/>
      </c>
      <c r="AK281" s="83" t="str">
        <f t="shared" si="23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0"/>
        <v/>
      </c>
      <c r="AE282" s="80" t="str">
        <f t="shared" si="21"/>
        <v/>
      </c>
      <c r="AF282" s="81"/>
      <c r="AG282" s="77"/>
      <c r="AH282" s="81"/>
      <c r="AI282" s="77"/>
      <c r="AJ282" s="82" t="str">
        <f t="shared" si="22"/>
        <v/>
      </c>
      <c r="AK282" s="83" t="str">
        <f t="shared" si="23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0"/>
        <v/>
      </c>
      <c r="AE283" s="80" t="str">
        <f t="shared" si="21"/>
        <v/>
      </c>
      <c r="AF283" s="81"/>
      <c r="AG283" s="77"/>
      <c r="AH283" s="81"/>
      <c r="AI283" s="77"/>
      <c r="AJ283" s="82" t="str">
        <f t="shared" si="22"/>
        <v/>
      </c>
      <c r="AK283" s="83" t="str">
        <f t="shared" si="23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0"/>
        <v/>
      </c>
      <c r="AE284" s="80" t="str">
        <f t="shared" si="21"/>
        <v/>
      </c>
      <c r="AF284" s="81"/>
      <c r="AG284" s="77"/>
      <c r="AH284" s="81"/>
      <c r="AI284" s="77"/>
      <c r="AJ284" s="82" t="str">
        <f t="shared" si="22"/>
        <v/>
      </c>
      <c r="AK284" s="83" t="str">
        <f t="shared" si="23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0"/>
        <v/>
      </c>
      <c r="AE285" s="80" t="str">
        <f t="shared" si="21"/>
        <v/>
      </c>
      <c r="AF285" s="81"/>
      <c r="AG285" s="77"/>
      <c r="AH285" s="81"/>
      <c r="AI285" s="77"/>
      <c r="AJ285" s="82" t="str">
        <f t="shared" si="22"/>
        <v/>
      </c>
      <c r="AK285" s="83" t="str">
        <f t="shared" si="23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0"/>
        <v/>
      </c>
      <c r="AE286" s="80" t="str">
        <f t="shared" si="21"/>
        <v/>
      </c>
      <c r="AF286" s="81"/>
      <c r="AG286" s="77"/>
      <c r="AH286" s="81"/>
      <c r="AI286" s="77"/>
      <c r="AJ286" s="82" t="str">
        <f t="shared" si="22"/>
        <v/>
      </c>
      <c r="AK286" s="83" t="str">
        <f t="shared" si="23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0"/>
        <v/>
      </c>
      <c r="AE287" s="80" t="str">
        <f t="shared" si="21"/>
        <v/>
      </c>
      <c r="AF287" s="81"/>
      <c r="AG287" s="77"/>
      <c r="AH287" s="81"/>
      <c r="AI287" s="77"/>
      <c r="AJ287" s="82" t="str">
        <f t="shared" si="22"/>
        <v/>
      </c>
      <c r="AK287" s="83" t="str">
        <f t="shared" si="23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0"/>
        <v/>
      </c>
      <c r="AE288" s="80" t="str">
        <f t="shared" si="21"/>
        <v/>
      </c>
      <c r="AF288" s="81"/>
      <c r="AG288" s="77"/>
      <c r="AH288" s="81"/>
      <c r="AI288" s="77"/>
      <c r="AJ288" s="82" t="str">
        <f t="shared" si="22"/>
        <v/>
      </c>
      <c r="AK288" s="83" t="str">
        <f t="shared" si="23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0"/>
        <v/>
      </c>
      <c r="AE289" s="80" t="str">
        <f t="shared" si="21"/>
        <v/>
      </c>
      <c r="AF289" s="81"/>
      <c r="AG289" s="77"/>
      <c r="AH289" s="81"/>
      <c r="AI289" s="77"/>
      <c r="AJ289" s="82" t="str">
        <f t="shared" si="22"/>
        <v/>
      </c>
      <c r="AK289" s="83" t="str">
        <f t="shared" si="23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0"/>
        <v/>
      </c>
      <c r="AE290" s="80" t="str">
        <f t="shared" si="21"/>
        <v/>
      </c>
      <c r="AF290" s="81"/>
      <c r="AG290" s="77"/>
      <c r="AH290" s="81"/>
      <c r="AI290" s="77"/>
      <c r="AJ290" s="82" t="str">
        <f t="shared" si="22"/>
        <v/>
      </c>
      <c r="AK290" s="83" t="str">
        <f t="shared" si="23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0"/>
        <v/>
      </c>
      <c r="AE291" s="80" t="str">
        <f t="shared" si="21"/>
        <v/>
      </c>
      <c r="AF291" s="81"/>
      <c r="AG291" s="77"/>
      <c r="AH291" s="81"/>
      <c r="AI291" s="77"/>
      <c r="AJ291" s="82" t="str">
        <f t="shared" si="22"/>
        <v/>
      </c>
      <c r="AK291" s="83" t="str">
        <f t="shared" si="23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0"/>
        <v/>
      </c>
      <c r="AE292" s="80" t="str">
        <f t="shared" si="21"/>
        <v/>
      </c>
      <c r="AF292" s="81"/>
      <c r="AG292" s="77"/>
      <c r="AH292" s="81"/>
      <c r="AI292" s="77"/>
      <c r="AJ292" s="82" t="str">
        <f t="shared" si="22"/>
        <v/>
      </c>
      <c r="AK292" s="83" t="str">
        <f t="shared" si="23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0"/>
        <v/>
      </c>
      <c r="AE293" s="80" t="str">
        <f t="shared" si="21"/>
        <v/>
      </c>
      <c r="AF293" s="81"/>
      <c r="AG293" s="77"/>
      <c r="AH293" s="81"/>
      <c r="AI293" s="77"/>
      <c r="AJ293" s="82" t="str">
        <f t="shared" si="22"/>
        <v/>
      </c>
      <c r="AK293" s="83" t="str">
        <f t="shared" si="23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0"/>
        <v/>
      </c>
      <c r="AE294" s="80" t="str">
        <f t="shared" si="21"/>
        <v/>
      </c>
      <c r="AF294" s="81"/>
      <c r="AG294" s="77"/>
      <c r="AH294" s="81"/>
      <c r="AI294" s="77"/>
      <c r="AJ294" s="82" t="str">
        <f t="shared" si="22"/>
        <v/>
      </c>
      <c r="AK294" s="83" t="str">
        <f t="shared" si="23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0"/>
        <v/>
      </c>
      <c r="AE295" s="80" t="str">
        <f t="shared" si="21"/>
        <v/>
      </c>
      <c r="AF295" s="81"/>
      <c r="AG295" s="77"/>
      <c r="AH295" s="81"/>
      <c r="AI295" s="77"/>
      <c r="AJ295" s="82" t="str">
        <f t="shared" si="22"/>
        <v/>
      </c>
      <c r="AK295" s="83" t="str">
        <f t="shared" si="23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0"/>
        <v/>
      </c>
      <c r="AE296" s="80" t="str">
        <f t="shared" si="21"/>
        <v/>
      </c>
      <c r="AF296" s="81"/>
      <c r="AG296" s="77"/>
      <c r="AH296" s="81"/>
      <c r="AI296" s="77"/>
      <c r="AJ296" s="82" t="str">
        <f t="shared" si="22"/>
        <v/>
      </c>
      <c r="AK296" s="83" t="str">
        <f t="shared" si="23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0"/>
        <v/>
      </c>
      <c r="AE297" s="80" t="str">
        <f t="shared" si="21"/>
        <v/>
      </c>
      <c r="AF297" s="81"/>
      <c r="AG297" s="77"/>
      <c r="AH297" s="81"/>
      <c r="AI297" s="77"/>
      <c r="AJ297" s="82" t="str">
        <f t="shared" si="22"/>
        <v/>
      </c>
      <c r="AK297" s="83" t="str">
        <f t="shared" si="23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0"/>
        <v/>
      </c>
      <c r="AE298" s="80" t="str">
        <f t="shared" si="21"/>
        <v/>
      </c>
      <c r="AF298" s="81"/>
      <c r="AG298" s="77"/>
      <c r="AH298" s="81"/>
      <c r="AI298" s="77"/>
      <c r="AJ298" s="82" t="str">
        <f t="shared" si="22"/>
        <v/>
      </c>
      <c r="AK298" s="83" t="str">
        <f t="shared" si="23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0"/>
        <v/>
      </c>
      <c r="AE299" s="80" t="str">
        <f t="shared" si="21"/>
        <v/>
      </c>
      <c r="AF299" s="81"/>
      <c r="AG299" s="77"/>
      <c r="AH299" s="81"/>
      <c r="AI299" s="77"/>
      <c r="AJ299" s="82" t="str">
        <f t="shared" si="22"/>
        <v/>
      </c>
      <c r="AK299" s="83" t="str">
        <f t="shared" si="23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0"/>
        <v/>
      </c>
      <c r="AE300" s="80" t="str">
        <f t="shared" si="21"/>
        <v/>
      </c>
      <c r="AF300" s="81"/>
      <c r="AG300" s="77"/>
      <c r="AH300" s="81"/>
      <c r="AI300" s="77"/>
      <c r="AJ300" s="82" t="str">
        <f t="shared" si="22"/>
        <v/>
      </c>
      <c r="AK300" s="83" t="str">
        <f t="shared" si="23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0"/>
        <v/>
      </c>
      <c r="AE301" s="80" t="str">
        <f t="shared" si="21"/>
        <v/>
      </c>
      <c r="AF301" s="81"/>
      <c r="AG301" s="77"/>
      <c r="AH301" s="81"/>
      <c r="AI301" s="77"/>
      <c r="AJ301" s="82" t="str">
        <f t="shared" si="22"/>
        <v/>
      </c>
      <c r="AK301" s="83" t="str">
        <f t="shared" si="23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0"/>
        <v/>
      </c>
      <c r="AE302" s="80" t="str">
        <f t="shared" si="21"/>
        <v/>
      </c>
      <c r="AF302" s="81"/>
      <c r="AG302" s="77"/>
      <c r="AH302" s="81"/>
      <c r="AI302" s="77"/>
      <c r="AJ302" s="82" t="str">
        <f t="shared" si="22"/>
        <v/>
      </c>
      <c r="AK302" s="83" t="str">
        <f t="shared" si="23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0"/>
        <v/>
      </c>
      <c r="AE303" s="80" t="str">
        <f t="shared" si="21"/>
        <v/>
      </c>
      <c r="AF303" s="81"/>
      <c r="AG303" s="77"/>
      <c r="AH303" s="81"/>
      <c r="AI303" s="77"/>
      <c r="AJ303" s="82" t="str">
        <f t="shared" si="22"/>
        <v/>
      </c>
      <c r="AK303" s="83" t="str">
        <f t="shared" si="23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0"/>
        <v/>
      </c>
      <c r="AE304" s="80" t="str">
        <f t="shared" si="21"/>
        <v/>
      </c>
      <c r="AF304" s="81"/>
      <c r="AG304" s="77"/>
      <c r="AH304" s="81"/>
      <c r="AI304" s="77"/>
      <c r="AJ304" s="82" t="str">
        <f t="shared" si="22"/>
        <v/>
      </c>
      <c r="AK304" s="83" t="str">
        <f t="shared" si="23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0"/>
        <v/>
      </c>
      <c r="AE305" s="80" t="str">
        <f t="shared" si="21"/>
        <v/>
      </c>
      <c r="AF305" s="81"/>
      <c r="AG305" s="77"/>
      <c r="AH305" s="81"/>
      <c r="AI305" s="77"/>
      <c r="AJ305" s="82" t="str">
        <f t="shared" si="22"/>
        <v/>
      </c>
      <c r="AK305" s="83" t="str">
        <f t="shared" si="23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0"/>
        <v/>
      </c>
      <c r="AE306" s="80" t="str">
        <f t="shared" si="21"/>
        <v/>
      </c>
      <c r="AF306" s="81"/>
      <c r="AG306" s="77"/>
      <c r="AH306" s="81"/>
      <c r="AI306" s="77"/>
      <c r="AJ306" s="82" t="str">
        <f t="shared" si="22"/>
        <v/>
      </c>
      <c r="AK306" s="83" t="str">
        <f t="shared" si="23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0"/>
        <v/>
      </c>
      <c r="AE307" s="80" t="str">
        <f t="shared" si="21"/>
        <v/>
      </c>
      <c r="AF307" s="81"/>
      <c r="AG307" s="77"/>
      <c r="AH307" s="81"/>
      <c r="AI307" s="77"/>
      <c r="AJ307" s="82" t="str">
        <f t="shared" si="22"/>
        <v/>
      </c>
      <c r="AK307" s="83" t="str">
        <f t="shared" si="23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0"/>
        <v/>
      </c>
      <c r="AE308" s="80" t="str">
        <f t="shared" si="21"/>
        <v/>
      </c>
      <c r="AF308" s="81"/>
      <c r="AG308" s="77"/>
      <c r="AH308" s="81"/>
      <c r="AI308" s="77"/>
      <c r="AJ308" s="82" t="str">
        <f t="shared" si="22"/>
        <v/>
      </c>
      <c r="AK308" s="83" t="str">
        <f t="shared" si="23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0"/>
        <v/>
      </c>
      <c r="AE309" s="80" t="str">
        <f t="shared" si="21"/>
        <v/>
      </c>
      <c r="AF309" s="81"/>
      <c r="AG309" s="77"/>
      <c r="AH309" s="81"/>
      <c r="AI309" s="77"/>
      <c r="AJ309" s="82" t="str">
        <f t="shared" si="22"/>
        <v/>
      </c>
      <c r="AK309" s="83" t="str">
        <f t="shared" si="23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0"/>
        <v/>
      </c>
      <c r="AE310" s="80" t="str">
        <f t="shared" si="21"/>
        <v/>
      </c>
      <c r="AF310" s="81"/>
      <c r="AG310" s="77"/>
      <c r="AH310" s="81"/>
      <c r="AI310" s="77"/>
      <c r="AJ310" s="82" t="str">
        <f t="shared" si="22"/>
        <v/>
      </c>
      <c r="AK310" s="83" t="str">
        <f t="shared" si="23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0"/>
        <v/>
      </c>
      <c r="AE311" s="80" t="str">
        <f t="shared" si="21"/>
        <v/>
      </c>
      <c r="AF311" s="81"/>
      <c r="AG311" s="77"/>
      <c r="AH311" s="81"/>
      <c r="AI311" s="77"/>
      <c r="AJ311" s="82" t="str">
        <f t="shared" si="22"/>
        <v/>
      </c>
      <c r="AK311" s="83" t="str">
        <f t="shared" si="23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0"/>
        <v/>
      </c>
      <c r="AE312" s="80" t="str">
        <f t="shared" si="21"/>
        <v/>
      </c>
      <c r="AF312" s="81"/>
      <c r="AG312" s="77"/>
      <c r="AH312" s="81"/>
      <c r="AI312" s="77"/>
      <c r="AJ312" s="82" t="str">
        <f t="shared" si="22"/>
        <v/>
      </c>
      <c r="AK312" s="83" t="str">
        <f t="shared" si="23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0"/>
        <v/>
      </c>
      <c r="AE313" s="80" t="str">
        <f t="shared" si="21"/>
        <v/>
      </c>
      <c r="AF313" s="81"/>
      <c r="AG313" s="77"/>
      <c r="AH313" s="81"/>
      <c r="AI313" s="77"/>
      <c r="AJ313" s="82" t="str">
        <f t="shared" si="22"/>
        <v/>
      </c>
      <c r="AK313" s="83" t="str">
        <f t="shared" si="23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0"/>
        <v/>
      </c>
      <c r="AE314" s="80" t="str">
        <f t="shared" si="21"/>
        <v/>
      </c>
      <c r="AF314" s="81"/>
      <c r="AG314" s="77"/>
      <c r="AH314" s="81"/>
      <c r="AI314" s="77"/>
      <c r="AJ314" s="82" t="str">
        <f t="shared" si="22"/>
        <v/>
      </c>
      <c r="AK314" s="83" t="str">
        <f t="shared" si="23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0"/>
        <v/>
      </c>
      <c r="AE315" s="80" t="str">
        <f t="shared" si="21"/>
        <v/>
      </c>
      <c r="AF315" s="81"/>
      <c r="AG315" s="77"/>
      <c r="AH315" s="81"/>
      <c r="AI315" s="77"/>
      <c r="AJ315" s="82" t="str">
        <f t="shared" si="22"/>
        <v/>
      </c>
      <c r="AK315" s="83" t="str">
        <f t="shared" si="23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0"/>
        <v/>
      </c>
      <c r="AE316" s="80" t="str">
        <f t="shared" si="21"/>
        <v/>
      </c>
      <c r="AF316" s="81"/>
      <c r="AG316" s="77"/>
      <c r="AH316" s="81"/>
      <c r="AI316" s="77"/>
      <c r="AJ316" s="82" t="str">
        <f t="shared" si="22"/>
        <v/>
      </c>
      <c r="AK316" s="83" t="str">
        <f t="shared" si="23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0"/>
        <v/>
      </c>
      <c r="AE317" s="80" t="str">
        <f t="shared" si="21"/>
        <v/>
      </c>
      <c r="AF317" s="81"/>
      <c r="AG317" s="77"/>
      <c r="AH317" s="81"/>
      <c r="AI317" s="77"/>
      <c r="AJ317" s="82" t="str">
        <f t="shared" si="22"/>
        <v/>
      </c>
      <c r="AK317" s="83" t="str">
        <f t="shared" si="23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0"/>
        <v/>
      </c>
      <c r="AE318" s="80" t="str">
        <f t="shared" si="21"/>
        <v/>
      </c>
      <c r="AF318" s="81"/>
      <c r="AG318" s="77"/>
      <c r="AH318" s="81"/>
      <c r="AI318" s="77"/>
      <c r="AJ318" s="82" t="str">
        <f t="shared" si="22"/>
        <v/>
      </c>
      <c r="AK318" s="83" t="str">
        <f t="shared" si="23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0"/>
        <v/>
      </c>
      <c r="AE319" s="80" t="str">
        <f t="shared" si="21"/>
        <v/>
      </c>
      <c r="AF319" s="81"/>
      <c r="AG319" s="77"/>
      <c r="AH319" s="81"/>
      <c r="AI319" s="77"/>
      <c r="AJ319" s="82" t="str">
        <f t="shared" si="22"/>
        <v/>
      </c>
      <c r="AK319" s="83" t="str">
        <f t="shared" si="23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0"/>
        <v/>
      </c>
      <c r="AE320" s="80" t="str">
        <f t="shared" si="21"/>
        <v/>
      </c>
      <c r="AF320" s="81"/>
      <c r="AG320" s="77"/>
      <c r="AH320" s="81"/>
      <c r="AI320" s="77"/>
      <c r="AJ320" s="82" t="str">
        <f t="shared" si="22"/>
        <v/>
      </c>
      <c r="AK320" s="83" t="str">
        <f t="shared" si="23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0"/>
        <v/>
      </c>
      <c r="AE321" s="80" t="str">
        <f t="shared" si="21"/>
        <v/>
      </c>
      <c r="AF321" s="81"/>
      <c r="AG321" s="77"/>
      <c r="AH321" s="81"/>
      <c r="AI321" s="77"/>
      <c r="AJ321" s="82" t="str">
        <f t="shared" si="22"/>
        <v/>
      </c>
      <c r="AK321" s="83" t="str">
        <f t="shared" si="23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0"/>
        <v/>
      </c>
      <c r="AE322" s="80" t="str">
        <f t="shared" si="21"/>
        <v/>
      </c>
      <c r="AF322" s="81"/>
      <c r="AG322" s="77"/>
      <c r="AH322" s="81"/>
      <c r="AI322" s="77"/>
      <c r="AJ322" s="82" t="str">
        <f t="shared" si="22"/>
        <v/>
      </c>
      <c r="AK322" s="83" t="str">
        <f t="shared" si="23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0"/>
        <v/>
      </c>
      <c r="AE323" s="80" t="str">
        <f t="shared" si="21"/>
        <v/>
      </c>
      <c r="AF323" s="81"/>
      <c r="AG323" s="77"/>
      <c r="AH323" s="81"/>
      <c r="AI323" s="77"/>
      <c r="AJ323" s="82" t="str">
        <f t="shared" si="22"/>
        <v/>
      </c>
      <c r="AK323" s="83" t="str">
        <f t="shared" si="23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4">IF(MIN(F324,J324,N324,R324,V324,Z324)&lt;&gt;0,MIN(F324,J324,N324,R324,V324,Z324),"")</f>
        <v/>
      </c>
      <c r="AE324" s="80" t="str">
        <f t="shared" ref="AE324:AE350" si="25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6">IF(AD324="","",IF(ISBLANK(AF324),"En cours",AD324+AF324))</f>
        <v/>
      </c>
      <c r="AK324" s="83" t="str">
        <f t="shared" ref="AK324:AK350" si="27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4"/>
        <v/>
      </c>
      <c r="AE325" s="80" t="str">
        <f t="shared" si="25"/>
        <v/>
      </c>
      <c r="AF325" s="81"/>
      <c r="AG325" s="77"/>
      <c r="AH325" s="81"/>
      <c r="AI325" s="77"/>
      <c r="AJ325" s="82" t="str">
        <f t="shared" si="26"/>
        <v/>
      </c>
      <c r="AK325" s="83" t="str">
        <f t="shared" si="27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4"/>
        <v/>
      </c>
      <c r="AE326" s="80" t="str">
        <f t="shared" si="25"/>
        <v/>
      </c>
      <c r="AF326" s="81"/>
      <c r="AG326" s="77"/>
      <c r="AH326" s="81"/>
      <c r="AI326" s="77"/>
      <c r="AJ326" s="82" t="str">
        <f t="shared" si="26"/>
        <v/>
      </c>
      <c r="AK326" s="83" t="str">
        <f t="shared" si="27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4"/>
        <v/>
      </c>
      <c r="AE327" s="80" t="str">
        <f t="shared" si="25"/>
        <v/>
      </c>
      <c r="AF327" s="81"/>
      <c r="AG327" s="77"/>
      <c r="AH327" s="81"/>
      <c r="AI327" s="77"/>
      <c r="AJ327" s="82" t="str">
        <f t="shared" si="26"/>
        <v/>
      </c>
      <c r="AK327" s="83" t="str">
        <f t="shared" si="27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4"/>
        <v/>
      </c>
      <c r="AE328" s="80" t="str">
        <f t="shared" si="25"/>
        <v/>
      </c>
      <c r="AF328" s="81"/>
      <c r="AG328" s="77"/>
      <c r="AH328" s="81"/>
      <c r="AI328" s="77"/>
      <c r="AJ328" s="82" t="str">
        <f t="shared" si="26"/>
        <v/>
      </c>
      <c r="AK328" s="83" t="str">
        <f t="shared" si="27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4"/>
        <v/>
      </c>
      <c r="AE329" s="80" t="str">
        <f t="shared" si="25"/>
        <v/>
      </c>
      <c r="AF329" s="81"/>
      <c r="AG329" s="77"/>
      <c r="AH329" s="81"/>
      <c r="AI329" s="77"/>
      <c r="AJ329" s="82" t="str">
        <f t="shared" si="26"/>
        <v/>
      </c>
      <c r="AK329" s="83" t="str">
        <f t="shared" si="27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4"/>
        <v/>
      </c>
      <c r="AE330" s="80" t="str">
        <f t="shared" si="25"/>
        <v/>
      </c>
      <c r="AF330" s="81"/>
      <c r="AG330" s="77"/>
      <c r="AH330" s="81"/>
      <c r="AI330" s="77"/>
      <c r="AJ330" s="82" t="str">
        <f t="shared" si="26"/>
        <v/>
      </c>
      <c r="AK330" s="83" t="str">
        <f t="shared" si="27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4"/>
        <v/>
      </c>
      <c r="AE331" s="80" t="str">
        <f t="shared" si="25"/>
        <v/>
      </c>
      <c r="AF331" s="81"/>
      <c r="AG331" s="77"/>
      <c r="AH331" s="81"/>
      <c r="AI331" s="77"/>
      <c r="AJ331" s="82" t="str">
        <f t="shared" si="26"/>
        <v/>
      </c>
      <c r="AK331" s="83" t="str">
        <f t="shared" si="27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4"/>
        <v/>
      </c>
      <c r="AE332" s="80" t="str">
        <f t="shared" si="25"/>
        <v/>
      </c>
      <c r="AF332" s="81"/>
      <c r="AG332" s="77"/>
      <c r="AH332" s="81"/>
      <c r="AI332" s="77"/>
      <c r="AJ332" s="82" t="str">
        <f t="shared" si="26"/>
        <v/>
      </c>
      <c r="AK332" s="83" t="str">
        <f t="shared" si="27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4"/>
        <v/>
      </c>
      <c r="AE333" s="80" t="str">
        <f t="shared" si="25"/>
        <v/>
      </c>
      <c r="AF333" s="81"/>
      <c r="AG333" s="77"/>
      <c r="AH333" s="81"/>
      <c r="AI333" s="77"/>
      <c r="AJ333" s="82" t="str">
        <f t="shared" si="26"/>
        <v/>
      </c>
      <c r="AK333" s="83" t="str">
        <f t="shared" si="27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4"/>
        <v/>
      </c>
      <c r="AE334" s="80" t="str">
        <f t="shared" si="25"/>
        <v/>
      </c>
      <c r="AF334" s="81"/>
      <c r="AG334" s="77"/>
      <c r="AH334" s="81"/>
      <c r="AI334" s="77"/>
      <c r="AJ334" s="82" t="str">
        <f t="shared" si="26"/>
        <v/>
      </c>
      <c r="AK334" s="83" t="str">
        <f t="shared" si="27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4"/>
        <v/>
      </c>
      <c r="AE335" s="80" t="str">
        <f t="shared" si="25"/>
        <v/>
      </c>
      <c r="AF335" s="81"/>
      <c r="AG335" s="77"/>
      <c r="AH335" s="81"/>
      <c r="AI335" s="77"/>
      <c r="AJ335" s="82" t="str">
        <f t="shared" si="26"/>
        <v/>
      </c>
      <c r="AK335" s="83" t="str">
        <f t="shared" si="27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4"/>
        <v/>
      </c>
      <c r="AE336" s="80" t="str">
        <f t="shared" si="25"/>
        <v/>
      </c>
      <c r="AF336" s="81"/>
      <c r="AG336" s="77"/>
      <c r="AH336" s="81"/>
      <c r="AI336" s="77"/>
      <c r="AJ336" s="82" t="str">
        <f t="shared" si="26"/>
        <v/>
      </c>
      <c r="AK336" s="83" t="str">
        <f t="shared" si="27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4"/>
        <v/>
      </c>
      <c r="AE337" s="80" t="str">
        <f t="shared" si="25"/>
        <v/>
      </c>
      <c r="AF337" s="81"/>
      <c r="AG337" s="77"/>
      <c r="AH337" s="81"/>
      <c r="AI337" s="77"/>
      <c r="AJ337" s="82" t="str">
        <f t="shared" si="26"/>
        <v/>
      </c>
      <c r="AK337" s="83" t="str">
        <f t="shared" si="27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4"/>
        <v/>
      </c>
      <c r="AE338" s="80" t="str">
        <f t="shared" si="25"/>
        <v/>
      </c>
      <c r="AF338" s="81"/>
      <c r="AG338" s="77"/>
      <c r="AH338" s="81"/>
      <c r="AI338" s="77"/>
      <c r="AJ338" s="82" t="str">
        <f t="shared" si="26"/>
        <v/>
      </c>
      <c r="AK338" s="83" t="str">
        <f t="shared" si="27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4"/>
        <v/>
      </c>
      <c r="AE339" s="80" t="str">
        <f t="shared" si="25"/>
        <v/>
      </c>
      <c r="AF339" s="81"/>
      <c r="AG339" s="77"/>
      <c r="AH339" s="81"/>
      <c r="AI339" s="77"/>
      <c r="AJ339" s="82" t="str">
        <f t="shared" si="26"/>
        <v/>
      </c>
      <c r="AK339" s="83" t="str">
        <f t="shared" si="27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4"/>
        <v/>
      </c>
      <c r="AE340" s="80" t="str">
        <f t="shared" si="25"/>
        <v/>
      </c>
      <c r="AF340" s="81"/>
      <c r="AG340" s="77"/>
      <c r="AH340" s="81"/>
      <c r="AI340" s="77"/>
      <c r="AJ340" s="82" t="str">
        <f t="shared" si="26"/>
        <v/>
      </c>
      <c r="AK340" s="83" t="str">
        <f t="shared" si="27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4"/>
        <v/>
      </c>
      <c r="AE341" s="80" t="str">
        <f t="shared" si="25"/>
        <v/>
      </c>
      <c r="AF341" s="81"/>
      <c r="AG341" s="77"/>
      <c r="AH341" s="81"/>
      <c r="AI341" s="77"/>
      <c r="AJ341" s="82" t="str">
        <f t="shared" si="26"/>
        <v/>
      </c>
      <c r="AK341" s="83" t="str">
        <f t="shared" si="27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4"/>
        <v/>
      </c>
      <c r="AE342" s="80" t="str">
        <f t="shared" si="25"/>
        <v/>
      </c>
      <c r="AF342" s="81"/>
      <c r="AG342" s="77"/>
      <c r="AH342" s="81"/>
      <c r="AI342" s="77"/>
      <c r="AJ342" s="82" t="str">
        <f t="shared" si="26"/>
        <v/>
      </c>
      <c r="AK342" s="83" t="str">
        <f t="shared" si="27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4"/>
        <v/>
      </c>
      <c r="AE343" s="80" t="str">
        <f t="shared" si="25"/>
        <v/>
      </c>
      <c r="AF343" s="81"/>
      <c r="AG343" s="77"/>
      <c r="AH343" s="81"/>
      <c r="AI343" s="77"/>
      <c r="AJ343" s="82" t="str">
        <f t="shared" si="26"/>
        <v/>
      </c>
      <c r="AK343" s="83" t="str">
        <f t="shared" si="27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4"/>
        <v/>
      </c>
      <c r="AE344" s="80" t="str">
        <f t="shared" si="25"/>
        <v/>
      </c>
      <c r="AF344" s="81"/>
      <c r="AG344" s="77"/>
      <c r="AH344" s="81"/>
      <c r="AI344" s="77"/>
      <c r="AJ344" s="82" t="str">
        <f t="shared" si="26"/>
        <v/>
      </c>
      <c r="AK344" s="83" t="str">
        <f t="shared" si="27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4"/>
        <v/>
      </c>
      <c r="AE345" s="80" t="str">
        <f t="shared" si="25"/>
        <v/>
      </c>
      <c r="AF345" s="81"/>
      <c r="AG345" s="77"/>
      <c r="AH345" s="81"/>
      <c r="AI345" s="77"/>
      <c r="AJ345" s="82" t="str">
        <f t="shared" si="26"/>
        <v/>
      </c>
      <c r="AK345" s="83" t="str">
        <f t="shared" si="27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4"/>
        <v/>
      </c>
      <c r="AE346" s="80" t="str">
        <f t="shared" si="25"/>
        <v/>
      </c>
      <c r="AF346" s="81"/>
      <c r="AG346" s="77"/>
      <c r="AH346" s="81"/>
      <c r="AI346" s="77"/>
      <c r="AJ346" s="82" t="str">
        <f t="shared" si="26"/>
        <v/>
      </c>
      <c r="AK346" s="83" t="str">
        <f t="shared" si="27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4"/>
        <v/>
      </c>
      <c r="AE347" s="80" t="str">
        <f t="shared" si="25"/>
        <v/>
      </c>
      <c r="AF347" s="81"/>
      <c r="AG347" s="77"/>
      <c r="AH347" s="81"/>
      <c r="AI347" s="77"/>
      <c r="AJ347" s="82" t="str">
        <f t="shared" si="26"/>
        <v/>
      </c>
      <c r="AK347" s="83" t="str">
        <f t="shared" si="27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4"/>
        <v/>
      </c>
      <c r="AE348" s="80" t="str">
        <f t="shared" si="25"/>
        <v/>
      </c>
      <c r="AF348" s="81"/>
      <c r="AG348" s="77"/>
      <c r="AH348" s="81"/>
      <c r="AI348" s="77"/>
      <c r="AJ348" s="82" t="str">
        <f t="shared" si="26"/>
        <v/>
      </c>
      <c r="AK348" s="83" t="str">
        <f t="shared" si="27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4"/>
        <v/>
      </c>
      <c r="AE349" s="80" t="str">
        <f t="shared" si="25"/>
        <v/>
      </c>
      <c r="AF349" s="81"/>
      <c r="AG349" s="77"/>
      <c r="AH349" s="81"/>
      <c r="AI349" s="77"/>
      <c r="AJ349" s="82" t="str">
        <f t="shared" si="26"/>
        <v/>
      </c>
      <c r="AK349" s="83" t="str">
        <f t="shared" si="27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4"/>
        <v/>
      </c>
      <c r="AE350" s="80" t="str">
        <f t="shared" si="25"/>
        <v/>
      </c>
      <c r="AF350" s="81"/>
      <c r="AG350" s="77"/>
      <c r="AH350" s="81"/>
      <c r="AI350" s="77"/>
      <c r="AJ350" s="82" t="str">
        <f t="shared" si="26"/>
        <v/>
      </c>
      <c r="AK350" s="83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1763" priority="8497" stopIfTrue="1" operator="equal">
      <formula>"En cours"</formula>
    </cfRule>
  </conditionalFormatting>
  <conditionalFormatting sqref="AJ30">
    <cfRule type="cellIs" dxfId="1762" priority="8498" stopIfTrue="1" operator="notEqual">
      <formula>"En cours"</formula>
    </cfRule>
  </conditionalFormatting>
  <conditionalFormatting sqref="AK30">
    <cfRule type="cellIs" dxfId="1761" priority="8499" stopIfTrue="1" operator="equal">
      <formula>"En cours"</formula>
    </cfRule>
  </conditionalFormatting>
  <conditionalFormatting sqref="AK30">
    <cfRule type="cellIs" dxfId="1760" priority="8500" stopIfTrue="1" operator="notEqual">
      <formula>"En cours"</formula>
    </cfRule>
  </conditionalFormatting>
  <conditionalFormatting sqref="AJ36">
    <cfRule type="cellIs" dxfId="1759" priority="8633" stopIfTrue="1" operator="equal">
      <formula>"En cours"</formula>
    </cfRule>
    <cfRule type="cellIs" dxfId="1758" priority="8634" stopIfTrue="1" operator="notEqual">
      <formula>"En cours"</formula>
    </cfRule>
  </conditionalFormatting>
  <conditionalFormatting sqref="AK36">
    <cfRule type="cellIs" dxfId="1757" priority="8635" stopIfTrue="1" operator="equal">
      <formula>"En cours"</formula>
    </cfRule>
    <cfRule type="cellIs" dxfId="1756" priority="8636" stopIfTrue="1" operator="notEqual">
      <formula>"En cours"</formula>
    </cfRule>
  </conditionalFormatting>
  <conditionalFormatting sqref="AJ35">
    <cfRule type="cellIs" dxfId="1755" priority="8637" stopIfTrue="1" operator="equal">
      <formula>"En cours"</formula>
    </cfRule>
  </conditionalFormatting>
  <conditionalFormatting sqref="AJ35">
    <cfRule type="cellIs" dxfId="1754" priority="8638" stopIfTrue="1" operator="notEqual">
      <formula>"En cours"</formula>
    </cfRule>
  </conditionalFormatting>
  <conditionalFormatting sqref="AK35">
    <cfRule type="cellIs" dxfId="1753" priority="8639" stopIfTrue="1" operator="equal">
      <formula>"En cours"</formula>
    </cfRule>
  </conditionalFormatting>
  <conditionalFormatting sqref="AK35">
    <cfRule type="cellIs" dxfId="1752" priority="8640" stopIfTrue="1" operator="notEqual">
      <formula>"En cours"</formula>
    </cfRule>
  </conditionalFormatting>
  <conditionalFormatting sqref="AJ33">
    <cfRule type="cellIs" dxfId="1751" priority="8641" stopIfTrue="1" operator="equal">
      <formula>"En cours"</formula>
    </cfRule>
  </conditionalFormatting>
  <conditionalFormatting sqref="AJ33">
    <cfRule type="cellIs" dxfId="1750" priority="8642" stopIfTrue="1" operator="notEqual">
      <formula>"En cours"</formula>
    </cfRule>
  </conditionalFormatting>
  <conditionalFormatting sqref="AK33">
    <cfRule type="cellIs" dxfId="1749" priority="8643" stopIfTrue="1" operator="equal">
      <formula>"En cours"</formula>
    </cfRule>
  </conditionalFormatting>
  <conditionalFormatting sqref="AK33">
    <cfRule type="cellIs" dxfId="1748" priority="8644" stopIfTrue="1" operator="notEqual">
      <formula>"En cours"</formula>
    </cfRule>
  </conditionalFormatting>
  <conditionalFormatting sqref="AJ29">
    <cfRule type="cellIs" dxfId="1747" priority="8693" stopIfTrue="1" operator="equal">
      <formula>"En cours"</formula>
    </cfRule>
  </conditionalFormatting>
  <conditionalFormatting sqref="AJ29">
    <cfRule type="cellIs" dxfId="1746" priority="8694" stopIfTrue="1" operator="notEqual">
      <formula>"En cours"</formula>
    </cfRule>
  </conditionalFormatting>
  <conditionalFormatting sqref="AK29">
    <cfRule type="cellIs" dxfId="1745" priority="8695" stopIfTrue="1" operator="equal">
      <formula>"En cours"</formula>
    </cfRule>
  </conditionalFormatting>
  <conditionalFormatting sqref="AK29">
    <cfRule type="cellIs" dxfId="1744" priority="8696" stopIfTrue="1" operator="notEqual">
      <formula>"En cours"</formula>
    </cfRule>
  </conditionalFormatting>
  <conditionalFormatting sqref="AJ32">
    <cfRule type="cellIs" dxfId="1743" priority="8697" stopIfTrue="1" operator="equal">
      <formula>"En cours"</formula>
    </cfRule>
  </conditionalFormatting>
  <conditionalFormatting sqref="AJ32">
    <cfRule type="cellIs" dxfId="1742" priority="8698" stopIfTrue="1" operator="notEqual">
      <formula>"En cours"</formula>
    </cfRule>
  </conditionalFormatting>
  <conditionalFormatting sqref="AK32">
    <cfRule type="cellIs" dxfId="1741" priority="8699" stopIfTrue="1" operator="equal">
      <formula>"En cours"</formula>
    </cfRule>
  </conditionalFormatting>
  <conditionalFormatting sqref="AK32">
    <cfRule type="cellIs" dxfId="1740" priority="8700" stopIfTrue="1" operator="notEqual">
      <formula>"En cours"</formula>
    </cfRule>
  </conditionalFormatting>
  <conditionalFormatting sqref="AJ31">
    <cfRule type="cellIs" dxfId="1739" priority="8701" stopIfTrue="1" operator="equal">
      <formula>"En cours"</formula>
    </cfRule>
  </conditionalFormatting>
  <conditionalFormatting sqref="AJ31">
    <cfRule type="cellIs" dxfId="1738" priority="8702" stopIfTrue="1" operator="notEqual">
      <formula>"En cours"</formula>
    </cfRule>
  </conditionalFormatting>
  <conditionalFormatting sqref="AK31">
    <cfRule type="cellIs" dxfId="1737" priority="8703" stopIfTrue="1" operator="equal">
      <formula>"En cours"</formula>
    </cfRule>
  </conditionalFormatting>
  <conditionalFormatting sqref="AK31">
    <cfRule type="cellIs" dxfId="1736" priority="8704" stopIfTrue="1" operator="notEqual">
      <formula>"En cours"</formula>
    </cfRule>
  </conditionalFormatting>
  <conditionalFormatting sqref="AJ27">
    <cfRule type="cellIs" dxfId="1735" priority="8705" stopIfTrue="1" operator="equal">
      <formula>"En cours"</formula>
    </cfRule>
  </conditionalFormatting>
  <conditionalFormatting sqref="AJ27">
    <cfRule type="cellIs" dxfId="1734" priority="8706" stopIfTrue="1" operator="notEqual">
      <formula>"En cours"</formula>
    </cfRule>
  </conditionalFormatting>
  <conditionalFormatting sqref="AK27">
    <cfRule type="cellIs" dxfId="1733" priority="8707" stopIfTrue="1" operator="equal">
      <formula>"En cours"</formula>
    </cfRule>
  </conditionalFormatting>
  <conditionalFormatting sqref="AK27">
    <cfRule type="cellIs" dxfId="1732" priority="8708" stopIfTrue="1" operator="notEqual">
      <formula>"En cours"</formula>
    </cfRule>
  </conditionalFormatting>
  <conditionalFormatting sqref="AJ34">
    <cfRule type="cellIs" dxfId="1731" priority="8717" stopIfTrue="1" operator="equal">
      <formula>"En cours"</formula>
    </cfRule>
  </conditionalFormatting>
  <conditionalFormatting sqref="AJ34">
    <cfRule type="cellIs" dxfId="1730" priority="8718" stopIfTrue="1" operator="notEqual">
      <formula>"En cours"</formula>
    </cfRule>
  </conditionalFormatting>
  <conditionalFormatting sqref="AK34">
    <cfRule type="cellIs" dxfId="1729" priority="8719" stopIfTrue="1" operator="equal">
      <formula>"En cours"</formula>
    </cfRule>
  </conditionalFormatting>
  <conditionalFormatting sqref="AK34">
    <cfRule type="cellIs" dxfId="1728" priority="8720" stopIfTrue="1" operator="notEqual">
      <formula>"En cours"</formula>
    </cfRule>
  </conditionalFormatting>
  <conditionalFormatting sqref="AJ28">
    <cfRule type="cellIs" dxfId="1727" priority="8725" stopIfTrue="1" operator="equal">
      <formula>"En cours"</formula>
    </cfRule>
  </conditionalFormatting>
  <conditionalFormatting sqref="AJ28">
    <cfRule type="cellIs" dxfId="1726" priority="8726" stopIfTrue="1" operator="notEqual">
      <formula>"En cours"</formula>
    </cfRule>
  </conditionalFormatting>
  <conditionalFormatting sqref="AK28">
    <cfRule type="cellIs" dxfId="1725" priority="8727" stopIfTrue="1" operator="equal">
      <formula>"En cours"</formula>
    </cfRule>
  </conditionalFormatting>
  <conditionalFormatting sqref="AK28">
    <cfRule type="cellIs" dxfId="1724" priority="8728" stopIfTrue="1" operator="notEqual">
      <formula>"En cours"</formula>
    </cfRule>
  </conditionalFormatting>
  <conditionalFormatting sqref="AJ23">
    <cfRule type="cellIs" dxfId="1723" priority="12397" stopIfTrue="1" operator="equal">
      <formula>"En cours"</formula>
    </cfRule>
  </conditionalFormatting>
  <conditionalFormatting sqref="AJ23">
    <cfRule type="cellIs" dxfId="1722" priority="12398" stopIfTrue="1" operator="notEqual">
      <formula>"En cours"</formula>
    </cfRule>
  </conditionalFormatting>
  <conditionalFormatting sqref="AK23">
    <cfRule type="cellIs" dxfId="1721" priority="12399" stopIfTrue="1" operator="equal">
      <formula>"En cours"</formula>
    </cfRule>
  </conditionalFormatting>
  <conditionalFormatting sqref="AK23">
    <cfRule type="cellIs" dxfId="1720" priority="12400" stopIfTrue="1" operator="notEqual">
      <formula>"En cours"</formula>
    </cfRule>
  </conditionalFormatting>
  <conditionalFormatting sqref="AJ25">
    <cfRule type="cellIs" dxfId="1719" priority="12429" stopIfTrue="1" operator="equal">
      <formula>"En cours"</formula>
    </cfRule>
  </conditionalFormatting>
  <conditionalFormatting sqref="AJ25">
    <cfRule type="cellIs" dxfId="1718" priority="12430" stopIfTrue="1" operator="notEqual">
      <formula>"En cours"</formula>
    </cfRule>
  </conditionalFormatting>
  <conditionalFormatting sqref="AK25">
    <cfRule type="cellIs" dxfId="1717" priority="12431" stopIfTrue="1" operator="equal">
      <formula>"En cours"</formula>
    </cfRule>
  </conditionalFormatting>
  <conditionalFormatting sqref="AK25">
    <cfRule type="cellIs" dxfId="1716" priority="12432" stopIfTrue="1" operator="notEqual">
      <formula>"En cours"</formula>
    </cfRule>
  </conditionalFormatting>
  <conditionalFormatting sqref="AJ26">
    <cfRule type="cellIs" dxfId="1715" priority="12573" stopIfTrue="1" operator="equal">
      <formula>"En cours"</formula>
    </cfRule>
    <cfRule type="cellIs" dxfId="1714" priority="12574" stopIfTrue="1" operator="notEqual">
      <formula>"En cours"</formula>
    </cfRule>
  </conditionalFormatting>
  <conditionalFormatting sqref="AK26">
    <cfRule type="cellIs" dxfId="1713" priority="12575" stopIfTrue="1" operator="equal">
      <formula>"En cours"</formula>
    </cfRule>
    <cfRule type="cellIs" dxfId="1712" priority="12576" stopIfTrue="1" operator="notEqual">
      <formula>"En cours"</formula>
    </cfRule>
  </conditionalFormatting>
  <conditionalFormatting sqref="AJ24">
    <cfRule type="cellIs" dxfId="1711" priority="12641" stopIfTrue="1" operator="equal">
      <formula>"En cours"</formula>
    </cfRule>
  </conditionalFormatting>
  <conditionalFormatting sqref="AJ24">
    <cfRule type="cellIs" dxfId="1710" priority="12642" stopIfTrue="1" operator="notEqual">
      <formula>"En cours"</formula>
    </cfRule>
  </conditionalFormatting>
  <conditionalFormatting sqref="AK24">
    <cfRule type="cellIs" dxfId="1709" priority="12643" stopIfTrue="1" operator="equal">
      <formula>"En cours"</formula>
    </cfRule>
  </conditionalFormatting>
  <conditionalFormatting sqref="AK24">
    <cfRule type="cellIs" dxfId="1708" priority="12644" stopIfTrue="1" operator="notEqual">
      <formula>"En cours"</formula>
    </cfRule>
  </conditionalFormatting>
  <conditionalFormatting sqref="AJ22">
    <cfRule type="cellIs" dxfId="1707" priority="13797" stopIfTrue="1" operator="equal">
      <formula>"En cours"</formula>
    </cfRule>
    <cfRule type="cellIs" dxfId="1706" priority="13798" stopIfTrue="1" operator="notEqual">
      <formula>"En cours"</formula>
    </cfRule>
  </conditionalFormatting>
  <conditionalFormatting sqref="AK22">
    <cfRule type="cellIs" dxfId="1705" priority="13799" stopIfTrue="1" operator="equal">
      <formula>"En cours"</formula>
    </cfRule>
    <cfRule type="cellIs" dxfId="1704" priority="13800" stopIfTrue="1" operator="notEqual">
      <formula>"En cours"</formula>
    </cfRule>
  </conditionalFormatting>
  <conditionalFormatting sqref="AJ21">
    <cfRule type="cellIs" dxfId="1703" priority="13997" stopIfTrue="1" operator="equal">
      <formula>"En cours"</formula>
    </cfRule>
  </conditionalFormatting>
  <conditionalFormatting sqref="AJ21">
    <cfRule type="cellIs" dxfId="1702" priority="13998" stopIfTrue="1" operator="notEqual">
      <formula>"En cours"</formula>
    </cfRule>
  </conditionalFormatting>
  <conditionalFormatting sqref="AK21">
    <cfRule type="cellIs" dxfId="1701" priority="13999" stopIfTrue="1" operator="equal">
      <formula>"En cours"</formula>
    </cfRule>
  </conditionalFormatting>
  <conditionalFormatting sqref="AK21">
    <cfRule type="cellIs" dxfId="1700" priority="14000" stopIfTrue="1" operator="notEqual">
      <formula>"En cours"</formula>
    </cfRule>
  </conditionalFormatting>
  <conditionalFormatting sqref="AJ5">
    <cfRule type="cellIs" dxfId="67" priority="23321" stopIfTrue="1" operator="equal">
      <formula>"En cours"</formula>
    </cfRule>
  </conditionalFormatting>
  <conditionalFormatting sqref="AJ5">
    <cfRule type="cellIs" dxfId="66" priority="23322" stopIfTrue="1" operator="notEqual">
      <formula>"En cours"</formula>
    </cfRule>
  </conditionalFormatting>
  <conditionalFormatting sqref="AK5">
    <cfRule type="cellIs" dxfId="65" priority="23323" stopIfTrue="1" operator="equal">
      <formula>"En cours"</formula>
    </cfRule>
  </conditionalFormatting>
  <conditionalFormatting sqref="AK5">
    <cfRule type="cellIs" dxfId="64" priority="23324" stopIfTrue="1" operator="notEqual">
      <formula>"En cours"</formula>
    </cfRule>
  </conditionalFormatting>
  <conditionalFormatting sqref="AJ6">
    <cfRule type="cellIs" dxfId="63" priority="23325" stopIfTrue="1" operator="equal">
      <formula>"En cours"</formula>
    </cfRule>
  </conditionalFormatting>
  <conditionalFormatting sqref="AJ6">
    <cfRule type="cellIs" dxfId="62" priority="23326" stopIfTrue="1" operator="notEqual">
      <formula>"En cours"</formula>
    </cfRule>
  </conditionalFormatting>
  <conditionalFormatting sqref="AK6">
    <cfRule type="cellIs" dxfId="61" priority="23327" stopIfTrue="1" operator="equal">
      <formula>"En cours"</formula>
    </cfRule>
  </conditionalFormatting>
  <conditionalFormatting sqref="AK6">
    <cfRule type="cellIs" dxfId="60" priority="23328" stopIfTrue="1" operator="notEqual">
      <formula>"En cours"</formula>
    </cfRule>
  </conditionalFormatting>
  <conditionalFormatting sqref="AJ4">
    <cfRule type="cellIs" dxfId="59" priority="23329" stopIfTrue="1" operator="equal">
      <formula>"En cours"</formula>
    </cfRule>
    <cfRule type="cellIs" dxfId="58" priority="23330" stopIfTrue="1" operator="notEqual">
      <formula>"En cours"</formula>
    </cfRule>
  </conditionalFormatting>
  <conditionalFormatting sqref="AK4">
    <cfRule type="cellIs" dxfId="57" priority="23331" stopIfTrue="1" operator="equal">
      <formula>"En cours"</formula>
    </cfRule>
    <cfRule type="cellIs" dxfId="56" priority="23332" stopIfTrue="1" operator="notEqual">
      <formula>"En cours"</formula>
    </cfRule>
  </conditionalFormatting>
  <conditionalFormatting sqref="AJ7">
    <cfRule type="cellIs" dxfId="55" priority="23333" stopIfTrue="1" operator="equal">
      <formula>"En cours"</formula>
    </cfRule>
  </conditionalFormatting>
  <conditionalFormatting sqref="AJ7">
    <cfRule type="cellIs" dxfId="54" priority="23334" stopIfTrue="1" operator="notEqual">
      <formula>"En cours"</formula>
    </cfRule>
  </conditionalFormatting>
  <conditionalFormatting sqref="AK7">
    <cfRule type="cellIs" dxfId="53" priority="23335" stopIfTrue="1" operator="equal">
      <formula>"En cours"</formula>
    </cfRule>
  </conditionalFormatting>
  <conditionalFormatting sqref="AK7">
    <cfRule type="cellIs" dxfId="52" priority="23336" stopIfTrue="1" operator="notEqual">
      <formula>"En cours"</formula>
    </cfRule>
  </conditionalFormatting>
  <conditionalFormatting sqref="AJ8">
    <cfRule type="cellIs" dxfId="51" priority="23337" stopIfTrue="1" operator="equal">
      <formula>"En cours"</formula>
    </cfRule>
  </conditionalFormatting>
  <conditionalFormatting sqref="AJ8">
    <cfRule type="cellIs" dxfId="50" priority="23338" stopIfTrue="1" operator="notEqual">
      <formula>"En cours"</formula>
    </cfRule>
  </conditionalFormatting>
  <conditionalFormatting sqref="AK8">
    <cfRule type="cellIs" dxfId="49" priority="23339" stopIfTrue="1" operator="equal">
      <formula>"En cours"</formula>
    </cfRule>
  </conditionalFormatting>
  <conditionalFormatting sqref="AK8">
    <cfRule type="cellIs" dxfId="48" priority="23340" stopIfTrue="1" operator="notEqual">
      <formula>"En cours"</formula>
    </cfRule>
  </conditionalFormatting>
  <conditionalFormatting sqref="AJ9">
    <cfRule type="cellIs" dxfId="47" priority="23341" stopIfTrue="1" operator="equal">
      <formula>"En cours"</formula>
    </cfRule>
  </conditionalFormatting>
  <conditionalFormatting sqref="AJ9">
    <cfRule type="cellIs" dxfId="46" priority="23342" stopIfTrue="1" operator="notEqual">
      <formula>"En cours"</formula>
    </cfRule>
  </conditionalFormatting>
  <conditionalFormatting sqref="AK9">
    <cfRule type="cellIs" dxfId="45" priority="23343" stopIfTrue="1" operator="equal">
      <formula>"En cours"</formula>
    </cfRule>
  </conditionalFormatting>
  <conditionalFormatting sqref="AK9">
    <cfRule type="cellIs" dxfId="44" priority="23344" stopIfTrue="1" operator="notEqual">
      <formula>"En cours"</formula>
    </cfRule>
  </conditionalFormatting>
  <conditionalFormatting sqref="AJ10">
    <cfRule type="cellIs" dxfId="43" priority="23345" stopIfTrue="1" operator="equal">
      <formula>"En cours"</formula>
    </cfRule>
  </conditionalFormatting>
  <conditionalFormatting sqref="AJ10">
    <cfRule type="cellIs" dxfId="42" priority="23346" stopIfTrue="1" operator="notEqual">
      <formula>"En cours"</formula>
    </cfRule>
  </conditionalFormatting>
  <conditionalFormatting sqref="AK10">
    <cfRule type="cellIs" dxfId="41" priority="23347" stopIfTrue="1" operator="equal">
      <formula>"En cours"</formula>
    </cfRule>
  </conditionalFormatting>
  <conditionalFormatting sqref="AK10">
    <cfRule type="cellIs" dxfId="40" priority="23348" stopIfTrue="1" operator="notEqual">
      <formula>"En cours"</formula>
    </cfRule>
  </conditionalFormatting>
  <conditionalFormatting sqref="AJ11">
    <cfRule type="cellIs" dxfId="39" priority="23349" stopIfTrue="1" operator="equal">
      <formula>"En cours"</formula>
    </cfRule>
  </conditionalFormatting>
  <conditionalFormatting sqref="AJ11">
    <cfRule type="cellIs" dxfId="38" priority="23350" stopIfTrue="1" operator="notEqual">
      <formula>"En cours"</formula>
    </cfRule>
  </conditionalFormatting>
  <conditionalFormatting sqref="AK11">
    <cfRule type="cellIs" dxfId="37" priority="23351" stopIfTrue="1" operator="equal">
      <formula>"En cours"</formula>
    </cfRule>
  </conditionalFormatting>
  <conditionalFormatting sqref="AK11">
    <cfRule type="cellIs" dxfId="36" priority="23352" stopIfTrue="1" operator="notEqual">
      <formula>"En cours"</formula>
    </cfRule>
  </conditionalFormatting>
  <conditionalFormatting sqref="AJ12">
    <cfRule type="cellIs" dxfId="35" priority="23353" stopIfTrue="1" operator="equal">
      <formula>"En cours"</formula>
    </cfRule>
  </conditionalFormatting>
  <conditionalFormatting sqref="AJ12">
    <cfRule type="cellIs" dxfId="34" priority="23354" stopIfTrue="1" operator="notEqual">
      <formula>"En cours"</formula>
    </cfRule>
  </conditionalFormatting>
  <conditionalFormatting sqref="AK12">
    <cfRule type="cellIs" dxfId="33" priority="23355" stopIfTrue="1" operator="equal">
      <formula>"En cours"</formula>
    </cfRule>
  </conditionalFormatting>
  <conditionalFormatting sqref="AK12">
    <cfRule type="cellIs" dxfId="32" priority="23356" stopIfTrue="1" operator="notEqual">
      <formula>"En cours"</formula>
    </cfRule>
  </conditionalFormatting>
  <conditionalFormatting sqref="AJ14">
    <cfRule type="cellIs" dxfId="31" priority="23357" stopIfTrue="1" operator="equal">
      <formula>"En cours"</formula>
    </cfRule>
  </conditionalFormatting>
  <conditionalFormatting sqref="AJ14">
    <cfRule type="cellIs" dxfId="30" priority="23358" stopIfTrue="1" operator="notEqual">
      <formula>"En cours"</formula>
    </cfRule>
  </conditionalFormatting>
  <conditionalFormatting sqref="AK14">
    <cfRule type="cellIs" dxfId="29" priority="23359" stopIfTrue="1" operator="equal">
      <formula>"En cours"</formula>
    </cfRule>
  </conditionalFormatting>
  <conditionalFormatting sqref="AK14">
    <cfRule type="cellIs" dxfId="28" priority="23360" stopIfTrue="1" operator="notEqual">
      <formula>"En cours"</formula>
    </cfRule>
  </conditionalFormatting>
  <conditionalFormatting sqref="AJ13">
    <cfRule type="cellIs" dxfId="27" priority="23361" stopIfTrue="1" operator="equal">
      <formula>"En cours"</formula>
    </cfRule>
  </conditionalFormatting>
  <conditionalFormatting sqref="AJ13">
    <cfRule type="cellIs" dxfId="26" priority="23362" stopIfTrue="1" operator="notEqual">
      <formula>"En cours"</formula>
    </cfRule>
  </conditionalFormatting>
  <conditionalFormatting sqref="AK13">
    <cfRule type="cellIs" dxfId="25" priority="23363" stopIfTrue="1" operator="equal">
      <formula>"En cours"</formula>
    </cfRule>
  </conditionalFormatting>
  <conditionalFormatting sqref="AK13">
    <cfRule type="cellIs" dxfId="24" priority="23364" stopIfTrue="1" operator="notEqual">
      <formula>"En cours"</formula>
    </cfRule>
  </conditionalFormatting>
  <conditionalFormatting sqref="AJ16">
    <cfRule type="cellIs" dxfId="23" priority="23365" stopIfTrue="1" operator="equal">
      <formula>"En cours"</formula>
    </cfRule>
  </conditionalFormatting>
  <conditionalFormatting sqref="AJ16">
    <cfRule type="cellIs" dxfId="22" priority="23366" stopIfTrue="1" operator="notEqual">
      <formula>"En cours"</formula>
    </cfRule>
  </conditionalFormatting>
  <conditionalFormatting sqref="AK16">
    <cfRule type="cellIs" dxfId="21" priority="23367" stopIfTrue="1" operator="equal">
      <formula>"En cours"</formula>
    </cfRule>
  </conditionalFormatting>
  <conditionalFormatting sqref="AK16">
    <cfRule type="cellIs" dxfId="20" priority="23368" stopIfTrue="1" operator="notEqual">
      <formula>"En cours"</formula>
    </cfRule>
  </conditionalFormatting>
  <conditionalFormatting sqref="AJ15">
    <cfRule type="cellIs" dxfId="19" priority="23369" stopIfTrue="1" operator="equal">
      <formula>"En cours"</formula>
    </cfRule>
  </conditionalFormatting>
  <conditionalFormatting sqref="AJ15">
    <cfRule type="cellIs" dxfId="18" priority="23370" stopIfTrue="1" operator="notEqual">
      <formula>"En cours"</formula>
    </cfRule>
  </conditionalFormatting>
  <conditionalFormatting sqref="AK15">
    <cfRule type="cellIs" dxfId="17" priority="23371" stopIfTrue="1" operator="equal">
      <formula>"En cours"</formula>
    </cfRule>
  </conditionalFormatting>
  <conditionalFormatting sqref="AK15">
    <cfRule type="cellIs" dxfId="16" priority="23372" stopIfTrue="1" operator="notEqual">
      <formula>"En cours"</formula>
    </cfRule>
  </conditionalFormatting>
  <conditionalFormatting sqref="AJ19">
    <cfRule type="cellIs" dxfId="15" priority="23373" stopIfTrue="1" operator="equal">
      <formula>"En cours"</formula>
    </cfRule>
  </conditionalFormatting>
  <conditionalFormatting sqref="AJ19">
    <cfRule type="cellIs" dxfId="14" priority="23374" stopIfTrue="1" operator="notEqual">
      <formula>"En cours"</formula>
    </cfRule>
  </conditionalFormatting>
  <conditionalFormatting sqref="AK19">
    <cfRule type="cellIs" dxfId="13" priority="23375" stopIfTrue="1" operator="equal">
      <formula>"En cours"</formula>
    </cfRule>
  </conditionalFormatting>
  <conditionalFormatting sqref="AK19">
    <cfRule type="cellIs" dxfId="12" priority="23376" stopIfTrue="1" operator="notEqual">
      <formula>"En cours"</formula>
    </cfRule>
  </conditionalFormatting>
  <conditionalFormatting sqref="AJ17">
    <cfRule type="cellIs" dxfId="11" priority="23377" stopIfTrue="1" operator="equal">
      <formula>"En cours"</formula>
    </cfRule>
  </conditionalFormatting>
  <conditionalFormatting sqref="AJ17">
    <cfRule type="cellIs" dxfId="10" priority="23378" stopIfTrue="1" operator="notEqual">
      <formula>"En cours"</formula>
    </cfRule>
  </conditionalFormatting>
  <conditionalFormatting sqref="AK17">
    <cfRule type="cellIs" dxfId="9" priority="23379" stopIfTrue="1" operator="equal">
      <formula>"En cours"</formula>
    </cfRule>
  </conditionalFormatting>
  <conditionalFormatting sqref="AK17">
    <cfRule type="cellIs" dxfId="8" priority="23380" stopIfTrue="1" operator="notEqual">
      <formula>"En cours"</formula>
    </cfRule>
  </conditionalFormatting>
  <conditionalFormatting sqref="AJ20">
    <cfRule type="cellIs" dxfId="7" priority="23381" stopIfTrue="1" operator="equal">
      <formula>"En cours"</formula>
    </cfRule>
  </conditionalFormatting>
  <conditionalFormatting sqref="AJ20">
    <cfRule type="cellIs" dxfId="6" priority="23382" stopIfTrue="1" operator="notEqual">
      <formula>"En cours"</formula>
    </cfRule>
  </conditionalFormatting>
  <conditionalFormatting sqref="AK20">
    <cfRule type="cellIs" dxfId="5" priority="23383" stopIfTrue="1" operator="equal">
      <formula>"En cours"</formula>
    </cfRule>
  </conditionalFormatting>
  <conditionalFormatting sqref="AK20">
    <cfRule type="cellIs" dxfId="4" priority="23384" stopIfTrue="1" operator="notEqual">
      <formula>"En cours"</formula>
    </cfRule>
  </conditionalFormatting>
  <conditionalFormatting sqref="AJ18">
    <cfRule type="cellIs" dxfId="3" priority="23385" stopIfTrue="1" operator="equal">
      <formula>"En cours"</formula>
    </cfRule>
  </conditionalFormatting>
  <conditionalFormatting sqref="AJ18">
    <cfRule type="cellIs" dxfId="2" priority="23386" stopIfTrue="1" operator="notEqual">
      <formula>"En cours"</formula>
    </cfRule>
  </conditionalFormatting>
  <conditionalFormatting sqref="AK18">
    <cfRule type="cellIs" dxfId="1" priority="23387" stopIfTrue="1" operator="equal">
      <formula>"En cours"</formula>
    </cfRule>
  </conditionalFormatting>
  <conditionalFormatting sqref="AK18">
    <cfRule type="cellIs" dxfId="0" priority="23388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workbookViewId="0">
      <pane ySplit="4" topLeftCell="A5" activePane="bottomLeft" state="frozen"/>
      <selection pane="bottomLeft" activeCell="B14" sqref="B14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B5" s="211"/>
      <c r="C5" s="211"/>
      <c r="D5" s="211"/>
      <c r="E5" s="211"/>
      <c r="F5" s="21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2024-08-05T23:34:04Z</dcterms:modified>
</cp:coreProperties>
</file>