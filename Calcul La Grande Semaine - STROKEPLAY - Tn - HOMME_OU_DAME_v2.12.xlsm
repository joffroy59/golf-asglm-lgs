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ctrlProps/ctrlProp15.xml" ContentType="application/vnd.ms-excel.controlpropertie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dev-data\golf\ASGLM LGS\LGS_Application\"/>
    </mc:Choice>
  </mc:AlternateContent>
  <xr:revisionPtr revIDLastSave="0" documentId="13_ncr:1_{3AE5B43E-AE34-427E-A5EB-9974349E5B85}" xr6:coauthVersionLast="47" xr6:coauthVersionMax="47" xr10:uidLastSave="{00000000-0000-0000-0000-000000000000}"/>
  <bookViews>
    <workbookView xWindow="-120" yWindow="-120" windowWidth="38640" windowHeight="21120" xr2:uid="{6AEB4617-108C-462D-B625-13BDE469D72B}"/>
  </bookViews>
  <sheets>
    <sheet name="Import Resultats Tour" sheetId="1" r:id="rId1"/>
    <sheet name="Resultat LGS (HOMME)" sheetId="4" r:id="rId2"/>
    <sheet name="Resultat LGS (DAME)" sheetId="5" r:id="rId3"/>
    <sheet name="Historique Import" sheetId="3" r:id="rId4"/>
  </sheets>
  <functionGroup name="GPT for Excel Word"/>
  <functionGroup name="Spreadsheet AI"/>
  <definedNames>
    <definedName name="_xlnm._FilterDatabase" localSheetId="0" hidden="1">'Import Resultats Tour'!$K$16:$R$18</definedName>
    <definedName name="_xlnm._FilterDatabase" localSheetId="2" hidden="1">'Resultat LGS (DAME)'!$B$3:$AK$350</definedName>
    <definedName name="_xlnm._FilterDatabase" localSheetId="1" hidden="1">'Resultat LGS (HOMME)'!$B$2:$C$2</definedName>
    <definedName name="cleanResult">'Import Resultats Tour'!$D$9</definedName>
    <definedName name="ClubBrut">'Import Resultats Tour'!$N$16</definedName>
    <definedName name="ClubNet">'Import Resultats Tour'!$E$16</definedName>
    <definedName name="colIndexBrut">'Import Resultats Tour'!$O$16</definedName>
    <definedName name="colIndexNet">'Import Resultats Tour'!$F$16</definedName>
    <definedName name="DateImport">'Import Resultats Tour'!$O$3</definedName>
    <definedName name="DateRencontre">'Import Resultats Tour'!$N$3</definedName>
    <definedName name="DebutTableauGeneralBrut">'Import Resultats Tour'!$K$16</definedName>
    <definedName name="DebutTableauGeneralNet">'Import Resultats Tour'!$B$16</definedName>
    <definedName name="export_Brut_Stabelford_filename">'Import Resultats Tour'!$P$8</definedName>
    <definedName name="export_Brut_Strokeplay_filename">'Import Resultats Tour'!$P$6</definedName>
    <definedName name="export_Net_Stabelford_filename">'Import Resultats Tour'!$P$9</definedName>
    <definedName name="export_Net_Strokeplay_filename">'Import Resultats Tour'!$P$7</definedName>
    <definedName name="GenreBrut">'Import Resultats Tour'!$R$16</definedName>
    <definedName name="GenreNet">'Import Resultats Tour'!$I$16</definedName>
    <definedName name="IndexBrut">'Import Resultats Tour'!$O$16</definedName>
    <definedName name="IndexNet">'Import Resultats Tour'!$F$16</definedName>
    <definedName name="indexType" localSheetId="1">'Import Resultats Tour'!$F$17:$F$5016</definedName>
    <definedName name="indexType">Tableau6[Type]</definedName>
    <definedName name="ListTours" localSheetId="0">Tableau3[Tours]</definedName>
    <definedName name="ListTours" localSheetId="2">Tableau3[Tours]</definedName>
    <definedName name="ListTours" localSheetId="1">Tableau3[Tours]</definedName>
    <definedName name="ListTours">Tableau3[Tours]</definedName>
    <definedName name="ListType" localSheetId="2">TableauType[TYPE]</definedName>
    <definedName name="ListType" localSheetId="1">TableauType[TYPE]</definedName>
    <definedName name="ListType">TableauType[TYPE]</definedName>
    <definedName name="NbLignesBrut">'Import Resultats Tour'!$K$3</definedName>
    <definedName name="NbLignesNet">'Import Resultats Tour'!$B$3</definedName>
    <definedName name="NomBrut">'Import Resultats Tour'!$M$16</definedName>
    <definedName name="NomFeuilleCumuljoueur">'Import Resultats Tour'!$M$3</definedName>
    <definedName name="NomFeuilleResultatTour">'Import Resultats Tour'!$D$3</definedName>
    <definedName name="NomNet">'Import Resultats Tour'!$D$16</definedName>
    <definedName name="PlayerType" localSheetId="2">Tableau6[Type]</definedName>
    <definedName name="PlayerType" localSheetId="1">Tableau6[Type]</definedName>
    <definedName name="PlayerType">Tableau6[Type]</definedName>
    <definedName name="RangBrut">'Import Resultats Tour'!$L$16</definedName>
    <definedName name="RangNet">'Import Resultats Tour'!$C$16</definedName>
    <definedName name="ScoreBrut">'Import Resultats Tour'!$Q$16</definedName>
    <definedName name="ScoreNet">'Import Resultats Tour'!$H$16</definedName>
    <definedName name="serie_1">'Import Resultats Tour'!$U$8</definedName>
    <definedName name="serie_2">'Import Resultats Tour'!$U$9</definedName>
    <definedName name="serie_3">'Import Resultats Tour'!$U$10</definedName>
    <definedName name="serie_4">'Import Resultats Tour'!$U$11</definedName>
    <definedName name="serie_5">'Import Resultats Tour'!$U$12</definedName>
    <definedName name="serie1IndexMax">'Import Resultats Tour'!$X$8</definedName>
    <definedName name="serie1IndexMin">'Import Resultats Tour'!$W$8</definedName>
    <definedName name="serie2IndexMax">'Import Resultats Tour'!$X$9</definedName>
    <definedName name="serie2IndexMin">'Import Resultats Tour'!$W$9</definedName>
    <definedName name="serie3IndexMax">'Import Resultats Tour'!$X$10</definedName>
    <definedName name="serie3IndexMin">'Import Resultats Tour'!$W$10</definedName>
    <definedName name="serie4IndexMax">'Import Resultats Tour'!$X$11</definedName>
    <definedName name="serie4IndexMin">'Import Resultats Tour'!$W$11</definedName>
    <definedName name="serie5IndexMax">'Import Resultats Tour'!$X$12</definedName>
    <definedName name="serie5IndexMin">'Import Resultats Tour'!$W$12</definedName>
    <definedName name="SerieBrut">'Import Resultats Tour'!$P$16</definedName>
    <definedName name="SerieNet">'Import Resultats Tour'!$G$16</definedName>
    <definedName name="TableauResultat" localSheetId="2">'Resultat LGS (DAME)'!$B$3</definedName>
    <definedName name="TableauResultat" localSheetId="1">'Resultat LGS (HOMME)'!$B$3</definedName>
    <definedName name="TableauResultatEnd" localSheetId="2">'Resultat LGS (DAME)'!$AK$3</definedName>
    <definedName name="TableauResultatEnd" localSheetId="1">'Resultat LGS (HOMME)'!$AK$3</definedName>
    <definedName name="TableauResultatMaxBrut" localSheetId="2">'Resultat LGS (DAME)'!$AE$4</definedName>
    <definedName name="TableauResultatMaxBrut" localSheetId="1">'Resultat LGS (HOMME)'!$AE$4</definedName>
    <definedName name="TableauResultatMaxNet" localSheetId="2">'Resultat LGS (DAME)'!$AD$4</definedName>
    <definedName name="TableauResultatMaxNet" localSheetId="1">'Resultat LGS (HOMME)'!$AD$4</definedName>
    <definedName name="TableauResultatTotalBrut" localSheetId="2">'Resultat LGS (DAME)'!$AK$4</definedName>
    <definedName name="TableauResultatTotalBrut" localSheetId="1">'Resultat LGS (HOMME)'!$AK$4</definedName>
    <definedName name="TableauResultatTotalNet" localSheetId="2">'Resultat LGS (DAME)'!$AJ$4</definedName>
    <definedName name="TableauResultatTotalNet" localSheetId="1">'Resultat LGS (HOMME)'!$AJ$4</definedName>
    <definedName name="Tour">'Import Resultats Tour'!$E$3</definedName>
    <definedName name="TourSelected" localSheetId="2">Tableau6[Tour importé]</definedName>
    <definedName name="TourSelected" localSheetId="1">Tableau6[Tour importé]</definedName>
    <definedName name="TourSelected">Tableau6[Tour importé]</definedName>
    <definedName name="TypeIndex">Tableau6[TypeIndex]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K73" i="4" l="1"/>
  <c r="AJ73" i="4"/>
  <c r="AE73" i="4"/>
  <c r="AD73" i="4"/>
  <c r="AK160" i="4"/>
  <c r="AJ160" i="4"/>
  <c r="AE160" i="4"/>
  <c r="AD160" i="4"/>
  <c r="AK59" i="4"/>
  <c r="AJ59" i="4"/>
  <c r="AE59" i="4"/>
  <c r="AD59" i="4"/>
  <c r="AK64" i="4"/>
  <c r="AJ64" i="4"/>
  <c r="AE64" i="4"/>
  <c r="AD64" i="4"/>
  <c r="AK153" i="4"/>
  <c r="AJ153" i="4"/>
  <c r="AE153" i="4"/>
  <c r="AD153" i="4"/>
  <c r="AK176" i="4"/>
  <c r="AJ176" i="4"/>
  <c r="AE176" i="4"/>
  <c r="AD176" i="4"/>
  <c r="AK68" i="4"/>
  <c r="AJ68" i="4"/>
  <c r="AE68" i="4"/>
  <c r="AD68" i="4"/>
  <c r="AK77" i="4"/>
  <c r="AJ77" i="4"/>
  <c r="AE77" i="4"/>
  <c r="AD77" i="4"/>
  <c r="AK71" i="4"/>
  <c r="AJ71" i="4"/>
  <c r="AE71" i="4"/>
  <c r="AD71" i="4"/>
  <c r="AK159" i="4"/>
  <c r="AJ159" i="4"/>
  <c r="AE159" i="4"/>
  <c r="AD159" i="4"/>
  <c r="AK76" i="4"/>
  <c r="AJ76" i="4"/>
  <c r="AE76" i="4"/>
  <c r="AD76" i="4"/>
  <c r="AK175" i="4"/>
  <c r="AJ175" i="4"/>
  <c r="AE175" i="4"/>
  <c r="AD175" i="4"/>
  <c r="AK116" i="4"/>
  <c r="AJ116" i="4"/>
  <c r="AE116" i="4"/>
  <c r="AD116" i="4"/>
  <c r="AK127" i="4"/>
  <c r="AJ127" i="4"/>
  <c r="AE127" i="4"/>
  <c r="AD127" i="4"/>
  <c r="AK133" i="4"/>
  <c r="AJ133" i="4"/>
  <c r="AE133" i="4"/>
  <c r="AD133" i="4"/>
  <c r="AK114" i="4"/>
  <c r="AJ114" i="4"/>
  <c r="AE114" i="4"/>
  <c r="AD114" i="4"/>
  <c r="AK113" i="4"/>
  <c r="AJ113" i="4"/>
  <c r="AE113" i="4"/>
  <c r="AD113" i="4"/>
  <c r="AK101" i="4"/>
  <c r="AJ101" i="4"/>
  <c r="AE101" i="4"/>
  <c r="AD101" i="4"/>
  <c r="AK132" i="4"/>
  <c r="AJ132" i="4"/>
  <c r="AE132" i="4"/>
  <c r="AD132" i="4"/>
  <c r="AK112" i="4"/>
  <c r="AJ112" i="4"/>
  <c r="AE112" i="4"/>
  <c r="AD112" i="4"/>
  <c r="AK57" i="4"/>
  <c r="AJ57" i="4"/>
  <c r="AE57" i="4"/>
  <c r="AD57" i="4"/>
  <c r="AK70" i="4"/>
  <c r="AJ70" i="4"/>
  <c r="AE70" i="4"/>
  <c r="AD70" i="4"/>
  <c r="AK96" i="4"/>
  <c r="AJ96" i="4"/>
  <c r="AE96" i="4"/>
  <c r="AD96" i="4"/>
  <c r="AK94" i="4"/>
  <c r="AJ94" i="4"/>
  <c r="AE94" i="4"/>
  <c r="AD94" i="4"/>
  <c r="AK52" i="4"/>
  <c r="AJ52" i="4"/>
  <c r="AE52" i="4"/>
  <c r="AD52" i="4"/>
  <c r="AK40" i="4"/>
  <c r="AJ40" i="4"/>
  <c r="AE40" i="4"/>
  <c r="AD40" i="4"/>
  <c r="AK122" i="4"/>
  <c r="AJ122" i="4"/>
  <c r="AE122" i="4"/>
  <c r="AD122" i="4"/>
  <c r="AK148" i="4"/>
  <c r="AJ148" i="4"/>
  <c r="AE148" i="4"/>
  <c r="AD148" i="4"/>
  <c r="AK54" i="4"/>
  <c r="AJ54" i="4"/>
  <c r="AE54" i="4"/>
  <c r="AD54" i="4"/>
  <c r="AK147" i="4"/>
  <c r="AJ147" i="4"/>
  <c r="AE147" i="4"/>
  <c r="AD147" i="4"/>
  <c r="AK89" i="4"/>
  <c r="AJ89" i="4"/>
  <c r="AE89" i="4"/>
  <c r="AD89" i="4"/>
  <c r="AK50" i="4"/>
  <c r="AJ50" i="4"/>
  <c r="AE50" i="4"/>
  <c r="AD50" i="4"/>
  <c r="AK92" i="4"/>
  <c r="AJ92" i="4"/>
  <c r="AE92" i="4"/>
  <c r="AD92" i="4"/>
  <c r="AK141" i="4"/>
  <c r="AJ141" i="4"/>
  <c r="AE141" i="4"/>
  <c r="AD141" i="4"/>
  <c r="AK51" i="4"/>
  <c r="AJ51" i="4"/>
  <c r="AE51" i="4"/>
  <c r="AD51" i="4"/>
  <c r="AK45" i="4"/>
  <c r="AJ45" i="4"/>
  <c r="AE45" i="4"/>
  <c r="AD45" i="4"/>
  <c r="AK84" i="4"/>
  <c r="AJ84" i="4"/>
  <c r="AE84" i="4"/>
  <c r="AD84" i="4"/>
  <c r="AK93" i="4"/>
  <c r="AJ93" i="4"/>
  <c r="AE93" i="4"/>
  <c r="AD93" i="4"/>
  <c r="AK26" i="4"/>
  <c r="AJ26" i="4"/>
  <c r="AE26" i="4"/>
  <c r="AD26" i="4"/>
  <c r="AK41" i="4"/>
  <c r="AJ41" i="4"/>
  <c r="AE41" i="4"/>
  <c r="AD41" i="4"/>
  <c r="AK170" i="4"/>
  <c r="AJ170" i="4"/>
  <c r="AE170" i="4"/>
  <c r="AD170" i="4"/>
  <c r="AK39" i="4"/>
  <c r="AJ39" i="4"/>
  <c r="AE39" i="4"/>
  <c r="AD39" i="4"/>
  <c r="AK29" i="4"/>
  <c r="AJ29" i="4"/>
  <c r="AE29" i="4"/>
  <c r="AD29" i="4"/>
  <c r="AK46" i="4"/>
  <c r="AJ46" i="4"/>
  <c r="AE46" i="4"/>
  <c r="AD46" i="4"/>
  <c r="AK146" i="4"/>
  <c r="AJ146" i="4"/>
  <c r="AE146" i="4"/>
  <c r="AD146" i="4"/>
  <c r="AK37" i="4"/>
  <c r="AJ37" i="4"/>
  <c r="AE37" i="4"/>
  <c r="AD37" i="4"/>
  <c r="AK83" i="4"/>
  <c r="AJ83" i="4"/>
  <c r="AE83" i="4"/>
  <c r="AD83" i="4"/>
  <c r="AK121" i="4"/>
  <c r="AJ121" i="4"/>
  <c r="AE121" i="4"/>
  <c r="AD121" i="4"/>
  <c r="AK34" i="4"/>
  <c r="AJ34" i="4"/>
  <c r="AE34" i="4"/>
  <c r="AD34" i="4"/>
  <c r="AK174" i="4"/>
  <c r="AJ174" i="4"/>
  <c r="AE174" i="4"/>
  <c r="AD174" i="4"/>
  <c r="AK138" i="4"/>
  <c r="AJ138" i="4"/>
  <c r="AE138" i="4"/>
  <c r="AD138" i="4"/>
  <c r="AK13" i="4"/>
  <c r="AJ13" i="4"/>
  <c r="AE13" i="4"/>
  <c r="AD13" i="4"/>
  <c r="AK5" i="4"/>
  <c r="AJ5" i="4"/>
  <c r="AE5" i="4"/>
  <c r="AD5" i="4"/>
  <c r="AK19" i="4"/>
  <c r="AJ19" i="4"/>
  <c r="AE19" i="4"/>
  <c r="AD19" i="4"/>
  <c r="AK12" i="4"/>
  <c r="AJ12" i="4"/>
  <c r="AE12" i="4"/>
  <c r="AD12" i="4"/>
  <c r="AK80" i="4"/>
  <c r="AJ80" i="4"/>
  <c r="AE80" i="4"/>
  <c r="AD80" i="4"/>
  <c r="AK173" i="4"/>
  <c r="AJ173" i="4"/>
  <c r="AE173" i="4"/>
  <c r="AD173" i="4"/>
  <c r="AK120" i="4"/>
  <c r="AJ120" i="4"/>
  <c r="AE120" i="4"/>
  <c r="AD120" i="4"/>
  <c r="AK172" i="4"/>
  <c r="AJ172" i="4"/>
  <c r="AE172" i="4"/>
  <c r="AD172" i="4"/>
  <c r="AK165" i="4"/>
  <c r="AJ165" i="4"/>
  <c r="AE165" i="4"/>
  <c r="AD165" i="4"/>
  <c r="AK12" i="5"/>
  <c r="AJ12" i="5"/>
  <c r="AE12" i="5"/>
  <c r="AD12" i="5"/>
  <c r="AK21" i="5"/>
  <c r="AJ21" i="5"/>
  <c r="AE21" i="5"/>
  <c r="AD21" i="5"/>
  <c r="AK10" i="5"/>
  <c r="AJ10" i="5"/>
  <c r="AE10" i="5"/>
  <c r="AD10" i="5"/>
  <c r="AK31" i="5"/>
  <c r="AJ31" i="5"/>
  <c r="AE31" i="5"/>
  <c r="AD31" i="5"/>
  <c r="AK154" i="4"/>
  <c r="AJ154" i="4"/>
  <c r="AE154" i="4"/>
  <c r="AD154" i="4"/>
  <c r="AK171" i="4"/>
  <c r="AJ171" i="4"/>
  <c r="AE171" i="4"/>
  <c r="AD171" i="4"/>
  <c r="AK135" i="4"/>
  <c r="AJ135" i="4"/>
  <c r="AE135" i="4"/>
  <c r="AD135" i="4"/>
  <c r="AK155" i="4"/>
  <c r="AJ155" i="4"/>
  <c r="AE155" i="4"/>
  <c r="AD155" i="4"/>
  <c r="AK130" i="4"/>
  <c r="AJ130" i="4"/>
  <c r="AE130" i="4"/>
  <c r="AD130" i="4"/>
  <c r="AK67" i="4"/>
  <c r="AJ67" i="4"/>
  <c r="AE67" i="4"/>
  <c r="AD67" i="4"/>
  <c r="AK163" i="4"/>
  <c r="AJ163" i="4"/>
  <c r="AE163" i="4"/>
  <c r="AD163" i="4"/>
  <c r="AK129" i="4"/>
  <c r="AJ129" i="4"/>
  <c r="AE129" i="4"/>
  <c r="AD129" i="4"/>
  <c r="AK131" i="4"/>
  <c r="AJ131" i="4"/>
  <c r="AE131" i="4"/>
  <c r="AD131" i="4"/>
  <c r="AK66" i="4"/>
  <c r="AJ66" i="4"/>
  <c r="AE66" i="4"/>
  <c r="AD66" i="4"/>
  <c r="AK72" i="4"/>
  <c r="AJ72" i="4"/>
  <c r="AE72" i="4"/>
  <c r="AD72" i="4"/>
  <c r="AK108" i="4"/>
  <c r="AJ108" i="4"/>
  <c r="AE108" i="4"/>
  <c r="AD108" i="4"/>
  <c r="AK156" i="4"/>
  <c r="AJ156" i="4"/>
  <c r="AE156" i="4"/>
  <c r="AD156" i="4"/>
  <c r="AK22" i="4"/>
  <c r="AJ22" i="4"/>
  <c r="AE22" i="4"/>
  <c r="AD22" i="4"/>
  <c r="AK31" i="4"/>
  <c r="AJ31" i="4"/>
  <c r="AE31" i="4"/>
  <c r="AD31" i="4"/>
  <c r="AK88" i="4"/>
  <c r="AJ88" i="4"/>
  <c r="AE88" i="4"/>
  <c r="AD88" i="4"/>
  <c r="AK33" i="4"/>
  <c r="AJ33" i="4"/>
  <c r="AE33" i="4"/>
  <c r="AD33" i="4"/>
  <c r="AK123" i="4"/>
  <c r="AJ123" i="4"/>
  <c r="AE123" i="4"/>
  <c r="AD123" i="4"/>
  <c r="AK28" i="4"/>
  <c r="AJ28" i="4"/>
  <c r="AE28" i="4"/>
  <c r="AD28" i="4"/>
  <c r="AK44" i="4"/>
  <c r="AJ44" i="4"/>
  <c r="AE44" i="4"/>
  <c r="AD44" i="4"/>
  <c r="AK35" i="4"/>
  <c r="AJ35" i="4"/>
  <c r="AE35" i="4"/>
  <c r="AD35" i="4"/>
  <c r="AK43" i="4"/>
  <c r="AJ43" i="4"/>
  <c r="AE43" i="4"/>
  <c r="AD43" i="4"/>
  <c r="AK27" i="4"/>
  <c r="AJ27" i="4"/>
  <c r="AE27" i="4"/>
  <c r="AD27" i="4"/>
  <c r="AK87" i="4"/>
  <c r="AJ87" i="4"/>
  <c r="AE87" i="4"/>
  <c r="AD87" i="4"/>
  <c r="AK145" i="4"/>
  <c r="AJ145" i="4"/>
  <c r="AE145" i="4"/>
  <c r="AD145" i="4"/>
  <c r="AK30" i="4"/>
  <c r="AJ30" i="4"/>
  <c r="AE30" i="4"/>
  <c r="AD30" i="4"/>
  <c r="AK142" i="4"/>
  <c r="AJ142" i="4"/>
  <c r="AE142" i="4"/>
  <c r="AD142" i="4"/>
  <c r="AK169" i="4"/>
  <c r="AJ169" i="4"/>
  <c r="AE169" i="4"/>
  <c r="AD169" i="4"/>
  <c r="AK168" i="4"/>
  <c r="AJ168" i="4"/>
  <c r="AE168" i="4"/>
  <c r="AD168" i="4"/>
  <c r="AK136" i="4"/>
  <c r="AJ136" i="4"/>
  <c r="AE136" i="4"/>
  <c r="AD136" i="4"/>
  <c r="AK11" i="4"/>
  <c r="AJ11" i="4"/>
  <c r="AE11" i="4"/>
  <c r="AD11" i="4"/>
  <c r="AK15" i="4"/>
  <c r="AJ15" i="4"/>
  <c r="AE15" i="4"/>
  <c r="AD15" i="4"/>
  <c r="AK78" i="4"/>
  <c r="AJ78" i="4"/>
  <c r="AE78" i="4"/>
  <c r="AD78" i="4"/>
  <c r="AK167" i="4"/>
  <c r="AJ167" i="4"/>
  <c r="AE167" i="4"/>
  <c r="AD167" i="4"/>
  <c r="AK166" i="4"/>
  <c r="AJ166" i="4"/>
  <c r="AE166" i="4"/>
  <c r="AD166" i="4"/>
  <c r="AK17" i="4"/>
  <c r="AJ17" i="4"/>
  <c r="AE17" i="4"/>
  <c r="AD17" i="4"/>
  <c r="AK24" i="5"/>
  <c r="AJ24" i="5"/>
  <c r="AE24" i="5"/>
  <c r="AD24" i="5"/>
  <c r="AK28" i="5"/>
  <c r="AJ28" i="5"/>
  <c r="AE28" i="5"/>
  <c r="AD28" i="5"/>
  <c r="AK13" i="5"/>
  <c r="AJ13" i="5"/>
  <c r="AE13" i="5"/>
  <c r="AD13" i="5"/>
  <c r="AK30" i="5"/>
  <c r="AJ30" i="5"/>
  <c r="AE30" i="5"/>
  <c r="AD30" i="5"/>
  <c r="AK15" i="5"/>
  <c r="AJ15" i="5"/>
  <c r="AE15" i="5"/>
  <c r="AD15" i="5"/>
  <c r="AK11" i="5"/>
  <c r="AJ11" i="5"/>
  <c r="AE11" i="5"/>
  <c r="AD11" i="5"/>
  <c r="AK6" i="5"/>
  <c r="AJ6" i="5"/>
  <c r="AE6" i="5"/>
  <c r="AD6" i="5"/>
  <c r="AK25" i="5"/>
  <c r="AJ25" i="5"/>
  <c r="AE25" i="5"/>
  <c r="AD25" i="5"/>
  <c r="AK4" i="5"/>
  <c r="AJ4" i="5"/>
  <c r="AE4" i="5"/>
  <c r="AD4" i="5"/>
  <c r="AK164" i="4"/>
  <c r="AJ164" i="4"/>
  <c r="AE164" i="4"/>
  <c r="AD164" i="4"/>
  <c r="AK162" i="4"/>
  <c r="AJ162" i="4"/>
  <c r="AE162" i="4"/>
  <c r="AD162" i="4"/>
  <c r="AK161" i="4"/>
  <c r="AJ161" i="4"/>
  <c r="AE161" i="4"/>
  <c r="AD161" i="4"/>
  <c r="AK157" i="4"/>
  <c r="AJ157" i="4"/>
  <c r="AE157" i="4"/>
  <c r="AD157" i="4"/>
  <c r="AK118" i="4"/>
  <c r="AJ118" i="4"/>
  <c r="AE118" i="4"/>
  <c r="AD118" i="4"/>
  <c r="AK158" i="4"/>
  <c r="AJ158" i="4"/>
  <c r="AE158" i="4"/>
  <c r="AD158" i="4"/>
  <c r="AK104" i="4"/>
  <c r="AJ104" i="4"/>
  <c r="AE104" i="4"/>
  <c r="AD104" i="4"/>
  <c r="AK115" i="4"/>
  <c r="AJ115" i="4"/>
  <c r="AE115" i="4"/>
  <c r="AD115" i="4"/>
  <c r="AK102" i="4"/>
  <c r="AJ102" i="4"/>
  <c r="AE102" i="4"/>
  <c r="AD102" i="4"/>
  <c r="AK152" i="4"/>
  <c r="AJ152" i="4"/>
  <c r="AE152" i="4"/>
  <c r="AD152" i="4"/>
  <c r="AK53" i="4"/>
  <c r="AJ53" i="4"/>
  <c r="AE53" i="4"/>
  <c r="AD53" i="4"/>
  <c r="AK97" i="4"/>
  <c r="AJ97" i="4"/>
  <c r="AE97" i="4"/>
  <c r="AD97" i="4"/>
  <c r="AK95" i="4"/>
  <c r="AJ95" i="4"/>
  <c r="AE95" i="4"/>
  <c r="AD95" i="4"/>
  <c r="AK99" i="4"/>
  <c r="AJ99" i="4"/>
  <c r="AE99" i="4"/>
  <c r="AD99" i="4"/>
  <c r="AK149" i="4"/>
  <c r="AJ149" i="4"/>
  <c r="AE149" i="4"/>
  <c r="AD149" i="4"/>
  <c r="AK151" i="4"/>
  <c r="AJ151" i="4"/>
  <c r="AE151" i="4"/>
  <c r="AD151" i="4"/>
  <c r="AK150" i="4"/>
  <c r="AJ150" i="4"/>
  <c r="AE150" i="4"/>
  <c r="AD150" i="4"/>
  <c r="AK143" i="4"/>
  <c r="AJ143" i="4"/>
  <c r="AE143" i="4"/>
  <c r="AD143" i="4"/>
  <c r="AK86" i="4"/>
  <c r="AJ86" i="4"/>
  <c r="AE86" i="4"/>
  <c r="AD86" i="4"/>
  <c r="AK144" i="4"/>
  <c r="AJ144" i="4"/>
  <c r="AE144" i="4"/>
  <c r="AD144" i="4"/>
  <c r="AK48" i="4"/>
  <c r="AJ48" i="4"/>
  <c r="AE48" i="4"/>
  <c r="AD48" i="4"/>
  <c r="AK9" i="4"/>
  <c r="AJ9" i="4"/>
  <c r="AE9" i="4"/>
  <c r="AD9" i="4"/>
  <c r="AK81" i="4"/>
  <c r="AJ81" i="4"/>
  <c r="AE81" i="4"/>
  <c r="AD81" i="4"/>
  <c r="AK139" i="4"/>
  <c r="AJ139" i="4"/>
  <c r="AE139" i="4"/>
  <c r="AD139" i="4"/>
  <c r="AK140" i="4"/>
  <c r="AJ140" i="4"/>
  <c r="AE140" i="4"/>
  <c r="AD140" i="4"/>
  <c r="AK137" i="4"/>
  <c r="AJ137" i="4"/>
  <c r="AE137" i="4"/>
  <c r="AD137" i="4"/>
  <c r="AK20" i="4"/>
  <c r="AJ20" i="4"/>
  <c r="AE20" i="4"/>
  <c r="AD20" i="4"/>
  <c r="AK29" i="5"/>
  <c r="AJ29" i="5"/>
  <c r="AE29" i="5"/>
  <c r="AD29" i="5"/>
  <c r="AK32" i="5"/>
  <c r="AJ32" i="5"/>
  <c r="AE32" i="5"/>
  <c r="AD32" i="5"/>
  <c r="AK61" i="4"/>
  <c r="AJ61" i="4"/>
  <c r="AE61" i="4"/>
  <c r="AD61" i="4"/>
  <c r="AK110" i="4"/>
  <c r="AJ110" i="4"/>
  <c r="AE110" i="4"/>
  <c r="AD110" i="4"/>
  <c r="AK134" i="4"/>
  <c r="AJ134" i="4"/>
  <c r="AE134" i="4"/>
  <c r="AD134" i="4"/>
  <c r="AK107" i="4"/>
  <c r="AJ107" i="4"/>
  <c r="AE107" i="4"/>
  <c r="AD107" i="4"/>
  <c r="AK126" i="4"/>
  <c r="AJ126" i="4"/>
  <c r="AE126" i="4"/>
  <c r="AD126" i="4"/>
  <c r="AK128" i="4"/>
  <c r="AJ128" i="4"/>
  <c r="AE128" i="4"/>
  <c r="AD128" i="4"/>
  <c r="AK60" i="4"/>
  <c r="AJ60" i="4"/>
  <c r="AE60" i="4"/>
  <c r="AD60" i="4"/>
  <c r="AK58" i="4"/>
  <c r="AJ58" i="4"/>
  <c r="AE58" i="4"/>
  <c r="AD58" i="4"/>
  <c r="AK124" i="4"/>
  <c r="AJ124" i="4"/>
  <c r="AE124" i="4"/>
  <c r="AD124" i="4"/>
  <c r="AK62" i="4"/>
  <c r="AJ62" i="4"/>
  <c r="AE62" i="4"/>
  <c r="AD62" i="4"/>
  <c r="AK56" i="4"/>
  <c r="AJ56" i="4"/>
  <c r="AE56" i="4"/>
  <c r="AD56" i="4"/>
  <c r="AK75" i="4"/>
  <c r="AJ75" i="4"/>
  <c r="AE75" i="4"/>
  <c r="AD75" i="4"/>
  <c r="AK69" i="4"/>
  <c r="AJ69" i="4"/>
  <c r="AE69" i="4"/>
  <c r="AD69" i="4"/>
  <c r="AK125" i="4"/>
  <c r="AJ125" i="4"/>
  <c r="AE125" i="4"/>
  <c r="AD125" i="4"/>
  <c r="AK65" i="4"/>
  <c r="AJ65" i="4"/>
  <c r="AE65" i="4"/>
  <c r="AD65" i="4"/>
  <c r="AK63" i="4"/>
  <c r="AJ63" i="4"/>
  <c r="AE63" i="4"/>
  <c r="AD63" i="4"/>
  <c r="AK42" i="4"/>
  <c r="AJ42" i="4"/>
  <c r="AE42" i="4"/>
  <c r="AD42" i="4"/>
  <c r="AK82" i="4"/>
  <c r="AJ82" i="4"/>
  <c r="AE82" i="4"/>
  <c r="AD82" i="4"/>
  <c r="AK32" i="4"/>
  <c r="AJ32" i="4"/>
  <c r="AE32" i="4"/>
  <c r="AD32" i="4"/>
  <c r="AK36" i="4"/>
  <c r="AJ36" i="4"/>
  <c r="AE36" i="4"/>
  <c r="AD36" i="4"/>
  <c r="AK90" i="4"/>
  <c r="AJ90" i="4"/>
  <c r="AE90" i="4"/>
  <c r="AD90" i="4"/>
  <c r="AK47" i="4"/>
  <c r="AJ47" i="4"/>
  <c r="AE47" i="4"/>
  <c r="AD47" i="4"/>
  <c r="AK49" i="4"/>
  <c r="AJ49" i="4"/>
  <c r="AE49" i="4"/>
  <c r="AD49" i="4"/>
  <c r="AK91" i="4"/>
  <c r="AJ91" i="4"/>
  <c r="AE91" i="4"/>
  <c r="AD91" i="4"/>
  <c r="AK23" i="4"/>
  <c r="AJ23" i="4"/>
  <c r="AE23" i="4"/>
  <c r="AD23" i="4"/>
  <c r="AK85" i="4"/>
  <c r="AJ85" i="4"/>
  <c r="AE85" i="4"/>
  <c r="AD85" i="4"/>
  <c r="AK38" i="4"/>
  <c r="AJ38" i="4"/>
  <c r="AE38" i="4"/>
  <c r="AD38" i="4"/>
  <c r="AK25" i="4"/>
  <c r="AJ25" i="4"/>
  <c r="AE25" i="4"/>
  <c r="AD25" i="4"/>
  <c r="AK16" i="4"/>
  <c r="AJ16" i="4"/>
  <c r="AE16" i="4"/>
  <c r="AD16" i="4"/>
  <c r="AK6" i="4"/>
  <c r="AJ6" i="4"/>
  <c r="AE6" i="4"/>
  <c r="AD6" i="4"/>
  <c r="AK79" i="4"/>
  <c r="AJ79" i="4"/>
  <c r="AE79" i="4"/>
  <c r="AD79" i="4"/>
  <c r="AK18" i="5"/>
  <c r="AJ18" i="5"/>
  <c r="AE18" i="5"/>
  <c r="AD18" i="5"/>
  <c r="AK19" i="5"/>
  <c r="AJ19" i="5"/>
  <c r="AE19" i="5"/>
  <c r="AD19" i="5"/>
  <c r="AK17" i="5"/>
  <c r="AJ17" i="5"/>
  <c r="AE17" i="5"/>
  <c r="AD17" i="5"/>
  <c r="AK20" i="5"/>
  <c r="AJ20" i="5"/>
  <c r="AE20" i="5"/>
  <c r="AD20" i="5"/>
  <c r="AK16" i="5"/>
  <c r="AJ16" i="5"/>
  <c r="AE16" i="5"/>
  <c r="AD16" i="5"/>
  <c r="AK27" i="5"/>
  <c r="AJ27" i="5"/>
  <c r="AE27" i="5"/>
  <c r="AD27" i="5"/>
  <c r="AK7" i="5"/>
  <c r="AJ7" i="5"/>
  <c r="AE7" i="5"/>
  <c r="AD7" i="5"/>
  <c r="AK26" i="5"/>
  <c r="AJ26" i="5"/>
  <c r="AE26" i="5"/>
  <c r="AD26" i="5"/>
  <c r="AK8" i="5"/>
  <c r="AJ8" i="5"/>
  <c r="AE8" i="5"/>
  <c r="AD8" i="5"/>
  <c r="AK74" i="4"/>
  <c r="AJ74" i="4"/>
  <c r="AE74" i="4"/>
  <c r="AD74" i="4"/>
  <c r="AK105" i="4"/>
  <c r="AJ105" i="4"/>
  <c r="AE105" i="4"/>
  <c r="AD105" i="4"/>
  <c r="AK119" i="4"/>
  <c r="AJ119" i="4"/>
  <c r="AE119" i="4"/>
  <c r="AD119" i="4"/>
  <c r="AK106" i="4"/>
  <c r="AJ106" i="4"/>
  <c r="AE106" i="4"/>
  <c r="AD106" i="4"/>
  <c r="AK109" i="4"/>
  <c r="AJ109" i="4"/>
  <c r="AE109" i="4"/>
  <c r="AD109" i="4"/>
  <c r="AK111" i="4"/>
  <c r="AJ111" i="4"/>
  <c r="AE111" i="4"/>
  <c r="AD111" i="4"/>
  <c r="AK117" i="4"/>
  <c r="AJ117" i="4"/>
  <c r="AE117" i="4"/>
  <c r="AD117" i="4"/>
  <c r="AK103" i="4"/>
  <c r="AJ103" i="4"/>
  <c r="AE103" i="4"/>
  <c r="AD103" i="4"/>
  <c r="AK100" i="4"/>
  <c r="AJ100" i="4"/>
  <c r="AE100" i="4"/>
  <c r="AD100" i="4"/>
  <c r="AK98" i="4"/>
  <c r="AJ98" i="4"/>
  <c r="AE98" i="4"/>
  <c r="AD98" i="4"/>
  <c r="AK24" i="4"/>
  <c r="AJ24" i="4"/>
  <c r="AE24" i="4"/>
  <c r="AD24" i="4"/>
  <c r="AK14" i="4"/>
  <c r="AJ14" i="4"/>
  <c r="AE14" i="4"/>
  <c r="AD14" i="4"/>
  <c r="AK23" i="5"/>
  <c r="AJ23" i="5"/>
  <c r="AE23" i="5"/>
  <c r="AD23" i="5"/>
  <c r="AK22" i="5"/>
  <c r="AJ22" i="5"/>
  <c r="AE22" i="5"/>
  <c r="AD22" i="5"/>
  <c r="AK5" i="5"/>
  <c r="AJ5" i="5"/>
  <c r="AE5" i="5"/>
  <c r="AD5" i="5"/>
  <c r="AK55" i="4"/>
  <c r="AJ55" i="4"/>
  <c r="AE55" i="4"/>
  <c r="AD55" i="4"/>
  <c r="AK21" i="4"/>
  <c r="AJ21" i="4"/>
  <c r="AE21" i="4"/>
  <c r="AD21" i="4"/>
  <c r="AK18" i="4"/>
  <c r="AJ18" i="4"/>
  <c r="AE18" i="4"/>
  <c r="AD18" i="4"/>
  <c r="AK8" i="4"/>
  <c r="AJ8" i="4"/>
  <c r="AE8" i="4"/>
  <c r="AD8" i="4"/>
  <c r="AK10" i="4"/>
  <c r="AJ10" i="4"/>
  <c r="AE10" i="4"/>
  <c r="AD10" i="4"/>
  <c r="AK7" i="4"/>
  <c r="AJ7" i="4"/>
  <c r="AE7" i="4"/>
  <c r="AD7" i="4"/>
  <c r="AK4" i="4"/>
  <c r="AJ4" i="4"/>
  <c r="AE4" i="4"/>
  <c r="AD4" i="4"/>
  <c r="AK14" i="5"/>
  <c r="AJ14" i="5"/>
  <c r="AE14" i="5"/>
  <c r="AD14" i="5"/>
  <c r="AK9" i="5"/>
  <c r="AJ9" i="5"/>
  <c r="AE9" i="5"/>
  <c r="AD9" i="5"/>
  <c r="V37" i="1"/>
  <c r="V29" i="1"/>
  <c r="V33" i="1"/>
  <c r="V32" i="1"/>
  <c r="K3" i="1"/>
  <c r="V34" i="1"/>
  <c r="B3" i="1"/>
  <c r="E13" i="1" l="1"/>
  <c r="D3" i="1"/>
  <c r="AE34" i="5"/>
  <c r="AK34" i="5" s="1"/>
  <c r="AD34" i="5"/>
  <c r="AJ34" i="5" s="1"/>
  <c r="AE179" i="4"/>
  <c r="AK179" i="4" s="1"/>
  <c r="AD179" i="4"/>
  <c r="AJ179" i="4" s="1"/>
  <c r="AE178" i="4"/>
  <c r="AK178" i="4" s="1"/>
  <c r="AD178" i="4"/>
  <c r="AJ178" i="4" s="1"/>
  <c r="AE177" i="4"/>
  <c r="AK177" i="4" s="1"/>
  <c r="AD177" i="4"/>
  <c r="AJ177" i="4" s="1"/>
  <c r="AE33" i="5"/>
  <c r="AK33" i="5" s="1"/>
  <c r="AD33" i="5"/>
  <c r="AJ33" i="5" s="1"/>
  <c r="AE36" i="5"/>
  <c r="AK36" i="5" s="1"/>
  <c r="AD36" i="5"/>
  <c r="AJ36" i="5" s="1"/>
  <c r="AE35" i="5"/>
  <c r="AK35" i="5" s="1"/>
  <c r="AD35" i="5"/>
  <c r="AJ35" i="5" s="1"/>
  <c r="AE37" i="5"/>
  <c r="AK37" i="5" s="1"/>
  <c r="AE38" i="5"/>
  <c r="AK38" i="5" s="1"/>
  <c r="AE39" i="5"/>
  <c r="AK39" i="5" s="1"/>
  <c r="AE40" i="5"/>
  <c r="AK40" i="5" s="1"/>
  <c r="AE41" i="5"/>
  <c r="AK41" i="5" s="1"/>
  <c r="AE42" i="5"/>
  <c r="AK42" i="5" s="1"/>
  <c r="AE43" i="5"/>
  <c r="AK43" i="5" s="1"/>
  <c r="AE44" i="5"/>
  <c r="AK44" i="5" s="1"/>
  <c r="AE45" i="5"/>
  <c r="AK45" i="5" s="1"/>
  <c r="AE46" i="5"/>
  <c r="AK46" i="5" s="1"/>
  <c r="AE47" i="5"/>
  <c r="AK47" i="5" s="1"/>
  <c r="AE48" i="5"/>
  <c r="AK48" i="5" s="1"/>
  <c r="AE49" i="5"/>
  <c r="AK49" i="5" s="1"/>
  <c r="AE50" i="5"/>
  <c r="AK50" i="5" s="1"/>
  <c r="AE51" i="5"/>
  <c r="AK51" i="5" s="1"/>
  <c r="AE52" i="5"/>
  <c r="AK52" i="5" s="1"/>
  <c r="AE53" i="5"/>
  <c r="AK53" i="5" s="1"/>
  <c r="AE54" i="5"/>
  <c r="AK54" i="5" s="1"/>
  <c r="AE55" i="5"/>
  <c r="AK55" i="5" s="1"/>
  <c r="AE56" i="5"/>
  <c r="AK56" i="5" s="1"/>
  <c r="AE57" i="5"/>
  <c r="AK57" i="5" s="1"/>
  <c r="AE58" i="5"/>
  <c r="AK58" i="5" s="1"/>
  <c r="AE59" i="5"/>
  <c r="AK59" i="5" s="1"/>
  <c r="AE60" i="5"/>
  <c r="AK60" i="5" s="1"/>
  <c r="AE61" i="5"/>
  <c r="AK61" i="5" s="1"/>
  <c r="AE62" i="5"/>
  <c r="AK62" i="5" s="1"/>
  <c r="AE63" i="5"/>
  <c r="AK63" i="5" s="1"/>
  <c r="AE64" i="5"/>
  <c r="AK64" i="5" s="1"/>
  <c r="AE65" i="5"/>
  <c r="AK65" i="5" s="1"/>
  <c r="AE66" i="5"/>
  <c r="AK66" i="5" s="1"/>
  <c r="AE67" i="5"/>
  <c r="AK67" i="5" s="1"/>
  <c r="AE68" i="5"/>
  <c r="AK68" i="5" s="1"/>
  <c r="AE69" i="5"/>
  <c r="AK69" i="5" s="1"/>
  <c r="AE70" i="5"/>
  <c r="AK70" i="5" s="1"/>
  <c r="AE71" i="5"/>
  <c r="AK71" i="5" s="1"/>
  <c r="AE72" i="5"/>
  <c r="AK72" i="5" s="1"/>
  <c r="AE73" i="5"/>
  <c r="AK73" i="5" s="1"/>
  <c r="AE74" i="5"/>
  <c r="AK74" i="5" s="1"/>
  <c r="AE75" i="5"/>
  <c r="AK75" i="5" s="1"/>
  <c r="AE76" i="5"/>
  <c r="AK76" i="5" s="1"/>
  <c r="AE77" i="5"/>
  <c r="AK77" i="5" s="1"/>
  <c r="AE78" i="5"/>
  <c r="AK78" i="5" s="1"/>
  <c r="AE79" i="5"/>
  <c r="AK79" i="5" s="1"/>
  <c r="AE80" i="5"/>
  <c r="AK80" i="5" s="1"/>
  <c r="AE81" i="5"/>
  <c r="AK81" i="5" s="1"/>
  <c r="AE82" i="5"/>
  <c r="AK82" i="5" s="1"/>
  <c r="AE83" i="5"/>
  <c r="AK83" i="5" s="1"/>
  <c r="AE84" i="5"/>
  <c r="AK84" i="5" s="1"/>
  <c r="AE85" i="5"/>
  <c r="AK85" i="5" s="1"/>
  <c r="AE86" i="5"/>
  <c r="AK86" i="5" s="1"/>
  <c r="AE87" i="5"/>
  <c r="AK87" i="5" s="1"/>
  <c r="AE88" i="5"/>
  <c r="AK88" i="5" s="1"/>
  <c r="AE89" i="5"/>
  <c r="AK89" i="5" s="1"/>
  <c r="AE90" i="5"/>
  <c r="AK90" i="5" s="1"/>
  <c r="AE91" i="5"/>
  <c r="AK91" i="5" s="1"/>
  <c r="AE92" i="5"/>
  <c r="AK92" i="5" s="1"/>
  <c r="AE93" i="5"/>
  <c r="AK93" i="5" s="1"/>
  <c r="AE94" i="5"/>
  <c r="AK94" i="5" s="1"/>
  <c r="AE95" i="5"/>
  <c r="AK95" i="5" s="1"/>
  <c r="AE96" i="5"/>
  <c r="AK96" i="5" s="1"/>
  <c r="AE97" i="5"/>
  <c r="AK97" i="5" s="1"/>
  <c r="AE98" i="5"/>
  <c r="AK98" i="5" s="1"/>
  <c r="AE99" i="5"/>
  <c r="AK99" i="5" s="1"/>
  <c r="AE100" i="5"/>
  <c r="AK100" i="5" s="1"/>
  <c r="AE101" i="5"/>
  <c r="AK101" i="5" s="1"/>
  <c r="AE102" i="5"/>
  <c r="AK102" i="5" s="1"/>
  <c r="AE103" i="5"/>
  <c r="AK103" i="5" s="1"/>
  <c r="AE104" i="5"/>
  <c r="AK104" i="5" s="1"/>
  <c r="AE105" i="5"/>
  <c r="AK105" i="5" s="1"/>
  <c r="AE106" i="5"/>
  <c r="AK106" i="5" s="1"/>
  <c r="AE107" i="5"/>
  <c r="AK107" i="5" s="1"/>
  <c r="AE108" i="5"/>
  <c r="AK108" i="5" s="1"/>
  <c r="AE109" i="5"/>
  <c r="AK109" i="5" s="1"/>
  <c r="AE110" i="5"/>
  <c r="AK110" i="5" s="1"/>
  <c r="AE111" i="5"/>
  <c r="AK111" i="5" s="1"/>
  <c r="AE112" i="5"/>
  <c r="AK112" i="5" s="1"/>
  <c r="AE113" i="5"/>
  <c r="AK113" i="5" s="1"/>
  <c r="AE114" i="5"/>
  <c r="AK114" i="5" s="1"/>
  <c r="AE115" i="5"/>
  <c r="AK115" i="5" s="1"/>
  <c r="AE116" i="5"/>
  <c r="AK116" i="5" s="1"/>
  <c r="AE117" i="5"/>
  <c r="AK117" i="5" s="1"/>
  <c r="AE118" i="5"/>
  <c r="AK118" i="5" s="1"/>
  <c r="AE119" i="5"/>
  <c r="AK119" i="5" s="1"/>
  <c r="AE120" i="5"/>
  <c r="AK120" i="5" s="1"/>
  <c r="AE121" i="5"/>
  <c r="AK121" i="5" s="1"/>
  <c r="AE122" i="5"/>
  <c r="AK122" i="5" s="1"/>
  <c r="AE123" i="5"/>
  <c r="AK123" i="5" s="1"/>
  <c r="AE124" i="5"/>
  <c r="AK124" i="5" s="1"/>
  <c r="AE125" i="5"/>
  <c r="AK125" i="5" s="1"/>
  <c r="AE126" i="5"/>
  <c r="AK126" i="5" s="1"/>
  <c r="AE127" i="5"/>
  <c r="AK127" i="5" s="1"/>
  <c r="AE128" i="5"/>
  <c r="AK128" i="5" s="1"/>
  <c r="AE129" i="5"/>
  <c r="AK129" i="5" s="1"/>
  <c r="AE130" i="5"/>
  <c r="AK130" i="5" s="1"/>
  <c r="AE131" i="5"/>
  <c r="AK131" i="5" s="1"/>
  <c r="AE132" i="5"/>
  <c r="AK132" i="5" s="1"/>
  <c r="AE133" i="5"/>
  <c r="AK133" i="5" s="1"/>
  <c r="AE134" i="5"/>
  <c r="AK134" i="5" s="1"/>
  <c r="AE135" i="5"/>
  <c r="AK135" i="5" s="1"/>
  <c r="AE136" i="5"/>
  <c r="AK136" i="5" s="1"/>
  <c r="AE137" i="5"/>
  <c r="AK137" i="5" s="1"/>
  <c r="AE138" i="5"/>
  <c r="AK138" i="5" s="1"/>
  <c r="AE139" i="5"/>
  <c r="AK139" i="5" s="1"/>
  <c r="AE140" i="5"/>
  <c r="AK140" i="5" s="1"/>
  <c r="AE141" i="5"/>
  <c r="AK141" i="5" s="1"/>
  <c r="AE142" i="5"/>
  <c r="AK142" i="5" s="1"/>
  <c r="AE143" i="5"/>
  <c r="AK143" i="5" s="1"/>
  <c r="AE144" i="5"/>
  <c r="AK144" i="5" s="1"/>
  <c r="AE145" i="5"/>
  <c r="AK145" i="5" s="1"/>
  <c r="AE146" i="5"/>
  <c r="AK146" i="5" s="1"/>
  <c r="AE147" i="5"/>
  <c r="AK147" i="5" s="1"/>
  <c r="AE148" i="5"/>
  <c r="AK148" i="5" s="1"/>
  <c r="AE149" i="5"/>
  <c r="AK149" i="5" s="1"/>
  <c r="AE150" i="5"/>
  <c r="AK150" i="5" s="1"/>
  <c r="AE151" i="5"/>
  <c r="AK151" i="5" s="1"/>
  <c r="AE152" i="5"/>
  <c r="AK152" i="5" s="1"/>
  <c r="AE153" i="5"/>
  <c r="AK153" i="5" s="1"/>
  <c r="AE154" i="5"/>
  <c r="AK154" i="5" s="1"/>
  <c r="AE155" i="5"/>
  <c r="AK155" i="5" s="1"/>
  <c r="AE156" i="5"/>
  <c r="AK156" i="5" s="1"/>
  <c r="AE157" i="5"/>
  <c r="AK157" i="5" s="1"/>
  <c r="AE158" i="5"/>
  <c r="AK158" i="5" s="1"/>
  <c r="AE159" i="5"/>
  <c r="AK159" i="5" s="1"/>
  <c r="AE160" i="5"/>
  <c r="AK160" i="5" s="1"/>
  <c r="AE161" i="5"/>
  <c r="AK161" i="5" s="1"/>
  <c r="AE162" i="5"/>
  <c r="AK162" i="5" s="1"/>
  <c r="AE163" i="5"/>
  <c r="AK163" i="5" s="1"/>
  <c r="AE164" i="5"/>
  <c r="AK164" i="5" s="1"/>
  <c r="AE165" i="5"/>
  <c r="AK165" i="5" s="1"/>
  <c r="AE166" i="5"/>
  <c r="AK166" i="5" s="1"/>
  <c r="AE167" i="5"/>
  <c r="AK167" i="5" s="1"/>
  <c r="AE168" i="5"/>
  <c r="AK168" i="5" s="1"/>
  <c r="AE169" i="5"/>
  <c r="AK169" i="5" s="1"/>
  <c r="AE170" i="5"/>
  <c r="AK170" i="5" s="1"/>
  <c r="AE171" i="5"/>
  <c r="AK171" i="5" s="1"/>
  <c r="AE172" i="5"/>
  <c r="AK172" i="5" s="1"/>
  <c r="AE173" i="5"/>
  <c r="AK173" i="5" s="1"/>
  <c r="AE174" i="5"/>
  <c r="AK174" i="5" s="1"/>
  <c r="AE175" i="5"/>
  <c r="AK175" i="5" s="1"/>
  <c r="AE176" i="5"/>
  <c r="AK176" i="5" s="1"/>
  <c r="AE177" i="5"/>
  <c r="AK177" i="5" s="1"/>
  <c r="AE178" i="5"/>
  <c r="AK178" i="5" s="1"/>
  <c r="AE179" i="5"/>
  <c r="AK179" i="5" s="1"/>
  <c r="AE180" i="5"/>
  <c r="AK180" i="5" s="1"/>
  <c r="AE181" i="5"/>
  <c r="AK181" i="5" s="1"/>
  <c r="AE182" i="5"/>
  <c r="AK182" i="5" s="1"/>
  <c r="AE183" i="5"/>
  <c r="AK183" i="5" s="1"/>
  <c r="AE184" i="5"/>
  <c r="AK184" i="5" s="1"/>
  <c r="AE185" i="5"/>
  <c r="AK185" i="5" s="1"/>
  <c r="AE186" i="5"/>
  <c r="AK186" i="5" s="1"/>
  <c r="AE187" i="5"/>
  <c r="AK187" i="5" s="1"/>
  <c r="AE188" i="5"/>
  <c r="AK188" i="5" s="1"/>
  <c r="AE189" i="5"/>
  <c r="AK189" i="5" s="1"/>
  <c r="AE190" i="5"/>
  <c r="AK190" i="5" s="1"/>
  <c r="AE191" i="5"/>
  <c r="AK191" i="5" s="1"/>
  <c r="AE192" i="5"/>
  <c r="AK192" i="5" s="1"/>
  <c r="AE193" i="5"/>
  <c r="AK193" i="5" s="1"/>
  <c r="AE194" i="5"/>
  <c r="AK194" i="5" s="1"/>
  <c r="AE195" i="5"/>
  <c r="AK195" i="5" s="1"/>
  <c r="AE196" i="5"/>
  <c r="AK196" i="5" s="1"/>
  <c r="AE197" i="5"/>
  <c r="AK197" i="5" s="1"/>
  <c r="AE198" i="5"/>
  <c r="AK198" i="5" s="1"/>
  <c r="AE199" i="5"/>
  <c r="AK199" i="5" s="1"/>
  <c r="AE200" i="5"/>
  <c r="AK200" i="5" s="1"/>
  <c r="AE201" i="5"/>
  <c r="AK201" i="5" s="1"/>
  <c r="AE202" i="5"/>
  <c r="AK202" i="5" s="1"/>
  <c r="AE203" i="5"/>
  <c r="AK203" i="5" s="1"/>
  <c r="AE204" i="5"/>
  <c r="AK204" i="5" s="1"/>
  <c r="AE205" i="5"/>
  <c r="AK205" i="5" s="1"/>
  <c r="AE206" i="5"/>
  <c r="AK206" i="5" s="1"/>
  <c r="AE207" i="5"/>
  <c r="AK207" i="5" s="1"/>
  <c r="AE208" i="5"/>
  <c r="AK208" i="5" s="1"/>
  <c r="AE209" i="5"/>
  <c r="AK209" i="5" s="1"/>
  <c r="AE210" i="5"/>
  <c r="AK210" i="5" s="1"/>
  <c r="AE211" i="5"/>
  <c r="AK211" i="5" s="1"/>
  <c r="AE212" i="5"/>
  <c r="AK212" i="5" s="1"/>
  <c r="AE213" i="5"/>
  <c r="AK213" i="5" s="1"/>
  <c r="AE214" i="5"/>
  <c r="AK214" i="5" s="1"/>
  <c r="AE215" i="5"/>
  <c r="AK215" i="5" s="1"/>
  <c r="AE216" i="5"/>
  <c r="AK216" i="5" s="1"/>
  <c r="AE217" i="5"/>
  <c r="AK217" i="5" s="1"/>
  <c r="AE218" i="5"/>
  <c r="AK218" i="5" s="1"/>
  <c r="AE219" i="5"/>
  <c r="AK219" i="5" s="1"/>
  <c r="AE220" i="5"/>
  <c r="AK220" i="5" s="1"/>
  <c r="AE221" i="5"/>
  <c r="AK221" i="5" s="1"/>
  <c r="AE222" i="5"/>
  <c r="AK222" i="5" s="1"/>
  <c r="AE223" i="5"/>
  <c r="AK223" i="5" s="1"/>
  <c r="AE224" i="5"/>
  <c r="AK224" i="5" s="1"/>
  <c r="AE225" i="5"/>
  <c r="AK225" i="5" s="1"/>
  <c r="AE226" i="5"/>
  <c r="AK226" i="5" s="1"/>
  <c r="AE227" i="5"/>
  <c r="AK227" i="5" s="1"/>
  <c r="AE228" i="5"/>
  <c r="AK228" i="5" s="1"/>
  <c r="AE229" i="5"/>
  <c r="AK229" i="5" s="1"/>
  <c r="AE230" i="5"/>
  <c r="AK230" i="5" s="1"/>
  <c r="AE231" i="5"/>
  <c r="AK231" i="5" s="1"/>
  <c r="AE232" i="5"/>
  <c r="AK232" i="5" s="1"/>
  <c r="AE233" i="5"/>
  <c r="AK233" i="5" s="1"/>
  <c r="AE234" i="5"/>
  <c r="AK234" i="5" s="1"/>
  <c r="AE235" i="5"/>
  <c r="AK235" i="5" s="1"/>
  <c r="AE236" i="5"/>
  <c r="AK236" i="5" s="1"/>
  <c r="AE237" i="5"/>
  <c r="AK237" i="5" s="1"/>
  <c r="AE238" i="5"/>
  <c r="AK238" i="5" s="1"/>
  <c r="AE239" i="5"/>
  <c r="AK239" i="5" s="1"/>
  <c r="AE240" i="5"/>
  <c r="AK240" i="5" s="1"/>
  <c r="AE241" i="5"/>
  <c r="AK241" i="5" s="1"/>
  <c r="AE242" i="5"/>
  <c r="AK242" i="5" s="1"/>
  <c r="AE243" i="5"/>
  <c r="AK243" i="5" s="1"/>
  <c r="AE244" i="5"/>
  <c r="AK244" i="5" s="1"/>
  <c r="AE245" i="5"/>
  <c r="AK245" i="5" s="1"/>
  <c r="AE246" i="5"/>
  <c r="AK246" i="5" s="1"/>
  <c r="AE247" i="5"/>
  <c r="AK247" i="5" s="1"/>
  <c r="AE248" i="5"/>
  <c r="AK248" i="5" s="1"/>
  <c r="AE249" i="5"/>
  <c r="AK249" i="5" s="1"/>
  <c r="AE250" i="5"/>
  <c r="AK250" i="5" s="1"/>
  <c r="AE251" i="5"/>
  <c r="AK251" i="5" s="1"/>
  <c r="AE252" i="5"/>
  <c r="AK252" i="5" s="1"/>
  <c r="AE253" i="5"/>
  <c r="AK253" i="5" s="1"/>
  <c r="AE254" i="5"/>
  <c r="AK254" i="5" s="1"/>
  <c r="AE255" i="5"/>
  <c r="AK255" i="5" s="1"/>
  <c r="AE256" i="5"/>
  <c r="AK256" i="5" s="1"/>
  <c r="AE257" i="5"/>
  <c r="AK257" i="5" s="1"/>
  <c r="AE258" i="5"/>
  <c r="AK258" i="5" s="1"/>
  <c r="AE259" i="5"/>
  <c r="AK259" i="5" s="1"/>
  <c r="AE260" i="5"/>
  <c r="AK260" i="5" s="1"/>
  <c r="AE261" i="5"/>
  <c r="AK261" i="5" s="1"/>
  <c r="AE262" i="5"/>
  <c r="AK262" i="5" s="1"/>
  <c r="AE263" i="5"/>
  <c r="AK263" i="5" s="1"/>
  <c r="AE264" i="5"/>
  <c r="AK264" i="5" s="1"/>
  <c r="AE265" i="5"/>
  <c r="AK265" i="5" s="1"/>
  <c r="AE266" i="5"/>
  <c r="AK266" i="5" s="1"/>
  <c r="AE267" i="5"/>
  <c r="AK267" i="5" s="1"/>
  <c r="AE268" i="5"/>
  <c r="AK268" i="5" s="1"/>
  <c r="AE269" i="5"/>
  <c r="AK269" i="5" s="1"/>
  <c r="AE270" i="5"/>
  <c r="AK270" i="5" s="1"/>
  <c r="AE271" i="5"/>
  <c r="AK271" i="5" s="1"/>
  <c r="AE272" i="5"/>
  <c r="AK272" i="5" s="1"/>
  <c r="AE273" i="5"/>
  <c r="AK273" i="5" s="1"/>
  <c r="AE274" i="5"/>
  <c r="AK274" i="5" s="1"/>
  <c r="AE275" i="5"/>
  <c r="AK275" i="5" s="1"/>
  <c r="AE276" i="5"/>
  <c r="AK276" i="5" s="1"/>
  <c r="AE277" i="5"/>
  <c r="AK277" i="5" s="1"/>
  <c r="AE278" i="5"/>
  <c r="AK278" i="5" s="1"/>
  <c r="AE279" i="5"/>
  <c r="AK279" i="5" s="1"/>
  <c r="AE280" i="5"/>
  <c r="AK280" i="5" s="1"/>
  <c r="AE281" i="5"/>
  <c r="AK281" i="5" s="1"/>
  <c r="AE282" i="5"/>
  <c r="AK282" i="5" s="1"/>
  <c r="AE283" i="5"/>
  <c r="AK283" i="5" s="1"/>
  <c r="AE284" i="5"/>
  <c r="AK284" i="5" s="1"/>
  <c r="AE285" i="5"/>
  <c r="AK285" i="5" s="1"/>
  <c r="AE286" i="5"/>
  <c r="AK286" i="5" s="1"/>
  <c r="AE287" i="5"/>
  <c r="AK287" i="5" s="1"/>
  <c r="AE288" i="5"/>
  <c r="AK288" i="5" s="1"/>
  <c r="AE289" i="5"/>
  <c r="AK289" i="5" s="1"/>
  <c r="AE290" i="5"/>
  <c r="AK290" i="5" s="1"/>
  <c r="AE291" i="5"/>
  <c r="AK291" i="5" s="1"/>
  <c r="AE292" i="5"/>
  <c r="AK292" i="5" s="1"/>
  <c r="AE293" i="5"/>
  <c r="AK293" i="5" s="1"/>
  <c r="AE294" i="5"/>
  <c r="AK294" i="5" s="1"/>
  <c r="AE295" i="5"/>
  <c r="AK295" i="5" s="1"/>
  <c r="AE296" i="5"/>
  <c r="AK296" i="5" s="1"/>
  <c r="AE297" i="5"/>
  <c r="AK297" i="5" s="1"/>
  <c r="AE298" i="5"/>
  <c r="AK298" i="5" s="1"/>
  <c r="AE299" i="5"/>
  <c r="AK299" i="5" s="1"/>
  <c r="AE300" i="5"/>
  <c r="AK300" i="5" s="1"/>
  <c r="AE301" i="5"/>
  <c r="AK301" i="5" s="1"/>
  <c r="AE302" i="5"/>
  <c r="AK302" i="5" s="1"/>
  <c r="AE303" i="5"/>
  <c r="AK303" i="5" s="1"/>
  <c r="AE304" i="5"/>
  <c r="AK304" i="5" s="1"/>
  <c r="AE305" i="5"/>
  <c r="AK305" i="5" s="1"/>
  <c r="AE306" i="5"/>
  <c r="AK306" i="5" s="1"/>
  <c r="AE307" i="5"/>
  <c r="AK307" i="5" s="1"/>
  <c r="AE308" i="5"/>
  <c r="AK308" i="5" s="1"/>
  <c r="AE309" i="5"/>
  <c r="AK309" i="5" s="1"/>
  <c r="AE310" i="5"/>
  <c r="AK310" i="5" s="1"/>
  <c r="AE311" i="5"/>
  <c r="AK311" i="5" s="1"/>
  <c r="AE312" i="5"/>
  <c r="AK312" i="5" s="1"/>
  <c r="AE313" i="5"/>
  <c r="AK313" i="5" s="1"/>
  <c r="AE314" i="5"/>
  <c r="AK314" i="5" s="1"/>
  <c r="AE315" i="5"/>
  <c r="AK315" i="5" s="1"/>
  <c r="AE316" i="5"/>
  <c r="AK316" i="5" s="1"/>
  <c r="AE317" i="5"/>
  <c r="AK317" i="5" s="1"/>
  <c r="AE318" i="5"/>
  <c r="AK318" i="5" s="1"/>
  <c r="AE319" i="5"/>
  <c r="AK319" i="5" s="1"/>
  <c r="AE320" i="5"/>
  <c r="AK320" i="5" s="1"/>
  <c r="AE321" i="5"/>
  <c r="AK321" i="5" s="1"/>
  <c r="AE322" i="5"/>
  <c r="AK322" i="5" s="1"/>
  <c r="AE323" i="5"/>
  <c r="AK323" i="5" s="1"/>
  <c r="AE324" i="5"/>
  <c r="AK324" i="5" s="1"/>
  <c r="AE325" i="5"/>
  <c r="AK325" i="5" s="1"/>
  <c r="AE326" i="5"/>
  <c r="AK326" i="5" s="1"/>
  <c r="AE327" i="5"/>
  <c r="AK327" i="5" s="1"/>
  <c r="AE328" i="5"/>
  <c r="AK328" i="5" s="1"/>
  <c r="AE329" i="5"/>
  <c r="AK329" i="5" s="1"/>
  <c r="AE330" i="5"/>
  <c r="AK330" i="5" s="1"/>
  <c r="AE331" i="5"/>
  <c r="AK331" i="5" s="1"/>
  <c r="AE332" i="5"/>
  <c r="AK332" i="5" s="1"/>
  <c r="AE333" i="5"/>
  <c r="AK333" i="5" s="1"/>
  <c r="AE334" i="5"/>
  <c r="AK334" i="5" s="1"/>
  <c r="AE335" i="5"/>
  <c r="AK335" i="5" s="1"/>
  <c r="AE336" i="5"/>
  <c r="AK336" i="5" s="1"/>
  <c r="AE337" i="5"/>
  <c r="AK337" i="5" s="1"/>
  <c r="AE338" i="5"/>
  <c r="AK338" i="5" s="1"/>
  <c r="AE339" i="5"/>
  <c r="AK339" i="5" s="1"/>
  <c r="AE340" i="5"/>
  <c r="AK340" i="5" s="1"/>
  <c r="AE341" i="5"/>
  <c r="AK341" i="5" s="1"/>
  <c r="AE342" i="5"/>
  <c r="AK342" i="5" s="1"/>
  <c r="AE343" i="5"/>
  <c r="AK343" i="5" s="1"/>
  <c r="AE344" i="5"/>
  <c r="AK344" i="5" s="1"/>
  <c r="AE345" i="5"/>
  <c r="AK345" i="5" s="1"/>
  <c r="AE346" i="5"/>
  <c r="AK346" i="5" s="1"/>
  <c r="AE347" i="5"/>
  <c r="AK347" i="5" s="1"/>
  <c r="AE348" i="5"/>
  <c r="AK348" i="5" s="1"/>
  <c r="AE349" i="5"/>
  <c r="AK349" i="5" s="1"/>
  <c r="AE350" i="5"/>
  <c r="AK350" i="5" s="1"/>
  <c r="AD37" i="5"/>
  <c r="AJ37" i="5" s="1"/>
  <c r="AD38" i="5"/>
  <c r="AJ38" i="5" s="1"/>
  <c r="AD39" i="5"/>
  <c r="AJ39" i="5" s="1"/>
  <c r="AD40" i="5"/>
  <c r="AJ40" i="5" s="1"/>
  <c r="AD41" i="5"/>
  <c r="AJ41" i="5" s="1"/>
  <c r="AD42" i="5"/>
  <c r="AJ42" i="5" s="1"/>
  <c r="AD43" i="5"/>
  <c r="AJ43" i="5" s="1"/>
  <c r="AD44" i="5"/>
  <c r="AJ44" i="5" s="1"/>
  <c r="AD45" i="5"/>
  <c r="AJ45" i="5" s="1"/>
  <c r="AD46" i="5"/>
  <c r="AJ46" i="5" s="1"/>
  <c r="AD47" i="5"/>
  <c r="AJ47" i="5" s="1"/>
  <c r="AD48" i="5"/>
  <c r="AJ48" i="5" s="1"/>
  <c r="AD49" i="5"/>
  <c r="AJ49" i="5" s="1"/>
  <c r="AD50" i="5"/>
  <c r="AJ50" i="5" s="1"/>
  <c r="AD51" i="5"/>
  <c r="AJ51" i="5" s="1"/>
  <c r="AD52" i="5"/>
  <c r="AJ52" i="5" s="1"/>
  <c r="AD53" i="5"/>
  <c r="AJ53" i="5" s="1"/>
  <c r="AD54" i="5"/>
  <c r="AJ54" i="5" s="1"/>
  <c r="AD55" i="5"/>
  <c r="AJ55" i="5" s="1"/>
  <c r="AD56" i="5"/>
  <c r="AJ56" i="5" s="1"/>
  <c r="AD57" i="5"/>
  <c r="AJ57" i="5" s="1"/>
  <c r="AD58" i="5"/>
  <c r="AJ58" i="5" s="1"/>
  <c r="AD59" i="5"/>
  <c r="AJ59" i="5" s="1"/>
  <c r="AD60" i="5"/>
  <c r="AJ60" i="5" s="1"/>
  <c r="AD61" i="5"/>
  <c r="AJ61" i="5" s="1"/>
  <c r="AD62" i="5"/>
  <c r="AJ62" i="5" s="1"/>
  <c r="AD63" i="5"/>
  <c r="AJ63" i="5" s="1"/>
  <c r="AD64" i="5"/>
  <c r="AJ64" i="5" s="1"/>
  <c r="AD65" i="5"/>
  <c r="AJ65" i="5" s="1"/>
  <c r="AD66" i="5"/>
  <c r="AJ66" i="5" s="1"/>
  <c r="AD67" i="5"/>
  <c r="AJ67" i="5" s="1"/>
  <c r="AD68" i="5"/>
  <c r="AJ68" i="5" s="1"/>
  <c r="AD69" i="5"/>
  <c r="AJ69" i="5" s="1"/>
  <c r="AD70" i="5"/>
  <c r="AJ70" i="5" s="1"/>
  <c r="AD71" i="5"/>
  <c r="AJ71" i="5" s="1"/>
  <c r="AD72" i="5"/>
  <c r="AJ72" i="5" s="1"/>
  <c r="AD73" i="5"/>
  <c r="AJ73" i="5" s="1"/>
  <c r="AD74" i="5"/>
  <c r="AJ74" i="5" s="1"/>
  <c r="AD75" i="5"/>
  <c r="AJ75" i="5" s="1"/>
  <c r="AD76" i="5"/>
  <c r="AJ76" i="5" s="1"/>
  <c r="AD77" i="5"/>
  <c r="AJ77" i="5" s="1"/>
  <c r="AD78" i="5"/>
  <c r="AJ78" i="5" s="1"/>
  <c r="AD79" i="5"/>
  <c r="AJ79" i="5" s="1"/>
  <c r="AD80" i="5"/>
  <c r="AJ80" i="5" s="1"/>
  <c r="AD81" i="5"/>
  <c r="AJ81" i="5" s="1"/>
  <c r="AD82" i="5"/>
  <c r="AJ82" i="5" s="1"/>
  <c r="AD83" i="5"/>
  <c r="AJ83" i="5" s="1"/>
  <c r="AD84" i="5"/>
  <c r="AJ84" i="5" s="1"/>
  <c r="AD85" i="5"/>
  <c r="AJ85" i="5" s="1"/>
  <c r="AD86" i="5"/>
  <c r="AJ86" i="5" s="1"/>
  <c r="AD87" i="5"/>
  <c r="AJ87" i="5" s="1"/>
  <c r="AD88" i="5"/>
  <c r="AJ88" i="5" s="1"/>
  <c r="AD89" i="5"/>
  <c r="AJ89" i="5" s="1"/>
  <c r="AD90" i="5"/>
  <c r="AJ90" i="5" s="1"/>
  <c r="AD91" i="5"/>
  <c r="AJ91" i="5" s="1"/>
  <c r="AD92" i="5"/>
  <c r="AJ92" i="5" s="1"/>
  <c r="AD93" i="5"/>
  <c r="AJ93" i="5" s="1"/>
  <c r="AD94" i="5"/>
  <c r="AJ94" i="5" s="1"/>
  <c r="AD95" i="5"/>
  <c r="AJ95" i="5" s="1"/>
  <c r="AD96" i="5"/>
  <c r="AJ96" i="5" s="1"/>
  <c r="AD97" i="5"/>
  <c r="AJ97" i="5" s="1"/>
  <c r="AD98" i="5"/>
  <c r="AJ98" i="5" s="1"/>
  <c r="AD99" i="5"/>
  <c r="AJ99" i="5" s="1"/>
  <c r="AD100" i="5"/>
  <c r="AJ100" i="5" s="1"/>
  <c r="AD101" i="5"/>
  <c r="AJ101" i="5" s="1"/>
  <c r="AD102" i="5"/>
  <c r="AJ102" i="5" s="1"/>
  <c r="AD103" i="5"/>
  <c r="AJ103" i="5" s="1"/>
  <c r="AD104" i="5"/>
  <c r="AJ104" i="5" s="1"/>
  <c r="AD105" i="5"/>
  <c r="AJ105" i="5" s="1"/>
  <c r="AD106" i="5"/>
  <c r="AJ106" i="5" s="1"/>
  <c r="AD107" i="5"/>
  <c r="AJ107" i="5" s="1"/>
  <c r="AD108" i="5"/>
  <c r="AJ108" i="5" s="1"/>
  <c r="AD109" i="5"/>
  <c r="AJ109" i="5" s="1"/>
  <c r="AD110" i="5"/>
  <c r="AJ110" i="5" s="1"/>
  <c r="AD111" i="5"/>
  <c r="AJ111" i="5" s="1"/>
  <c r="AD112" i="5"/>
  <c r="AJ112" i="5" s="1"/>
  <c r="AD113" i="5"/>
  <c r="AJ113" i="5" s="1"/>
  <c r="AD114" i="5"/>
  <c r="AJ114" i="5" s="1"/>
  <c r="AD115" i="5"/>
  <c r="AJ115" i="5" s="1"/>
  <c r="AD116" i="5"/>
  <c r="AJ116" i="5" s="1"/>
  <c r="AD117" i="5"/>
  <c r="AJ117" i="5" s="1"/>
  <c r="AD118" i="5"/>
  <c r="AJ118" i="5" s="1"/>
  <c r="AD119" i="5"/>
  <c r="AJ119" i="5" s="1"/>
  <c r="AD120" i="5"/>
  <c r="AJ120" i="5" s="1"/>
  <c r="AD121" i="5"/>
  <c r="AJ121" i="5" s="1"/>
  <c r="AD122" i="5"/>
  <c r="AJ122" i="5" s="1"/>
  <c r="AD123" i="5"/>
  <c r="AJ123" i="5" s="1"/>
  <c r="AD124" i="5"/>
  <c r="AJ124" i="5" s="1"/>
  <c r="AD125" i="5"/>
  <c r="AJ125" i="5" s="1"/>
  <c r="AD126" i="5"/>
  <c r="AJ126" i="5" s="1"/>
  <c r="AD127" i="5"/>
  <c r="AJ127" i="5" s="1"/>
  <c r="AD128" i="5"/>
  <c r="AJ128" i="5" s="1"/>
  <c r="AD129" i="5"/>
  <c r="AJ129" i="5" s="1"/>
  <c r="AD130" i="5"/>
  <c r="AJ130" i="5" s="1"/>
  <c r="AD131" i="5"/>
  <c r="AJ131" i="5" s="1"/>
  <c r="AD132" i="5"/>
  <c r="AJ132" i="5" s="1"/>
  <c r="AD133" i="5"/>
  <c r="AJ133" i="5" s="1"/>
  <c r="AD134" i="5"/>
  <c r="AJ134" i="5" s="1"/>
  <c r="AD135" i="5"/>
  <c r="AJ135" i="5" s="1"/>
  <c r="AD136" i="5"/>
  <c r="AJ136" i="5" s="1"/>
  <c r="AD137" i="5"/>
  <c r="AJ137" i="5" s="1"/>
  <c r="AD138" i="5"/>
  <c r="AJ138" i="5" s="1"/>
  <c r="AD139" i="5"/>
  <c r="AJ139" i="5" s="1"/>
  <c r="AD140" i="5"/>
  <c r="AJ140" i="5" s="1"/>
  <c r="AD141" i="5"/>
  <c r="AJ141" i="5" s="1"/>
  <c r="AD142" i="5"/>
  <c r="AJ142" i="5" s="1"/>
  <c r="AD143" i="5"/>
  <c r="AJ143" i="5" s="1"/>
  <c r="AD144" i="5"/>
  <c r="AJ144" i="5" s="1"/>
  <c r="AD145" i="5"/>
  <c r="AJ145" i="5" s="1"/>
  <c r="AD146" i="5"/>
  <c r="AJ146" i="5" s="1"/>
  <c r="AD147" i="5"/>
  <c r="AJ147" i="5" s="1"/>
  <c r="AD148" i="5"/>
  <c r="AJ148" i="5" s="1"/>
  <c r="AD149" i="5"/>
  <c r="AJ149" i="5" s="1"/>
  <c r="AD150" i="5"/>
  <c r="AJ150" i="5" s="1"/>
  <c r="AD151" i="5"/>
  <c r="AJ151" i="5" s="1"/>
  <c r="AD152" i="5"/>
  <c r="AJ152" i="5" s="1"/>
  <c r="AD153" i="5"/>
  <c r="AJ153" i="5" s="1"/>
  <c r="AD154" i="5"/>
  <c r="AJ154" i="5" s="1"/>
  <c r="AD155" i="5"/>
  <c r="AJ155" i="5" s="1"/>
  <c r="AD156" i="5"/>
  <c r="AJ156" i="5" s="1"/>
  <c r="AD157" i="5"/>
  <c r="AJ157" i="5" s="1"/>
  <c r="AD158" i="5"/>
  <c r="AJ158" i="5" s="1"/>
  <c r="AD159" i="5"/>
  <c r="AJ159" i="5" s="1"/>
  <c r="AD160" i="5"/>
  <c r="AJ160" i="5" s="1"/>
  <c r="AD161" i="5"/>
  <c r="AJ161" i="5" s="1"/>
  <c r="AD162" i="5"/>
  <c r="AJ162" i="5" s="1"/>
  <c r="AD163" i="5"/>
  <c r="AJ163" i="5" s="1"/>
  <c r="AD164" i="5"/>
  <c r="AJ164" i="5" s="1"/>
  <c r="AD165" i="5"/>
  <c r="AJ165" i="5" s="1"/>
  <c r="AD166" i="5"/>
  <c r="AJ166" i="5" s="1"/>
  <c r="AD167" i="5"/>
  <c r="AJ167" i="5" s="1"/>
  <c r="AD168" i="5"/>
  <c r="AJ168" i="5" s="1"/>
  <c r="AD169" i="5"/>
  <c r="AJ169" i="5" s="1"/>
  <c r="AD170" i="5"/>
  <c r="AJ170" i="5" s="1"/>
  <c r="AD171" i="5"/>
  <c r="AJ171" i="5" s="1"/>
  <c r="AD172" i="5"/>
  <c r="AJ172" i="5" s="1"/>
  <c r="AD173" i="5"/>
  <c r="AJ173" i="5" s="1"/>
  <c r="AD174" i="5"/>
  <c r="AJ174" i="5" s="1"/>
  <c r="AD175" i="5"/>
  <c r="AJ175" i="5" s="1"/>
  <c r="AD176" i="5"/>
  <c r="AJ176" i="5" s="1"/>
  <c r="AD177" i="5"/>
  <c r="AJ177" i="5" s="1"/>
  <c r="AD178" i="5"/>
  <c r="AJ178" i="5" s="1"/>
  <c r="AD179" i="5"/>
  <c r="AJ179" i="5" s="1"/>
  <c r="AD180" i="5"/>
  <c r="AJ180" i="5" s="1"/>
  <c r="AD181" i="5"/>
  <c r="AJ181" i="5" s="1"/>
  <c r="AD182" i="5"/>
  <c r="AJ182" i="5" s="1"/>
  <c r="AD183" i="5"/>
  <c r="AJ183" i="5" s="1"/>
  <c r="AD184" i="5"/>
  <c r="AJ184" i="5" s="1"/>
  <c r="AD185" i="5"/>
  <c r="AJ185" i="5" s="1"/>
  <c r="AD186" i="5"/>
  <c r="AJ186" i="5" s="1"/>
  <c r="AD187" i="5"/>
  <c r="AJ187" i="5" s="1"/>
  <c r="AD188" i="5"/>
  <c r="AJ188" i="5" s="1"/>
  <c r="AD189" i="5"/>
  <c r="AJ189" i="5" s="1"/>
  <c r="AD190" i="5"/>
  <c r="AJ190" i="5" s="1"/>
  <c r="AD191" i="5"/>
  <c r="AJ191" i="5" s="1"/>
  <c r="AD192" i="5"/>
  <c r="AJ192" i="5" s="1"/>
  <c r="AD193" i="5"/>
  <c r="AJ193" i="5" s="1"/>
  <c r="AD194" i="5"/>
  <c r="AJ194" i="5" s="1"/>
  <c r="AD195" i="5"/>
  <c r="AJ195" i="5" s="1"/>
  <c r="AD196" i="5"/>
  <c r="AJ196" i="5" s="1"/>
  <c r="AD197" i="5"/>
  <c r="AJ197" i="5" s="1"/>
  <c r="AD198" i="5"/>
  <c r="AJ198" i="5" s="1"/>
  <c r="AD199" i="5"/>
  <c r="AJ199" i="5" s="1"/>
  <c r="AD200" i="5"/>
  <c r="AJ200" i="5" s="1"/>
  <c r="AD201" i="5"/>
  <c r="AJ201" i="5" s="1"/>
  <c r="AD202" i="5"/>
  <c r="AJ202" i="5" s="1"/>
  <c r="AD203" i="5"/>
  <c r="AJ203" i="5" s="1"/>
  <c r="AD204" i="5"/>
  <c r="AJ204" i="5" s="1"/>
  <c r="AD205" i="5"/>
  <c r="AJ205" i="5" s="1"/>
  <c r="AD206" i="5"/>
  <c r="AJ206" i="5" s="1"/>
  <c r="AD207" i="5"/>
  <c r="AJ207" i="5" s="1"/>
  <c r="AD208" i="5"/>
  <c r="AJ208" i="5" s="1"/>
  <c r="AD209" i="5"/>
  <c r="AJ209" i="5" s="1"/>
  <c r="AD210" i="5"/>
  <c r="AJ210" i="5" s="1"/>
  <c r="AD211" i="5"/>
  <c r="AJ211" i="5" s="1"/>
  <c r="AD212" i="5"/>
  <c r="AJ212" i="5" s="1"/>
  <c r="AD213" i="5"/>
  <c r="AJ213" i="5" s="1"/>
  <c r="AD214" i="5"/>
  <c r="AJ214" i="5" s="1"/>
  <c r="AD215" i="5"/>
  <c r="AJ215" i="5" s="1"/>
  <c r="AD216" i="5"/>
  <c r="AJ216" i="5" s="1"/>
  <c r="AD217" i="5"/>
  <c r="AJ217" i="5" s="1"/>
  <c r="AD218" i="5"/>
  <c r="AJ218" i="5" s="1"/>
  <c r="AD219" i="5"/>
  <c r="AJ219" i="5" s="1"/>
  <c r="AD220" i="5"/>
  <c r="AJ220" i="5" s="1"/>
  <c r="AD221" i="5"/>
  <c r="AJ221" i="5" s="1"/>
  <c r="AD222" i="5"/>
  <c r="AJ222" i="5" s="1"/>
  <c r="AD223" i="5"/>
  <c r="AJ223" i="5" s="1"/>
  <c r="AD224" i="5"/>
  <c r="AJ224" i="5" s="1"/>
  <c r="AD225" i="5"/>
  <c r="AJ225" i="5" s="1"/>
  <c r="AD226" i="5"/>
  <c r="AJ226" i="5" s="1"/>
  <c r="AD227" i="5"/>
  <c r="AJ227" i="5" s="1"/>
  <c r="AD228" i="5"/>
  <c r="AJ228" i="5" s="1"/>
  <c r="AD229" i="5"/>
  <c r="AJ229" i="5" s="1"/>
  <c r="AD230" i="5"/>
  <c r="AJ230" i="5" s="1"/>
  <c r="AD231" i="5"/>
  <c r="AJ231" i="5" s="1"/>
  <c r="AD232" i="5"/>
  <c r="AJ232" i="5" s="1"/>
  <c r="AD233" i="5"/>
  <c r="AJ233" i="5" s="1"/>
  <c r="AD234" i="5"/>
  <c r="AJ234" i="5" s="1"/>
  <c r="AD235" i="5"/>
  <c r="AJ235" i="5" s="1"/>
  <c r="AD236" i="5"/>
  <c r="AJ236" i="5" s="1"/>
  <c r="AD237" i="5"/>
  <c r="AJ237" i="5" s="1"/>
  <c r="AD238" i="5"/>
  <c r="AJ238" i="5" s="1"/>
  <c r="AD239" i="5"/>
  <c r="AJ239" i="5" s="1"/>
  <c r="AD240" i="5"/>
  <c r="AJ240" i="5" s="1"/>
  <c r="AD241" i="5"/>
  <c r="AJ241" i="5" s="1"/>
  <c r="AD242" i="5"/>
  <c r="AJ242" i="5" s="1"/>
  <c r="AD243" i="5"/>
  <c r="AJ243" i="5" s="1"/>
  <c r="AD244" i="5"/>
  <c r="AJ244" i="5" s="1"/>
  <c r="AD245" i="5"/>
  <c r="AJ245" i="5" s="1"/>
  <c r="AD246" i="5"/>
  <c r="AJ246" i="5" s="1"/>
  <c r="AD247" i="5"/>
  <c r="AJ247" i="5" s="1"/>
  <c r="AD248" i="5"/>
  <c r="AJ248" i="5" s="1"/>
  <c r="AD249" i="5"/>
  <c r="AJ249" i="5" s="1"/>
  <c r="AD250" i="5"/>
  <c r="AJ250" i="5" s="1"/>
  <c r="AD251" i="5"/>
  <c r="AJ251" i="5" s="1"/>
  <c r="AD252" i="5"/>
  <c r="AJ252" i="5" s="1"/>
  <c r="AD253" i="5"/>
  <c r="AJ253" i="5" s="1"/>
  <c r="AD254" i="5"/>
  <c r="AJ254" i="5" s="1"/>
  <c r="AD255" i="5"/>
  <c r="AJ255" i="5" s="1"/>
  <c r="AD256" i="5"/>
  <c r="AJ256" i="5" s="1"/>
  <c r="AD257" i="5"/>
  <c r="AJ257" i="5" s="1"/>
  <c r="AD258" i="5"/>
  <c r="AJ258" i="5" s="1"/>
  <c r="AD259" i="5"/>
  <c r="AJ259" i="5" s="1"/>
  <c r="AD260" i="5"/>
  <c r="AJ260" i="5" s="1"/>
  <c r="AD261" i="5"/>
  <c r="AJ261" i="5" s="1"/>
  <c r="AD262" i="5"/>
  <c r="AJ262" i="5" s="1"/>
  <c r="AD263" i="5"/>
  <c r="AJ263" i="5" s="1"/>
  <c r="AD264" i="5"/>
  <c r="AJ264" i="5" s="1"/>
  <c r="AD265" i="5"/>
  <c r="AJ265" i="5" s="1"/>
  <c r="AD266" i="5"/>
  <c r="AJ266" i="5" s="1"/>
  <c r="AD267" i="5"/>
  <c r="AJ267" i="5" s="1"/>
  <c r="AD268" i="5"/>
  <c r="AJ268" i="5" s="1"/>
  <c r="AD269" i="5"/>
  <c r="AJ269" i="5" s="1"/>
  <c r="AD270" i="5"/>
  <c r="AJ270" i="5" s="1"/>
  <c r="AD271" i="5"/>
  <c r="AJ271" i="5" s="1"/>
  <c r="AD272" i="5"/>
  <c r="AJ272" i="5" s="1"/>
  <c r="AD273" i="5"/>
  <c r="AJ273" i="5" s="1"/>
  <c r="AD274" i="5"/>
  <c r="AJ274" i="5" s="1"/>
  <c r="AD275" i="5"/>
  <c r="AJ275" i="5" s="1"/>
  <c r="AD276" i="5"/>
  <c r="AJ276" i="5" s="1"/>
  <c r="AD277" i="5"/>
  <c r="AJ277" i="5" s="1"/>
  <c r="AD278" i="5"/>
  <c r="AJ278" i="5" s="1"/>
  <c r="AD279" i="5"/>
  <c r="AJ279" i="5" s="1"/>
  <c r="AD280" i="5"/>
  <c r="AJ280" i="5" s="1"/>
  <c r="AD281" i="5"/>
  <c r="AJ281" i="5" s="1"/>
  <c r="AD282" i="5"/>
  <c r="AJ282" i="5" s="1"/>
  <c r="AD283" i="5"/>
  <c r="AJ283" i="5" s="1"/>
  <c r="AD284" i="5"/>
  <c r="AJ284" i="5" s="1"/>
  <c r="AD285" i="5"/>
  <c r="AJ285" i="5" s="1"/>
  <c r="AD286" i="5"/>
  <c r="AJ286" i="5" s="1"/>
  <c r="AD287" i="5"/>
  <c r="AJ287" i="5" s="1"/>
  <c r="AD288" i="5"/>
  <c r="AJ288" i="5" s="1"/>
  <c r="AD289" i="5"/>
  <c r="AJ289" i="5" s="1"/>
  <c r="AD290" i="5"/>
  <c r="AJ290" i="5" s="1"/>
  <c r="AD291" i="5"/>
  <c r="AJ291" i="5" s="1"/>
  <c r="AD292" i="5"/>
  <c r="AJ292" i="5" s="1"/>
  <c r="AD293" i="5"/>
  <c r="AJ293" i="5" s="1"/>
  <c r="AD294" i="5"/>
  <c r="AJ294" i="5" s="1"/>
  <c r="AD295" i="5"/>
  <c r="AJ295" i="5" s="1"/>
  <c r="AD296" i="5"/>
  <c r="AJ296" i="5" s="1"/>
  <c r="AD297" i="5"/>
  <c r="AJ297" i="5" s="1"/>
  <c r="AD298" i="5"/>
  <c r="AJ298" i="5" s="1"/>
  <c r="AD299" i="5"/>
  <c r="AJ299" i="5" s="1"/>
  <c r="AD300" i="5"/>
  <c r="AJ300" i="5" s="1"/>
  <c r="AD301" i="5"/>
  <c r="AJ301" i="5" s="1"/>
  <c r="AD302" i="5"/>
  <c r="AJ302" i="5" s="1"/>
  <c r="AD303" i="5"/>
  <c r="AJ303" i="5" s="1"/>
  <c r="AD304" i="5"/>
  <c r="AJ304" i="5" s="1"/>
  <c r="AD305" i="5"/>
  <c r="AJ305" i="5" s="1"/>
  <c r="AD306" i="5"/>
  <c r="AJ306" i="5" s="1"/>
  <c r="AD307" i="5"/>
  <c r="AJ307" i="5" s="1"/>
  <c r="AD308" i="5"/>
  <c r="AJ308" i="5" s="1"/>
  <c r="AD309" i="5"/>
  <c r="AJ309" i="5" s="1"/>
  <c r="AD310" i="5"/>
  <c r="AJ310" i="5" s="1"/>
  <c r="AD311" i="5"/>
  <c r="AJ311" i="5" s="1"/>
  <c r="AD312" i="5"/>
  <c r="AJ312" i="5" s="1"/>
  <c r="AD313" i="5"/>
  <c r="AJ313" i="5" s="1"/>
  <c r="AD314" i="5"/>
  <c r="AJ314" i="5" s="1"/>
  <c r="AD315" i="5"/>
  <c r="AJ315" i="5" s="1"/>
  <c r="AD316" i="5"/>
  <c r="AJ316" i="5" s="1"/>
  <c r="AD317" i="5"/>
  <c r="AJ317" i="5" s="1"/>
  <c r="AD318" i="5"/>
  <c r="AJ318" i="5" s="1"/>
  <c r="AD319" i="5"/>
  <c r="AJ319" i="5" s="1"/>
  <c r="AD320" i="5"/>
  <c r="AJ320" i="5" s="1"/>
  <c r="AD321" i="5"/>
  <c r="AJ321" i="5" s="1"/>
  <c r="AD322" i="5"/>
  <c r="AJ322" i="5" s="1"/>
  <c r="AD323" i="5"/>
  <c r="AJ323" i="5" s="1"/>
  <c r="AD324" i="5"/>
  <c r="AJ324" i="5" s="1"/>
  <c r="AD325" i="5"/>
  <c r="AJ325" i="5" s="1"/>
  <c r="AD326" i="5"/>
  <c r="AJ326" i="5" s="1"/>
  <c r="AD327" i="5"/>
  <c r="AJ327" i="5" s="1"/>
  <c r="AD328" i="5"/>
  <c r="AJ328" i="5" s="1"/>
  <c r="AD329" i="5"/>
  <c r="AJ329" i="5" s="1"/>
  <c r="AD330" i="5"/>
  <c r="AJ330" i="5" s="1"/>
  <c r="AD331" i="5"/>
  <c r="AJ331" i="5" s="1"/>
  <c r="AD332" i="5"/>
  <c r="AJ332" i="5" s="1"/>
  <c r="AD333" i="5"/>
  <c r="AJ333" i="5" s="1"/>
  <c r="AD334" i="5"/>
  <c r="AJ334" i="5" s="1"/>
  <c r="AD335" i="5"/>
  <c r="AJ335" i="5" s="1"/>
  <c r="AD336" i="5"/>
  <c r="AJ336" i="5" s="1"/>
  <c r="AD337" i="5"/>
  <c r="AJ337" i="5" s="1"/>
  <c r="AD338" i="5"/>
  <c r="AJ338" i="5" s="1"/>
  <c r="AD339" i="5"/>
  <c r="AJ339" i="5" s="1"/>
  <c r="AD340" i="5"/>
  <c r="AJ340" i="5" s="1"/>
  <c r="AD341" i="5"/>
  <c r="AJ341" i="5" s="1"/>
  <c r="AD342" i="5"/>
  <c r="AJ342" i="5" s="1"/>
  <c r="AD343" i="5"/>
  <c r="AJ343" i="5" s="1"/>
  <c r="AD344" i="5"/>
  <c r="AJ344" i="5" s="1"/>
  <c r="AD345" i="5"/>
  <c r="AJ345" i="5" s="1"/>
  <c r="AD346" i="5"/>
  <c r="AJ346" i="5" s="1"/>
  <c r="AD347" i="5"/>
  <c r="AJ347" i="5" s="1"/>
  <c r="AD348" i="5"/>
  <c r="AJ348" i="5" s="1"/>
  <c r="AD349" i="5"/>
  <c r="AJ349" i="5" s="1"/>
  <c r="AD350" i="5"/>
  <c r="AJ350" i="5" s="1"/>
  <c r="AE180" i="4"/>
  <c r="AK180" i="4" s="1"/>
  <c r="AE181" i="4"/>
  <c r="AK181" i="4" s="1"/>
  <c r="AE182" i="4"/>
  <c r="AK182" i="4" s="1"/>
  <c r="AE183" i="4"/>
  <c r="AK183" i="4" s="1"/>
  <c r="AE184" i="4"/>
  <c r="AK184" i="4" s="1"/>
  <c r="AE185" i="4"/>
  <c r="AK185" i="4" s="1"/>
  <c r="AE186" i="4"/>
  <c r="AK186" i="4" s="1"/>
  <c r="AE187" i="4"/>
  <c r="AK187" i="4" s="1"/>
  <c r="AE188" i="4"/>
  <c r="AK188" i="4" s="1"/>
  <c r="AE189" i="4"/>
  <c r="AK189" i="4" s="1"/>
  <c r="AE190" i="4"/>
  <c r="AK190" i="4" s="1"/>
  <c r="AE191" i="4"/>
  <c r="AK191" i="4" s="1"/>
  <c r="AE192" i="4"/>
  <c r="AK192" i="4" s="1"/>
  <c r="AE193" i="4"/>
  <c r="AK193" i="4" s="1"/>
  <c r="AE194" i="4"/>
  <c r="AK194" i="4" s="1"/>
  <c r="AE195" i="4"/>
  <c r="AK195" i="4" s="1"/>
  <c r="AE196" i="4"/>
  <c r="AK196" i="4" s="1"/>
  <c r="AE197" i="4"/>
  <c r="AK197" i="4" s="1"/>
  <c r="AE198" i="4"/>
  <c r="AK198" i="4" s="1"/>
  <c r="AE199" i="4"/>
  <c r="AK199" i="4" s="1"/>
  <c r="AE200" i="4"/>
  <c r="AK200" i="4" s="1"/>
  <c r="AE201" i="4"/>
  <c r="AK201" i="4" s="1"/>
  <c r="AE202" i="4"/>
  <c r="AK202" i="4" s="1"/>
  <c r="AE203" i="4"/>
  <c r="AK203" i="4" s="1"/>
  <c r="AE204" i="4"/>
  <c r="AK204" i="4" s="1"/>
  <c r="AE205" i="4"/>
  <c r="AK205" i="4" s="1"/>
  <c r="AE206" i="4"/>
  <c r="AK206" i="4" s="1"/>
  <c r="AE207" i="4"/>
  <c r="AK207" i="4" s="1"/>
  <c r="AE208" i="4"/>
  <c r="AK208" i="4" s="1"/>
  <c r="AE209" i="4"/>
  <c r="AK209" i="4" s="1"/>
  <c r="AE210" i="4"/>
  <c r="AK210" i="4" s="1"/>
  <c r="AE211" i="4"/>
  <c r="AK211" i="4" s="1"/>
  <c r="AE212" i="4"/>
  <c r="AK212" i="4" s="1"/>
  <c r="AE213" i="4"/>
  <c r="AK213" i="4" s="1"/>
  <c r="AE214" i="4"/>
  <c r="AK214" i="4" s="1"/>
  <c r="AE215" i="4"/>
  <c r="AK215" i="4" s="1"/>
  <c r="AE216" i="4"/>
  <c r="AK216" i="4" s="1"/>
  <c r="AE217" i="4"/>
  <c r="AK217" i="4" s="1"/>
  <c r="AE218" i="4"/>
  <c r="AK218" i="4" s="1"/>
  <c r="AE219" i="4"/>
  <c r="AK219" i="4" s="1"/>
  <c r="AE220" i="4"/>
  <c r="AK220" i="4" s="1"/>
  <c r="AE221" i="4"/>
  <c r="AK221" i="4" s="1"/>
  <c r="AE222" i="4"/>
  <c r="AK222" i="4" s="1"/>
  <c r="AE223" i="4"/>
  <c r="AK223" i="4" s="1"/>
  <c r="AE224" i="4"/>
  <c r="AK224" i="4" s="1"/>
  <c r="AE225" i="4"/>
  <c r="AK225" i="4" s="1"/>
  <c r="AE226" i="4"/>
  <c r="AK226" i="4" s="1"/>
  <c r="AE227" i="4"/>
  <c r="AK227" i="4" s="1"/>
  <c r="AE228" i="4"/>
  <c r="AK228" i="4" s="1"/>
  <c r="AE229" i="4"/>
  <c r="AK229" i="4" s="1"/>
  <c r="AE230" i="4"/>
  <c r="AK230" i="4" s="1"/>
  <c r="AE231" i="4"/>
  <c r="AK231" i="4" s="1"/>
  <c r="AE232" i="4"/>
  <c r="AK232" i="4" s="1"/>
  <c r="AE233" i="4"/>
  <c r="AK233" i="4" s="1"/>
  <c r="AE234" i="4"/>
  <c r="AK234" i="4" s="1"/>
  <c r="AE235" i="4"/>
  <c r="AK235" i="4" s="1"/>
  <c r="AE236" i="4"/>
  <c r="AK236" i="4" s="1"/>
  <c r="AE237" i="4"/>
  <c r="AK237" i="4" s="1"/>
  <c r="AE238" i="4"/>
  <c r="AK238" i="4" s="1"/>
  <c r="AE239" i="4"/>
  <c r="AK239" i="4" s="1"/>
  <c r="AE240" i="4"/>
  <c r="AK240" i="4" s="1"/>
  <c r="AE241" i="4"/>
  <c r="AK241" i="4" s="1"/>
  <c r="AE242" i="4"/>
  <c r="AK242" i="4" s="1"/>
  <c r="AE243" i="4"/>
  <c r="AK243" i="4" s="1"/>
  <c r="AE244" i="4"/>
  <c r="AK244" i="4" s="1"/>
  <c r="AE245" i="4"/>
  <c r="AK245" i="4" s="1"/>
  <c r="AE246" i="4"/>
  <c r="AK246" i="4" s="1"/>
  <c r="AE247" i="4"/>
  <c r="AK247" i="4" s="1"/>
  <c r="AE248" i="4"/>
  <c r="AK248" i="4" s="1"/>
  <c r="AE249" i="4"/>
  <c r="AK249" i="4" s="1"/>
  <c r="AE250" i="4"/>
  <c r="AK250" i="4" s="1"/>
  <c r="AE251" i="4"/>
  <c r="AK251" i="4" s="1"/>
  <c r="AE252" i="4"/>
  <c r="AK252" i="4" s="1"/>
  <c r="AE253" i="4"/>
  <c r="AK253" i="4" s="1"/>
  <c r="AE254" i="4"/>
  <c r="AK254" i="4" s="1"/>
  <c r="AE255" i="4"/>
  <c r="AK255" i="4" s="1"/>
  <c r="AE256" i="4"/>
  <c r="AK256" i="4" s="1"/>
  <c r="AE257" i="4"/>
  <c r="AK257" i="4" s="1"/>
  <c r="AE258" i="4"/>
  <c r="AK258" i="4" s="1"/>
  <c r="AE259" i="4"/>
  <c r="AK259" i="4" s="1"/>
  <c r="AE260" i="4"/>
  <c r="AK260" i="4" s="1"/>
  <c r="AE261" i="4"/>
  <c r="AK261" i="4" s="1"/>
  <c r="AE262" i="4"/>
  <c r="AK262" i="4" s="1"/>
  <c r="AE263" i="4"/>
  <c r="AK263" i="4" s="1"/>
  <c r="AE264" i="4"/>
  <c r="AK264" i="4" s="1"/>
  <c r="AE265" i="4"/>
  <c r="AK265" i="4" s="1"/>
  <c r="AE266" i="4"/>
  <c r="AK266" i="4" s="1"/>
  <c r="AE267" i="4"/>
  <c r="AK267" i="4" s="1"/>
  <c r="AE268" i="4"/>
  <c r="AK268" i="4" s="1"/>
  <c r="AE269" i="4"/>
  <c r="AK269" i="4" s="1"/>
  <c r="AE270" i="4"/>
  <c r="AK270" i="4" s="1"/>
  <c r="AE271" i="4"/>
  <c r="AK271" i="4" s="1"/>
  <c r="AE272" i="4"/>
  <c r="AK272" i="4" s="1"/>
  <c r="AE273" i="4"/>
  <c r="AK273" i="4" s="1"/>
  <c r="AE274" i="4"/>
  <c r="AK274" i="4" s="1"/>
  <c r="AE275" i="4"/>
  <c r="AK275" i="4" s="1"/>
  <c r="AE276" i="4"/>
  <c r="AK276" i="4" s="1"/>
  <c r="AE277" i="4"/>
  <c r="AK277" i="4" s="1"/>
  <c r="AE278" i="4"/>
  <c r="AK278" i="4" s="1"/>
  <c r="AE279" i="4"/>
  <c r="AK279" i="4" s="1"/>
  <c r="AE280" i="4"/>
  <c r="AK280" i="4" s="1"/>
  <c r="AE281" i="4"/>
  <c r="AK281" i="4" s="1"/>
  <c r="AE282" i="4"/>
  <c r="AK282" i="4" s="1"/>
  <c r="AE283" i="4"/>
  <c r="AK283" i="4" s="1"/>
  <c r="AE284" i="4"/>
  <c r="AK284" i="4" s="1"/>
  <c r="AE285" i="4"/>
  <c r="AK285" i="4" s="1"/>
  <c r="AE286" i="4"/>
  <c r="AK286" i="4" s="1"/>
  <c r="AE287" i="4"/>
  <c r="AK287" i="4" s="1"/>
  <c r="AE288" i="4"/>
  <c r="AK288" i="4" s="1"/>
  <c r="AE289" i="4"/>
  <c r="AK289" i="4" s="1"/>
  <c r="AE290" i="4"/>
  <c r="AK290" i="4" s="1"/>
  <c r="AE291" i="4"/>
  <c r="AK291" i="4" s="1"/>
  <c r="AE292" i="4"/>
  <c r="AK292" i="4" s="1"/>
  <c r="AE293" i="4"/>
  <c r="AK293" i="4" s="1"/>
  <c r="AE294" i="4"/>
  <c r="AK294" i="4" s="1"/>
  <c r="AE295" i="4"/>
  <c r="AK295" i="4" s="1"/>
  <c r="AE296" i="4"/>
  <c r="AK296" i="4" s="1"/>
  <c r="AE297" i="4"/>
  <c r="AK297" i="4" s="1"/>
  <c r="AE298" i="4"/>
  <c r="AK298" i="4" s="1"/>
  <c r="AE299" i="4"/>
  <c r="AK299" i="4" s="1"/>
  <c r="AE300" i="4"/>
  <c r="AK300" i="4" s="1"/>
  <c r="AE301" i="4"/>
  <c r="AK301" i="4" s="1"/>
  <c r="AE302" i="4"/>
  <c r="AK302" i="4" s="1"/>
  <c r="AE303" i="4"/>
  <c r="AK303" i="4" s="1"/>
  <c r="AE304" i="4"/>
  <c r="AK304" i="4" s="1"/>
  <c r="AE305" i="4"/>
  <c r="AK305" i="4" s="1"/>
  <c r="AE306" i="4"/>
  <c r="AK306" i="4" s="1"/>
  <c r="AE307" i="4"/>
  <c r="AK307" i="4" s="1"/>
  <c r="AE308" i="4"/>
  <c r="AK308" i="4" s="1"/>
  <c r="AE309" i="4"/>
  <c r="AK309" i="4" s="1"/>
  <c r="AE310" i="4"/>
  <c r="AK310" i="4" s="1"/>
  <c r="AE311" i="4"/>
  <c r="AK311" i="4" s="1"/>
  <c r="AE312" i="4"/>
  <c r="AK312" i="4" s="1"/>
  <c r="AE313" i="4"/>
  <c r="AK313" i="4" s="1"/>
  <c r="AE314" i="4"/>
  <c r="AK314" i="4" s="1"/>
  <c r="AE315" i="4"/>
  <c r="AK315" i="4" s="1"/>
  <c r="AE316" i="4"/>
  <c r="AK316" i="4" s="1"/>
  <c r="AE317" i="4"/>
  <c r="AK317" i="4" s="1"/>
  <c r="AE318" i="4"/>
  <c r="AK318" i="4" s="1"/>
  <c r="AE319" i="4"/>
  <c r="AK319" i="4" s="1"/>
  <c r="AE320" i="4"/>
  <c r="AK320" i="4" s="1"/>
  <c r="AE321" i="4"/>
  <c r="AK321" i="4" s="1"/>
  <c r="AE322" i="4"/>
  <c r="AK322" i="4" s="1"/>
  <c r="AE323" i="4"/>
  <c r="AK323" i="4" s="1"/>
  <c r="AE324" i="4"/>
  <c r="AK324" i="4" s="1"/>
  <c r="AE325" i="4"/>
  <c r="AK325" i="4" s="1"/>
  <c r="AE326" i="4"/>
  <c r="AK326" i="4" s="1"/>
  <c r="AE327" i="4"/>
  <c r="AK327" i="4" s="1"/>
  <c r="AE328" i="4"/>
  <c r="AK328" i="4" s="1"/>
  <c r="AE329" i="4"/>
  <c r="AK329" i="4" s="1"/>
  <c r="AE330" i="4"/>
  <c r="AK330" i="4" s="1"/>
  <c r="AE331" i="4"/>
  <c r="AK331" i="4" s="1"/>
  <c r="AE332" i="4"/>
  <c r="AK332" i="4" s="1"/>
  <c r="AE333" i="4"/>
  <c r="AK333" i="4" s="1"/>
  <c r="AE334" i="4"/>
  <c r="AK334" i="4" s="1"/>
  <c r="AE335" i="4"/>
  <c r="AK335" i="4" s="1"/>
  <c r="AE336" i="4"/>
  <c r="AK336" i="4" s="1"/>
  <c r="AE337" i="4"/>
  <c r="AK337" i="4" s="1"/>
  <c r="AE338" i="4"/>
  <c r="AK338" i="4" s="1"/>
  <c r="AE339" i="4"/>
  <c r="AK339" i="4" s="1"/>
  <c r="AE340" i="4"/>
  <c r="AK340" i="4" s="1"/>
  <c r="AE341" i="4"/>
  <c r="AK341" i="4" s="1"/>
  <c r="AE342" i="4"/>
  <c r="AK342" i="4" s="1"/>
  <c r="AE343" i="4"/>
  <c r="AK343" i="4" s="1"/>
  <c r="AE344" i="4"/>
  <c r="AK344" i="4" s="1"/>
  <c r="AE345" i="4"/>
  <c r="AK345" i="4" s="1"/>
  <c r="AE346" i="4"/>
  <c r="AK346" i="4" s="1"/>
  <c r="AE347" i="4"/>
  <c r="AK347" i="4" s="1"/>
  <c r="AE348" i="4"/>
  <c r="AK348" i="4" s="1"/>
  <c r="AE349" i="4"/>
  <c r="AK349" i="4" s="1"/>
  <c r="AE350" i="4"/>
  <c r="AK350" i="4" s="1"/>
  <c r="AD180" i="4"/>
  <c r="AJ180" i="4" s="1"/>
  <c r="AD181" i="4"/>
  <c r="AJ181" i="4" s="1"/>
  <c r="AD182" i="4"/>
  <c r="AJ182" i="4" s="1"/>
  <c r="AD183" i="4"/>
  <c r="AJ183" i="4" s="1"/>
  <c r="AD184" i="4"/>
  <c r="AJ184" i="4" s="1"/>
  <c r="AD185" i="4"/>
  <c r="AJ185" i="4" s="1"/>
  <c r="AD186" i="4"/>
  <c r="AJ186" i="4" s="1"/>
  <c r="AD187" i="4"/>
  <c r="AJ187" i="4" s="1"/>
  <c r="AD188" i="4"/>
  <c r="AJ188" i="4" s="1"/>
  <c r="AD189" i="4"/>
  <c r="AJ189" i="4" s="1"/>
  <c r="AD190" i="4"/>
  <c r="AJ190" i="4" s="1"/>
  <c r="AD191" i="4"/>
  <c r="AJ191" i="4" s="1"/>
  <c r="AD192" i="4"/>
  <c r="AJ192" i="4" s="1"/>
  <c r="AD193" i="4"/>
  <c r="AJ193" i="4" s="1"/>
  <c r="AD194" i="4"/>
  <c r="AJ194" i="4" s="1"/>
  <c r="AD195" i="4"/>
  <c r="AJ195" i="4" s="1"/>
  <c r="AD196" i="4"/>
  <c r="AJ196" i="4" s="1"/>
  <c r="AD197" i="4"/>
  <c r="AJ197" i="4" s="1"/>
  <c r="AD198" i="4"/>
  <c r="AJ198" i="4" s="1"/>
  <c r="AD199" i="4"/>
  <c r="AJ199" i="4" s="1"/>
  <c r="AD200" i="4"/>
  <c r="AJ200" i="4" s="1"/>
  <c r="AD201" i="4"/>
  <c r="AJ201" i="4" s="1"/>
  <c r="AD202" i="4"/>
  <c r="AJ202" i="4" s="1"/>
  <c r="AD203" i="4"/>
  <c r="AJ203" i="4" s="1"/>
  <c r="AD204" i="4"/>
  <c r="AJ204" i="4" s="1"/>
  <c r="AD205" i="4"/>
  <c r="AJ205" i="4" s="1"/>
  <c r="AD206" i="4"/>
  <c r="AJ206" i="4" s="1"/>
  <c r="AD207" i="4"/>
  <c r="AJ207" i="4" s="1"/>
  <c r="AD208" i="4"/>
  <c r="AJ208" i="4" s="1"/>
  <c r="AD209" i="4"/>
  <c r="AJ209" i="4" s="1"/>
  <c r="AD210" i="4"/>
  <c r="AJ210" i="4" s="1"/>
  <c r="AD211" i="4"/>
  <c r="AJ211" i="4" s="1"/>
  <c r="AD212" i="4"/>
  <c r="AJ212" i="4" s="1"/>
  <c r="AD213" i="4"/>
  <c r="AJ213" i="4" s="1"/>
  <c r="AD214" i="4"/>
  <c r="AJ214" i="4" s="1"/>
  <c r="AD215" i="4"/>
  <c r="AJ215" i="4" s="1"/>
  <c r="AD216" i="4"/>
  <c r="AJ216" i="4" s="1"/>
  <c r="AD217" i="4"/>
  <c r="AJ217" i="4" s="1"/>
  <c r="AD218" i="4"/>
  <c r="AJ218" i="4" s="1"/>
  <c r="AD219" i="4"/>
  <c r="AJ219" i="4" s="1"/>
  <c r="AD220" i="4"/>
  <c r="AJ220" i="4" s="1"/>
  <c r="AD221" i="4"/>
  <c r="AJ221" i="4" s="1"/>
  <c r="AD222" i="4"/>
  <c r="AJ222" i="4" s="1"/>
  <c r="AD223" i="4"/>
  <c r="AJ223" i="4" s="1"/>
  <c r="AD224" i="4"/>
  <c r="AJ224" i="4" s="1"/>
  <c r="AD225" i="4"/>
  <c r="AJ225" i="4" s="1"/>
  <c r="AD226" i="4"/>
  <c r="AJ226" i="4" s="1"/>
  <c r="AD227" i="4"/>
  <c r="AJ227" i="4" s="1"/>
  <c r="AD228" i="4"/>
  <c r="AJ228" i="4" s="1"/>
  <c r="AD229" i="4"/>
  <c r="AJ229" i="4" s="1"/>
  <c r="AD230" i="4"/>
  <c r="AJ230" i="4" s="1"/>
  <c r="AD231" i="4"/>
  <c r="AJ231" i="4" s="1"/>
  <c r="AD232" i="4"/>
  <c r="AJ232" i="4" s="1"/>
  <c r="AD233" i="4"/>
  <c r="AJ233" i="4" s="1"/>
  <c r="AD234" i="4"/>
  <c r="AJ234" i="4" s="1"/>
  <c r="AD235" i="4"/>
  <c r="AJ235" i="4" s="1"/>
  <c r="AD236" i="4"/>
  <c r="AJ236" i="4" s="1"/>
  <c r="AD237" i="4"/>
  <c r="AJ237" i="4" s="1"/>
  <c r="AD238" i="4"/>
  <c r="AJ238" i="4" s="1"/>
  <c r="AD239" i="4"/>
  <c r="AJ239" i="4" s="1"/>
  <c r="AD240" i="4"/>
  <c r="AJ240" i="4" s="1"/>
  <c r="AD241" i="4"/>
  <c r="AJ241" i="4" s="1"/>
  <c r="AD242" i="4"/>
  <c r="AJ242" i="4" s="1"/>
  <c r="AD243" i="4"/>
  <c r="AJ243" i="4" s="1"/>
  <c r="AD244" i="4"/>
  <c r="AJ244" i="4" s="1"/>
  <c r="AD245" i="4"/>
  <c r="AJ245" i="4" s="1"/>
  <c r="AD246" i="4"/>
  <c r="AJ246" i="4" s="1"/>
  <c r="AD247" i="4"/>
  <c r="AJ247" i="4" s="1"/>
  <c r="AD248" i="4"/>
  <c r="AJ248" i="4" s="1"/>
  <c r="AD249" i="4"/>
  <c r="AJ249" i="4" s="1"/>
  <c r="AD250" i="4"/>
  <c r="AJ250" i="4" s="1"/>
  <c r="AD251" i="4"/>
  <c r="AJ251" i="4" s="1"/>
  <c r="AD252" i="4"/>
  <c r="AJ252" i="4" s="1"/>
  <c r="AD253" i="4"/>
  <c r="AJ253" i="4" s="1"/>
  <c r="AD254" i="4"/>
  <c r="AJ254" i="4" s="1"/>
  <c r="AD255" i="4"/>
  <c r="AJ255" i="4" s="1"/>
  <c r="AD256" i="4"/>
  <c r="AJ256" i="4" s="1"/>
  <c r="AD257" i="4"/>
  <c r="AJ257" i="4" s="1"/>
  <c r="AD258" i="4"/>
  <c r="AJ258" i="4" s="1"/>
  <c r="AD259" i="4"/>
  <c r="AJ259" i="4" s="1"/>
  <c r="AD260" i="4"/>
  <c r="AJ260" i="4" s="1"/>
  <c r="AD261" i="4"/>
  <c r="AJ261" i="4" s="1"/>
  <c r="AD262" i="4"/>
  <c r="AJ262" i="4" s="1"/>
  <c r="AD263" i="4"/>
  <c r="AJ263" i="4" s="1"/>
  <c r="AD264" i="4"/>
  <c r="AJ264" i="4" s="1"/>
  <c r="AD265" i="4"/>
  <c r="AJ265" i="4" s="1"/>
  <c r="AD266" i="4"/>
  <c r="AJ266" i="4" s="1"/>
  <c r="AD267" i="4"/>
  <c r="AJ267" i="4" s="1"/>
  <c r="AD268" i="4"/>
  <c r="AJ268" i="4" s="1"/>
  <c r="AD269" i="4"/>
  <c r="AJ269" i="4" s="1"/>
  <c r="AD270" i="4"/>
  <c r="AJ270" i="4" s="1"/>
  <c r="AD271" i="4"/>
  <c r="AJ271" i="4" s="1"/>
  <c r="AD272" i="4"/>
  <c r="AJ272" i="4" s="1"/>
  <c r="AD273" i="4"/>
  <c r="AJ273" i="4" s="1"/>
  <c r="AD274" i="4"/>
  <c r="AJ274" i="4" s="1"/>
  <c r="AD275" i="4"/>
  <c r="AJ275" i="4" s="1"/>
  <c r="AD276" i="4"/>
  <c r="AJ276" i="4" s="1"/>
  <c r="AD277" i="4"/>
  <c r="AJ277" i="4" s="1"/>
  <c r="AD278" i="4"/>
  <c r="AJ278" i="4" s="1"/>
  <c r="AD279" i="4"/>
  <c r="AJ279" i="4" s="1"/>
  <c r="AD280" i="4"/>
  <c r="AJ280" i="4" s="1"/>
  <c r="AD281" i="4"/>
  <c r="AJ281" i="4" s="1"/>
  <c r="AD282" i="4"/>
  <c r="AJ282" i="4" s="1"/>
  <c r="AD283" i="4"/>
  <c r="AJ283" i="4" s="1"/>
  <c r="AD284" i="4"/>
  <c r="AJ284" i="4" s="1"/>
  <c r="AD285" i="4"/>
  <c r="AJ285" i="4" s="1"/>
  <c r="AD286" i="4"/>
  <c r="AJ286" i="4" s="1"/>
  <c r="AD287" i="4"/>
  <c r="AJ287" i="4" s="1"/>
  <c r="AD288" i="4"/>
  <c r="AJ288" i="4" s="1"/>
  <c r="AD289" i="4"/>
  <c r="AJ289" i="4" s="1"/>
  <c r="AD290" i="4"/>
  <c r="AJ290" i="4" s="1"/>
  <c r="AD291" i="4"/>
  <c r="AJ291" i="4" s="1"/>
  <c r="AD292" i="4"/>
  <c r="AJ292" i="4" s="1"/>
  <c r="AD293" i="4"/>
  <c r="AJ293" i="4" s="1"/>
  <c r="AD294" i="4"/>
  <c r="AJ294" i="4" s="1"/>
  <c r="AD295" i="4"/>
  <c r="AJ295" i="4" s="1"/>
  <c r="AD296" i="4"/>
  <c r="AJ296" i="4" s="1"/>
  <c r="AD297" i="4"/>
  <c r="AJ297" i="4" s="1"/>
  <c r="AD298" i="4"/>
  <c r="AJ298" i="4" s="1"/>
  <c r="AD299" i="4"/>
  <c r="AJ299" i="4" s="1"/>
  <c r="AD300" i="4"/>
  <c r="AJ300" i="4" s="1"/>
  <c r="AD301" i="4"/>
  <c r="AJ301" i="4" s="1"/>
  <c r="AD302" i="4"/>
  <c r="AJ302" i="4" s="1"/>
  <c r="AD303" i="4"/>
  <c r="AJ303" i="4" s="1"/>
  <c r="AD304" i="4"/>
  <c r="AJ304" i="4" s="1"/>
  <c r="AD305" i="4"/>
  <c r="AJ305" i="4" s="1"/>
  <c r="AD306" i="4"/>
  <c r="AJ306" i="4" s="1"/>
  <c r="AD307" i="4"/>
  <c r="AJ307" i="4" s="1"/>
  <c r="AD308" i="4"/>
  <c r="AJ308" i="4" s="1"/>
  <c r="AD309" i="4"/>
  <c r="AJ309" i="4" s="1"/>
  <c r="AD310" i="4"/>
  <c r="AJ310" i="4" s="1"/>
  <c r="AD311" i="4"/>
  <c r="AJ311" i="4" s="1"/>
  <c r="AD312" i="4"/>
  <c r="AJ312" i="4" s="1"/>
  <c r="AD313" i="4"/>
  <c r="AJ313" i="4" s="1"/>
  <c r="AD314" i="4"/>
  <c r="AJ314" i="4" s="1"/>
  <c r="AD315" i="4"/>
  <c r="AJ315" i="4" s="1"/>
  <c r="AD316" i="4"/>
  <c r="AJ316" i="4" s="1"/>
  <c r="AD317" i="4"/>
  <c r="AJ317" i="4" s="1"/>
  <c r="AD318" i="4"/>
  <c r="AJ318" i="4" s="1"/>
  <c r="AD319" i="4"/>
  <c r="AJ319" i="4" s="1"/>
  <c r="AD320" i="4"/>
  <c r="AJ320" i="4" s="1"/>
  <c r="AD321" i="4"/>
  <c r="AJ321" i="4" s="1"/>
  <c r="AD322" i="4"/>
  <c r="AJ322" i="4" s="1"/>
  <c r="AD323" i="4"/>
  <c r="AJ323" i="4" s="1"/>
  <c r="AD324" i="4"/>
  <c r="AJ324" i="4" s="1"/>
  <c r="AD325" i="4"/>
  <c r="AJ325" i="4" s="1"/>
  <c r="AD326" i="4"/>
  <c r="AJ326" i="4" s="1"/>
  <c r="AD327" i="4"/>
  <c r="AJ327" i="4" s="1"/>
  <c r="AD328" i="4"/>
  <c r="AJ328" i="4" s="1"/>
  <c r="AD329" i="4"/>
  <c r="AJ329" i="4" s="1"/>
  <c r="AD330" i="4"/>
  <c r="AJ330" i="4" s="1"/>
  <c r="AD331" i="4"/>
  <c r="AJ331" i="4" s="1"/>
  <c r="AD332" i="4"/>
  <c r="AJ332" i="4" s="1"/>
  <c r="AD333" i="4"/>
  <c r="AJ333" i="4" s="1"/>
  <c r="AD334" i="4"/>
  <c r="AJ334" i="4" s="1"/>
  <c r="AD335" i="4"/>
  <c r="AJ335" i="4" s="1"/>
  <c r="AD336" i="4"/>
  <c r="AJ336" i="4" s="1"/>
  <c r="AD337" i="4"/>
  <c r="AJ337" i="4" s="1"/>
  <c r="AD338" i="4"/>
  <c r="AJ338" i="4" s="1"/>
  <c r="AD339" i="4"/>
  <c r="AJ339" i="4" s="1"/>
  <c r="AD340" i="4"/>
  <c r="AJ340" i="4" s="1"/>
  <c r="AD341" i="4"/>
  <c r="AJ341" i="4" s="1"/>
  <c r="AD342" i="4"/>
  <c r="AJ342" i="4" s="1"/>
  <c r="AD343" i="4"/>
  <c r="AJ343" i="4" s="1"/>
  <c r="AD344" i="4"/>
  <c r="AJ344" i="4" s="1"/>
  <c r="AD345" i="4"/>
  <c r="AJ345" i="4" s="1"/>
  <c r="AD346" i="4"/>
  <c r="AJ346" i="4" s="1"/>
  <c r="AD347" i="4"/>
  <c r="AJ347" i="4" s="1"/>
  <c r="AD348" i="4"/>
  <c r="AJ348" i="4" s="1"/>
  <c r="AD349" i="4"/>
  <c r="AJ349" i="4" s="1"/>
  <c r="AD350" i="4"/>
  <c r="AJ350" i="4" s="1"/>
  <c r="B2" i="5"/>
  <c r="B2" i="4"/>
  <c r="U12" i="1"/>
  <c r="U11" i="1"/>
  <c r="U10" i="1"/>
  <c r="U9" i="1"/>
  <c r="U8" i="1"/>
  <c r="E3" i="1"/>
  <c r="P6" i="1" l="1"/>
  <c r="V30" i="1"/>
  <c r="M3" i="1"/>
  <c r="P9" i="1"/>
  <c r="P7" i="1"/>
  <c r="P8" i="1"/>
</calcChain>
</file>

<file path=xl/sharedStrings.xml><?xml version="1.0" encoding="utf-8"?>
<sst xmlns="http://schemas.openxmlformats.org/spreadsheetml/2006/main" count="1437" uniqueCount="340">
  <si>
    <t>Tour à importer</t>
  </si>
  <si>
    <t>RESULTATS NETS</t>
  </si>
  <si>
    <t>RESULTATS BRUTS</t>
  </si>
  <si>
    <t>Tour</t>
  </si>
  <si>
    <t>Rang</t>
  </si>
  <si>
    <t>Nom - Prénom</t>
  </si>
  <si>
    <t>Club</t>
  </si>
  <si>
    <t>Index</t>
  </si>
  <si>
    <t>Série</t>
  </si>
  <si>
    <t>Score net</t>
  </si>
  <si>
    <t>Score brut</t>
  </si>
  <si>
    <t>Configuration</t>
  </si>
  <si>
    <t>Series</t>
  </si>
  <si>
    <t>Serie</t>
  </si>
  <si>
    <t>indexMin</t>
  </si>
  <si>
    <t>indexMax</t>
  </si>
  <si>
    <t>Tours</t>
  </si>
  <si>
    <t>Finale</t>
  </si>
  <si>
    <t>Tour1</t>
  </si>
  <si>
    <t>Tour2</t>
  </si>
  <si>
    <t>Tour3</t>
  </si>
  <si>
    <t>Tour4</t>
  </si>
  <si>
    <t>Tour5</t>
  </si>
  <si>
    <t>Tour6</t>
  </si>
  <si>
    <t>Max Tours</t>
  </si>
  <si>
    <t>Grande Semaine</t>
  </si>
  <si>
    <t>Nettoyage</t>
  </si>
  <si>
    <t>Par Tour</t>
  </si>
  <si>
    <t>Automatique</t>
  </si>
  <si>
    <t>parcours tours les repertoire T&lt;n&gt;</t>
  </si>
  <si>
    <t>Tour importé</t>
  </si>
  <si>
    <t>Date</t>
  </si>
  <si>
    <t>Date Import</t>
  </si>
  <si>
    <t>nombre joueur brut</t>
  </si>
  <si>
    <t>nombre joueur Net</t>
  </si>
  <si>
    <t>Nom de la feuille des Imports</t>
  </si>
  <si>
    <t>Nom de la feuille des resultat</t>
  </si>
  <si>
    <t xml:space="preserve">  Participants</t>
  </si>
  <si>
    <t>Rang Net Finale</t>
  </si>
  <si>
    <t>Rang Brut Finale</t>
  </si>
  <si>
    <t>Rang   Net1</t>
  </si>
  <si>
    <t>Rang   Brut1</t>
  </si>
  <si>
    <t>Rang      Net2</t>
  </si>
  <si>
    <t>Rang      Brut2</t>
  </si>
  <si>
    <t>Rang      Net3</t>
  </si>
  <si>
    <t>Rang      Brut3</t>
  </si>
  <si>
    <t>Rang        Net4</t>
  </si>
  <si>
    <t>Rang        Brut4</t>
  </si>
  <si>
    <t>Rang        Net5</t>
  </si>
  <si>
    <t>Rang        Brut5</t>
  </si>
  <si>
    <t>Rang        Net6</t>
  </si>
  <si>
    <t>Rang        Brut6</t>
  </si>
  <si>
    <t>Score     Net1</t>
  </si>
  <si>
    <t>Score      Net2</t>
  </si>
  <si>
    <t>Score      Net3</t>
  </si>
  <si>
    <t>Score        Net4</t>
  </si>
  <si>
    <t>Score        Net5</t>
  </si>
  <si>
    <t>Score        Net6</t>
  </si>
  <si>
    <t>Score Net Max</t>
  </si>
  <si>
    <t>Score Net Finale</t>
  </si>
  <si>
    <t>Score Net LGS</t>
  </si>
  <si>
    <t>Score    Brut1</t>
  </si>
  <si>
    <t>Score      Brut2</t>
  </si>
  <si>
    <t>Score      Brut3</t>
  </si>
  <si>
    <t>Score        Brut4</t>
  </si>
  <si>
    <t>Score        Brut5</t>
  </si>
  <si>
    <t>Score        Brut6</t>
  </si>
  <si>
    <t>Score Brut Max</t>
  </si>
  <si>
    <t>Score Brut Finale</t>
  </si>
  <si>
    <t>Score Brut LGS</t>
  </si>
  <si>
    <t>type</t>
  </si>
  <si>
    <t>reference</t>
  </si>
  <si>
    <t>date</t>
  </si>
  <si>
    <t>HOMME</t>
  </si>
  <si>
    <t>DAME</t>
  </si>
  <si>
    <t>TYPE</t>
  </si>
  <si>
    <t>Type</t>
  </si>
  <si>
    <t>TypeIndex</t>
  </si>
  <si>
    <t>joueurs</t>
  </si>
  <si>
    <t>feuille</t>
  </si>
  <si>
    <t>Fichiers</t>
  </si>
  <si>
    <t>Nom Fichier import</t>
  </si>
  <si>
    <t>Best Tours</t>
  </si>
  <si>
    <t>export_HOMME_Net_1.xlsx</t>
  </si>
  <si>
    <t>export_DAME_Net_12.xlsx</t>
  </si>
  <si>
    <t>export_HOMME_Brut_234.xlsx</t>
  </si>
  <si>
    <t>export_DAME_Brut_34.xlsx</t>
  </si>
  <si>
    <t>export_HOMME_Net_234.xlsx</t>
  </si>
  <si>
    <t>export_DAME_Net_34.xlsx</t>
  </si>
  <si>
    <t>Colonne1</t>
  </si>
  <si>
    <t>Colonne2</t>
  </si>
  <si>
    <t>Resultat LGS (DAME)</t>
  </si>
  <si>
    <t>Resultat LGS (HOMME)</t>
  </si>
  <si>
    <t>genre</t>
  </si>
  <si>
    <t>Messieurs</t>
  </si>
  <si>
    <t>Dames</t>
  </si>
  <si>
    <t>mode</t>
  </si>
  <si>
    <t>XLS_2024</t>
  </si>
  <si>
    <t>Nom des feuilles de resultats agrégés</t>
  </si>
  <si>
    <t>Mode suivi evolution export RMS</t>
  </si>
  <si>
    <t>tous les tours</t>
  </si>
  <si>
    <t>ALL</t>
  </si>
  <si>
    <t>Importation et generation de tous les tours depuis un repertoire HOMME/DAME</t>
  </si>
  <si>
    <t>Nan</t>
  </si>
  <si>
    <t>C:\dev-data\golf\ASGLM LGS\LGS_Application</t>
  </si>
  <si>
    <t>EffacementImport</t>
  </si>
  <si>
    <t>Importation et generation de tous les tours depuis un repertoire HOMME/DAME - Tour 1</t>
  </si>
  <si>
    <t>ROMAN, Gabin</t>
  </si>
  <si>
    <t>GOLF DE LILLE METROPOLE</t>
  </si>
  <si>
    <t>OFFROY, Jerome</t>
  </si>
  <si>
    <t>MONTE, Julie</t>
  </si>
  <si>
    <t>CANONNE, Ghislaine</t>
  </si>
  <si>
    <t>ROSSEL, Louann</t>
  </si>
  <si>
    <t>LOCUFIER, Astrid</t>
  </si>
  <si>
    <t>WATTINNE, Anne</t>
  </si>
  <si>
    <t>MALFAIT, Virginie</t>
  </si>
  <si>
    <t>CE LA REDOUTE</t>
  </si>
  <si>
    <t>BROTCORNE, Celine</t>
  </si>
  <si>
    <t>PLAULT, Elsa</t>
  </si>
  <si>
    <t>MERLIN, Marie-José</t>
  </si>
  <si>
    <t>TOULMONDE, Nathalie</t>
  </si>
  <si>
    <t>LEBLANC, Nathalie</t>
  </si>
  <si>
    <t>MARCHAND, Isabelle</t>
  </si>
  <si>
    <t>VONGHIA, Sonia</t>
  </si>
  <si>
    <t>CARAUX, Véronique</t>
  </si>
  <si>
    <t>HAK, Lydie</t>
  </si>
  <si>
    <t>KIEKEN, Marina</t>
  </si>
  <si>
    <t>JARRY, Laurence</t>
  </si>
  <si>
    <t>Calcul du Tour 1</t>
  </si>
  <si>
    <t>Importation et generation de tous les tours depuis un repertoire HOMME/DAME - Tour 2</t>
  </si>
  <si>
    <t>Calcul du Tour 2</t>
  </si>
  <si>
    <t>Importation et generation de tous les tours depuis un repertoire HOMME/DAME - Tour 3</t>
  </si>
  <si>
    <t>Calcul du Tour 3</t>
  </si>
  <si>
    <t>Importation et generation de tous les tours depuis un repertoire HOMME/DAME - Tour 4</t>
  </si>
  <si>
    <t>Calcul du Tour 4</t>
  </si>
  <si>
    <t>Importation et generation de tous les tours depuis un repertoire HOMME/DAME - Tour 5</t>
  </si>
  <si>
    <t>Calcul du Tour 5</t>
  </si>
  <si>
    <t>Importation et generation de tous les tours depuis un repertoire HOMME/DAME - Tour 6</t>
  </si>
  <si>
    <t>Calcul du Tour 6</t>
  </si>
  <si>
    <t>Importation et generation de tous les tours depuis un repertoire HOMME/DAME - Tour 7</t>
  </si>
  <si>
    <t>C:\dev-data\golf\ASGLM LGS\LGS_Application\T1\2d. Extraction XLS globale.xls</t>
  </si>
  <si>
    <t>Colonne non trouvée</t>
  </si>
  <si>
    <t>CREPIN, Jean-Baptiste</t>
  </si>
  <si>
    <t>LESZCZYNSKI, Matthieu</t>
  </si>
  <si>
    <t>BOURDON, Jean-Paul</t>
  </si>
  <si>
    <t>MERIGNIES GOLF COUNTRY CLUB</t>
  </si>
  <si>
    <t>ASTIER, Ludovic</t>
  </si>
  <si>
    <t>LIANDIER, Bruno</t>
  </si>
  <si>
    <t>SALGADO, Antoine</t>
  </si>
  <si>
    <t>PATY, Thibaut</t>
  </si>
  <si>
    <t>MRUK, Stephane</t>
  </si>
  <si>
    <t>TRAN VAN, Xavier</t>
  </si>
  <si>
    <t>ECHILLEY, Jean-Christophe</t>
  </si>
  <si>
    <t>WOJCIESZAK, Eric</t>
  </si>
  <si>
    <t>DESHAYES, Germain</t>
  </si>
  <si>
    <t>HERMAN, Marc Antoine</t>
  </si>
  <si>
    <t>AVERLANT, Charles-Henri</t>
  </si>
  <si>
    <t>PECQUEUR, Adrien</t>
  </si>
  <si>
    <t>NAMPONT SAINT MARTIN GOLF CLUB</t>
  </si>
  <si>
    <t>BACQUET, Clément</t>
  </si>
  <si>
    <t>BELFADEL, Ludovic</t>
  </si>
  <si>
    <t>PATARIN, Clement</t>
  </si>
  <si>
    <t>THALES INTER-SPORTS (TIS)</t>
  </si>
  <si>
    <t>POIRIER, Loïc</t>
  </si>
  <si>
    <t>KLIMASZEWSKI, Olivier</t>
  </si>
  <si>
    <t>DELVAL, Francois</t>
  </si>
  <si>
    <t>LOCUFIER, Ludovic</t>
  </si>
  <si>
    <t>TROMPETTE, Thierry</t>
  </si>
  <si>
    <t>LONNEVILLE, Mathieu</t>
  </si>
  <si>
    <t>DUPELICZ, Remy</t>
  </si>
  <si>
    <t>ROHART, Stéphane</t>
  </si>
  <si>
    <t>VAN SEYMORTIER, Francois</t>
  </si>
  <si>
    <t>BOURBIGOU, Fabrice</t>
  </si>
  <si>
    <t>LEFEBVRE, Frédéric</t>
  </si>
  <si>
    <t>OUDAR, Ludovic</t>
  </si>
  <si>
    <t>CARAUX, Rodolphe</t>
  </si>
  <si>
    <t>TRONET, Pascal</t>
  </si>
  <si>
    <t>DOUHARD, Etienne</t>
  </si>
  <si>
    <t>DEWAELE, Jeremie</t>
  </si>
  <si>
    <t>LEGRAND, Christophe</t>
  </si>
  <si>
    <t>ROY, Philippe</t>
  </si>
  <si>
    <t>SCAPPATICCI, Pierre</t>
  </si>
  <si>
    <t>DENQUIN, Jérôme</t>
  </si>
  <si>
    <t>ELIE, Nicolas</t>
  </si>
  <si>
    <t>LIGUE DE GOLF DES HAUTS-DE-FRANCE</t>
  </si>
  <si>
    <t>CARON, Bernard</t>
  </si>
  <si>
    <t>LASCOMBE, Florian</t>
  </si>
  <si>
    <t>MONTE, Didier</t>
  </si>
  <si>
    <t>CHAN, Chi Lung</t>
  </si>
  <si>
    <t>ASTIER, Maxence</t>
  </si>
  <si>
    <t>DOMISE, Dominique</t>
  </si>
  <si>
    <t>MAILLARD, Pascal</t>
  </si>
  <si>
    <t>LECHELLE, Bernard</t>
  </si>
  <si>
    <t>CHEKIR, Abdessalem</t>
  </si>
  <si>
    <t>BAIVIER, Patrick</t>
  </si>
  <si>
    <t>BARMIO, Lino</t>
  </si>
  <si>
    <t>SAPIN, Pierre-Rodolphe</t>
  </si>
  <si>
    <t>MARQUANT, Jean Claude</t>
  </si>
  <si>
    <t>GOBERT, Thomas Jean</t>
  </si>
  <si>
    <t>BROTCORNE, Jean Luc</t>
  </si>
  <si>
    <t>DESSEAUX, Antoine</t>
  </si>
  <si>
    <t>SAMAIN, Dominique</t>
  </si>
  <si>
    <t>RAMANAH, Appayah</t>
  </si>
  <si>
    <t>BENOUADEN, Lyes</t>
  </si>
  <si>
    <t>BARRET, Jean Charles</t>
  </si>
  <si>
    <t>DERASSE, Philippe</t>
  </si>
  <si>
    <t>TRAINEL, Jean-Paul</t>
  </si>
  <si>
    <t>LECHABLE, Boris</t>
  </si>
  <si>
    <t>DELANGUE, Julien</t>
  </si>
  <si>
    <t>PETILLON, Joël</t>
  </si>
  <si>
    <t>DEWAELE, Mika</t>
  </si>
  <si>
    <t>ZENGERS, Julien</t>
  </si>
  <si>
    <t>ROGIERS, Yves</t>
  </si>
  <si>
    <t>LACENE, Wanass</t>
  </si>
  <si>
    <t>DU PLESSIS DE GRENEDAN, Renaud</t>
  </si>
  <si>
    <t>DELORY, Dominique</t>
  </si>
  <si>
    <t>DESSEAUX, Christian</t>
  </si>
  <si>
    <t>DEBUSSCHERE, Erick</t>
  </si>
  <si>
    <t>C:\dev-data\golf\ASGLM LGS\LGS_Application\T2\2d. Extraction XLS globale.xls</t>
  </si>
  <si>
    <t>BEGHIN, Pierrick</t>
  </si>
  <si>
    <t>HEM, Chun Leng</t>
  </si>
  <si>
    <t>LEGRAND, Emeric</t>
  </si>
  <si>
    <t>KURZYDLO, Robin</t>
  </si>
  <si>
    <t>RAOULT, Lancelot</t>
  </si>
  <si>
    <t>DUPELICZ, Bertrand</t>
  </si>
  <si>
    <t>SARAZIN, Antoine</t>
  </si>
  <si>
    <t>PERREAUX, Benjamin</t>
  </si>
  <si>
    <t>ROUSSEL, François</t>
  </si>
  <si>
    <t>LEDURRE, Patrick</t>
  </si>
  <si>
    <t>SERGENT, Eric</t>
  </si>
  <si>
    <t>LACOMBLEZ, Thierry</t>
  </si>
  <si>
    <t>DEBOUBERT, Philippe</t>
  </si>
  <si>
    <t>BEGHIN, Yoan</t>
  </si>
  <si>
    <t>MORTAGNE, Frederic</t>
  </si>
  <si>
    <t>BUISINE, Philippe</t>
  </si>
  <si>
    <t>BARBEAU, Romain</t>
  </si>
  <si>
    <t>FULLHART, Yves</t>
  </si>
  <si>
    <t>MOULART, Antoine</t>
  </si>
  <si>
    <t>LAURIAT, Boris</t>
  </si>
  <si>
    <t>ABOURIZK, Saad</t>
  </si>
  <si>
    <t>DESPATURES, Eric</t>
  </si>
  <si>
    <t>PLISSON, Jeremy</t>
  </si>
  <si>
    <t>HUET, Philippe</t>
  </si>
  <si>
    <t>DEGRAVE, Alain</t>
  </si>
  <si>
    <t>OUDAR, Simon</t>
  </si>
  <si>
    <t>BERGOT, Christian</t>
  </si>
  <si>
    <t>DHUYVETTER, Joel</t>
  </si>
  <si>
    <t>SOM, Sun Sreng</t>
  </si>
  <si>
    <t>VAUTHIER, Bruno</t>
  </si>
  <si>
    <t>BARATIN, Fabrice</t>
  </si>
  <si>
    <t>WEENS, Simon</t>
  </si>
  <si>
    <t>NYS, Jean-Robert</t>
  </si>
  <si>
    <t>DESSOBRY, Gerard</t>
  </si>
  <si>
    <t>DUMETZ, Andre</t>
  </si>
  <si>
    <t>KURZYDLO, Eric</t>
  </si>
  <si>
    <t>CONSTANTIN, Patrick</t>
  </si>
  <si>
    <t>ONRAET, Philippe</t>
  </si>
  <si>
    <t>DHUYVETTER, Timothy</t>
  </si>
  <si>
    <t>DEFOURNEAU, Christophe</t>
  </si>
  <si>
    <t>VASSEUR, Jean-Paul</t>
  </si>
  <si>
    <t>BARRET, Arnaud</t>
  </si>
  <si>
    <t>DUCAMP, Sylvie</t>
  </si>
  <si>
    <t>GABRIELS, Christine</t>
  </si>
  <si>
    <t>LASCOMBE, Elody</t>
  </si>
  <si>
    <t>DECUYPERE, Sandrina</t>
  </si>
  <si>
    <t>C:\dev-data\golf\ASGLM LGS\LGS_Application\T3\2d. Extraction XLS globale.xls</t>
  </si>
  <si>
    <t>MOUCHEL, Paul</t>
  </si>
  <si>
    <t>WANTE, Arne</t>
  </si>
  <si>
    <t>CANTILLON, Marc-Alban</t>
  </si>
  <si>
    <t>NIBART, Fabrice</t>
  </si>
  <si>
    <t>GOLF DE BONDUES</t>
  </si>
  <si>
    <t>MATYS, Michel</t>
  </si>
  <si>
    <t>NEANG, Samal</t>
  </si>
  <si>
    <t>RAYNAUD, Hervé</t>
  </si>
  <si>
    <t>DERRADJ, Nory</t>
  </si>
  <si>
    <t>DEBUSSCHERE, Yves</t>
  </si>
  <si>
    <t>REGUEME, Eric</t>
  </si>
  <si>
    <t>DUBY, Nicolas</t>
  </si>
  <si>
    <t>NEANG, Luca</t>
  </si>
  <si>
    <t>CAYRADE, Romain</t>
  </si>
  <si>
    <t>DELCAMBRE, Maxime</t>
  </si>
  <si>
    <t>MINET, Kevin</t>
  </si>
  <si>
    <t>MINET, David</t>
  </si>
  <si>
    <t>COUSIN, Valerie</t>
  </si>
  <si>
    <t>OHMANN, Anne Valérie</t>
  </si>
  <si>
    <t>DELCAMBRE, Caroline</t>
  </si>
  <si>
    <t>MINET, Nathalie</t>
  </si>
  <si>
    <t>JOLY, Delphine</t>
  </si>
  <si>
    <t>CARON, Carla-Maria</t>
  </si>
  <si>
    <t>C:\dev-data\golf\ASGLM LGS\LGS_Application\T4\2d. Extraction XLS globale.xls</t>
  </si>
  <si>
    <t>LE MOAL, Thomas</t>
  </si>
  <si>
    <t>MARTINOT, Jérôme</t>
  </si>
  <si>
    <t>LE MOAL, Paul</t>
  </si>
  <si>
    <t>RAYS, Amaury</t>
  </si>
  <si>
    <t>MALBRANQUE, Jean-Philippe</t>
  </si>
  <si>
    <t>GRYSON, Arnaud</t>
  </si>
  <si>
    <t>MORIN, Jeremie</t>
  </si>
  <si>
    <t>MAGNIN-FEYSOT, Guillaume</t>
  </si>
  <si>
    <t>POTDEVIN, Davy</t>
  </si>
  <si>
    <t>HUANG, Jingpei</t>
  </si>
  <si>
    <t>GOLF DU SART</t>
  </si>
  <si>
    <t>BOUCHONNET, Leo</t>
  </si>
  <si>
    <t>BARTAU, Guillaume</t>
  </si>
  <si>
    <t>PARENT, Nicolas</t>
  </si>
  <si>
    <t>DUSSART, Gilles</t>
  </si>
  <si>
    <t>REIGNIER, Pascal</t>
  </si>
  <si>
    <t>LOUBET, Jean Michel</t>
  </si>
  <si>
    <t>ROBIN, Raphael</t>
  </si>
  <si>
    <t>INESIS GOLF PARK</t>
  </si>
  <si>
    <t>CASTELAIN, Maxime</t>
  </si>
  <si>
    <t>BRUTKIEWICZ, Jean-Jacques</t>
  </si>
  <si>
    <t>DELCOUR, Bruno</t>
  </si>
  <si>
    <t>JAGODZINSKI, Jean-Yves</t>
  </si>
  <si>
    <t>KIN, Jean-Michel</t>
  </si>
  <si>
    <t>VINCENT, François</t>
  </si>
  <si>
    <t>CAMBRAY, Francois</t>
  </si>
  <si>
    <t>LACOMBLEZ, Steve</t>
  </si>
  <si>
    <t>HOTTON, Olivier</t>
  </si>
  <si>
    <t>LAMOUR, Regis</t>
  </si>
  <si>
    <t>DEPREY, Vincent</t>
  </si>
  <si>
    <t>WILLERVAL, Sebastien</t>
  </si>
  <si>
    <t>DUPLOUY, Cécile</t>
  </si>
  <si>
    <t>BRUTKIEWICZ, Dominique</t>
  </si>
  <si>
    <t>C:\dev-data\golf\ASGLM LGS\LGS_Application\T5\2d. Extraction XLS globale.xls</t>
  </si>
  <si>
    <t>LONNEVILLE, Sacha</t>
  </si>
  <si>
    <t>MATHON, Loïc</t>
  </si>
  <si>
    <t>CEZARD, Jean Camille</t>
  </si>
  <si>
    <t>LE BRIS, Maxime</t>
  </si>
  <si>
    <t>TARGAT, Wassily</t>
  </si>
  <si>
    <t>SILVAIN, Jean-Marc</t>
  </si>
  <si>
    <t>DOAN, Thang</t>
  </si>
  <si>
    <t>C:\dev-data\golf\ASGLM LGS\LGS_Application\T6\2d. Extraction XLS globale.xls</t>
  </si>
  <si>
    <t>DEWAELE, Matthieu</t>
  </si>
  <si>
    <t>DELHOMMEZ, Louis</t>
  </si>
  <si>
    <t>PICK, Edouard</t>
  </si>
  <si>
    <t>GEVREY, Remi</t>
  </si>
  <si>
    <t>SADONES, Eric</t>
  </si>
  <si>
    <t>C:\dev-data\golf\ASGLM LGS\LGS_Application\Finale\2d. Extraction XLS globale.xls</t>
  </si>
  <si>
    <t>Importation d ''un fichier Brut et Net (complet Homme Dame) FFGolf pour 1 Tour (2024) [auto] (Clean import =Faux) - Tour 1</t>
  </si>
  <si>
    <t>Importation d ''un fichier Brut et Net (complet Homme Dame) FFGolf pour 1 Tour (2024) [auto] (Clean import =Faux) - Tour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</si>
</sst>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b/>
      <sz val="2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8"/>
      <color rgb="FF000000"/>
      <name val="Segoe UI"/>
      <family val="2"/>
    </font>
    <font>
      <sz val="8"/>
      <name val="Calibri"/>
      <family val="2"/>
      <scheme val="minor"/>
    </font>
    <font>
      <i/>
      <sz val="8"/>
      <color rgb="FF000000"/>
      <name val="Calibri"/>
      <family val="2"/>
    </font>
    <font>
      <b/>
      <sz val="11"/>
      <color rgb="FF000000"/>
      <name val="Calibri"/>
      <family val="2"/>
    </font>
    <font>
      <b/>
      <sz val="10"/>
      <color rgb="FF000000"/>
      <name val="Calibri"/>
      <family val="2"/>
    </font>
  </fonts>
  <fills count="2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DEDEDE"/>
        <bgColor indexed="64"/>
      </patternFill>
    </fill>
  </fills>
  <borders count="6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 style="medium">
        <color auto="1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 style="double">
        <color auto="1"/>
      </left>
      <right/>
      <top style="double">
        <color auto="1"/>
      </top>
      <bottom style="medium">
        <color auto="1"/>
      </bottom>
      <diagonal/>
    </border>
    <border>
      <left/>
      <right style="double">
        <color auto="1"/>
      </right>
      <top style="double">
        <color auto="1"/>
      </top>
      <bottom style="medium">
        <color auto="1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double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/>
      <diagonal/>
    </border>
    <border>
      <left style="medium">
        <color auto="1"/>
      </left>
      <right style="thin">
        <color indexed="64"/>
      </right>
      <top/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10">
    <xf numFmtId="0" fontId="0" fillId="0" borderId="0" xfId="0"/>
    <xf numFmtId="0" fontId="0" fillId="0" borderId="0" xfId="0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/>
    <xf numFmtId="0" fontId="0" fillId="0" borderId="7" xfId="0" applyBorder="1"/>
    <xf numFmtId="0" fontId="0" fillId="0" borderId="12" xfId="0" applyBorder="1"/>
    <xf numFmtId="0" fontId="0" fillId="0" borderId="13" xfId="0" applyBorder="1"/>
    <xf numFmtId="0" fontId="2" fillId="0" borderId="10" xfId="0" applyFont="1" applyBorder="1" applyAlignment="1">
      <alignment horizontal="center" vertical="center"/>
    </xf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19" xfId="0" applyBorder="1" applyAlignment="1">
      <alignment horizontal="right"/>
    </xf>
    <xf numFmtId="0" fontId="0" fillId="0" borderId="0" xfId="0" applyAlignment="1">
      <alignment horizontal="right"/>
    </xf>
    <xf numFmtId="0" fontId="2" fillId="0" borderId="15" xfId="0" applyFont="1" applyBorder="1" applyAlignment="1">
      <alignment horizontal="center" vertical="center"/>
    </xf>
    <xf numFmtId="0" fontId="0" fillId="0" borderId="21" xfId="0" applyBorder="1"/>
    <xf numFmtId="0" fontId="0" fillId="4" borderId="2" xfId="0" applyFill="1" applyBorder="1"/>
    <xf numFmtId="0" fontId="0" fillId="4" borderId="11" xfId="0" applyFill="1" applyBorder="1"/>
    <xf numFmtId="0" fontId="0" fillId="4" borderId="3" xfId="0" applyFill="1" applyBorder="1"/>
    <xf numFmtId="0" fontId="0" fillId="5" borderId="20" xfId="0" applyFill="1" applyBorder="1"/>
    <xf numFmtId="0" fontId="0" fillId="5" borderId="14" xfId="0" applyFill="1" applyBorder="1"/>
    <xf numFmtId="0" fontId="0" fillId="5" borderId="0" xfId="0" applyFill="1"/>
    <xf numFmtId="0" fontId="0" fillId="5" borderId="15" xfId="0" applyFill="1" applyBorder="1"/>
    <xf numFmtId="0" fontId="0" fillId="5" borderId="10" xfId="0" applyFill="1" applyBorder="1"/>
    <xf numFmtId="0" fontId="0" fillId="5" borderId="9" xfId="0" applyFill="1" applyBorder="1"/>
    <xf numFmtId="0" fontId="0" fillId="0" borderId="0" xfId="0" applyAlignment="1">
      <alignment wrapText="1"/>
    </xf>
    <xf numFmtId="0" fontId="3" fillId="0" borderId="0" xfId="0" applyFont="1"/>
    <xf numFmtId="0" fontId="0" fillId="8" borderId="2" xfId="0" applyFill="1" applyBorder="1"/>
    <xf numFmtId="0" fontId="0" fillId="8" borderId="3" xfId="0" applyFill="1" applyBorder="1"/>
    <xf numFmtId="0" fontId="0" fillId="9" borderId="24" xfId="0" applyFill="1" applyBorder="1"/>
    <xf numFmtId="0" fontId="0" fillId="9" borderId="19" xfId="0" applyFill="1" applyBorder="1"/>
    <xf numFmtId="0" fontId="0" fillId="9" borderId="8" xfId="0" applyFill="1" applyBorder="1" applyAlignment="1">
      <alignment horizontal="center"/>
    </xf>
    <xf numFmtId="0" fontId="0" fillId="9" borderId="20" xfId="0" applyFill="1" applyBorder="1"/>
    <xf numFmtId="0" fontId="0" fillId="9" borderId="0" xfId="0" applyFill="1"/>
    <xf numFmtId="0" fontId="0" fillId="9" borderId="9" xfId="0" applyFill="1" applyBorder="1" applyAlignment="1">
      <alignment horizontal="center"/>
    </xf>
    <xf numFmtId="0" fontId="0" fillId="9" borderId="14" xfId="0" applyFill="1" applyBorder="1"/>
    <xf numFmtId="0" fontId="0" fillId="9" borderId="15" xfId="0" applyFill="1" applyBorder="1"/>
    <xf numFmtId="0" fontId="0" fillId="9" borderId="10" xfId="0" applyFill="1" applyBorder="1" applyAlignment="1">
      <alignment horizontal="center"/>
    </xf>
    <xf numFmtId="0" fontId="5" fillId="4" borderId="11" xfId="0" applyFont="1" applyFill="1" applyBorder="1" applyAlignment="1">
      <alignment horizontal="left" vertical="center"/>
    </xf>
    <xf numFmtId="0" fontId="6" fillId="8" borderId="11" xfId="0" applyFont="1" applyFill="1" applyBorder="1" applyAlignment="1">
      <alignment horizontal="left" vertical="center"/>
    </xf>
    <xf numFmtId="0" fontId="0" fillId="10" borderId="20" xfId="0" applyFill="1" applyBorder="1"/>
    <xf numFmtId="0" fontId="0" fillId="10" borderId="14" xfId="0" applyFill="1" applyBorder="1"/>
    <xf numFmtId="0" fontId="2" fillId="11" borderId="2" xfId="0" applyFont="1" applyFill="1" applyBorder="1" applyAlignment="1">
      <alignment horizontal="left" vertical="center"/>
    </xf>
    <xf numFmtId="0" fontId="0" fillId="11" borderId="11" xfId="0" applyFill="1" applyBorder="1"/>
    <xf numFmtId="0" fontId="0" fillId="10" borderId="0" xfId="0" applyFill="1"/>
    <xf numFmtId="0" fontId="0" fillId="10" borderId="15" xfId="0" applyFill="1" applyBorder="1"/>
    <xf numFmtId="0" fontId="0" fillId="5" borderId="0" xfId="0" applyFill="1" applyAlignment="1">
      <alignment horizontal="center"/>
    </xf>
    <xf numFmtId="0" fontId="0" fillId="5" borderId="15" xfId="0" applyFill="1" applyBorder="1" applyAlignment="1">
      <alignment horizontal="center"/>
    </xf>
    <xf numFmtId="0" fontId="2" fillId="5" borderId="20" xfId="0" applyFont="1" applyFill="1" applyBorder="1" applyAlignment="1">
      <alignment horizontal="right"/>
    </xf>
    <xf numFmtId="0" fontId="0" fillId="9" borderId="25" xfId="0" applyFill="1" applyBorder="1"/>
    <xf numFmtId="0" fontId="0" fillId="9" borderId="26" xfId="0" applyFill="1" applyBorder="1"/>
    <xf numFmtId="0" fontId="0" fillId="9" borderId="27" xfId="0" applyFill="1" applyBorder="1" applyAlignment="1">
      <alignment horizontal="center"/>
    </xf>
    <xf numFmtId="0" fontId="7" fillId="0" borderId="0" xfId="0" applyFont="1"/>
    <xf numFmtId="0" fontId="0" fillId="13" borderId="19" xfId="0" applyFill="1" applyBorder="1"/>
    <xf numFmtId="0" fontId="0" fillId="13" borderId="19" xfId="0" applyFill="1" applyBorder="1" applyAlignment="1">
      <alignment horizontal="center"/>
    </xf>
    <xf numFmtId="0" fontId="0" fillId="13" borderId="31" xfId="0" applyFill="1" applyBorder="1"/>
    <xf numFmtId="0" fontId="0" fillId="13" borderId="32" xfId="0" applyFill="1" applyBorder="1"/>
    <xf numFmtId="0" fontId="0" fillId="13" borderId="32" xfId="0" applyFill="1" applyBorder="1" applyAlignment="1">
      <alignment horizontal="center"/>
    </xf>
    <xf numFmtId="0" fontId="0" fillId="13" borderId="33" xfId="0" applyFill="1" applyBorder="1" applyAlignment="1">
      <alignment horizontal="center" vertical="center"/>
    </xf>
    <xf numFmtId="0" fontId="0" fillId="13" borderId="28" xfId="0" applyFill="1" applyBorder="1" applyAlignment="1">
      <alignment horizontal="center" vertical="center"/>
    </xf>
    <xf numFmtId="0" fontId="0" fillId="13" borderId="29" xfId="0" applyFill="1" applyBorder="1"/>
    <xf numFmtId="0" fontId="0" fillId="13" borderId="5" xfId="0" applyFill="1" applyBorder="1"/>
    <xf numFmtId="0" fontId="0" fillId="13" borderId="28" xfId="0" applyFill="1" applyBorder="1"/>
    <xf numFmtId="14" fontId="0" fillId="13" borderId="30" xfId="0" applyNumberFormat="1" applyFill="1" applyBorder="1"/>
    <xf numFmtId="0" fontId="0" fillId="0" borderId="2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/>
    </xf>
    <xf numFmtId="0" fontId="0" fillId="12" borderId="11" xfId="0" applyFill="1" applyBorder="1" applyAlignment="1">
      <alignment horizontal="center"/>
    </xf>
    <xf numFmtId="0" fontId="0" fillId="12" borderId="11" xfId="0" applyFill="1" applyBorder="1"/>
    <xf numFmtId="0" fontId="0" fillId="12" borderId="3" xfId="0" applyFill="1" applyBorder="1"/>
    <xf numFmtId="0" fontId="2" fillId="14" borderId="2" xfId="0" applyFont="1" applyFill="1" applyBorder="1" applyAlignment="1">
      <alignment vertical="center" wrapText="1"/>
    </xf>
    <xf numFmtId="0" fontId="2" fillId="14" borderId="3" xfId="0" applyFont="1" applyFill="1" applyBorder="1" applyAlignment="1">
      <alignment horizontal="left" vertical="center"/>
    </xf>
    <xf numFmtId="0" fontId="1" fillId="0" borderId="0" xfId="0" applyFont="1"/>
    <xf numFmtId="0" fontId="12" fillId="0" borderId="0" xfId="0" applyFont="1"/>
    <xf numFmtId="0" fontId="12" fillId="0" borderId="37" xfId="0" applyFont="1" applyBorder="1"/>
    <xf numFmtId="0" fontId="13" fillId="0" borderId="20" xfId="0" applyFont="1" applyBorder="1"/>
    <xf numFmtId="0" fontId="13" fillId="0" borderId="9" xfId="0" applyFont="1" applyBorder="1"/>
    <xf numFmtId="0" fontId="13" fillId="0" borderId="0" xfId="0" applyFont="1"/>
    <xf numFmtId="0" fontId="14" fillId="0" borderId="36" xfId="0" applyFont="1" applyBorder="1"/>
    <xf numFmtId="0" fontId="14" fillId="0" borderId="0" xfId="0" applyFont="1"/>
    <xf numFmtId="0" fontId="9" fillId="2" borderId="37" xfId="0" applyFont="1" applyFill="1" applyBorder="1" applyAlignment="1">
      <alignment horizontal="center" vertical="center" wrapText="1"/>
    </xf>
    <xf numFmtId="0" fontId="9" fillId="2" borderId="40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 wrapText="1"/>
    </xf>
    <xf numFmtId="0" fontId="9" fillId="2" borderId="41" xfId="0" applyFont="1" applyFill="1" applyBorder="1" applyAlignment="1">
      <alignment horizontal="center" vertical="center" wrapText="1"/>
    </xf>
    <xf numFmtId="0" fontId="9" fillId="6" borderId="42" xfId="0" applyFont="1" applyFill="1" applyBorder="1" applyAlignment="1">
      <alignment horizontal="center" vertical="center" wrapText="1"/>
    </xf>
    <xf numFmtId="0" fontId="10" fillId="6" borderId="40" xfId="0" applyFont="1" applyFill="1" applyBorder="1" applyAlignment="1">
      <alignment horizontal="center" vertical="center" wrapText="1"/>
    </xf>
    <xf numFmtId="0" fontId="9" fillId="7" borderId="40" xfId="0" applyFont="1" applyFill="1" applyBorder="1" applyAlignment="1">
      <alignment horizontal="center" vertical="center" wrapText="1"/>
    </xf>
    <xf numFmtId="0" fontId="10" fillId="7" borderId="40" xfId="0" applyFont="1" applyFill="1" applyBorder="1" applyAlignment="1">
      <alignment horizontal="center" vertical="center" wrapText="1"/>
    </xf>
    <xf numFmtId="0" fontId="9" fillId="6" borderId="40" xfId="0" applyFont="1" applyFill="1" applyBorder="1" applyAlignment="1">
      <alignment horizontal="center" vertical="center" wrapText="1"/>
    </xf>
    <xf numFmtId="0" fontId="10" fillId="7" borderId="41" xfId="0" applyFont="1" applyFill="1" applyBorder="1" applyAlignment="1">
      <alignment horizontal="center" vertical="center" wrapText="1"/>
    </xf>
    <xf numFmtId="0" fontId="9" fillId="15" borderId="42" xfId="0" applyFont="1" applyFill="1" applyBorder="1" applyAlignment="1">
      <alignment horizontal="center" vertical="center" wrapText="1"/>
    </xf>
    <xf numFmtId="0" fontId="9" fillId="16" borderId="41" xfId="0" applyFont="1" applyFill="1" applyBorder="1" applyAlignment="1">
      <alignment horizontal="center" vertical="center" wrapText="1"/>
    </xf>
    <xf numFmtId="0" fontId="10" fillId="7" borderId="43" xfId="0" applyFont="1" applyFill="1" applyBorder="1" applyAlignment="1">
      <alignment horizontal="center" vertical="center" wrapText="1"/>
    </xf>
    <xf numFmtId="0" fontId="11" fillId="6" borderId="44" xfId="0" applyFont="1" applyFill="1" applyBorder="1" applyAlignment="1">
      <alignment horizontal="center" vertical="center" wrapText="1"/>
    </xf>
    <xf numFmtId="0" fontId="11" fillId="7" borderId="39" xfId="0" applyFont="1" applyFill="1" applyBorder="1" applyAlignment="1">
      <alignment horizontal="center" vertical="center" wrapText="1"/>
    </xf>
    <xf numFmtId="0" fontId="12" fillId="0" borderId="45" xfId="0" applyFont="1" applyBorder="1"/>
    <xf numFmtId="0" fontId="12" fillId="0" borderId="46" xfId="0" applyFont="1" applyBorder="1"/>
    <xf numFmtId="0" fontId="13" fillId="0" borderId="46" xfId="0" applyFont="1" applyBorder="1"/>
    <xf numFmtId="0" fontId="14" fillId="0" borderId="46" xfId="0" applyFont="1" applyBorder="1"/>
    <xf numFmtId="0" fontId="14" fillId="0" borderId="47" xfId="0" applyFont="1" applyBorder="1"/>
    <xf numFmtId="0" fontId="15" fillId="0" borderId="0" xfId="0" applyFont="1"/>
    <xf numFmtId="0" fontId="0" fillId="21" borderId="48" xfId="0" applyFill="1" applyBorder="1" applyAlignment="1">
      <alignment horizontal="right"/>
    </xf>
    <xf numFmtId="0" fontId="16" fillId="20" borderId="15" xfId="0" applyFont="1" applyFill="1" applyBorder="1" applyAlignment="1">
      <alignment horizontal="center" vertical="center"/>
    </xf>
    <xf numFmtId="0" fontId="0" fillId="0" borderId="49" xfId="0" applyBorder="1" applyAlignment="1">
      <alignment horizontal="right"/>
    </xf>
    <xf numFmtId="0" fontId="0" fillId="0" borderId="37" xfId="0" applyBorder="1"/>
    <xf numFmtId="0" fontId="0" fillId="0" borderId="40" xfId="0" applyBorder="1"/>
    <xf numFmtId="0" fontId="0" fillId="0" borderId="39" xfId="0" applyBorder="1" applyAlignment="1">
      <alignment horizontal="center"/>
    </xf>
    <xf numFmtId="0" fontId="7" fillId="0" borderId="37" xfId="0" applyFont="1" applyBorder="1"/>
    <xf numFmtId="0" fontId="7" fillId="0" borderId="40" xfId="0" applyFont="1" applyBorder="1"/>
    <xf numFmtId="0" fontId="7" fillId="0" borderId="39" xfId="0" applyFont="1" applyBorder="1" applyAlignment="1">
      <alignment horizontal="center"/>
    </xf>
    <xf numFmtId="0" fontId="0" fillId="21" borderId="0" xfId="0" applyFill="1" applyAlignment="1">
      <alignment horizontal="right"/>
    </xf>
    <xf numFmtId="0" fontId="16" fillId="20" borderId="0" xfId="0" applyFont="1" applyFill="1" applyAlignment="1">
      <alignment horizontal="left" vertical="center"/>
    </xf>
    <xf numFmtId="0" fontId="0" fillId="0" borderId="14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52" xfId="0" applyBorder="1"/>
    <xf numFmtId="0" fontId="0" fillId="0" borderId="53" xfId="0" applyBorder="1"/>
    <xf numFmtId="0" fontId="0" fillId="0" borderId="29" xfId="0" applyBorder="1"/>
    <xf numFmtId="0" fontId="0" fillId="0" borderId="51" xfId="0" applyBorder="1"/>
    <xf numFmtId="0" fontId="0" fillId="0" borderId="50" xfId="0" applyBorder="1"/>
    <xf numFmtId="0" fontId="0" fillId="0" borderId="30" xfId="0" applyBorder="1"/>
    <xf numFmtId="0" fontId="14" fillId="0" borderId="58" xfId="0" applyFont="1" applyBorder="1"/>
    <xf numFmtId="0" fontId="12" fillId="0" borderId="58" xfId="0" applyFont="1" applyBorder="1"/>
    <xf numFmtId="0" fontId="13" fillId="0" borderId="58" xfId="0" applyFont="1" applyBorder="1"/>
    <xf numFmtId="0" fontId="12" fillId="0" borderId="59" xfId="0" applyFont="1" applyBorder="1"/>
    <xf numFmtId="0" fontId="12" fillId="0" borderId="60" xfId="0" applyFont="1" applyBorder="1"/>
    <xf numFmtId="0" fontId="13" fillId="0" borderId="60" xfId="0" applyFont="1" applyBorder="1"/>
    <xf numFmtId="0" fontId="14" fillId="0" borderId="60" xfId="0" applyFont="1" applyBorder="1"/>
    <xf numFmtId="0" fontId="14" fillId="0" borderId="61" xfId="0" applyFont="1" applyBorder="1"/>
    <xf numFmtId="0" fontId="12" fillId="0" borderId="61" xfId="0" applyFont="1" applyBorder="1"/>
    <xf numFmtId="0" fontId="13" fillId="0" borderId="61" xfId="0" applyFont="1" applyBorder="1"/>
    <xf numFmtId="0" fontId="12" fillId="0" borderId="62" xfId="0" applyFont="1" applyBorder="1"/>
    <xf numFmtId="0" fontId="12" fillId="0" borderId="63" xfId="0" applyFont="1" applyBorder="1"/>
    <xf numFmtId="0" fontId="13" fillId="0" borderId="63" xfId="0" applyFont="1" applyBorder="1"/>
    <xf numFmtId="0" fontId="14" fillId="0" borderId="63" xfId="0" applyFont="1" applyBorder="1"/>
    <xf numFmtId="0" fontId="14" fillId="0" borderId="64" xfId="0" applyFont="1" applyBorder="1"/>
    <xf numFmtId="0" fontId="12" fillId="0" borderId="64" xfId="0" applyFont="1" applyBorder="1"/>
    <xf numFmtId="0" fontId="13" fillId="0" borderId="64" xfId="0" applyFont="1" applyBorder="1"/>
    <xf numFmtId="0" fontId="0" fillId="5" borderId="11" xfId="0" applyFill="1" applyBorder="1"/>
    <xf numFmtId="0" fontId="0" fillId="5" borderId="3" xfId="0" applyFill="1" applyBorder="1"/>
    <xf numFmtId="0" fontId="0" fillId="5" borderId="19" xfId="0" applyFill="1" applyBorder="1"/>
    <xf numFmtId="0" fontId="0" fillId="5" borderId="8" xfId="0" applyFill="1" applyBorder="1"/>
    <xf numFmtId="0" fontId="0" fillId="5" borderId="65" xfId="0" applyFill="1" applyBorder="1"/>
    <xf numFmtId="0" fontId="0" fillId="5" borderId="66" xfId="0" applyFill="1" applyBorder="1"/>
    <xf numFmtId="0" fontId="0" fillId="5" borderId="52" xfId="0" applyFill="1" applyBorder="1"/>
    <xf numFmtId="0" fontId="0" fillId="10" borderId="20" xfId="0" applyFill="1" applyBorder="1" applyAlignment="1">
      <alignment vertical="top"/>
    </xf>
    <xf numFmtId="0" fontId="0" fillId="13" borderId="3" xfId="0" applyFill="1" applyBorder="1"/>
    <xf numFmtId="0" fontId="0" fillId="13" borderId="65" xfId="0" applyFill="1" applyBorder="1" applyAlignment="1">
      <alignment horizontal="center"/>
    </xf>
    <xf numFmtId="0" fontId="0" fillId="13" borderId="8" xfId="0" applyFill="1" applyBorder="1" applyAlignment="1">
      <alignment horizontal="left"/>
    </xf>
    <xf numFmtId="0" fontId="0" fillId="13" borderId="67" xfId="0" applyFill="1" applyBorder="1" applyAlignment="1">
      <alignment horizontal="left"/>
    </xf>
    <xf numFmtId="0" fontId="0" fillId="13" borderId="53" xfId="0" applyFill="1" applyBorder="1" applyAlignment="1">
      <alignment horizontal="left" vertical="center"/>
    </xf>
    <xf numFmtId="0" fontId="1" fillId="13" borderId="50" xfId="0" applyFont="1" applyFill="1" applyBorder="1" applyAlignment="1">
      <alignment horizontal="center"/>
    </xf>
    <xf numFmtId="0" fontId="1" fillId="13" borderId="52" xfId="0" applyFont="1" applyFill="1" applyBorder="1" applyAlignment="1">
      <alignment horizontal="center" vertical="center"/>
    </xf>
    <xf numFmtId="0" fontId="1" fillId="13" borderId="65" xfId="0" applyFont="1" applyFill="1" applyBorder="1" applyAlignment="1">
      <alignment horizontal="center"/>
    </xf>
    <xf numFmtId="0" fontId="1" fillId="13" borderId="2" xfId="0" applyFont="1" applyFill="1" applyBorder="1" applyAlignment="1">
      <alignment horizontal="center"/>
    </xf>
    <xf numFmtId="14" fontId="0" fillId="13" borderId="67" xfId="0" applyNumberFormat="1" applyFill="1" applyBorder="1" applyAlignment="1">
      <alignment horizontal="left"/>
    </xf>
    <xf numFmtId="0" fontId="0" fillId="25" borderId="8" xfId="0" applyFill="1" applyBorder="1"/>
    <xf numFmtId="0" fontId="0" fillId="25" borderId="9" xfId="0" applyFill="1" applyBorder="1"/>
    <xf numFmtId="0" fontId="0" fillId="25" borderId="10" xfId="0" applyFill="1" applyBorder="1"/>
    <xf numFmtId="0" fontId="0" fillId="25" borderId="19" xfId="0" applyFill="1" applyBorder="1"/>
    <xf numFmtId="0" fontId="0" fillId="25" borderId="0" xfId="0" applyFill="1" applyAlignment="1">
      <alignment horizontal="center"/>
    </xf>
    <xf numFmtId="0" fontId="0" fillId="25" borderId="0" xfId="0" applyFill="1"/>
    <xf numFmtId="0" fontId="0" fillId="25" borderId="24" xfId="0" applyFill="1" applyBorder="1"/>
    <xf numFmtId="0" fontId="0" fillId="25" borderId="20" xfId="0" applyFill="1" applyBorder="1"/>
    <xf numFmtId="0" fontId="0" fillId="25" borderId="14" xfId="0" applyFill="1" applyBorder="1"/>
    <xf numFmtId="0" fontId="0" fillId="25" borderId="15" xfId="0" applyFill="1" applyBorder="1"/>
    <xf numFmtId="0" fontId="1" fillId="24" borderId="2" xfId="0" applyFont="1" applyFill="1" applyBorder="1" applyAlignment="1">
      <alignment horizontal="center"/>
    </xf>
    <xf numFmtId="0" fontId="1" fillId="24" borderId="11" xfId="0" applyFont="1" applyFill="1" applyBorder="1" applyAlignment="1">
      <alignment horizontal="center"/>
    </xf>
    <xf numFmtId="0" fontId="1" fillId="24" borderId="3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7" fillId="22" borderId="52" xfId="0" applyFont="1" applyFill="1" applyBorder="1" applyAlignment="1">
      <alignment horizontal="center" vertical="center"/>
    </xf>
    <xf numFmtId="0" fontId="17" fillId="22" borderId="57" xfId="0" applyFont="1" applyFill="1" applyBorder="1" applyAlignment="1">
      <alignment horizontal="center" vertical="center"/>
    </xf>
    <xf numFmtId="0" fontId="17" fillId="22" borderId="53" xfId="0" applyFont="1" applyFill="1" applyBorder="1" applyAlignment="1">
      <alignment horizontal="center" vertical="center"/>
    </xf>
    <xf numFmtId="0" fontId="0" fillId="23" borderId="54" xfId="0" applyFill="1" applyBorder="1" applyAlignment="1">
      <alignment horizontal="center" vertical="center"/>
    </xf>
    <xf numFmtId="0" fontId="0" fillId="23" borderId="55" xfId="0" applyFill="1" applyBorder="1" applyAlignment="1">
      <alignment horizontal="center" vertical="center"/>
    </xf>
    <xf numFmtId="0" fontId="0" fillId="23" borderId="56" xfId="0" applyFill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47" xfId="0" applyBorder="1" applyAlignment="1">
      <alignment horizontal="left" vertical="center"/>
    </xf>
    <xf numFmtId="0" fontId="0" fillId="0" borderId="51" xfId="0" applyBorder="1" applyAlignment="1">
      <alignment horizontal="left" vertical="center"/>
    </xf>
    <xf numFmtId="0" fontId="0" fillId="23" borderId="6" xfId="0" applyFill="1" applyBorder="1" applyAlignment="1">
      <alignment horizontal="left" vertical="center"/>
    </xf>
    <xf numFmtId="0" fontId="0" fillId="23" borderId="47" xfId="0" applyFill="1" applyBorder="1" applyAlignment="1">
      <alignment horizontal="left" vertical="center"/>
    </xf>
    <xf numFmtId="0" fontId="0" fillId="23" borderId="51" xfId="0" applyFill="1" applyBorder="1" applyAlignment="1">
      <alignment horizontal="left" vertical="center"/>
    </xf>
    <xf numFmtId="0" fontId="0" fillId="0" borderId="50" xfId="0" applyBorder="1" applyAlignment="1">
      <alignment horizontal="left" vertical="center"/>
    </xf>
    <xf numFmtId="0" fontId="0" fillId="0" borderId="28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3" fillId="18" borderId="2" xfId="0" applyFont="1" applyFill="1" applyBorder="1" applyAlignment="1">
      <alignment horizontal="center" vertical="center"/>
    </xf>
    <xf numFmtId="0" fontId="3" fillId="18" borderId="3" xfId="0" applyFont="1" applyFill="1" applyBorder="1" applyAlignment="1">
      <alignment horizontal="center" vertical="center"/>
    </xf>
    <xf numFmtId="0" fontId="8" fillId="17" borderId="2" xfId="0" applyFont="1" applyFill="1" applyBorder="1" applyAlignment="1">
      <alignment horizontal="center" vertical="center"/>
    </xf>
    <xf numFmtId="0" fontId="8" fillId="17" borderId="11" xfId="0" applyFont="1" applyFill="1" applyBorder="1" applyAlignment="1">
      <alignment horizontal="center" vertical="center"/>
    </xf>
    <xf numFmtId="0" fontId="8" fillId="17" borderId="38" xfId="0" applyFont="1" applyFill="1" applyBorder="1" applyAlignment="1">
      <alignment horizontal="center" vertical="center"/>
    </xf>
    <xf numFmtId="0" fontId="4" fillId="19" borderId="34" xfId="0" applyFont="1" applyFill="1" applyBorder="1" applyAlignment="1">
      <alignment horizontal="center" vertical="center"/>
    </xf>
    <xf numFmtId="0" fontId="4" fillId="19" borderId="35" xfId="0" applyFont="1" applyFill="1" applyBorder="1" applyAlignment="1">
      <alignment horizontal="center" vertical="center"/>
    </xf>
    <xf numFmtId="0" fontId="3" fillId="17" borderId="2" xfId="0" applyFont="1" applyFill="1" applyBorder="1" applyAlignment="1">
      <alignment horizontal="center" vertical="center"/>
    </xf>
    <xf numFmtId="0" fontId="3" fillId="17" borderId="11" xfId="0" applyFont="1" applyFill="1" applyBorder="1" applyAlignment="1">
      <alignment horizontal="center" vertical="center"/>
    </xf>
    <xf numFmtId="0" fontId="3" fillId="17" borderId="23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17" borderId="2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0" fillId="0" borderId="0" xfId="0" applyFont="1"/>
    <xf numFmtId="22" fontId="0" fillId="0" borderId="0" xfId="0" applyNumberFormat="1" applyFont="1"/>
  </cellXfs>
  <cellStyles count="1">
    <cellStyle name="Normal" xfId="0" builtinId="0"/>
  </cellStyles>
  <dxfs count="12556"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24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/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outline="0">
        <left style="medium">
          <color auto="1"/>
        </left>
        <right style="medium">
          <color indexed="64"/>
        </right>
        <top style="medium">
          <color auto="1"/>
        </top>
        <bottom style="thin">
          <color theme="1"/>
        </bottom>
      </border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alignment horizontal="right" vertical="bottom" textRotation="0" wrapText="0" indent="0" justifyLastLine="0" shrinkToFit="0" readingOrder="0"/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wrapText="0" indent="0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 outline="0">
        <bottom style="medium">
          <color auto="1"/>
        </bottom>
      </border>
    </dxf>
  </dxfs>
  <tableStyles count="0" defaultTableStyle="TableStyleMedium2" defaultPivotStyle="PivotStyleLight16"/>
  <colors>
    <mruColors>
      <color rgb="FFDEDEDE"/>
      <color rgb="FFCCCCFF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Lines="70" dropStyle="combo" dx="16" fmlaLink="TourSelected" fmlaRange="ListTours" sel="7" val="0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Drop" dropLines="70" dropStyle="combo" dx="16" fmlaLink="$F$13" fmlaRange="$AB$8:$AB$10" sel="3" val="0"/>
</file>

<file path=xl/ctrlProps/ctrlProp13.xml><?xml version="1.0" encoding="utf-8"?>
<formControlPr xmlns="http://schemas.microsoft.com/office/spreadsheetml/2009/9/main" objectType="CheckBox" fmlaLink="$D$9" lockText="1" noThreeD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needpix.com/photo/23081/radioactivity-signs-nuclear-warning-symbol-danger-hazard-icon-radiation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22413</xdr:colOff>
      <xdr:row>9</xdr:row>
      <xdr:rowOff>123265</xdr:rowOff>
    </xdr:from>
    <xdr:to>
      <xdr:col>17</xdr:col>
      <xdr:colOff>717176</xdr:colOff>
      <xdr:row>13</xdr:row>
      <xdr:rowOff>89647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3066060" y="2229971"/>
          <a:ext cx="1490381" cy="1075764"/>
        </a:xfrm>
        <a:prstGeom prst="rect">
          <a:avLst/>
        </a:prstGeom>
        <a:gradFill flip="none" rotWithShape="1">
          <a:gsLst>
            <a:gs pos="0">
              <a:schemeClr val="accent5">
                <a:lumMod val="0"/>
                <a:lumOff val="100000"/>
              </a:schemeClr>
            </a:gs>
            <a:gs pos="35000">
              <a:schemeClr val="accent5">
                <a:lumMod val="0"/>
                <a:lumOff val="100000"/>
              </a:schemeClr>
            </a:gs>
            <a:gs pos="100000">
              <a:schemeClr val="accent5">
                <a:lumMod val="75000"/>
              </a:schemeClr>
            </a:gs>
          </a:gsLst>
          <a:lin ang="2700000" scaled="1"/>
          <a:tileRect/>
        </a:gradFill>
        <a:ln w="25400">
          <a:solidFill>
            <a:schemeClr val="accent6">
              <a:lumMod val="50000"/>
              <a:alpha val="57000"/>
            </a:schemeClr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134471</xdr:colOff>
      <xdr:row>8</xdr:row>
      <xdr:rowOff>107574</xdr:rowOff>
    </xdr:from>
    <xdr:to>
      <xdr:col>6</xdr:col>
      <xdr:colOff>313765</xdr:colOff>
      <xdr:row>9</xdr:row>
      <xdr:rowOff>470647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2790265" y="2012574"/>
          <a:ext cx="3238500" cy="564779"/>
          <a:chOff x="3312459" y="2012574"/>
          <a:chExt cx="2716306" cy="564779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3312459" y="2012574"/>
            <a:ext cx="2716306" cy="564779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rgbClr val="CC9900"/>
              </a:gs>
            </a:gsLst>
            <a:lin ang="2700000" scaled="1"/>
            <a:tileRect/>
          </a:gradFill>
          <a:ln w="25400">
            <a:solidFill>
              <a:schemeClr val="accent6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" name="Button 20" hidden="1">
                <a:extLst>
                  <a:ext uri="{63B3BB69-23CF-44E3-9099-C40C66FF867C}">
                    <a14:compatExt spid="_x0000_s1044"/>
                  </a:ext>
                  <a:ext uri="{FF2B5EF4-FFF2-40B4-BE49-F238E27FC236}">
                    <a16:creationId xmlns:a16="http://schemas.microsoft.com/office/drawing/2014/main" id="{00000000-0008-0000-0000-000014040000}"/>
                  </a:ext>
                </a:extLst>
              </xdr:cNvPr>
              <xdr:cNvSpPr/>
            </xdr:nvSpPr>
            <xdr:spPr bwMode="auto">
              <a:xfrm>
                <a:off x="3389219" y="2076450"/>
                <a:ext cx="2573431" cy="45888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fichier "2d. Extraction XLS globale.xlsx "</a:t>
                </a:r>
              </a:p>
              <a:p>
                <a:pPr algn="ctr" rtl="0">
                  <a:defRPr sz="1000"/>
                </a:pPr>
                <a:r>
                  <a:rPr lang="fr-FR"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+ Généré Tour</a:t>
                </a:r>
              </a:p>
              <a:p>
                <a:pPr algn="ctr" rtl="0">
                  <a:defRPr sz="1000"/>
                </a:pPr>
                <a:endPara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5</xdr:row>
          <xdr:rowOff>238125</xdr:rowOff>
        </xdr:from>
        <xdr:to>
          <xdr:col>3</xdr:col>
          <xdr:colOff>1571625</xdr:colOff>
          <xdr:row>9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</a:t>
              </a:r>
            </a:p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Tous les tours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5</xdr:row>
      <xdr:rowOff>352425</xdr:rowOff>
    </xdr:from>
    <xdr:to>
      <xdr:col>2</xdr:col>
      <xdr:colOff>66675</xdr:colOff>
      <xdr:row>8</xdr:row>
      <xdr:rowOff>152400</xdr:rowOff>
    </xdr:to>
    <xdr:sp macro="" textlink="">
      <xdr:nvSpPr>
        <xdr:cNvPr id="32" name="Flèche : droit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171450" y="1419225"/>
          <a:ext cx="447675" cy="628650"/>
        </a:xfrm>
        <a:prstGeom prst="righ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 1</a:t>
          </a:r>
        </a:p>
      </xdr:txBody>
    </xdr:sp>
    <xdr:clientData/>
  </xdr:twoCellAnchor>
  <xdr:twoCellAnchor>
    <xdr:from>
      <xdr:col>11</xdr:col>
      <xdr:colOff>109113</xdr:colOff>
      <xdr:row>5</xdr:row>
      <xdr:rowOff>162806</xdr:rowOff>
    </xdr:from>
    <xdr:to>
      <xdr:col>13</xdr:col>
      <xdr:colOff>2142004</xdr:colOff>
      <xdr:row>9</xdr:row>
      <xdr:rowOff>344870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7986848" y="1238571"/>
          <a:ext cx="4139597" cy="1213005"/>
          <a:chOff x="8439149" y="1257300"/>
          <a:chExt cx="4581527" cy="1200151"/>
        </a:xfrm>
      </xdr:grpSpPr>
      <xdr:grpSp>
        <xdr:nvGrpSpPr>
          <xdr:cNvPr id="7" name="Group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8439149" y="1257313"/>
            <a:ext cx="4533904" cy="1200138"/>
            <a:chOff x="7698064" y="870461"/>
            <a:chExt cx="3897983" cy="1007499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26" name="Button 2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000-000002040000}"/>
                    </a:ext>
                  </a:extLst>
                </xdr:cNvPr>
                <xdr:cNvSpPr/>
              </xdr:nvSpPr>
              <xdr:spPr bwMode="auto">
                <a:xfrm>
                  <a:off x="7698064" y="870461"/>
                  <a:ext cx="1948990" cy="38381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fr-FR" sz="12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rPr>
                    <a:t>EFFACER L'IMPORT</a:t>
                  </a:r>
                </a:p>
              </xdr:txBody>
            </xdr:sp>
          </mc:Choice>
          <mc:Fallback/>
        </mc:AlternateContent>
        <xdr:grpSp>
          <xdr:nvGrpSpPr>
            <xdr:cNvPr id="6" name="Groupe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pSpPr/>
          </xdr:nvGrpSpPr>
          <xdr:grpSpPr>
            <a:xfrm>
              <a:off x="7724775" y="1535062"/>
              <a:ext cx="3871272" cy="342898"/>
              <a:chOff x="7724775" y="1535062"/>
              <a:chExt cx="3871272" cy="342898"/>
            </a:xfrm>
          </xdr:grpSpPr>
          <xdr:grpSp>
            <xdr:nvGrpSpPr>
              <xdr:cNvPr id="5" name="Groupe 4">
                <a:extLst>
                  <a:ext uri="{FF2B5EF4-FFF2-40B4-BE49-F238E27FC236}">
                    <a16:creationId xmlns:a16="http://schemas.microsoft.com/office/drawing/2014/main" id="{00000000-0008-0000-0000-000005000000}"/>
                  </a:ext>
                </a:extLst>
              </xdr:cNvPr>
              <xdr:cNvGrpSpPr/>
            </xdr:nvGrpSpPr>
            <xdr:grpSpPr>
              <a:xfrm>
                <a:off x="7724775" y="1544583"/>
                <a:ext cx="1790724" cy="333376"/>
                <a:chOff x="7724775" y="1544583"/>
                <a:chExt cx="1790724" cy="333376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7" name="Button 3" hidden="1">
                      <a:extLst>
                        <a:ext uri="{63B3BB69-23CF-44E3-9099-C40C66FF867C}">
                          <a14:compatExt spid="_x0000_s1027"/>
                        </a:ext>
                        <a:ext uri="{FF2B5EF4-FFF2-40B4-BE49-F238E27FC236}">
                          <a16:creationId xmlns:a16="http://schemas.microsoft.com/office/drawing/2014/main" id="{00000000-0008-0000-0000-000003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7724775" y="1544583"/>
                      <a:ext cx="1790724" cy="333376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ea typeface="Calibri"/>
                          <a:cs typeface="Calibri"/>
                        </a:rPr>
                        <a:t>        EFFACER RESULTATS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8" name="Image 7">
                  <a:extLst>
                    <a:ext uri="{FF2B5EF4-FFF2-40B4-BE49-F238E27FC236}">
                      <a16:creationId xmlns:a16="http://schemas.microsoft.com/office/drawing/2014/main" id="{00000000-0008-0000-0000-000008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791451" y="1573164"/>
                  <a:ext cx="281990" cy="257175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4" name="Groupe 3">
                <a:extLst>
                  <a:ext uri="{FF2B5EF4-FFF2-40B4-BE49-F238E27FC236}">
                    <a16:creationId xmlns:a16="http://schemas.microsoft.com/office/drawing/2014/main" id="{00000000-0008-0000-0000-000004000000}"/>
                  </a:ext>
                </a:extLst>
              </xdr:cNvPr>
              <xdr:cNvGrpSpPr/>
            </xdr:nvGrpSpPr>
            <xdr:grpSpPr>
              <a:xfrm>
                <a:off x="9999771" y="1535062"/>
                <a:ext cx="1596276" cy="342898"/>
                <a:chOff x="9999771" y="1535062"/>
                <a:chExt cx="1596276" cy="342898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8" name="Button 4" hidden="1">
                      <a:extLst>
                        <a:ext uri="{63B3BB69-23CF-44E3-9099-C40C66FF867C}">
                          <a14:compatExt spid="_x0000_s1028"/>
                        </a:ext>
                        <a:ext uri="{FF2B5EF4-FFF2-40B4-BE49-F238E27FC236}">
                          <a16:creationId xmlns:a16="http://schemas.microsoft.com/office/drawing/2014/main" id="{00000000-0008-0000-0000-000004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9999771" y="1535062"/>
                      <a:ext cx="1596276" cy="342898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ea typeface="Calibri"/>
                          <a:cs typeface="Calibri"/>
                        </a:rPr>
                        <a:t>        EFFACER ALL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9" name="Image 8">
                  <a:extLst>
                    <a:ext uri="{FF2B5EF4-FFF2-40B4-BE49-F238E27FC236}">
                      <a16:creationId xmlns:a16="http://schemas.microsoft.com/office/drawing/2014/main" id="{00000000-0008-0000-0000-000009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10180766" y="1573160"/>
                  <a:ext cx="281990" cy="257175"/>
                </a:xfrm>
                <a:prstGeom prst="rect">
                  <a:avLst/>
                </a:prstGeom>
              </xdr:spPr>
            </xdr:pic>
          </xdr:grpSp>
        </xdr:grp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8" name="Button 14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000-00000E040000}"/>
                  </a:ext>
                </a:extLst>
              </xdr:cNvPr>
              <xdr:cNvSpPr/>
            </xdr:nvSpPr>
            <xdr:spPr bwMode="auto">
              <a:xfrm>
                <a:off x="10896601" y="1257300"/>
                <a:ext cx="2124075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EFFACER L'IMPORT (forced)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4</xdr:col>
      <xdr:colOff>289663</xdr:colOff>
      <xdr:row>5</xdr:row>
      <xdr:rowOff>44824</xdr:rowOff>
    </xdr:from>
    <xdr:to>
      <xdr:col>4</xdr:col>
      <xdr:colOff>738442</xdr:colOff>
      <xdr:row>6</xdr:row>
      <xdr:rowOff>147032</xdr:rowOff>
    </xdr:to>
    <xdr:sp macro="" textlink="">
      <xdr:nvSpPr>
        <xdr:cNvPr id="38" name="Flèche : droit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2945457" y="1120589"/>
          <a:ext cx="448779" cy="460796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 </a:t>
          </a:r>
          <a:r>
            <a:rPr lang="fr-FR" sz="1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1</a:t>
          </a:r>
          <a:endParaRPr lang="fr-FR" sz="1600" b="1" cap="none" spc="0">
            <a:ln w="22225">
              <a:solidFill>
                <a:schemeClr val="accent2"/>
              </a:solidFill>
              <a:prstDash val="solid"/>
            </a:ln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5</xdr:col>
      <xdr:colOff>33618</xdr:colOff>
      <xdr:row>5</xdr:row>
      <xdr:rowOff>56028</xdr:rowOff>
    </xdr:from>
    <xdr:to>
      <xdr:col>6</xdr:col>
      <xdr:colOff>11206</xdr:colOff>
      <xdr:row>6</xdr:row>
      <xdr:rowOff>156882</xdr:rowOff>
    </xdr:to>
    <xdr:grpSp>
      <xdr:nvGrpSpPr>
        <xdr:cNvPr id="22" name="Group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4941794" y="1131793"/>
          <a:ext cx="784412" cy="459442"/>
          <a:chOff x="4941794" y="1131793"/>
          <a:chExt cx="784412" cy="459442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SpPr/>
        </xdr:nvSpPr>
        <xdr:spPr>
          <a:xfrm>
            <a:off x="4941794" y="1131793"/>
            <a:ext cx="784412" cy="459442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rgbClr val="CC9900"/>
              </a:gs>
            </a:gsLst>
            <a:lin ang="2700000" scaled="1"/>
            <a:tileRect/>
          </a:gradFill>
          <a:ln w="25400">
            <a:solidFill>
              <a:schemeClr val="accent6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6" name="Drop Down 12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000-00000C040000}"/>
                  </a:ext>
                </a:extLst>
              </xdr:cNvPr>
              <xdr:cNvSpPr/>
            </xdr:nvSpPr>
            <xdr:spPr bwMode="auto">
              <a:xfrm>
                <a:off x="5023328" y="1181363"/>
                <a:ext cx="639752" cy="31679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76200</xdr:rowOff>
        </xdr:from>
        <xdr:to>
          <xdr:col>9</xdr:col>
          <xdr:colOff>133350</xdr:colOff>
          <xdr:row>6</xdr:row>
          <xdr:rowOff>76200</xdr:rowOff>
        </xdr:to>
        <xdr:sp macro="" textlink="">
          <xdr:nvSpPr>
            <xdr:cNvPr id="1037" name="CmdImporter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les résultats</a:t>
              </a:r>
            </a:p>
            <a:p>
              <a:pPr algn="ctr" rtl="0">
                <a:defRPr sz="1000"/>
              </a:pPr>
              <a:r>
                <a:rPr lang="fr-FR" sz="8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individuellement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22412</xdr:colOff>
      <xdr:row>6</xdr:row>
      <xdr:rowOff>134468</xdr:rowOff>
    </xdr:from>
    <xdr:to>
      <xdr:col>9</xdr:col>
      <xdr:colOff>201706</xdr:colOff>
      <xdr:row>8</xdr:row>
      <xdr:rowOff>134470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6118412" y="1568821"/>
          <a:ext cx="1322294" cy="470649"/>
          <a:chOff x="6118412" y="1568821"/>
          <a:chExt cx="1322294" cy="470649"/>
        </a:xfrm>
      </xdr:grpSpPr>
      <xdr:sp macro="" textlink="">
        <xdr:nvSpPr>
          <xdr:cNvPr id="36" name="Rectangle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6118412" y="1568821"/>
            <a:ext cx="1311089" cy="470649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rgbClr val="CC9900"/>
              </a:gs>
            </a:gsLst>
            <a:lin ang="2700000" scaled="1"/>
            <a:tileRect/>
          </a:gradFill>
          <a:ln w="25400">
            <a:solidFill>
              <a:schemeClr val="accent6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9" name="CmdGenererFeuille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000-00000F040000}"/>
                  </a:ext>
                </a:extLst>
              </xdr:cNvPr>
              <xdr:cNvSpPr/>
            </xdr:nvSpPr>
            <xdr:spPr bwMode="auto">
              <a:xfrm>
                <a:off x="6241676" y="1613645"/>
                <a:ext cx="1199030" cy="34738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Généré Tour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7</xdr:col>
      <xdr:colOff>11206</xdr:colOff>
      <xdr:row>8</xdr:row>
      <xdr:rowOff>169769</xdr:rowOff>
    </xdr:from>
    <xdr:to>
      <xdr:col>9</xdr:col>
      <xdr:colOff>182656</xdr:colOff>
      <xdr:row>9</xdr:row>
      <xdr:rowOff>398369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6107206" y="2074769"/>
          <a:ext cx="1314450" cy="430306"/>
          <a:chOff x="6107206" y="2074769"/>
          <a:chExt cx="1314450" cy="430306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6107206" y="2074769"/>
            <a:ext cx="1314450" cy="430306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chemeClr val="accent5">
                  <a:lumMod val="100000"/>
                </a:schemeClr>
              </a:gs>
            </a:gsLst>
            <a:lin ang="2700000" scaled="1"/>
            <a:tileRect/>
          </a:gradFill>
          <a:ln w="3175">
            <a:solidFill>
              <a:schemeClr val="accent3">
                <a:shade val="50000"/>
                <a:alpha val="51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0" name="Drop Down 16" hidden="1">
                <a:extLst>
                  <a:ext uri="{63B3BB69-23CF-44E3-9099-C40C66FF867C}">
                    <a14:compatExt spid="_x0000_s1040"/>
                  </a:ext>
                  <a:ext uri="{FF2B5EF4-FFF2-40B4-BE49-F238E27FC236}">
                    <a16:creationId xmlns:a16="http://schemas.microsoft.com/office/drawing/2014/main" id="{00000000-0008-0000-0000-000010040000}"/>
                  </a:ext>
                </a:extLst>
              </xdr:cNvPr>
              <xdr:cNvSpPr/>
            </xdr:nvSpPr>
            <xdr:spPr bwMode="auto">
              <a:xfrm>
                <a:off x="6153150" y="2144806"/>
                <a:ext cx="1219200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66675</xdr:rowOff>
        </xdr:from>
        <xdr:to>
          <xdr:col>3</xdr:col>
          <xdr:colOff>1009650</xdr:colOff>
          <xdr:row>9</xdr:row>
          <xdr:rowOff>342900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nettoyer resultas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44824</xdr:colOff>
      <xdr:row>10</xdr:row>
      <xdr:rowOff>168088</xdr:rowOff>
    </xdr:from>
    <xdr:to>
      <xdr:col>10</xdr:col>
      <xdr:colOff>201706</xdr:colOff>
      <xdr:row>13</xdr:row>
      <xdr:rowOff>30490</xdr:rowOff>
    </xdr:to>
    <xdr:sp macro="" textlink="">
      <xdr:nvSpPr>
        <xdr:cNvPr id="15" name="Flèche : droit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140824" y="2801470"/>
          <a:ext cx="1557617" cy="445108"/>
        </a:xfrm>
        <a:prstGeom prst="rightArrow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 cap="none" spc="0">
              <a:ln w="952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/>
            </a:rPr>
            <a:t>a lamain      </a:t>
          </a:r>
          <a:r>
            <a:rPr lang="fr-FR" sz="1200" b="1" cap="none" spc="0">
              <a:ln w="952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/>
            </a:rPr>
            <a:t>2</a:t>
          </a:r>
          <a:endParaRPr lang="fr-FR" sz="1400" b="1" cap="none" spc="0">
            <a:ln w="9525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  <a:solidFill>
              <a:schemeClr val="accent4">
                <a:lumMod val="60000"/>
                <a:lumOff val="40000"/>
              </a:schemeClr>
            </a:solidFill>
            <a:effectLst/>
          </a:endParaRPr>
        </a:p>
      </xdr:txBody>
    </xdr:sp>
    <xdr:clientData/>
  </xdr:twoCellAnchor>
  <xdr:twoCellAnchor>
    <xdr:from>
      <xdr:col>4</xdr:col>
      <xdr:colOff>649942</xdr:colOff>
      <xdr:row>6</xdr:row>
      <xdr:rowOff>156882</xdr:rowOff>
    </xdr:from>
    <xdr:to>
      <xdr:col>4</xdr:col>
      <xdr:colOff>2095500</xdr:colOff>
      <xdr:row>8</xdr:row>
      <xdr:rowOff>56029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3305736" y="1591235"/>
          <a:ext cx="1445558" cy="369794"/>
          <a:chOff x="3305736" y="1591235"/>
          <a:chExt cx="1445558" cy="369794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Button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3322104" y="1613645"/>
                <a:ext cx="1406777" cy="14567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FR" sz="800" b="0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Clean + BRUT + NET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3316942" y="1792940"/>
                <a:ext cx="1411940" cy="1456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FR" sz="800" b="0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BRUT + NET</a:t>
                </a:r>
              </a:p>
            </xdr:txBody>
          </xdr:sp>
        </mc:Choice>
        <mc:Fallback/>
      </mc:AlternateContent>
      <xdr:sp macro="" textlink="">
        <xdr:nvSpPr>
          <xdr:cNvPr id="39" name="Rectangle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3305736" y="1591235"/>
            <a:ext cx="1445558" cy="369794"/>
          </a:xfrm>
          <a:prstGeom prst="rect">
            <a:avLst/>
          </a:prstGeom>
          <a:noFill/>
          <a:ln>
            <a:solidFill>
              <a:srgbClr val="FF0000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fr-F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56031</xdr:colOff>
      <xdr:row>10</xdr:row>
      <xdr:rowOff>62751</xdr:rowOff>
    </xdr:from>
    <xdr:to>
      <xdr:col>13</xdr:col>
      <xdr:colOff>712697</xdr:colOff>
      <xdr:row>12</xdr:row>
      <xdr:rowOff>44824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7933766" y="2696133"/>
          <a:ext cx="2763372" cy="363073"/>
          <a:chOff x="7933766" y="2696133"/>
          <a:chExt cx="2763372" cy="363073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7933766" y="2696133"/>
            <a:ext cx="2763372" cy="363073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rgbClr val="CC9900"/>
              </a:gs>
            </a:gsLst>
            <a:lin ang="2700000" scaled="1"/>
            <a:tileRect/>
          </a:gradFill>
          <a:ln w="25400">
            <a:solidFill>
              <a:schemeClr val="accent6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5" name="Button 21" hidden="1">
                <a:extLst>
                  <a:ext uri="{63B3BB69-23CF-44E3-9099-C40C66FF867C}">
                    <a14:compatExt spid="_x0000_s1045"/>
                  </a:ext>
                  <a:ext uri="{FF2B5EF4-FFF2-40B4-BE49-F238E27FC236}">
                    <a16:creationId xmlns:a16="http://schemas.microsoft.com/office/drawing/2014/main" id="{00000000-0008-0000-0000-000015040000}"/>
                  </a:ext>
                </a:extLst>
              </xdr:cNvPr>
              <xdr:cNvSpPr/>
            </xdr:nvSpPr>
            <xdr:spPr bwMode="auto">
              <a:xfrm>
                <a:off x="7992037" y="2709582"/>
                <a:ext cx="2664758" cy="29359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FR"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 Import fichier "2d. Extraction XLS globale.xlsx"</a:t>
                </a:r>
              </a:p>
              <a:p>
                <a:pPr algn="ctr" rtl="0">
                  <a:defRPr sz="1000"/>
                </a:pPr>
                <a:endParaRPr lang="fr-FR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10</xdr:col>
      <xdr:colOff>19309</xdr:colOff>
      <xdr:row>7</xdr:row>
      <xdr:rowOff>161775</xdr:rowOff>
    </xdr:from>
    <xdr:to>
      <xdr:col>11</xdr:col>
      <xdr:colOff>142573</xdr:colOff>
      <xdr:row>10</xdr:row>
      <xdr:rowOff>153362</xdr:rowOff>
    </xdr:to>
    <xdr:sp macro="" textlink="">
      <xdr:nvSpPr>
        <xdr:cNvPr id="11" name="Flèche : hau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 rot="19635013">
          <a:off x="7516044" y="1876275"/>
          <a:ext cx="504264" cy="910469"/>
        </a:xfrm>
        <a:prstGeom prst="upArrow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400" b="1" cap="none" spc="0">
              <a:ln w="952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/>
              <a:latin typeface="+mn-lt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5</xdr:col>
      <xdr:colOff>89647</xdr:colOff>
      <xdr:row>6</xdr:row>
      <xdr:rowOff>212912</xdr:rowOff>
    </xdr:from>
    <xdr:to>
      <xdr:col>5</xdr:col>
      <xdr:colOff>470648</xdr:colOff>
      <xdr:row>8</xdr:row>
      <xdr:rowOff>145676</xdr:rowOff>
    </xdr:to>
    <xdr:sp macro="" textlink="">
      <xdr:nvSpPr>
        <xdr:cNvPr id="14" name="Flèche : bas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4997823" y="1647265"/>
          <a:ext cx="381001" cy="403411"/>
        </a:xfrm>
        <a:prstGeom prst="down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2</a:t>
          </a:r>
        </a:p>
      </xdr:txBody>
    </xdr:sp>
    <xdr:clientData/>
  </xdr:twoCellAnchor>
  <xdr:twoCellAnchor>
    <xdr:from>
      <xdr:col>15</xdr:col>
      <xdr:colOff>112057</xdr:colOff>
      <xdr:row>9</xdr:row>
      <xdr:rowOff>188407</xdr:rowOff>
    </xdr:from>
    <xdr:to>
      <xdr:col>17</xdr:col>
      <xdr:colOff>638735</xdr:colOff>
      <xdr:row>10</xdr:row>
      <xdr:rowOff>89648</xdr:rowOff>
    </xdr:to>
    <xdr:sp macro="" textlink="">
      <xdr:nvSpPr>
        <xdr:cNvPr id="16" name="Flèche : droit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155704" y="2295113"/>
          <a:ext cx="1322296" cy="427917"/>
        </a:xfrm>
        <a:prstGeom prst="rightArrow">
          <a:avLst>
            <a:gd name="adj1" fmla="val 47759"/>
            <a:gd name="adj2" fmla="val 83830"/>
          </a:avLst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 cap="none" spc="0">
              <a:ln w="9525">
                <a:noFill/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/>
            </a:rPr>
            <a:t> </a:t>
          </a:r>
          <a:r>
            <a:rPr lang="fr-FR" sz="1200" b="1" cap="none" spc="0">
              <a:ln w="9525">
                <a:noFill/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/>
            </a:rPr>
            <a:t>a la main</a:t>
          </a:r>
          <a:endParaRPr lang="fr-FR" sz="1400" b="1" cap="none" spc="0">
            <a:ln w="9525">
              <a:noFill/>
              <a:prstDash val="solid"/>
            </a:ln>
            <a:solidFill>
              <a:schemeClr val="tx1">
                <a:lumMod val="85000"/>
                <a:lumOff val="15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118780</xdr:colOff>
      <xdr:row>10</xdr:row>
      <xdr:rowOff>183924</xdr:rowOff>
    </xdr:from>
    <xdr:to>
      <xdr:col>17</xdr:col>
      <xdr:colOff>645458</xdr:colOff>
      <xdr:row>13</xdr:row>
      <xdr:rowOff>29135</xdr:rowOff>
    </xdr:to>
    <xdr:sp macro="" textlink="">
      <xdr:nvSpPr>
        <xdr:cNvPr id="20" name="Flèche : droit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3162427" y="2817306"/>
          <a:ext cx="1322296" cy="427917"/>
        </a:xfrm>
        <a:prstGeom prst="rightArrow">
          <a:avLst>
            <a:gd name="adj1" fmla="val 52997"/>
            <a:gd name="adj2" fmla="val 83830"/>
          </a:avLst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 b="1" cap="none" spc="0">
              <a:ln w="6350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auto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0</xdr:row>
          <xdr:rowOff>123825</xdr:rowOff>
        </xdr:from>
        <xdr:to>
          <xdr:col>1</xdr:col>
          <xdr:colOff>933450</xdr:colOff>
          <xdr:row>2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7248452-774D-4A0D-8EFC-45ACF93D6319}" name="Tableau2" displayName="Tableau2" ref="U7:X12" totalsRowShown="0" headerRowBorderDxfId="12555" tableBorderDxfId="12554">
  <tableColumns count="4">
    <tableColumn id="1" xr3:uid="{86185E31-EC52-4ECC-BC3E-33C26B14F7C2}" name="Series" dataDxfId="12553">
      <calculatedColumnFormula>_xlfn.CONCAT($V$7," ",V8)</calculatedColumnFormula>
    </tableColumn>
    <tableColumn id="2" xr3:uid="{788D8AF7-A2FF-4152-9FEC-3D734C94A926}" name="Serie" dataDxfId="12552"/>
    <tableColumn id="3" xr3:uid="{98F42830-BCA0-414B-9FEF-78FCD5DB348B}" name="indexMin" dataDxfId="12551"/>
    <tableColumn id="4" xr3:uid="{E4B94243-8BBE-45E2-AAC0-0D18C5A6695E}" name="indexMax" dataDxfId="1255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778000E-E553-4D7D-B3D1-3311AEBC9F6C}" name="Tableau3" displayName="Tableau3" ref="Z7:Z14" totalsRowShown="0" headerRowDxfId="12549" dataDxfId="12547" headerRowBorderDxfId="12548" tableBorderDxfId="12546">
  <tableColumns count="1">
    <tableColumn id="1" xr3:uid="{8473C081-0E42-4FA9-8C99-E5B7E8CD3209}" name="Tours" dataDxfId="12545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DD7A43B-D15A-4CC2-A59E-ABAB77B6121C}" name="TableauType" displayName="TableauType" ref="AB7:AB10" totalsRowShown="0" headerRowDxfId="12544" headerRowBorderDxfId="12543" tableBorderDxfId="12542">
  <autoFilter ref="AB7:AB10" xr:uid="{73681FA9-5866-4B6C-BB19-D28C897B7CBB}">
    <filterColumn colId="0" hiddenButton="1"/>
  </autoFilter>
  <tableColumns count="1">
    <tableColumn id="1" xr3:uid="{40015C55-3B99-4065-A413-267D17D83558}" name="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51465F7-D976-4BA8-9F3F-819667A5A08D}" name="Tableau6" displayName="Tableau6" ref="D12:F13" totalsRowShown="0" headerRowDxfId="12541" dataDxfId="12540" tableBorderDxfId="12539">
  <autoFilter ref="D12:F13" xr:uid="{FCA0E9AA-8BD9-46EB-B07B-67F06EACCB48}"/>
  <tableColumns count="3">
    <tableColumn id="1" xr3:uid="{47561816-2B53-47F6-822E-269C476F3FFD}" name="Tour importé" dataDxfId="12538"/>
    <tableColumn id="2" xr3:uid="{E2C3F515-D8A3-4FC2-B632-32DB6D91A198}" name="Type" dataDxfId="12537">
      <calculatedColumnFormula>INDEX(TableauType[TYPE],Tableau6[[#This Row],[TypeIndex]])</calculatedColumnFormula>
    </tableColumn>
    <tableColumn id="3" xr3:uid="{617E6B65-5E58-4C9B-9DC4-488608A74753}" name="TypeIndex" dataDxfId="12536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028BC9C-374B-4CF9-AE78-8C3C381068A0}" name="Tableau11" displayName="Tableau11" ref="AD7:AD15" totalsRowShown="0" headerRowDxfId="12535" dataDxfId="12534">
  <autoFilter ref="AD7:AD15" xr:uid="{9029752C-EFC9-4C60-BDF1-B009EF2F440D}"/>
  <tableColumns count="1">
    <tableColumn id="1" xr3:uid="{47EFDC89-116E-4E91-94A2-C4CDC0579100}" name="Fichiers" dataDxfId="1253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ABB207C-06D4-4385-BB68-71314C888648}" name="Tableau15" displayName="Tableau15" ref="U18:V22" totalsRowShown="0" headerRowDxfId="12532" headerRowBorderDxfId="12531" tableBorderDxfId="12530" totalsRowBorderDxfId="12529">
  <autoFilter ref="U18:V22" xr:uid="{BBFFD128-4797-4BD5-B581-AA8D8277F8F3}"/>
  <tableColumns count="2">
    <tableColumn id="1" xr3:uid="{903026A3-43DC-4900-8F6E-2271BCA97B81}" name="Colonne1" dataDxfId="12528"/>
    <tableColumn id="2" xr3:uid="{C9FC1671-8A12-4C52-9797-E5DB3A7B67E7}" name="Colonne2" dataDxfId="12527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57563A6-7DEF-4C3D-A97A-B10AA5BF5A55}" name="Tableau48" displayName="Tableau48" ref="B3:AK350" totalsRowShown="0" dataDxfId="12526" tableBorderDxfId="12525">
  <autoFilter ref="B3:AK350" xr:uid="{757563A6-7DEF-4C3D-A97A-B10AA5BF5A55}"/>
  <sortState xmlns:xlrd2="http://schemas.microsoft.com/office/spreadsheetml/2017/richdata2" ref="B4:AK350">
    <sortCondition ref="B3:B350"/>
  </sortState>
  <tableColumns count="36">
    <tableColumn id="1" xr3:uid="{46FBD385-6600-4EA5-9FBF-8661E23C917F}" name="Nom - Prénom" dataDxfId="12524"/>
    <tableColumn id="2" xr3:uid="{ECBEFB46-CF2E-4172-8E5C-37DBEC25E1AE}" name="Club" dataDxfId="12523"/>
    <tableColumn id="3" xr3:uid="{FBA83F7F-D4E7-4A15-99EC-CE8D436D7EB3}" name="Index" dataDxfId="12522"/>
    <tableColumn id="4" xr3:uid="{0090B21E-C7ED-4CC4-A4C8-7AED1146F2F9}" name="Série" dataDxfId="12521"/>
    <tableColumn id="5" xr3:uid="{7D4E8E6A-E590-441A-A2B5-664E220061CC}" name="Score     Net1" dataDxfId="12520"/>
    <tableColumn id="6" xr3:uid="{84241967-A195-4D05-9846-F0E084774539}" name="Rang   Net1" dataDxfId="12519"/>
    <tableColumn id="7" xr3:uid="{F27CD3EA-D421-4623-93DF-5DFCAA423771}" name="Score    Brut1" dataDxfId="12518"/>
    <tableColumn id="8" xr3:uid="{62D1F21B-032A-484B-BC39-395CC4756A54}" name="Rang   Brut1" dataDxfId="12517"/>
    <tableColumn id="9" xr3:uid="{D3289CF1-FAC6-4CC0-B2B6-80CBB0406845}" name="Score      Net2" dataDxfId="12516"/>
    <tableColumn id="10" xr3:uid="{2F18A068-FD19-4313-83C9-0AB3AA88EE3F}" name="Rang      Net2" dataDxfId="12515"/>
    <tableColumn id="11" xr3:uid="{A7248FAA-403B-4BFE-B0D4-859E30DE4A95}" name="Score      Brut2" dataDxfId="12514"/>
    <tableColumn id="12" xr3:uid="{4F6F4506-16A0-4352-A12B-8992CD80B9B6}" name="Rang      Brut2" dataDxfId="12513"/>
    <tableColumn id="13" xr3:uid="{68CAD2A6-712A-4B66-A7A3-D58BF5303438}" name="Score      Net3" dataDxfId="12512"/>
    <tableColumn id="14" xr3:uid="{9F172573-6C25-46FC-BE9F-F56834E813D9}" name="Rang      Net3" dataDxfId="12511"/>
    <tableColumn id="15" xr3:uid="{618A094F-BB99-4883-A19C-4EBA6E699BCF}" name="Score      Brut3" dataDxfId="12510"/>
    <tableColumn id="16" xr3:uid="{0E544C66-61C9-46D5-A427-A9677AE96910}" name="Rang      Brut3" dataDxfId="12509"/>
    <tableColumn id="17" xr3:uid="{24730B87-D2CD-487D-99BD-EACD109C443F}" name="Score        Net4" dataDxfId="12508"/>
    <tableColumn id="18" xr3:uid="{F0B85087-E217-4534-9BC7-B04BDDCCA8B9}" name="Rang        Net4" dataDxfId="12507"/>
    <tableColumn id="19" xr3:uid="{7DDCD1A6-A182-48A1-9F3F-836B917D0B07}" name="Score        Brut4" dataDxfId="12506"/>
    <tableColumn id="20" xr3:uid="{8EABA2E9-9ADA-4192-8BB2-2F58072A8E01}" name="Rang        Brut4" dataDxfId="12505"/>
    <tableColumn id="21" xr3:uid="{79E31DB6-4982-4160-9B1D-20DE3F5E1BB8}" name="Score        Net5" dataDxfId="12504"/>
    <tableColumn id="22" xr3:uid="{DB589AF3-34B3-447A-A354-D474E90FDB4F}" name="Rang        Net5" dataDxfId="12503"/>
    <tableColumn id="23" xr3:uid="{EC9FE005-CE9F-448B-81FE-28EDD1A971F9}" name="Score        Brut5" dataDxfId="12502"/>
    <tableColumn id="24" xr3:uid="{220294A2-C79D-45F3-9AE5-D46451BBF584}" name="Rang        Brut5" dataDxfId="12501"/>
    <tableColumn id="25" xr3:uid="{A772CA9D-C689-4C9F-9855-E6A692839D23}" name="Score        Net6" dataDxfId="12500"/>
    <tableColumn id="26" xr3:uid="{D2589416-857A-4C41-AC6D-96D41817DEC7}" name="Rang        Net6" dataDxfId="12499"/>
    <tableColumn id="27" xr3:uid="{27ADC7D0-24DE-4505-9913-856D8DE338A9}" name="Score        Brut6" dataDxfId="12498"/>
    <tableColumn id="28" xr3:uid="{ABDBDCB4-7B27-49F8-BC7A-7843BC9FF7A5}" name="Rang        Brut6" dataDxfId="12497"/>
    <tableColumn id="29" xr3:uid="{941D9336-449B-439E-B469-314E549EA186}" name="Score Net Max" dataDxfId="12496">
      <calculatedColumnFormula>IF(MIN(F4,J4,N4,R4,V4,Z4)&lt;&gt;0,MIN(F4,J4,N4,R4,V4,Z4),"")</calculatedColumnFormula>
    </tableColumn>
    <tableColumn id="30" xr3:uid="{90574FCA-077D-4C2D-95A6-25042040131A}" name="Score Brut Max" dataDxfId="12495">
      <calculatedColumnFormula>IF(MIN(H4,L4,P4,T4,X4,AB4)&lt;&gt;0,MIN(H4,L4,P4,T4,X4,AB4),"")</calculatedColumnFormula>
    </tableColumn>
    <tableColumn id="31" xr3:uid="{7D46739F-AA9F-4F4C-8559-42672BDC3359}" name="Score Net Finale" dataDxfId="12494"/>
    <tableColumn id="32" xr3:uid="{11EAF1CA-8CD4-40A4-91A3-87D38FCF3433}" name="Rang Net Finale" dataDxfId="12493"/>
    <tableColumn id="33" xr3:uid="{66A96B4D-B263-479C-A036-CA0A68FB1450}" name="Score Brut Finale" dataDxfId="12492"/>
    <tableColumn id="34" xr3:uid="{AB46E898-F45B-460F-A38E-C5A2BFD53000}" name="Rang Brut Finale" dataDxfId="12491"/>
    <tableColumn id="35" xr3:uid="{E7B91838-CDE0-4965-B3BE-53C906009CF4}" name="Score Net LGS" dataDxfId="12490">
      <calculatedColumnFormula>IF(AD4="","",IF(ISBLANK(AF4),"En cours",AD4+AF4))</calculatedColumnFormula>
    </tableColumn>
    <tableColumn id="36" xr3:uid="{2A90CEF2-3F60-4761-BD52-022404B7522C}" name="Score Brut LGS" dataDxfId="12489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B569978-B4D5-408D-9308-230DEEE4B475}" name="Tableau49" displayName="Tableau49" ref="B3:AK350" totalsRowShown="0" dataDxfId="12488" tableBorderDxfId="12487">
  <autoFilter ref="B3:AK350" xr:uid="{E9B37CBB-E8EE-4443-BEEC-6E8A9D0EB34B}"/>
  <sortState xmlns:xlrd2="http://schemas.microsoft.com/office/spreadsheetml/2017/richdata2" ref="B4:AK350">
    <sortCondition ref="B3:B350"/>
  </sortState>
  <tableColumns count="36">
    <tableColumn id="1" xr3:uid="{8D8DCB9F-B21E-48F0-B06F-30CE3AABF015}" name="Nom - Prénom" dataDxfId="12486"/>
    <tableColumn id="2" xr3:uid="{6DF6013E-11A9-4F6E-B527-4EB5242D32FC}" name="Club" dataDxfId="12485"/>
    <tableColumn id="3" xr3:uid="{809481FC-1207-4212-8E64-39319F31B86C}" name="Index" dataDxfId="12484"/>
    <tableColumn id="4" xr3:uid="{61BCE2E5-DC5C-48C2-BA39-6573DBA32351}" name="Série" dataDxfId="12483"/>
    <tableColumn id="5" xr3:uid="{5210E73B-D34C-4FAE-A187-64170B309A2C}" name="Score     Net1" dataDxfId="12482"/>
    <tableColumn id="6" xr3:uid="{0C146610-8133-4769-A4EC-4AF4A9EB4EEA}" name="Rang   Net1" dataDxfId="12481"/>
    <tableColumn id="7" xr3:uid="{DC3B3441-4412-46B5-8015-7E44D9FF0A16}" name="Score    Brut1" dataDxfId="12480"/>
    <tableColumn id="8" xr3:uid="{780A2D1B-C1E0-4E66-A641-80609193E5ED}" name="Rang   Brut1" dataDxfId="12479"/>
    <tableColumn id="9" xr3:uid="{A286DE62-5493-4750-8D3A-4E0268951135}" name="Score      Net2" dataDxfId="12478"/>
    <tableColumn id="10" xr3:uid="{9AA9E923-19AE-4E9C-B03E-6CCB420B0DE0}" name="Rang      Net2" dataDxfId="12477"/>
    <tableColumn id="11" xr3:uid="{13D9FCED-A177-4823-BBF5-CB6BBFD92170}" name="Score      Brut2" dataDxfId="12476"/>
    <tableColumn id="12" xr3:uid="{AE79BCC0-99C9-4A29-85F9-06518743CC41}" name="Rang      Brut2" dataDxfId="12475"/>
    <tableColumn id="13" xr3:uid="{6260EBE1-C4F8-4892-8111-6848B59FFDDC}" name="Score      Net3" dataDxfId="12474"/>
    <tableColumn id="14" xr3:uid="{70D3C91B-53A9-4C67-AA7C-86DB6FCC84EA}" name="Rang      Net3" dataDxfId="12473"/>
    <tableColumn id="15" xr3:uid="{316ABADB-80DF-4341-9456-B07A916EE828}" name="Score      Brut3" dataDxfId="12472"/>
    <tableColumn id="16" xr3:uid="{5F33B9A2-6C2B-44A9-B727-D955FDD7A57E}" name="Rang      Brut3" dataDxfId="12471"/>
    <tableColumn id="17" xr3:uid="{7405128E-0D40-44C5-B3B7-9098CE3F571B}" name="Score        Net4" dataDxfId="12470"/>
    <tableColumn id="18" xr3:uid="{57B1622B-69C7-4A1C-8967-6906A0E60401}" name="Rang        Net4" dataDxfId="12469"/>
    <tableColumn id="19" xr3:uid="{765D8E18-32EC-4D78-B6D5-C889630A0B4D}" name="Score        Brut4" dataDxfId="12468"/>
    <tableColumn id="20" xr3:uid="{F9E9BC2E-A9E0-415E-92F8-F007D70D402D}" name="Rang        Brut4" dataDxfId="12467"/>
    <tableColumn id="21" xr3:uid="{56B8C53B-2683-43AB-BA94-98D12846892B}" name="Score        Net5" dataDxfId="12466"/>
    <tableColumn id="22" xr3:uid="{CEE64EB1-2B37-4BE8-AD6C-F73635777200}" name="Rang        Net5" dataDxfId="12465"/>
    <tableColumn id="23" xr3:uid="{08967303-5AA9-43EB-A7B1-57000258446B}" name="Score        Brut5" dataDxfId="12464"/>
    <tableColumn id="24" xr3:uid="{8200C06D-A6A7-4584-BCE4-DE94947CAA08}" name="Rang        Brut5" dataDxfId="12463"/>
    <tableColumn id="25" xr3:uid="{E363B218-F04E-4259-A65F-BE04FA1C15B3}" name="Score        Net6" dataDxfId="12462"/>
    <tableColumn id="26" xr3:uid="{EC92842C-B321-4087-AA25-F376E0579048}" name="Rang        Net6" dataDxfId="12461"/>
    <tableColumn id="27" xr3:uid="{3EF61377-66C7-4D60-AF65-BAFD2DD291D8}" name="Score        Brut6" dataDxfId="12460"/>
    <tableColumn id="28" xr3:uid="{251BB10E-2B2F-4B4A-8805-D7C49FF7D091}" name="Rang        Brut6" dataDxfId="12459"/>
    <tableColumn id="29" xr3:uid="{937492D8-E20B-486F-B289-5EBB929EA97E}" name="Score Net Max" dataDxfId="12458">
      <calculatedColumnFormula>IF(MIN(F4,J4,N4,R4,V4,Z4)&lt;&gt;0,MIN(F4,J4,N4,R4,V4,Z4),"")</calculatedColumnFormula>
    </tableColumn>
    <tableColumn id="30" xr3:uid="{BFCE7449-4F11-49CA-B00B-6CF4C21DE23E}" name="Score Brut Max" dataDxfId="12457">
      <calculatedColumnFormula>IF(MIN(H4,L4,P4,T4,X4,AB4)&lt;&gt;0,MIN(H4,L4,P4,T4,X4,AB4),"")</calculatedColumnFormula>
    </tableColumn>
    <tableColumn id="31" xr3:uid="{061F8C59-D91F-49DB-89E4-FD5BF5DEA2BE}" name="Score Net Finale" dataDxfId="12456"/>
    <tableColumn id="32" xr3:uid="{47CCF636-B700-4893-BB69-C5F49188A737}" name="Rang Net Finale" dataDxfId="12455"/>
    <tableColumn id="33" xr3:uid="{34BE4EC2-EAC1-40DC-82EA-B21BFA645C43}" name="Score Brut Finale" dataDxfId="12454"/>
    <tableColumn id="34" xr3:uid="{B4CC10FB-AE7D-4F7B-B5E6-A21DFBD43F7A}" name="Rang Brut Finale" dataDxfId="12453"/>
    <tableColumn id="35" xr3:uid="{2A85E5CE-D8F3-4ABA-BB20-EF4EC4E5400C}" name="Score Net LGS" dataDxfId="12452">
      <calculatedColumnFormula>IF(AD4="","",IF(ISBLANK(AF4),"En cours",AD4+AF4))</calculatedColumnFormula>
    </tableColumn>
    <tableColumn id="36" xr3:uid="{E2505702-E088-4E30-97F4-10F7B06362C7}" name="Score Brut LGS" dataDxfId="12451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6A15B6-1675-4B67-8A1A-0B51AB6E574B}" name="Tableau1" displayName="Tableau1" ref="B4:F42" totalsRowShown="0" headerRowDxfId="12450" dataDxfId="12449">
  <autoFilter ref="B4:F42" xr:uid="{BEE036B7-08A7-43AF-AC9F-62B639BE2327}"/>
  <tableColumns count="5">
    <tableColumn id="1" xr3:uid="{07F0EE21-57C5-4450-A337-C4E93B37093B}" name="type" dataDxfId="12448"/>
    <tableColumn id="4" xr3:uid="{5D76DE16-D7AC-47BB-8E5C-7D62535B0C45}" name="joueurs" dataDxfId="12447"/>
    <tableColumn id="6" xr3:uid="{AAEF716B-5939-451B-9370-6D6F4B67A6B4}" name="feuille" dataDxfId="12446"/>
    <tableColumn id="2" xr3:uid="{15443A43-A7C3-4E12-8B5A-8DC832EBEFF5}" name="reference" dataDxfId="12445"/>
    <tableColumn id="3" xr3:uid="{C5F94F07-C4F6-41F7-9201-803FDABD5D1F}" name="date" dataDxfId="12444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BT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21" Type="http://schemas.openxmlformats.org/officeDocument/2006/relationships/table" Target="../tables/table4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table" Target="../tables/table6.xml"/><Relationship Id="rId10" Type="http://schemas.openxmlformats.org/officeDocument/2006/relationships/ctrlProp" Target="../ctrlProps/ctrlProp7.xml"/><Relationship Id="rId19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table" Target="../tables/table5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2350A-C525-4F4F-BC21-CBCF2086D3B4}">
  <sheetPr codeName="Feuil1"/>
  <dimension ref="A1:AE1017"/>
  <sheetViews>
    <sheetView tabSelected="1" zoomScale="85" zoomScaleNormal="85" workbookViewId="0">
      <selection activeCell="F80" sqref="F80"/>
    </sheetView>
  </sheetViews>
  <sheetFormatPr baseColWidth="10" defaultRowHeight="15" x14ac:dyDescent="0.25"/>
  <cols>
    <col min="1" max="1" width="2.5703125" customWidth="1"/>
    <col min="2" max="3" width="5.7109375" customWidth="1"/>
    <col min="4" max="4" width="25.85546875" customWidth="1"/>
    <col min="5" max="5" width="33.7109375" customWidth="1"/>
    <col min="6" max="6" width="12.140625" style="4" customWidth="1"/>
    <col min="7" max="7" width="5.7109375" customWidth="1"/>
    <col min="8" max="8" width="6.140625" customWidth="1"/>
    <col min="9" max="9" width="11" customWidth="1"/>
    <col min="10" max="10" width="3.85546875" customWidth="1"/>
    <col min="11" max="12" width="5.7109375" customWidth="1"/>
    <col min="13" max="13" width="25.85546875" customWidth="1"/>
    <col min="14" max="14" width="33.7109375" customWidth="1"/>
    <col min="15" max="15" width="12.140625" style="4" customWidth="1"/>
    <col min="16" max="16" width="5.7109375" customWidth="1"/>
    <col min="17" max="17" width="6.140625" customWidth="1"/>
    <col min="18" max="18" width="11" customWidth="1"/>
    <col min="20" max="20" width="4" customWidth="1"/>
    <col min="21" max="21" width="31.5703125" customWidth="1"/>
    <col min="22" max="22" width="31.7109375" customWidth="1"/>
    <col min="23" max="23" width="11.5703125" customWidth="1"/>
    <col min="24" max="24" width="11.85546875" customWidth="1"/>
    <col min="25" max="25" width="3.28515625" customWidth="1"/>
    <col min="26" max="26" width="11.5703125" customWidth="1"/>
    <col min="27" max="27" width="3.42578125" customWidth="1"/>
    <col min="28" max="28" width="11.5703125" customWidth="1"/>
    <col min="29" max="29" width="3.42578125" customWidth="1"/>
    <col min="30" max="30" width="14.85546875" customWidth="1"/>
    <col min="31" max="31" width="3.28515625" customWidth="1"/>
  </cols>
  <sheetData>
    <row r="1" spans="1:31" ht="15.75" thickBot="1" x14ac:dyDescent="0.3">
      <c r="B1">
        <v>1</v>
      </c>
    </row>
    <row r="2" spans="1:31" x14ac:dyDescent="0.25">
      <c r="B2" s="68" t="s">
        <v>34</v>
      </c>
      <c r="C2" s="57"/>
      <c r="D2" s="58" t="s">
        <v>35</v>
      </c>
      <c r="E2" s="62" t="s">
        <v>3</v>
      </c>
      <c r="F2" s="58"/>
      <c r="G2" s="57"/>
      <c r="H2" s="57"/>
      <c r="I2" s="57"/>
      <c r="J2" s="57"/>
      <c r="K2" s="69" t="s">
        <v>33</v>
      </c>
      <c r="L2" s="57"/>
      <c r="M2" s="57" t="s">
        <v>36</v>
      </c>
      <c r="N2" s="65" t="s">
        <v>31</v>
      </c>
      <c r="O2" s="64" t="s">
        <v>32</v>
      </c>
    </row>
    <row r="3" spans="1:31" ht="15.75" thickBot="1" x14ac:dyDescent="0.3">
      <c r="B3" s="59">
        <f>COUNTA($B$17:$B$7704)</f>
        <v>64</v>
      </c>
      <c r="C3" s="60"/>
      <c r="D3" s="60" t="str">
        <f ca="1">MID(CELL("nomfichier",A1),FIND("]",CELL("nomfichier",A1))+1,LEN(CELL("nomfichier",A1))-FIND("]",CELL("nomfichier",A1)))</f>
        <v>Import Resultats Tour</v>
      </c>
      <c r="E3" s="63">
        <f>TourSelected -1</f>
        <v>6</v>
      </c>
      <c r="F3" s="61"/>
      <c r="G3" s="60"/>
      <c r="H3" s="60"/>
      <c r="I3" s="60"/>
      <c r="J3" s="60"/>
      <c r="K3" s="60">
        <f>COUNTA($K$17:$K$7702)</f>
        <v>64</v>
      </c>
      <c r="L3" s="60"/>
      <c r="M3" s="60" t="str">
        <f>_xlfn.CONCAT("Resultat LGS (",Tableau6[Type],")")</f>
        <v>Resultat LGS (ALL)</v>
      </c>
      <c r="N3" s="66"/>
      <c r="O3" s="67">
        <v>45509</v>
      </c>
    </row>
    <row r="4" spans="1:31" ht="15.75" thickBot="1" x14ac:dyDescent="0.3"/>
    <row r="5" spans="1:31" ht="21.75" thickBot="1" x14ac:dyDescent="0.3">
      <c r="C5" s="46" t="s">
        <v>28</v>
      </c>
      <c r="D5" s="47"/>
      <c r="E5" s="70" t="s">
        <v>27</v>
      </c>
      <c r="F5" s="71"/>
      <c r="G5" s="72"/>
      <c r="H5" s="72"/>
      <c r="I5" s="72"/>
      <c r="J5" s="73"/>
      <c r="L5" s="31"/>
      <c r="M5" s="43" t="s">
        <v>26</v>
      </c>
      <c r="N5" s="32"/>
      <c r="P5" s="178" t="s">
        <v>81</v>
      </c>
      <c r="Q5" s="179"/>
      <c r="R5" s="180"/>
      <c r="T5" s="20"/>
      <c r="U5" s="42" t="s">
        <v>11</v>
      </c>
      <c r="V5" s="21"/>
      <c r="W5" s="21"/>
      <c r="X5" s="21"/>
      <c r="Y5" s="21"/>
      <c r="Z5" s="21"/>
      <c r="AA5" s="21"/>
      <c r="AB5" s="21"/>
      <c r="AC5" s="21"/>
      <c r="AD5" s="21"/>
      <c r="AE5" s="22"/>
    </row>
    <row r="6" spans="1:31" ht="28.5" customHeight="1" x14ac:dyDescent="0.35">
      <c r="C6" s="152" t="s">
        <v>100</v>
      </c>
      <c r="D6" s="48"/>
      <c r="E6" s="52" t="s">
        <v>0</v>
      </c>
      <c r="F6" s="50"/>
      <c r="G6" s="25"/>
      <c r="H6" s="25"/>
      <c r="I6" s="25"/>
      <c r="J6" s="28"/>
      <c r="L6" s="33"/>
      <c r="M6" s="34"/>
      <c r="N6" s="35"/>
      <c r="P6" s="181">
        <f>IF(Tableau6[Type]=INDEX(TableauType[],1),U19,V19)</f>
        <v>0</v>
      </c>
      <c r="Q6" s="182"/>
      <c r="R6" s="183"/>
      <c r="T6" s="23"/>
      <c r="U6" s="25"/>
      <c r="V6" s="25"/>
      <c r="W6" s="25"/>
      <c r="X6" s="25"/>
      <c r="Y6" s="25"/>
      <c r="Z6" s="25"/>
      <c r="AA6" s="25"/>
      <c r="AB6" s="25"/>
      <c r="AC6" s="25"/>
      <c r="AD6" s="25"/>
      <c r="AE6" s="28"/>
    </row>
    <row r="7" spans="1:31" ht="21.75" thickBot="1" x14ac:dyDescent="0.3">
      <c r="C7" s="44"/>
      <c r="D7" s="48"/>
      <c r="E7" s="23"/>
      <c r="F7" s="25"/>
      <c r="G7" s="25"/>
      <c r="H7" s="25"/>
      <c r="I7" s="25"/>
      <c r="J7" s="28"/>
      <c r="L7" s="36"/>
      <c r="M7" s="37"/>
      <c r="N7" s="38"/>
      <c r="P7" s="184" t="str">
        <f>IF(Tableau6[Type]=INDEX(TableauType[],1),U20,V20)</f>
        <v>export_DAME_Net_12.xlsx</v>
      </c>
      <c r="Q7" s="185"/>
      <c r="R7" s="186"/>
      <c r="T7" s="23"/>
      <c r="U7" s="12" t="s">
        <v>12</v>
      </c>
      <c r="V7" s="116" t="s">
        <v>13</v>
      </c>
      <c r="W7" s="9" t="s">
        <v>14</v>
      </c>
      <c r="X7" s="13" t="s">
        <v>15</v>
      </c>
      <c r="Y7" s="25"/>
      <c r="Z7" s="18" t="s">
        <v>16</v>
      </c>
      <c r="AA7" s="25"/>
      <c r="AB7" s="106" t="s">
        <v>75</v>
      </c>
      <c r="AC7" s="25"/>
      <c r="AD7" s="115" t="s">
        <v>80</v>
      </c>
      <c r="AE7" s="28"/>
    </row>
    <row r="8" spans="1:31" x14ac:dyDescent="0.25">
      <c r="C8" s="44"/>
      <c r="D8" s="48"/>
      <c r="E8" s="23"/>
      <c r="F8" s="50"/>
      <c r="G8" s="25"/>
      <c r="H8" s="25"/>
      <c r="I8" s="25"/>
      <c r="J8" s="28"/>
      <c r="L8" s="53"/>
      <c r="M8" s="54"/>
      <c r="N8" s="55"/>
      <c r="P8" s="187" t="str">
        <f>IF(Tableau6[Type]=INDEX(TableauType[],1),U21,V21)</f>
        <v>export_DAME_Brut_34.xlsx</v>
      </c>
      <c r="Q8" s="188"/>
      <c r="R8" s="189"/>
      <c r="T8" s="23"/>
      <c r="U8" s="120" t="str">
        <f>_xlfn.CONCAT($V$7," ",V8)</f>
        <v>Serie 1</v>
      </c>
      <c r="V8" s="117">
        <v>1</v>
      </c>
      <c r="W8" s="6">
        <v>0</v>
      </c>
      <c r="X8" s="10">
        <v>11.4</v>
      </c>
      <c r="Y8" s="25"/>
      <c r="Z8" s="16">
        <v>1</v>
      </c>
      <c r="AA8" s="25"/>
      <c r="AB8" s="105" t="s">
        <v>73</v>
      </c>
      <c r="AC8" s="25"/>
      <c r="AD8" s="114"/>
      <c r="AE8" s="28"/>
    </row>
    <row r="9" spans="1:31" ht="15.75" thickBot="1" x14ac:dyDescent="0.3">
      <c r="C9" s="44"/>
      <c r="D9" s="48" t="b">
        <v>0</v>
      </c>
      <c r="E9" s="23"/>
      <c r="F9" s="50"/>
      <c r="G9" s="25"/>
      <c r="H9" s="25"/>
      <c r="I9" s="25"/>
      <c r="J9" s="28"/>
      <c r="L9" s="36"/>
      <c r="M9" s="37"/>
      <c r="N9" s="38"/>
      <c r="P9" s="190" t="str">
        <f>IF(Tableau6[Type]=INDEX(TableauType[],1),U22,V22)</f>
        <v>export_DAME_Net_34.xlsx</v>
      </c>
      <c r="Q9" s="191"/>
      <c r="R9" s="192"/>
      <c r="T9" s="23"/>
      <c r="U9" s="121" t="str">
        <f>_xlfn.CONCAT($V$7," ",V9)</f>
        <v>Serie 2</v>
      </c>
      <c r="V9" s="118">
        <v>2</v>
      </c>
      <c r="W9" s="8">
        <v>11.5</v>
      </c>
      <c r="X9" s="11">
        <v>18.399999999999999</v>
      </c>
      <c r="Y9" s="25"/>
      <c r="Z9" s="17">
        <v>2</v>
      </c>
      <c r="AA9" s="25"/>
      <c r="AB9" s="107" t="s">
        <v>74</v>
      </c>
      <c r="AC9" s="25"/>
      <c r="AD9" s="17"/>
      <c r="AE9" s="28"/>
    </row>
    <row r="10" spans="1:31" ht="41.25" customHeight="1" thickBot="1" x14ac:dyDescent="0.3">
      <c r="C10" s="45" t="s">
        <v>29</v>
      </c>
      <c r="D10" s="49"/>
      <c r="E10" s="24"/>
      <c r="F10" s="51"/>
      <c r="G10" s="26"/>
      <c r="H10" s="26"/>
      <c r="I10" s="26"/>
      <c r="J10" s="27"/>
      <c r="L10" s="39"/>
      <c r="M10" s="40"/>
      <c r="N10" s="41"/>
      <c r="T10" s="23"/>
      <c r="U10" s="121" t="str">
        <f>_xlfn.CONCAT($V$7," ",V10)</f>
        <v>Serie 3</v>
      </c>
      <c r="V10" s="118">
        <v>3</v>
      </c>
      <c r="W10" s="8">
        <v>18.5</v>
      </c>
      <c r="X10" s="11">
        <v>26.4</v>
      </c>
      <c r="Y10" s="25"/>
      <c r="Z10" s="17">
        <v>3</v>
      </c>
      <c r="AA10" s="25"/>
      <c r="AB10" s="25" t="s">
        <v>101</v>
      </c>
      <c r="AC10" s="25"/>
      <c r="AD10" s="114"/>
      <c r="AE10" s="28"/>
    </row>
    <row r="11" spans="1:31" x14ac:dyDescent="0.25">
      <c r="T11" s="23"/>
      <c r="U11" s="121" t="str">
        <f>_xlfn.CONCAT($V$7," ",V11)</f>
        <v>Serie 4</v>
      </c>
      <c r="V11" s="118">
        <v>4</v>
      </c>
      <c r="W11" s="8">
        <v>26.5</v>
      </c>
      <c r="X11" s="11">
        <v>39</v>
      </c>
      <c r="Y11" s="25"/>
      <c r="Z11" s="17">
        <v>4</v>
      </c>
      <c r="AA11" s="25"/>
      <c r="AB11" s="25"/>
      <c r="AC11" s="25"/>
      <c r="AD11" s="17"/>
      <c r="AE11" s="28"/>
    </row>
    <row r="12" spans="1:31" x14ac:dyDescent="0.25">
      <c r="D12" s="108" t="s">
        <v>30</v>
      </c>
      <c r="E12" s="109" t="s">
        <v>76</v>
      </c>
      <c r="F12" s="110" t="s">
        <v>77</v>
      </c>
      <c r="T12" s="23"/>
      <c r="U12" s="121" t="str">
        <f>_xlfn.CONCAT($V$7," ",V12)</f>
        <v>Serie 5</v>
      </c>
      <c r="V12" s="119">
        <v>5</v>
      </c>
      <c r="W12" s="14">
        <v>39.1</v>
      </c>
      <c r="X12" s="15">
        <v>54</v>
      </c>
      <c r="Y12" s="25"/>
      <c r="Z12" s="17">
        <v>5</v>
      </c>
      <c r="AA12" s="25"/>
      <c r="AB12" s="25"/>
      <c r="AC12" s="25"/>
      <c r="AD12" s="114"/>
      <c r="AE12" s="28"/>
    </row>
    <row r="13" spans="1:31" ht="15.75" x14ac:dyDescent="0.25">
      <c r="D13" s="111">
        <v>7</v>
      </c>
      <c r="E13" s="112" t="str">
        <f>INDEX(TableauType[TYPE],Tableau6[[#This Row],[TypeIndex]])</f>
        <v>ALL</v>
      </c>
      <c r="F13" s="113">
        <v>3</v>
      </c>
      <c r="G13" s="56"/>
      <c r="T13" s="23"/>
      <c r="U13" s="25"/>
      <c r="V13" s="25"/>
      <c r="W13" s="25"/>
      <c r="X13" s="25"/>
      <c r="Y13" s="25"/>
      <c r="Z13" s="17">
        <v>6</v>
      </c>
      <c r="AA13" s="25"/>
      <c r="AB13" s="25"/>
      <c r="AC13" s="25"/>
      <c r="AD13" s="17"/>
      <c r="AE13" s="28"/>
    </row>
    <row r="14" spans="1:31" x14ac:dyDescent="0.25">
      <c r="T14" s="23"/>
      <c r="U14" s="25"/>
      <c r="V14" s="25"/>
      <c r="W14" s="25"/>
      <c r="X14" s="25"/>
      <c r="Y14" s="25"/>
      <c r="Z14" s="17" t="s">
        <v>17</v>
      </c>
      <c r="AA14" s="25"/>
      <c r="AB14" s="25"/>
      <c r="AC14" s="25"/>
      <c r="AD14" s="114"/>
      <c r="AE14" s="28"/>
    </row>
    <row r="15" spans="1:31" ht="26.25" x14ac:dyDescent="0.25">
      <c r="B15" s="176" t="s">
        <v>1</v>
      </c>
      <c r="C15" s="176"/>
      <c r="D15" s="176"/>
      <c r="E15" s="176"/>
      <c r="F15" s="176"/>
      <c r="G15" s="176"/>
      <c r="H15" s="176"/>
      <c r="I15" s="176"/>
      <c r="K15" s="177" t="s">
        <v>2</v>
      </c>
      <c r="L15" s="177"/>
      <c r="M15" s="177"/>
      <c r="N15" s="177"/>
      <c r="O15" s="177"/>
      <c r="P15" s="177"/>
      <c r="Q15" s="177"/>
      <c r="R15" s="177"/>
      <c r="T15" s="23"/>
      <c r="U15" s="25"/>
      <c r="V15" s="25"/>
      <c r="W15" s="25"/>
      <c r="X15" s="25"/>
      <c r="Y15" s="25"/>
      <c r="Z15" s="25"/>
      <c r="AA15" s="25"/>
      <c r="AB15" s="25"/>
      <c r="AC15" s="25"/>
      <c r="AD15" s="17"/>
      <c r="AE15" s="28"/>
    </row>
    <row r="16" spans="1:31" ht="30.75" thickBot="1" x14ac:dyDescent="0.3">
      <c r="A16" s="1"/>
      <c r="B16" s="2" t="s">
        <v>3</v>
      </c>
      <c r="C16" s="2" t="s">
        <v>4</v>
      </c>
      <c r="D16" s="2" t="s">
        <v>5</v>
      </c>
      <c r="E16" s="2" t="s">
        <v>6</v>
      </c>
      <c r="F16" s="2" t="s">
        <v>7</v>
      </c>
      <c r="G16" s="2" t="s">
        <v>8</v>
      </c>
      <c r="H16" s="2" t="s">
        <v>9</v>
      </c>
      <c r="I16" s="2" t="s">
        <v>93</v>
      </c>
      <c r="J16" s="1"/>
      <c r="K16" s="3" t="s">
        <v>3</v>
      </c>
      <c r="L16" s="3" t="s">
        <v>4</v>
      </c>
      <c r="M16" s="3" t="s">
        <v>5</v>
      </c>
      <c r="N16" s="3" t="s">
        <v>6</v>
      </c>
      <c r="O16" s="3" t="s">
        <v>7</v>
      </c>
      <c r="P16" s="3" t="s">
        <v>8</v>
      </c>
      <c r="Q16" s="3" t="s">
        <v>10</v>
      </c>
      <c r="R16" s="3" t="s">
        <v>93</v>
      </c>
      <c r="T16" s="24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7"/>
    </row>
    <row r="17" spans="2:31" ht="15.75" thickBot="1" x14ac:dyDescent="0.3">
      <c r="B17">
        <v>1</v>
      </c>
      <c r="C17">
        <v>1</v>
      </c>
      <c r="D17" t="s">
        <v>266</v>
      </c>
      <c r="E17" t="s">
        <v>108</v>
      </c>
      <c r="F17">
        <v>11.4</v>
      </c>
      <c r="G17" t="s">
        <v>141</v>
      </c>
      <c r="H17">
        <v>68</v>
      </c>
      <c r="I17" t="s">
        <v>94</v>
      </c>
      <c r="K17">
        <v>1</v>
      </c>
      <c r="L17">
        <v>1</v>
      </c>
      <c r="M17" t="s">
        <v>324</v>
      </c>
      <c r="N17" t="s">
        <v>270</v>
      </c>
      <c r="O17">
        <v>7.2</v>
      </c>
      <c r="P17" t="s">
        <v>141</v>
      </c>
      <c r="Q17">
        <v>76</v>
      </c>
      <c r="R17" t="s">
        <v>94</v>
      </c>
      <c r="T17" s="23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8"/>
    </row>
    <row r="18" spans="2:31" ht="15.75" thickBot="1" x14ac:dyDescent="0.3">
      <c r="B18">
        <v>1</v>
      </c>
      <c r="C18">
        <v>2</v>
      </c>
      <c r="D18" t="s">
        <v>332</v>
      </c>
      <c r="E18" t="s">
        <v>108</v>
      </c>
      <c r="F18">
        <v>7</v>
      </c>
      <c r="G18" t="s">
        <v>141</v>
      </c>
      <c r="H18">
        <v>71</v>
      </c>
      <c r="I18" t="s">
        <v>94</v>
      </c>
      <c r="K18">
        <v>1</v>
      </c>
      <c r="L18">
        <v>2</v>
      </c>
      <c r="M18" t="s">
        <v>332</v>
      </c>
      <c r="N18" t="s">
        <v>108</v>
      </c>
      <c r="O18">
        <v>7</v>
      </c>
      <c r="P18" t="s">
        <v>141</v>
      </c>
      <c r="Q18">
        <v>80</v>
      </c>
      <c r="R18" t="s">
        <v>94</v>
      </c>
      <c r="T18" s="23"/>
      <c r="U18" s="122" t="s">
        <v>89</v>
      </c>
      <c r="V18" s="123" t="s">
        <v>90</v>
      </c>
      <c r="W18" s="25"/>
      <c r="X18" s="173" t="s">
        <v>98</v>
      </c>
      <c r="Y18" s="174"/>
      <c r="Z18" s="174"/>
      <c r="AA18" s="174"/>
      <c r="AB18" s="175"/>
      <c r="AC18" s="25"/>
      <c r="AD18" s="25"/>
      <c r="AE18" s="28"/>
    </row>
    <row r="19" spans="2:31" x14ac:dyDescent="0.25">
      <c r="B19">
        <v>1</v>
      </c>
      <c r="C19">
        <v>3</v>
      </c>
      <c r="D19" t="s">
        <v>154</v>
      </c>
      <c r="E19" t="s">
        <v>108</v>
      </c>
      <c r="F19">
        <v>10.8</v>
      </c>
      <c r="G19" t="s">
        <v>141</v>
      </c>
      <c r="H19">
        <v>72</v>
      </c>
      <c r="I19" t="s">
        <v>94</v>
      </c>
      <c r="K19">
        <v>1</v>
      </c>
      <c r="L19">
        <v>3</v>
      </c>
      <c r="M19" t="s">
        <v>266</v>
      </c>
      <c r="N19" t="s">
        <v>108</v>
      </c>
      <c r="O19">
        <v>11.4</v>
      </c>
      <c r="P19" t="s">
        <v>141</v>
      </c>
      <c r="Q19">
        <v>82</v>
      </c>
      <c r="R19" t="s">
        <v>94</v>
      </c>
      <c r="T19" s="23"/>
      <c r="U19" s="5"/>
      <c r="V19" s="124"/>
      <c r="W19" s="25"/>
      <c r="X19" s="149" t="s">
        <v>94</v>
      </c>
      <c r="Y19" s="147"/>
      <c r="Z19" s="147" t="s">
        <v>92</v>
      </c>
      <c r="AA19" s="147"/>
      <c r="AB19" s="148"/>
      <c r="AC19" s="25"/>
      <c r="AD19" s="25"/>
      <c r="AE19" s="28"/>
    </row>
    <row r="20" spans="2:31" ht="15.75" thickBot="1" x14ac:dyDescent="0.3">
      <c r="B20">
        <v>1</v>
      </c>
      <c r="C20">
        <v>4</v>
      </c>
      <c r="D20" t="s">
        <v>324</v>
      </c>
      <c r="E20" t="s">
        <v>270</v>
      </c>
      <c r="F20">
        <v>7.2</v>
      </c>
      <c r="G20" t="s">
        <v>141</v>
      </c>
      <c r="H20">
        <v>73</v>
      </c>
      <c r="I20" t="s">
        <v>94</v>
      </c>
      <c r="K20">
        <v>1</v>
      </c>
      <c r="L20">
        <v>4</v>
      </c>
      <c r="M20" t="s">
        <v>333</v>
      </c>
      <c r="N20" t="s">
        <v>108</v>
      </c>
      <c r="O20">
        <v>7.8</v>
      </c>
      <c r="P20" t="s">
        <v>141</v>
      </c>
      <c r="Q20">
        <v>83</v>
      </c>
      <c r="R20" t="s">
        <v>94</v>
      </c>
      <c r="T20" s="23"/>
      <c r="U20" s="7" t="s">
        <v>83</v>
      </c>
      <c r="V20" s="125" t="s">
        <v>84</v>
      </c>
      <c r="W20" s="25"/>
      <c r="X20" s="150" t="s">
        <v>95</v>
      </c>
      <c r="Y20" s="26"/>
      <c r="Z20" s="26" t="s">
        <v>91</v>
      </c>
      <c r="AA20" s="26"/>
      <c r="AB20" s="27"/>
      <c r="AC20" s="25"/>
      <c r="AD20" s="25"/>
      <c r="AE20" s="28"/>
    </row>
    <row r="21" spans="2:31" ht="15.75" thickBot="1" x14ac:dyDescent="0.3">
      <c r="B21">
        <v>1</v>
      </c>
      <c r="C21">
        <v>5</v>
      </c>
      <c r="D21" t="s">
        <v>333</v>
      </c>
      <c r="E21" t="s">
        <v>108</v>
      </c>
      <c r="F21">
        <v>7.8</v>
      </c>
      <c r="G21" t="s">
        <v>141</v>
      </c>
      <c r="H21">
        <v>73</v>
      </c>
      <c r="I21" t="s">
        <v>94</v>
      </c>
      <c r="K21">
        <v>1</v>
      </c>
      <c r="L21">
        <v>5</v>
      </c>
      <c r="M21" t="s">
        <v>221</v>
      </c>
      <c r="N21" t="s">
        <v>108</v>
      </c>
      <c r="O21">
        <v>6.7</v>
      </c>
      <c r="P21" t="s">
        <v>141</v>
      </c>
      <c r="Q21">
        <v>83</v>
      </c>
      <c r="R21" t="s">
        <v>94</v>
      </c>
      <c r="T21" s="23"/>
      <c r="U21" s="7" t="s">
        <v>85</v>
      </c>
      <c r="V21" s="125" t="s">
        <v>86</v>
      </c>
      <c r="W21" s="25"/>
      <c r="X21" s="25"/>
      <c r="Y21" s="25"/>
      <c r="Z21" s="25"/>
      <c r="AA21" s="25"/>
      <c r="AB21" s="25"/>
      <c r="AC21" s="25"/>
      <c r="AD21" s="25"/>
      <c r="AE21" s="28"/>
    </row>
    <row r="22" spans="2:31" ht="15.75" thickBot="1" x14ac:dyDescent="0.3">
      <c r="B22">
        <v>1</v>
      </c>
      <c r="C22">
        <v>6</v>
      </c>
      <c r="D22" t="s">
        <v>146</v>
      </c>
      <c r="E22" t="s">
        <v>108</v>
      </c>
      <c r="F22">
        <v>8.1999999999999993</v>
      </c>
      <c r="G22" t="s">
        <v>141</v>
      </c>
      <c r="H22">
        <v>73</v>
      </c>
      <c r="I22" t="s">
        <v>94</v>
      </c>
      <c r="K22">
        <v>1</v>
      </c>
      <c r="L22">
        <v>6</v>
      </c>
      <c r="M22" t="s">
        <v>149</v>
      </c>
      <c r="N22" t="s">
        <v>108</v>
      </c>
      <c r="O22">
        <v>7.6</v>
      </c>
      <c r="P22" t="s">
        <v>141</v>
      </c>
      <c r="Q22">
        <v>83</v>
      </c>
      <c r="R22" t="s">
        <v>94</v>
      </c>
      <c r="T22" s="23"/>
      <c r="U22" s="126" t="s">
        <v>87</v>
      </c>
      <c r="V22" s="127" t="s">
        <v>88</v>
      </c>
      <c r="W22" s="25"/>
      <c r="X22" s="173" t="s">
        <v>99</v>
      </c>
      <c r="Y22" s="174"/>
      <c r="Z22" s="174"/>
      <c r="AA22" s="174"/>
      <c r="AB22" s="175"/>
      <c r="AC22" s="25"/>
      <c r="AD22" s="25"/>
      <c r="AE22" s="28"/>
    </row>
    <row r="23" spans="2:31" ht="15.75" thickBot="1" x14ac:dyDescent="0.3">
      <c r="B23">
        <v>1</v>
      </c>
      <c r="C23">
        <v>7</v>
      </c>
      <c r="D23" t="s">
        <v>149</v>
      </c>
      <c r="E23" t="s">
        <v>108</v>
      </c>
      <c r="F23">
        <v>7.6</v>
      </c>
      <c r="G23" t="s">
        <v>141</v>
      </c>
      <c r="H23">
        <v>74</v>
      </c>
      <c r="I23" t="s">
        <v>94</v>
      </c>
      <c r="K23">
        <v>1</v>
      </c>
      <c r="L23">
        <v>7</v>
      </c>
      <c r="M23" t="s">
        <v>156</v>
      </c>
      <c r="N23" t="s">
        <v>108</v>
      </c>
      <c r="O23">
        <v>7.6</v>
      </c>
      <c r="P23" t="s">
        <v>141</v>
      </c>
      <c r="Q23">
        <v>83</v>
      </c>
      <c r="R23" t="s">
        <v>94</v>
      </c>
      <c r="T23" s="23"/>
      <c r="U23" s="25"/>
      <c r="V23" s="25"/>
      <c r="W23" s="25"/>
      <c r="X23" s="151" t="s">
        <v>96</v>
      </c>
      <c r="Y23" s="145"/>
      <c r="Z23" s="145" t="s">
        <v>97</v>
      </c>
      <c r="AA23" s="145"/>
      <c r="AB23" s="146"/>
      <c r="AC23" s="25"/>
      <c r="AD23" s="25"/>
      <c r="AE23" s="28"/>
    </row>
    <row r="24" spans="2:31" ht="15.75" thickBot="1" x14ac:dyDescent="0.3">
      <c r="B24">
        <v>1</v>
      </c>
      <c r="C24">
        <v>8</v>
      </c>
      <c r="D24" t="s">
        <v>156</v>
      </c>
      <c r="E24" t="s">
        <v>108</v>
      </c>
      <c r="F24">
        <v>7.6</v>
      </c>
      <c r="G24" t="s">
        <v>141</v>
      </c>
      <c r="H24">
        <v>74</v>
      </c>
      <c r="I24" t="s">
        <v>94</v>
      </c>
      <c r="K24">
        <v>1</v>
      </c>
      <c r="L24">
        <v>8</v>
      </c>
      <c r="M24" t="s">
        <v>146</v>
      </c>
      <c r="N24" t="s">
        <v>108</v>
      </c>
      <c r="O24">
        <v>8.1999999999999993</v>
      </c>
      <c r="P24" t="s">
        <v>141</v>
      </c>
      <c r="Q24">
        <v>83</v>
      </c>
      <c r="R24" t="s">
        <v>94</v>
      </c>
      <c r="T24" s="24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7"/>
    </row>
    <row r="25" spans="2:31" x14ac:dyDescent="0.25">
      <c r="B25">
        <v>1</v>
      </c>
      <c r="C25">
        <v>9</v>
      </c>
      <c r="D25" t="s">
        <v>294</v>
      </c>
      <c r="E25" t="s">
        <v>270</v>
      </c>
      <c r="F25">
        <v>11.3</v>
      </c>
      <c r="G25" t="s">
        <v>141</v>
      </c>
      <c r="H25">
        <v>75</v>
      </c>
      <c r="I25" t="s">
        <v>94</v>
      </c>
      <c r="K25">
        <v>1</v>
      </c>
      <c r="L25">
        <v>9</v>
      </c>
      <c r="M25" t="s">
        <v>154</v>
      </c>
      <c r="N25" t="s">
        <v>108</v>
      </c>
      <c r="O25">
        <v>10.8</v>
      </c>
      <c r="P25" t="s">
        <v>141</v>
      </c>
      <c r="Q25">
        <v>85</v>
      </c>
      <c r="R25" t="s">
        <v>94</v>
      </c>
    </row>
    <row r="26" spans="2:31" x14ac:dyDescent="0.25">
      <c r="B26">
        <v>1</v>
      </c>
      <c r="C26">
        <v>10</v>
      </c>
      <c r="D26" t="s">
        <v>221</v>
      </c>
      <c r="E26" t="s">
        <v>108</v>
      </c>
      <c r="F26">
        <v>6.7</v>
      </c>
      <c r="G26" t="s">
        <v>141</v>
      </c>
      <c r="H26">
        <v>75</v>
      </c>
      <c r="I26" t="s">
        <v>94</v>
      </c>
      <c r="K26">
        <v>1</v>
      </c>
      <c r="L26">
        <v>10</v>
      </c>
      <c r="M26" t="s">
        <v>294</v>
      </c>
      <c r="N26" t="s">
        <v>270</v>
      </c>
      <c r="O26">
        <v>11.3</v>
      </c>
      <c r="P26" t="s">
        <v>141</v>
      </c>
      <c r="Q26">
        <v>89</v>
      </c>
      <c r="R26" t="s">
        <v>94</v>
      </c>
    </row>
    <row r="27" spans="2:31" ht="15.75" thickBot="1" x14ac:dyDescent="0.3">
      <c r="B27">
        <v>1</v>
      </c>
      <c r="C27">
        <v>1</v>
      </c>
      <c r="D27" t="s">
        <v>334</v>
      </c>
      <c r="E27" t="s">
        <v>108</v>
      </c>
      <c r="F27">
        <v>12.6</v>
      </c>
      <c r="G27" t="s">
        <v>141</v>
      </c>
      <c r="H27">
        <v>64</v>
      </c>
      <c r="I27" t="s">
        <v>94</v>
      </c>
      <c r="K27">
        <v>1</v>
      </c>
      <c r="L27">
        <v>1</v>
      </c>
      <c r="M27" t="s">
        <v>334</v>
      </c>
      <c r="N27" t="s">
        <v>108</v>
      </c>
      <c r="O27">
        <v>12.6</v>
      </c>
      <c r="P27" t="s">
        <v>141</v>
      </c>
      <c r="Q27">
        <v>75</v>
      </c>
      <c r="R27" t="s">
        <v>94</v>
      </c>
    </row>
    <row r="28" spans="2:31" ht="15.75" thickBot="1" x14ac:dyDescent="0.3">
      <c r="B28">
        <v>1</v>
      </c>
      <c r="C28">
        <v>2</v>
      </c>
      <c r="D28" t="s">
        <v>166</v>
      </c>
      <c r="E28" t="s">
        <v>108</v>
      </c>
      <c r="F28">
        <v>11.8</v>
      </c>
      <c r="G28" t="s">
        <v>141</v>
      </c>
      <c r="H28">
        <v>69</v>
      </c>
      <c r="I28" t="s">
        <v>94</v>
      </c>
      <c r="K28">
        <v>1</v>
      </c>
      <c r="L28">
        <v>2</v>
      </c>
      <c r="M28" t="s">
        <v>166</v>
      </c>
      <c r="N28" t="s">
        <v>108</v>
      </c>
      <c r="O28">
        <v>11.8</v>
      </c>
      <c r="P28" t="s">
        <v>141</v>
      </c>
      <c r="Q28">
        <v>80</v>
      </c>
      <c r="R28" t="s">
        <v>94</v>
      </c>
      <c r="T28" s="169"/>
      <c r="U28" s="166"/>
      <c r="V28" s="166"/>
      <c r="W28" s="163"/>
    </row>
    <row r="29" spans="2:31" ht="15.75" thickBot="1" x14ac:dyDescent="0.3">
      <c r="B29">
        <v>1</v>
      </c>
      <c r="C29">
        <v>3</v>
      </c>
      <c r="D29" t="s">
        <v>225</v>
      </c>
      <c r="E29" t="s">
        <v>108</v>
      </c>
      <c r="F29">
        <v>15.8</v>
      </c>
      <c r="G29" t="s">
        <v>141</v>
      </c>
      <c r="H29">
        <v>69</v>
      </c>
      <c r="I29" t="s">
        <v>94</v>
      </c>
      <c r="K29">
        <v>1</v>
      </c>
      <c r="L29">
        <v>3</v>
      </c>
      <c r="M29" t="s">
        <v>267</v>
      </c>
      <c r="N29" t="s">
        <v>108</v>
      </c>
      <c r="O29">
        <v>13.7</v>
      </c>
      <c r="P29" t="s">
        <v>141</v>
      </c>
      <c r="Q29">
        <v>83</v>
      </c>
      <c r="R29" t="s">
        <v>94</v>
      </c>
      <c r="T29" s="170"/>
      <c r="U29" s="161" t="s">
        <v>35</v>
      </c>
      <c r="V29" s="153" t="str">
        <f ca="1">MID(CELL("nomfichier",A1),FIND("]",CELL("nomfichier",A1))+1,LEN(CELL("nomfichier",A1))-FIND("]",CELL("nomfichier",A1)))</f>
        <v>Import Resultats Tour</v>
      </c>
      <c r="W29" s="164"/>
    </row>
    <row r="30" spans="2:31" ht="15.75" thickBot="1" x14ac:dyDescent="0.3">
      <c r="B30">
        <v>1</v>
      </c>
      <c r="C30">
        <v>4</v>
      </c>
      <c r="D30" t="s">
        <v>267</v>
      </c>
      <c r="E30" t="s">
        <v>108</v>
      </c>
      <c r="F30">
        <v>13.7</v>
      </c>
      <c r="G30" t="s">
        <v>141</v>
      </c>
      <c r="H30">
        <v>70</v>
      </c>
      <c r="I30" t="s">
        <v>94</v>
      </c>
      <c r="K30">
        <v>1</v>
      </c>
      <c r="L30">
        <v>4</v>
      </c>
      <c r="M30" t="s">
        <v>225</v>
      </c>
      <c r="N30" t="s">
        <v>108</v>
      </c>
      <c r="O30">
        <v>15.8</v>
      </c>
      <c r="P30" t="s">
        <v>141</v>
      </c>
      <c r="Q30">
        <v>84</v>
      </c>
      <c r="R30" t="s">
        <v>94</v>
      </c>
      <c r="T30" s="170"/>
      <c r="U30" s="161" t="s">
        <v>36</v>
      </c>
      <c r="V30" s="153" t="str">
        <f>_xlfn.CONCAT("Resultat LGS (",Tableau6[Type],")")</f>
        <v>Resultat LGS (ALL)</v>
      </c>
      <c r="W30" s="164"/>
    </row>
    <row r="31" spans="2:31" ht="15.75" thickBot="1" x14ac:dyDescent="0.3">
      <c r="B31">
        <v>1</v>
      </c>
      <c r="C31">
        <v>5</v>
      </c>
      <c r="D31" t="s">
        <v>301</v>
      </c>
      <c r="E31" t="s">
        <v>108</v>
      </c>
      <c r="F31">
        <v>15.7</v>
      </c>
      <c r="G31" t="s">
        <v>141</v>
      </c>
      <c r="H31">
        <v>71</v>
      </c>
      <c r="I31" t="s">
        <v>94</v>
      </c>
      <c r="K31">
        <v>1</v>
      </c>
      <c r="L31">
        <v>5</v>
      </c>
      <c r="M31" t="s">
        <v>171</v>
      </c>
      <c r="N31" t="s">
        <v>108</v>
      </c>
      <c r="O31">
        <v>11.8</v>
      </c>
      <c r="P31" t="s">
        <v>141</v>
      </c>
      <c r="Q31">
        <v>85</v>
      </c>
      <c r="R31" t="s">
        <v>94</v>
      </c>
      <c r="T31" s="170"/>
      <c r="U31" s="167"/>
      <c r="V31" s="168"/>
      <c r="W31" s="164"/>
    </row>
    <row r="32" spans="2:31" x14ac:dyDescent="0.25">
      <c r="B32">
        <v>1</v>
      </c>
      <c r="C32">
        <v>6</v>
      </c>
      <c r="D32" t="s">
        <v>167</v>
      </c>
      <c r="E32" t="s">
        <v>108</v>
      </c>
      <c r="F32">
        <v>13.7</v>
      </c>
      <c r="G32" t="s">
        <v>141</v>
      </c>
      <c r="H32">
        <v>74</v>
      </c>
      <c r="I32" t="s">
        <v>94</v>
      </c>
      <c r="K32">
        <v>1</v>
      </c>
      <c r="L32">
        <v>6</v>
      </c>
      <c r="M32" t="s">
        <v>301</v>
      </c>
      <c r="N32" t="s">
        <v>108</v>
      </c>
      <c r="O32">
        <v>15.7</v>
      </c>
      <c r="P32" t="s">
        <v>141</v>
      </c>
      <c r="Q32">
        <v>86</v>
      </c>
      <c r="R32" t="s">
        <v>94</v>
      </c>
      <c r="T32" s="170"/>
      <c r="U32" s="160" t="s">
        <v>34</v>
      </c>
      <c r="V32" s="155">
        <f>COUNTA($B$17:$B$7704)</f>
        <v>64</v>
      </c>
      <c r="W32" s="164"/>
    </row>
    <row r="33" spans="2:23" ht="15.75" thickBot="1" x14ac:dyDescent="0.3">
      <c r="B33">
        <v>1</v>
      </c>
      <c r="C33">
        <v>7</v>
      </c>
      <c r="D33" t="s">
        <v>191</v>
      </c>
      <c r="E33" t="s">
        <v>108</v>
      </c>
      <c r="F33">
        <v>17.100000000000001</v>
      </c>
      <c r="G33" t="s">
        <v>141</v>
      </c>
      <c r="H33">
        <v>74</v>
      </c>
      <c r="I33" t="s">
        <v>94</v>
      </c>
      <c r="K33">
        <v>1</v>
      </c>
      <c r="L33">
        <v>7</v>
      </c>
      <c r="M33" t="s">
        <v>176</v>
      </c>
      <c r="N33" t="s">
        <v>108</v>
      </c>
      <c r="O33">
        <v>11.5</v>
      </c>
      <c r="P33" t="s">
        <v>141</v>
      </c>
      <c r="Q33">
        <v>87</v>
      </c>
      <c r="R33" t="s">
        <v>94</v>
      </c>
      <c r="T33" s="170"/>
      <c r="U33" s="158" t="s">
        <v>33</v>
      </c>
      <c r="V33" s="156">
        <f>COUNTA($K$17:$K$7702)</f>
        <v>64</v>
      </c>
      <c r="W33" s="164"/>
    </row>
    <row r="34" spans="2:23" ht="15.75" thickBot="1" x14ac:dyDescent="0.3">
      <c r="B34">
        <v>1</v>
      </c>
      <c r="C34">
        <v>8</v>
      </c>
      <c r="D34" t="s">
        <v>171</v>
      </c>
      <c r="E34" t="s">
        <v>108</v>
      </c>
      <c r="F34">
        <v>11.8</v>
      </c>
      <c r="G34" t="s">
        <v>141</v>
      </c>
      <c r="H34">
        <v>74</v>
      </c>
      <c r="I34" t="s">
        <v>94</v>
      </c>
      <c r="K34">
        <v>1</v>
      </c>
      <c r="L34">
        <v>8</v>
      </c>
      <c r="M34" t="s">
        <v>167</v>
      </c>
      <c r="N34" t="s">
        <v>108</v>
      </c>
      <c r="O34">
        <v>13.7</v>
      </c>
      <c r="P34" t="s">
        <v>141</v>
      </c>
      <c r="Q34">
        <v>87</v>
      </c>
      <c r="R34" t="s">
        <v>94</v>
      </c>
      <c r="T34" s="170"/>
      <c r="U34" s="159" t="s">
        <v>3</v>
      </c>
      <c r="V34" s="157">
        <f>TourSelected</f>
        <v>7</v>
      </c>
      <c r="W34" s="164"/>
    </row>
    <row r="35" spans="2:23" ht="15.75" thickBot="1" x14ac:dyDescent="0.3">
      <c r="B35">
        <v>1</v>
      </c>
      <c r="C35">
        <v>9</v>
      </c>
      <c r="D35" t="s">
        <v>297</v>
      </c>
      <c r="E35" t="s">
        <v>108</v>
      </c>
      <c r="F35">
        <v>16.3</v>
      </c>
      <c r="G35" t="s">
        <v>141</v>
      </c>
      <c r="H35">
        <v>74</v>
      </c>
      <c r="I35" t="s">
        <v>94</v>
      </c>
      <c r="K35">
        <v>1</v>
      </c>
      <c r="L35">
        <v>9</v>
      </c>
      <c r="M35" t="s">
        <v>175</v>
      </c>
      <c r="N35" t="s">
        <v>108</v>
      </c>
      <c r="O35">
        <v>12.9</v>
      </c>
      <c r="P35" t="s">
        <v>141</v>
      </c>
      <c r="Q35">
        <v>87</v>
      </c>
      <c r="R35" t="s">
        <v>94</v>
      </c>
      <c r="T35" s="170"/>
      <c r="U35" s="167"/>
      <c r="V35" s="168"/>
      <c r="W35" s="164"/>
    </row>
    <row r="36" spans="2:23" x14ac:dyDescent="0.25">
      <c r="B36">
        <v>1</v>
      </c>
      <c r="C36">
        <v>10</v>
      </c>
      <c r="D36" t="s">
        <v>186</v>
      </c>
      <c r="E36" t="s">
        <v>108</v>
      </c>
      <c r="F36">
        <v>16.100000000000001</v>
      </c>
      <c r="G36" t="s">
        <v>141</v>
      </c>
      <c r="H36">
        <v>74</v>
      </c>
      <c r="I36" t="s">
        <v>94</v>
      </c>
      <c r="K36">
        <v>1</v>
      </c>
      <c r="L36">
        <v>10</v>
      </c>
      <c r="M36" t="s">
        <v>329</v>
      </c>
      <c r="N36" t="s">
        <v>108</v>
      </c>
      <c r="O36">
        <v>14</v>
      </c>
      <c r="P36" t="s">
        <v>141</v>
      </c>
      <c r="Q36">
        <v>87</v>
      </c>
      <c r="R36" t="s">
        <v>94</v>
      </c>
      <c r="T36" s="170"/>
      <c r="U36" s="154" t="s">
        <v>31</v>
      </c>
      <c r="V36" s="155"/>
      <c r="W36" s="164"/>
    </row>
    <row r="37" spans="2:23" ht="15.75" thickBot="1" x14ac:dyDescent="0.3">
      <c r="B37">
        <v>1</v>
      </c>
      <c r="C37">
        <v>11</v>
      </c>
      <c r="D37" t="s">
        <v>329</v>
      </c>
      <c r="E37" t="s">
        <v>108</v>
      </c>
      <c r="F37">
        <v>14</v>
      </c>
      <c r="G37" t="s">
        <v>141</v>
      </c>
      <c r="H37">
        <v>74</v>
      </c>
      <c r="I37" t="s">
        <v>94</v>
      </c>
      <c r="K37">
        <v>1</v>
      </c>
      <c r="L37">
        <v>11</v>
      </c>
      <c r="M37" t="s">
        <v>169</v>
      </c>
      <c r="N37" t="s">
        <v>108</v>
      </c>
      <c r="O37">
        <v>11.7</v>
      </c>
      <c r="P37" t="s">
        <v>141</v>
      </c>
      <c r="Q37">
        <v>87</v>
      </c>
      <c r="R37" t="s">
        <v>94</v>
      </c>
      <c r="T37" s="170"/>
      <c r="U37" s="158" t="s">
        <v>32</v>
      </c>
      <c r="V37" s="162">
        <f>DateImport</f>
        <v>45509</v>
      </c>
      <c r="W37" s="164"/>
    </row>
    <row r="38" spans="2:23" ht="15.75" thickBot="1" x14ac:dyDescent="0.3">
      <c r="B38">
        <v>1</v>
      </c>
      <c r="C38">
        <v>12</v>
      </c>
      <c r="D38" t="s">
        <v>304</v>
      </c>
      <c r="E38" t="s">
        <v>108</v>
      </c>
      <c r="F38">
        <v>18</v>
      </c>
      <c r="G38" t="s">
        <v>141</v>
      </c>
      <c r="H38">
        <v>75</v>
      </c>
      <c r="I38" t="s">
        <v>94</v>
      </c>
      <c r="K38">
        <v>1</v>
      </c>
      <c r="L38">
        <v>12</v>
      </c>
      <c r="M38" t="s">
        <v>163</v>
      </c>
      <c r="N38" t="s">
        <v>108</v>
      </c>
      <c r="O38">
        <v>14.4</v>
      </c>
      <c r="P38" t="s">
        <v>141</v>
      </c>
      <c r="Q38">
        <v>88</v>
      </c>
      <c r="R38" t="s">
        <v>94</v>
      </c>
      <c r="T38" s="171"/>
      <c r="U38" s="172"/>
      <c r="V38" s="172"/>
      <c r="W38" s="165"/>
    </row>
    <row r="39" spans="2:23" x14ac:dyDescent="0.25">
      <c r="B39">
        <v>1</v>
      </c>
      <c r="C39">
        <v>13</v>
      </c>
      <c r="D39" t="s">
        <v>175</v>
      </c>
      <c r="E39" t="s">
        <v>108</v>
      </c>
      <c r="F39">
        <v>12.9</v>
      </c>
      <c r="G39" t="s">
        <v>141</v>
      </c>
      <c r="H39">
        <v>75</v>
      </c>
      <c r="I39" t="s">
        <v>94</v>
      </c>
      <c r="K39">
        <v>1</v>
      </c>
      <c r="L39">
        <v>13</v>
      </c>
      <c r="M39" t="s">
        <v>229</v>
      </c>
      <c r="N39" t="s">
        <v>108</v>
      </c>
      <c r="O39">
        <v>11.5</v>
      </c>
      <c r="P39" t="s">
        <v>141</v>
      </c>
      <c r="Q39">
        <v>89</v>
      </c>
      <c r="R39" t="s">
        <v>94</v>
      </c>
    </row>
    <row r="40" spans="2:23" x14ac:dyDescent="0.25">
      <c r="B40">
        <v>1</v>
      </c>
      <c r="C40">
        <v>14</v>
      </c>
      <c r="D40" t="s">
        <v>163</v>
      </c>
      <c r="E40" t="s">
        <v>108</v>
      </c>
      <c r="F40">
        <v>14.4</v>
      </c>
      <c r="G40" t="s">
        <v>141</v>
      </c>
      <c r="H40">
        <v>75</v>
      </c>
      <c r="I40" t="s">
        <v>94</v>
      </c>
      <c r="K40">
        <v>1</v>
      </c>
      <c r="L40">
        <v>14</v>
      </c>
      <c r="M40" t="s">
        <v>223</v>
      </c>
      <c r="N40" t="s">
        <v>108</v>
      </c>
      <c r="O40">
        <v>13.4</v>
      </c>
      <c r="P40" t="s">
        <v>141</v>
      </c>
      <c r="Q40">
        <v>89</v>
      </c>
      <c r="R40" t="s">
        <v>94</v>
      </c>
    </row>
    <row r="41" spans="2:23" x14ac:dyDescent="0.25">
      <c r="B41">
        <v>1</v>
      </c>
      <c r="C41">
        <v>15</v>
      </c>
      <c r="D41" t="s">
        <v>234</v>
      </c>
      <c r="E41" t="s">
        <v>108</v>
      </c>
      <c r="F41">
        <v>16.100000000000001</v>
      </c>
      <c r="G41" t="s">
        <v>141</v>
      </c>
      <c r="H41">
        <v>76</v>
      </c>
      <c r="I41" t="s">
        <v>94</v>
      </c>
      <c r="K41">
        <v>1</v>
      </c>
      <c r="L41">
        <v>15</v>
      </c>
      <c r="M41" t="s">
        <v>186</v>
      </c>
      <c r="N41" t="s">
        <v>108</v>
      </c>
      <c r="O41">
        <v>16.100000000000001</v>
      </c>
      <c r="P41" t="s">
        <v>141</v>
      </c>
      <c r="Q41">
        <v>89</v>
      </c>
      <c r="R41" t="s">
        <v>94</v>
      </c>
    </row>
    <row r="42" spans="2:23" x14ac:dyDescent="0.25">
      <c r="B42">
        <v>1</v>
      </c>
      <c r="C42">
        <v>16</v>
      </c>
      <c r="D42" t="s">
        <v>305</v>
      </c>
      <c r="E42" t="s">
        <v>108</v>
      </c>
      <c r="F42">
        <v>17.399999999999999</v>
      </c>
      <c r="G42" t="s">
        <v>141</v>
      </c>
      <c r="H42">
        <v>76</v>
      </c>
      <c r="I42" t="s">
        <v>94</v>
      </c>
      <c r="K42">
        <v>1</v>
      </c>
      <c r="L42">
        <v>16</v>
      </c>
      <c r="M42" t="s">
        <v>191</v>
      </c>
      <c r="N42" t="s">
        <v>108</v>
      </c>
      <c r="O42">
        <v>17.100000000000001</v>
      </c>
      <c r="P42" t="s">
        <v>141</v>
      </c>
      <c r="Q42">
        <v>90</v>
      </c>
      <c r="R42" t="s">
        <v>94</v>
      </c>
    </row>
    <row r="43" spans="2:23" x14ac:dyDescent="0.25">
      <c r="B43">
        <v>1</v>
      </c>
      <c r="C43">
        <v>17</v>
      </c>
      <c r="D43" t="s">
        <v>176</v>
      </c>
      <c r="E43" t="s">
        <v>108</v>
      </c>
      <c r="F43">
        <v>11.5</v>
      </c>
      <c r="G43" t="s">
        <v>141</v>
      </c>
      <c r="H43">
        <v>77</v>
      </c>
      <c r="I43" t="s">
        <v>94</v>
      </c>
      <c r="K43">
        <v>1</v>
      </c>
      <c r="L43">
        <v>17</v>
      </c>
      <c r="M43" t="s">
        <v>297</v>
      </c>
      <c r="N43" t="s">
        <v>108</v>
      </c>
      <c r="O43">
        <v>16.3</v>
      </c>
      <c r="P43" t="s">
        <v>141</v>
      </c>
      <c r="Q43">
        <v>90</v>
      </c>
      <c r="R43" t="s">
        <v>94</v>
      </c>
    </row>
    <row r="44" spans="2:23" x14ac:dyDescent="0.25">
      <c r="B44">
        <v>1</v>
      </c>
      <c r="C44">
        <v>18</v>
      </c>
      <c r="D44" t="s">
        <v>231</v>
      </c>
      <c r="E44" t="s">
        <v>108</v>
      </c>
      <c r="F44">
        <v>15.9</v>
      </c>
      <c r="G44" t="s">
        <v>141</v>
      </c>
      <c r="H44">
        <v>77</v>
      </c>
      <c r="I44" t="s">
        <v>94</v>
      </c>
      <c r="K44">
        <v>1</v>
      </c>
      <c r="L44">
        <v>18</v>
      </c>
      <c r="M44" t="s">
        <v>234</v>
      </c>
      <c r="N44" t="s">
        <v>108</v>
      </c>
      <c r="O44">
        <v>16.100000000000001</v>
      </c>
      <c r="P44" t="s">
        <v>141</v>
      </c>
      <c r="Q44">
        <v>91</v>
      </c>
      <c r="R44" t="s">
        <v>94</v>
      </c>
    </row>
    <row r="45" spans="2:23" x14ac:dyDescent="0.25">
      <c r="B45">
        <v>1</v>
      </c>
      <c r="C45">
        <v>19</v>
      </c>
      <c r="D45" t="s">
        <v>223</v>
      </c>
      <c r="E45" t="s">
        <v>108</v>
      </c>
      <c r="F45">
        <v>13.4</v>
      </c>
      <c r="G45" t="s">
        <v>141</v>
      </c>
      <c r="H45">
        <v>77</v>
      </c>
      <c r="I45" t="s">
        <v>94</v>
      </c>
      <c r="K45">
        <v>1</v>
      </c>
      <c r="L45">
        <v>19</v>
      </c>
      <c r="M45" t="s">
        <v>188</v>
      </c>
      <c r="N45" t="s">
        <v>108</v>
      </c>
      <c r="O45">
        <v>13.9</v>
      </c>
      <c r="P45" t="s">
        <v>141</v>
      </c>
      <c r="Q45">
        <v>91</v>
      </c>
      <c r="R45" t="s">
        <v>94</v>
      </c>
    </row>
    <row r="46" spans="2:23" x14ac:dyDescent="0.25">
      <c r="B46">
        <v>1</v>
      </c>
      <c r="C46">
        <v>20</v>
      </c>
      <c r="D46" t="s">
        <v>169</v>
      </c>
      <c r="E46" t="s">
        <v>108</v>
      </c>
      <c r="F46">
        <v>11.7</v>
      </c>
      <c r="G46" t="s">
        <v>141</v>
      </c>
      <c r="H46">
        <v>77</v>
      </c>
      <c r="I46" t="s">
        <v>94</v>
      </c>
      <c r="K46">
        <v>1</v>
      </c>
      <c r="L46">
        <v>20</v>
      </c>
      <c r="M46" t="s">
        <v>231</v>
      </c>
      <c r="N46" t="s">
        <v>108</v>
      </c>
      <c r="O46">
        <v>15.9</v>
      </c>
      <c r="P46" t="s">
        <v>141</v>
      </c>
      <c r="Q46">
        <v>92</v>
      </c>
      <c r="R46" t="s">
        <v>94</v>
      </c>
    </row>
    <row r="47" spans="2:23" x14ac:dyDescent="0.25">
      <c r="B47">
        <v>1</v>
      </c>
      <c r="C47">
        <v>21</v>
      </c>
      <c r="D47" t="s">
        <v>192</v>
      </c>
      <c r="E47" t="s">
        <v>108</v>
      </c>
      <c r="F47">
        <v>14.8</v>
      </c>
      <c r="G47" t="s">
        <v>141</v>
      </c>
      <c r="H47">
        <v>78</v>
      </c>
      <c r="I47" t="s">
        <v>94</v>
      </c>
      <c r="K47">
        <v>1</v>
      </c>
      <c r="L47">
        <v>21</v>
      </c>
      <c r="M47" t="s">
        <v>304</v>
      </c>
      <c r="N47" t="s">
        <v>108</v>
      </c>
      <c r="O47">
        <v>18</v>
      </c>
      <c r="P47" t="s">
        <v>141</v>
      </c>
      <c r="Q47">
        <v>92</v>
      </c>
      <c r="R47" t="s">
        <v>94</v>
      </c>
    </row>
    <row r="48" spans="2:23" x14ac:dyDescent="0.25">
      <c r="B48">
        <v>1</v>
      </c>
      <c r="C48">
        <v>22</v>
      </c>
      <c r="D48" t="s">
        <v>188</v>
      </c>
      <c r="E48" t="s">
        <v>108</v>
      </c>
      <c r="F48">
        <v>13.9</v>
      </c>
      <c r="G48" t="s">
        <v>141</v>
      </c>
      <c r="H48">
        <v>78</v>
      </c>
      <c r="I48" t="s">
        <v>94</v>
      </c>
      <c r="K48">
        <v>1</v>
      </c>
      <c r="L48">
        <v>22</v>
      </c>
      <c r="M48" t="s">
        <v>192</v>
      </c>
      <c r="N48" t="s">
        <v>108</v>
      </c>
      <c r="O48">
        <v>14.8</v>
      </c>
      <c r="P48" t="s">
        <v>141</v>
      </c>
      <c r="Q48">
        <v>92</v>
      </c>
      <c r="R48" t="s">
        <v>94</v>
      </c>
    </row>
    <row r="49" spans="2:18" x14ac:dyDescent="0.25">
      <c r="B49">
        <v>1</v>
      </c>
      <c r="C49">
        <v>23</v>
      </c>
      <c r="D49" t="s">
        <v>229</v>
      </c>
      <c r="E49" t="s">
        <v>108</v>
      </c>
      <c r="F49">
        <v>11.5</v>
      </c>
      <c r="G49" t="s">
        <v>141</v>
      </c>
      <c r="H49">
        <v>79</v>
      </c>
      <c r="I49" t="s">
        <v>94</v>
      </c>
      <c r="K49">
        <v>1</v>
      </c>
      <c r="L49">
        <v>23</v>
      </c>
      <c r="M49" t="s">
        <v>305</v>
      </c>
      <c r="N49" t="s">
        <v>108</v>
      </c>
      <c r="O49">
        <v>17.399999999999999</v>
      </c>
      <c r="P49" t="s">
        <v>141</v>
      </c>
      <c r="Q49">
        <v>93</v>
      </c>
      <c r="R49" t="s">
        <v>94</v>
      </c>
    </row>
    <row r="50" spans="2:18" x14ac:dyDescent="0.25">
      <c r="B50">
        <v>1</v>
      </c>
      <c r="C50">
        <v>24</v>
      </c>
      <c r="D50" t="s">
        <v>180</v>
      </c>
      <c r="E50" t="s">
        <v>108</v>
      </c>
      <c r="F50">
        <v>14.8</v>
      </c>
      <c r="G50" t="s">
        <v>141</v>
      </c>
      <c r="H50">
        <v>80</v>
      </c>
      <c r="I50" t="s">
        <v>94</v>
      </c>
      <c r="K50">
        <v>1</v>
      </c>
      <c r="L50">
        <v>24</v>
      </c>
      <c r="M50" t="s">
        <v>268</v>
      </c>
      <c r="N50" t="s">
        <v>108</v>
      </c>
      <c r="O50">
        <v>14.3</v>
      </c>
      <c r="P50" t="s">
        <v>141</v>
      </c>
      <c r="Q50">
        <v>94</v>
      </c>
      <c r="R50" t="s">
        <v>94</v>
      </c>
    </row>
    <row r="51" spans="2:18" x14ac:dyDescent="0.25">
      <c r="B51">
        <v>1</v>
      </c>
      <c r="C51">
        <v>25</v>
      </c>
      <c r="D51" t="s">
        <v>193</v>
      </c>
      <c r="E51" t="s">
        <v>108</v>
      </c>
      <c r="F51">
        <v>16.5</v>
      </c>
      <c r="G51" t="s">
        <v>141</v>
      </c>
      <c r="H51">
        <v>81</v>
      </c>
      <c r="I51" t="s">
        <v>94</v>
      </c>
      <c r="K51">
        <v>1</v>
      </c>
      <c r="L51">
        <v>25</v>
      </c>
      <c r="M51" t="s">
        <v>180</v>
      </c>
      <c r="N51" t="s">
        <v>108</v>
      </c>
      <c r="O51">
        <v>14.8</v>
      </c>
      <c r="P51" t="s">
        <v>141</v>
      </c>
      <c r="Q51">
        <v>94</v>
      </c>
      <c r="R51" t="s">
        <v>94</v>
      </c>
    </row>
    <row r="52" spans="2:18" x14ac:dyDescent="0.25">
      <c r="B52">
        <v>1</v>
      </c>
      <c r="C52">
        <v>26</v>
      </c>
      <c r="D52" t="s">
        <v>268</v>
      </c>
      <c r="E52" t="s">
        <v>108</v>
      </c>
      <c r="F52">
        <v>14.3</v>
      </c>
      <c r="G52" t="s">
        <v>141</v>
      </c>
      <c r="H52">
        <v>81</v>
      </c>
      <c r="I52" t="s">
        <v>94</v>
      </c>
      <c r="K52">
        <v>1</v>
      </c>
      <c r="L52">
        <v>26</v>
      </c>
      <c r="M52" t="s">
        <v>193</v>
      </c>
      <c r="N52" t="s">
        <v>108</v>
      </c>
      <c r="O52">
        <v>16.5</v>
      </c>
      <c r="P52" t="s">
        <v>141</v>
      </c>
      <c r="Q52">
        <v>97</v>
      </c>
      <c r="R52" t="s">
        <v>94</v>
      </c>
    </row>
    <row r="53" spans="2:18" x14ac:dyDescent="0.25">
      <c r="B53">
        <v>1</v>
      </c>
      <c r="C53">
        <v>27</v>
      </c>
      <c r="D53" t="s">
        <v>236</v>
      </c>
      <c r="E53" t="s">
        <v>108</v>
      </c>
      <c r="F53">
        <v>16.7</v>
      </c>
      <c r="G53" t="s">
        <v>141</v>
      </c>
      <c r="H53">
        <v>83</v>
      </c>
      <c r="I53" t="s">
        <v>94</v>
      </c>
      <c r="K53">
        <v>1</v>
      </c>
      <c r="L53">
        <v>27</v>
      </c>
      <c r="M53" t="s">
        <v>236</v>
      </c>
      <c r="N53" t="s">
        <v>108</v>
      </c>
      <c r="O53">
        <v>16.7</v>
      </c>
      <c r="P53" t="s">
        <v>141</v>
      </c>
      <c r="Q53">
        <v>99</v>
      </c>
      <c r="R53" t="s">
        <v>94</v>
      </c>
    </row>
    <row r="54" spans="2:18" x14ac:dyDescent="0.25">
      <c r="B54">
        <v>1</v>
      </c>
      <c r="C54">
        <v>28</v>
      </c>
      <c r="D54" t="s">
        <v>235</v>
      </c>
      <c r="E54" t="s">
        <v>108</v>
      </c>
      <c r="F54">
        <v>14.6</v>
      </c>
      <c r="G54" t="s">
        <v>141</v>
      </c>
      <c r="H54">
        <v>88</v>
      </c>
      <c r="I54" t="s">
        <v>94</v>
      </c>
      <c r="K54">
        <v>1</v>
      </c>
      <c r="L54">
        <v>28</v>
      </c>
      <c r="M54" t="s">
        <v>235</v>
      </c>
      <c r="N54" t="s">
        <v>108</v>
      </c>
      <c r="O54">
        <v>14.6</v>
      </c>
      <c r="P54" t="s">
        <v>141</v>
      </c>
      <c r="Q54">
        <v>102</v>
      </c>
      <c r="R54" t="s">
        <v>94</v>
      </c>
    </row>
    <row r="55" spans="2:18" x14ac:dyDescent="0.25">
      <c r="B55">
        <v>1</v>
      </c>
      <c r="C55">
        <v>1</v>
      </c>
      <c r="D55" t="s">
        <v>242</v>
      </c>
      <c r="E55" t="s">
        <v>108</v>
      </c>
      <c r="F55">
        <v>24.7</v>
      </c>
      <c r="G55" t="s">
        <v>141</v>
      </c>
      <c r="H55">
        <v>69</v>
      </c>
      <c r="I55" t="s">
        <v>94</v>
      </c>
      <c r="K55">
        <v>1</v>
      </c>
      <c r="L55">
        <v>1</v>
      </c>
      <c r="M55" t="s">
        <v>203</v>
      </c>
      <c r="N55" t="s">
        <v>108</v>
      </c>
      <c r="O55">
        <v>18.899999999999999</v>
      </c>
      <c r="P55" t="s">
        <v>141</v>
      </c>
      <c r="Q55">
        <v>86</v>
      </c>
      <c r="R55" t="s">
        <v>94</v>
      </c>
    </row>
    <row r="56" spans="2:18" x14ac:dyDescent="0.25">
      <c r="B56">
        <v>1</v>
      </c>
      <c r="C56">
        <v>2</v>
      </c>
      <c r="D56" t="s">
        <v>277</v>
      </c>
      <c r="E56" t="s">
        <v>108</v>
      </c>
      <c r="F56">
        <v>22.9</v>
      </c>
      <c r="G56" t="s">
        <v>141</v>
      </c>
      <c r="H56">
        <v>69</v>
      </c>
      <c r="I56" t="s">
        <v>94</v>
      </c>
      <c r="K56">
        <v>1</v>
      </c>
      <c r="L56">
        <v>2</v>
      </c>
      <c r="M56" t="s">
        <v>196</v>
      </c>
      <c r="N56" t="s">
        <v>108</v>
      </c>
      <c r="O56">
        <v>20.2</v>
      </c>
      <c r="P56" t="s">
        <v>141</v>
      </c>
      <c r="Q56">
        <v>87</v>
      </c>
      <c r="R56" t="s">
        <v>94</v>
      </c>
    </row>
    <row r="57" spans="2:18" x14ac:dyDescent="0.25">
      <c r="B57">
        <v>1</v>
      </c>
      <c r="C57">
        <v>3</v>
      </c>
      <c r="D57" t="s">
        <v>196</v>
      </c>
      <c r="E57" t="s">
        <v>108</v>
      </c>
      <c r="F57">
        <v>20.2</v>
      </c>
      <c r="G57" t="s">
        <v>141</v>
      </c>
      <c r="H57">
        <v>70</v>
      </c>
      <c r="I57" t="s">
        <v>94</v>
      </c>
      <c r="K57">
        <v>1</v>
      </c>
      <c r="L57">
        <v>3</v>
      </c>
      <c r="M57" t="s">
        <v>247</v>
      </c>
      <c r="N57" t="s">
        <v>108</v>
      </c>
      <c r="O57">
        <v>20.399999999999999</v>
      </c>
      <c r="P57" t="s">
        <v>141</v>
      </c>
      <c r="Q57">
        <v>87</v>
      </c>
      <c r="R57" t="s">
        <v>94</v>
      </c>
    </row>
    <row r="58" spans="2:18" x14ac:dyDescent="0.25">
      <c r="B58">
        <v>1</v>
      </c>
      <c r="C58">
        <v>4</v>
      </c>
      <c r="D58" t="s">
        <v>247</v>
      </c>
      <c r="E58" t="s">
        <v>108</v>
      </c>
      <c r="F58">
        <v>20.399999999999999</v>
      </c>
      <c r="G58" t="s">
        <v>141</v>
      </c>
      <c r="H58">
        <v>70</v>
      </c>
      <c r="I58" t="s">
        <v>94</v>
      </c>
      <c r="K58">
        <v>1</v>
      </c>
      <c r="L58">
        <v>4</v>
      </c>
      <c r="M58" t="s">
        <v>277</v>
      </c>
      <c r="N58" t="s">
        <v>108</v>
      </c>
      <c r="O58">
        <v>22.9</v>
      </c>
      <c r="P58" t="s">
        <v>141</v>
      </c>
      <c r="Q58">
        <v>88</v>
      </c>
      <c r="R58" t="s">
        <v>94</v>
      </c>
    </row>
    <row r="59" spans="2:18" x14ac:dyDescent="0.25">
      <c r="B59">
        <v>1</v>
      </c>
      <c r="C59">
        <v>5</v>
      </c>
      <c r="D59" t="s">
        <v>203</v>
      </c>
      <c r="E59" t="s">
        <v>108</v>
      </c>
      <c r="F59">
        <v>18.899999999999999</v>
      </c>
      <c r="G59" t="s">
        <v>141</v>
      </c>
      <c r="H59">
        <v>71</v>
      </c>
      <c r="I59" t="s">
        <v>94</v>
      </c>
      <c r="K59">
        <v>1</v>
      </c>
      <c r="L59">
        <v>5</v>
      </c>
      <c r="M59" t="s">
        <v>242</v>
      </c>
      <c r="N59" t="s">
        <v>108</v>
      </c>
      <c r="O59">
        <v>24.7</v>
      </c>
      <c r="P59" t="s">
        <v>141</v>
      </c>
      <c r="Q59">
        <v>90</v>
      </c>
      <c r="R59" t="s">
        <v>94</v>
      </c>
    </row>
    <row r="60" spans="2:18" x14ac:dyDescent="0.25">
      <c r="B60">
        <v>1</v>
      </c>
      <c r="C60">
        <v>6</v>
      </c>
      <c r="D60" t="s">
        <v>212</v>
      </c>
      <c r="E60" t="s">
        <v>108</v>
      </c>
      <c r="F60">
        <v>25</v>
      </c>
      <c r="G60" t="s">
        <v>141</v>
      </c>
      <c r="H60">
        <v>73</v>
      </c>
      <c r="I60" t="s">
        <v>94</v>
      </c>
      <c r="K60">
        <v>1</v>
      </c>
      <c r="L60">
        <v>6</v>
      </c>
      <c r="M60" t="s">
        <v>251</v>
      </c>
      <c r="N60" t="s">
        <v>108</v>
      </c>
      <c r="O60">
        <v>22</v>
      </c>
      <c r="P60" t="s">
        <v>141</v>
      </c>
      <c r="Q60">
        <v>91</v>
      </c>
      <c r="R60" t="s">
        <v>94</v>
      </c>
    </row>
    <row r="61" spans="2:18" x14ac:dyDescent="0.25">
      <c r="B61">
        <v>1</v>
      </c>
      <c r="C61">
        <v>7</v>
      </c>
      <c r="D61" t="s">
        <v>251</v>
      </c>
      <c r="E61" t="s">
        <v>108</v>
      </c>
      <c r="F61">
        <v>22</v>
      </c>
      <c r="G61" t="s">
        <v>141</v>
      </c>
      <c r="H61">
        <v>73</v>
      </c>
      <c r="I61" t="s">
        <v>94</v>
      </c>
      <c r="K61">
        <v>1</v>
      </c>
      <c r="L61">
        <v>7</v>
      </c>
      <c r="M61" t="s">
        <v>252</v>
      </c>
      <c r="N61" t="s">
        <v>108</v>
      </c>
      <c r="O61">
        <v>20.7</v>
      </c>
      <c r="P61" t="s">
        <v>141</v>
      </c>
      <c r="Q61">
        <v>92</v>
      </c>
      <c r="R61" t="s">
        <v>94</v>
      </c>
    </row>
    <row r="62" spans="2:18" x14ac:dyDescent="0.25">
      <c r="B62">
        <v>1</v>
      </c>
      <c r="C62">
        <v>8</v>
      </c>
      <c r="D62" t="s">
        <v>315</v>
      </c>
      <c r="E62" t="s">
        <v>108</v>
      </c>
      <c r="F62">
        <v>23.7</v>
      </c>
      <c r="G62" t="s">
        <v>141</v>
      </c>
      <c r="H62">
        <v>75</v>
      </c>
      <c r="I62" t="s">
        <v>94</v>
      </c>
      <c r="K62">
        <v>1</v>
      </c>
      <c r="L62">
        <v>8</v>
      </c>
      <c r="M62" t="s">
        <v>273</v>
      </c>
      <c r="N62" t="s">
        <v>108</v>
      </c>
      <c r="O62">
        <v>21.7</v>
      </c>
      <c r="P62" t="s">
        <v>141</v>
      </c>
      <c r="Q62">
        <v>94</v>
      </c>
      <c r="R62" t="s">
        <v>94</v>
      </c>
    </row>
    <row r="63" spans="2:18" x14ac:dyDescent="0.25">
      <c r="B63">
        <v>1</v>
      </c>
      <c r="C63">
        <v>9</v>
      </c>
      <c r="D63" t="s">
        <v>255</v>
      </c>
      <c r="E63" t="s">
        <v>108</v>
      </c>
      <c r="F63">
        <v>22.6</v>
      </c>
      <c r="G63" t="s">
        <v>141</v>
      </c>
      <c r="H63">
        <v>75</v>
      </c>
      <c r="I63" t="s">
        <v>94</v>
      </c>
      <c r="K63">
        <v>1</v>
      </c>
      <c r="L63">
        <v>9</v>
      </c>
      <c r="M63" t="s">
        <v>271</v>
      </c>
      <c r="N63" t="s">
        <v>108</v>
      </c>
      <c r="O63">
        <v>19.8</v>
      </c>
      <c r="P63" t="s">
        <v>141</v>
      </c>
      <c r="Q63">
        <v>94</v>
      </c>
      <c r="R63" t="s">
        <v>94</v>
      </c>
    </row>
    <row r="64" spans="2:18" x14ac:dyDescent="0.25">
      <c r="B64">
        <v>1</v>
      </c>
      <c r="C64">
        <v>10</v>
      </c>
      <c r="D64" t="s">
        <v>252</v>
      </c>
      <c r="E64" t="s">
        <v>108</v>
      </c>
      <c r="F64">
        <v>20.7</v>
      </c>
      <c r="G64" t="s">
        <v>141</v>
      </c>
      <c r="H64">
        <v>75</v>
      </c>
      <c r="I64" t="s">
        <v>94</v>
      </c>
      <c r="K64">
        <v>1</v>
      </c>
      <c r="L64">
        <v>10</v>
      </c>
      <c r="M64" t="s">
        <v>255</v>
      </c>
      <c r="N64" t="s">
        <v>108</v>
      </c>
      <c r="O64">
        <v>22.6</v>
      </c>
      <c r="P64" t="s">
        <v>141</v>
      </c>
      <c r="Q64">
        <v>94</v>
      </c>
      <c r="R64" t="s">
        <v>94</v>
      </c>
    </row>
    <row r="65" spans="2:18" x14ac:dyDescent="0.25">
      <c r="B65">
        <v>1</v>
      </c>
      <c r="C65">
        <v>11</v>
      </c>
      <c r="D65" t="s">
        <v>273</v>
      </c>
      <c r="E65" t="s">
        <v>108</v>
      </c>
      <c r="F65">
        <v>21.7</v>
      </c>
      <c r="G65" t="s">
        <v>141</v>
      </c>
      <c r="H65">
        <v>76</v>
      </c>
      <c r="I65" t="s">
        <v>94</v>
      </c>
      <c r="K65">
        <v>1</v>
      </c>
      <c r="L65">
        <v>11</v>
      </c>
      <c r="M65" t="s">
        <v>335</v>
      </c>
      <c r="N65" t="s">
        <v>108</v>
      </c>
      <c r="O65">
        <v>19.399999999999999</v>
      </c>
      <c r="P65" t="s">
        <v>141</v>
      </c>
      <c r="Q65">
        <v>94</v>
      </c>
      <c r="R65" t="s">
        <v>94</v>
      </c>
    </row>
    <row r="66" spans="2:18" x14ac:dyDescent="0.25">
      <c r="B66">
        <v>1</v>
      </c>
      <c r="C66">
        <v>12</v>
      </c>
      <c r="D66" t="s">
        <v>311</v>
      </c>
      <c r="E66" t="s">
        <v>108</v>
      </c>
      <c r="F66">
        <v>25.1</v>
      </c>
      <c r="G66" t="s">
        <v>141</v>
      </c>
      <c r="H66">
        <v>76</v>
      </c>
      <c r="I66" t="s">
        <v>94</v>
      </c>
      <c r="K66">
        <v>1</v>
      </c>
      <c r="L66">
        <v>12</v>
      </c>
      <c r="M66" t="s">
        <v>214</v>
      </c>
      <c r="N66" t="s">
        <v>108</v>
      </c>
      <c r="O66">
        <v>20.100000000000001</v>
      </c>
      <c r="P66" t="s">
        <v>141</v>
      </c>
      <c r="Q66">
        <v>94</v>
      </c>
      <c r="R66" t="s">
        <v>94</v>
      </c>
    </row>
    <row r="67" spans="2:18" x14ac:dyDescent="0.25">
      <c r="B67">
        <v>1</v>
      </c>
      <c r="C67">
        <v>13</v>
      </c>
      <c r="D67" t="s">
        <v>209</v>
      </c>
      <c r="E67" t="s">
        <v>108</v>
      </c>
      <c r="F67">
        <v>23.1</v>
      </c>
      <c r="G67" t="s">
        <v>141</v>
      </c>
      <c r="H67">
        <v>77</v>
      </c>
      <c r="I67" t="s">
        <v>94</v>
      </c>
      <c r="K67">
        <v>1</v>
      </c>
      <c r="L67">
        <v>13</v>
      </c>
      <c r="M67" t="s">
        <v>315</v>
      </c>
      <c r="N67" t="s">
        <v>108</v>
      </c>
      <c r="O67">
        <v>23.7</v>
      </c>
      <c r="P67" t="s">
        <v>141</v>
      </c>
      <c r="Q67">
        <v>95</v>
      </c>
      <c r="R67" t="s">
        <v>94</v>
      </c>
    </row>
    <row r="68" spans="2:18" x14ac:dyDescent="0.25">
      <c r="B68">
        <v>1</v>
      </c>
      <c r="C68">
        <v>14</v>
      </c>
      <c r="D68" t="s">
        <v>271</v>
      </c>
      <c r="E68" t="s">
        <v>108</v>
      </c>
      <c r="F68">
        <v>19.8</v>
      </c>
      <c r="G68" t="s">
        <v>141</v>
      </c>
      <c r="H68">
        <v>78</v>
      </c>
      <c r="I68" t="s">
        <v>94</v>
      </c>
      <c r="K68">
        <v>1</v>
      </c>
      <c r="L68">
        <v>14</v>
      </c>
      <c r="M68" t="s">
        <v>212</v>
      </c>
      <c r="N68" t="s">
        <v>108</v>
      </c>
      <c r="O68">
        <v>25</v>
      </c>
      <c r="P68" t="s">
        <v>141</v>
      </c>
      <c r="Q68">
        <v>95</v>
      </c>
      <c r="R68" t="s">
        <v>94</v>
      </c>
    </row>
    <row r="69" spans="2:18" x14ac:dyDescent="0.25">
      <c r="B69">
        <v>1</v>
      </c>
      <c r="C69">
        <v>15</v>
      </c>
      <c r="D69" t="s">
        <v>335</v>
      </c>
      <c r="E69" t="s">
        <v>108</v>
      </c>
      <c r="F69">
        <v>19.399999999999999</v>
      </c>
      <c r="G69" t="s">
        <v>141</v>
      </c>
      <c r="H69">
        <v>78</v>
      </c>
      <c r="I69" t="s">
        <v>94</v>
      </c>
      <c r="K69">
        <v>1</v>
      </c>
      <c r="L69">
        <v>15</v>
      </c>
      <c r="M69" t="s">
        <v>217</v>
      </c>
      <c r="N69" t="s">
        <v>108</v>
      </c>
      <c r="O69">
        <v>20.6</v>
      </c>
      <c r="P69" t="s">
        <v>141</v>
      </c>
      <c r="Q69">
        <v>96</v>
      </c>
      <c r="R69" t="s">
        <v>94</v>
      </c>
    </row>
    <row r="70" spans="2:18" x14ac:dyDescent="0.25">
      <c r="B70">
        <v>1</v>
      </c>
      <c r="C70">
        <v>16</v>
      </c>
      <c r="D70" t="s">
        <v>214</v>
      </c>
      <c r="E70" t="s">
        <v>108</v>
      </c>
      <c r="F70">
        <v>20.100000000000001</v>
      </c>
      <c r="G70" t="s">
        <v>141</v>
      </c>
      <c r="H70">
        <v>78</v>
      </c>
      <c r="I70" t="s">
        <v>94</v>
      </c>
      <c r="K70">
        <v>1</v>
      </c>
      <c r="L70">
        <v>16</v>
      </c>
      <c r="M70" t="s">
        <v>209</v>
      </c>
      <c r="N70" t="s">
        <v>108</v>
      </c>
      <c r="O70">
        <v>23.1</v>
      </c>
      <c r="P70" t="s">
        <v>141</v>
      </c>
      <c r="Q70">
        <v>97</v>
      </c>
      <c r="R70" t="s">
        <v>94</v>
      </c>
    </row>
    <row r="71" spans="2:18" x14ac:dyDescent="0.25">
      <c r="B71">
        <v>1</v>
      </c>
      <c r="C71">
        <v>17</v>
      </c>
      <c r="D71" t="s">
        <v>202</v>
      </c>
      <c r="E71" t="s">
        <v>108</v>
      </c>
      <c r="F71">
        <v>25.1</v>
      </c>
      <c r="G71" t="s">
        <v>141</v>
      </c>
      <c r="H71">
        <v>79</v>
      </c>
      <c r="I71" t="s">
        <v>94</v>
      </c>
      <c r="K71">
        <v>1</v>
      </c>
      <c r="L71">
        <v>17</v>
      </c>
      <c r="M71" t="s">
        <v>336</v>
      </c>
      <c r="N71" t="s">
        <v>108</v>
      </c>
      <c r="O71">
        <v>20.3</v>
      </c>
      <c r="P71" t="s">
        <v>141</v>
      </c>
      <c r="Q71">
        <v>98</v>
      </c>
      <c r="R71" t="s">
        <v>94</v>
      </c>
    </row>
    <row r="72" spans="2:18" x14ac:dyDescent="0.25">
      <c r="B72">
        <v>1</v>
      </c>
      <c r="C72">
        <v>18</v>
      </c>
      <c r="D72" t="s">
        <v>217</v>
      </c>
      <c r="E72" t="s">
        <v>108</v>
      </c>
      <c r="F72">
        <v>20.6</v>
      </c>
      <c r="G72" t="s">
        <v>141</v>
      </c>
      <c r="H72">
        <v>79</v>
      </c>
      <c r="I72" t="s">
        <v>94</v>
      </c>
      <c r="K72">
        <v>1</v>
      </c>
      <c r="L72">
        <v>18</v>
      </c>
      <c r="M72" t="s">
        <v>311</v>
      </c>
      <c r="N72" t="s">
        <v>108</v>
      </c>
      <c r="O72">
        <v>25.1</v>
      </c>
      <c r="P72" t="s">
        <v>141</v>
      </c>
      <c r="Q72">
        <v>98</v>
      </c>
      <c r="R72" t="s">
        <v>94</v>
      </c>
    </row>
    <row r="73" spans="2:18" x14ac:dyDescent="0.25">
      <c r="B73">
        <v>1</v>
      </c>
      <c r="C73">
        <v>19</v>
      </c>
      <c r="D73" t="s">
        <v>206</v>
      </c>
      <c r="E73" t="s">
        <v>108</v>
      </c>
      <c r="F73">
        <v>23.1</v>
      </c>
      <c r="G73" t="s">
        <v>141</v>
      </c>
      <c r="H73">
        <v>80</v>
      </c>
      <c r="I73" t="s">
        <v>94</v>
      </c>
      <c r="K73">
        <v>1</v>
      </c>
      <c r="L73">
        <v>19</v>
      </c>
      <c r="M73" t="s">
        <v>206</v>
      </c>
      <c r="N73" t="s">
        <v>108</v>
      </c>
      <c r="O73">
        <v>23.1</v>
      </c>
      <c r="P73" t="s">
        <v>141</v>
      </c>
      <c r="Q73">
        <v>100</v>
      </c>
      <c r="R73" t="s">
        <v>94</v>
      </c>
    </row>
    <row r="74" spans="2:18" x14ac:dyDescent="0.25">
      <c r="B74">
        <v>1</v>
      </c>
      <c r="C74">
        <v>20</v>
      </c>
      <c r="D74" t="s">
        <v>213</v>
      </c>
      <c r="E74" t="s">
        <v>108</v>
      </c>
      <c r="F74">
        <v>29.1</v>
      </c>
      <c r="G74" t="s">
        <v>141</v>
      </c>
      <c r="H74">
        <v>81</v>
      </c>
      <c r="I74" t="s">
        <v>94</v>
      </c>
      <c r="K74">
        <v>1</v>
      </c>
      <c r="L74">
        <v>20</v>
      </c>
      <c r="M74" t="s">
        <v>202</v>
      </c>
      <c r="N74" t="s">
        <v>108</v>
      </c>
      <c r="O74">
        <v>25.1</v>
      </c>
      <c r="P74" t="s">
        <v>141</v>
      </c>
      <c r="Q74">
        <v>101</v>
      </c>
      <c r="R74" t="s">
        <v>94</v>
      </c>
    </row>
    <row r="75" spans="2:18" x14ac:dyDescent="0.25">
      <c r="B75">
        <v>1</v>
      </c>
      <c r="C75">
        <v>21</v>
      </c>
      <c r="D75" t="s">
        <v>336</v>
      </c>
      <c r="E75" t="s">
        <v>108</v>
      </c>
      <c r="F75">
        <v>20.3</v>
      </c>
      <c r="G75" t="s">
        <v>141</v>
      </c>
      <c r="H75">
        <v>81</v>
      </c>
      <c r="I75" t="s">
        <v>94</v>
      </c>
      <c r="K75">
        <v>1</v>
      </c>
      <c r="L75">
        <v>21</v>
      </c>
      <c r="M75" t="s">
        <v>313</v>
      </c>
      <c r="N75" t="s">
        <v>108</v>
      </c>
      <c r="O75">
        <v>22</v>
      </c>
      <c r="P75" t="s">
        <v>141</v>
      </c>
      <c r="Q75">
        <v>101</v>
      </c>
      <c r="R75" t="s">
        <v>94</v>
      </c>
    </row>
    <row r="76" spans="2:18" x14ac:dyDescent="0.25">
      <c r="B76">
        <v>1</v>
      </c>
      <c r="C76">
        <v>22</v>
      </c>
      <c r="D76" t="s">
        <v>313</v>
      </c>
      <c r="E76" t="s">
        <v>108</v>
      </c>
      <c r="F76">
        <v>22</v>
      </c>
      <c r="G76" t="s">
        <v>141</v>
      </c>
      <c r="H76">
        <v>83</v>
      </c>
      <c r="I76" t="s">
        <v>94</v>
      </c>
      <c r="K76">
        <v>1</v>
      </c>
      <c r="L76">
        <v>22</v>
      </c>
      <c r="M76" t="s">
        <v>213</v>
      </c>
      <c r="N76" t="s">
        <v>108</v>
      </c>
      <c r="O76">
        <v>29.1</v>
      </c>
      <c r="P76" t="s">
        <v>141</v>
      </c>
      <c r="Q76">
        <v>104</v>
      </c>
      <c r="R76" t="s">
        <v>94</v>
      </c>
    </row>
    <row r="77" spans="2:18" x14ac:dyDescent="0.25">
      <c r="B77">
        <v>1</v>
      </c>
      <c r="C77">
        <v>1</v>
      </c>
      <c r="D77" t="s">
        <v>117</v>
      </c>
      <c r="E77" t="s">
        <v>108</v>
      </c>
      <c r="F77">
        <v>15.7</v>
      </c>
      <c r="G77" t="s">
        <v>141</v>
      </c>
      <c r="H77">
        <v>70</v>
      </c>
      <c r="I77" t="s">
        <v>95</v>
      </c>
      <c r="K77">
        <v>1</v>
      </c>
      <c r="L77">
        <v>1</v>
      </c>
      <c r="M77" t="s">
        <v>321</v>
      </c>
      <c r="N77" t="s">
        <v>108</v>
      </c>
      <c r="O77">
        <v>9.3000000000000007</v>
      </c>
      <c r="P77" t="s">
        <v>141</v>
      </c>
      <c r="Q77">
        <v>86</v>
      </c>
      <c r="R77" t="s">
        <v>95</v>
      </c>
    </row>
    <row r="78" spans="2:18" x14ac:dyDescent="0.25">
      <c r="B78">
        <v>1</v>
      </c>
      <c r="C78">
        <v>2</v>
      </c>
      <c r="D78" t="s">
        <v>321</v>
      </c>
      <c r="E78" t="s">
        <v>108</v>
      </c>
      <c r="F78">
        <v>9.3000000000000007</v>
      </c>
      <c r="G78" t="s">
        <v>141</v>
      </c>
      <c r="H78">
        <v>75</v>
      </c>
      <c r="I78" t="s">
        <v>95</v>
      </c>
      <c r="K78">
        <v>1</v>
      </c>
      <c r="L78">
        <v>2</v>
      </c>
      <c r="M78" t="s">
        <v>117</v>
      </c>
      <c r="N78" t="s">
        <v>108</v>
      </c>
      <c r="O78">
        <v>15.7</v>
      </c>
      <c r="P78" t="s">
        <v>141</v>
      </c>
      <c r="Q78">
        <v>88</v>
      </c>
      <c r="R78" t="s">
        <v>95</v>
      </c>
    </row>
    <row r="79" spans="2:18" x14ac:dyDescent="0.25">
      <c r="B79">
        <v>1</v>
      </c>
      <c r="C79">
        <v>3</v>
      </c>
      <c r="D79" t="s">
        <v>261</v>
      </c>
      <c r="E79" t="s">
        <v>108</v>
      </c>
      <c r="F79">
        <v>16.899999999999999</v>
      </c>
      <c r="G79" t="s">
        <v>141</v>
      </c>
      <c r="H79">
        <v>76</v>
      </c>
      <c r="I79" t="s">
        <v>95</v>
      </c>
      <c r="K79">
        <v>1</v>
      </c>
      <c r="L79">
        <v>3</v>
      </c>
      <c r="M79" t="s">
        <v>261</v>
      </c>
      <c r="N79" t="s">
        <v>108</v>
      </c>
      <c r="O79">
        <v>16.899999999999999</v>
      </c>
      <c r="P79" t="s">
        <v>141</v>
      </c>
      <c r="Q79">
        <v>95</v>
      </c>
      <c r="R79" t="s">
        <v>95</v>
      </c>
    </row>
    <row r="80" spans="2:18" x14ac:dyDescent="0.25">
      <c r="B80">
        <v>1</v>
      </c>
      <c r="C80">
        <v>1</v>
      </c>
      <c r="D80" t="s">
        <v>119</v>
      </c>
      <c r="E80" t="s">
        <v>108</v>
      </c>
      <c r="F80">
        <v>29</v>
      </c>
      <c r="G80" t="s">
        <v>141</v>
      </c>
      <c r="H80">
        <v>69</v>
      </c>
      <c r="I80" t="s">
        <v>95</v>
      </c>
      <c r="K80">
        <v>1</v>
      </c>
      <c r="L80">
        <v>1</v>
      </c>
      <c r="M80" t="s">
        <v>119</v>
      </c>
      <c r="N80" t="s">
        <v>108</v>
      </c>
      <c r="O80">
        <v>29</v>
      </c>
      <c r="P80" t="s">
        <v>141</v>
      </c>
      <c r="Q80">
        <v>95</v>
      </c>
      <c r="R80" t="s">
        <v>95</v>
      </c>
    </row>
    <row r="81" spans="6:15" x14ac:dyDescent="0.25">
      <c r="F81"/>
      <c r="O81"/>
    </row>
    <row r="82" spans="6:15" x14ac:dyDescent="0.25">
      <c r="F82"/>
      <c r="O82"/>
    </row>
    <row r="83" spans="6:15" x14ac:dyDescent="0.25">
      <c r="F83"/>
      <c r="O83"/>
    </row>
    <row r="84" spans="6:15" x14ac:dyDescent="0.25">
      <c r="F84"/>
      <c r="O84"/>
    </row>
    <row r="85" spans="6:15" x14ac:dyDescent="0.25">
      <c r="F85"/>
      <c r="O85"/>
    </row>
    <row r="86" spans="6:15" x14ac:dyDescent="0.25">
      <c r="F86"/>
      <c r="O86"/>
    </row>
    <row r="87" spans="6:15" x14ac:dyDescent="0.25">
      <c r="F87"/>
      <c r="O87"/>
    </row>
    <row r="88" spans="6:15" x14ac:dyDescent="0.25">
      <c r="F88"/>
      <c r="O88"/>
    </row>
    <row r="89" spans="6:15" x14ac:dyDescent="0.25">
      <c r="F89"/>
      <c r="O89"/>
    </row>
    <row r="90" spans="6:15" x14ac:dyDescent="0.25">
      <c r="F90"/>
      <c r="O90"/>
    </row>
    <row r="91" spans="6:15" x14ac:dyDescent="0.25">
      <c r="F91"/>
      <c r="O91"/>
    </row>
    <row r="92" spans="6:15" x14ac:dyDescent="0.25">
      <c r="F92"/>
      <c r="O92"/>
    </row>
    <row r="93" spans="6:15" x14ac:dyDescent="0.25">
      <c r="F93"/>
      <c r="O93"/>
    </row>
    <row r="94" spans="6:15" x14ac:dyDescent="0.25">
      <c r="F94"/>
      <c r="O94"/>
    </row>
    <row r="95" spans="6:15" x14ac:dyDescent="0.25">
      <c r="F95"/>
      <c r="O95"/>
    </row>
    <row r="96" spans="6:15" x14ac:dyDescent="0.25">
      <c r="F96"/>
      <c r="O96"/>
    </row>
    <row r="97" spans="6:15" x14ac:dyDescent="0.25">
      <c r="F97"/>
      <c r="O97"/>
    </row>
    <row r="98" spans="6:15" x14ac:dyDescent="0.25">
      <c r="F98"/>
      <c r="O98"/>
    </row>
    <row r="99" spans="6:15" x14ac:dyDescent="0.25">
      <c r="F99"/>
      <c r="O99"/>
    </row>
    <row r="100" spans="6:15" x14ac:dyDescent="0.25">
      <c r="F100"/>
      <c r="O100"/>
    </row>
    <row r="101" spans="6:15" x14ac:dyDescent="0.25">
      <c r="F101"/>
      <c r="O101"/>
    </row>
    <row r="102" spans="6:15" x14ac:dyDescent="0.25">
      <c r="F102"/>
      <c r="O102"/>
    </row>
    <row r="103" spans="6:15" x14ac:dyDescent="0.25">
      <c r="F103"/>
      <c r="O103"/>
    </row>
    <row r="104" spans="6:15" x14ac:dyDescent="0.25">
      <c r="F104"/>
      <c r="O104"/>
    </row>
    <row r="105" spans="6:15" x14ac:dyDescent="0.25">
      <c r="F105"/>
      <c r="O105"/>
    </row>
    <row r="106" spans="6:15" x14ac:dyDescent="0.25">
      <c r="F106"/>
      <c r="O106"/>
    </row>
    <row r="107" spans="6:15" x14ac:dyDescent="0.25">
      <c r="F107"/>
      <c r="O107"/>
    </row>
    <row r="108" spans="6:15" x14ac:dyDescent="0.25">
      <c r="F108"/>
      <c r="O108"/>
    </row>
    <row r="109" spans="6:15" x14ac:dyDescent="0.25">
      <c r="F109"/>
      <c r="O109"/>
    </row>
    <row r="110" spans="6:15" x14ac:dyDescent="0.25">
      <c r="F110"/>
      <c r="O110"/>
    </row>
    <row r="111" spans="6:15" x14ac:dyDescent="0.25">
      <c r="F111"/>
      <c r="O111"/>
    </row>
    <row r="112" spans="6:15" x14ac:dyDescent="0.25">
      <c r="F112"/>
      <c r="O112"/>
    </row>
    <row r="113" spans="6:15" x14ac:dyDescent="0.25">
      <c r="F113"/>
      <c r="O113"/>
    </row>
    <row r="114" spans="6:15" x14ac:dyDescent="0.25">
      <c r="F114"/>
      <c r="O114"/>
    </row>
    <row r="115" spans="6:15" x14ac:dyDescent="0.25">
      <c r="F115"/>
      <c r="O115"/>
    </row>
    <row r="116" spans="6:15" x14ac:dyDescent="0.25">
      <c r="F116"/>
      <c r="O116"/>
    </row>
    <row r="117" spans="6:15" x14ac:dyDescent="0.25">
      <c r="F117"/>
      <c r="O117"/>
    </row>
    <row r="118" spans="6:15" x14ac:dyDescent="0.25">
      <c r="F118"/>
      <c r="O118"/>
    </row>
    <row r="119" spans="6:15" x14ac:dyDescent="0.25">
      <c r="F119"/>
      <c r="O119"/>
    </row>
    <row r="120" spans="6:15" x14ac:dyDescent="0.25">
      <c r="F120"/>
      <c r="O120"/>
    </row>
    <row r="121" spans="6:15" x14ac:dyDescent="0.25">
      <c r="F121"/>
      <c r="O121"/>
    </row>
    <row r="122" spans="6:15" x14ac:dyDescent="0.25">
      <c r="F122"/>
      <c r="O122"/>
    </row>
    <row r="123" spans="6:15" x14ac:dyDescent="0.25">
      <c r="F123"/>
      <c r="O123"/>
    </row>
    <row r="124" spans="6:15" x14ac:dyDescent="0.25">
      <c r="F124"/>
      <c r="O124"/>
    </row>
    <row r="125" spans="6:15" x14ac:dyDescent="0.25">
      <c r="F125"/>
      <c r="O125"/>
    </row>
    <row r="126" spans="6:15" x14ac:dyDescent="0.25">
      <c r="F126"/>
      <c r="O126"/>
    </row>
    <row r="127" spans="6:15" x14ac:dyDescent="0.25">
      <c r="F127"/>
      <c r="O127"/>
    </row>
    <row r="128" spans="6:15" x14ac:dyDescent="0.25">
      <c r="F128"/>
      <c r="O128"/>
    </row>
    <row r="129" spans="6:15" x14ac:dyDescent="0.25">
      <c r="F129"/>
      <c r="O129"/>
    </row>
    <row r="130" spans="6:15" x14ac:dyDescent="0.25">
      <c r="F130"/>
      <c r="O130"/>
    </row>
    <row r="131" spans="6:15" x14ac:dyDescent="0.25">
      <c r="F131"/>
      <c r="O131"/>
    </row>
    <row r="132" spans="6:15" x14ac:dyDescent="0.25">
      <c r="F132"/>
      <c r="O132"/>
    </row>
    <row r="133" spans="6:15" x14ac:dyDescent="0.25">
      <c r="F133"/>
      <c r="O133"/>
    </row>
    <row r="134" spans="6:15" x14ac:dyDescent="0.25">
      <c r="F134"/>
      <c r="O134"/>
    </row>
    <row r="135" spans="6:15" x14ac:dyDescent="0.25">
      <c r="F135"/>
      <c r="O135"/>
    </row>
    <row r="136" spans="6:15" x14ac:dyDescent="0.25">
      <c r="F136"/>
      <c r="O136"/>
    </row>
    <row r="137" spans="6:15" x14ac:dyDescent="0.25">
      <c r="F137"/>
      <c r="O137"/>
    </row>
    <row r="138" spans="6:15" x14ac:dyDescent="0.25">
      <c r="F138"/>
      <c r="O138"/>
    </row>
    <row r="139" spans="6:15" x14ac:dyDescent="0.25">
      <c r="F139"/>
      <c r="O139"/>
    </row>
    <row r="140" spans="6:15" x14ac:dyDescent="0.25">
      <c r="F140"/>
      <c r="O140"/>
    </row>
    <row r="141" spans="6:15" x14ac:dyDescent="0.25">
      <c r="F141"/>
      <c r="O141"/>
    </row>
    <row r="142" spans="6:15" x14ac:dyDescent="0.25">
      <c r="F142"/>
      <c r="O142"/>
    </row>
    <row r="143" spans="6:15" x14ac:dyDescent="0.25">
      <c r="F143"/>
      <c r="O143"/>
    </row>
    <row r="144" spans="6:15" x14ac:dyDescent="0.25">
      <c r="F144"/>
      <c r="O144"/>
    </row>
    <row r="145" spans="6:15" x14ac:dyDescent="0.25">
      <c r="F145"/>
      <c r="O145"/>
    </row>
    <row r="146" spans="6:15" x14ac:dyDescent="0.25">
      <c r="F146"/>
      <c r="O146"/>
    </row>
    <row r="147" spans="6:15" x14ac:dyDescent="0.25">
      <c r="F147"/>
      <c r="O147"/>
    </row>
    <row r="148" spans="6:15" x14ac:dyDescent="0.25">
      <c r="F148"/>
      <c r="O148"/>
    </row>
    <row r="149" spans="6:15" x14ac:dyDescent="0.25">
      <c r="F149"/>
      <c r="O149"/>
    </row>
    <row r="150" spans="6:15" x14ac:dyDescent="0.25">
      <c r="F150"/>
      <c r="O150"/>
    </row>
    <row r="151" spans="6:15" x14ac:dyDescent="0.25">
      <c r="F151"/>
      <c r="O151"/>
    </row>
    <row r="152" spans="6:15" x14ac:dyDescent="0.25">
      <c r="F152"/>
      <c r="O152"/>
    </row>
    <row r="153" spans="6:15" x14ac:dyDescent="0.25">
      <c r="F153"/>
      <c r="O153"/>
    </row>
    <row r="154" spans="6:15" x14ac:dyDescent="0.25">
      <c r="F154"/>
      <c r="O154"/>
    </row>
    <row r="155" spans="6:15" x14ac:dyDescent="0.25">
      <c r="F155"/>
      <c r="O155"/>
    </row>
    <row r="156" spans="6:15" x14ac:dyDescent="0.25">
      <c r="F156"/>
      <c r="O156"/>
    </row>
    <row r="157" spans="6:15" x14ac:dyDescent="0.25">
      <c r="F157"/>
      <c r="O157"/>
    </row>
    <row r="158" spans="6:15" x14ac:dyDescent="0.25">
      <c r="F158"/>
      <c r="O158"/>
    </row>
    <row r="159" spans="6:15" x14ac:dyDescent="0.25">
      <c r="F159"/>
      <c r="O159"/>
    </row>
    <row r="160" spans="6:15" x14ac:dyDescent="0.25">
      <c r="F160"/>
      <c r="O160"/>
    </row>
    <row r="161" spans="6:15" x14ac:dyDescent="0.25">
      <c r="F161"/>
      <c r="O161"/>
    </row>
    <row r="162" spans="6:15" x14ac:dyDescent="0.25">
      <c r="F162"/>
      <c r="O162"/>
    </row>
    <row r="163" spans="6:15" x14ac:dyDescent="0.25">
      <c r="F163"/>
      <c r="O163"/>
    </row>
    <row r="164" spans="6:15" x14ac:dyDescent="0.25">
      <c r="F164"/>
      <c r="O164"/>
    </row>
    <row r="165" spans="6:15" x14ac:dyDescent="0.25">
      <c r="F165"/>
      <c r="O165"/>
    </row>
    <row r="166" spans="6:15" x14ac:dyDescent="0.25">
      <c r="F166"/>
      <c r="O166"/>
    </row>
    <row r="167" spans="6:15" x14ac:dyDescent="0.25">
      <c r="F167"/>
      <c r="O167"/>
    </row>
    <row r="168" spans="6:15" x14ac:dyDescent="0.25">
      <c r="F168"/>
      <c r="O168"/>
    </row>
    <row r="169" spans="6:15" x14ac:dyDescent="0.25">
      <c r="F169"/>
      <c r="O169"/>
    </row>
    <row r="170" spans="6:15" x14ac:dyDescent="0.25">
      <c r="F170"/>
      <c r="O170"/>
    </row>
    <row r="171" spans="6:15" x14ac:dyDescent="0.25">
      <c r="F171"/>
      <c r="O171"/>
    </row>
    <row r="172" spans="6:15" x14ac:dyDescent="0.25">
      <c r="F172"/>
      <c r="O172"/>
    </row>
    <row r="173" spans="6:15" x14ac:dyDescent="0.25">
      <c r="F173"/>
      <c r="O173"/>
    </row>
    <row r="174" spans="6:15" x14ac:dyDescent="0.25">
      <c r="F174"/>
      <c r="O174"/>
    </row>
    <row r="175" spans="6:15" x14ac:dyDescent="0.25">
      <c r="F175"/>
      <c r="O175"/>
    </row>
    <row r="176" spans="6:15" x14ac:dyDescent="0.25">
      <c r="F176"/>
      <c r="O176"/>
    </row>
    <row r="177" spans="6:15" x14ac:dyDescent="0.25">
      <c r="F177"/>
      <c r="O177"/>
    </row>
    <row r="178" spans="6:15" x14ac:dyDescent="0.25">
      <c r="F178"/>
      <c r="O178"/>
    </row>
    <row r="179" spans="6:15" x14ac:dyDescent="0.25">
      <c r="F179"/>
      <c r="O179"/>
    </row>
    <row r="180" spans="6:15" x14ac:dyDescent="0.25">
      <c r="F180"/>
      <c r="O180"/>
    </row>
    <row r="181" spans="6:15" x14ac:dyDescent="0.25">
      <c r="F181"/>
      <c r="O181"/>
    </row>
    <row r="182" spans="6:15" x14ac:dyDescent="0.25">
      <c r="F182"/>
      <c r="O182"/>
    </row>
    <row r="183" spans="6:15" x14ac:dyDescent="0.25">
      <c r="F183"/>
      <c r="O183"/>
    </row>
    <row r="184" spans="6:15" x14ac:dyDescent="0.25">
      <c r="F184"/>
      <c r="O184"/>
    </row>
    <row r="185" spans="6:15" x14ac:dyDescent="0.25">
      <c r="F185"/>
      <c r="O185"/>
    </row>
    <row r="186" spans="6:15" x14ac:dyDescent="0.25">
      <c r="F186"/>
      <c r="O186"/>
    </row>
    <row r="187" spans="6:15" x14ac:dyDescent="0.25">
      <c r="F187"/>
      <c r="O187"/>
    </row>
    <row r="188" spans="6:15" x14ac:dyDescent="0.25">
      <c r="F188"/>
      <c r="O188"/>
    </row>
    <row r="189" spans="6:15" x14ac:dyDescent="0.25">
      <c r="F189"/>
      <c r="O189"/>
    </row>
    <row r="190" spans="6:15" x14ac:dyDescent="0.25">
      <c r="F190"/>
      <c r="O190"/>
    </row>
    <row r="191" spans="6:15" x14ac:dyDescent="0.25">
      <c r="F191"/>
      <c r="O191"/>
    </row>
    <row r="192" spans="6:15" x14ac:dyDescent="0.25">
      <c r="F192"/>
      <c r="O192"/>
    </row>
    <row r="193" spans="6:15" x14ac:dyDescent="0.25">
      <c r="F193"/>
      <c r="O193"/>
    </row>
    <row r="194" spans="6:15" x14ac:dyDescent="0.25">
      <c r="F194"/>
      <c r="O194"/>
    </row>
    <row r="195" spans="6:15" x14ac:dyDescent="0.25">
      <c r="F195"/>
      <c r="O195"/>
    </row>
    <row r="196" spans="6:15" x14ac:dyDescent="0.25">
      <c r="F196"/>
      <c r="O196"/>
    </row>
    <row r="197" spans="6:15" x14ac:dyDescent="0.25">
      <c r="F197"/>
      <c r="O197"/>
    </row>
    <row r="198" spans="6:15" x14ac:dyDescent="0.25">
      <c r="F198"/>
      <c r="O198"/>
    </row>
    <row r="199" spans="6:15" x14ac:dyDescent="0.25">
      <c r="F199"/>
      <c r="O199"/>
    </row>
    <row r="200" spans="6:15" x14ac:dyDescent="0.25">
      <c r="F200"/>
      <c r="O200"/>
    </row>
    <row r="201" spans="6:15" x14ac:dyDescent="0.25">
      <c r="F201"/>
      <c r="O201"/>
    </row>
    <row r="202" spans="6:15" x14ac:dyDescent="0.25">
      <c r="F202"/>
      <c r="O202"/>
    </row>
    <row r="203" spans="6:15" x14ac:dyDescent="0.25">
      <c r="F203"/>
      <c r="O203"/>
    </row>
    <row r="204" spans="6:15" x14ac:dyDescent="0.25">
      <c r="F204"/>
      <c r="O204"/>
    </row>
    <row r="205" spans="6:15" x14ac:dyDescent="0.25">
      <c r="F205"/>
      <c r="O205"/>
    </row>
    <row r="206" spans="6:15" x14ac:dyDescent="0.25">
      <c r="F206"/>
      <c r="O206"/>
    </row>
    <row r="207" spans="6:15" x14ac:dyDescent="0.25">
      <c r="F207"/>
      <c r="O207"/>
    </row>
    <row r="208" spans="6:15" x14ac:dyDescent="0.25">
      <c r="F208"/>
      <c r="O208"/>
    </row>
    <row r="209" spans="6:15" x14ac:dyDescent="0.25">
      <c r="F209"/>
      <c r="O209"/>
    </row>
    <row r="210" spans="6:15" x14ac:dyDescent="0.25">
      <c r="F210"/>
      <c r="O210"/>
    </row>
    <row r="211" spans="6:15" x14ac:dyDescent="0.25">
      <c r="F211"/>
      <c r="O211"/>
    </row>
    <row r="212" spans="6:15" x14ac:dyDescent="0.25">
      <c r="F212"/>
      <c r="O212"/>
    </row>
    <row r="213" spans="6:15" x14ac:dyDescent="0.25">
      <c r="F213"/>
      <c r="O213"/>
    </row>
    <row r="214" spans="6:15" x14ac:dyDescent="0.25">
      <c r="F214"/>
      <c r="O214"/>
    </row>
    <row r="215" spans="6:15" x14ac:dyDescent="0.25">
      <c r="F215"/>
      <c r="O215"/>
    </row>
    <row r="216" spans="6:15" x14ac:dyDescent="0.25">
      <c r="F216"/>
      <c r="O216"/>
    </row>
    <row r="217" spans="6:15" x14ac:dyDescent="0.25">
      <c r="F217"/>
      <c r="O217"/>
    </row>
    <row r="218" spans="6:15" x14ac:dyDescent="0.25">
      <c r="F218"/>
      <c r="O218"/>
    </row>
    <row r="219" spans="6:15" x14ac:dyDescent="0.25">
      <c r="F219"/>
      <c r="O219"/>
    </row>
    <row r="220" spans="6:15" x14ac:dyDescent="0.25">
      <c r="F220"/>
      <c r="O220"/>
    </row>
    <row r="221" spans="6:15" x14ac:dyDescent="0.25">
      <c r="F221"/>
      <c r="O221"/>
    </row>
    <row r="222" spans="6:15" x14ac:dyDescent="0.25">
      <c r="F222"/>
      <c r="O222"/>
    </row>
    <row r="223" spans="6:15" x14ac:dyDescent="0.25">
      <c r="F223"/>
      <c r="O223"/>
    </row>
    <row r="224" spans="6:15" x14ac:dyDescent="0.25">
      <c r="F224"/>
      <c r="O224"/>
    </row>
    <row r="225" spans="6:15" x14ac:dyDescent="0.25">
      <c r="F225"/>
      <c r="O225"/>
    </row>
    <row r="226" spans="6:15" x14ac:dyDescent="0.25">
      <c r="F226"/>
      <c r="O226"/>
    </row>
    <row r="227" spans="6:15" x14ac:dyDescent="0.25">
      <c r="F227"/>
      <c r="O227"/>
    </row>
    <row r="228" spans="6:15" x14ac:dyDescent="0.25">
      <c r="F228"/>
      <c r="O228"/>
    </row>
    <row r="229" spans="6:15" x14ac:dyDescent="0.25">
      <c r="F229"/>
      <c r="O229"/>
    </row>
    <row r="230" spans="6:15" x14ac:dyDescent="0.25">
      <c r="F230"/>
      <c r="O230"/>
    </row>
    <row r="231" spans="6:15" x14ac:dyDescent="0.25">
      <c r="F231"/>
      <c r="O231"/>
    </row>
    <row r="232" spans="6:15" x14ac:dyDescent="0.25">
      <c r="F232"/>
      <c r="O232"/>
    </row>
    <row r="233" spans="6:15" x14ac:dyDescent="0.25">
      <c r="F233"/>
      <c r="O233"/>
    </row>
    <row r="234" spans="6:15" x14ac:dyDescent="0.25">
      <c r="F234"/>
      <c r="O234"/>
    </row>
    <row r="235" spans="6:15" x14ac:dyDescent="0.25">
      <c r="F235"/>
      <c r="O235"/>
    </row>
    <row r="236" spans="6:15" x14ac:dyDescent="0.25">
      <c r="F236"/>
      <c r="O236"/>
    </row>
    <row r="237" spans="6:15" x14ac:dyDescent="0.25">
      <c r="F237"/>
      <c r="O237"/>
    </row>
    <row r="238" spans="6:15" x14ac:dyDescent="0.25">
      <c r="F238"/>
      <c r="O238"/>
    </row>
    <row r="239" spans="6:15" x14ac:dyDescent="0.25">
      <c r="F239"/>
      <c r="O239"/>
    </row>
    <row r="240" spans="6:15" x14ac:dyDescent="0.25">
      <c r="F240"/>
      <c r="O240"/>
    </row>
    <row r="241" spans="6:15" x14ac:dyDescent="0.25">
      <c r="F241"/>
      <c r="O241"/>
    </row>
    <row r="242" spans="6:15" x14ac:dyDescent="0.25">
      <c r="F242"/>
      <c r="O242"/>
    </row>
    <row r="243" spans="6:15" x14ac:dyDescent="0.25">
      <c r="F243"/>
      <c r="O243"/>
    </row>
    <row r="244" spans="6:15" x14ac:dyDescent="0.25">
      <c r="F244"/>
      <c r="O244"/>
    </row>
    <row r="245" spans="6:15" x14ac:dyDescent="0.25">
      <c r="F245"/>
      <c r="O245"/>
    </row>
    <row r="246" spans="6:15" x14ac:dyDescent="0.25">
      <c r="F246"/>
      <c r="O246"/>
    </row>
    <row r="247" spans="6:15" x14ac:dyDescent="0.25">
      <c r="F247"/>
      <c r="O247"/>
    </row>
    <row r="248" spans="6:15" x14ac:dyDescent="0.25">
      <c r="F248"/>
      <c r="O248"/>
    </row>
    <row r="249" spans="6:15" x14ac:dyDescent="0.25">
      <c r="F249"/>
      <c r="O249"/>
    </row>
    <row r="250" spans="6:15" x14ac:dyDescent="0.25">
      <c r="F250"/>
      <c r="O250"/>
    </row>
    <row r="251" spans="6:15" x14ac:dyDescent="0.25">
      <c r="F251"/>
      <c r="O251"/>
    </row>
    <row r="252" spans="6:15" x14ac:dyDescent="0.25">
      <c r="F252"/>
      <c r="O252"/>
    </row>
    <row r="253" spans="6:15" x14ac:dyDescent="0.25">
      <c r="F253"/>
      <c r="O253"/>
    </row>
    <row r="254" spans="6:15" x14ac:dyDescent="0.25">
      <c r="F254"/>
      <c r="O254"/>
    </row>
    <row r="255" spans="6:15" x14ac:dyDescent="0.25">
      <c r="F255"/>
      <c r="O255"/>
    </row>
    <row r="256" spans="6:15" x14ac:dyDescent="0.25">
      <c r="F256"/>
      <c r="O256"/>
    </row>
    <row r="257" spans="6:15" x14ac:dyDescent="0.25">
      <c r="F257"/>
      <c r="O257"/>
    </row>
    <row r="258" spans="6:15" x14ac:dyDescent="0.25">
      <c r="F258"/>
      <c r="O258"/>
    </row>
    <row r="259" spans="6:15" x14ac:dyDescent="0.25">
      <c r="F259"/>
      <c r="O259"/>
    </row>
    <row r="260" spans="6:15" x14ac:dyDescent="0.25">
      <c r="F260"/>
      <c r="O260"/>
    </row>
    <row r="261" spans="6:15" x14ac:dyDescent="0.25">
      <c r="F261"/>
      <c r="O261"/>
    </row>
    <row r="262" spans="6:15" x14ac:dyDescent="0.25">
      <c r="F262"/>
      <c r="O262"/>
    </row>
    <row r="263" spans="6:15" x14ac:dyDescent="0.25">
      <c r="F263"/>
      <c r="O263"/>
    </row>
    <row r="264" spans="6:15" x14ac:dyDescent="0.25">
      <c r="F264"/>
      <c r="O264"/>
    </row>
    <row r="265" spans="6:15" x14ac:dyDescent="0.25">
      <c r="F265"/>
      <c r="O265"/>
    </row>
    <row r="266" spans="6:15" x14ac:dyDescent="0.25">
      <c r="F266"/>
      <c r="O266"/>
    </row>
    <row r="267" spans="6:15" x14ac:dyDescent="0.25">
      <c r="F267"/>
      <c r="O267"/>
    </row>
    <row r="268" spans="6:15" x14ac:dyDescent="0.25">
      <c r="F268"/>
      <c r="O268"/>
    </row>
    <row r="269" spans="6:15" x14ac:dyDescent="0.25">
      <c r="F269"/>
      <c r="O269"/>
    </row>
    <row r="270" spans="6:15" x14ac:dyDescent="0.25">
      <c r="F270"/>
      <c r="O270"/>
    </row>
    <row r="271" spans="6:15" x14ac:dyDescent="0.25">
      <c r="F271"/>
      <c r="O271"/>
    </row>
    <row r="272" spans="6:15" x14ac:dyDescent="0.25">
      <c r="F272"/>
      <c r="O272"/>
    </row>
    <row r="273" spans="6:15" x14ac:dyDescent="0.25">
      <c r="F273"/>
      <c r="O273"/>
    </row>
    <row r="274" spans="6:15" x14ac:dyDescent="0.25">
      <c r="F274"/>
      <c r="O274"/>
    </row>
    <row r="275" spans="6:15" x14ac:dyDescent="0.25">
      <c r="F275"/>
      <c r="O275"/>
    </row>
    <row r="276" spans="6:15" x14ac:dyDescent="0.25">
      <c r="F276"/>
      <c r="O276"/>
    </row>
    <row r="277" spans="6:15" x14ac:dyDescent="0.25">
      <c r="F277"/>
      <c r="O277"/>
    </row>
    <row r="278" spans="6:15" x14ac:dyDescent="0.25">
      <c r="F278"/>
      <c r="O278"/>
    </row>
    <row r="279" spans="6:15" x14ac:dyDescent="0.25">
      <c r="F279"/>
      <c r="O279"/>
    </row>
    <row r="280" spans="6:15" x14ac:dyDescent="0.25">
      <c r="F280"/>
      <c r="O280"/>
    </row>
    <row r="281" spans="6:15" x14ac:dyDescent="0.25">
      <c r="F281"/>
      <c r="O281"/>
    </row>
    <row r="282" spans="6:15" x14ac:dyDescent="0.25">
      <c r="F282"/>
      <c r="O282"/>
    </row>
    <row r="283" spans="6:15" x14ac:dyDescent="0.25">
      <c r="F283"/>
      <c r="O283"/>
    </row>
    <row r="284" spans="6:15" x14ac:dyDescent="0.25">
      <c r="F284"/>
      <c r="O284"/>
    </row>
    <row r="285" spans="6:15" x14ac:dyDescent="0.25">
      <c r="F285"/>
      <c r="O285"/>
    </row>
    <row r="286" spans="6:15" x14ac:dyDescent="0.25">
      <c r="F286"/>
      <c r="O286"/>
    </row>
    <row r="287" spans="6:15" x14ac:dyDescent="0.25">
      <c r="F287"/>
      <c r="O287"/>
    </row>
    <row r="288" spans="6:15" x14ac:dyDescent="0.25">
      <c r="F288"/>
      <c r="O288"/>
    </row>
    <row r="289" spans="6:15" x14ac:dyDescent="0.25">
      <c r="F289"/>
      <c r="O289"/>
    </row>
    <row r="290" spans="6:15" x14ac:dyDescent="0.25">
      <c r="F290"/>
      <c r="O290"/>
    </row>
    <row r="291" spans="6:15" x14ac:dyDescent="0.25">
      <c r="F291"/>
      <c r="O291"/>
    </row>
    <row r="292" spans="6:15" x14ac:dyDescent="0.25">
      <c r="F292"/>
      <c r="O292"/>
    </row>
    <row r="293" spans="6:15" x14ac:dyDescent="0.25">
      <c r="F293"/>
      <c r="O293"/>
    </row>
    <row r="294" spans="6:15" x14ac:dyDescent="0.25">
      <c r="F294"/>
      <c r="O294"/>
    </row>
    <row r="295" spans="6:15" x14ac:dyDescent="0.25">
      <c r="F295"/>
      <c r="O295"/>
    </row>
    <row r="296" spans="6:15" x14ac:dyDescent="0.25">
      <c r="F296"/>
      <c r="O296"/>
    </row>
    <row r="297" spans="6:15" x14ac:dyDescent="0.25">
      <c r="F297"/>
      <c r="O297"/>
    </row>
    <row r="298" spans="6:15" x14ac:dyDescent="0.25">
      <c r="F298"/>
      <c r="O298"/>
    </row>
    <row r="299" spans="6:15" x14ac:dyDescent="0.25">
      <c r="F299"/>
      <c r="O299"/>
    </row>
    <row r="300" spans="6:15" x14ac:dyDescent="0.25">
      <c r="F300"/>
      <c r="O300"/>
    </row>
    <row r="301" spans="6:15" x14ac:dyDescent="0.25">
      <c r="F301"/>
      <c r="O301"/>
    </row>
    <row r="302" spans="6:15" x14ac:dyDescent="0.25">
      <c r="F302"/>
      <c r="O302"/>
    </row>
    <row r="303" spans="6:15" x14ac:dyDescent="0.25">
      <c r="F303"/>
      <c r="O303"/>
    </row>
    <row r="304" spans="6:15" x14ac:dyDescent="0.25">
      <c r="F304"/>
      <c r="O304"/>
    </row>
    <row r="305" spans="6:15" x14ac:dyDescent="0.25">
      <c r="F305"/>
      <c r="O305"/>
    </row>
    <row r="306" spans="6:15" x14ac:dyDescent="0.25">
      <c r="F306"/>
      <c r="O306"/>
    </row>
    <row r="307" spans="6:15" x14ac:dyDescent="0.25">
      <c r="F307"/>
      <c r="O307"/>
    </row>
    <row r="308" spans="6:15" x14ac:dyDescent="0.25">
      <c r="F308"/>
      <c r="O308"/>
    </row>
    <row r="309" spans="6:15" x14ac:dyDescent="0.25">
      <c r="F309"/>
      <c r="O309"/>
    </row>
    <row r="310" spans="6:15" x14ac:dyDescent="0.25">
      <c r="F310"/>
      <c r="O310"/>
    </row>
    <row r="311" spans="6:15" x14ac:dyDescent="0.25">
      <c r="F311"/>
      <c r="O311"/>
    </row>
    <row r="312" spans="6:15" x14ac:dyDescent="0.25">
      <c r="F312"/>
      <c r="O312"/>
    </row>
    <row r="313" spans="6:15" x14ac:dyDescent="0.25">
      <c r="F313"/>
      <c r="O313"/>
    </row>
    <row r="314" spans="6:15" x14ac:dyDescent="0.25">
      <c r="F314"/>
      <c r="O314"/>
    </row>
    <row r="315" spans="6:15" x14ac:dyDescent="0.25">
      <c r="F315"/>
      <c r="O315"/>
    </row>
    <row r="316" spans="6:15" x14ac:dyDescent="0.25">
      <c r="F316"/>
      <c r="O316"/>
    </row>
    <row r="317" spans="6:15" x14ac:dyDescent="0.25">
      <c r="F317"/>
      <c r="O317"/>
    </row>
    <row r="318" spans="6:15" x14ac:dyDescent="0.25">
      <c r="F318"/>
      <c r="O318"/>
    </row>
    <row r="319" spans="6:15" x14ac:dyDescent="0.25">
      <c r="F319"/>
      <c r="O319"/>
    </row>
    <row r="320" spans="6:15" x14ac:dyDescent="0.25">
      <c r="F320"/>
      <c r="O320"/>
    </row>
    <row r="321" spans="6:15" x14ac:dyDescent="0.25">
      <c r="F321"/>
      <c r="O321"/>
    </row>
    <row r="322" spans="6:15" x14ac:dyDescent="0.25">
      <c r="F322"/>
      <c r="O322"/>
    </row>
    <row r="323" spans="6:15" x14ac:dyDescent="0.25">
      <c r="F323"/>
      <c r="O323"/>
    </row>
    <row r="324" spans="6:15" x14ac:dyDescent="0.25">
      <c r="F324"/>
      <c r="O324"/>
    </row>
    <row r="325" spans="6:15" x14ac:dyDescent="0.25">
      <c r="F325"/>
      <c r="O325"/>
    </row>
    <row r="326" spans="6:15" x14ac:dyDescent="0.25">
      <c r="F326"/>
      <c r="O326"/>
    </row>
    <row r="327" spans="6:15" x14ac:dyDescent="0.25">
      <c r="F327"/>
      <c r="O327"/>
    </row>
    <row r="328" spans="6:15" x14ac:dyDescent="0.25">
      <c r="F328"/>
      <c r="O328"/>
    </row>
    <row r="329" spans="6:15" x14ac:dyDescent="0.25">
      <c r="F329"/>
      <c r="O329"/>
    </row>
    <row r="330" spans="6:15" x14ac:dyDescent="0.25">
      <c r="F330"/>
      <c r="O330"/>
    </row>
    <row r="331" spans="6:15" x14ac:dyDescent="0.25">
      <c r="F331"/>
      <c r="O331"/>
    </row>
    <row r="332" spans="6:15" x14ac:dyDescent="0.25">
      <c r="F332"/>
      <c r="O332"/>
    </row>
    <row r="333" spans="6:15" x14ac:dyDescent="0.25">
      <c r="F333"/>
      <c r="O333"/>
    </row>
    <row r="334" spans="6:15" x14ac:dyDescent="0.25">
      <c r="F334"/>
      <c r="O334"/>
    </row>
    <row r="335" spans="6:15" x14ac:dyDescent="0.25">
      <c r="F335"/>
      <c r="O335"/>
    </row>
    <row r="336" spans="6:15" x14ac:dyDescent="0.25">
      <c r="F336"/>
      <c r="O336"/>
    </row>
    <row r="337" spans="6:15" x14ac:dyDescent="0.25">
      <c r="F337"/>
      <c r="O337"/>
    </row>
    <row r="338" spans="6:15" x14ac:dyDescent="0.25">
      <c r="F338"/>
      <c r="O338"/>
    </row>
    <row r="339" spans="6:15" x14ac:dyDescent="0.25">
      <c r="F339"/>
      <c r="O339"/>
    </row>
    <row r="340" spans="6:15" x14ac:dyDescent="0.25">
      <c r="F340"/>
      <c r="O340"/>
    </row>
    <row r="341" spans="6:15" x14ac:dyDescent="0.25">
      <c r="F341"/>
      <c r="O341"/>
    </row>
    <row r="342" spans="6:15" x14ac:dyDescent="0.25">
      <c r="F342"/>
      <c r="O342"/>
    </row>
    <row r="343" spans="6:15" x14ac:dyDescent="0.25">
      <c r="F343"/>
      <c r="O343"/>
    </row>
    <row r="344" spans="6:15" x14ac:dyDescent="0.25">
      <c r="F344"/>
      <c r="O344"/>
    </row>
    <row r="345" spans="6:15" x14ac:dyDescent="0.25">
      <c r="F345"/>
      <c r="O345"/>
    </row>
    <row r="346" spans="6:15" x14ac:dyDescent="0.25">
      <c r="F346"/>
      <c r="O346"/>
    </row>
    <row r="347" spans="6:15" x14ac:dyDescent="0.25">
      <c r="F347"/>
      <c r="O347"/>
    </row>
    <row r="348" spans="6:15" x14ac:dyDescent="0.25">
      <c r="F348"/>
      <c r="O348"/>
    </row>
    <row r="349" spans="6:15" x14ac:dyDescent="0.25">
      <c r="F349"/>
      <c r="O349"/>
    </row>
    <row r="350" spans="6:15" x14ac:dyDescent="0.25">
      <c r="F350"/>
      <c r="O350"/>
    </row>
    <row r="351" spans="6:15" x14ac:dyDescent="0.25">
      <c r="F351"/>
      <c r="O351"/>
    </row>
    <row r="352" spans="6:15" x14ac:dyDescent="0.25">
      <c r="F352"/>
      <c r="O352"/>
    </row>
    <row r="353" spans="6:15" x14ac:dyDescent="0.25">
      <c r="F353"/>
      <c r="O353"/>
    </row>
    <row r="354" spans="6:15" x14ac:dyDescent="0.25">
      <c r="F354"/>
      <c r="O354"/>
    </row>
    <row r="355" spans="6:15" x14ac:dyDescent="0.25">
      <c r="F355"/>
      <c r="O355"/>
    </row>
    <row r="356" spans="6:15" x14ac:dyDescent="0.25">
      <c r="F356"/>
      <c r="O356"/>
    </row>
    <row r="357" spans="6:15" x14ac:dyDescent="0.25">
      <c r="F357"/>
      <c r="O357"/>
    </row>
    <row r="358" spans="6:15" x14ac:dyDescent="0.25">
      <c r="F358"/>
      <c r="O358"/>
    </row>
    <row r="359" spans="6:15" x14ac:dyDescent="0.25">
      <c r="F359"/>
      <c r="O359"/>
    </row>
    <row r="360" spans="6:15" x14ac:dyDescent="0.25">
      <c r="F360"/>
      <c r="O360"/>
    </row>
    <row r="361" spans="6:15" x14ac:dyDescent="0.25">
      <c r="F361"/>
      <c r="O361"/>
    </row>
    <row r="362" spans="6:15" x14ac:dyDescent="0.25">
      <c r="F362"/>
      <c r="O362"/>
    </row>
    <row r="363" spans="6:15" x14ac:dyDescent="0.25">
      <c r="F363"/>
      <c r="O363"/>
    </row>
    <row r="364" spans="6:15" x14ac:dyDescent="0.25">
      <c r="F364"/>
      <c r="O364"/>
    </row>
    <row r="365" spans="6:15" x14ac:dyDescent="0.25">
      <c r="F365"/>
      <c r="O365"/>
    </row>
    <row r="366" spans="6:15" x14ac:dyDescent="0.25">
      <c r="F366"/>
      <c r="O366"/>
    </row>
    <row r="367" spans="6:15" x14ac:dyDescent="0.25">
      <c r="F367"/>
      <c r="O367"/>
    </row>
    <row r="368" spans="6:15" x14ac:dyDescent="0.25">
      <c r="F368"/>
      <c r="O368"/>
    </row>
    <row r="369" spans="6:15" x14ac:dyDescent="0.25">
      <c r="F369"/>
      <c r="O369"/>
    </row>
    <row r="370" spans="6:15" x14ac:dyDescent="0.25">
      <c r="F370"/>
      <c r="O370"/>
    </row>
    <row r="371" spans="6:15" x14ac:dyDescent="0.25">
      <c r="F371"/>
      <c r="O371"/>
    </row>
    <row r="372" spans="6:15" x14ac:dyDescent="0.25">
      <c r="F372"/>
      <c r="O372"/>
    </row>
    <row r="373" spans="6:15" x14ac:dyDescent="0.25">
      <c r="F373"/>
      <c r="O373"/>
    </row>
    <row r="374" spans="6:15" x14ac:dyDescent="0.25">
      <c r="F374"/>
      <c r="O374"/>
    </row>
    <row r="375" spans="6:15" x14ac:dyDescent="0.25">
      <c r="F375"/>
      <c r="O375"/>
    </row>
    <row r="376" spans="6:15" x14ac:dyDescent="0.25">
      <c r="F376"/>
      <c r="O376"/>
    </row>
    <row r="377" spans="6:15" x14ac:dyDescent="0.25">
      <c r="F377"/>
      <c r="O377"/>
    </row>
    <row r="378" spans="6:15" x14ac:dyDescent="0.25">
      <c r="F378"/>
      <c r="O378"/>
    </row>
    <row r="379" spans="6:15" x14ac:dyDescent="0.25">
      <c r="F379"/>
      <c r="O379"/>
    </row>
    <row r="380" spans="6:15" x14ac:dyDescent="0.25">
      <c r="F380"/>
      <c r="O380"/>
    </row>
    <row r="381" spans="6:15" x14ac:dyDescent="0.25">
      <c r="F381"/>
      <c r="O381"/>
    </row>
    <row r="382" spans="6:15" x14ac:dyDescent="0.25">
      <c r="F382"/>
      <c r="O382"/>
    </row>
    <row r="383" spans="6:15" x14ac:dyDescent="0.25">
      <c r="F383"/>
      <c r="O383"/>
    </row>
    <row r="384" spans="6:15" x14ac:dyDescent="0.25">
      <c r="F384"/>
      <c r="O384"/>
    </row>
    <row r="385" spans="6:15" x14ac:dyDescent="0.25">
      <c r="F385"/>
      <c r="O385"/>
    </row>
    <row r="386" spans="6:15" x14ac:dyDescent="0.25">
      <c r="F386"/>
      <c r="O386"/>
    </row>
    <row r="387" spans="6:15" x14ac:dyDescent="0.25">
      <c r="F387"/>
      <c r="O387"/>
    </row>
    <row r="388" spans="6:15" x14ac:dyDescent="0.25">
      <c r="F388"/>
      <c r="O388"/>
    </row>
    <row r="389" spans="6:15" x14ac:dyDescent="0.25">
      <c r="F389"/>
      <c r="O389"/>
    </row>
    <row r="390" spans="6:15" x14ac:dyDescent="0.25">
      <c r="F390"/>
      <c r="O390"/>
    </row>
    <row r="391" spans="6:15" x14ac:dyDescent="0.25">
      <c r="F391"/>
      <c r="O391"/>
    </row>
    <row r="392" spans="6:15" x14ac:dyDescent="0.25">
      <c r="F392"/>
      <c r="O392"/>
    </row>
    <row r="393" spans="6:15" x14ac:dyDescent="0.25">
      <c r="F393"/>
      <c r="O393"/>
    </row>
    <row r="394" spans="6:15" x14ac:dyDescent="0.25">
      <c r="F394"/>
      <c r="O394"/>
    </row>
    <row r="395" spans="6:15" x14ac:dyDescent="0.25">
      <c r="F395"/>
      <c r="O395"/>
    </row>
    <row r="396" spans="6:15" x14ac:dyDescent="0.25">
      <c r="F396"/>
      <c r="O396"/>
    </row>
    <row r="397" spans="6:15" x14ac:dyDescent="0.25">
      <c r="F397"/>
      <c r="O397"/>
    </row>
    <row r="398" spans="6:15" x14ac:dyDescent="0.25">
      <c r="F398"/>
      <c r="O398"/>
    </row>
    <row r="399" spans="6:15" x14ac:dyDescent="0.25">
      <c r="F399"/>
      <c r="O399"/>
    </row>
    <row r="400" spans="6:15" x14ac:dyDescent="0.25">
      <c r="F400"/>
      <c r="O400"/>
    </row>
    <row r="401" spans="6:15" x14ac:dyDescent="0.25">
      <c r="F401"/>
      <c r="O401"/>
    </row>
    <row r="402" spans="6:15" x14ac:dyDescent="0.25">
      <c r="F402"/>
      <c r="O402"/>
    </row>
    <row r="403" spans="6:15" x14ac:dyDescent="0.25">
      <c r="F403"/>
      <c r="O403"/>
    </row>
    <row r="404" spans="6:15" x14ac:dyDescent="0.25">
      <c r="F404"/>
      <c r="O404"/>
    </row>
    <row r="405" spans="6:15" x14ac:dyDescent="0.25">
      <c r="F405"/>
      <c r="O405"/>
    </row>
    <row r="406" spans="6:15" x14ac:dyDescent="0.25">
      <c r="F406"/>
      <c r="O406"/>
    </row>
    <row r="407" spans="6:15" x14ac:dyDescent="0.25">
      <c r="F407"/>
      <c r="O407"/>
    </row>
    <row r="408" spans="6:15" x14ac:dyDescent="0.25">
      <c r="F408"/>
      <c r="O408"/>
    </row>
    <row r="409" spans="6:15" x14ac:dyDescent="0.25">
      <c r="F409"/>
      <c r="O409"/>
    </row>
    <row r="410" spans="6:15" x14ac:dyDescent="0.25">
      <c r="F410"/>
      <c r="O410"/>
    </row>
    <row r="411" spans="6:15" x14ac:dyDescent="0.25">
      <c r="F411"/>
      <c r="O411"/>
    </row>
    <row r="412" spans="6:15" x14ac:dyDescent="0.25">
      <c r="F412"/>
      <c r="O412"/>
    </row>
    <row r="413" spans="6:15" x14ac:dyDescent="0.25">
      <c r="F413"/>
      <c r="O413"/>
    </row>
    <row r="414" spans="6:15" x14ac:dyDescent="0.25">
      <c r="F414"/>
      <c r="O414"/>
    </row>
    <row r="415" spans="6:15" x14ac:dyDescent="0.25">
      <c r="F415"/>
      <c r="O415"/>
    </row>
    <row r="416" spans="6:15" x14ac:dyDescent="0.25">
      <c r="F416"/>
      <c r="O416"/>
    </row>
    <row r="417" spans="6:15" x14ac:dyDescent="0.25">
      <c r="F417"/>
      <c r="O417"/>
    </row>
    <row r="418" spans="6:15" x14ac:dyDescent="0.25">
      <c r="F418"/>
      <c r="O418"/>
    </row>
    <row r="419" spans="6:15" x14ac:dyDescent="0.25">
      <c r="F419"/>
      <c r="O419"/>
    </row>
    <row r="420" spans="6:15" x14ac:dyDescent="0.25">
      <c r="F420"/>
      <c r="O420"/>
    </row>
    <row r="421" spans="6:15" x14ac:dyDescent="0.25">
      <c r="F421"/>
      <c r="O421"/>
    </row>
    <row r="422" spans="6:15" x14ac:dyDescent="0.25">
      <c r="F422"/>
      <c r="O422"/>
    </row>
    <row r="423" spans="6:15" x14ac:dyDescent="0.25">
      <c r="F423"/>
      <c r="O423"/>
    </row>
    <row r="424" spans="6:15" x14ac:dyDescent="0.25">
      <c r="F424"/>
      <c r="O424"/>
    </row>
    <row r="425" spans="6:15" x14ac:dyDescent="0.25">
      <c r="F425"/>
      <c r="O425"/>
    </row>
    <row r="426" spans="6:15" x14ac:dyDescent="0.25">
      <c r="F426"/>
      <c r="O426"/>
    </row>
    <row r="427" spans="6:15" x14ac:dyDescent="0.25">
      <c r="F427"/>
      <c r="O427"/>
    </row>
    <row r="428" spans="6:15" x14ac:dyDescent="0.25">
      <c r="F428"/>
      <c r="O428"/>
    </row>
    <row r="429" spans="6:15" x14ac:dyDescent="0.25">
      <c r="F429"/>
      <c r="O429"/>
    </row>
    <row r="430" spans="6:15" x14ac:dyDescent="0.25">
      <c r="F430"/>
      <c r="O430"/>
    </row>
    <row r="431" spans="6:15" x14ac:dyDescent="0.25">
      <c r="F431"/>
      <c r="O431"/>
    </row>
    <row r="432" spans="6:15" x14ac:dyDescent="0.25">
      <c r="F432"/>
      <c r="O432"/>
    </row>
    <row r="433" spans="6:15" x14ac:dyDescent="0.25">
      <c r="F433"/>
      <c r="O433"/>
    </row>
    <row r="434" spans="6:15" x14ac:dyDescent="0.25">
      <c r="F434"/>
      <c r="O434"/>
    </row>
    <row r="435" spans="6:15" x14ac:dyDescent="0.25">
      <c r="F435"/>
      <c r="O435"/>
    </row>
    <row r="436" spans="6:15" x14ac:dyDescent="0.25">
      <c r="F436"/>
      <c r="O436"/>
    </row>
    <row r="437" spans="6:15" x14ac:dyDescent="0.25">
      <c r="F437"/>
      <c r="O437"/>
    </row>
    <row r="438" spans="6:15" x14ac:dyDescent="0.25">
      <c r="F438"/>
      <c r="O438"/>
    </row>
    <row r="439" spans="6:15" x14ac:dyDescent="0.25">
      <c r="F439"/>
      <c r="O439"/>
    </row>
    <row r="440" spans="6:15" x14ac:dyDescent="0.25">
      <c r="F440"/>
      <c r="O440"/>
    </row>
    <row r="441" spans="6:15" x14ac:dyDescent="0.25">
      <c r="F441"/>
      <c r="O441"/>
    </row>
    <row r="442" spans="6:15" x14ac:dyDescent="0.25">
      <c r="F442"/>
      <c r="O442"/>
    </row>
    <row r="443" spans="6:15" x14ac:dyDescent="0.25">
      <c r="F443"/>
      <c r="O443"/>
    </row>
    <row r="444" spans="6:15" x14ac:dyDescent="0.25">
      <c r="F444"/>
      <c r="O444"/>
    </row>
    <row r="445" spans="6:15" x14ac:dyDescent="0.25">
      <c r="F445"/>
      <c r="O445"/>
    </row>
    <row r="446" spans="6:15" x14ac:dyDescent="0.25">
      <c r="F446"/>
      <c r="O446"/>
    </row>
    <row r="447" spans="6:15" x14ac:dyDescent="0.25">
      <c r="F447"/>
      <c r="O447"/>
    </row>
    <row r="448" spans="6:15" x14ac:dyDescent="0.25">
      <c r="F448"/>
      <c r="O448"/>
    </row>
    <row r="449" spans="6:15" x14ac:dyDescent="0.25">
      <c r="F449"/>
      <c r="O449"/>
    </row>
    <row r="450" spans="6:15" x14ac:dyDescent="0.25">
      <c r="F450"/>
      <c r="O450"/>
    </row>
    <row r="451" spans="6:15" x14ac:dyDescent="0.25">
      <c r="F451"/>
      <c r="O451"/>
    </row>
    <row r="452" spans="6:15" x14ac:dyDescent="0.25">
      <c r="F452"/>
      <c r="O452"/>
    </row>
    <row r="453" spans="6:15" x14ac:dyDescent="0.25">
      <c r="F453"/>
      <c r="O453"/>
    </row>
    <row r="454" spans="6:15" x14ac:dyDescent="0.25">
      <c r="F454"/>
      <c r="O454"/>
    </row>
    <row r="455" spans="6:15" x14ac:dyDescent="0.25">
      <c r="F455"/>
      <c r="O455"/>
    </row>
    <row r="456" spans="6:15" x14ac:dyDescent="0.25">
      <c r="F456"/>
      <c r="O456"/>
    </row>
    <row r="457" spans="6:15" x14ac:dyDescent="0.25">
      <c r="F457"/>
      <c r="O457"/>
    </row>
    <row r="458" spans="6:15" x14ac:dyDescent="0.25">
      <c r="F458"/>
      <c r="O458"/>
    </row>
    <row r="459" spans="6:15" x14ac:dyDescent="0.25">
      <c r="F459"/>
      <c r="O459"/>
    </row>
    <row r="460" spans="6:15" x14ac:dyDescent="0.25">
      <c r="F460"/>
      <c r="O460"/>
    </row>
    <row r="461" spans="6:15" x14ac:dyDescent="0.25">
      <c r="F461"/>
      <c r="O461"/>
    </row>
    <row r="462" spans="6:15" x14ac:dyDescent="0.25">
      <c r="F462"/>
      <c r="O462"/>
    </row>
    <row r="463" spans="6:15" x14ac:dyDescent="0.25">
      <c r="F463"/>
      <c r="O463"/>
    </row>
    <row r="464" spans="6:15" x14ac:dyDescent="0.25">
      <c r="F464"/>
      <c r="O464"/>
    </row>
    <row r="465" spans="6:15" x14ac:dyDescent="0.25">
      <c r="F465"/>
      <c r="O465"/>
    </row>
    <row r="466" spans="6:15" x14ac:dyDescent="0.25">
      <c r="F466"/>
      <c r="O466"/>
    </row>
    <row r="467" spans="6:15" x14ac:dyDescent="0.25">
      <c r="F467"/>
      <c r="O467"/>
    </row>
    <row r="468" spans="6:15" x14ac:dyDescent="0.25">
      <c r="F468"/>
      <c r="O468"/>
    </row>
    <row r="469" spans="6:15" x14ac:dyDescent="0.25">
      <c r="F469"/>
      <c r="O469"/>
    </row>
    <row r="470" spans="6:15" x14ac:dyDescent="0.25">
      <c r="F470"/>
      <c r="O470"/>
    </row>
    <row r="471" spans="6:15" x14ac:dyDescent="0.25">
      <c r="F471"/>
      <c r="O471"/>
    </row>
    <row r="472" spans="6:15" x14ac:dyDescent="0.25">
      <c r="F472"/>
      <c r="O472"/>
    </row>
    <row r="473" spans="6:15" x14ac:dyDescent="0.25">
      <c r="F473"/>
      <c r="O473"/>
    </row>
    <row r="474" spans="6:15" x14ac:dyDescent="0.25">
      <c r="F474"/>
      <c r="O474"/>
    </row>
    <row r="475" spans="6:15" x14ac:dyDescent="0.25">
      <c r="F475"/>
      <c r="O475"/>
    </row>
    <row r="476" spans="6:15" x14ac:dyDescent="0.25">
      <c r="F476"/>
      <c r="O476"/>
    </row>
    <row r="477" spans="6:15" x14ac:dyDescent="0.25">
      <c r="F477"/>
      <c r="O477"/>
    </row>
    <row r="478" spans="6:15" x14ac:dyDescent="0.25">
      <c r="F478"/>
      <c r="O478"/>
    </row>
    <row r="479" spans="6:15" x14ac:dyDescent="0.25">
      <c r="F479"/>
      <c r="O479"/>
    </row>
    <row r="480" spans="6:15" x14ac:dyDescent="0.25">
      <c r="F480"/>
      <c r="O480"/>
    </row>
    <row r="481" spans="6:15" x14ac:dyDescent="0.25">
      <c r="F481"/>
      <c r="O481"/>
    </row>
    <row r="482" spans="6:15" x14ac:dyDescent="0.25">
      <c r="F482"/>
      <c r="O482"/>
    </row>
    <row r="483" spans="6:15" x14ac:dyDescent="0.25">
      <c r="F483"/>
      <c r="O483"/>
    </row>
    <row r="484" spans="6:15" x14ac:dyDescent="0.25">
      <c r="F484"/>
      <c r="O484"/>
    </row>
    <row r="485" spans="6:15" x14ac:dyDescent="0.25">
      <c r="F485"/>
      <c r="O485"/>
    </row>
    <row r="486" spans="6:15" x14ac:dyDescent="0.25">
      <c r="F486"/>
      <c r="O486"/>
    </row>
    <row r="487" spans="6:15" x14ac:dyDescent="0.25">
      <c r="F487"/>
      <c r="O487"/>
    </row>
    <row r="488" spans="6:15" x14ac:dyDescent="0.25">
      <c r="F488"/>
      <c r="O488"/>
    </row>
    <row r="489" spans="6:15" x14ac:dyDescent="0.25">
      <c r="F489"/>
      <c r="O489"/>
    </row>
    <row r="490" spans="6:15" x14ac:dyDescent="0.25">
      <c r="F490"/>
      <c r="O490"/>
    </row>
    <row r="491" spans="6:15" x14ac:dyDescent="0.25">
      <c r="F491"/>
      <c r="O491"/>
    </row>
    <row r="492" spans="6:15" x14ac:dyDescent="0.25">
      <c r="F492"/>
      <c r="O492"/>
    </row>
    <row r="493" spans="6:15" x14ac:dyDescent="0.25">
      <c r="F493"/>
      <c r="O493"/>
    </row>
    <row r="494" spans="6:15" x14ac:dyDescent="0.25">
      <c r="F494"/>
      <c r="O494"/>
    </row>
    <row r="495" spans="6:15" x14ac:dyDescent="0.25">
      <c r="F495"/>
      <c r="O495"/>
    </row>
    <row r="496" spans="6:15" x14ac:dyDescent="0.25">
      <c r="F496"/>
      <c r="O496"/>
    </row>
    <row r="497" spans="6:15" x14ac:dyDescent="0.25">
      <c r="F497"/>
      <c r="O497"/>
    </row>
    <row r="498" spans="6:15" x14ac:dyDescent="0.25">
      <c r="F498"/>
      <c r="O498"/>
    </row>
    <row r="499" spans="6:15" x14ac:dyDescent="0.25">
      <c r="F499"/>
      <c r="O499"/>
    </row>
    <row r="500" spans="6:15" x14ac:dyDescent="0.25">
      <c r="F500"/>
      <c r="O500"/>
    </row>
    <row r="501" spans="6:15" x14ac:dyDescent="0.25">
      <c r="F501"/>
      <c r="O501"/>
    </row>
    <row r="502" spans="6:15" x14ac:dyDescent="0.25">
      <c r="F502"/>
      <c r="O502"/>
    </row>
    <row r="503" spans="6:15" x14ac:dyDescent="0.25">
      <c r="F503"/>
      <c r="O503"/>
    </row>
    <row r="504" spans="6:15" x14ac:dyDescent="0.25">
      <c r="F504"/>
      <c r="O504"/>
    </row>
    <row r="505" spans="6:15" x14ac:dyDescent="0.25">
      <c r="F505"/>
      <c r="O505"/>
    </row>
    <row r="506" spans="6:15" x14ac:dyDescent="0.25">
      <c r="F506"/>
      <c r="O506"/>
    </row>
    <row r="507" spans="6:15" x14ac:dyDescent="0.25">
      <c r="F507"/>
      <c r="O507"/>
    </row>
    <row r="508" spans="6:15" x14ac:dyDescent="0.25">
      <c r="F508"/>
      <c r="O508"/>
    </row>
    <row r="509" spans="6:15" x14ac:dyDescent="0.25">
      <c r="F509"/>
      <c r="O509"/>
    </row>
    <row r="510" spans="6:15" x14ac:dyDescent="0.25">
      <c r="F510"/>
      <c r="O510"/>
    </row>
    <row r="511" spans="6:15" x14ac:dyDescent="0.25">
      <c r="F511"/>
      <c r="O511"/>
    </row>
    <row r="512" spans="6:15" x14ac:dyDescent="0.25">
      <c r="F512"/>
      <c r="O512"/>
    </row>
    <row r="513" spans="6:15" x14ac:dyDescent="0.25">
      <c r="F513"/>
      <c r="O513"/>
    </row>
    <row r="514" spans="6:15" x14ac:dyDescent="0.25">
      <c r="F514"/>
      <c r="O514"/>
    </row>
    <row r="515" spans="6:15" x14ac:dyDescent="0.25">
      <c r="F515"/>
      <c r="O515"/>
    </row>
    <row r="516" spans="6:15" x14ac:dyDescent="0.25">
      <c r="F516"/>
      <c r="O516"/>
    </row>
    <row r="517" spans="6:15" x14ac:dyDescent="0.25">
      <c r="F517"/>
      <c r="O517"/>
    </row>
    <row r="518" spans="6:15" x14ac:dyDescent="0.25">
      <c r="F518"/>
      <c r="O518"/>
    </row>
    <row r="519" spans="6:15" x14ac:dyDescent="0.25">
      <c r="F519"/>
      <c r="O519"/>
    </row>
    <row r="520" spans="6:15" x14ac:dyDescent="0.25">
      <c r="F520"/>
      <c r="O520"/>
    </row>
    <row r="521" spans="6:15" x14ac:dyDescent="0.25">
      <c r="F521"/>
      <c r="O521"/>
    </row>
    <row r="522" spans="6:15" x14ac:dyDescent="0.25">
      <c r="F522"/>
      <c r="O522"/>
    </row>
    <row r="523" spans="6:15" x14ac:dyDescent="0.25">
      <c r="F523"/>
      <c r="O523"/>
    </row>
    <row r="524" spans="6:15" x14ac:dyDescent="0.25">
      <c r="F524"/>
      <c r="O524"/>
    </row>
    <row r="525" spans="6:15" x14ac:dyDescent="0.25">
      <c r="F525"/>
      <c r="O525"/>
    </row>
    <row r="526" spans="6:15" x14ac:dyDescent="0.25">
      <c r="F526"/>
      <c r="O526"/>
    </row>
    <row r="527" spans="6:15" x14ac:dyDescent="0.25">
      <c r="F527"/>
      <c r="O527"/>
    </row>
    <row r="528" spans="6:15" x14ac:dyDescent="0.25">
      <c r="F528"/>
      <c r="O528"/>
    </row>
    <row r="529" spans="6:15" x14ac:dyDescent="0.25">
      <c r="F529"/>
      <c r="O529"/>
    </row>
    <row r="530" spans="6:15" x14ac:dyDescent="0.25">
      <c r="F530"/>
      <c r="O530"/>
    </row>
    <row r="531" spans="6:15" x14ac:dyDescent="0.25">
      <c r="F531"/>
      <c r="O531"/>
    </row>
    <row r="532" spans="6:15" x14ac:dyDescent="0.25">
      <c r="F532"/>
      <c r="O532"/>
    </row>
    <row r="533" spans="6:15" x14ac:dyDescent="0.25">
      <c r="F533"/>
      <c r="O533"/>
    </row>
    <row r="534" spans="6:15" x14ac:dyDescent="0.25">
      <c r="F534"/>
      <c r="O534"/>
    </row>
    <row r="535" spans="6:15" x14ac:dyDescent="0.25">
      <c r="F535"/>
      <c r="O535"/>
    </row>
    <row r="536" spans="6:15" x14ac:dyDescent="0.25">
      <c r="F536"/>
      <c r="O536"/>
    </row>
    <row r="537" spans="6:15" x14ac:dyDescent="0.25">
      <c r="F537"/>
      <c r="O537"/>
    </row>
    <row r="538" spans="6:15" x14ac:dyDescent="0.25">
      <c r="F538"/>
      <c r="O538"/>
    </row>
    <row r="539" spans="6:15" x14ac:dyDescent="0.25">
      <c r="F539"/>
      <c r="O539"/>
    </row>
    <row r="540" spans="6:15" x14ac:dyDescent="0.25">
      <c r="F540"/>
      <c r="O540"/>
    </row>
    <row r="541" spans="6:15" x14ac:dyDescent="0.25">
      <c r="F541"/>
      <c r="O541"/>
    </row>
    <row r="542" spans="6:15" x14ac:dyDescent="0.25">
      <c r="F542"/>
      <c r="O542"/>
    </row>
    <row r="543" spans="6:15" x14ac:dyDescent="0.25">
      <c r="F543"/>
      <c r="O543"/>
    </row>
    <row r="544" spans="6:15" x14ac:dyDescent="0.25">
      <c r="F544"/>
      <c r="O544"/>
    </row>
    <row r="545" spans="6:15" x14ac:dyDescent="0.25">
      <c r="F545"/>
      <c r="O545"/>
    </row>
    <row r="546" spans="6:15" x14ac:dyDescent="0.25">
      <c r="F546"/>
      <c r="O546"/>
    </row>
    <row r="547" spans="6:15" x14ac:dyDescent="0.25">
      <c r="F547"/>
      <c r="O547"/>
    </row>
    <row r="548" spans="6:15" x14ac:dyDescent="0.25">
      <c r="F548"/>
      <c r="O548"/>
    </row>
    <row r="549" spans="6:15" x14ac:dyDescent="0.25">
      <c r="F549"/>
      <c r="O549"/>
    </row>
    <row r="550" spans="6:15" x14ac:dyDescent="0.25">
      <c r="F550"/>
      <c r="O550"/>
    </row>
    <row r="551" spans="6:15" x14ac:dyDescent="0.25">
      <c r="F551"/>
      <c r="O551"/>
    </row>
    <row r="552" spans="6:15" x14ac:dyDescent="0.25">
      <c r="F552"/>
      <c r="O552"/>
    </row>
    <row r="553" spans="6:15" x14ac:dyDescent="0.25">
      <c r="F553"/>
      <c r="O553"/>
    </row>
    <row r="554" spans="6:15" x14ac:dyDescent="0.25">
      <c r="F554"/>
      <c r="O554"/>
    </row>
    <row r="555" spans="6:15" x14ac:dyDescent="0.25">
      <c r="F555"/>
      <c r="O555"/>
    </row>
    <row r="556" spans="6:15" x14ac:dyDescent="0.25">
      <c r="F556"/>
      <c r="O556"/>
    </row>
    <row r="557" spans="6:15" x14ac:dyDescent="0.25">
      <c r="F557"/>
      <c r="O557"/>
    </row>
    <row r="558" spans="6:15" x14ac:dyDescent="0.25">
      <c r="F558"/>
      <c r="O558"/>
    </row>
    <row r="559" spans="6:15" x14ac:dyDescent="0.25">
      <c r="F559"/>
      <c r="O559"/>
    </row>
    <row r="560" spans="6:15" x14ac:dyDescent="0.25">
      <c r="F560"/>
      <c r="O560"/>
    </row>
    <row r="561" spans="6:15" x14ac:dyDescent="0.25">
      <c r="F561"/>
      <c r="O561"/>
    </row>
    <row r="562" spans="6:15" x14ac:dyDescent="0.25">
      <c r="F562"/>
      <c r="O562"/>
    </row>
    <row r="563" spans="6:15" x14ac:dyDescent="0.25">
      <c r="F563"/>
      <c r="O563"/>
    </row>
    <row r="564" spans="6:15" x14ac:dyDescent="0.25">
      <c r="F564"/>
      <c r="O564"/>
    </row>
    <row r="565" spans="6:15" x14ac:dyDescent="0.25">
      <c r="F565"/>
      <c r="O565"/>
    </row>
    <row r="566" spans="6:15" x14ac:dyDescent="0.25">
      <c r="F566"/>
      <c r="O566"/>
    </row>
    <row r="567" spans="6:15" x14ac:dyDescent="0.25">
      <c r="F567"/>
      <c r="O567"/>
    </row>
    <row r="568" spans="6:15" x14ac:dyDescent="0.25">
      <c r="F568"/>
      <c r="O568"/>
    </row>
    <row r="569" spans="6:15" x14ac:dyDescent="0.25">
      <c r="F569"/>
      <c r="O569"/>
    </row>
    <row r="570" spans="6:15" x14ac:dyDescent="0.25">
      <c r="F570"/>
      <c r="O570"/>
    </row>
    <row r="571" spans="6:15" x14ac:dyDescent="0.25">
      <c r="F571"/>
      <c r="O571"/>
    </row>
    <row r="572" spans="6:15" x14ac:dyDescent="0.25">
      <c r="F572"/>
      <c r="O572"/>
    </row>
    <row r="573" spans="6:15" x14ac:dyDescent="0.25">
      <c r="F573"/>
      <c r="O573"/>
    </row>
    <row r="574" spans="6:15" x14ac:dyDescent="0.25">
      <c r="F574"/>
      <c r="O574"/>
    </row>
    <row r="575" spans="6:15" x14ac:dyDescent="0.25">
      <c r="F575"/>
      <c r="O575"/>
    </row>
    <row r="576" spans="6:15" x14ac:dyDescent="0.25">
      <c r="F576"/>
      <c r="O576"/>
    </row>
    <row r="577" spans="6:15" x14ac:dyDescent="0.25">
      <c r="F577"/>
      <c r="O577"/>
    </row>
    <row r="578" spans="6:15" x14ac:dyDescent="0.25">
      <c r="F578"/>
      <c r="O578"/>
    </row>
    <row r="579" spans="6:15" x14ac:dyDescent="0.25">
      <c r="F579"/>
      <c r="O579"/>
    </row>
    <row r="580" spans="6:15" x14ac:dyDescent="0.25">
      <c r="F580"/>
      <c r="O580"/>
    </row>
    <row r="581" spans="6:15" x14ac:dyDescent="0.25">
      <c r="F581"/>
      <c r="O581"/>
    </row>
    <row r="582" spans="6:15" x14ac:dyDescent="0.25">
      <c r="F582"/>
      <c r="O582"/>
    </row>
    <row r="583" spans="6:15" x14ac:dyDescent="0.25">
      <c r="F583"/>
      <c r="O583"/>
    </row>
    <row r="584" spans="6:15" x14ac:dyDescent="0.25">
      <c r="F584"/>
      <c r="O584"/>
    </row>
    <row r="585" spans="6:15" x14ac:dyDescent="0.25">
      <c r="F585"/>
      <c r="O585"/>
    </row>
    <row r="586" spans="6:15" x14ac:dyDescent="0.25">
      <c r="F586"/>
      <c r="O586"/>
    </row>
    <row r="587" spans="6:15" x14ac:dyDescent="0.25">
      <c r="F587"/>
      <c r="O587"/>
    </row>
    <row r="588" spans="6:15" x14ac:dyDescent="0.25">
      <c r="F588"/>
      <c r="O588"/>
    </row>
    <row r="589" spans="6:15" x14ac:dyDescent="0.25">
      <c r="F589"/>
      <c r="O589"/>
    </row>
    <row r="590" spans="6:15" x14ac:dyDescent="0.25">
      <c r="F590"/>
      <c r="O590"/>
    </row>
    <row r="591" spans="6:15" x14ac:dyDescent="0.25">
      <c r="F591"/>
      <c r="O591"/>
    </row>
    <row r="592" spans="6:15" x14ac:dyDescent="0.25">
      <c r="F592"/>
      <c r="O592"/>
    </row>
    <row r="593" spans="6:15" x14ac:dyDescent="0.25">
      <c r="F593"/>
      <c r="O593"/>
    </row>
    <row r="594" spans="6:15" x14ac:dyDescent="0.25">
      <c r="F594"/>
      <c r="O594"/>
    </row>
    <row r="595" spans="6:15" x14ac:dyDescent="0.25">
      <c r="F595"/>
      <c r="O595"/>
    </row>
    <row r="596" spans="6:15" x14ac:dyDescent="0.25">
      <c r="F596"/>
      <c r="O596"/>
    </row>
    <row r="597" spans="6:15" x14ac:dyDescent="0.25">
      <c r="F597"/>
      <c r="O597"/>
    </row>
    <row r="598" spans="6:15" x14ac:dyDescent="0.25">
      <c r="F598"/>
      <c r="O598"/>
    </row>
    <row r="599" spans="6:15" x14ac:dyDescent="0.25">
      <c r="F599"/>
      <c r="O599"/>
    </row>
    <row r="600" spans="6:15" x14ac:dyDescent="0.25">
      <c r="F600"/>
      <c r="O600"/>
    </row>
    <row r="601" spans="6:15" x14ac:dyDescent="0.25">
      <c r="F601"/>
      <c r="O601"/>
    </row>
    <row r="602" spans="6:15" x14ac:dyDescent="0.25">
      <c r="F602"/>
      <c r="O602"/>
    </row>
    <row r="603" spans="6:15" x14ac:dyDescent="0.25">
      <c r="F603"/>
      <c r="O603"/>
    </row>
    <row r="604" spans="6:15" x14ac:dyDescent="0.25">
      <c r="F604"/>
      <c r="O604"/>
    </row>
    <row r="605" spans="6:15" x14ac:dyDescent="0.25">
      <c r="F605"/>
      <c r="O605"/>
    </row>
    <row r="606" spans="6:15" x14ac:dyDescent="0.25">
      <c r="F606"/>
      <c r="O606"/>
    </row>
    <row r="607" spans="6:15" x14ac:dyDescent="0.25">
      <c r="F607"/>
      <c r="O607"/>
    </row>
    <row r="608" spans="6:15" x14ac:dyDescent="0.25">
      <c r="F608"/>
      <c r="O608"/>
    </row>
    <row r="609" spans="6:15" x14ac:dyDescent="0.25">
      <c r="F609"/>
      <c r="O609"/>
    </row>
    <row r="610" spans="6:15" x14ac:dyDescent="0.25">
      <c r="F610"/>
      <c r="O610"/>
    </row>
    <row r="611" spans="6:15" x14ac:dyDescent="0.25">
      <c r="F611"/>
      <c r="O611"/>
    </row>
    <row r="612" spans="6:15" x14ac:dyDescent="0.25">
      <c r="F612"/>
      <c r="O612"/>
    </row>
    <row r="613" spans="6:15" x14ac:dyDescent="0.25">
      <c r="F613"/>
      <c r="O613"/>
    </row>
    <row r="614" spans="6:15" x14ac:dyDescent="0.25">
      <c r="F614"/>
      <c r="O614"/>
    </row>
    <row r="615" spans="6:15" x14ac:dyDescent="0.25">
      <c r="F615"/>
      <c r="O615"/>
    </row>
    <row r="616" spans="6:15" x14ac:dyDescent="0.25">
      <c r="F616"/>
      <c r="O616"/>
    </row>
    <row r="617" spans="6:15" x14ac:dyDescent="0.25">
      <c r="F617"/>
      <c r="O617"/>
    </row>
    <row r="618" spans="6:15" x14ac:dyDescent="0.25">
      <c r="F618"/>
      <c r="O618"/>
    </row>
    <row r="619" spans="6:15" x14ac:dyDescent="0.25">
      <c r="F619"/>
      <c r="O619"/>
    </row>
    <row r="620" spans="6:15" x14ac:dyDescent="0.25">
      <c r="F620"/>
      <c r="O620"/>
    </row>
    <row r="621" spans="6:15" x14ac:dyDescent="0.25">
      <c r="F621"/>
      <c r="O621"/>
    </row>
    <row r="622" spans="6:15" x14ac:dyDescent="0.25">
      <c r="F622"/>
      <c r="O622"/>
    </row>
    <row r="623" spans="6:15" x14ac:dyDescent="0.25">
      <c r="F623"/>
      <c r="O623"/>
    </row>
    <row r="624" spans="6:15" x14ac:dyDescent="0.25">
      <c r="F624"/>
      <c r="O624"/>
    </row>
    <row r="625" spans="6:15" x14ac:dyDescent="0.25">
      <c r="F625"/>
      <c r="O625"/>
    </row>
    <row r="626" spans="6:15" x14ac:dyDescent="0.25">
      <c r="F626"/>
      <c r="O626"/>
    </row>
    <row r="627" spans="6:15" x14ac:dyDescent="0.25">
      <c r="F627"/>
      <c r="O627"/>
    </row>
    <row r="628" spans="6:15" x14ac:dyDescent="0.25">
      <c r="F628"/>
      <c r="O628"/>
    </row>
    <row r="629" spans="6:15" x14ac:dyDescent="0.25">
      <c r="F629"/>
      <c r="O629"/>
    </row>
    <row r="630" spans="6:15" x14ac:dyDescent="0.25">
      <c r="F630"/>
      <c r="O630"/>
    </row>
    <row r="631" spans="6:15" x14ac:dyDescent="0.25">
      <c r="F631"/>
      <c r="O631"/>
    </row>
    <row r="632" spans="6:15" x14ac:dyDescent="0.25">
      <c r="F632"/>
      <c r="O632"/>
    </row>
    <row r="633" spans="6:15" x14ac:dyDescent="0.25">
      <c r="F633"/>
      <c r="O633"/>
    </row>
    <row r="634" spans="6:15" x14ac:dyDescent="0.25">
      <c r="F634"/>
      <c r="O634"/>
    </row>
    <row r="635" spans="6:15" x14ac:dyDescent="0.25">
      <c r="F635"/>
      <c r="O635"/>
    </row>
    <row r="636" spans="6:15" x14ac:dyDescent="0.25">
      <c r="F636"/>
      <c r="O636"/>
    </row>
    <row r="637" spans="6:15" x14ac:dyDescent="0.25">
      <c r="F637"/>
      <c r="O637"/>
    </row>
    <row r="638" spans="6:15" x14ac:dyDescent="0.25">
      <c r="F638"/>
      <c r="O638"/>
    </row>
    <row r="639" spans="6:15" x14ac:dyDescent="0.25">
      <c r="F639"/>
      <c r="O639"/>
    </row>
    <row r="640" spans="6:15" x14ac:dyDescent="0.25">
      <c r="F640"/>
      <c r="O640"/>
    </row>
    <row r="641" spans="6:15" x14ac:dyDescent="0.25">
      <c r="F641"/>
      <c r="O641"/>
    </row>
    <row r="642" spans="6:15" x14ac:dyDescent="0.25">
      <c r="F642"/>
      <c r="O642"/>
    </row>
    <row r="643" spans="6:15" x14ac:dyDescent="0.25">
      <c r="F643"/>
      <c r="O643"/>
    </row>
    <row r="644" spans="6:15" x14ac:dyDescent="0.25">
      <c r="F644"/>
      <c r="O644"/>
    </row>
    <row r="645" spans="6:15" x14ac:dyDescent="0.25">
      <c r="F645"/>
      <c r="O645"/>
    </row>
    <row r="646" spans="6:15" x14ac:dyDescent="0.25">
      <c r="F646"/>
      <c r="O646"/>
    </row>
    <row r="647" spans="6:15" x14ac:dyDescent="0.25">
      <c r="F647"/>
      <c r="O647"/>
    </row>
    <row r="648" spans="6:15" x14ac:dyDescent="0.25">
      <c r="F648"/>
      <c r="O648"/>
    </row>
    <row r="649" spans="6:15" x14ac:dyDescent="0.25">
      <c r="F649"/>
      <c r="O649"/>
    </row>
    <row r="650" spans="6:15" x14ac:dyDescent="0.25">
      <c r="F650"/>
      <c r="O650"/>
    </row>
    <row r="651" spans="6:15" x14ac:dyDescent="0.25">
      <c r="F651"/>
      <c r="O651"/>
    </row>
    <row r="652" spans="6:15" x14ac:dyDescent="0.25">
      <c r="F652"/>
      <c r="O652"/>
    </row>
    <row r="653" spans="6:15" x14ac:dyDescent="0.25">
      <c r="F653"/>
      <c r="O653"/>
    </row>
    <row r="654" spans="6:15" x14ac:dyDescent="0.25">
      <c r="F654"/>
      <c r="O654"/>
    </row>
    <row r="655" spans="6:15" x14ac:dyDescent="0.25">
      <c r="F655"/>
      <c r="O655"/>
    </row>
    <row r="656" spans="6:15" x14ac:dyDescent="0.25">
      <c r="F656"/>
      <c r="O656"/>
    </row>
    <row r="657" spans="6:15" x14ac:dyDescent="0.25">
      <c r="F657"/>
      <c r="O657"/>
    </row>
    <row r="658" spans="6:15" x14ac:dyDescent="0.25">
      <c r="F658"/>
      <c r="O658"/>
    </row>
    <row r="659" spans="6:15" x14ac:dyDescent="0.25">
      <c r="F659"/>
      <c r="O659"/>
    </row>
    <row r="660" spans="6:15" x14ac:dyDescent="0.25">
      <c r="F660"/>
      <c r="O660"/>
    </row>
    <row r="661" spans="6:15" x14ac:dyDescent="0.25">
      <c r="F661"/>
      <c r="O661"/>
    </row>
    <row r="662" spans="6:15" x14ac:dyDescent="0.25">
      <c r="F662"/>
      <c r="O662"/>
    </row>
    <row r="663" spans="6:15" x14ac:dyDescent="0.25">
      <c r="F663"/>
      <c r="O663"/>
    </row>
    <row r="664" spans="6:15" x14ac:dyDescent="0.25">
      <c r="F664"/>
      <c r="O664"/>
    </row>
    <row r="665" spans="6:15" x14ac:dyDescent="0.25">
      <c r="F665"/>
      <c r="O665"/>
    </row>
    <row r="666" spans="6:15" x14ac:dyDescent="0.25">
      <c r="F666"/>
      <c r="O666"/>
    </row>
    <row r="667" spans="6:15" x14ac:dyDescent="0.25">
      <c r="F667"/>
      <c r="O667"/>
    </row>
    <row r="668" spans="6:15" x14ac:dyDescent="0.25">
      <c r="F668"/>
      <c r="O668"/>
    </row>
    <row r="669" spans="6:15" x14ac:dyDescent="0.25">
      <c r="F669"/>
      <c r="O669"/>
    </row>
    <row r="670" spans="6:15" x14ac:dyDescent="0.25">
      <c r="F670"/>
      <c r="O670"/>
    </row>
    <row r="671" spans="6:15" x14ac:dyDescent="0.25">
      <c r="F671"/>
      <c r="O671"/>
    </row>
    <row r="672" spans="6:15" x14ac:dyDescent="0.25">
      <c r="F672"/>
      <c r="O672"/>
    </row>
    <row r="673" spans="6:15" x14ac:dyDescent="0.25">
      <c r="F673"/>
      <c r="O673"/>
    </row>
    <row r="674" spans="6:15" x14ac:dyDescent="0.25">
      <c r="F674"/>
      <c r="O674"/>
    </row>
    <row r="675" spans="6:15" x14ac:dyDescent="0.25">
      <c r="F675"/>
      <c r="O675"/>
    </row>
    <row r="676" spans="6:15" x14ac:dyDescent="0.25">
      <c r="F676"/>
      <c r="O676"/>
    </row>
    <row r="677" spans="6:15" x14ac:dyDescent="0.25">
      <c r="F677"/>
      <c r="O677"/>
    </row>
    <row r="678" spans="6:15" x14ac:dyDescent="0.25">
      <c r="F678"/>
      <c r="O678"/>
    </row>
    <row r="679" spans="6:15" x14ac:dyDescent="0.25">
      <c r="F679"/>
      <c r="O679"/>
    </row>
    <row r="680" spans="6:15" x14ac:dyDescent="0.25">
      <c r="F680"/>
      <c r="O680"/>
    </row>
    <row r="681" spans="6:15" x14ac:dyDescent="0.25">
      <c r="F681"/>
      <c r="O681"/>
    </row>
    <row r="682" spans="6:15" x14ac:dyDescent="0.25">
      <c r="F682"/>
      <c r="O682"/>
    </row>
    <row r="683" spans="6:15" x14ac:dyDescent="0.25">
      <c r="F683"/>
      <c r="O683"/>
    </row>
    <row r="684" spans="6:15" x14ac:dyDescent="0.25">
      <c r="F684"/>
      <c r="O684"/>
    </row>
    <row r="685" spans="6:15" x14ac:dyDescent="0.25">
      <c r="F685"/>
      <c r="O685"/>
    </row>
    <row r="686" spans="6:15" x14ac:dyDescent="0.25">
      <c r="F686"/>
      <c r="O686"/>
    </row>
    <row r="687" spans="6:15" x14ac:dyDescent="0.25">
      <c r="F687"/>
      <c r="O687"/>
    </row>
    <row r="688" spans="6:15" x14ac:dyDescent="0.25">
      <c r="F688"/>
      <c r="O688"/>
    </row>
    <row r="689" spans="6:15" x14ac:dyDescent="0.25">
      <c r="F689"/>
      <c r="O689"/>
    </row>
    <row r="690" spans="6:15" x14ac:dyDescent="0.25">
      <c r="F690"/>
      <c r="O690"/>
    </row>
    <row r="691" spans="6:15" x14ac:dyDescent="0.25">
      <c r="F691"/>
      <c r="O691"/>
    </row>
    <row r="692" spans="6:15" x14ac:dyDescent="0.25">
      <c r="F692"/>
      <c r="O692"/>
    </row>
    <row r="693" spans="6:15" x14ac:dyDescent="0.25">
      <c r="F693"/>
      <c r="O693"/>
    </row>
    <row r="694" spans="6:15" x14ac:dyDescent="0.25">
      <c r="F694"/>
      <c r="O694"/>
    </row>
    <row r="695" spans="6:15" x14ac:dyDescent="0.25">
      <c r="F695"/>
      <c r="O695"/>
    </row>
    <row r="696" spans="6:15" x14ac:dyDescent="0.25">
      <c r="F696"/>
      <c r="O696"/>
    </row>
    <row r="697" spans="6:15" x14ac:dyDescent="0.25">
      <c r="F697"/>
      <c r="O697"/>
    </row>
    <row r="698" spans="6:15" x14ac:dyDescent="0.25">
      <c r="F698"/>
      <c r="O698"/>
    </row>
    <row r="699" spans="6:15" x14ac:dyDescent="0.25">
      <c r="F699"/>
      <c r="O699"/>
    </row>
    <row r="700" spans="6:15" x14ac:dyDescent="0.25">
      <c r="F700"/>
      <c r="O700"/>
    </row>
    <row r="701" spans="6:15" x14ac:dyDescent="0.25">
      <c r="F701"/>
      <c r="O701"/>
    </row>
    <row r="702" spans="6:15" x14ac:dyDescent="0.25">
      <c r="F702"/>
      <c r="O702"/>
    </row>
    <row r="703" spans="6:15" x14ac:dyDescent="0.25">
      <c r="F703"/>
      <c r="O703"/>
    </row>
    <row r="704" spans="6:15" x14ac:dyDescent="0.25">
      <c r="F704"/>
      <c r="O704"/>
    </row>
    <row r="705" spans="6:15" x14ac:dyDescent="0.25">
      <c r="F705"/>
      <c r="O705"/>
    </row>
    <row r="706" spans="6:15" x14ac:dyDescent="0.25">
      <c r="F706"/>
      <c r="O706"/>
    </row>
    <row r="707" spans="6:15" x14ac:dyDescent="0.25">
      <c r="F707"/>
      <c r="O707"/>
    </row>
    <row r="708" spans="6:15" x14ac:dyDescent="0.25">
      <c r="F708"/>
      <c r="O708"/>
    </row>
    <row r="709" spans="6:15" x14ac:dyDescent="0.25">
      <c r="F709"/>
      <c r="O709"/>
    </row>
    <row r="710" spans="6:15" x14ac:dyDescent="0.25">
      <c r="F710"/>
      <c r="O710"/>
    </row>
    <row r="711" spans="6:15" x14ac:dyDescent="0.25">
      <c r="F711"/>
      <c r="O711"/>
    </row>
    <row r="712" spans="6:15" x14ac:dyDescent="0.25">
      <c r="F712"/>
      <c r="O712"/>
    </row>
    <row r="713" spans="6:15" x14ac:dyDescent="0.25">
      <c r="F713"/>
      <c r="O713"/>
    </row>
    <row r="714" spans="6:15" x14ac:dyDescent="0.25">
      <c r="F714"/>
      <c r="O714"/>
    </row>
    <row r="715" spans="6:15" x14ac:dyDescent="0.25">
      <c r="F715"/>
      <c r="O715"/>
    </row>
    <row r="716" spans="6:15" x14ac:dyDescent="0.25">
      <c r="F716"/>
      <c r="O716"/>
    </row>
    <row r="717" spans="6:15" x14ac:dyDescent="0.25">
      <c r="F717"/>
      <c r="O717"/>
    </row>
    <row r="718" spans="6:15" x14ac:dyDescent="0.25">
      <c r="F718"/>
      <c r="O718"/>
    </row>
    <row r="719" spans="6:15" x14ac:dyDescent="0.25">
      <c r="F719"/>
      <c r="O719"/>
    </row>
    <row r="720" spans="6:15" x14ac:dyDescent="0.25">
      <c r="F720"/>
      <c r="O720"/>
    </row>
    <row r="721" spans="6:15" x14ac:dyDescent="0.25">
      <c r="F721"/>
      <c r="O721"/>
    </row>
    <row r="722" spans="6:15" x14ac:dyDescent="0.25">
      <c r="F722"/>
      <c r="O722"/>
    </row>
    <row r="723" spans="6:15" x14ac:dyDescent="0.25">
      <c r="F723"/>
      <c r="O723"/>
    </row>
    <row r="724" spans="6:15" x14ac:dyDescent="0.25">
      <c r="F724"/>
      <c r="O724"/>
    </row>
    <row r="725" spans="6:15" x14ac:dyDescent="0.25">
      <c r="F725"/>
      <c r="O725"/>
    </row>
    <row r="726" spans="6:15" x14ac:dyDescent="0.25">
      <c r="F726"/>
      <c r="O726"/>
    </row>
    <row r="727" spans="6:15" x14ac:dyDescent="0.25">
      <c r="F727"/>
      <c r="O727"/>
    </row>
    <row r="728" spans="6:15" x14ac:dyDescent="0.25">
      <c r="F728"/>
      <c r="O728"/>
    </row>
    <row r="729" spans="6:15" x14ac:dyDescent="0.25">
      <c r="F729"/>
      <c r="O729"/>
    </row>
    <row r="730" spans="6:15" x14ac:dyDescent="0.25">
      <c r="F730"/>
      <c r="O730"/>
    </row>
    <row r="731" spans="6:15" x14ac:dyDescent="0.25">
      <c r="F731"/>
      <c r="O731"/>
    </row>
    <row r="732" spans="6:15" x14ac:dyDescent="0.25">
      <c r="F732"/>
      <c r="O732"/>
    </row>
    <row r="733" spans="6:15" x14ac:dyDescent="0.25">
      <c r="F733"/>
      <c r="O733"/>
    </row>
    <row r="734" spans="6:15" x14ac:dyDescent="0.25">
      <c r="F734"/>
      <c r="O734"/>
    </row>
    <row r="735" spans="6:15" x14ac:dyDescent="0.25">
      <c r="F735"/>
      <c r="O735"/>
    </row>
    <row r="736" spans="6:15" x14ac:dyDescent="0.25">
      <c r="F736"/>
      <c r="O736"/>
    </row>
    <row r="737" spans="6:15" x14ac:dyDescent="0.25">
      <c r="F737"/>
      <c r="O737"/>
    </row>
    <row r="738" spans="6:15" x14ac:dyDescent="0.25">
      <c r="F738"/>
      <c r="O738"/>
    </row>
    <row r="739" spans="6:15" x14ac:dyDescent="0.25">
      <c r="F739"/>
      <c r="O739"/>
    </row>
    <row r="740" spans="6:15" x14ac:dyDescent="0.25">
      <c r="F740"/>
      <c r="O740"/>
    </row>
    <row r="741" spans="6:15" x14ac:dyDescent="0.25">
      <c r="F741"/>
      <c r="O741"/>
    </row>
    <row r="742" spans="6:15" x14ac:dyDescent="0.25">
      <c r="F742"/>
      <c r="O742"/>
    </row>
    <row r="743" spans="6:15" x14ac:dyDescent="0.25">
      <c r="F743"/>
      <c r="O743"/>
    </row>
    <row r="744" spans="6:15" x14ac:dyDescent="0.25">
      <c r="F744"/>
      <c r="O744"/>
    </row>
    <row r="745" spans="6:15" x14ac:dyDescent="0.25">
      <c r="F745"/>
      <c r="O745"/>
    </row>
    <row r="746" spans="6:15" x14ac:dyDescent="0.25">
      <c r="F746"/>
      <c r="O746"/>
    </row>
    <row r="747" spans="6:15" x14ac:dyDescent="0.25">
      <c r="F747"/>
      <c r="O747"/>
    </row>
    <row r="748" spans="6:15" x14ac:dyDescent="0.25">
      <c r="F748"/>
      <c r="O748"/>
    </row>
    <row r="749" spans="6:15" x14ac:dyDescent="0.25">
      <c r="F749"/>
      <c r="O749"/>
    </row>
    <row r="750" spans="6:15" x14ac:dyDescent="0.25">
      <c r="F750"/>
      <c r="O750"/>
    </row>
    <row r="751" spans="6:15" x14ac:dyDescent="0.25">
      <c r="F751"/>
      <c r="O751"/>
    </row>
    <row r="752" spans="6:15" x14ac:dyDescent="0.25">
      <c r="F752"/>
      <c r="O752"/>
    </row>
    <row r="753" spans="6:15" x14ac:dyDescent="0.25">
      <c r="F753"/>
      <c r="O753"/>
    </row>
    <row r="754" spans="6:15" x14ac:dyDescent="0.25">
      <c r="F754"/>
      <c r="O754"/>
    </row>
    <row r="755" spans="6:15" x14ac:dyDescent="0.25">
      <c r="F755"/>
      <c r="O755"/>
    </row>
    <row r="756" spans="6:15" x14ac:dyDescent="0.25">
      <c r="F756"/>
      <c r="O756"/>
    </row>
    <row r="757" spans="6:15" x14ac:dyDescent="0.25">
      <c r="F757"/>
      <c r="O757"/>
    </row>
    <row r="758" spans="6:15" x14ac:dyDescent="0.25">
      <c r="F758"/>
      <c r="O758"/>
    </row>
    <row r="759" spans="6:15" x14ac:dyDescent="0.25">
      <c r="F759"/>
      <c r="O759"/>
    </row>
    <row r="760" spans="6:15" x14ac:dyDescent="0.25">
      <c r="F760"/>
      <c r="O760"/>
    </row>
    <row r="761" spans="6:15" x14ac:dyDescent="0.25">
      <c r="F761"/>
      <c r="O761"/>
    </row>
    <row r="762" spans="6:15" x14ac:dyDescent="0.25">
      <c r="F762"/>
      <c r="O762"/>
    </row>
    <row r="763" spans="6:15" x14ac:dyDescent="0.25">
      <c r="F763"/>
      <c r="O763"/>
    </row>
    <row r="764" spans="6:15" x14ac:dyDescent="0.25">
      <c r="F764"/>
      <c r="O764"/>
    </row>
    <row r="765" spans="6:15" x14ac:dyDescent="0.25">
      <c r="F765"/>
      <c r="O765"/>
    </row>
    <row r="766" spans="6:15" x14ac:dyDescent="0.25">
      <c r="F766"/>
      <c r="O766"/>
    </row>
    <row r="767" spans="6:15" x14ac:dyDescent="0.25">
      <c r="F767"/>
      <c r="O767"/>
    </row>
    <row r="768" spans="6:15" x14ac:dyDescent="0.25">
      <c r="F768"/>
      <c r="O768"/>
    </row>
    <row r="769" spans="6:15" x14ac:dyDescent="0.25">
      <c r="F769"/>
      <c r="O769"/>
    </row>
    <row r="770" spans="6:15" x14ac:dyDescent="0.25">
      <c r="F770"/>
      <c r="O770"/>
    </row>
    <row r="771" spans="6:15" x14ac:dyDescent="0.25">
      <c r="F771"/>
      <c r="O771"/>
    </row>
    <row r="772" spans="6:15" x14ac:dyDescent="0.25">
      <c r="F772"/>
      <c r="O772"/>
    </row>
    <row r="773" spans="6:15" x14ac:dyDescent="0.25">
      <c r="F773"/>
      <c r="O773"/>
    </row>
    <row r="774" spans="6:15" x14ac:dyDescent="0.25">
      <c r="F774"/>
      <c r="O774"/>
    </row>
    <row r="775" spans="6:15" x14ac:dyDescent="0.25">
      <c r="F775"/>
      <c r="O775"/>
    </row>
    <row r="776" spans="6:15" x14ac:dyDescent="0.25">
      <c r="F776"/>
      <c r="O776"/>
    </row>
    <row r="777" spans="6:15" x14ac:dyDescent="0.25">
      <c r="F777"/>
      <c r="O777"/>
    </row>
    <row r="778" spans="6:15" x14ac:dyDescent="0.25">
      <c r="F778"/>
      <c r="O778"/>
    </row>
    <row r="779" spans="6:15" x14ac:dyDescent="0.25">
      <c r="F779"/>
      <c r="O779"/>
    </row>
    <row r="780" spans="6:15" x14ac:dyDescent="0.25">
      <c r="F780"/>
      <c r="O780"/>
    </row>
    <row r="781" spans="6:15" x14ac:dyDescent="0.25">
      <c r="F781"/>
      <c r="O781"/>
    </row>
    <row r="782" spans="6:15" x14ac:dyDescent="0.25">
      <c r="F782"/>
      <c r="O782"/>
    </row>
    <row r="783" spans="6:15" x14ac:dyDescent="0.25">
      <c r="F783"/>
      <c r="O783"/>
    </row>
    <row r="784" spans="6:15" x14ac:dyDescent="0.25">
      <c r="F784"/>
      <c r="O784"/>
    </row>
    <row r="785" spans="6:15" x14ac:dyDescent="0.25">
      <c r="F785"/>
      <c r="O785"/>
    </row>
    <row r="786" spans="6:15" x14ac:dyDescent="0.25">
      <c r="F786"/>
      <c r="O786"/>
    </row>
    <row r="787" spans="6:15" x14ac:dyDescent="0.25">
      <c r="F787"/>
      <c r="O787"/>
    </row>
    <row r="788" spans="6:15" x14ac:dyDescent="0.25">
      <c r="F788"/>
      <c r="O788"/>
    </row>
    <row r="789" spans="6:15" x14ac:dyDescent="0.25">
      <c r="F789"/>
      <c r="O789"/>
    </row>
    <row r="790" spans="6:15" x14ac:dyDescent="0.25">
      <c r="F790"/>
      <c r="O790"/>
    </row>
    <row r="791" spans="6:15" x14ac:dyDescent="0.25">
      <c r="F791"/>
      <c r="O791"/>
    </row>
    <row r="792" spans="6:15" x14ac:dyDescent="0.25">
      <c r="F792"/>
      <c r="O792"/>
    </row>
    <row r="793" spans="6:15" x14ac:dyDescent="0.25">
      <c r="F793"/>
      <c r="O793"/>
    </row>
    <row r="794" spans="6:15" x14ac:dyDescent="0.25">
      <c r="F794"/>
      <c r="O794"/>
    </row>
    <row r="795" spans="6:15" x14ac:dyDescent="0.25">
      <c r="F795"/>
      <c r="O795"/>
    </row>
    <row r="796" spans="6:15" x14ac:dyDescent="0.25">
      <c r="F796"/>
      <c r="O796"/>
    </row>
    <row r="797" spans="6:15" x14ac:dyDescent="0.25">
      <c r="F797"/>
      <c r="O797"/>
    </row>
    <row r="798" spans="6:15" x14ac:dyDescent="0.25">
      <c r="F798"/>
      <c r="O798"/>
    </row>
    <row r="799" spans="6:15" x14ac:dyDescent="0.25">
      <c r="F799"/>
      <c r="O799"/>
    </row>
    <row r="800" spans="6:15" x14ac:dyDescent="0.25">
      <c r="F800"/>
      <c r="O800"/>
    </row>
    <row r="801" spans="6:15" x14ac:dyDescent="0.25">
      <c r="F801"/>
      <c r="O801"/>
    </row>
    <row r="802" spans="6:15" x14ac:dyDescent="0.25">
      <c r="F802"/>
      <c r="O802"/>
    </row>
    <row r="803" spans="6:15" x14ac:dyDescent="0.25">
      <c r="F803"/>
      <c r="O803"/>
    </row>
    <row r="804" spans="6:15" x14ac:dyDescent="0.25">
      <c r="F804"/>
      <c r="O804"/>
    </row>
    <row r="805" spans="6:15" x14ac:dyDescent="0.25">
      <c r="F805"/>
      <c r="O805"/>
    </row>
    <row r="806" spans="6:15" x14ac:dyDescent="0.25">
      <c r="F806"/>
      <c r="O806"/>
    </row>
    <row r="807" spans="6:15" x14ac:dyDescent="0.25">
      <c r="F807"/>
      <c r="O807"/>
    </row>
    <row r="808" spans="6:15" x14ac:dyDescent="0.25">
      <c r="F808"/>
      <c r="O808"/>
    </row>
    <row r="809" spans="6:15" x14ac:dyDescent="0.25">
      <c r="F809"/>
      <c r="O809"/>
    </row>
    <row r="810" spans="6:15" x14ac:dyDescent="0.25">
      <c r="F810"/>
      <c r="O810"/>
    </row>
    <row r="811" spans="6:15" x14ac:dyDescent="0.25">
      <c r="F811"/>
      <c r="O811"/>
    </row>
    <row r="812" spans="6:15" x14ac:dyDescent="0.25">
      <c r="F812"/>
      <c r="O812"/>
    </row>
    <row r="813" spans="6:15" x14ac:dyDescent="0.25">
      <c r="F813"/>
      <c r="O813"/>
    </row>
    <row r="814" spans="6:15" x14ac:dyDescent="0.25">
      <c r="F814"/>
      <c r="O814"/>
    </row>
    <row r="815" spans="6:15" x14ac:dyDescent="0.25">
      <c r="F815"/>
      <c r="O815"/>
    </row>
    <row r="816" spans="6:15" x14ac:dyDescent="0.25">
      <c r="F816"/>
      <c r="O816"/>
    </row>
    <row r="817" spans="6:15" x14ac:dyDescent="0.25">
      <c r="F817"/>
      <c r="O817"/>
    </row>
    <row r="818" spans="6:15" x14ac:dyDescent="0.25">
      <c r="F818"/>
      <c r="O818"/>
    </row>
    <row r="819" spans="6:15" x14ac:dyDescent="0.25">
      <c r="F819"/>
      <c r="O819"/>
    </row>
    <row r="820" spans="6:15" x14ac:dyDescent="0.25">
      <c r="F820"/>
      <c r="O820"/>
    </row>
    <row r="821" spans="6:15" x14ac:dyDescent="0.25">
      <c r="F821"/>
      <c r="O821"/>
    </row>
    <row r="822" spans="6:15" x14ac:dyDescent="0.25">
      <c r="F822"/>
      <c r="O822"/>
    </row>
    <row r="823" spans="6:15" x14ac:dyDescent="0.25">
      <c r="F823"/>
      <c r="O823"/>
    </row>
    <row r="824" spans="6:15" x14ac:dyDescent="0.25">
      <c r="F824"/>
      <c r="O824"/>
    </row>
    <row r="825" spans="6:15" x14ac:dyDescent="0.25">
      <c r="F825"/>
      <c r="O825"/>
    </row>
    <row r="826" spans="6:15" x14ac:dyDescent="0.25">
      <c r="F826"/>
      <c r="O826"/>
    </row>
    <row r="827" spans="6:15" x14ac:dyDescent="0.25">
      <c r="F827"/>
      <c r="O827"/>
    </row>
    <row r="828" spans="6:15" x14ac:dyDescent="0.25">
      <c r="F828"/>
      <c r="O828"/>
    </row>
    <row r="829" spans="6:15" x14ac:dyDescent="0.25">
      <c r="F829"/>
      <c r="O829"/>
    </row>
    <row r="830" spans="6:15" x14ac:dyDescent="0.25">
      <c r="F830"/>
      <c r="O830"/>
    </row>
    <row r="831" spans="6:15" x14ac:dyDescent="0.25">
      <c r="F831"/>
      <c r="O831"/>
    </row>
    <row r="832" spans="6:15" x14ac:dyDescent="0.25">
      <c r="F832"/>
      <c r="O832"/>
    </row>
    <row r="833" spans="6:15" x14ac:dyDescent="0.25">
      <c r="F833"/>
      <c r="O833"/>
    </row>
    <row r="834" spans="6:15" x14ac:dyDescent="0.25">
      <c r="F834"/>
      <c r="O834"/>
    </row>
    <row r="835" spans="6:15" x14ac:dyDescent="0.25">
      <c r="F835"/>
      <c r="O835"/>
    </row>
    <row r="836" spans="6:15" x14ac:dyDescent="0.25">
      <c r="F836"/>
      <c r="O836"/>
    </row>
    <row r="837" spans="6:15" x14ac:dyDescent="0.25">
      <c r="F837"/>
      <c r="O837"/>
    </row>
    <row r="838" spans="6:15" x14ac:dyDescent="0.25">
      <c r="F838"/>
      <c r="O838"/>
    </row>
    <row r="839" spans="6:15" x14ac:dyDescent="0.25">
      <c r="F839"/>
      <c r="O839"/>
    </row>
    <row r="840" spans="6:15" x14ac:dyDescent="0.25">
      <c r="F840"/>
      <c r="O840"/>
    </row>
    <row r="841" spans="6:15" x14ac:dyDescent="0.25">
      <c r="F841"/>
      <c r="O841"/>
    </row>
    <row r="842" spans="6:15" x14ac:dyDescent="0.25">
      <c r="F842"/>
      <c r="O842"/>
    </row>
    <row r="843" spans="6:15" x14ac:dyDescent="0.25">
      <c r="F843"/>
      <c r="O843"/>
    </row>
    <row r="844" spans="6:15" x14ac:dyDescent="0.25">
      <c r="F844"/>
      <c r="O844"/>
    </row>
    <row r="845" spans="6:15" x14ac:dyDescent="0.25">
      <c r="F845"/>
      <c r="O845"/>
    </row>
    <row r="846" spans="6:15" x14ac:dyDescent="0.25">
      <c r="F846"/>
      <c r="O846"/>
    </row>
    <row r="847" spans="6:15" x14ac:dyDescent="0.25">
      <c r="F847"/>
      <c r="O847"/>
    </row>
    <row r="848" spans="6:15" x14ac:dyDescent="0.25">
      <c r="F848"/>
      <c r="O848"/>
    </row>
    <row r="849" spans="6:15" x14ac:dyDescent="0.25">
      <c r="F849"/>
      <c r="O849"/>
    </row>
    <row r="850" spans="6:15" x14ac:dyDescent="0.25">
      <c r="F850"/>
      <c r="O850"/>
    </row>
    <row r="851" spans="6:15" x14ac:dyDescent="0.25">
      <c r="F851"/>
      <c r="O851"/>
    </row>
    <row r="852" spans="6:15" x14ac:dyDescent="0.25">
      <c r="F852"/>
      <c r="O852"/>
    </row>
    <row r="853" spans="6:15" x14ac:dyDescent="0.25">
      <c r="F853"/>
      <c r="O853"/>
    </row>
    <row r="854" spans="6:15" x14ac:dyDescent="0.25">
      <c r="F854"/>
      <c r="O854"/>
    </row>
    <row r="855" spans="6:15" x14ac:dyDescent="0.25">
      <c r="F855"/>
      <c r="O855"/>
    </row>
    <row r="856" spans="6:15" x14ac:dyDescent="0.25">
      <c r="F856"/>
      <c r="O856"/>
    </row>
    <row r="857" spans="6:15" x14ac:dyDescent="0.25">
      <c r="F857"/>
      <c r="O857"/>
    </row>
    <row r="858" spans="6:15" x14ac:dyDescent="0.25">
      <c r="F858"/>
      <c r="O858"/>
    </row>
    <row r="859" spans="6:15" x14ac:dyDescent="0.25">
      <c r="F859"/>
      <c r="O859"/>
    </row>
    <row r="860" spans="6:15" x14ac:dyDescent="0.25">
      <c r="F860"/>
      <c r="O860"/>
    </row>
    <row r="861" spans="6:15" x14ac:dyDescent="0.25">
      <c r="F861"/>
      <c r="O861"/>
    </row>
    <row r="862" spans="6:15" x14ac:dyDescent="0.25">
      <c r="F862"/>
      <c r="O862"/>
    </row>
    <row r="863" spans="6:15" x14ac:dyDescent="0.25">
      <c r="F863"/>
      <c r="O863"/>
    </row>
    <row r="864" spans="6:15" x14ac:dyDescent="0.25">
      <c r="F864"/>
      <c r="O864"/>
    </row>
    <row r="865" spans="6:15" x14ac:dyDescent="0.25">
      <c r="F865"/>
      <c r="O865"/>
    </row>
    <row r="866" spans="6:15" x14ac:dyDescent="0.25">
      <c r="F866"/>
      <c r="O866"/>
    </row>
    <row r="867" spans="6:15" x14ac:dyDescent="0.25">
      <c r="F867"/>
      <c r="O867"/>
    </row>
    <row r="868" spans="6:15" x14ac:dyDescent="0.25">
      <c r="F868"/>
      <c r="O868"/>
    </row>
    <row r="869" spans="6:15" x14ac:dyDescent="0.25">
      <c r="F869"/>
      <c r="O869"/>
    </row>
    <row r="870" spans="6:15" x14ac:dyDescent="0.25">
      <c r="F870"/>
      <c r="O870"/>
    </row>
    <row r="871" spans="6:15" x14ac:dyDescent="0.25">
      <c r="F871"/>
      <c r="O871"/>
    </row>
    <row r="872" spans="6:15" x14ac:dyDescent="0.25">
      <c r="F872"/>
      <c r="O872"/>
    </row>
    <row r="873" spans="6:15" x14ac:dyDescent="0.25">
      <c r="F873"/>
      <c r="O873"/>
    </row>
    <row r="874" spans="6:15" x14ac:dyDescent="0.25">
      <c r="F874"/>
      <c r="O874"/>
    </row>
    <row r="875" spans="6:15" x14ac:dyDescent="0.25">
      <c r="F875"/>
      <c r="O875"/>
    </row>
    <row r="876" spans="6:15" x14ac:dyDescent="0.25">
      <c r="F876"/>
      <c r="O876"/>
    </row>
    <row r="877" spans="6:15" x14ac:dyDescent="0.25">
      <c r="F877"/>
      <c r="O877"/>
    </row>
    <row r="878" spans="6:15" x14ac:dyDescent="0.25">
      <c r="F878"/>
      <c r="O878"/>
    </row>
    <row r="879" spans="6:15" x14ac:dyDescent="0.25">
      <c r="F879"/>
      <c r="O879"/>
    </row>
    <row r="880" spans="6:15" x14ac:dyDescent="0.25">
      <c r="F880"/>
      <c r="O880"/>
    </row>
    <row r="881" spans="6:15" x14ac:dyDescent="0.25">
      <c r="F881"/>
      <c r="O881"/>
    </row>
    <row r="882" spans="6:15" x14ac:dyDescent="0.25">
      <c r="F882"/>
      <c r="O882"/>
    </row>
    <row r="883" spans="6:15" x14ac:dyDescent="0.25">
      <c r="F883"/>
      <c r="O883"/>
    </row>
    <row r="884" spans="6:15" x14ac:dyDescent="0.25">
      <c r="F884"/>
      <c r="O884"/>
    </row>
    <row r="885" spans="6:15" x14ac:dyDescent="0.25">
      <c r="F885"/>
      <c r="O885"/>
    </row>
    <row r="886" spans="6:15" x14ac:dyDescent="0.25">
      <c r="F886"/>
      <c r="O886"/>
    </row>
    <row r="887" spans="6:15" x14ac:dyDescent="0.25">
      <c r="F887"/>
      <c r="O887"/>
    </row>
    <row r="888" spans="6:15" x14ac:dyDescent="0.25">
      <c r="F888"/>
      <c r="O888"/>
    </row>
    <row r="889" spans="6:15" x14ac:dyDescent="0.25">
      <c r="F889"/>
      <c r="O889"/>
    </row>
    <row r="890" spans="6:15" x14ac:dyDescent="0.25">
      <c r="F890"/>
      <c r="O890"/>
    </row>
    <row r="891" spans="6:15" x14ac:dyDescent="0.25">
      <c r="F891"/>
      <c r="O891"/>
    </row>
    <row r="892" spans="6:15" x14ac:dyDescent="0.25">
      <c r="F892"/>
      <c r="O892"/>
    </row>
    <row r="893" spans="6:15" x14ac:dyDescent="0.25">
      <c r="F893"/>
      <c r="O893"/>
    </row>
    <row r="894" spans="6:15" x14ac:dyDescent="0.25">
      <c r="F894"/>
      <c r="O894"/>
    </row>
    <row r="895" spans="6:15" x14ac:dyDescent="0.25">
      <c r="F895"/>
      <c r="O895"/>
    </row>
    <row r="896" spans="6:15" x14ac:dyDescent="0.25">
      <c r="F896"/>
      <c r="O896"/>
    </row>
    <row r="897" spans="6:15" x14ac:dyDescent="0.25">
      <c r="F897"/>
      <c r="O897"/>
    </row>
    <row r="898" spans="6:15" x14ac:dyDescent="0.25">
      <c r="F898"/>
      <c r="O898"/>
    </row>
    <row r="899" spans="6:15" x14ac:dyDescent="0.25">
      <c r="F899"/>
      <c r="O899"/>
    </row>
    <row r="900" spans="6:15" x14ac:dyDescent="0.25">
      <c r="F900"/>
      <c r="O900"/>
    </row>
    <row r="901" spans="6:15" x14ac:dyDescent="0.25">
      <c r="F901"/>
      <c r="O901"/>
    </row>
    <row r="902" spans="6:15" x14ac:dyDescent="0.25">
      <c r="F902"/>
      <c r="O902"/>
    </row>
    <row r="903" spans="6:15" x14ac:dyDescent="0.25">
      <c r="F903"/>
      <c r="O903"/>
    </row>
    <row r="904" spans="6:15" x14ac:dyDescent="0.25">
      <c r="F904"/>
      <c r="O904"/>
    </row>
    <row r="905" spans="6:15" x14ac:dyDescent="0.25">
      <c r="F905"/>
      <c r="O905"/>
    </row>
    <row r="906" spans="6:15" x14ac:dyDescent="0.25">
      <c r="F906"/>
      <c r="O906"/>
    </row>
    <row r="907" spans="6:15" x14ac:dyDescent="0.25">
      <c r="F907"/>
      <c r="O907"/>
    </row>
    <row r="908" spans="6:15" x14ac:dyDescent="0.25">
      <c r="F908"/>
      <c r="O908"/>
    </row>
    <row r="909" spans="6:15" x14ac:dyDescent="0.25">
      <c r="F909"/>
      <c r="O909"/>
    </row>
    <row r="910" spans="6:15" x14ac:dyDescent="0.25">
      <c r="F910"/>
      <c r="O910"/>
    </row>
    <row r="911" spans="6:15" x14ac:dyDescent="0.25">
      <c r="F911"/>
      <c r="O911"/>
    </row>
    <row r="912" spans="6:15" x14ac:dyDescent="0.25">
      <c r="F912"/>
      <c r="O912"/>
    </row>
    <row r="913" spans="6:15" x14ac:dyDescent="0.25">
      <c r="F913"/>
      <c r="O913"/>
    </row>
    <row r="914" spans="6:15" x14ac:dyDescent="0.25">
      <c r="F914"/>
      <c r="O914"/>
    </row>
    <row r="915" spans="6:15" x14ac:dyDescent="0.25">
      <c r="F915"/>
      <c r="O915"/>
    </row>
    <row r="916" spans="6:15" x14ac:dyDescent="0.25">
      <c r="F916"/>
      <c r="O916"/>
    </row>
    <row r="917" spans="6:15" x14ac:dyDescent="0.25">
      <c r="F917"/>
      <c r="O917"/>
    </row>
    <row r="918" spans="6:15" x14ac:dyDescent="0.25">
      <c r="F918"/>
      <c r="O918"/>
    </row>
    <row r="919" spans="6:15" x14ac:dyDescent="0.25">
      <c r="F919"/>
      <c r="O919"/>
    </row>
    <row r="920" spans="6:15" x14ac:dyDescent="0.25">
      <c r="F920"/>
      <c r="O920"/>
    </row>
    <row r="921" spans="6:15" x14ac:dyDescent="0.25">
      <c r="F921"/>
      <c r="O921"/>
    </row>
    <row r="922" spans="6:15" x14ac:dyDescent="0.25">
      <c r="F922"/>
      <c r="O922"/>
    </row>
    <row r="923" spans="6:15" x14ac:dyDescent="0.25">
      <c r="F923"/>
      <c r="O923"/>
    </row>
    <row r="924" spans="6:15" x14ac:dyDescent="0.25">
      <c r="F924"/>
      <c r="O924"/>
    </row>
    <row r="925" spans="6:15" x14ac:dyDescent="0.25">
      <c r="F925"/>
      <c r="O925"/>
    </row>
    <row r="926" spans="6:15" x14ac:dyDescent="0.25">
      <c r="F926"/>
      <c r="O926"/>
    </row>
    <row r="927" spans="6:15" x14ac:dyDescent="0.25">
      <c r="F927"/>
      <c r="O927"/>
    </row>
    <row r="928" spans="6:15" x14ac:dyDescent="0.25">
      <c r="F928"/>
      <c r="O928"/>
    </row>
    <row r="929" spans="6:15" x14ac:dyDescent="0.25">
      <c r="F929"/>
      <c r="O929"/>
    </row>
    <row r="930" spans="6:15" x14ac:dyDescent="0.25">
      <c r="F930"/>
      <c r="O930"/>
    </row>
    <row r="931" spans="6:15" x14ac:dyDescent="0.25">
      <c r="F931"/>
      <c r="O931"/>
    </row>
    <row r="932" spans="6:15" x14ac:dyDescent="0.25">
      <c r="F932"/>
      <c r="O932"/>
    </row>
    <row r="933" spans="6:15" x14ac:dyDescent="0.25">
      <c r="F933"/>
      <c r="O933"/>
    </row>
    <row r="934" spans="6:15" x14ac:dyDescent="0.25">
      <c r="F934"/>
      <c r="O934"/>
    </row>
    <row r="935" spans="6:15" x14ac:dyDescent="0.25">
      <c r="F935"/>
      <c r="O935"/>
    </row>
    <row r="936" spans="6:15" x14ac:dyDescent="0.25">
      <c r="F936"/>
      <c r="O936"/>
    </row>
    <row r="937" spans="6:15" x14ac:dyDescent="0.25">
      <c r="F937"/>
      <c r="O937"/>
    </row>
    <row r="938" spans="6:15" x14ac:dyDescent="0.25">
      <c r="F938"/>
      <c r="O938"/>
    </row>
    <row r="939" spans="6:15" x14ac:dyDescent="0.25">
      <c r="F939"/>
      <c r="O939"/>
    </row>
    <row r="940" spans="6:15" x14ac:dyDescent="0.25">
      <c r="F940"/>
      <c r="O940"/>
    </row>
    <row r="941" spans="6:15" x14ac:dyDescent="0.25">
      <c r="F941"/>
      <c r="O941"/>
    </row>
    <row r="942" spans="6:15" x14ac:dyDescent="0.25">
      <c r="F942"/>
      <c r="O942"/>
    </row>
    <row r="943" spans="6:15" x14ac:dyDescent="0.25">
      <c r="F943"/>
      <c r="O943"/>
    </row>
    <row r="944" spans="6:15" x14ac:dyDescent="0.25">
      <c r="F944"/>
      <c r="O944"/>
    </row>
    <row r="945" spans="6:15" x14ac:dyDescent="0.25">
      <c r="F945"/>
      <c r="O945"/>
    </row>
    <row r="946" spans="6:15" x14ac:dyDescent="0.25">
      <c r="F946"/>
      <c r="O946"/>
    </row>
    <row r="947" spans="6:15" x14ac:dyDescent="0.25">
      <c r="F947"/>
      <c r="O947"/>
    </row>
    <row r="948" spans="6:15" x14ac:dyDescent="0.25">
      <c r="F948"/>
      <c r="O948"/>
    </row>
    <row r="949" spans="6:15" x14ac:dyDescent="0.25">
      <c r="F949"/>
      <c r="O949"/>
    </row>
    <row r="950" spans="6:15" x14ac:dyDescent="0.25">
      <c r="F950"/>
      <c r="O950"/>
    </row>
    <row r="951" spans="6:15" x14ac:dyDescent="0.25">
      <c r="F951"/>
      <c r="O951"/>
    </row>
    <row r="952" spans="6:15" x14ac:dyDescent="0.25">
      <c r="F952"/>
      <c r="O952"/>
    </row>
    <row r="953" spans="6:15" x14ac:dyDescent="0.25">
      <c r="F953"/>
      <c r="O953"/>
    </row>
    <row r="954" spans="6:15" x14ac:dyDescent="0.25">
      <c r="F954"/>
      <c r="O954"/>
    </row>
    <row r="955" spans="6:15" x14ac:dyDescent="0.25">
      <c r="F955"/>
      <c r="O955"/>
    </row>
    <row r="956" spans="6:15" x14ac:dyDescent="0.25">
      <c r="F956"/>
      <c r="O956"/>
    </row>
    <row r="957" spans="6:15" x14ac:dyDescent="0.25">
      <c r="F957"/>
      <c r="O957"/>
    </row>
    <row r="958" spans="6:15" x14ac:dyDescent="0.25">
      <c r="F958"/>
      <c r="O958"/>
    </row>
    <row r="959" spans="6:15" x14ac:dyDescent="0.25">
      <c r="F959"/>
      <c r="O959"/>
    </row>
    <row r="960" spans="6:15" x14ac:dyDescent="0.25">
      <c r="F960"/>
      <c r="O960"/>
    </row>
    <row r="961" spans="6:15" x14ac:dyDescent="0.25">
      <c r="F961"/>
      <c r="O961"/>
    </row>
    <row r="962" spans="6:15" x14ac:dyDescent="0.25">
      <c r="F962"/>
      <c r="O962"/>
    </row>
    <row r="963" spans="6:15" x14ac:dyDescent="0.25">
      <c r="F963"/>
      <c r="O963"/>
    </row>
    <row r="964" spans="6:15" x14ac:dyDescent="0.25">
      <c r="F964"/>
      <c r="O964"/>
    </row>
    <row r="965" spans="6:15" x14ac:dyDescent="0.25">
      <c r="F965"/>
      <c r="O965"/>
    </row>
    <row r="966" spans="6:15" x14ac:dyDescent="0.25">
      <c r="F966"/>
      <c r="O966"/>
    </row>
    <row r="967" spans="6:15" x14ac:dyDescent="0.25">
      <c r="F967"/>
      <c r="O967"/>
    </row>
    <row r="968" spans="6:15" x14ac:dyDescent="0.25">
      <c r="F968"/>
      <c r="O968"/>
    </row>
    <row r="969" spans="6:15" x14ac:dyDescent="0.25">
      <c r="F969"/>
      <c r="O969"/>
    </row>
    <row r="970" spans="6:15" x14ac:dyDescent="0.25">
      <c r="F970"/>
      <c r="O970"/>
    </row>
    <row r="971" spans="6:15" x14ac:dyDescent="0.25">
      <c r="F971"/>
      <c r="O971"/>
    </row>
    <row r="972" spans="6:15" x14ac:dyDescent="0.25">
      <c r="F972"/>
      <c r="O972"/>
    </row>
    <row r="973" spans="6:15" x14ac:dyDescent="0.25">
      <c r="F973"/>
      <c r="O973"/>
    </row>
    <row r="974" spans="6:15" x14ac:dyDescent="0.25">
      <c r="F974"/>
      <c r="O974"/>
    </row>
    <row r="975" spans="6:15" x14ac:dyDescent="0.25">
      <c r="F975"/>
      <c r="O975"/>
    </row>
    <row r="976" spans="6:15" x14ac:dyDescent="0.25">
      <c r="F976"/>
      <c r="O976"/>
    </row>
    <row r="977" spans="6:15" x14ac:dyDescent="0.25">
      <c r="F977"/>
      <c r="O977"/>
    </row>
    <row r="978" spans="6:15" x14ac:dyDescent="0.25">
      <c r="F978"/>
      <c r="O978"/>
    </row>
    <row r="979" spans="6:15" x14ac:dyDescent="0.25">
      <c r="F979"/>
      <c r="O979"/>
    </row>
    <row r="980" spans="6:15" x14ac:dyDescent="0.25">
      <c r="F980"/>
      <c r="O980"/>
    </row>
    <row r="981" spans="6:15" x14ac:dyDescent="0.25">
      <c r="F981"/>
      <c r="O981"/>
    </row>
    <row r="982" spans="6:15" x14ac:dyDescent="0.25">
      <c r="F982"/>
      <c r="O982"/>
    </row>
    <row r="983" spans="6:15" x14ac:dyDescent="0.25">
      <c r="F983"/>
      <c r="O983"/>
    </row>
    <row r="984" spans="6:15" x14ac:dyDescent="0.25">
      <c r="F984"/>
      <c r="O984"/>
    </row>
    <row r="985" spans="6:15" x14ac:dyDescent="0.25">
      <c r="F985"/>
      <c r="O985"/>
    </row>
    <row r="986" spans="6:15" x14ac:dyDescent="0.25">
      <c r="F986"/>
      <c r="O986"/>
    </row>
    <row r="987" spans="6:15" x14ac:dyDescent="0.25">
      <c r="F987"/>
      <c r="O987"/>
    </row>
    <row r="988" spans="6:15" x14ac:dyDescent="0.25">
      <c r="F988"/>
      <c r="O988"/>
    </row>
    <row r="989" spans="6:15" x14ac:dyDescent="0.25">
      <c r="F989"/>
      <c r="O989"/>
    </row>
    <row r="990" spans="6:15" x14ac:dyDescent="0.25">
      <c r="F990"/>
      <c r="O990"/>
    </row>
    <row r="991" spans="6:15" x14ac:dyDescent="0.25">
      <c r="F991"/>
      <c r="O991"/>
    </row>
    <row r="992" spans="6:15" x14ac:dyDescent="0.25">
      <c r="F992"/>
      <c r="O992"/>
    </row>
    <row r="993" spans="6:15" x14ac:dyDescent="0.25">
      <c r="F993"/>
      <c r="O993"/>
    </row>
    <row r="994" spans="6:15" x14ac:dyDescent="0.25">
      <c r="F994"/>
      <c r="O994"/>
    </row>
    <row r="995" spans="6:15" x14ac:dyDescent="0.25">
      <c r="F995"/>
      <c r="O995"/>
    </row>
    <row r="996" spans="6:15" x14ac:dyDescent="0.25">
      <c r="F996"/>
      <c r="O996"/>
    </row>
    <row r="997" spans="6:15" x14ac:dyDescent="0.25">
      <c r="F997"/>
      <c r="O997"/>
    </row>
    <row r="998" spans="6:15" x14ac:dyDescent="0.25">
      <c r="F998"/>
      <c r="O998"/>
    </row>
    <row r="999" spans="6:15" x14ac:dyDescent="0.25">
      <c r="F999"/>
      <c r="O999"/>
    </row>
    <row r="1000" spans="6:15" x14ac:dyDescent="0.25">
      <c r="F1000"/>
      <c r="O1000"/>
    </row>
    <row r="1001" spans="6:15" x14ac:dyDescent="0.25">
      <c r="F1001"/>
      <c r="O1001"/>
    </row>
    <row r="1002" spans="6:15" x14ac:dyDescent="0.25">
      <c r="F1002"/>
      <c r="O1002"/>
    </row>
    <row r="1003" spans="6:15" x14ac:dyDescent="0.25">
      <c r="F1003"/>
      <c r="O1003"/>
    </row>
    <row r="1004" spans="6:15" x14ac:dyDescent="0.25">
      <c r="F1004"/>
      <c r="O1004"/>
    </row>
    <row r="1005" spans="6:15" x14ac:dyDescent="0.25">
      <c r="F1005"/>
      <c r="O1005"/>
    </row>
    <row r="1006" spans="6:15" x14ac:dyDescent="0.25">
      <c r="F1006"/>
      <c r="O1006"/>
    </row>
    <row r="1007" spans="6:15" x14ac:dyDescent="0.25">
      <c r="F1007"/>
      <c r="O1007"/>
    </row>
    <row r="1008" spans="6:15" x14ac:dyDescent="0.25">
      <c r="F1008"/>
      <c r="O1008"/>
    </row>
    <row r="1009" spans="6:15" x14ac:dyDescent="0.25">
      <c r="F1009"/>
      <c r="O1009"/>
    </row>
    <row r="1010" spans="6:15" x14ac:dyDescent="0.25">
      <c r="F1010"/>
      <c r="O1010"/>
    </row>
    <row r="1011" spans="6:15" x14ac:dyDescent="0.25">
      <c r="F1011"/>
      <c r="O1011"/>
    </row>
    <row r="1012" spans="6:15" x14ac:dyDescent="0.25">
      <c r="F1012"/>
      <c r="O1012"/>
    </row>
    <row r="1013" spans="6:15" x14ac:dyDescent="0.25">
      <c r="F1013"/>
      <c r="O1013"/>
    </row>
    <row r="1014" spans="6:15" x14ac:dyDescent="0.25">
      <c r="F1014"/>
      <c r="O1014"/>
    </row>
    <row r="1015" spans="6:15" x14ac:dyDescent="0.25">
      <c r="F1015"/>
      <c r="O1015"/>
    </row>
    <row r="1016" spans="6:15" x14ac:dyDescent="0.25">
      <c r="F1016"/>
      <c r="O1016"/>
    </row>
    <row r="1017" spans="6:15" x14ac:dyDescent="0.25">
      <c r="F1017"/>
      <c r="O1017"/>
    </row>
  </sheetData>
  <mergeCells count="9">
    <mergeCell ref="X22:AB22"/>
    <mergeCell ref="X18:AB18"/>
    <mergeCell ref="B15:I15"/>
    <mergeCell ref="K15:R15"/>
    <mergeCell ref="P5:R5"/>
    <mergeCell ref="P6:R6"/>
    <mergeCell ref="P7:R7"/>
    <mergeCell ref="P8:R8"/>
    <mergeCell ref="P9:R9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extract1tour">
                <anchor moveWithCells="1" sizeWithCells="1">
                  <from>
                    <xdr:col>4</xdr:col>
                    <xdr:colOff>228600</xdr:colOff>
                    <xdr:row>8</xdr:row>
                    <xdr:rowOff>171450</xdr:rowOff>
                  </from>
                  <to>
                    <xdr:col>6</xdr:col>
                    <xdr:colOff>238125</xdr:colOff>
                    <xdr:row>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EffacementImport">
                <anchor moveWithCells="1">
                  <from>
                    <xdr:col>11</xdr:col>
                    <xdr:colOff>104775</xdr:colOff>
                    <xdr:row>5</xdr:row>
                    <xdr:rowOff>161925</xdr:rowOff>
                  </from>
                  <to>
                    <xdr:col>13</xdr:col>
                    <xdr:colOff>47625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autoFill="0" autoPict="0" macro="[0]!EffacementResultat">
                <anchor moveWithCells="1">
                  <from>
                    <xdr:col>11</xdr:col>
                    <xdr:colOff>133350</xdr:colOff>
                    <xdr:row>8</xdr:row>
                    <xdr:rowOff>142875</xdr:rowOff>
                  </from>
                  <to>
                    <xdr:col>12</xdr:col>
                    <xdr:colOff>1638300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autoFill="0" autoPict="0" macro="[0]!EffacementAll">
                <anchor moveWithCells="1">
                  <from>
                    <xdr:col>13</xdr:col>
                    <xdr:colOff>419100</xdr:colOff>
                    <xdr:row>8</xdr:row>
                    <xdr:rowOff>133350</xdr:rowOff>
                  </from>
                  <to>
                    <xdr:col>13</xdr:col>
                    <xdr:colOff>2095500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GetScoresFromFFGolfHommeDame_2024">
                <anchor moveWithCells="1" sizeWithCells="1">
                  <from>
                    <xdr:col>2</xdr:col>
                    <xdr:colOff>190500</xdr:colOff>
                    <xdr:row>5</xdr:row>
                    <xdr:rowOff>238125</xdr:rowOff>
                  </from>
                  <to>
                    <xdr:col>3</xdr:col>
                    <xdr:colOff>1571625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autoFill="0" autoPict="0" macro="[0]!ImporterCleanBrutNet">
                <anchor moveWithCells="1" sizeWithCells="1">
                  <from>
                    <xdr:col>4</xdr:col>
                    <xdr:colOff>666750</xdr:colOff>
                    <xdr:row>6</xdr:row>
                    <xdr:rowOff>180975</xdr:rowOff>
                  </from>
                  <to>
                    <xdr:col>4</xdr:col>
                    <xdr:colOff>2076450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autoFill="0" autoPict="0" macro="[0]!extract1tour">
                <anchor moveWithCells="1" sizeWithCells="1">
                  <from>
                    <xdr:col>4</xdr:col>
                    <xdr:colOff>657225</xdr:colOff>
                    <xdr:row>7</xdr:row>
                    <xdr:rowOff>76200</xdr:rowOff>
                  </from>
                  <to>
                    <xdr:col>4</xdr:col>
                    <xdr:colOff>2076450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Drop Down 12">
              <controlPr defaultSize="0" autoLine="0" autoPict="0">
                <anchor moveWithCells="1">
                  <from>
                    <xdr:col>5</xdr:col>
                    <xdr:colOff>114300</xdr:colOff>
                    <xdr:row>5</xdr:row>
                    <xdr:rowOff>104775</xdr:rowOff>
                  </from>
                  <to>
                    <xdr:col>5</xdr:col>
                    <xdr:colOff>752475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2" name="CmdImporter">
              <controlPr defaultSize="0" autoFill="0" autoPict="0">
                <anchor moveWithCells="1">
                  <from>
                    <xdr:col>7</xdr:col>
                    <xdr:colOff>19050</xdr:colOff>
                    <xdr:row>5</xdr:row>
                    <xdr:rowOff>76200</xdr:rowOff>
                  </from>
                  <to>
                    <xdr:col>9</xdr:col>
                    <xdr:colOff>133350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3" name="Button 14">
              <controlPr defaultSize="0" autoFill="0" autoPict="0" macro="[0]!EffacementImportForced">
                <anchor moveWithCells="1">
                  <from>
                    <xdr:col>13</xdr:col>
                    <xdr:colOff>219075</xdr:colOff>
                    <xdr:row>5</xdr:row>
                    <xdr:rowOff>161925</xdr:rowOff>
                  </from>
                  <to>
                    <xdr:col>13</xdr:col>
                    <xdr:colOff>2143125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4" name="CmdGenererFeuille">
              <controlPr defaultSize="0" autoFill="0" autoPict="0" macro="[0]!CalculTour">
                <anchor moveWithCells="1">
                  <from>
                    <xdr:col>7</xdr:col>
                    <xdr:colOff>142875</xdr:colOff>
                    <xdr:row>6</xdr:row>
                    <xdr:rowOff>180975</xdr:rowOff>
                  </from>
                  <to>
                    <xdr:col>9</xdr:col>
                    <xdr:colOff>200025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5" name="Drop Down 16">
              <controlPr defaultSize="0" autoLine="0" autoPict="0">
                <anchor moveWithCells="1">
                  <from>
                    <xdr:col>7</xdr:col>
                    <xdr:colOff>57150</xdr:colOff>
                    <xdr:row>9</xdr:row>
                    <xdr:rowOff>38100</xdr:rowOff>
                  </from>
                  <to>
                    <xdr:col>9</xdr:col>
                    <xdr:colOff>133350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6" name="Check Box 17">
              <controlPr defaultSize="0" autoFill="0" autoLine="0" autoPict="0">
                <anchor moveWithCells="1">
                  <from>
                    <xdr:col>3</xdr:col>
                    <xdr:colOff>0</xdr:colOff>
                    <xdr:row>9</xdr:row>
                    <xdr:rowOff>66675</xdr:rowOff>
                  </from>
                  <to>
                    <xdr:col>3</xdr:col>
                    <xdr:colOff>1009650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Button 21">
              <controlPr defaultSize="0" autoFill="0" autoPict="0" macro="[0]!_xludf.extract">
                <anchor moveWithCells="1" sizeWithCells="1">
                  <from>
                    <xdr:col>11</xdr:col>
                    <xdr:colOff>114300</xdr:colOff>
                    <xdr:row>10</xdr:row>
                    <xdr:rowOff>76200</xdr:rowOff>
                  </from>
                  <to>
                    <xdr:col>13</xdr:col>
                    <xdr:colOff>676275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6">
    <tablePart r:id="rId18"/>
    <tablePart r:id="rId19"/>
    <tablePart r:id="rId20"/>
    <tablePart r:id="rId21"/>
    <tablePart r:id="rId22"/>
    <tablePart r:id="rId2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4B9F-2CA1-4303-B204-9A8986E83F00}">
  <sheetPr codeName="Feuil4"/>
  <dimension ref="B1:AK1004"/>
  <sheetViews>
    <sheetView zoomScale="55" zoomScaleNormal="55" workbookViewId="0">
      <pane xSplit="5" topLeftCell="F1" activePane="topRight" state="frozen"/>
      <selection pane="topRight" activeCell="F4" sqref="F4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6" customWidth="1"/>
    <col min="7" max="7" width="14.28515625" customWidth="1"/>
    <col min="8" max="8" width="15.85546875" style="76" customWidth="1"/>
    <col min="9" max="9" width="15" customWidth="1"/>
    <col min="10" max="10" width="16.42578125" style="76" customWidth="1"/>
    <col min="11" max="11" width="15.85546875" customWidth="1"/>
    <col min="12" max="12" width="17.42578125" style="76" customWidth="1"/>
    <col min="13" max="13" width="16.5703125" customWidth="1"/>
    <col min="14" max="14" width="16.42578125" style="76" customWidth="1"/>
    <col min="15" max="15" width="15.85546875" customWidth="1"/>
    <col min="16" max="16" width="17.42578125" style="76" customWidth="1"/>
    <col min="17" max="17" width="16.5703125" customWidth="1"/>
    <col min="18" max="18" width="18" style="76" customWidth="1"/>
    <col min="19" max="19" width="17.42578125" customWidth="1"/>
    <col min="20" max="20" width="19" style="76" customWidth="1"/>
    <col min="21" max="21" width="18.140625" customWidth="1"/>
    <col min="22" max="22" width="18" style="76" customWidth="1"/>
    <col min="23" max="23" width="17.42578125" customWidth="1"/>
    <col min="24" max="24" width="19" style="76" customWidth="1"/>
    <col min="25" max="25" width="18.140625" customWidth="1"/>
    <col min="26" max="26" width="18" style="76" customWidth="1"/>
    <col min="27" max="27" width="17.42578125" customWidth="1"/>
    <col min="28" max="28" width="19" style="76" customWidth="1"/>
    <col min="29" max="29" width="18.140625" customWidth="1"/>
    <col min="30" max="30" width="18" style="76" customWidth="1"/>
    <col min="31" max="31" width="19" style="76" customWidth="1"/>
    <col min="32" max="32" width="18" style="76" customWidth="1"/>
    <col min="33" max="33" width="17.42578125" customWidth="1"/>
    <col min="34" max="34" width="19" style="76" customWidth="1"/>
    <col min="35" max="35" width="18.140625" customWidth="1"/>
    <col min="36" max="36" width="23.85546875" style="76" customWidth="1"/>
    <col min="37" max="37" width="25.42578125" style="76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4">
        <f>COUNTA(B4:B7689)</f>
        <v>173</v>
      </c>
      <c r="C2" s="75" t="s">
        <v>37</v>
      </c>
      <c r="E2" s="19"/>
      <c r="F2" s="200" t="s">
        <v>18</v>
      </c>
      <c r="G2" s="201"/>
      <c r="H2" s="201"/>
      <c r="I2" s="202"/>
      <c r="J2" s="203" t="s">
        <v>19</v>
      </c>
      <c r="K2" s="204"/>
      <c r="L2" s="204"/>
      <c r="M2" s="205"/>
      <c r="N2" s="206" t="s">
        <v>20</v>
      </c>
      <c r="O2" s="201"/>
      <c r="P2" s="201"/>
      <c r="Q2" s="202"/>
      <c r="R2" s="203" t="s">
        <v>21</v>
      </c>
      <c r="S2" s="204"/>
      <c r="T2" s="204"/>
      <c r="U2" s="205"/>
      <c r="V2" s="206" t="s">
        <v>22</v>
      </c>
      <c r="W2" s="201"/>
      <c r="X2" s="201"/>
      <c r="Y2" s="202"/>
      <c r="Z2" s="203" t="s">
        <v>23</v>
      </c>
      <c r="AA2" s="204"/>
      <c r="AB2" s="204"/>
      <c r="AC2" s="207"/>
      <c r="AD2" s="193" t="s">
        <v>82</v>
      </c>
      <c r="AE2" s="194"/>
      <c r="AF2" s="195" t="s">
        <v>17</v>
      </c>
      <c r="AG2" s="196"/>
      <c r="AH2" s="196"/>
      <c r="AI2" s="197"/>
      <c r="AJ2" s="198" t="s">
        <v>25</v>
      </c>
      <c r="AK2" s="199"/>
    </row>
    <row r="3" spans="2:37" ht="57" x14ac:dyDescent="0.25">
      <c r="B3" s="84" t="s">
        <v>5</v>
      </c>
      <c r="C3" s="85" t="s">
        <v>6</v>
      </c>
      <c r="D3" s="86" t="s">
        <v>7</v>
      </c>
      <c r="E3" s="87" t="s">
        <v>8</v>
      </c>
      <c r="F3" s="88" t="s">
        <v>52</v>
      </c>
      <c r="G3" s="89" t="s">
        <v>40</v>
      </c>
      <c r="H3" s="90" t="s">
        <v>61</v>
      </c>
      <c r="I3" s="91" t="s">
        <v>41</v>
      </c>
      <c r="J3" s="92" t="s">
        <v>53</v>
      </c>
      <c r="K3" s="89" t="s">
        <v>42</v>
      </c>
      <c r="L3" s="90" t="s">
        <v>62</v>
      </c>
      <c r="M3" s="91" t="s">
        <v>43</v>
      </c>
      <c r="N3" s="92" t="s">
        <v>54</v>
      </c>
      <c r="O3" s="89" t="s">
        <v>44</v>
      </c>
      <c r="P3" s="90" t="s">
        <v>63</v>
      </c>
      <c r="Q3" s="91" t="s">
        <v>45</v>
      </c>
      <c r="R3" s="92" t="s">
        <v>55</v>
      </c>
      <c r="S3" s="89" t="s">
        <v>46</v>
      </c>
      <c r="T3" s="90" t="s">
        <v>64</v>
      </c>
      <c r="U3" s="91" t="s">
        <v>47</v>
      </c>
      <c r="V3" s="92" t="s">
        <v>56</v>
      </c>
      <c r="W3" s="89" t="s">
        <v>48</v>
      </c>
      <c r="X3" s="90" t="s">
        <v>65</v>
      </c>
      <c r="Y3" s="91" t="s">
        <v>49</v>
      </c>
      <c r="Z3" s="92" t="s">
        <v>57</v>
      </c>
      <c r="AA3" s="89" t="s">
        <v>50</v>
      </c>
      <c r="AB3" s="90" t="s">
        <v>66</v>
      </c>
      <c r="AC3" s="93" t="s">
        <v>51</v>
      </c>
      <c r="AD3" s="94" t="s">
        <v>58</v>
      </c>
      <c r="AE3" s="95" t="s">
        <v>67</v>
      </c>
      <c r="AF3" s="88" t="s">
        <v>59</v>
      </c>
      <c r="AG3" s="89" t="s">
        <v>38</v>
      </c>
      <c r="AH3" s="90" t="s">
        <v>68</v>
      </c>
      <c r="AI3" s="96" t="s">
        <v>39</v>
      </c>
      <c r="AJ3" s="97" t="s">
        <v>60</v>
      </c>
      <c r="AK3" s="98" t="s">
        <v>69</v>
      </c>
    </row>
    <row r="4" spans="2:37" ht="21" x14ac:dyDescent="0.35">
      <c r="B4" s="143" t="s">
        <v>107</v>
      </c>
      <c r="C4" s="143" t="s">
        <v>108</v>
      </c>
      <c r="D4" s="143">
        <v>5.3</v>
      </c>
      <c r="E4" s="143" t="s">
        <v>141</v>
      </c>
      <c r="F4" s="143">
        <v>69</v>
      </c>
      <c r="G4" s="143">
        <v>1</v>
      </c>
      <c r="H4" s="143">
        <v>76</v>
      </c>
      <c r="I4" s="143">
        <v>1</v>
      </c>
      <c r="J4" s="143"/>
      <c r="K4" s="143"/>
      <c r="L4" s="143"/>
      <c r="M4" s="143"/>
      <c r="N4" s="143"/>
      <c r="O4" s="143"/>
      <c r="P4" s="143"/>
      <c r="Q4" s="143"/>
      <c r="R4" s="143"/>
      <c r="S4" s="143"/>
      <c r="T4" s="143"/>
      <c r="U4" s="143"/>
      <c r="V4" s="143"/>
      <c r="W4" s="143"/>
      <c r="X4" s="143"/>
      <c r="Y4" s="143"/>
      <c r="Z4" s="143"/>
      <c r="AA4" s="143"/>
      <c r="AB4" s="143"/>
      <c r="AC4" s="143"/>
      <c r="AD4" s="144">
        <f>IF(MIN(F4,J4,N4,R4,V4,Z4)&lt;&gt;0,MIN(F4,J4,N4,R4,V4,Z4),"")</f>
        <v>69</v>
      </c>
      <c r="AE4" s="144">
        <f>IF(MIN(H4,L4,P4,T4,X4,AB4)&lt;&gt;0,MIN(H4,L4,P4,T4,X4,AB4),"")</f>
        <v>76</v>
      </c>
      <c r="AF4" s="144"/>
      <c r="AG4" s="143"/>
      <c r="AH4" s="144"/>
      <c r="AI4" s="143"/>
      <c r="AJ4" s="142" t="str">
        <f>IF(AD4="","",IF(ISBLANK(AF4),"En cours",AD4+AF4))</f>
        <v>En cours</v>
      </c>
      <c r="AK4" s="142" t="str">
        <f>IF(AE4="","",IF(ISBLANK(AH4),"En cours",AE4+AH4))</f>
        <v>En cours</v>
      </c>
    </row>
    <row r="5" spans="2:37" ht="21" x14ac:dyDescent="0.35">
      <c r="B5" s="143" t="s">
        <v>146</v>
      </c>
      <c r="C5" s="143" t="s">
        <v>108</v>
      </c>
      <c r="D5" s="143">
        <v>8.1999999999999993</v>
      </c>
      <c r="E5" s="143" t="s">
        <v>141</v>
      </c>
      <c r="F5" s="143">
        <v>73</v>
      </c>
      <c r="G5" s="143">
        <v>6</v>
      </c>
      <c r="H5" s="143">
        <v>83</v>
      </c>
      <c r="I5" s="143">
        <v>1</v>
      </c>
      <c r="J5" s="143"/>
      <c r="K5" s="143"/>
      <c r="L5" s="143"/>
      <c r="M5" s="143"/>
      <c r="N5" s="143">
        <v>68</v>
      </c>
      <c r="O5" s="143">
        <v>1</v>
      </c>
      <c r="P5" s="143">
        <v>78</v>
      </c>
      <c r="Q5" s="143">
        <v>3</v>
      </c>
      <c r="R5" s="143">
        <v>76</v>
      </c>
      <c r="S5" s="143">
        <v>9</v>
      </c>
      <c r="T5" s="143">
        <v>86</v>
      </c>
      <c r="U5" s="143">
        <v>4</v>
      </c>
      <c r="V5" s="143"/>
      <c r="W5" s="143"/>
      <c r="X5" s="143"/>
      <c r="Y5" s="143"/>
      <c r="Z5" s="143">
        <v>73</v>
      </c>
      <c r="AA5" s="143">
        <v>6</v>
      </c>
      <c r="AB5" s="143">
        <v>83</v>
      </c>
      <c r="AC5" s="143">
        <v>6</v>
      </c>
      <c r="AD5" s="144">
        <f>IF(MIN(F5,J5,N5,R5,V5,Z5)&lt;&gt;0,MIN(F5,J5,N5,R5,V5,Z5),"")</f>
        <v>68</v>
      </c>
      <c r="AE5" s="144">
        <f>IF(MIN(H5,L5,P5,T5,X5,AB5)&lt;&gt;0,MIN(H5,L5,P5,T5,X5,AB5),"")</f>
        <v>78</v>
      </c>
      <c r="AF5" s="144"/>
      <c r="AG5" s="143"/>
      <c r="AH5" s="144"/>
      <c r="AI5" s="143"/>
      <c r="AJ5" s="142" t="str">
        <f>IF(AD5="","",IF(ISBLANK(AF5),"En cours",AD5+AF5))</f>
        <v>En cours</v>
      </c>
      <c r="AK5" s="142" t="str">
        <f>IF(AE5="","",IF(ISBLANK(AH5),"En cours",AE5+AH5))</f>
        <v>En cours</v>
      </c>
    </row>
    <row r="6" spans="2:37" ht="21" x14ac:dyDescent="0.35">
      <c r="B6" s="143" t="s">
        <v>147</v>
      </c>
      <c r="C6" s="143" t="s">
        <v>108</v>
      </c>
      <c r="D6" s="143">
        <v>8.3000000000000007</v>
      </c>
      <c r="E6" s="143" t="s">
        <v>141</v>
      </c>
      <c r="F6" s="143">
        <v>69</v>
      </c>
      <c r="G6" s="143">
        <v>3</v>
      </c>
      <c r="H6" s="143">
        <v>79</v>
      </c>
      <c r="I6" s="143">
        <v>1</v>
      </c>
      <c r="J6" s="143">
        <v>67</v>
      </c>
      <c r="K6" s="143">
        <v>1</v>
      </c>
      <c r="L6" s="143">
        <v>77</v>
      </c>
      <c r="M6" s="143">
        <v>2</v>
      </c>
      <c r="N6" s="143">
        <v>75</v>
      </c>
      <c r="O6" s="143">
        <v>6</v>
      </c>
      <c r="P6" s="143">
        <v>85</v>
      </c>
      <c r="Q6" s="143">
        <v>3</v>
      </c>
      <c r="R6" s="143"/>
      <c r="S6" s="143"/>
      <c r="T6" s="143"/>
      <c r="U6" s="143"/>
      <c r="V6" s="143"/>
      <c r="W6" s="143"/>
      <c r="X6" s="143"/>
      <c r="Y6" s="143"/>
      <c r="Z6" s="143"/>
      <c r="AA6" s="143"/>
      <c r="AB6" s="143"/>
      <c r="AC6" s="143"/>
      <c r="AD6" s="144">
        <f>IF(MIN(F6,J6,N6,R6,V6,Z6)&lt;&gt;0,MIN(F6,J6,N6,R6,V6,Z6),"")</f>
        <v>67</v>
      </c>
      <c r="AE6" s="144">
        <f>IF(MIN(H6,L6,P6,T6,X6,AB6)&lt;&gt;0,MIN(H6,L6,P6,T6,X6,AB6),"")</f>
        <v>77</v>
      </c>
      <c r="AF6" s="144"/>
      <c r="AG6" s="143"/>
      <c r="AH6" s="144"/>
      <c r="AI6" s="143"/>
      <c r="AJ6" s="142" t="str">
        <f>IF(AD6="","",IF(ISBLANK(AF6),"En cours",AD6+AF6))</f>
        <v>En cours</v>
      </c>
      <c r="AK6" s="142" t="str">
        <f>IF(AE6="","",IF(ISBLANK(AH6),"En cours",AE6+AH6))</f>
        <v>En cours</v>
      </c>
    </row>
    <row r="7" spans="2:37" ht="21" x14ac:dyDescent="0.35">
      <c r="B7" s="143" t="s">
        <v>142</v>
      </c>
      <c r="C7" s="143" t="s">
        <v>108</v>
      </c>
      <c r="D7" s="143">
        <v>5.6</v>
      </c>
      <c r="E7" s="143" t="s">
        <v>141</v>
      </c>
      <c r="F7" s="143">
        <v>70</v>
      </c>
      <c r="G7" s="143">
        <v>4</v>
      </c>
      <c r="H7" s="143">
        <v>77</v>
      </c>
      <c r="I7" s="143">
        <v>1</v>
      </c>
      <c r="J7" s="143"/>
      <c r="K7" s="143"/>
      <c r="L7" s="143"/>
      <c r="M7" s="143"/>
      <c r="N7" s="143"/>
      <c r="O7" s="143"/>
      <c r="P7" s="143"/>
      <c r="Q7" s="143"/>
      <c r="R7" s="143"/>
      <c r="S7" s="143"/>
      <c r="T7" s="143"/>
      <c r="U7" s="143"/>
      <c r="V7" s="143"/>
      <c r="W7" s="143"/>
      <c r="X7" s="143"/>
      <c r="Y7" s="143"/>
      <c r="Z7" s="143"/>
      <c r="AA7" s="143"/>
      <c r="AB7" s="143"/>
      <c r="AC7" s="143"/>
      <c r="AD7" s="144">
        <f>IF(MIN(F7,J7,N7,R7,V7,Z7)&lt;&gt;0,MIN(F7,J7,N7,R7,V7,Z7),"")</f>
        <v>70</v>
      </c>
      <c r="AE7" s="144">
        <f>IF(MIN(H7,L7,P7,T7,X7,AB7)&lt;&gt;0,MIN(H7,L7,P7,T7,X7,AB7),"")</f>
        <v>77</v>
      </c>
      <c r="AF7" s="144"/>
      <c r="AG7" s="143"/>
      <c r="AH7" s="144"/>
      <c r="AI7" s="143"/>
      <c r="AJ7" s="142" t="str">
        <f>IF(AD7="","",IF(ISBLANK(AF7),"En cours",AD7+AF7))</f>
        <v>En cours</v>
      </c>
      <c r="AK7" s="142" t="str">
        <f>IF(AE7="","",IF(ISBLANK(AH7),"En cours",AE7+AH7))</f>
        <v>En cours</v>
      </c>
    </row>
    <row r="8" spans="2:37" ht="21" x14ac:dyDescent="0.35">
      <c r="B8" s="143" t="s">
        <v>144</v>
      </c>
      <c r="C8" s="143" t="s">
        <v>145</v>
      </c>
      <c r="D8" s="143">
        <v>5.4</v>
      </c>
      <c r="E8" s="143" t="s">
        <v>141</v>
      </c>
      <c r="F8" s="143">
        <v>71</v>
      </c>
      <c r="G8" s="143">
        <v>5</v>
      </c>
      <c r="H8" s="143">
        <v>78</v>
      </c>
      <c r="I8" s="143">
        <v>1</v>
      </c>
      <c r="J8" s="143"/>
      <c r="K8" s="143"/>
      <c r="L8" s="143"/>
      <c r="M8" s="143"/>
      <c r="N8" s="143"/>
      <c r="O8" s="143"/>
      <c r="P8" s="143"/>
      <c r="Q8" s="143"/>
      <c r="R8" s="143"/>
      <c r="S8" s="143"/>
      <c r="T8" s="143"/>
      <c r="U8" s="143"/>
      <c r="V8" s="143"/>
      <c r="W8" s="143"/>
      <c r="X8" s="143"/>
      <c r="Y8" s="143"/>
      <c r="Z8" s="143"/>
      <c r="AA8" s="143"/>
      <c r="AB8" s="143"/>
      <c r="AC8" s="143"/>
      <c r="AD8" s="144">
        <f>IF(MIN(F8,J8,N8,R8,V8,Z8)&lt;&gt;0,MIN(F8,J8,N8,R8,V8,Z8),"")</f>
        <v>71</v>
      </c>
      <c r="AE8" s="144">
        <f>IF(MIN(H8,L8,P8,T8,X8,AB8)&lt;&gt;0,MIN(H8,L8,P8,T8,X8,AB8),"")</f>
        <v>78</v>
      </c>
      <c r="AF8" s="144"/>
      <c r="AG8" s="143"/>
      <c r="AH8" s="144"/>
      <c r="AI8" s="143"/>
      <c r="AJ8" s="142" t="str">
        <f>IF(AD8="","",IF(ISBLANK(AF8),"En cours",AD8+AF8))</f>
        <v>En cours</v>
      </c>
      <c r="AK8" s="142" t="str">
        <f>IF(AE8="","",IF(ISBLANK(AH8),"En cours",AE8+AH8))</f>
        <v>En cours</v>
      </c>
    </row>
    <row r="9" spans="2:37" ht="21" x14ac:dyDescent="0.35">
      <c r="B9" s="143" t="s">
        <v>150</v>
      </c>
      <c r="C9" s="143" t="s">
        <v>108</v>
      </c>
      <c r="D9" s="143">
        <v>9.6999999999999993</v>
      </c>
      <c r="E9" s="143" t="s">
        <v>141</v>
      </c>
      <c r="F9" s="143">
        <v>72</v>
      </c>
      <c r="G9" s="143">
        <v>6</v>
      </c>
      <c r="H9" s="143">
        <v>84</v>
      </c>
      <c r="I9" s="143">
        <v>1</v>
      </c>
      <c r="J9" s="143"/>
      <c r="K9" s="143"/>
      <c r="L9" s="143"/>
      <c r="M9" s="143"/>
      <c r="N9" s="143"/>
      <c r="O9" s="143"/>
      <c r="P9" s="143"/>
      <c r="Q9" s="143"/>
      <c r="R9" s="143">
        <v>76</v>
      </c>
      <c r="S9" s="143">
        <v>10</v>
      </c>
      <c r="T9" s="143">
        <v>88</v>
      </c>
      <c r="U9" s="143">
        <v>4</v>
      </c>
      <c r="V9" s="143"/>
      <c r="W9" s="143"/>
      <c r="X9" s="143"/>
      <c r="Y9" s="143"/>
      <c r="Z9" s="143"/>
      <c r="AA9" s="143"/>
      <c r="AB9" s="143"/>
      <c r="AC9" s="143"/>
      <c r="AD9" s="144">
        <f>IF(MIN(F9,J9,N9,R9,V9,Z9)&lt;&gt;0,MIN(F9,J9,N9,R9,V9,Z9),"")</f>
        <v>72</v>
      </c>
      <c r="AE9" s="144">
        <f>IF(MIN(H9,L9,P9,T9,X9,AB9)&lt;&gt;0,MIN(H9,L9,P9,T9,X9,AB9),"")</f>
        <v>84</v>
      </c>
      <c r="AF9" s="144"/>
      <c r="AG9" s="143"/>
      <c r="AH9" s="144"/>
      <c r="AI9" s="143"/>
      <c r="AJ9" s="142" t="str">
        <f>IF(AD9="","",IF(ISBLANK(AF9),"En cours",AD9+AF9))</f>
        <v>En cours</v>
      </c>
      <c r="AK9" s="142" t="str">
        <f>IF(AE9="","",IF(ISBLANK(AH9),"En cours",AE9+AH9))</f>
        <v>En cours</v>
      </c>
    </row>
    <row r="10" spans="2:37" ht="21" x14ac:dyDescent="0.35">
      <c r="B10" s="143" t="s">
        <v>143</v>
      </c>
      <c r="C10" s="143" t="s">
        <v>108</v>
      </c>
      <c r="D10" s="143">
        <v>2.7</v>
      </c>
      <c r="E10" s="143" t="s">
        <v>141</v>
      </c>
      <c r="F10" s="143">
        <v>74</v>
      </c>
      <c r="G10" s="143">
        <v>7</v>
      </c>
      <c r="H10" s="143">
        <v>78</v>
      </c>
      <c r="I10" s="143">
        <v>1</v>
      </c>
      <c r="J10" s="143"/>
      <c r="K10" s="143"/>
      <c r="L10" s="143"/>
      <c r="M10" s="143"/>
      <c r="N10" s="143"/>
      <c r="O10" s="143"/>
      <c r="P10" s="143"/>
      <c r="Q10" s="143"/>
      <c r="R10" s="143"/>
      <c r="S10" s="143"/>
      <c r="T10" s="143"/>
      <c r="U10" s="143"/>
      <c r="V10" s="143"/>
      <c r="W10" s="143"/>
      <c r="X10" s="143"/>
      <c r="Y10" s="143"/>
      <c r="Z10" s="143"/>
      <c r="AA10" s="143"/>
      <c r="AB10" s="143"/>
      <c r="AC10" s="143"/>
      <c r="AD10" s="144">
        <f>IF(MIN(F10,J10,N10,R10,V10,Z10)&lt;&gt;0,MIN(F10,J10,N10,R10,V10,Z10),"")</f>
        <v>74</v>
      </c>
      <c r="AE10" s="144">
        <f>IF(MIN(H10,L10,P10,T10,X10,AB10)&lt;&gt;0,MIN(H10,L10,P10,T10,X10,AB10),"")</f>
        <v>78</v>
      </c>
      <c r="AF10" s="144"/>
      <c r="AG10" s="143"/>
      <c r="AH10" s="144"/>
      <c r="AI10" s="143"/>
      <c r="AJ10" s="142" t="str">
        <f>IF(AD10="","",IF(ISBLANK(AF10),"En cours",AD10+AF10))</f>
        <v>En cours</v>
      </c>
      <c r="AK10" s="142" t="str">
        <f>IF(AE10="","",IF(ISBLANK(AH10),"En cours",AE10+AH10))</f>
        <v>En cours</v>
      </c>
    </row>
    <row r="11" spans="2:37" ht="21" x14ac:dyDescent="0.35">
      <c r="B11" s="143" t="s">
        <v>152</v>
      </c>
      <c r="C11" s="143" t="s">
        <v>108</v>
      </c>
      <c r="D11" s="143">
        <v>10.5</v>
      </c>
      <c r="E11" s="143" t="s">
        <v>141</v>
      </c>
      <c r="F11" s="143">
        <v>74</v>
      </c>
      <c r="G11" s="143">
        <v>8</v>
      </c>
      <c r="H11" s="143">
        <v>87</v>
      </c>
      <c r="I11" s="143">
        <v>1</v>
      </c>
      <c r="J11" s="143">
        <v>76</v>
      </c>
      <c r="K11" s="143">
        <v>7</v>
      </c>
      <c r="L11" s="143">
        <v>89</v>
      </c>
      <c r="M11" s="143">
        <v>2</v>
      </c>
      <c r="N11" s="143"/>
      <c r="O11" s="143"/>
      <c r="P11" s="143"/>
      <c r="Q11" s="143"/>
      <c r="R11" s="143">
        <v>74</v>
      </c>
      <c r="S11" s="143">
        <v>7</v>
      </c>
      <c r="T11" s="143">
        <v>87</v>
      </c>
      <c r="U11" s="143">
        <v>4</v>
      </c>
      <c r="V11" s="143">
        <v>81</v>
      </c>
      <c r="W11" s="143">
        <v>7</v>
      </c>
      <c r="X11" s="143">
        <v>94</v>
      </c>
      <c r="Y11" s="143">
        <v>5</v>
      </c>
      <c r="Z11" s="143"/>
      <c r="AA11" s="143"/>
      <c r="AB11" s="143"/>
      <c r="AC11" s="143"/>
      <c r="AD11" s="144">
        <f>IF(MIN(F11,J11,N11,R11,V11,Z11)&lt;&gt;0,MIN(F11,J11,N11,R11,V11,Z11),"")</f>
        <v>74</v>
      </c>
      <c r="AE11" s="144">
        <f>IF(MIN(H11,L11,P11,T11,X11,AB11)&lt;&gt;0,MIN(H11,L11,P11,T11,X11,AB11),"")</f>
        <v>87</v>
      </c>
      <c r="AF11" s="144"/>
      <c r="AG11" s="143"/>
      <c r="AH11" s="144"/>
      <c r="AI11" s="143"/>
      <c r="AJ11" s="142" t="str">
        <f>IF(AD11="","",IF(ISBLANK(AF11),"En cours",AD11+AF11))</f>
        <v>En cours</v>
      </c>
      <c r="AK11" s="142" t="str">
        <f>IF(AE11="","",IF(ISBLANK(AH11),"En cours",AE11+AH11))</f>
        <v>En cours</v>
      </c>
    </row>
    <row r="12" spans="2:37" ht="21" x14ac:dyDescent="0.35">
      <c r="B12" s="143" t="s">
        <v>149</v>
      </c>
      <c r="C12" s="143" t="s">
        <v>108</v>
      </c>
      <c r="D12" s="143">
        <v>7.6</v>
      </c>
      <c r="E12" s="143" t="s">
        <v>141</v>
      </c>
      <c r="F12" s="143">
        <v>74</v>
      </c>
      <c r="G12" s="143">
        <v>7</v>
      </c>
      <c r="H12" s="143">
        <v>83</v>
      </c>
      <c r="I12" s="143">
        <v>1</v>
      </c>
      <c r="J12" s="143"/>
      <c r="K12" s="143"/>
      <c r="L12" s="143"/>
      <c r="M12" s="143"/>
      <c r="N12" s="143"/>
      <c r="O12" s="143"/>
      <c r="P12" s="143"/>
      <c r="Q12" s="143"/>
      <c r="R12" s="143"/>
      <c r="S12" s="143"/>
      <c r="T12" s="143"/>
      <c r="U12" s="143"/>
      <c r="V12" s="143">
        <v>79</v>
      </c>
      <c r="W12" s="143">
        <v>6</v>
      </c>
      <c r="X12" s="143">
        <v>88</v>
      </c>
      <c r="Y12" s="143">
        <v>5</v>
      </c>
      <c r="Z12" s="143">
        <v>74</v>
      </c>
      <c r="AA12" s="143">
        <v>7</v>
      </c>
      <c r="AB12" s="143">
        <v>83</v>
      </c>
      <c r="AC12" s="143">
        <v>6</v>
      </c>
      <c r="AD12" s="144">
        <f>IF(MIN(F12,J12,N12,R12,V12,Z12)&lt;&gt;0,MIN(F12,J12,N12,R12,V12,Z12),"")</f>
        <v>74</v>
      </c>
      <c r="AE12" s="144">
        <f>IF(MIN(H12,L12,P12,T12,X12,AB12)&lt;&gt;0,MIN(H12,L12,P12,T12,X12,AB12),"")</f>
        <v>83</v>
      </c>
      <c r="AF12" s="144"/>
      <c r="AG12" s="143"/>
      <c r="AH12" s="144"/>
      <c r="AI12" s="143"/>
      <c r="AJ12" s="142" t="str">
        <f>IF(AD12="","",IF(ISBLANK(AF12),"En cours",AD12+AF12))</f>
        <v>En cours</v>
      </c>
      <c r="AK12" s="142" t="str">
        <f>IF(AE12="","",IF(ISBLANK(AH12),"En cours",AE12+AH12))</f>
        <v>En cours</v>
      </c>
    </row>
    <row r="13" spans="2:37" ht="21" x14ac:dyDescent="0.35">
      <c r="B13" s="143" t="s">
        <v>154</v>
      </c>
      <c r="C13" s="143" t="s">
        <v>108</v>
      </c>
      <c r="D13" s="143">
        <v>10.8</v>
      </c>
      <c r="E13" s="143" t="s">
        <v>141</v>
      </c>
      <c r="F13" s="143">
        <v>72</v>
      </c>
      <c r="G13" s="143">
        <v>3</v>
      </c>
      <c r="H13" s="143">
        <v>85</v>
      </c>
      <c r="I13" s="143">
        <v>1</v>
      </c>
      <c r="J13" s="143">
        <v>69</v>
      </c>
      <c r="K13" s="143">
        <v>2</v>
      </c>
      <c r="L13" s="143">
        <v>82</v>
      </c>
      <c r="M13" s="143">
        <v>2</v>
      </c>
      <c r="N13" s="143">
        <v>76</v>
      </c>
      <c r="O13" s="143">
        <v>8</v>
      </c>
      <c r="P13" s="143">
        <v>89</v>
      </c>
      <c r="Q13" s="143">
        <v>3</v>
      </c>
      <c r="R13" s="143">
        <v>67</v>
      </c>
      <c r="S13" s="143">
        <v>2</v>
      </c>
      <c r="T13" s="143">
        <v>80</v>
      </c>
      <c r="U13" s="143">
        <v>4</v>
      </c>
      <c r="V13" s="143"/>
      <c r="W13" s="143"/>
      <c r="X13" s="143"/>
      <c r="Y13" s="143"/>
      <c r="Z13" s="143">
        <v>72</v>
      </c>
      <c r="AA13" s="143">
        <v>3</v>
      </c>
      <c r="AB13" s="143">
        <v>85</v>
      </c>
      <c r="AC13" s="143">
        <v>6</v>
      </c>
      <c r="AD13" s="144">
        <f>IF(MIN(F13,J13,N13,R13,V13,Z13)&lt;&gt;0,MIN(F13,J13,N13,R13,V13,Z13),"")</f>
        <v>67</v>
      </c>
      <c r="AE13" s="144">
        <f>IF(MIN(H13,L13,P13,T13,X13,AB13)&lt;&gt;0,MIN(H13,L13,P13,T13,X13,AB13),"")</f>
        <v>80</v>
      </c>
      <c r="AF13" s="144"/>
      <c r="AG13" s="143"/>
      <c r="AH13" s="144"/>
      <c r="AI13" s="143"/>
      <c r="AJ13" s="142" t="str">
        <f>IF(AD13="","",IF(ISBLANK(AF13),"En cours",AD13+AF13))</f>
        <v>En cours</v>
      </c>
      <c r="AK13" s="142" t="str">
        <f>IF(AE13="","",IF(ISBLANK(AH13),"En cours",AE13+AH13))</f>
        <v>En cours</v>
      </c>
    </row>
    <row r="14" spans="2:37" ht="21" x14ac:dyDescent="0.35">
      <c r="B14" s="143" t="s">
        <v>157</v>
      </c>
      <c r="C14" s="143" t="s">
        <v>158</v>
      </c>
      <c r="D14" s="143">
        <v>11</v>
      </c>
      <c r="E14" s="143" t="s">
        <v>141</v>
      </c>
      <c r="F14" s="143">
        <v>77</v>
      </c>
      <c r="G14" s="143">
        <v>11</v>
      </c>
      <c r="H14" s="143">
        <v>90</v>
      </c>
      <c r="I14" s="143">
        <v>1</v>
      </c>
      <c r="J14" s="143">
        <v>77</v>
      </c>
      <c r="K14" s="143">
        <v>8</v>
      </c>
      <c r="L14" s="143">
        <v>90</v>
      </c>
      <c r="M14" s="143">
        <v>2</v>
      </c>
      <c r="N14" s="143"/>
      <c r="O14" s="143"/>
      <c r="P14" s="143"/>
      <c r="Q14" s="143"/>
      <c r="R14" s="143"/>
      <c r="S14" s="143"/>
      <c r="T14" s="143"/>
      <c r="U14" s="143"/>
      <c r="V14" s="143"/>
      <c r="W14" s="143"/>
      <c r="X14" s="143"/>
      <c r="Y14" s="143"/>
      <c r="Z14" s="143"/>
      <c r="AA14" s="143"/>
      <c r="AB14" s="143"/>
      <c r="AC14" s="143"/>
      <c r="AD14" s="144">
        <f>IF(MIN(F14,J14,N14,R14,V14,Z14)&lt;&gt;0,MIN(F14,J14,N14,R14,V14,Z14),"")</f>
        <v>77</v>
      </c>
      <c r="AE14" s="144">
        <f>IF(MIN(H14,L14,P14,T14,X14,AB14)&lt;&gt;0,MIN(H14,L14,P14,T14,X14,AB14),"")</f>
        <v>90</v>
      </c>
      <c r="AF14" s="144"/>
      <c r="AG14" s="143"/>
      <c r="AH14" s="144"/>
      <c r="AI14" s="143"/>
      <c r="AJ14" s="142" t="str">
        <f>IF(AD14="","",IF(ISBLANK(AF14),"En cours",AD14+AF14))</f>
        <v>En cours</v>
      </c>
      <c r="AK14" s="142" t="str">
        <f>IF(AE14="","",IF(ISBLANK(AH14),"En cours",AE14+AH14))</f>
        <v>En cours</v>
      </c>
    </row>
    <row r="15" spans="2:37" ht="21" x14ac:dyDescent="0.35">
      <c r="B15" s="143" t="s">
        <v>153</v>
      </c>
      <c r="C15" s="143" t="s">
        <v>108</v>
      </c>
      <c r="D15" s="143">
        <v>8.5</v>
      </c>
      <c r="E15" s="143" t="s">
        <v>141</v>
      </c>
      <c r="F15" s="143">
        <v>77</v>
      </c>
      <c r="G15" s="143">
        <v>12</v>
      </c>
      <c r="H15" s="143">
        <v>87</v>
      </c>
      <c r="I15" s="143">
        <v>1</v>
      </c>
      <c r="J15" s="143"/>
      <c r="K15" s="143"/>
      <c r="L15" s="143"/>
      <c r="M15" s="143"/>
      <c r="N15" s="143">
        <v>72</v>
      </c>
      <c r="O15" s="143">
        <v>5</v>
      </c>
      <c r="P15" s="143">
        <v>82</v>
      </c>
      <c r="Q15" s="143">
        <v>3</v>
      </c>
      <c r="R15" s="143"/>
      <c r="S15" s="143"/>
      <c r="T15" s="143"/>
      <c r="U15" s="143"/>
      <c r="V15" s="143">
        <v>81</v>
      </c>
      <c r="W15" s="143">
        <v>8</v>
      </c>
      <c r="X15" s="143">
        <v>91</v>
      </c>
      <c r="Y15" s="143">
        <v>5</v>
      </c>
      <c r="Z15" s="143"/>
      <c r="AA15" s="143"/>
      <c r="AB15" s="143"/>
      <c r="AC15" s="143"/>
      <c r="AD15" s="144">
        <f>IF(MIN(F15,J15,N15,R15,V15,Z15)&lt;&gt;0,MIN(F15,J15,N15,R15,V15,Z15),"")</f>
        <v>72</v>
      </c>
      <c r="AE15" s="144">
        <f>IF(MIN(H15,L15,P15,T15,X15,AB15)&lt;&gt;0,MIN(H15,L15,P15,T15,X15,AB15),"")</f>
        <v>82</v>
      </c>
      <c r="AF15" s="144"/>
      <c r="AG15" s="143"/>
      <c r="AH15" s="144"/>
      <c r="AI15" s="143"/>
      <c r="AJ15" s="142" t="str">
        <f>IF(AD15="","",IF(ISBLANK(AF15),"En cours",AD15+AF15))</f>
        <v>En cours</v>
      </c>
      <c r="AK15" s="142" t="str">
        <f>IF(AE15="","",IF(ISBLANK(AH15),"En cours",AE15+AH15))</f>
        <v>En cours</v>
      </c>
    </row>
    <row r="16" spans="2:37" ht="21" x14ac:dyDescent="0.35">
      <c r="B16" s="143" t="s">
        <v>151</v>
      </c>
      <c r="C16" s="143" t="s">
        <v>108</v>
      </c>
      <c r="D16" s="143">
        <v>6.6</v>
      </c>
      <c r="E16" s="143" t="s">
        <v>141</v>
      </c>
      <c r="F16" s="143">
        <v>78</v>
      </c>
      <c r="G16" s="143">
        <v>13</v>
      </c>
      <c r="H16" s="143">
        <v>86</v>
      </c>
      <c r="I16" s="143">
        <v>1</v>
      </c>
      <c r="J16" s="143">
        <v>72</v>
      </c>
      <c r="K16" s="143">
        <v>5</v>
      </c>
      <c r="L16" s="143">
        <v>80</v>
      </c>
      <c r="M16" s="143">
        <v>2</v>
      </c>
      <c r="N16" s="143">
        <v>77</v>
      </c>
      <c r="O16" s="143">
        <v>10</v>
      </c>
      <c r="P16" s="143">
        <v>85</v>
      </c>
      <c r="Q16" s="143">
        <v>3</v>
      </c>
      <c r="R16" s="143"/>
      <c r="S16" s="143"/>
      <c r="T16" s="143"/>
      <c r="U16" s="143"/>
      <c r="V16" s="143"/>
      <c r="W16" s="143"/>
      <c r="X16" s="143"/>
      <c r="Y16" s="143"/>
      <c r="Z16" s="143"/>
      <c r="AA16" s="143"/>
      <c r="AB16" s="143"/>
      <c r="AC16" s="143"/>
      <c r="AD16" s="144">
        <f>IF(MIN(F16,J16,N16,R16,V16,Z16)&lt;&gt;0,MIN(F16,J16,N16,R16,V16,Z16),"")</f>
        <v>72</v>
      </c>
      <c r="AE16" s="144">
        <f>IF(MIN(H16,L16,P16,T16,X16,AB16)&lt;&gt;0,MIN(H16,L16,P16,T16,X16,AB16),"")</f>
        <v>80</v>
      </c>
      <c r="AF16" s="144"/>
      <c r="AG16" s="143"/>
      <c r="AH16" s="144"/>
      <c r="AI16" s="143"/>
      <c r="AJ16" s="142" t="str">
        <f>IF(AD16="","",IF(ISBLANK(AF16),"En cours",AD16+AF16))</f>
        <v>En cours</v>
      </c>
      <c r="AK16" s="142" t="str">
        <f>IF(AE16="","",IF(ISBLANK(AH16),"En cours",AE16+AH16))</f>
        <v>En cours</v>
      </c>
    </row>
    <row r="17" spans="2:37" ht="21" x14ac:dyDescent="0.35">
      <c r="B17" s="143" t="s">
        <v>159</v>
      </c>
      <c r="C17" s="143" t="s">
        <v>108</v>
      </c>
      <c r="D17" s="143">
        <v>9.6</v>
      </c>
      <c r="E17" s="143" t="s">
        <v>141</v>
      </c>
      <c r="F17" s="143">
        <v>78</v>
      </c>
      <c r="G17" s="143">
        <v>14</v>
      </c>
      <c r="H17" s="143">
        <v>90</v>
      </c>
      <c r="I17" s="143">
        <v>1</v>
      </c>
      <c r="J17" s="143"/>
      <c r="K17" s="143"/>
      <c r="L17" s="143"/>
      <c r="M17" s="143"/>
      <c r="N17" s="143">
        <v>71</v>
      </c>
      <c r="O17" s="143">
        <v>3</v>
      </c>
      <c r="P17" s="143">
        <v>83</v>
      </c>
      <c r="Q17" s="143">
        <v>3</v>
      </c>
      <c r="R17" s="143"/>
      <c r="S17" s="143"/>
      <c r="T17" s="143"/>
      <c r="U17" s="143"/>
      <c r="V17" s="143">
        <v>66</v>
      </c>
      <c r="W17" s="143">
        <v>2</v>
      </c>
      <c r="X17" s="143">
        <v>78</v>
      </c>
      <c r="Y17" s="143">
        <v>5</v>
      </c>
      <c r="Z17" s="143"/>
      <c r="AA17" s="143"/>
      <c r="AB17" s="143"/>
      <c r="AC17" s="143"/>
      <c r="AD17" s="144">
        <f>IF(MIN(F17,J17,N17,R17,V17,Z17)&lt;&gt;0,MIN(F17,J17,N17,R17,V17,Z17),"")</f>
        <v>66</v>
      </c>
      <c r="AE17" s="144">
        <f>IF(MIN(H17,L17,P17,T17,X17,AB17)&lt;&gt;0,MIN(H17,L17,P17,T17,X17,AB17),"")</f>
        <v>78</v>
      </c>
      <c r="AF17" s="144"/>
      <c r="AG17" s="143"/>
      <c r="AH17" s="144"/>
      <c r="AI17" s="143"/>
      <c r="AJ17" s="142" t="str">
        <f>IF(AD17="","",IF(ISBLANK(AF17),"En cours",AD17+AF17))</f>
        <v>En cours</v>
      </c>
      <c r="AK17" s="142" t="str">
        <f>IF(AE17="","",IF(ISBLANK(AH17),"En cours",AE17+AH17))</f>
        <v>En cours</v>
      </c>
    </row>
    <row r="18" spans="2:37" ht="21" x14ac:dyDescent="0.35">
      <c r="B18" s="143" t="s">
        <v>155</v>
      </c>
      <c r="C18" s="143" t="s">
        <v>108</v>
      </c>
      <c r="D18" s="143">
        <v>8.4</v>
      </c>
      <c r="E18" s="143" t="s">
        <v>141</v>
      </c>
      <c r="F18" s="143">
        <v>79</v>
      </c>
      <c r="G18" s="143">
        <v>15</v>
      </c>
      <c r="H18" s="143">
        <v>89</v>
      </c>
      <c r="I18" s="143">
        <v>1</v>
      </c>
      <c r="J18" s="143"/>
      <c r="K18" s="143"/>
      <c r="L18" s="143"/>
      <c r="M18" s="143"/>
      <c r="N18" s="143"/>
      <c r="O18" s="143"/>
      <c r="P18" s="143"/>
      <c r="Q18" s="143"/>
      <c r="R18" s="143"/>
      <c r="S18" s="143"/>
      <c r="T18" s="143"/>
      <c r="U18" s="143"/>
      <c r="V18" s="143"/>
      <c r="W18" s="143"/>
      <c r="X18" s="143"/>
      <c r="Y18" s="143"/>
      <c r="Z18" s="143"/>
      <c r="AA18" s="143"/>
      <c r="AB18" s="143"/>
      <c r="AC18" s="143"/>
      <c r="AD18" s="144">
        <f>IF(MIN(F18,J18,N18,R18,V18,Z18)&lt;&gt;0,MIN(F18,J18,N18,R18,V18,Z18),"")</f>
        <v>79</v>
      </c>
      <c r="AE18" s="144">
        <f>IF(MIN(H18,L18,P18,T18,X18,AB18)&lt;&gt;0,MIN(H18,L18,P18,T18,X18,AB18),"")</f>
        <v>89</v>
      </c>
      <c r="AF18" s="144"/>
      <c r="AG18" s="143"/>
      <c r="AH18" s="144"/>
      <c r="AI18" s="143"/>
      <c r="AJ18" s="142" t="str">
        <f>IF(AD18="","",IF(ISBLANK(AF18),"En cours",AD18+AF18))</f>
        <v>En cours</v>
      </c>
      <c r="AK18" s="142" t="str">
        <f>IF(AE18="","",IF(ISBLANK(AH18),"En cours",AE18+AH18))</f>
        <v>En cours</v>
      </c>
    </row>
    <row r="19" spans="2:37" ht="21" x14ac:dyDescent="0.35">
      <c r="B19" s="143" t="s">
        <v>156</v>
      </c>
      <c r="C19" s="143" t="s">
        <v>108</v>
      </c>
      <c r="D19" s="143">
        <v>7.6</v>
      </c>
      <c r="E19" s="143" t="s">
        <v>141</v>
      </c>
      <c r="F19" s="143">
        <v>74</v>
      </c>
      <c r="G19" s="143">
        <v>8</v>
      </c>
      <c r="H19" s="143">
        <v>83</v>
      </c>
      <c r="I19" s="143">
        <v>1</v>
      </c>
      <c r="J19" s="143">
        <v>72</v>
      </c>
      <c r="K19" s="143">
        <v>4</v>
      </c>
      <c r="L19" s="143">
        <v>81</v>
      </c>
      <c r="M19" s="143">
        <v>2</v>
      </c>
      <c r="N19" s="143">
        <v>70</v>
      </c>
      <c r="O19" s="143">
        <v>2</v>
      </c>
      <c r="P19" s="143">
        <v>79</v>
      </c>
      <c r="Q19" s="143">
        <v>3</v>
      </c>
      <c r="R19" s="143"/>
      <c r="S19" s="143"/>
      <c r="T19" s="143"/>
      <c r="U19" s="143"/>
      <c r="V19" s="143"/>
      <c r="W19" s="143"/>
      <c r="X19" s="143"/>
      <c r="Y19" s="143"/>
      <c r="Z19" s="143">
        <v>74</v>
      </c>
      <c r="AA19" s="143">
        <v>8</v>
      </c>
      <c r="AB19" s="143">
        <v>83</v>
      </c>
      <c r="AC19" s="143">
        <v>6</v>
      </c>
      <c r="AD19" s="144">
        <f>IF(MIN(F19,J19,N19,R19,V19,Z19)&lt;&gt;0,MIN(F19,J19,N19,R19,V19,Z19),"")</f>
        <v>70</v>
      </c>
      <c r="AE19" s="144">
        <f>IF(MIN(H19,L19,P19,T19,X19,AB19)&lt;&gt;0,MIN(H19,L19,P19,T19,X19,AB19),"")</f>
        <v>79</v>
      </c>
      <c r="AF19" s="144"/>
      <c r="AG19" s="143"/>
      <c r="AH19" s="144"/>
      <c r="AI19" s="143"/>
      <c r="AJ19" s="142" t="str">
        <f>IF(AD19="","",IF(ISBLANK(AF19),"En cours",AD19+AF19))</f>
        <v>En cours</v>
      </c>
      <c r="AK19" s="142" t="str">
        <f>IF(AE19="","",IF(ISBLANK(AH19),"En cours",AE19+AH19))</f>
        <v>En cours</v>
      </c>
    </row>
    <row r="20" spans="2:37" ht="21" x14ac:dyDescent="0.35">
      <c r="B20" s="143" t="s">
        <v>148</v>
      </c>
      <c r="C20" s="143" t="s">
        <v>108</v>
      </c>
      <c r="D20" s="143">
        <v>0.3</v>
      </c>
      <c r="E20" s="143" t="s">
        <v>141</v>
      </c>
      <c r="F20" s="143">
        <v>80</v>
      </c>
      <c r="G20" s="143">
        <v>17</v>
      </c>
      <c r="H20" s="143">
        <v>81</v>
      </c>
      <c r="I20" s="143">
        <v>1</v>
      </c>
      <c r="J20" s="143"/>
      <c r="K20" s="143"/>
      <c r="L20" s="143"/>
      <c r="M20" s="143"/>
      <c r="N20" s="143"/>
      <c r="O20" s="143"/>
      <c r="P20" s="143"/>
      <c r="Q20" s="143"/>
      <c r="R20" s="143">
        <v>78</v>
      </c>
      <c r="S20" s="143">
        <v>11</v>
      </c>
      <c r="T20" s="143">
        <v>79</v>
      </c>
      <c r="U20" s="143">
        <v>4</v>
      </c>
      <c r="V20" s="143"/>
      <c r="W20" s="143"/>
      <c r="X20" s="143"/>
      <c r="Y20" s="143"/>
      <c r="Z20" s="143"/>
      <c r="AA20" s="143"/>
      <c r="AB20" s="143"/>
      <c r="AC20" s="143"/>
      <c r="AD20" s="144">
        <f>IF(MIN(F20,J20,N20,R20,V20,Z20)&lt;&gt;0,MIN(F20,J20,N20,R20,V20,Z20),"")</f>
        <v>78</v>
      </c>
      <c r="AE20" s="144">
        <f>IF(MIN(H20,L20,P20,T20,X20,AB20)&lt;&gt;0,MIN(H20,L20,P20,T20,X20,AB20),"")</f>
        <v>79</v>
      </c>
      <c r="AF20" s="144"/>
      <c r="AG20" s="143"/>
      <c r="AH20" s="144"/>
      <c r="AI20" s="143"/>
      <c r="AJ20" s="142" t="str">
        <f>IF(AD20="","",IF(ISBLANK(AF20),"En cours",AD20+AF20))</f>
        <v>En cours</v>
      </c>
      <c r="AK20" s="142" t="str">
        <f>IF(AE20="","",IF(ISBLANK(AH20),"En cours",AE20+AH20))</f>
        <v>En cours</v>
      </c>
    </row>
    <row r="21" spans="2:37" ht="21" x14ac:dyDescent="0.35">
      <c r="B21" s="143" t="s">
        <v>164</v>
      </c>
      <c r="C21" s="143" t="s">
        <v>108</v>
      </c>
      <c r="D21" s="143">
        <v>17.8</v>
      </c>
      <c r="E21" s="143" t="s">
        <v>141</v>
      </c>
      <c r="F21" s="143">
        <v>67</v>
      </c>
      <c r="G21" s="143">
        <v>1</v>
      </c>
      <c r="H21" s="143">
        <v>84</v>
      </c>
      <c r="I21" s="143">
        <v>1</v>
      </c>
      <c r="J21" s="143"/>
      <c r="K21" s="143"/>
      <c r="L21" s="143"/>
      <c r="M21" s="143"/>
      <c r="N21" s="143"/>
      <c r="O21" s="143"/>
      <c r="P21" s="143"/>
      <c r="Q21" s="143"/>
      <c r="R21" s="143"/>
      <c r="S21" s="143"/>
      <c r="T21" s="143"/>
      <c r="U21" s="143"/>
      <c r="V21" s="143"/>
      <c r="W21" s="143"/>
      <c r="X21" s="143"/>
      <c r="Y21" s="143"/>
      <c r="Z21" s="143"/>
      <c r="AA21" s="143"/>
      <c r="AB21" s="143"/>
      <c r="AC21" s="143"/>
      <c r="AD21" s="144">
        <f>IF(MIN(F21,J21,N21,R21,V21,Z21)&lt;&gt;0,MIN(F21,J21,N21,R21,V21,Z21),"")</f>
        <v>67</v>
      </c>
      <c r="AE21" s="144">
        <f>IF(MIN(H21,L21,P21,T21,X21,AB21)&lt;&gt;0,MIN(H21,L21,P21,T21,X21,AB21),"")</f>
        <v>84</v>
      </c>
      <c r="AF21" s="144"/>
      <c r="AG21" s="143"/>
      <c r="AH21" s="144"/>
      <c r="AI21" s="143"/>
      <c r="AJ21" s="142" t="str">
        <f>IF(AD21="","",IF(ISBLANK(AF21),"En cours",AD21+AF21))</f>
        <v>En cours</v>
      </c>
      <c r="AK21" s="142" t="str">
        <f>IF(AE21="","",IF(ISBLANK(AH21),"En cours",AE21+AH21))</f>
        <v>En cours</v>
      </c>
    </row>
    <row r="22" spans="2:37" ht="21" x14ac:dyDescent="0.35">
      <c r="B22" s="143" t="s">
        <v>170</v>
      </c>
      <c r="C22" s="143" t="s">
        <v>108</v>
      </c>
      <c r="D22" s="143">
        <v>18.2</v>
      </c>
      <c r="E22" s="143" t="s">
        <v>141</v>
      </c>
      <c r="F22" s="143">
        <v>68</v>
      </c>
      <c r="G22" s="143">
        <v>2</v>
      </c>
      <c r="H22" s="143">
        <v>86</v>
      </c>
      <c r="I22" s="143">
        <v>1</v>
      </c>
      <c r="J22" s="143">
        <v>81</v>
      </c>
      <c r="K22" s="143">
        <v>28</v>
      </c>
      <c r="L22" s="143">
        <v>99</v>
      </c>
      <c r="M22" s="143">
        <v>2</v>
      </c>
      <c r="N22" s="143">
        <v>83</v>
      </c>
      <c r="O22" s="143">
        <v>32</v>
      </c>
      <c r="P22" s="143">
        <v>101</v>
      </c>
      <c r="Q22" s="143">
        <v>3</v>
      </c>
      <c r="R22" s="143">
        <v>79</v>
      </c>
      <c r="S22" s="143">
        <v>26</v>
      </c>
      <c r="T22" s="143">
        <v>97</v>
      </c>
      <c r="U22" s="143">
        <v>4</v>
      </c>
      <c r="V22" s="143">
        <v>85</v>
      </c>
      <c r="W22" s="143">
        <v>30</v>
      </c>
      <c r="X22" s="143">
        <v>103</v>
      </c>
      <c r="Y22" s="143">
        <v>5</v>
      </c>
      <c r="Z22" s="143"/>
      <c r="AA22" s="143"/>
      <c r="AB22" s="143"/>
      <c r="AC22" s="143"/>
      <c r="AD22" s="144">
        <f>IF(MIN(F22,J22,N22,R22,V22,Z22)&lt;&gt;0,MIN(F22,J22,N22,R22,V22,Z22),"")</f>
        <v>68</v>
      </c>
      <c r="AE22" s="144">
        <f>IF(MIN(H22,L22,P22,T22,X22,AB22)&lt;&gt;0,MIN(H22,L22,P22,T22,X22,AB22),"")</f>
        <v>86</v>
      </c>
      <c r="AF22" s="144"/>
      <c r="AG22" s="143"/>
      <c r="AH22" s="144"/>
      <c r="AI22" s="143"/>
      <c r="AJ22" s="142" t="str">
        <f>IF(AD22="","",IF(ISBLANK(AF22),"En cours",AD22+AF22))</f>
        <v>En cours</v>
      </c>
      <c r="AK22" s="142" t="str">
        <f>IF(AE22="","",IF(ISBLANK(AH22),"En cours",AE22+AH22))</f>
        <v>En cours</v>
      </c>
    </row>
    <row r="23" spans="2:37" ht="21" x14ac:dyDescent="0.35">
      <c r="B23" s="143" t="s">
        <v>109</v>
      </c>
      <c r="C23" s="143" t="s">
        <v>108</v>
      </c>
      <c r="D23" s="143">
        <v>13</v>
      </c>
      <c r="E23" s="143" t="s">
        <v>141</v>
      </c>
      <c r="F23" s="143">
        <v>69</v>
      </c>
      <c r="G23" s="143">
        <v>3</v>
      </c>
      <c r="H23" s="143">
        <v>81</v>
      </c>
      <c r="I23" s="143">
        <v>1</v>
      </c>
      <c r="J23" s="143"/>
      <c r="K23" s="143"/>
      <c r="L23" s="143"/>
      <c r="M23" s="143"/>
      <c r="N23" s="143">
        <v>74</v>
      </c>
      <c r="O23" s="143">
        <v>14</v>
      </c>
      <c r="P23" s="143">
        <v>86</v>
      </c>
      <c r="Q23" s="143">
        <v>3</v>
      </c>
      <c r="R23" s="143"/>
      <c r="S23" s="143"/>
      <c r="T23" s="143"/>
      <c r="U23" s="143"/>
      <c r="V23" s="143"/>
      <c r="W23" s="143"/>
      <c r="X23" s="143"/>
      <c r="Y23" s="143"/>
      <c r="Z23" s="143"/>
      <c r="AA23" s="143"/>
      <c r="AB23" s="143"/>
      <c r="AC23" s="143"/>
      <c r="AD23" s="144">
        <f>IF(MIN(F23,J23,N23,R23,V23,Z23)&lt;&gt;0,MIN(F23,J23,N23,R23,V23,Z23),"")</f>
        <v>69</v>
      </c>
      <c r="AE23" s="144">
        <f>IF(MIN(H23,L23,P23,T23,X23,AB23)&lt;&gt;0,MIN(H23,L23,P23,T23,X23,AB23),"")</f>
        <v>81</v>
      </c>
      <c r="AF23" s="144"/>
      <c r="AG23" s="143"/>
      <c r="AH23" s="144"/>
      <c r="AI23" s="143"/>
      <c r="AJ23" s="142" t="str">
        <f>IF(AD23="","",IF(ISBLANK(AF23),"En cours",AD23+AF23))</f>
        <v>En cours</v>
      </c>
      <c r="AK23" s="142" t="str">
        <f>IF(AE23="","",IF(ISBLANK(AH23),"En cours",AE23+AH23))</f>
        <v>En cours</v>
      </c>
    </row>
    <row r="24" spans="2:37" ht="21" x14ac:dyDescent="0.35">
      <c r="B24" s="143" t="s">
        <v>161</v>
      </c>
      <c r="C24" s="143" t="s">
        <v>162</v>
      </c>
      <c r="D24" s="143">
        <v>14.2</v>
      </c>
      <c r="E24" s="143" t="s">
        <v>141</v>
      </c>
      <c r="F24" s="143">
        <v>69</v>
      </c>
      <c r="G24" s="143">
        <v>4</v>
      </c>
      <c r="H24" s="143">
        <v>82</v>
      </c>
      <c r="I24" s="143">
        <v>1</v>
      </c>
      <c r="J24" s="143">
        <v>70</v>
      </c>
      <c r="K24" s="143">
        <v>2</v>
      </c>
      <c r="L24" s="143">
        <v>83</v>
      </c>
      <c r="M24" s="143">
        <v>2</v>
      </c>
      <c r="N24" s="143"/>
      <c r="O24" s="143"/>
      <c r="P24" s="143"/>
      <c r="Q24" s="143"/>
      <c r="R24" s="143"/>
      <c r="S24" s="143"/>
      <c r="T24" s="143"/>
      <c r="U24" s="143"/>
      <c r="V24" s="143"/>
      <c r="W24" s="143"/>
      <c r="X24" s="143"/>
      <c r="Y24" s="143"/>
      <c r="Z24" s="143"/>
      <c r="AA24" s="143"/>
      <c r="AB24" s="143"/>
      <c r="AC24" s="143"/>
      <c r="AD24" s="144">
        <f>IF(MIN(F24,J24,N24,R24,V24,Z24)&lt;&gt;0,MIN(F24,J24,N24,R24,V24,Z24),"")</f>
        <v>69</v>
      </c>
      <c r="AE24" s="144">
        <f>IF(MIN(H24,L24,P24,T24,X24,AB24)&lt;&gt;0,MIN(H24,L24,P24,T24,X24,AB24),"")</f>
        <v>82</v>
      </c>
      <c r="AF24" s="144"/>
      <c r="AG24" s="143"/>
      <c r="AH24" s="144"/>
      <c r="AI24" s="143"/>
      <c r="AJ24" s="142" t="str">
        <f>IF(AD24="","",IF(ISBLANK(AF24),"En cours",AD24+AF24))</f>
        <v>En cours</v>
      </c>
      <c r="AK24" s="142" t="str">
        <f>IF(AE24="","",IF(ISBLANK(AH24),"En cours",AE24+AH24))</f>
        <v>En cours</v>
      </c>
    </row>
    <row r="25" spans="2:37" ht="21" x14ac:dyDescent="0.35">
      <c r="B25" s="143" t="s">
        <v>160</v>
      </c>
      <c r="C25" s="143" t="s">
        <v>108</v>
      </c>
      <c r="D25" s="143">
        <v>12.2</v>
      </c>
      <c r="E25" s="143" t="s">
        <v>141</v>
      </c>
      <c r="F25" s="143">
        <v>71</v>
      </c>
      <c r="G25" s="143">
        <v>5</v>
      </c>
      <c r="H25" s="143">
        <v>82</v>
      </c>
      <c r="I25" s="143">
        <v>1</v>
      </c>
      <c r="J25" s="143"/>
      <c r="K25" s="143"/>
      <c r="L25" s="143"/>
      <c r="M25" s="143"/>
      <c r="N25" s="143">
        <v>66</v>
      </c>
      <c r="O25" s="143">
        <v>2</v>
      </c>
      <c r="P25" s="143">
        <v>77</v>
      </c>
      <c r="Q25" s="143">
        <v>3</v>
      </c>
      <c r="R25" s="143"/>
      <c r="S25" s="143"/>
      <c r="T25" s="143"/>
      <c r="U25" s="143"/>
      <c r="V25" s="143"/>
      <c r="W25" s="143"/>
      <c r="X25" s="143"/>
      <c r="Y25" s="143"/>
      <c r="Z25" s="143"/>
      <c r="AA25" s="143"/>
      <c r="AB25" s="143"/>
      <c r="AC25" s="143"/>
      <c r="AD25" s="144">
        <f>IF(MIN(F25,J25,N25,R25,V25,Z25)&lt;&gt;0,MIN(F25,J25,N25,R25,V25,Z25),"")</f>
        <v>66</v>
      </c>
      <c r="AE25" s="144">
        <f>IF(MIN(H25,L25,P25,T25,X25,AB25)&lt;&gt;0,MIN(H25,L25,P25,T25,X25,AB25),"")</f>
        <v>77</v>
      </c>
      <c r="AF25" s="144"/>
      <c r="AG25" s="143"/>
      <c r="AH25" s="144"/>
      <c r="AI25" s="143"/>
      <c r="AJ25" s="142" t="str">
        <f>IF(AD25="","",IF(ISBLANK(AF25),"En cours",AD25+AF25))</f>
        <v>En cours</v>
      </c>
      <c r="AK25" s="142" t="str">
        <f>IF(AE25="","",IF(ISBLANK(AH25),"En cours",AE25+AH25))</f>
        <v>En cours</v>
      </c>
    </row>
    <row r="26" spans="2:37" ht="21" x14ac:dyDescent="0.35">
      <c r="B26" s="143" t="s">
        <v>163</v>
      </c>
      <c r="C26" s="143" t="s">
        <v>108</v>
      </c>
      <c r="D26" s="143">
        <v>14.4</v>
      </c>
      <c r="E26" s="143" t="s">
        <v>141</v>
      </c>
      <c r="F26" s="143">
        <v>75</v>
      </c>
      <c r="G26" s="143">
        <v>14</v>
      </c>
      <c r="H26" s="143">
        <v>88</v>
      </c>
      <c r="I26" s="143">
        <v>1</v>
      </c>
      <c r="J26" s="143">
        <v>79</v>
      </c>
      <c r="K26" s="143">
        <v>25</v>
      </c>
      <c r="L26" s="143">
        <v>92</v>
      </c>
      <c r="M26" s="143">
        <v>2</v>
      </c>
      <c r="N26" s="143">
        <v>71</v>
      </c>
      <c r="O26" s="143">
        <v>5</v>
      </c>
      <c r="P26" s="143">
        <v>84</v>
      </c>
      <c r="Q26" s="143">
        <v>3</v>
      </c>
      <c r="R26" s="143"/>
      <c r="S26" s="143"/>
      <c r="T26" s="143"/>
      <c r="U26" s="143"/>
      <c r="V26" s="143"/>
      <c r="W26" s="143"/>
      <c r="X26" s="143"/>
      <c r="Y26" s="143"/>
      <c r="Z26" s="143">
        <v>75</v>
      </c>
      <c r="AA26" s="143">
        <v>14</v>
      </c>
      <c r="AB26" s="143">
        <v>88</v>
      </c>
      <c r="AC26" s="143">
        <v>6</v>
      </c>
      <c r="AD26" s="144">
        <f>IF(MIN(F26,J26,N26,R26,V26,Z26)&lt;&gt;0,MIN(F26,J26,N26,R26,V26,Z26),"")</f>
        <v>71</v>
      </c>
      <c r="AE26" s="144">
        <f>IF(MIN(H26,L26,P26,T26,X26,AB26)&lt;&gt;0,MIN(H26,L26,P26,T26,X26,AB26),"")</f>
        <v>84</v>
      </c>
      <c r="AF26" s="144"/>
      <c r="AG26" s="143"/>
      <c r="AH26" s="144"/>
      <c r="AI26" s="143"/>
      <c r="AJ26" s="142" t="str">
        <f>IF(AD26="","",IF(ISBLANK(AF26),"En cours",AD26+AF26))</f>
        <v>En cours</v>
      </c>
      <c r="AK26" s="142" t="str">
        <f>IF(AE26="","",IF(ISBLANK(AH26),"En cours",AE26+AH26))</f>
        <v>En cours</v>
      </c>
    </row>
    <row r="27" spans="2:37" ht="21" x14ac:dyDescent="0.35">
      <c r="B27" s="143" t="s">
        <v>173</v>
      </c>
      <c r="C27" s="143" t="s">
        <v>108</v>
      </c>
      <c r="D27" s="143">
        <v>16.3</v>
      </c>
      <c r="E27" s="143" t="s">
        <v>141</v>
      </c>
      <c r="F27" s="143">
        <v>71</v>
      </c>
      <c r="G27" s="143">
        <v>7</v>
      </c>
      <c r="H27" s="143">
        <v>87</v>
      </c>
      <c r="I27" s="143">
        <v>1</v>
      </c>
      <c r="J27" s="143">
        <v>71</v>
      </c>
      <c r="K27" s="143">
        <v>4</v>
      </c>
      <c r="L27" s="143">
        <v>87</v>
      </c>
      <c r="M27" s="143">
        <v>2</v>
      </c>
      <c r="N27" s="143">
        <v>72</v>
      </c>
      <c r="O27" s="143">
        <v>7</v>
      </c>
      <c r="P27" s="143">
        <v>88</v>
      </c>
      <c r="Q27" s="143">
        <v>3</v>
      </c>
      <c r="R27" s="143"/>
      <c r="S27" s="143"/>
      <c r="T27" s="143"/>
      <c r="U27" s="143"/>
      <c r="V27" s="143">
        <v>71</v>
      </c>
      <c r="W27" s="143">
        <v>7</v>
      </c>
      <c r="X27" s="143">
        <v>87</v>
      </c>
      <c r="Y27" s="143">
        <v>5</v>
      </c>
      <c r="Z27" s="143"/>
      <c r="AA27" s="143"/>
      <c r="AB27" s="143"/>
      <c r="AC27" s="143"/>
      <c r="AD27" s="144">
        <f>IF(MIN(F27,J27,N27,R27,V27,Z27)&lt;&gt;0,MIN(F27,J27,N27,R27,V27,Z27),"")</f>
        <v>71</v>
      </c>
      <c r="AE27" s="144">
        <f>IF(MIN(H27,L27,P27,T27,X27,AB27)&lt;&gt;0,MIN(H27,L27,P27,T27,X27,AB27),"")</f>
        <v>87</v>
      </c>
      <c r="AF27" s="144"/>
      <c r="AG27" s="143"/>
      <c r="AH27" s="144"/>
      <c r="AI27" s="143"/>
      <c r="AJ27" s="142" t="str">
        <f>IF(AD27="","",IF(ISBLANK(AF27),"En cours",AD27+AF27))</f>
        <v>En cours</v>
      </c>
      <c r="AK27" s="142" t="str">
        <f>IF(AE27="","",IF(ISBLANK(AH27),"En cours",AE27+AH27))</f>
        <v>En cours</v>
      </c>
    </row>
    <row r="28" spans="2:37" ht="21" x14ac:dyDescent="0.35">
      <c r="B28" s="143" t="s">
        <v>165</v>
      </c>
      <c r="C28" s="143" t="s">
        <v>108</v>
      </c>
      <c r="D28" s="143">
        <v>14.1</v>
      </c>
      <c r="E28" s="143" t="s">
        <v>141</v>
      </c>
      <c r="F28" s="143">
        <v>71</v>
      </c>
      <c r="G28" s="143">
        <v>8</v>
      </c>
      <c r="H28" s="143">
        <v>84</v>
      </c>
      <c r="I28" s="143">
        <v>1</v>
      </c>
      <c r="J28" s="143"/>
      <c r="K28" s="143"/>
      <c r="L28" s="143"/>
      <c r="M28" s="143"/>
      <c r="N28" s="143"/>
      <c r="O28" s="143"/>
      <c r="P28" s="143"/>
      <c r="Q28" s="143"/>
      <c r="R28" s="143">
        <v>77</v>
      </c>
      <c r="S28" s="143">
        <v>22</v>
      </c>
      <c r="T28" s="143">
        <v>90</v>
      </c>
      <c r="U28" s="143">
        <v>4</v>
      </c>
      <c r="V28" s="143">
        <v>77</v>
      </c>
      <c r="W28" s="143">
        <v>19</v>
      </c>
      <c r="X28" s="143">
        <v>90</v>
      </c>
      <c r="Y28" s="143">
        <v>5</v>
      </c>
      <c r="Z28" s="143"/>
      <c r="AA28" s="143"/>
      <c r="AB28" s="143"/>
      <c r="AC28" s="143"/>
      <c r="AD28" s="144">
        <f>IF(MIN(F28,J28,N28,R28,V28,Z28)&lt;&gt;0,MIN(F28,J28,N28,R28,V28,Z28),"")</f>
        <v>71</v>
      </c>
      <c r="AE28" s="144">
        <f>IF(MIN(H28,L28,P28,T28,X28,AB28)&lt;&gt;0,MIN(H28,L28,P28,T28,X28,AB28),"")</f>
        <v>84</v>
      </c>
      <c r="AF28" s="144"/>
      <c r="AG28" s="143"/>
      <c r="AH28" s="144"/>
      <c r="AI28" s="143"/>
      <c r="AJ28" s="142" t="str">
        <f>IF(AD28="","",IF(ISBLANK(AF28),"En cours",AD28+AF28))</f>
        <v>En cours</v>
      </c>
      <c r="AK28" s="142" t="str">
        <f>IF(AE28="","",IF(ISBLANK(AH28),"En cours",AE28+AH28))</f>
        <v>En cours</v>
      </c>
    </row>
    <row r="29" spans="2:37" ht="21" x14ac:dyDescent="0.35">
      <c r="B29" s="143" t="s">
        <v>167</v>
      </c>
      <c r="C29" s="143" t="s">
        <v>108</v>
      </c>
      <c r="D29" s="143">
        <v>13.7</v>
      </c>
      <c r="E29" s="143" t="s">
        <v>141</v>
      </c>
      <c r="F29" s="143">
        <v>74</v>
      </c>
      <c r="G29" s="143">
        <v>6</v>
      </c>
      <c r="H29" s="143">
        <v>87</v>
      </c>
      <c r="I29" s="143">
        <v>1</v>
      </c>
      <c r="J29" s="143">
        <v>71</v>
      </c>
      <c r="K29" s="143">
        <v>5</v>
      </c>
      <c r="L29" s="143">
        <v>84</v>
      </c>
      <c r="M29" s="143">
        <v>2</v>
      </c>
      <c r="N29" s="143"/>
      <c r="O29" s="143"/>
      <c r="P29" s="143"/>
      <c r="Q29" s="143"/>
      <c r="R29" s="143">
        <v>72</v>
      </c>
      <c r="S29" s="143">
        <v>12</v>
      </c>
      <c r="T29" s="143">
        <v>85</v>
      </c>
      <c r="U29" s="143">
        <v>4</v>
      </c>
      <c r="V29" s="143">
        <v>82</v>
      </c>
      <c r="W29" s="143">
        <v>28</v>
      </c>
      <c r="X29" s="143">
        <v>95</v>
      </c>
      <c r="Y29" s="143">
        <v>5</v>
      </c>
      <c r="Z29" s="143">
        <v>74</v>
      </c>
      <c r="AA29" s="143">
        <v>6</v>
      </c>
      <c r="AB29" s="143">
        <v>87</v>
      </c>
      <c r="AC29" s="143">
        <v>6</v>
      </c>
      <c r="AD29" s="144">
        <f>IF(MIN(F29,J29,N29,R29,V29,Z29)&lt;&gt;0,MIN(F29,J29,N29,R29,V29,Z29),"")</f>
        <v>71</v>
      </c>
      <c r="AE29" s="144">
        <f>IF(MIN(H29,L29,P29,T29,X29,AB29)&lt;&gt;0,MIN(H29,L29,P29,T29,X29,AB29),"")</f>
        <v>84</v>
      </c>
      <c r="AF29" s="144"/>
      <c r="AG29" s="143"/>
      <c r="AH29" s="144"/>
      <c r="AI29" s="143"/>
      <c r="AJ29" s="142" t="str">
        <f>IF(AD29="","",IF(ISBLANK(AF29),"En cours",AD29+AF29))</f>
        <v>En cours</v>
      </c>
      <c r="AK29" s="142" t="str">
        <f>IF(AE29="","",IF(ISBLANK(AH29),"En cours",AE29+AH29))</f>
        <v>En cours</v>
      </c>
    </row>
    <row r="30" spans="2:37" ht="21" x14ac:dyDescent="0.35">
      <c r="B30" s="143" t="s">
        <v>168</v>
      </c>
      <c r="C30" s="143" t="s">
        <v>108</v>
      </c>
      <c r="D30" s="143">
        <v>14.2</v>
      </c>
      <c r="E30" s="143" t="s">
        <v>141</v>
      </c>
      <c r="F30" s="143">
        <v>72</v>
      </c>
      <c r="G30" s="143">
        <v>10</v>
      </c>
      <c r="H30" s="143">
        <v>85</v>
      </c>
      <c r="I30" s="143">
        <v>1</v>
      </c>
      <c r="J30" s="143"/>
      <c r="K30" s="143"/>
      <c r="L30" s="143"/>
      <c r="M30" s="143"/>
      <c r="N30" s="143">
        <v>77</v>
      </c>
      <c r="O30" s="143">
        <v>19</v>
      </c>
      <c r="P30" s="143">
        <v>90</v>
      </c>
      <c r="Q30" s="143">
        <v>3</v>
      </c>
      <c r="R30" s="143"/>
      <c r="S30" s="143"/>
      <c r="T30" s="143"/>
      <c r="U30" s="143"/>
      <c r="V30" s="143">
        <v>73</v>
      </c>
      <c r="W30" s="143">
        <v>8</v>
      </c>
      <c r="X30" s="143">
        <v>86</v>
      </c>
      <c r="Y30" s="143">
        <v>5</v>
      </c>
      <c r="Z30" s="143"/>
      <c r="AA30" s="143"/>
      <c r="AB30" s="143"/>
      <c r="AC30" s="143"/>
      <c r="AD30" s="144">
        <f>IF(MIN(F30,J30,N30,R30,V30,Z30)&lt;&gt;0,MIN(F30,J30,N30,R30,V30,Z30),"")</f>
        <v>72</v>
      </c>
      <c r="AE30" s="144">
        <f>IF(MIN(H30,L30,P30,T30,X30,AB30)&lt;&gt;0,MIN(H30,L30,P30,T30,X30,AB30),"")</f>
        <v>85</v>
      </c>
      <c r="AF30" s="144"/>
      <c r="AG30" s="143"/>
      <c r="AH30" s="144"/>
      <c r="AI30" s="143"/>
      <c r="AJ30" s="142" t="str">
        <f>IF(AD30="","",IF(ISBLANK(AF30),"En cours",AD30+AF30))</f>
        <v>En cours</v>
      </c>
      <c r="AK30" s="142" t="str">
        <f>IF(AE30="","",IF(ISBLANK(AH30),"En cours",AE30+AH30))</f>
        <v>En cours</v>
      </c>
    </row>
    <row r="31" spans="2:37" ht="21" x14ac:dyDescent="0.35">
      <c r="B31" s="143" t="s">
        <v>177</v>
      </c>
      <c r="C31" s="143" t="s">
        <v>108</v>
      </c>
      <c r="D31" s="143">
        <v>16.3</v>
      </c>
      <c r="E31" s="143" t="s">
        <v>141</v>
      </c>
      <c r="F31" s="143">
        <v>72</v>
      </c>
      <c r="G31" s="143">
        <v>11</v>
      </c>
      <c r="H31" s="143">
        <v>88</v>
      </c>
      <c r="I31" s="143">
        <v>1</v>
      </c>
      <c r="J31" s="143"/>
      <c r="K31" s="143"/>
      <c r="L31" s="143"/>
      <c r="M31" s="143"/>
      <c r="N31" s="143">
        <v>74</v>
      </c>
      <c r="O31" s="143">
        <v>12</v>
      </c>
      <c r="P31" s="143">
        <v>90</v>
      </c>
      <c r="Q31" s="143">
        <v>3</v>
      </c>
      <c r="R31" s="143"/>
      <c r="S31" s="143"/>
      <c r="T31" s="143"/>
      <c r="U31" s="143"/>
      <c r="V31" s="143">
        <v>80</v>
      </c>
      <c r="W31" s="143">
        <v>26</v>
      </c>
      <c r="X31" s="143">
        <v>96</v>
      </c>
      <c r="Y31" s="143">
        <v>5</v>
      </c>
      <c r="Z31" s="143"/>
      <c r="AA31" s="143"/>
      <c r="AB31" s="143"/>
      <c r="AC31" s="143"/>
      <c r="AD31" s="144">
        <f>IF(MIN(F31,J31,N31,R31,V31,Z31)&lt;&gt;0,MIN(F31,J31,N31,R31,V31,Z31),"")</f>
        <v>72</v>
      </c>
      <c r="AE31" s="144">
        <f>IF(MIN(H31,L31,P31,T31,X31,AB31)&lt;&gt;0,MIN(H31,L31,P31,T31,X31,AB31),"")</f>
        <v>88</v>
      </c>
      <c r="AF31" s="144"/>
      <c r="AG31" s="143"/>
      <c r="AH31" s="144"/>
      <c r="AI31" s="143"/>
      <c r="AJ31" s="142" t="str">
        <f>IF(AD31="","",IF(ISBLANK(AF31),"En cours",AD31+AF31))</f>
        <v>En cours</v>
      </c>
      <c r="AK31" s="142" t="str">
        <f>IF(AE31="","",IF(ISBLANK(AH31),"En cours",AE31+AH31))</f>
        <v>En cours</v>
      </c>
    </row>
    <row r="32" spans="2:37" ht="21" x14ac:dyDescent="0.35">
      <c r="B32" s="143" t="s">
        <v>178</v>
      </c>
      <c r="C32" s="143" t="s">
        <v>108</v>
      </c>
      <c r="D32" s="143">
        <v>16.3</v>
      </c>
      <c r="E32" s="143" t="s">
        <v>141</v>
      </c>
      <c r="F32" s="143">
        <v>73</v>
      </c>
      <c r="G32" s="143">
        <v>12</v>
      </c>
      <c r="H32" s="143">
        <v>89</v>
      </c>
      <c r="I32" s="143">
        <v>1</v>
      </c>
      <c r="J32" s="143">
        <v>78</v>
      </c>
      <c r="K32" s="143">
        <v>20</v>
      </c>
      <c r="L32" s="143">
        <v>94</v>
      </c>
      <c r="M32" s="143">
        <v>2</v>
      </c>
      <c r="N32" s="143">
        <v>77</v>
      </c>
      <c r="O32" s="143">
        <v>21</v>
      </c>
      <c r="P32" s="143">
        <v>93</v>
      </c>
      <c r="Q32" s="143">
        <v>3</v>
      </c>
      <c r="R32" s="143"/>
      <c r="S32" s="143"/>
      <c r="T32" s="143"/>
      <c r="U32" s="143"/>
      <c r="V32" s="143"/>
      <c r="W32" s="143"/>
      <c r="X32" s="143"/>
      <c r="Y32" s="143"/>
      <c r="Z32" s="143"/>
      <c r="AA32" s="143"/>
      <c r="AB32" s="143"/>
      <c r="AC32" s="143"/>
      <c r="AD32" s="144">
        <f>IF(MIN(F32,J32,N32,R32,V32,Z32)&lt;&gt;0,MIN(F32,J32,N32,R32,V32,Z32),"")</f>
        <v>73</v>
      </c>
      <c r="AE32" s="144">
        <f>IF(MIN(H32,L32,P32,T32,X32,AB32)&lt;&gt;0,MIN(H32,L32,P32,T32,X32,AB32),"")</f>
        <v>89</v>
      </c>
      <c r="AF32" s="144"/>
      <c r="AG32" s="143"/>
      <c r="AH32" s="144"/>
      <c r="AI32" s="143"/>
      <c r="AJ32" s="142" t="str">
        <f>IF(AD32="","",IF(ISBLANK(AF32),"En cours",AD32+AF32))</f>
        <v>En cours</v>
      </c>
      <c r="AK32" s="142" t="str">
        <f>IF(AE32="","",IF(ISBLANK(AH32),"En cours",AE32+AH32))</f>
        <v>En cours</v>
      </c>
    </row>
    <row r="33" spans="2:37" ht="21" x14ac:dyDescent="0.35">
      <c r="B33" s="143" t="s">
        <v>179</v>
      </c>
      <c r="C33" s="143" t="s">
        <v>108</v>
      </c>
      <c r="D33" s="143">
        <v>17.399999999999999</v>
      </c>
      <c r="E33" s="143" t="s">
        <v>141</v>
      </c>
      <c r="F33" s="143">
        <v>73</v>
      </c>
      <c r="G33" s="143">
        <v>13</v>
      </c>
      <c r="H33" s="143">
        <v>90</v>
      </c>
      <c r="I33" s="143">
        <v>1</v>
      </c>
      <c r="J33" s="143"/>
      <c r="K33" s="143"/>
      <c r="L33" s="143"/>
      <c r="M33" s="143"/>
      <c r="N33" s="143">
        <v>81</v>
      </c>
      <c r="O33" s="143">
        <v>30</v>
      </c>
      <c r="P33" s="143">
        <v>98</v>
      </c>
      <c r="Q33" s="143">
        <v>3</v>
      </c>
      <c r="R33" s="143"/>
      <c r="S33" s="143"/>
      <c r="T33" s="143"/>
      <c r="U33" s="143"/>
      <c r="V33" s="143">
        <v>76</v>
      </c>
      <c r="W33" s="143">
        <v>14</v>
      </c>
      <c r="X33" s="143">
        <v>93</v>
      </c>
      <c r="Y33" s="143">
        <v>5</v>
      </c>
      <c r="Z33" s="143"/>
      <c r="AA33" s="143"/>
      <c r="AB33" s="143"/>
      <c r="AC33" s="143"/>
      <c r="AD33" s="144">
        <f>IF(MIN(F33,J33,N33,R33,V33,Z33)&lt;&gt;0,MIN(F33,J33,N33,R33,V33,Z33),"")</f>
        <v>73</v>
      </c>
      <c r="AE33" s="144">
        <f>IF(MIN(H33,L33,P33,T33,X33,AB33)&lt;&gt;0,MIN(H33,L33,P33,T33,X33,AB33),"")</f>
        <v>90</v>
      </c>
      <c r="AF33" s="144"/>
      <c r="AG33" s="143"/>
      <c r="AH33" s="144"/>
      <c r="AI33" s="143"/>
      <c r="AJ33" s="142" t="str">
        <f>IF(AD33="","",IF(ISBLANK(AF33),"En cours",AD33+AF33))</f>
        <v>En cours</v>
      </c>
      <c r="AK33" s="142" t="str">
        <f>IF(AE33="","",IF(ISBLANK(AH33),"En cours",AE33+AH33))</f>
        <v>En cours</v>
      </c>
    </row>
    <row r="34" spans="2:37" ht="21" x14ac:dyDescent="0.35">
      <c r="B34" s="143" t="s">
        <v>166</v>
      </c>
      <c r="C34" s="143" t="s">
        <v>108</v>
      </c>
      <c r="D34" s="143">
        <v>11.8</v>
      </c>
      <c r="E34" s="143" t="s">
        <v>141</v>
      </c>
      <c r="F34" s="143">
        <v>69</v>
      </c>
      <c r="G34" s="143">
        <v>2</v>
      </c>
      <c r="H34" s="143">
        <v>80</v>
      </c>
      <c r="I34" s="143">
        <v>1</v>
      </c>
      <c r="J34" s="143"/>
      <c r="K34" s="143"/>
      <c r="L34" s="143"/>
      <c r="M34" s="143"/>
      <c r="N34" s="143">
        <v>78</v>
      </c>
      <c r="O34" s="143">
        <v>22</v>
      </c>
      <c r="P34" s="143">
        <v>89</v>
      </c>
      <c r="Q34" s="143">
        <v>3</v>
      </c>
      <c r="R34" s="143"/>
      <c r="S34" s="143"/>
      <c r="T34" s="143"/>
      <c r="U34" s="143"/>
      <c r="V34" s="143"/>
      <c r="W34" s="143"/>
      <c r="X34" s="143"/>
      <c r="Y34" s="143"/>
      <c r="Z34" s="143">
        <v>69</v>
      </c>
      <c r="AA34" s="143">
        <v>2</v>
      </c>
      <c r="AB34" s="143">
        <v>80</v>
      </c>
      <c r="AC34" s="143">
        <v>6</v>
      </c>
      <c r="AD34" s="144">
        <f>IF(MIN(F34,J34,N34,R34,V34,Z34)&lt;&gt;0,MIN(F34,J34,N34,R34,V34,Z34),"")</f>
        <v>69</v>
      </c>
      <c r="AE34" s="144">
        <f>IF(MIN(H34,L34,P34,T34,X34,AB34)&lt;&gt;0,MIN(H34,L34,P34,T34,X34,AB34),"")</f>
        <v>80</v>
      </c>
      <c r="AF34" s="144"/>
      <c r="AG34" s="143"/>
      <c r="AH34" s="144"/>
      <c r="AI34" s="143"/>
      <c r="AJ34" s="142" t="str">
        <f>IF(AD34="","",IF(ISBLANK(AF34),"En cours",AD34+AF34))</f>
        <v>En cours</v>
      </c>
      <c r="AK34" s="142" t="str">
        <f>IF(AE34="","",IF(ISBLANK(AH34),"En cours",AE34+AH34))</f>
        <v>En cours</v>
      </c>
    </row>
    <row r="35" spans="2:37" ht="21" x14ac:dyDescent="0.35">
      <c r="B35" s="143" t="s">
        <v>174</v>
      </c>
      <c r="C35" s="143" t="s">
        <v>108</v>
      </c>
      <c r="D35" s="143">
        <v>14.2</v>
      </c>
      <c r="E35" s="143" t="s">
        <v>141</v>
      </c>
      <c r="F35" s="143">
        <v>75</v>
      </c>
      <c r="G35" s="143">
        <v>15</v>
      </c>
      <c r="H35" s="143">
        <v>88</v>
      </c>
      <c r="I35" s="143">
        <v>1</v>
      </c>
      <c r="J35" s="143">
        <v>76</v>
      </c>
      <c r="K35" s="143">
        <v>17</v>
      </c>
      <c r="L35" s="143">
        <v>89</v>
      </c>
      <c r="M35" s="143">
        <v>2</v>
      </c>
      <c r="N35" s="143">
        <v>79</v>
      </c>
      <c r="O35" s="143">
        <v>25</v>
      </c>
      <c r="P35" s="143">
        <v>92</v>
      </c>
      <c r="Q35" s="143">
        <v>3</v>
      </c>
      <c r="R35" s="143">
        <v>78</v>
      </c>
      <c r="S35" s="143">
        <v>25</v>
      </c>
      <c r="T35" s="143">
        <v>91</v>
      </c>
      <c r="U35" s="143">
        <v>4</v>
      </c>
      <c r="V35" s="143">
        <v>76</v>
      </c>
      <c r="W35" s="143">
        <v>15</v>
      </c>
      <c r="X35" s="143">
        <v>89</v>
      </c>
      <c r="Y35" s="143">
        <v>5</v>
      </c>
      <c r="Z35" s="143"/>
      <c r="AA35" s="143"/>
      <c r="AB35" s="143"/>
      <c r="AC35" s="143"/>
      <c r="AD35" s="144">
        <f>IF(MIN(F35,J35,N35,R35,V35,Z35)&lt;&gt;0,MIN(F35,J35,N35,R35,V35,Z35),"")</f>
        <v>75</v>
      </c>
      <c r="AE35" s="144">
        <f>IF(MIN(H35,L35,P35,T35,X35,AB35)&lt;&gt;0,MIN(H35,L35,P35,T35,X35,AB35),"")</f>
        <v>88</v>
      </c>
      <c r="AF35" s="144"/>
      <c r="AG35" s="143"/>
      <c r="AH35" s="144"/>
      <c r="AI35" s="143"/>
      <c r="AJ35" s="142" t="str">
        <f>IF(AD35="","",IF(ISBLANK(AF35),"En cours",AD35+AF35))</f>
        <v>En cours</v>
      </c>
      <c r="AK35" s="142" t="str">
        <f>IF(AE35="","",IF(ISBLANK(AH35),"En cours",AE35+AH35))</f>
        <v>En cours</v>
      </c>
    </row>
    <row r="36" spans="2:37" ht="21" x14ac:dyDescent="0.35">
      <c r="B36" s="143" t="s">
        <v>183</v>
      </c>
      <c r="C36" s="143" t="s">
        <v>184</v>
      </c>
      <c r="D36" s="143">
        <v>17.8</v>
      </c>
      <c r="E36" s="143" t="s">
        <v>141</v>
      </c>
      <c r="F36" s="143">
        <v>75</v>
      </c>
      <c r="G36" s="143">
        <v>16</v>
      </c>
      <c r="H36" s="143">
        <v>92</v>
      </c>
      <c r="I36" s="143">
        <v>1</v>
      </c>
      <c r="J36" s="143"/>
      <c r="K36" s="143"/>
      <c r="L36" s="143"/>
      <c r="M36" s="143"/>
      <c r="N36" s="143">
        <v>76</v>
      </c>
      <c r="O36" s="143">
        <v>15</v>
      </c>
      <c r="P36" s="143">
        <v>93</v>
      </c>
      <c r="Q36" s="143">
        <v>3</v>
      </c>
      <c r="R36" s="143"/>
      <c r="S36" s="143"/>
      <c r="T36" s="143"/>
      <c r="U36" s="143"/>
      <c r="V36" s="143"/>
      <c r="W36" s="143"/>
      <c r="X36" s="143"/>
      <c r="Y36" s="143"/>
      <c r="Z36" s="143"/>
      <c r="AA36" s="143"/>
      <c r="AB36" s="143"/>
      <c r="AC36" s="143"/>
      <c r="AD36" s="144">
        <f>IF(MIN(F36,J36,N36,R36,V36,Z36)&lt;&gt;0,MIN(F36,J36,N36,R36,V36,Z36),"")</f>
        <v>75</v>
      </c>
      <c r="AE36" s="144">
        <f>IF(MIN(H36,L36,P36,T36,X36,AB36)&lt;&gt;0,MIN(H36,L36,P36,T36,X36,AB36),"")</f>
        <v>92</v>
      </c>
      <c r="AF36" s="144"/>
      <c r="AG36" s="143"/>
      <c r="AH36" s="144"/>
      <c r="AI36" s="143"/>
      <c r="AJ36" s="142" t="str">
        <f>IF(AD36="","",IF(ISBLANK(AF36),"En cours",AD36+AF36))</f>
        <v>En cours</v>
      </c>
      <c r="AK36" s="142" t="str">
        <f>IF(AE36="","",IF(ISBLANK(AH36),"En cours",AE36+AH36))</f>
        <v>En cours</v>
      </c>
    </row>
    <row r="37" spans="2:37" ht="21" x14ac:dyDescent="0.35">
      <c r="B37" s="143" t="s">
        <v>171</v>
      </c>
      <c r="C37" s="143" t="s">
        <v>108</v>
      </c>
      <c r="D37" s="143">
        <v>11.8</v>
      </c>
      <c r="E37" s="143" t="s">
        <v>141</v>
      </c>
      <c r="F37" s="143">
        <v>74</v>
      </c>
      <c r="G37" s="143">
        <v>8</v>
      </c>
      <c r="H37" s="143">
        <v>85</v>
      </c>
      <c r="I37" s="143">
        <v>1</v>
      </c>
      <c r="J37" s="143">
        <v>76</v>
      </c>
      <c r="K37" s="143">
        <v>16</v>
      </c>
      <c r="L37" s="143">
        <v>87</v>
      </c>
      <c r="M37" s="143">
        <v>2</v>
      </c>
      <c r="N37" s="143">
        <v>84</v>
      </c>
      <c r="O37" s="143">
        <v>33</v>
      </c>
      <c r="P37" s="143">
        <v>95</v>
      </c>
      <c r="Q37" s="143">
        <v>3</v>
      </c>
      <c r="R37" s="143">
        <v>80</v>
      </c>
      <c r="S37" s="143">
        <v>30</v>
      </c>
      <c r="T37" s="143">
        <v>91</v>
      </c>
      <c r="U37" s="143">
        <v>4</v>
      </c>
      <c r="V37" s="143"/>
      <c r="W37" s="143"/>
      <c r="X37" s="143"/>
      <c r="Y37" s="143"/>
      <c r="Z37" s="143">
        <v>74</v>
      </c>
      <c r="AA37" s="143">
        <v>8</v>
      </c>
      <c r="AB37" s="143">
        <v>85</v>
      </c>
      <c r="AC37" s="143">
        <v>6</v>
      </c>
      <c r="AD37" s="144">
        <f>IF(MIN(F37,J37,N37,R37,V37,Z37)&lt;&gt;0,MIN(F37,J37,N37,R37,V37,Z37),"")</f>
        <v>74</v>
      </c>
      <c r="AE37" s="144">
        <f>IF(MIN(H37,L37,P37,T37,X37,AB37)&lt;&gt;0,MIN(H37,L37,P37,T37,X37,AB37),"")</f>
        <v>85</v>
      </c>
      <c r="AF37" s="144"/>
      <c r="AG37" s="143"/>
      <c r="AH37" s="144"/>
      <c r="AI37" s="143"/>
      <c r="AJ37" s="142" t="str">
        <f>IF(AD37="","",IF(ISBLANK(AF37),"En cours",AD37+AF37))</f>
        <v>En cours</v>
      </c>
      <c r="AK37" s="142" t="str">
        <f>IF(AE37="","",IF(ISBLANK(AH37),"En cours",AE37+AH37))</f>
        <v>En cours</v>
      </c>
    </row>
    <row r="38" spans="2:37" ht="21" x14ac:dyDescent="0.35">
      <c r="B38" s="143" t="s">
        <v>172</v>
      </c>
      <c r="C38" s="143" t="s">
        <v>108</v>
      </c>
      <c r="D38" s="143">
        <v>11.9</v>
      </c>
      <c r="E38" s="143" t="s">
        <v>141</v>
      </c>
      <c r="F38" s="143">
        <v>76</v>
      </c>
      <c r="G38" s="143">
        <v>18</v>
      </c>
      <c r="H38" s="143">
        <v>87</v>
      </c>
      <c r="I38" s="143">
        <v>1</v>
      </c>
      <c r="J38" s="143">
        <v>82</v>
      </c>
      <c r="K38" s="143">
        <v>32</v>
      </c>
      <c r="L38" s="143">
        <v>93</v>
      </c>
      <c r="M38" s="143">
        <v>2</v>
      </c>
      <c r="N38" s="143">
        <v>71</v>
      </c>
      <c r="O38" s="143">
        <v>6</v>
      </c>
      <c r="P38" s="143">
        <v>82</v>
      </c>
      <c r="Q38" s="143">
        <v>3</v>
      </c>
      <c r="R38" s="143"/>
      <c r="S38" s="143"/>
      <c r="T38" s="143"/>
      <c r="U38" s="143"/>
      <c r="V38" s="143"/>
      <c r="W38" s="143"/>
      <c r="X38" s="143"/>
      <c r="Y38" s="143"/>
      <c r="Z38" s="143"/>
      <c r="AA38" s="143"/>
      <c r="AB38" s="143"/>
      <c r="AC38" s="143"/>
      <c r="AD38" s="144">
        <f>IF(MIN(F38,J38,N38,R38,V38,Z38)&lt;&gt;0,MIN(F38,J38,N38,R38,V38,Z38),"")</f>
        <v>71</v>
      </c>
      <c r="AE38" s="144">
        <f>IF(MIN(H38,L38,P38,T38,X38,AB38)&lt;&gt;0,MIN(H38,L38,P38,T38,X38,AB38),"")</f>
        <v>82</v>
      </c>
      <c r="AF38" s="144"/>
      <c r="AG38" s="143"/>
      <c r="AH38" s="144"/>
      <c r="AI38" s="143"/>
      <c r="AJ38" s="142" t="str">
        <f>IF(AD38="","",IF(ISBLANK(AF38),"En cours",AD38+AF38))</f>
        <v>En cours</v>
      </c>
      <c r="AK38" s="142" t="str">
        <f>IF(AE38="","",IF(ISBLANK(AH38),"En cours",AE38+AH38))</f>
        <v>En cours</v>
      </c>
    </row>
    <row r="39" spans="2:37" ht="21" x14ac:dyDescent="0.35">
      <c r="B39" s="143" t="s">
        <v>175</v>
      </c>
      <c r="C39" s="143" t="s">
        <v>108</v>
      </c>
      <c r="D39" s="143">
        <v>12.9</v>
      </c>
      <c r="E39" s="143" t="s">
        <v>141</v>
      </c>
      <c r="F39" s="143">
        <v>75</v>
      </c>
      <c r="G39" s="143">
        <v>13</v>
      </c>
      <c r="H39" s="143">
        <v>87</v>
      </c>
      <c r="I39" s="143">
        <v>1</v>
      </c>
      <c r="J39" s="143">
        <v>72</v>
      </c>
      <c r="K39" s="143">
        <v>9</v>
      </c>
      <c r="L39" s="143">
        <v>84</v>
      </c>
      <c r="M39" s="143">
        <v>2</v>
      </c>
      <c r="N39" s="143">
        <v>67</v>
      </c>
      <c r="O39" s="143">
        <v>3</v>
      </c>
      <c r="P39" s="143">
        <v>79</v>
      </c>
      <c r="Q39" s="143">
        <v>3</v>
      </c>
      <c r="R39" s="143">
        <v>67</v>
      </c>
      <c r="S39" s="143">
        <v>2</v>
      </c>
      <c r="T39" s="143">
        <v>79</v>
      </c>
      <c r="U39" s="143">
        <v>4</v>
      </c>
      <c r="V39" s="143">
        <v>71</v>
      </c>
      <c r="W39" s="143">
        <v>5</v>
      </c>
      <c r="X39" s="143">
        <v>83</v>
      </c>
      <c r="Y39" s="143">
        <v>5</v>
      </c>
      <c r="Z39" s="143">
        <v>75</v>
      </c>
      <c r="AA39" s="143">
        <v>13</v>
      </c>
      <c r="AB39" s="143">
        <v>87</v>
      </c>
      <c r="AC39" s="143">
        <v>6</v>
      </c>
      <c r="AD39" s="144">
        <f>IF(MIN(F39,J39,N39,R39,V39,Z39)&lt;&gt;0,MIN(F39,J39,N39,R39,V39,Z39),"")</f>
        <v>67</v>
      </c>
      <c r="AE39" s="144">
        <f>IF(MIN(H39,L39,P39,T39,X39,AB39)&lt;&gt;0,MIN(H39,L39,P39,T39,X39,AB39),"")</f>
        <v>79</v>
      </c>
      <c r="AF39" s="144"/>
      <c r="AG39" s="143"/>
      <c r="AH39" s="144"/>
      <c r="AI39" s="143"/>
      <c r="AJ39" s="142" t="str">
        <f>IF(AD39="","",IF(ISBLANK(AF39),"En cours",AD39+AF39))</f>
        <v>En cours</v>
      </c>
      <c r="AK39" s="142" t="str">
        <f>IF(AE39="","",IF(ISBLANK(AH39),"En cours",AE39+AH39))</f>
        <v>En cours</v>
      </c>
    </row>
    <row r="40" spans="2:37" ht="21" x14ac:dyDescent="0.35">
      <c r="B40" s="143" t="s">
        <v>180</v>
      </c>
      <c r="C40" s="143" t="s">
        <v>108</v>
      </c>
      <c r="D40" s="143">
        <v>14.8</v>
      </c>
      <c r="E40" s="143" t="s">
        <v>141</v>
      </c>
      <c r="F40" s="143">
        <v>80</v>
      </c>
      <c r="G40" s="143">
        <v>24</v>
      </c>
      <c r="H40" s="143">
        <v>94</v>
      </c>
      <c r="I40" s="143">
        <v>1</v>
      </c>
      <c r="J40" s="143">
        <v>70</v>
      </c>
      <c r="K40" s="143">
        <v>3</v>
      </c>
      <c r="L40" s="143">
        <v>84</v>
      </c>
      <c r="M40" s="143">
        <v>2</v>
      </c>
      <c r="N40" s="143">
        <v>65</v>
      </c>
      <c r="O40" s="143">
        <v>1</v>
      </c>
      <c r="P40" s="143">
        <v>79</v>
      </c>
      <c r="Q40" s="143">
        <v>3</v>
      </c>
      <c r="R40" s="143">
        <v>70</v>
      </c>
      <c r="S40" s="143">
        <v>5</v>
      </c>
      <c r="T40" s="143">
        <v>84</v>
      </c>
      <c r="U40" s="143">
        <v>4</v>
      </c>
      <c r="V40" s="143">
        <v>75</v>
      </c>
      <c r="W40" s="143">
        <v>13</v>
      </c>
      <c r="X40" s="143">
        <v>89</v>
      </c>
      <c r="Y40" s="143">
        <v>5</v>
      </c>
      <c r="Z40" s="143">
        <v>80</v>
      </c>
      <c r="AA40" s="143">
        <v>24</v>
      </c>
      <c r="AB40" s="143">
        <v>94</v>
      </c>
      <c r="AC40" s="143">
        <v>6</v>
      </c>
      <c r="AD40" s="144">
        <f>IF(MIN(F40,J40,N40,R40,V40,Z40)&lt;&gt;0,MIN(F40,J40,N40,R40,V40,Z40),"")</f>
        <v>65</v>
      </c>
      <c r="AE40" s="144">
        <f>IF(MIN(H40,L40,P40,T40,X40,AB40)&lt;&gt;0,MIN(H40,L40,P40,T40,X40,AB40),"")</f>
        <v>79</v>
      </c>
      <c r="AF40" s="144"/>
      <c r="AG40" s="143"/>
      <c r="AH40" s="144"/>
      <c r="AI40" s="143"/>
      <c r="AJ40" s="142" t="str">
        <f>IF(AD40="","",IF(ISBLANK(AF40),"En cours",AD40+AF40))</f>
        <v>En cours</v>
      </c>
      <c r="AK40" s="142" t="str">
        <f>IF(AE40="","",IF(ISBLANK(AH40),"En cours",AE40+AH40))</f>
        <v>En cours</v>
      </c>
    </row>
    <row r="41" spans="2:37" ht="21" x14ac:dyDescent="0.35">
      <c r="B41" s="143" t="s">
        <v>169</v>
      </c>
      <c r="C41" s="143" t="s">
        <v>108</v>
      </c>
      <c r="D41" s="143">
        <v>11.7</v>
      </c>
      <c r="E41" s="143" t="s">
        <v>141</v>
      </c>
      <c r="F41" s="143">
        <v>77</v>
      </c>
      <c r="G41" s="143">
        <v>20</v>
      </c>
      <c r="H41" s="143">
        <v>87</v>
      </c>
      <c r="I41" s="143">
        <v>1</v>
      </c>
      <c r="J41" s="143">
        <v>81</v>
      </c>
      <c r="K41" s="143">
        <v>27</v>
      </c>
      <c r="L41" s="143">
        <v>91</v>
      </c>
      <c r="M41" s="143">
        <v>2</v>
      </c>
      <c r="N41" s="143">
        <v>69</v>
      </c>
      <c r="O41" s="143">
        <v>4</v>
      </c>
      <c r="P41" s="143">
        <v>79</v>
      </c>
      <c r="Q41" s="143">
        <v>3</v>
      </c>
      <c r="R41" s="143"/>
      <c r="S41" s="143"/>
      <c r="T41" s="143"/>
      <c r="U41" s="143"/>
      <c r="V41" s="143">
        <v>79</v>
      </c>
      <c r="W41" s="143">
        <v>21</v>
      </c>
      <c r="X41" s="143">
        <v>89</v>
      </c>
      <c r="Y41" s="143">
        <v>5</v>
      </c>
      <c r="Z41" s="143">
        <v>77</v>
      </c>
      <c r="AA41" s="143">
        <v>20</v>
      </c>
      <c r="AB41" s="143">
        <v>87</v>
      </c>
      <c r="AC41" s="143">
        <v>6</v>
      </c>
      <c r="AD41" s="144">
        <f>IF(MIN(F41,J41,N41,R41,V41,Z41)&lt;&gt;0,MIN(F41,J41,N41,R41,V41,Z41),"")</f>
        <v>69</v>
      </c>
      <c r="AE41" s="144">
        <f>IF(MIN(H41,L41,P41,T41,X41,AB41)&lt;&gt;0,MIN(H41,L41,P41,T41,X41,AB41),"")</f>
        <v>79</v>
      </c>
      <c r="AF41" s="144"/>
      <c r="AG41" s="143"/>
      <c r="AH41" s="144"/>
      <c r="AI41" s="143"/>
      <c r="AJ41" s="142" t="str">
        <f>IF(AD41="","",IF(ISBLANK(AF41),"En cours",AD41+AF41))</f>
        <v>En cours</v>
      </c>
      <c r="AK41" s="142" t="str">
        <f>IF(AE41="","",IF(ISBLANK(AH41),"En cours",AE41+AH41))</f>
        <v>En cours</v>
      </c>
    </row>
    <row r="42" spans="2:37" ht="21" x14ac:dyDescent="0.35">
      <c r="B42" s="143" t="s">
        <v>181</v>
      </c>
      <c r="C42" s="143" t="s">
        <v>108</v>
      </c>
      <c r="D42" s="143">
        <v>16</v>
      </c>
      <c r="E42" s="143" t="s">
        <v>141</v>
      </c>
      <c r="F42" s="143">
        <v>77</v>
      </c>
      <c r="G42" s="143">
        <v>22</v>
      </c>
      <c r="H42" s="143">
        <v>92</v>
      </c>
      <c r="I42" s="143">
        <v>1</v>
      </c>
      <c r="J42" s="143"/>
      <c r="K42" s="143"/>
      <c r="L42" s="143"/>
      <c r="M42" s="143"/>
      <c r="N42" s="143">
        <v>81</v>
      </c>
      <c r="O42" s="143">
        <v>28</v>
      </c>
      <c r="P42" s="143">
        <v>96</v>
      </c>
      <c r="Q42" s="143">
        <v>3</v>
      </c>
      <c r="R42" s="143"/>
      <c r="S42" s="143"/>
      <c r="T42" s="143"/>
      <c r="U42" s="143"/>
      <c r="V42" s="143"/>
      <c r="W42" s="143"/>
      <c r="X42" s="143"/>
      <c r="Y42" s="143"/>
      <c r="Z42" s="143"/>
      <c r="AA42" s="143"/>
      <c r="AB42" s="143"/>
      <c r="AC42" s="143"/>
      <c r="AD42" s="144">
        <f>IF(MIN(F42,J42,N42,R42,V42,Z42)&lt;&gt;0,MIN(F42,J42,N42,R42,V42,Z42),"")</f>
        <v>77</v>
      </c>
      <c r="AE42" s="144">
        <f>IF(MIN(H42,L42,P42,T42,X42,AB42)&lt;&gt;0,MIN(H42,L42,P42,T42,X42,AB42),"")</f>
        <v>92</v>
      </c>
      <c r="AF42" s="144"/>
      <c r="AG42" s="143"/>
      <c r="AH42" s="144"/>
      <c r="AI42" s="143"/>
      <c r="AJ42" s="142" t="str">
        <f>IF(AD42="","",IF(ISBLANK(AF42),"En cours",AD42+AF42))</f>
        <v>En cours</v>
      </c>
      <c r="AK42" s="142" t="str">
        <f>IF(AE42="","",IF(ISBLANK(AH42),"En cours",AE42+AH42))</f>
        <v>En cours</v>
      </c>
    </row>
    <row r="43" spans="2:37" ht="21" x14ac:dyDescent="0.35">
      <c r="B43" s="143" t="s">
        <v>189</v>
      </c>
      <c r="C43" s="143" t="s">
        <v>108</v>
      </c>
      <c r="D43" s="143">
        <v>18.2</v>
      </c>
      <c r="E43" s="143" t="s">
        <v>141</v>
      </c>
      <c r="F43" s="143">
        <v>77</v>
      </c>
      <c r="G43" s="143">
        <v>23</v>
      </c>
      <c r="H43" s="143">
        <v>95</v>
      </c>
      <c r="I43" s="143">
        <v>1</v>
      </c>
      <c r="J43" s="143">
        <v>83</v>
      </c>
      <c r="K43" s="143">
        <v>33</v>
      </c>
      <c r="L43" s="143">
        <v>101</v>
      </c>
      <c r="M43" s="143">
        <v>2</v>
      </c>
      <c r="N43" s="143">
        <v>76</v>
      </c>
      <c r="O43" s="143">
        <v>16</v>
      </c>
      <c r="P43" s="143">
        <v>94</v>
      </c>
      <c r="Q43" s="143">
        <v>3</v>
      </c>
      <c r="R43" s="143">
        <v>73</v>
      </c>
      <c r="S43" s="143">
        <v>14</v>
      </c>
      <c r="T43" s="143">
        <v>91</v>
      </c>
      <c r="U43" s="143">
        <v>4</v>
      </c>
      <c r="V43" s="143">
        <v>70</v>
      </c>
      <c r="W43" s="143">
        <v>4</v>
      </c>
      <c r="X43" s="143">
        <v>88</v>
      </c>
      <c r="Y43" s="143">
        <v>5</v>
      </c>
      <c r="Z43" s="143"/>
      <c r="AA43" s="143"/>
      <c r="AB43" s="143"/>
      <c r="AC43" s="143"/>
      <c r="AD43" s="144">
        <f>IF(MIN(F43,J43,N43,R43,V43,Z43)&lt;&gt;0,MIN(F43,J43,N43,R43,V43,Z43),"")</f>
        <v>70</v>
      </c>
      <c r="AE43" s="144">
        <f>IF(MIN(H43,L43,P43,T43,X43,AB43)&lt;&gt;0,MIN(H43,L43,P43,T43,X43,AB43),"")</f>
        <v>88</v>
      </c>
      <c r="AF43" s="144"/>
      <c r="AG43" s="143"/>
      <c r="AH43" s="144"/>
      <c r="AI43" s="143"/>
      <c r="AJ43" s="142" t="str">
        <f>IF(AD43="","",IF(ISBLANK(AF43),"En cours",AD43+AF43))</f>
        <v>En cours</v>
      </c>
      <c r="AK43" s="142" t="str">
        <f>IF(AE43="","",IF(ISBLANK(AH43),"En cours",AE43+AH43))</f>
        <v>En cours</v>
      </c>
    </row>
    <row r="44" spans="2:37" ht="21" x14ac:dyDescent="0.35">
      <c r="B44" s="143" t="s">
        <v>187</v>
      </c>
      <c r="C44" s="143" t="s">
        <v>108</v>
      </c>
      <c r="D44" s="143">
        <v>16.7</v>
      </c>
      <c r="E44" s="143" t="s">
        <v>141</v>
      </c>
      <c r="F44" s="143">
        <v>77</v>
      </c>
      <c r="G44" s="143">
        <v>24</v>
      </c>
      <c r="H44" s="143">
        <v>93</v>
      </c>
      <c r="I44" s="143">
        <v>1</v>
      </c>
      <c r="J44" s="143"/>
      <c r="K44" s="143"/>
      <c r="L44" s="143"/>
      <c r="M44" s="143"/>
      <c r="N44" s="143">
        <v>80</v>
      </c>
      <c r="O44" s="143">
        <v>27</v>
      </c>
      <c r="P44" s="143">
        <v>96</v>
      </c>
      <c r="Q44" s="143">
        <v>3</v>
      </c>
      <c r="R44" s="143"/>
      <c r="S44" s="143"/>
      <c r="T44" s="143"/>
      <c r="U44" s="143"/>
      <c r="V44" s="143">
        <v>74</v>
      </c>
      <c r="W44" s="143">
        <v>12</v>
      </c>
      <c r="X44" s="143">
        <v>90</v>
      </c>
      <c r="Y44" s="143">
        <v>5</v>
      </c>
      <c r="Z44" s="143"/>
      <c r="AA44" s="143"/>
      <c r="AB44" s="143"/>
      <c r="AC44" s="143"/>
      <c r="AD44" s="144">
        <f>IF(MIN(F44,J44,N44,R44,V44,Z44)&lt;&gt;0,MIN(F44,J44,N44,R44,V44,Z44),"")</f>
        <v>74</v>
      </c>
      <c r="AE44" s="144">
        <f>IF(MIN(H44,L44,P44,T44,X44,AB44)&lt;&gt;0,MIN(H44,L44,P44,T44,X44,AB44),"")</f>
        <v>90</v>
      </c>
      <c r="AF44" s="144"/>
      <c r="AG44" s="143"/>
      <c r="AH44" s="144"/>
      <c r="AI44" s="143"/>
      <c r="AJ44" s="142" t="str">
        <f>IF(AD44="","",IF(ISBLANK(AF44),"En cours",AD44+AF44))</f>
        <v>En cours</v>
      </c>
      <c r="AK44" s="142" t="str">
        <f>IF(AE44="","",IF(ISBLANK(AH44),"En cours",AE44+AH44))</f>
        <v>En cours</v>
      </c>
    </row>
    <row r="45" spans="2:37" ht="21" x14ac:dyDescent="0.35">
      <c r="B45" s="143" t="s">
        <v>186</v>
      </c>
      <c r="C45" s="143" t="s">
        <v>108</v>
      </c>
      <c r="D45" s="143">
        <v>16.100000000000001</v>
      </c>
      <c r="E45" s="143" t="s">
        <v>141</v>
      </c>
      <c r="F45" s="143">
        <v>74</v>
      </c>
      <c r="G45" s="143">
        <v>10</v>
      </c>
      <c r="H45" s="143">
        <v>89</v>
      </c>
      <c r="I45" s="143">
        <v>1</v>
      </c>
      <c r="J45" s="143">
        <v>87</v>
      </c>
      <c r="K45" s="143">
        <v>36</v>
      </c>
      <c r="L45" s="143">
        <v>102</v>
      </c>
      <c r="M45" s="143">
        <v>2</v>
      </c>
      <c r="N45" s="143"/>
      <c r="O45" s="143"/>
      <c r="P45" s="143"/>
      <c r="Q45" s="143"/>
      <c r="R45" s="143"/>
      <c r="S45" s="143"/>
      <c r="T45" s="143"/>
      <c r="U45" s="143"/>
      <c r="V45" s="143">
        <v>80</v>
      </c>
      <c r="W45" s="143">
        <v>25</v>
      </c>
      <c r="X45" s="143">
        <v>95</v>
      </c>
      <c r="Y45" s="143">
        <v>5</v>
      </c>
      <c r="Z45" s="143">
        <v>74</v>
      </c>
      <c r="AA45" s="143">
        <v>10</v>
      </c>
      <c r="AB45" s="143">
        <v>89</v>
      </c>
      <c r="AC45" s="143">
        <v>6</v>
      </c>
      <c r="AD45" s="144">
        <f>IF(MIN(F45,J45,N45,R45,V45,Z45)&lt;&gt;0,MIN(F45,J45,N45,R45,V45,Z45),"")</f>
        <v>74</v>
      </c>
      <c r="AE45" s="144">
        <f>IF(MIN(H45,L45,P45,T45,X45,AB45)&lt;&gt;0,MIN(H45,L45,P45,T45,X45,AB45),"")</f>
        <v>89</v>
      </c>
      <c r="AF45" s="144"/>
      <c r="AG45" s="143"/>
      <c r="AH45" s="144"/>
      <c r="AI45" s="143"/>
      <c r="AJ45" s="142" t="str">
        <f>IF(AD45="","",IF(ISBLANK(AF45),"En cours",AD45+AF45))</f>
        <v>En cours</v>
      </c>
      <c r="AK45" s="142" t="str">
        <f>IF(AE45="","",IF(ISBLANK(AH45),"En cours",AE45+AH45))</f>
        <v>En cours</v>
      </c>
    </row>
    <row r="46" spans="2:37" ht="21" x14ac:dyDescent="0.35">
      <c r="B46" s="143" t="s">
        <v>176</v>
      </c>
      <c r="C46" s="143" t="s">
        <v>108</v>
      </c>
      <c r="D46" s="143">
        <v>11.5</v>
      </c>
      <c r="E46" s="143" t="s">
        <v>141</v>
      </c>
      <c r="F46" s="143">
        <v>77</v>
      </c>
      <c r="G46" s="143">
        <v>17</v>
      </c>
      <c r="H46" s="143">
        <v>87</v>
      </c>
      <c r="I46" s="143">
        <v>1</v>
      </c>
      <c r="J46" s="143">
        <v>82</v>
      </c>
      <c r="K46" s="143">
        <v>31</v>
      </c>
      <c r="L46" s="143">
        <v>92</v>
      </c>
      <c r="M46" s="143">
        <v>2</v>
      </c>
      <c r="N46" s="143"/>
      <c r="O46" s="143"/>
      <c r="P46" s="143"/>
      <c r="Q46" s="143"/>
      <c r="R46" s="143">
        <v>80</v>
      </c>
      <c r="S46" s="143">
        <v>28</v>
      </c>
      <c r="T46" s="143">
        <v>90</v>
      </c>
      <c r="U46" s="143">
        <v>4</v>
      </c>
      <c r="V46" s="143">
        <v>77</v>
      </c>
      <c r="W46" s="143">
        <v>16</v>
      </c>
      <c r="X46" s="143">
        <v>87</v>
      </c>
      <c r="Y46" s="143">
        <v>5</v>
      </c>
      <c r="Z46" s="143">
        <v>77</v>
      </c>
      <c r="AA46" s="143">
        <v>17</v>
      </c>
      <c r="AB46" s="143">
        <v>87</v>
      </c>
      <c r="AC46" s="143">
        <v>6</v>
      </c>
      <c r="AD46" s="144">
        <f>IF(MIN(F46,J46,N46,R46,V46,Z46)&lt;&gt;0,MIN(F46,J46,N46,R46,V46,Z46),"")</f>
        <v>77</v>
      </c>
      <c r="AE46" s="144">
        <f>IF(MIN(H46,L46,P46,T46,X46,AB46)&lt;&gt;0,MIN(H46,L46,P46,T46,X46,AB46),"")</f>
        <v>87</v>
      </c>
      <c r="AF46" s="144"/>
      <c r="AG46" s="143"/>
      <c r="AH46" s="144"/>
      <c r="AI46" s="143"/>
      <c r="AJ46" s="142" t="str">
        <f>IF(AD46="","",IF(ISBLANK(AF46),"En cours",AD46+AF46))</f>
        <v>En cours</v>
      </c>
      <c r="AK46" s="142" t="str">
        <f>IF(AE46="","",IF(ISBLANK(AH46),"En cours",AE46+AH46))</f>
        <v>En cours</v>
      </c>
    </row>
    <row r="47" spans="2:37" ht="21" x14ac:dyDescent="0.35">
      <c r="B47" s="143" t="s">
        <v>190</v>
      </c>
      <c r="C47" s="143" t="s">
        <v>108</v>
      </c>
      <c r="D47" s="143">
        <v>18.2</v>
      </c>
      <c r="E47" s="143" t="s">
        <v>141</v>
      </c>
      <c r="F47" s="143">
        <v>79</v>
      </c>
      <c r="G47" s="143">
        <v>27</v>
      </c>
      <c r="H47" s="143">
        <v>97</v>
      </c>
      <c r="I47" s="143">
        <v>1</v>
      </c>
      <c r="J47" s="143">
        <v>74</v>
      </c>
      <c r="K47" s="143">
        <v>11</v>
      </c>
      <c r="L47" s="143">
        <v>92</v>
      </c>
      <c r="M47" s="143">
        <v>2</v>
      </c>
      <c r="N47" s="143">
        <v>72</v>
      </c>
      <c r="O47" s="143">
        <v>8</v>
      </c>
      <c r="P47" s="143">
        <v>90</v>
      </c>
      <c r="Q47" s="143">
        <v>3</v>
      </c>
      <c r="R47" s="143"/>
      <c r="S47" s="143"/>
      <c r="T47" s="143"/>
      <c r="U47" s="143"/>
      <c r="V47" s="143"/>
      <c r="W47" s="143"/>
      <c r="X47" s="143"/>
      <c r="Y47" s="143"/>
      <c r="Z47" s="143"/>
      <c r="AA47" s="143"/>
      <c r="AB47" s="143"/>
      <c r="AC47" s="143"/>
      <c r="AD47" s="144">
        <f>IF(MIN(F47,J47,N47,R47,V47,Z47)&lt;&gt;0,MIN(F47,J47,N47,R47,V47,Z47),"")</f>
        <v>72</v>
      </c>
      <c r="AE47" s="144">
        <f>IF(MIN(H47,L47,P47,T47,X47,AB47)&lt;&gt;0,MIN(H47,L47,P47,T47,X47,AB47),"")</f>
        <v>90</v>
      </c>
      <c r="AF47" s="144"/>
      <c r="AG47" s="143"/>
      <c r="AH47" s="144"/>
      <c r="AI47" s="143"/>
      <c r="AJ47" s="142" t="str">
        <f>IF(AD47="","",IF(ISBLANK(AF47),"En cours",AD47+AF47))</f>
        <v>En cours</v>
      </c>
      <c r="AK47" s="142" t="str">
        <f>IF(AE47="","",IF(ISBLANK(AH47),"En cours",AE47+AH47))</f>
        <v>En cours</v>
      </c>
    </row>
    <row r="48" spans="2:37" ht="21" x14ac:dyDescent="0.35">
      <c r="B48" s="143" t="s">
        <v>185</v>
      </c>
      <c r="C48" s="143" t="s">
        <v>108</v>
      </c>
      <c r="D48" s="143">
        <v>13.7</v>
      </c>
      <c r="E48" s="143" t="s">
        <v>141</v>
      </c>
      <c r="F48" s="143">
        <v>79</v>
      </c>
      <c r="G48" s="143">
        <v>28</v>
      </c>
      <c r="H48" s="143">
        <v>92</v>
      </c>
      <c r="I48" s="143">
        <v>1</v>
      </c>
      <c r="J48" s="143"/>
      <c r="K48" s="143"/>
      <c r="L48" s="143"/>
      <c r="M48" s="143"/>
      <c r="N48" s="143">
        <v>80</v>
      </c>
      <c r="O48" s="143">
        <v>26</v>
      </c>
      <c r="P48" s="143">
        <v>93</v>
      </c>
      <c r="Q48" s="143">
        <v>3</v>
      </c>
      <c r="R48" s="143">
        <v>66</v>
      </c>
      <c r="S48" s="143">
        <v>1</v>
      </c>
      <c r="T48" s="143">
        <v>79</v>
      </c>
      <c r="U48" s="143">
        <v>4</v>
      </c>
      <c r="V48" s="143"/>
      <c r="W48" s="143"/>
      <c r="X48" s="143"/>
      <c r="Y48" s="143"/>
      <c r="Z48" s="143"/>
      <c r="AA48" s="143"/>
      <c r="AB48" s="143"/>
      <c r="AC48" s="143"/>
      <c r="AD48" s="144">
        <f>IF(MIN(F48,J48,N48,R48,V48,Z48)&lt;&gt;0,MIN(F48,J48,N48,R48,V48,Z48),"")</f>
        <v>66</v>
      </c>
      <c r="AE48" s="144">
        <f>IF(MIN(H48,L48,P48,T48,X48,AB48)&lt;&gt;0,MIN(H48,L48,P48,T48,X48,AB48),"")</f>
        <v>79</v>
      </c>
      <c r="AF48" s="144"/>
      <c r="AG48" s="143"/>
      <c r="AH48" s="144"/>
      <c r="AI48" s="143"/>
      <c r="AJ48" s="142" t="str">
        <f>IF(AD48="","",IF(ISBLANK(AF48),"En cours",AD48+AF48))</f>
        <v>En cours</v>
      </c>
      <c r="AK48" s="142" t="str">
        <f>IF(AE48="","",IF(ISBLANK(AH48),"En cours",AE48+AH48))</f>
        <v>En cours</v>
      </c>
    </row>
    <row r="49" spans="2:37" ht="21" x14ac:dyDescent="0.35">
      <c r="B49" s="143" t="s">
        <v>182</v>
      </c>
      <c r="C49" s="143" t="s">
        <v>108</v>
      </c>
      <c r="D49" s="143">
        <v>13.1</v>
      </c>
      <c r="E49" s="143" t="s">
        <v>141</v>
      </c>
      <c r="F49" s="143">
        <v>80</v>
      </c>
      <c r="G49" s="143">
        <v>29</v>
      </c>
      <c r="H49" s="143">
        <v>92</v>
      </c>
      <c r="I49" s="143">
        <v>1</v>
      </c>
      <c r="J49" s="143"/>
      <c r="K49" s="143"/>
      <c r="L49" s="143"/>
      <c r="M49" s="143"/>
      <c r="N49" s="143">
        <v>77</v>
      </c>
      <c r="O49" s="143">
        <v>18</v>
      </c>
      <c r="P49" s="143">
        <v>89</v>
      </c>
      <c r="Q49" s="143">
        <v>3</v>
      </c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  <c r="AC49" s="143"/>
      <c r="AD49" s="144">
        <f>IF(MIN(F49,J49,N49,R49,V49,Z49)&lt;&gt;0,MIN(F49,J49,N49,R49,V49,Z49),"")</f>
        <v>77</v>
      </c>
      <c r="AE49" s="144">
        <f>IF(MIN(H49,L49,P49,T49,X49,AB49)&lt;&gt;0,MIN(H49,L49,P49,T49,X49,AB49),"")</f>
        <v>89</v>
      </c>
      <c r="AF49" s="144"/>
      <c r="AG49" s="143"/>
      <c r="AH49" s="144"/>
      <c r="AI49" s="143"/>
      <c r="AJ49" s="142" t="str">
        <f>IF(AD49="","",IF(ISBLANK(AF49),"En cours",AD49+AF49))</f>
        <v>En cours</v>
      </c>
      <c r="AK49" s="142" t="str">
        <f>IF(AE49="","",IF(ISBLANK(AH49),"En cours",AE49+AH49))</f>
        <v>En cours</v>
      </c>
    </row>
    <row r="50" spans="2:37" ht="21" x14ac:dyDescent="0.35">
      <c r="B50" s="143" t="s">
        <v>188</v>
      </c>
      <c r="C50" s="143" t="s">
        <v>108</v>
      </c>
      <c r="D50" s="143">
        <v>13.9</v>
      </c>
      <c r="E50" s="143" t="s">
        <v>141</v>
      </c>
      <c r="F50" s="143">
        <v>78</v>
      </c>
      <c r="G50" s="143">
        <v>22</v>
      </c>
      <c r="H50" s="143">
        <v>91</v>
      </c>
      <c r="I50" s="143">
        <v>1</v>
      </c>
      <c r="J50" s="143">
        <v>82</v>
      </c>
      <c r="K50" s="143">
        <v>30</v>
      </c>
      <c r="L50" s="143">
        <v>95</v>
      </c>
      <c r="M50" s="143">
        <v>2</v>
      </c>
      <c r="N50" s="143"/>
      <c r="O50" s="143"/>
      <c r="P50" s="143"/>
      <c r="Q50" s="143"/>
      <c r="R50" s="143">
        <v>70</v>
      </c>
      <c r="S50" s="143">
        <v>4</v>
      </c>
      <c r="T50" s="143">
        <v>83</v>
      </c>
      <c r="U50" s="143">
        <v>4</v>
      </c>
      <c r="V50" s="143">
        <v>78</v>
      </c>
      <c r="W50" s="143">
        <v>20</v>
      </c>
      <c r="X50" s="143">
        <v>91</v>
      </c>
      <c r="Y50" s="143">
        <v>5</v>
      </c>
      <c r="Z50" s="143">
        <v>78</v>
      </c>
      <c r="AA50" s="143">
        <v>22</v>
      </c>
      <c r="AB50" s="143">
        <v>91</v>
      </c>
      <c r="AC50" s="143">
        <v>6</v>
      </c>
      <c r="AD50" s="144">
        <f>IF(MIN(F50,J50,N50,R50,V50,Z50)&lt;&gt;0,MIN(F50,J50,N50,R50,V50,Z50),"")</f>
        <v>70</v>
      </c>
      <c r="AE50" s="144">
        <f>IF(MIN(H50,L50,P50,T50,X50,AB50)&lt;&gt;0,MIN(H50,L50,P50,T50,X50,AB50),"")</f>
        <v>83</v>
      </c>
      <c r="AF50" s="144"/>
      <c r="AG50" s="143"/>
      <c r="AH50" s="144"/>
      <c r="AI50" s="143"/>
      <c r="AJ50" s="142" t="str">
        <f>IF(AD50="","",IF(ISBLANK(AF50),"En cours",AD50+AF50))</f>
        <v>En cours</v>
      </c>
      <c r="AK50" s="142" t="str">
        <f>IF(AE50="","",IF(ISBLANK(AH50),"En cours",AE50+AH50))</f>
        <v>En cours</v>
      </c>
    </row>
    <row r="51" spans="2:37" ht="21" x14ac:dyDescent="0.35">
      <c r="B51" s="143" t="s">
        <v>191</v>
      </c>
      <c r="C51" s="143" t="s">
        <v>108</v>
      </c>
      <c r="D51" s="143">
        <v>17.100000000000001</v>
      </c>
      <c r="E51" s="143" t="s">
        <v>141</v>
      </c>
      <c r="F51" s="143">
        <v>74</v>
      </c>
      <c r="G51" s="143">
        <v>7</v>
      </c>
      <c r="H51" s="143">
        <v>90</v>
      </c>
      <c r="I51" s="143">
        <v>1</v>
      </c>
      <c r="J51" s="143">
        <v>83</v>
      </c>
      <c r="K51" s="143">
        <v>34</v>
      </c>
      <c r="L51" s="143">
        <v>99</v>
      </c>
      <c r="M51" s="143">
        <v>2</v>
      </c>
      <c r="N51" s="143">
        <v>82</v>
      </c>
      <c r="O51" s="143">
        <v>31</v>
      </c>
      <c r="P51" s="143">
        <v>98</v>
      </c>
      <c r="Q51" s="143">
        <v>3</v>
      </c>
      <c r="R51" s="143">
        <v>86</v>
      </c>
      <c r="S51" s="143">
        <v>37</v>
      </c>
      <c r="T51" s="143">
        <v>102</v>
      </c>
      <c r="U51" s="143">
        <v>4</v>
      </c>
      <c r="V51" s="143">
        <v>79</v>
      </c>
      <c r="W51" s="143">
        <v>22</v>
      </c>
      <c r="X51" s="143">
        <v>95</v>
      </c>
      <c r="Y51" s="143">
        <v>5</v>
      </c>
      <c r="Z51" s="143">
        <v>74</v>
      </c>
      <c r="AA51" s="143">
        <v>7</v>
      </c>
      <c r="AB51" s="143">
        <v>90</v>
      </c>
      <c r="AC51" s="143">
        <v>6</v>
      </c>
      <c r="AD51" s="144">
        <f>IF(MIN(F51,J51,N51,R51,V51,Z51)&lt;&gt;0,MIN(F51,J51,N51,R51,V51,Z51),"")</f>
        <v>74</v>
      </c>
      <c r="AE51" s="144">
        <f>IF(MIN(H51,L51,P51,T51,X51,AB51)&lt;&gt;0,MIN(H51,L51,P51,T51,X51,AB51),"")</f>
        <v>90</v>
      </c>
      <c r="AF51" s="144"/>
      <c r="AG51" s="143"/>
      <c r="AH51" s="144"/>
      <c r="AI51" s="143"/>
      <c r="AJ51" s="142" t="str">
        <f>IF(AD51="","",IF(ISBLANK(AF51),"En cours",AD51+AF51))</f>
        <v>En cours</v>
      </c>
      <c r="AK51" s="142" t="str">
        <f>IF(AE51="","",IF(ISBLANK(AH51),"En cours",AE51+AH51))</f>
        <v>En cours</v>
      </c>
    </row>
    <row r="52" spans="2:37" ht="21" x14ac:dyDescent="0.35">
      <c r="B52" s="143" t="s">
        <v>193</v>
      </c>
      <c r="C52" s="143" t="s">
        <v>108</v>
      </c>
      <c r="D52" s="143">
        <v>16.5</v>
      </c>
      <c r="E52" s="143" t="s">
        <v>141</v>
      </c>
      <c r="F52" s="143">
        <v>81</v>
      </c>
      <c r="G52" s="143">
        <v>25</v>
      </c>
      <c r="H52" s="143">
        <v>97</v>
      </c>
      <c r="I52" s="143">
        <v>1</v>
      </c>
      <c r="J52" s="143">
        <v>86</v>
      </c>
      <c r="K52" s="143">
        <v>35</v>
      </c>
      <c r="L52" s="143">
        <v>102</v>
      </c>
      <c r="M52" s="143">
        <v>2</v>
      </c>
      <c r="N52" s="143"/>
      <c r="O52" s="143"/>
      <c r="P52" s="143"/>
      <c r="Q52" s="143"/>
      <c r="R52" s="143">
        <v>77</v>
      </c>
      <c r="S52" s="143">
        <v>23</v>
      </c>
      <c r="T52" s="143">
        <v>93</v>
      </c>
      <c r="U52" s="143">
        <v>4</v>
      </c>
      <c r="V52" s="143">
        <v>87</v>
      </c>
      <c r="W52" s="143">
        <v>31</v>
      </c>
      <c r="X52" s="143">
        <v>103</v>
      </c>
      <c r="Y52" s="143">
        <v>5</v>
      </c>
      <c r="Z52" s="143">
        <v>81</v>
      </c>
      <c r="AA52" s="143">
        <v>25</v>
      </c>
      <c r="AB52" s="143">
        <v>97</v>
      </c>
      <c r="AC52" s="143">
        <v>6</v>
      </c>
      <c r="AD52" s="144">
        <f>IF(MIN(F52,J52,N52,R52,V52,Z52)&lt;&gt;0,MIN(F52,J52,N52,R52,V52,Z52),"")</f>
        <v>77</v>
      </c>
      <c r="AE52" s="144">
        <f>IF(MIN(H52,L52,P52,T52,X52,AB52)&lt;&gt;0,MIN(H52,L52,P52,T52,X52,AB52),"")</f>
        <v>93</v>
      </c>
      <c r="AF52" s="144"/>
      <c r="AG52" s="143"/>
      <c r="AH52" s="144"/>
      <c r="AI52" s="143"/>
      <c r="AJ52" s="142" t="str">
        <f>IF(AD52="","",IF(ISBLANK(AF52),"En cours",AD52+AF52))</f>
        <v>En cours</v>
      </c>
      <c r="AK52" s="142" t="str">
        <f>IF(AE52="","",IF(ISBLANK(AH52),"En cours",AE52+AH52))</f>
        <v>En cours</v>
      </c>
    </row>
    <row r="53" spans="2:37" ht="21" x14ac:dyDescent="0.35">
      <c r="B53" s="143" t="s">
        <v>195</v>
      </c>
      <c r="C53" s="143" t="s">
        <v>108</v>
      </c>
      <c r="D53" s="143">
        <v>18.3</v>
      </c>
      <c r="E53" s="143" t="s">
        <v>141</v>
      </c>
      <c r="F53" s="143">
        <v>85</v>
      </c>
      <c r="G53" s="143">
        <v>33</v>
      </c>
      <c r="H53" s="143">
        <v>103</v>
      </c>
      <c r="I53" s="143">
        <v>1</v>
      </c>
      <c r="J53" s="143">
        <v>73</v>
      </c>
      <c r="K53" s="143">
        <v>10</v>
      </c>
      <c r="L53" s="143">
        <v>91</v>
      </c>
      <c r="M53" s="143">
        <v>2</v>
      </c>
      <c r="N53" s="143"/>
      <c r="O53" s="143"/>
      <c r="P53" s="143"/>
      <c r="Q53" s="143"/>
      <c r="R53" s="143">
        <v>86</v>
      </c>
      <c r="S53" s="143">
        <v>36</v>
      </c>
      <c r="T53" s="143">
        <v>104</v>
      </c>
      <c r="U53" s="143">
        <v>4</v>
      </c>
      <c r="V53" s="143"/>
      <c r="W53" s="143"/>
      <c r="X53" s="143"/>
      <c r="Y53" s="143"/>
      <c r="Z53" s="143"/>
      <c r="AA53" s="143"/>
      <c r="AB53" s="143"/>
      <c r="AC53" s="143"/>
      <c r="AD53" s="144">
        <f>IF(MIN(F53,J53,N53,R53,V53,Z53)&lt;&gt;0,MIN(F53,J53,N53,R53,V53,Z53),"")</f>
        <v>73</v>
      </c>
      <c r="AE53" s="144">
        <f>IF(MIN(H53,L53,P53,T53,X53,AB53)&lt;&gt;0,MIN(H53,L53,P53,T53,X53,AB53),"")</f>
        <v>91</v>
      </c>
      <c r="AF53" s="144"/>
      <c r="AG53" s="143"/>
      <c r="AH53" s="144"/>
      <c r="AI53" s="143"/>
      <c r="AJ53" s="142" t="str">
        <f>IF(AD53="","",IF(ISBLANK(AF53),"En cours",AD53+AF53))</f>
        <v>En cours</v>
      </c>
      <c r="AK53" s="142" t="str">
        <f>IF(AE53="","",IF(ISBLANK(AH53),"En cours",AE53+AH53))</f>
        <v>En cours</v>
      </c>
    </row>
    <row r="54" spans="2:37" ht="21" x14ac:dyDescent="0.35">
      <c r="B54" s="143" t="s">
        <v>192</v>
      </c>
      <c r="C54" s="143" t="s">
        <v>108</v>
      </c>
      <c r="D54" s="143">
        <v>14.8</v>
      </c>
      <c r="E54" s="143" t="s">
        <v>141</v>
      </c>
      <c r="F54" s="143">
        <v>78</v>
      </c>
      <c r="G54" s="143">
        <v>21</v>
      </c>
      <c r="H54" s="143">
        <v>92</v>
      </c>
      <c r="I54" s="143">
        <v>1</v>
      </c>
      <c r="J54" s="143">
        <v>82</v>
      </c>
      <c r="K54" s="143">
        <v>29</v>
      </c>
      <c r="L54" s="143">
        <v>96</v>
      </c>
      <c r="M54" s="143">
        <v>2</v>
      </c>
      <c r="N54" s="143">
        <v>81</v>
      </c>
      <c r="O54" s="143">
        <v>29</v>
      </c>
      <c r="P54" s="143">
        <v>95</v>
      </c>
      <c r="Q54" s="143">
        <v>3</v>
      </c>
      <c r="R54" s="143">
        <v>77</v>
      </c>
      <c r="S54" s="143">
        <v>20</v>
      </c>
      <c r="T54" s="143">
        <v>91</v>
      </c>
      <c r="U54" s="143">
        <v>4</v>
      </c>
      <c r="V54" s="143">
        <v>81</v>
      </c>
      <c r="W54" s="143">
        <v>27</v>
      </c>
      <c r="X54" s="143">
        <v>95</v>
      </c>
      <c r="Y54" s="143">
        <v>5</v>
      </c>
      <c r="Z54" s="143">
        <v>78</v>
      </c>
      <c r="AA54" s="143">
        <v>21</v>
      </c>
      <c r="AB54" s="143">
        <v>92</v>
      </c>
      <c r="AC54" s="143">
        <v>6</v>
      </c>
      <c r="AD54" s="144">
        <f>IF(MIN(F54,J54,N54,R54,V54,Z54)&lt;&gt;0,MIN(F54,J54,N54,R54,V54,Z54),"")</f>
        <v>77</v>
      </c>
      <c r="AE54" s="144">
        <f>IF(MIN(H54,L54,P54,T54,X54,AB54)&lt;&gt;0,MIN(H54,L54,P54,T54,X54,AB54),"")</f>
        <v>91</v>
      </c>
      <c r="AF54" s="144"/>
      <c r="AG54" s="143"/>
      <c r="AH54" s="144"/>
      <c r="AI54" s="143"/>
      <c r="AJ54" s="142" t="str">
        <f>IF(AD54="","",IF(ISBLANK(AF54),"En cours",AD54+AF54))</f>
        <v>En cours</v>
      </c>
      <c r="AK54" s="142" t="str">
        <f>IF(AE54="","",IF(ISBLANK(AH54),"En cours",AE54+AH54))</f>
        <v>En cours</v>
      </c>
    </row>
    <row r="55" spans="2:37" ht="21" x14ac:dyDescent="0.35">
      <c r="B55" s="143" t="s">
        <v>194</v>
      </c>
      <c r="C55" s="143" t="s">
        <v>108</v>
      </c>
      <c r="D55" s="143">
        <v>14.3</v>
      </c>
      <c r="E55" s="143" t="s">
        <v>141</v>
      </c>
      <c r="F55" s="143">
        <v>89</v>
      </c>
      <c r="G55" s="143">
        <v>35</v>
      </c>
      <c r="H55" s="143">
        <v>102</v>
      </c>
      <c r="I55" s="143">
        <v>1</v>
      </c>
      <c r="J55" s="143"/>
      <c r="K55" s="143"/>
      <c r="L55" s="143"/>
      <c r="M55" s="143"/>
      <c r="N55" s="143"/>
      <c r="O55" s="143"/>
      <c r="P55" s="143"/>
      <c r="Q55" s="143"/>
      <c r="R55" s="143"/>
      <c r="S55" s="143"/>
      <c r="T55" s="143"/>
      <c r="U55" s="143"/>
      <c r="V55" s="143"/>
      <c r="W55" s="143"/>
      <c r="X55" s="143"/>
      <c r="Y55" s="143"/>
      <c r="Z55" s="143"/>
      <c r="AA55" s="143"/>
      <c r="AB55" s="143"/>
      <c r="AC55" s="143"/>
      <c r="AD55" s="144">
        <f>IF(MIN(F55,J55,N55,R55,V55,Z55)&lt;&gt;0,MIN(F55,J55,N55,R55,V55,Z55),"")</f>
        <v>89</v>
      </c>
      <c r="AE55" s="144">
        <f>IF(MIN(H55,L55,P55,T55,X55,AB55)&lt;&gt;0,MIN(H55,L55,P55,T55,X55,AB55),"")</f>
        <v>102</v>
      </c>
      <c r="AF55" s="144"/>
      <c r="AG55" s="143"/>
      <c r="AH55" s="144"/>
      <c r="AI55" s="143"/>
      <c r="AJ55" s="142" t="str">
        <f>IF(AD55="","",IF(ISBLANK(AF55),"En cours",AD55+AF55))</f>
        <v>En cours</v>
      </c>
      <c r="AK55" s="142" t="str">
        <f>IF(AE55="","",IF(ISBLANK(AH55),"En cours",AE55+AH55))</f>
        <v>En cours</v>
      </c>
    </row>
    <row r="56" spans="2:37" ht="21" x14ac:dyDescent="0.35">
      <c r="B56" s="143" t="s">
        <v>200</v>
      </c>
      <c r="C56" s="143" t="s">
        <v>108</v>
      </c>
      <c r="D56" s="143">
        <v>28.6</v>
      </c>
      <c r="E56" s="143" t="s">
        <v>141</v>
      </c>
      <c r="F56" s="143">
        <v>66</v>
      </c>
      <c r="G56" s="143">
        <v>1</v>
      </c>
      <c r="H56" s="143">
        <v>88</v>
      </c>
      <c r="I56" s="143">
        <v>1</v>
      </c>
      <c r="J56" s="143"/>
      <c r="K56" s="143"/>
      <c r="L56" s="143"/>
      <c r="M56" s="143"/>
      <c r="N56" s="143">
        <v>72</v>
      </c>
      <c r="O56" s="143">
        <v>9</v>
      </c>
      <c r="P56" s="143">
        <v>94</v>
      </c>
      <c r="Q56" s="143">
        <v>3</v>
      </c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  <c r="AC56" s="143"/>
      <c r="AD56" s="144">
        <f>IF(MIN(F56,J56,N56,R56,V56,Z56)&lt;&gt;0,MIN(F56,J56,N56,R56,V56,Z56),"")</f>
        <v>66</v>
      </c>
      <c r="AE56" s="144">
        <f>IF(MIN(H56,L56,P56,T56,X56,AB56)&lt;&gt;0,MIN(H56,L56,P56,T56,X56,AB56),"")</f>
        <v>88</v>
      </c>
      <c r="AF56" s="144"/>
      <c r="AG56" s="143"/>
      <c r="AH56" s="144"/>
      <c r="AI56" s="143"/>
      <c r="AJ56" s="142" t="str">
        <f>IF(AD56="","",IF(ISBLANK(AF56),"En cours",AD56+AF56))</f>
        <v>En cours</v>
      </c>
      <c r="AK56" s="142" t="str">
        <f>IF(AE56="","",IF(ISBLANK(AH56),"En cours",AE56+AH56))</f>
        <v>En cours</v>
      </c>
    </row>
    <row r="57" spans="2:37" ht="21" x14ac:dyDescent="0.35">
      <c r="B57" s="143" t="s">
        <v>196</v>
      </c>
      <c r="C57" s="143" t="s">
        <v>108</v>
      </c>
      <c r="D57" s="143">
        <v>20.2</v>
      </c>
      <c r="E57" s="143" t="s">
        <v>141</v>
      </c>
      <c r="F57" s="143">
        <v>70</v>
      </c>
      <c r="G57" s="143">
        <v>3</v>
      </c>
      <c r="H57" s="143">
        <v>87</v>
      </c>
      <c r="I57" s="143">
        <v>1</v>
      </c>
      <c r="J57" s="143"/>
      <c r="K57" s="143"/>
      <c r="L57" s="143"/>
      <c r="M57" s="143"/>
      <c r="N57" s="143"/>
      <c r="O57" s="143"/>
      <c r="P57" s="143"/>
      <c r="Q57" s="143"/>
      <c r="R57" s="143">
        <v>78</v>
      </c>
      <c r="S57" s="143">
        <v>23</v>
      </c>
      <c r="T57" s="143">
        <v>95</v>
      </c>
      <c r="U57" s="143">
        <v>4</v>
      </c>
      <c r="V57" s="143"/>
      <c r="W57" s="143"/>
      <c r="X57" s="143"/>
      <c r="Y57" s="143"/>
      <c r="Z57" s="143">
        <v>70</v>
      </c>
      <c r="AA57" s="143">
        <v>3</v>
      </c>
      <c r="AB57" s="143">
        <v>87</v>
      </c>
      <c r="AC57" s="143">
        <v>6</v>
      </c>
      <c r="AD57" s="144">
        <f>IF(MIN(F57,J57,N57,R57,V57,Z57)&lt;&gt;0,MIN(F57,J57,N57,R57,V57,Z57),"")</f>
        <v>70</v>
      </c>
      <c r="AE57" s="144">
        <f>IF(MIN(H57,L57,P57,T57,X57,AB57)&lt;&gt;0,MIN(H57,L57,P57,T57,X57,AB57),"")</f>
        <v>87</v>
      </c>
      <c r="AF57" s="144"/>
      <c r="AG57" s="143"/>
      <c r="AH57" s="144"/>
      <c r="AI57" s="143"/>
      <c r="AJ57" s="142" t="str">
        <f>IF(AD57="","",IF(ISBLANK(AF57),"En cours",AD57+AF57))</f>
        <v>En cours</v>
      </c>
      <c r="AK57" s="142" t="str">
        <f>IF(AE57="","",IF(ISBLANK(AH57),"En cours",AE57+AH57))</f>
        <v>En cours</v>
      </c>
    </row>
    <row r="58" spans="2:37" ht="21" x14ac:dyDescent="0.35">
      <c r="B58" s="143" t="s">
        <v>197</v>
      </c>
      <c r="C58" s="143" t="s">
        <v>108</v>
      </c>
      <c r="D58" s="143">
        <v>23.9</v>
      </c>
      <c r="E58" s="143" t="s">
        <v>141</v>
      </c>
      <c r="F58" s="143">
        <v>66</v>
      </c>
      <c r="G58" s="143">
        <v>3</v>
      </c>
      <c r="H58" s="143">
        <v>86</v>
      </c>
      <c r="I58" s="143">
        <v>1</v>
      </c>
      <c r="J58" s="143"/>
      <c r="K58" s="143"/>
      <c r="L58" s="143"/>
      <c r="M58" s="143"/>
      <c r="N58" s="143">
        <v>75</v>
      </c>
      <c r="O58" s="143">
        <v>17</v>
      </c>
      <c r="P58" s="143">
        <v>95</v>
      </c>
      <c r="Q58" s="143">
        <v>3</v>
      </c>
      <c r="R58" s="143"/>
      <c r="S58" s="143"/>
      <c r="T58" s="143"/>
      <c r="U58" s="143"/>
      <c r="V58" s="143"/>
      <c r="W58" s="143"/>
      <c r="X58" s="143"/>
      <c r="Y58" s="143"/>
      <c r="Z58" s="143"/>
      <c r="AA58" s="143"/>
      <c r="AB58" s="143"/>
      <c r="AC58" s="143"/>
      <c r="AD58" s="144">
        <f>IF(MIN(F58,J58,N58,R58,V58,Z58)&lt;&gt;0,MIN(F58,J58,N58,R58,V58,Z58),"")</f>
        <v>66</v>
      </c>
      <c r="AE58" s="144">
        <f>IF(MIN(H58,L58,P58,T58,X58,AB58)&lt;&gt;0,MIN(H58,L58,P58,T58,X58,AB58),"")</f>
        <v>86</v>
      </c>
      <c r="AF58" s="144"/>
      <c r="AG58" s="143"/>
      <c r="AH58" s="144"/>
      <c r="AI58" s="143"/>
      <c r="AJ58" s="142" t="str">
        <f>IF(AD58="","",IF(ISBLANK(AF58),"En cours",AD58+AF58))</f>
        <v>En cours</v>
      </c>
      <c r="AK58" s="142" t="str">
        <f>IF(AE58="","",IF(ISBLANK(AH58),"En cours",AE58+AH58))</f>
        <v>En cours</v>
      </c>
    </row>
    <row r="59" spans="2:37" ht="21" x14ac:dyDescent="0.35">
      <c r="B59" s="143" t="s">
        <v>202</v>
      </c>
      <c r="C59" s="143" t="s">
        <v>108</v>
      </c>
      <c r="D59" s="143">
        <v>25.1</v>
      </c>
      <c r="E59" s="143" t="s">
        <v>141</v>
      </c>
      <c r="F59" s="143">
        <v>79</v>
      </c>
      <c r="G59" s="143">
        <v>17</v>
      </c>
      <c r="H59" s="143">
        <v>101</v>
      </c>
      <c r="I59" s="143">
        <v>1</v>
      </c>
      <c r="J59" s="143">
        <v>70</v>
      </c>
      <c r="K59" s="143">
        <v>4</v>
      </c>
      <c r="L59" s="143">
        <v>92</v>
      </c>
      <c r="M59" s="143">
        <v>2</v>
      </c>
      <c r="N59" s="143">
        <v>75</v>
      </c>
      <c r="O59" s="143">
        <v>18</v>
      </c>
      <c r="P59" s="143">
        <v>97</v>
      </c>
      <c r="Q59" s="143">
        <v>3</v>
      </c>
      <c r="R59" s="143">
        <v>77</v>
      </c>
      <c r="S59" s="143">
        <v>19</v>
      </c>
      <c r="T59" s="143">
        <v>99</v>
      </c>
      <c r="U59" s="143">
        <v>4</v>
      </c>
      <c r="V59" s="143">
        <v>75</v>
      </c>
      <c r="W59" s="143">
        <v>11</v>
      </c>
      <c r="X59" s="143">
        <v>97</v>
      </c>
      <c r="Y59" s="143">
        <v>5</v>
      </c>
      <c r="Z59" s="143">
        <v>79</v>
      </c>
      <c r="AA59" s="143">
        <v>17</v>
      </c>
      <c r="AB59" s="143">
        <v>101</v>
      </c>
      <c r="AC59" s="143">
        <v>6</v>
      </c>
      <c r="AD59" s="144">
        <f>IF(MIN(F59,J59,N59,R59,V59,Z59)&lt;&gt;0,MIN(F59,J59,N59,R59,V59,Z59),"")</f>
        <v>70</v>
      </c>
      <c r="AE59" s="144">
        <f>IF(MIN(H59,L59,P59,T59,X59,AB59)&lt;&gt;0,MIN(H59,L59,P59,T59,X59,AB59),"")</f>
        <v>92</v>
      </c>
      <c r="AF59" s="144"/>
      <c r="AG59" s="143"/>
      <c r="AH59" s="144"/>
      <c r="AI59" s="143"/>
      <c r="AJ59" s="142" t="str">
        <f>IF(AD59="","",IF(ISBLANK(AF59),"En cours",AD59+AF59))</f>
        <v>En cours</v>
      </c>
      <c r="AK59" s="142" t="str">
        <f>IF(AE59="","",IF(ISBLANK(AH59),"En cours",AE59+AH59))</f>
        <v>En cours</v>
      </c>
    </row>
    <row r="60" spans="2:37" ht="21" x14ac:dyDescent="0.35">
      <c r="B60" s="143" t="s">
        <v>199</v>
      </c>
      <c r="C60" s="143" t="s">
        <v>108</v>
      </c>
      <c r="D60" s="143">
        <v>22.7</v>
      </c>
      <c r="E60" s="143" t="s">
        <v>141</v>
      </c>
      <c r="F60" s="143">
        <v>68</v>
      </c>
      <c r="G60" s="143">
        <v>5</v>
      </c>
      <c r="H60" s="143">
        <v>87</v>
      </c>
      <c r="I60" s="143">
        <v>1</v>
      </c>
      <c r="J60" s="143">
        <v>79</v>
      </c>
      <c r="K60" s="143">
        <v>27</v>
      </c>
      <c r="L60" s="143">
        <v>98</v>
      </c>
      <c r="M60" s="143">
        <v>2</v>
      </c>
      <c r="N60" s="143">
        <v>76</v>
      </c>
      <c r="O60" s="143">
        <v>21</v>
      </c>
      <c r="P60" s="143">
        <v>95</v>
      </c>
      <c r="Q60" s="143">
        <v>3</v>
      </c>
      <c r="R60" s="143"/>
      <c r="S60" s="143"/>
      <c r="T60" s="143"/>
      <c r="U60" s="143"/>
      <c r="V60" s="143"/>
      <c r="W60" s="143"/>
      <c r="X60" s="143"/>
      <c r="Y60" s="143"/>
      <c r="Z60" s="143"/>
      <c r="AA60" s="143"/>
      <c r="AB60" s="143"/>
      <c r="AC60" s="143"/>
      <c r="AD60" s="144">
        <f>IF(MIN(F60,J60,N60,R60,V60,Z60)&lt;&gt;0,MIN(F60,J60,N60,R60,V60,Z60),"")</f>
        <v>68</v>
      </c>
      <c r="AE60" s="144">
        <f>IF(MIN(H60,L60,P60,T60,X60,AB60)&lt;&gt;0,MIN(H60,L60,P60,T60,X60,AB60),"")</f>
        <v>87</v>
      </c>
      <c r="AF60" s="144"/>
      <c r="AG60" s="143"/>
      <c r="AH60" s="144"/>
      <c r="AI60" s="143"/>
      <c r="AJ60" s="142" t="str">
        <f>IF(AD60="","",IF(ISBLANK(AF60),"En cours",AD60+AF60))</f>
        <v>En cours</v>
      </c>
      <c r="AK60" s="142" t="str">
        <f>IF(AE60="","",IF(ISBLANK(AH60),"En cours",AE60+AH60))</f>
        <v>En cours</v>
      </c>
    </row>
    <row r="61" spans="2:37" ht="21" x14ac:dyDescent="0.35">
      <c r="B61" s="143" t="s">
        <v>208</v>
      </c>
      <c r="C61" s="143" t="s">
        <v>108</v>
      </c>
      <c r="D61" s="143">
        <v>25.9</v>
      </c>
      <c r="E61" s="143" t="s">
        <v>141</v>
      </c>
      <c r="F61" s="143">
        <v>68</v>
      </c>
      <c r="G61" s="143">
        <v>6</v>
      </c>
      <c r="H61" s="143">
        <v>91</v>
      </c>
      <c r="I61" s="143">
        <v>1</v>
      </c>
      <c r="J61" s="143"/>
      <c r="K61" s="143"/>
      <c r="L61" s="143"/>
      <c r="M61" s="143"/>
      <c r="N61" s="143">
        <v>85</v>
      </c>
      <c r="O61" s="143">
        <v>31</v>
      </c>
      <c r="P61" s="143">
        <v>108</v>
      </c>
      <c r="Q61" s="143">
        <v>3</v>
      </c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  <c r="AC61" s="143"/>
      <c r="AD61" s="144">
        <f>IF(MIN(F61,J61,N61,R61,V61,Z61)&lt;&gt;0,MIN(F61,J61,N61,R61,V61,Z61),"")</f>
        <v>68</v>
      </c>
      <c r="AE61" s="144">
        <f>IF(MIN(H61,L61,P61,T61,X61,AB61)&lt;&gt;0,MIN(H61,L61,P61,T61,X61,AB61),"")</f>
        <v>91</v>
      </c>
      <c r="AF61" s="144"/>
      <c r="AG61" s="143"/>
      <c r="AH61" s="144"/>
      <c r="AI61" s="143"/>
      <c r="AJ61" s="142" t="str">
        <f>IF(AD61="","",IF(ISBLANK(AF61),"En cours",AD61+AF61))</f>
        <v>En cours</v>
      </c>
      <c r="AK61" s="142" t="str">
        <f>IF(AE61="","",IF(ISBLANK(AH61),"En cours",AE61+AH61))</f>
        <v>En cours</v>
      </c>
    </row>
    <row r="62" spans="2:37" ht="21" x14ac:dyDescent="0.35">
      <c r="B62" s="143" t="s">
        <v>205</v>
      </c>
      <c r="C62" s="143" t="s">
        <v>108</v>
      </c>
      <c r="D62" s="143">
        <v>27.2</v>
      </c>
      <c r="E62" s="143" t="s">
        <v>141</v>
      </c>
      <c r="F62" s="143">
        <v>69</v>
      </c>
      <c r="G62" s="143">
        <v>7</v>
      </c>
      <c r="H62" s="143">
        <v>90</v>
      </c>
      <c r="I62" s="143">
        <v>1</v>
      </c>
      <c r="J62" s="143"/>
      <c r="K62" s="143"/>
      <c r="L62" s="143"/>
      <c r="M62" s="143"/>
      <c r="N62" s="143">
        <v>73</v>
      </c>
      <c r="O62" s="143">
        <v>12</v>
      </c>
      <c r="P62" s="143">
        <v>94</v>
      </c>
      <c r="Q62" s="143">
        <v>3</v>
      </c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  <c r="AC62" s="143"/>
      <c r="AD62" s="144">
        <f>IF(MIN(F62,J62,N62,R62,V62,Z62)&lt;&gt;0,MIN(F62,J62,N62,R62,V62,Z62),"")</f>
        <v>69</v>
      </c>
      <c r="AE62" s="144">
        <f>IF(MIN(H62,L62,P62,T62,X62,AB62)&lt;&gt;0,MIN(H62,L62,P62,T62,X62,AB62),"")</f>
        <v>90</v>
      </c>
      <c r="AF62" s="144"/>
      <c r="AG62" s="143"/>
      <c r="AH62" s="144"/>
      <c r="AI62" s="143"/>
      <c r="AJ62" s="142" t="str">
        <f>IF(AD62="","",IF(ISBLANK(AF62),"En cours",AD62+AF62))</f>
        <v>En cours</v>
      </c>
      <c r="AK62" s="142" t="str">
        <f>IF(AE62="","",IF(ISBLANK(AH62),"En cours",AE62+AH62))</f>
        <v>En cours</v>
      </c>
    </row>
    <row r="63" spans="2:37" ht="21" x14ac:dyDescent="0.35">
      <c r="B63" s="143" t="s">
        <v>211</v>
      </c>
      <c r="C63" s="143" t="s">
        <v>108</v>
      </c>
      <c r="D63" s="143">
        <v>32</v>
      </c>
      <c r="E63" s="143" t="s">
        <v>141</v>
      </c>
      <c r="F63" s="143">
        <v>70</v>
      </c>
      <c r="G63" s="143">
        <v>8</v>
      </c>
      <c r="H63" s="143">
        <v>96</v>
      </c>
      <c r="I63" s="143">
        <v>1</v>
      </c>
      <c r="J63" s="143"/>
      <c r="K63" s="143"/>
      <c r="L63" s="143"/>
      <c r="M63" s="143"/>
      <c r="N63" s="143">
        <v>60</v>
      </c>
      <c r="O63" s="143">
        <v>1</v>
      </c>
      <c r="P63" s="143">
        <v>86</v>
      </c>
      <c r="Q63" s="143">
        <v>3</v>
      </c>
      <c r="R63" s="143"/>
      <c r="S63" s="143"/>
      <c r="T63" s="143"/>
      <c r="U63" s="143"/>
      <c r="V63" s="143"/>
      <c r="W63" s="143"/>
      <c r="X63" s="143"/>
      <c r="Y63" s="143"/>
      <c r="Z63" s="143"/>
      <c r="AA63" s="143"/>
      <c r="AB63" s="143"/>
      <c r="AC63" s="143"/>
      <c r="AD63" s="144">
        <f>IF(MIN(F63,J63,N63,R63,V63,Z63)&lt;&gt;0,MIN(F63,J63,N63,R63,V63,Z63),"")</f>
        <v>60</v>
      </c>
      <c r="AE63" s="144">
        <f>IF(MIN(H63,L63,P63,T63,X63,AB63)&lt;&gt;0,MIN(H63,L63,P63,T63,X63,AB63),"")</f>
        <v>86</v>
      </c>
      <c r="AF63" s="144"/>
      <c r="AG63" s="143"/>
      <c r="AH63" s="144"/>
      <c r="AI63" s="143"/>
      <c r="AJ63" s="142" t="str">
        <f>IF(AD63="","",IF(ISBLANK(AF63),"En cours",AD63+AF63))</f>
        <v>En cours</v>
      </c>
      <c r="AK63" s="142" t="str">
        <f>IF(AE63="","",IF(ISBLANK(AH63),"En cours",AE63+AH63))</f>
        <v>En cours</v>
      </c>
    </row>
    <row r="64" spans="2:37" ht="21" x14ac:dyDescent="0.35">
      <c r="B64" s="143" t="s">
        <v>206</v>
      </c>
      <c r="C64" s="143" t="s">
        <v>108</v>
      </c>
      <c r="D64" s="143">
        <v>23.1</v>
      </c>
      <c r="E64" s="143" t="s">
        <v>141</v>
      </c>
      <c r="F64" s="143">
        <v>80</v>
      </c>
      <c r="G64" s="143">
        <v>19</v>
      </c>
      <c r="H64" s="143">
        <v>100</v>
      </c>
      <c r="I64" s="143">
        <v>1</v>
      </c>
      <c r="J64" s="143"/>
      <c r="K64" s="143"/>
      <c r="L64" s="143"/>
      <c r="M64" s="143"/>
      <c r="N64" s="143">
        <v>77</v>
      </c>
      <c r="O64" s="143">
        <v>25</v>
      </c>
      <c r="P64" s="143">
        <v>97</v>
      </c>
      <c r="Q64" s="143">
        <v>3</v>
      </c>
      <c r="R64" s="143">
        <v>74</v>
      </c>
      <c r="S64" s="143">
        <v>13</v>
      </c>
      <c r="T64" s="143">
        <v>94</v>
      </c>
      <c r="U64" s="143">
        <v>4</v>
      </c>
      <c r="V64" s="143">
        <v>79</v>
      </c>
      <c r="W64" s="143">
        <v>17</v>
      </c>
      <c r="X64" s="143">
        <v>99</v>
      </c>
      <c r="Y64" s="143">
        <v>5</v>
      </c>
      <c r="Z64" s="143">
        <v>80</v>
      </c>
      <c r="AA64" s="143">
        <v>19</v>
      </c>
      <c r="AB64" s="143">
        <v>100</v>
      </c>
      <c r="AC64" s="143">
        <v>6</v>
      </c>
      <c r="AD64" s="144">
        <f>IF(MIN(F64,J64,N64,R64,V64,Z64)&lt;&gt;0,MIN(F64,J64,N64,R64,V64,Z64),"")</f>
        <v>74</v>
      </c>
      <c r="AE64" s="144">
        <f>IF(MIN(H64,L64,P64,T64,X64,AB64)&lt;&gt;0,MIN(H64,L64,P64,T64,X64,AB64),"")</f>
        <v>94</v>
      </c>
      <c r="AF64" s="144"/>
      <c r="AG64" s="143"/>
      <c r="AH64" s="144"/>
      <c r="AI64" s="143"/>
      <c r="AJ64" s="142" t="str">
        <f>IF(AD64="","",IF(ISBLANK(AF64),"En cours",AD64+AF64))</f>
        <v>En cours</v>
      </c>
      <c r="AK64" s="142" t="str">
        <f>IF(AE64="","",IF(ISBLANK(AH64),"En cours",AE64+AH64))</f>
        <v>En cours</v>
      </c>
    </row>
    <row r="65" spans="2:37" ht="21" x14ac:dyDescent="0.35">
      <c r="B65" s="143" t="s">
        <v>204</v>
      </c>
      <c r="C65" s="143" t="s">
        <v>108</v>
      </c>
      <c r="D65" s="143">
        <v>21.5</v>
      </c>
      <c r="E65" s="143" t="s">
        <v>141</v>
      </c>
      <c r="F65" s="143">
        <v>72</v>
      </c>
      <c r="G65" s="143">
        <v>10</v>
      </c>
      <c r="H65" s="143">
        <v>90</v>
      </c>
      <c r="I65" s="143">
        <v>1</v>
      </c>
      <c r="J65" s="143">
        <v>74</v>
      </c>
      <c r="K65" s="143">
        <v>12</v>
      </c>
      <c r="L65" s="143">
        <v>92</v>
      </c>
      <c r="M65" s="143">
        <v>2</v>
      </c>
      <c r="N65" s="143">
        <v>73</v>
      </c>
      <c r="O65" s="143">
        <v>11</v>
      </c>
      <c r="P65" s="143">
        <v>91</v>
      </c>
      <c r="Q65" s="143">
        <v>3</v>
      </c>
      <c r="R65" s="143"/>
      <c r="S65" s="143"/>
      <c r="T65" s="143"/>
      <c r="U65" s="143"/>
      <c r="V65" s="143"/>
      <c r="W65" s="143"/>
      <c r="X65" s="143"/>
      <c r="Y65" s="143"/>
      <c r="Z65" s="143"/>
      <c r="AA65" s="143"/>
      <c r="AB65" s="143"/>
      <c r="AC65" s="143"/>
      <c r="AD65" s="144">
        <f>IF(MIN(F65,J65,N65,R65,V65,Z65)&lt;&gt;0,MIN(F65,J65,N65,R65,V65,Z65),"")</f>
        <v>72</v>
      </c>
      <c r="AE65" s="144">
        <f>IF(MIN(H65,L65,P65,T65,X65,AB65)&lt;&gt;0,MIN(H65,L65,P65,T65,X65,AB65),"")</f>
        <v>90</v>
      </c>
      <c r="AF65" s="144"/>
      <c r="AG65" s="143"/>
      <c r="AH65" s="144"/>
      <c r="AI65" s="143"/>
      <c r="AJ65" s="142" t="str">
        <f>IF(AD65="","",IF(ISBLANK(AF65),"En cours",AD65+AF65))</f>
        <v>En cours</v>
      </c>
      <c r="AK65" s="142" t="str">
        <f>IF(AE65="","",IF(ISBLANK(AH65),"En cours",AE65+AH65))</f>
        <v>En cours</v>
      </c>
    </row>
    <row r="66" spans="2:37" ht="21" x14ac:dyDescent="0.35">
      <c r="B66" s="143" t="s">
        <v>198</v>
      </c>
      <c r="C66" s="143" t="s">
        <v>108</v>
      </c>
      <c r="D66" s="143">
        <v>18.8</v>
      </c>
      <c r="E66" s="143" t="s">
        <v>141</v>
      </c>
      <c r="F66" s="143">
        <v>72</v>
      </c>
      <c r="G66" s="143">
        <v>11</v>
      </c>
      <c r="H66" s="143">
        <v>87</v>
      </c>
      <c r="I66" s="143">
        <v>1</v>
      </c>
      <c r="J66" s="143">
        <v>78</v>
      </c>
      <c r="K66" s="143">
        <v>24</v>
      </c>
      <c r="L66" s="143">
        <v>93</v>
      </c>
      <c r="M66" s="143">
        <v>2</v>
      </c>
      <c r="N66" s="143">
        <v>67</v>
      </c>
      <c r="O66" s="143">
        <v>2</v>
      </c>
      <c r="P66" s="143">
        <v>82</v>
      </c>
      <c r="Q66" s="143">
        <v>3</v>
      </c>
      <c r="R66" s="143"/>
      <c r="S66" s="143"/>
      <c r="T66" s="143"/>
      <c r="U66" s="143"/>
      <c r="V66" s="143">
        <v>74</v>
      </c>
      <c r="W66" s="143">
        <v>9</v>
      </c>
      <c r="X66" s="143">
        <v>89</v>
      </c>
      <c r="Y66" s="143">
        <v>5</v>
      </c>
      <c r="Z66" s="143"/>
      <c r="AA66" s="143"/>
      <c r="AB66" s="143"/>
      <c r="AC66" s="143"/>
      <c r="AD66" s="144">
        <f>IF(MIN(F66,J66,N66,R66,V66,Z66)&lt;&gt;0,MIN(F66,J66,N66,R66,V66,Z66),"")</f>
        <v>67</v>
      </c>
      <c r="AE66" s="144">
        <f>IF(MIN(H66,L66,P66,T66,X66,AB66)&lt;&gt;0,MIN(H66,L66,P66,T66,X66,AB66),"")</f>
        <v>82</v>
      </c>
      <c r="AF66" s="144"/>
      <c r="AG66" s="143"/>
      <c r="AH66" s="144"/>
      <c r="AI66" s="143"/>
      <c r="AJ66" s="142" t="str">
        <f>IF(AD66="","",IF(ISBLANK(AF66),"En cours",AD66+AF66))</f>
        <v>En cours</v>
      </c>
      <c r="AK66" s="142" t="str">
        <f>IF(AE66="","",IF(ISBLANK(AH66),"En cours",AE66+AH66))</f>
        <v>En cours</v>
      </c>
    </row>
    <row r="67" spans="2:37" ht="21" x14ac:dyDescent="0.35">
      <c r="B67" s="143" t="s">
        <v>201</v>
      </c>
      <c r="C67" s="143" t="s">
        <v>108</v>
      </c>
      <c r="D67" s="143">
        <v>19.899999999999999</v>
      </c>
      <c r="E67" s="143" t="s">
        <v>141</v>
      </c>
      <c r="F67" s="143">
        <v>72</v>
      </c>
      <c r="G67" s="143">
        <v>12</v>
      </c>
      <c r="H67" s="143">
        <v>88</v>
      </c>
      <c r="I67" s="143">
        <v>1</v>
      </c>
      <c r="J67" s="143"/>
      <c r="K67" s="143"/>
      <c r="L67" s="143"/>
      <c r="M67" s="143"/>
      <c r="N67" s="143">
        <v>76</v>
      </c>
      <c r="O67" s="143">
        <v>20</v>
      </c>
      <c r="P67" s="143">
        <v>92</v>
      </c>
      <c r="Q67" s="143">
        <v>3</v>
      </c>
      <c r="R67" s="143"/>
      <c r="S67" s="143"/>
      <c r="T67" s="143"/>
      <c r="U67" s="143"/>
      <c r="V67" s="143">
        <v>79</v>
      </c>
      <c r="W67" s="143">
        <v>15</v>
      </c>
      <c r="X67" s="143">
        <v>95</v>
      </c>
      <c r="Y67" s="143">
        <v>5</v>
      </c>
      <c r="Z67" s="143"/>
      <c r="AA67" s="143"/>
      <c r="AB67" s="143"/>
      <c r="AC67" s="143"/>
      <c r="AD67" s="144">
        <f>IF(MIN(F67,J67,N67,R67,V67,Z67)&lt;&gt;0,MIN(F67,J67,N67,R67,V67,Z67),"")</f>
        <v>72</v>
      </c>
      <c r="AE67" s="144">
        <f>IF(MIN(H67,L67,P67,T67,X67,AB67)&lt;&gt;0,MIN(H67,L67,P67,T67,X67,AB67),"")</f>
        <v>88</v>
      </c>
      <c r="AF67" s="144"/>
      <c r="AG67" s="143"/>
      <c r="AH67" s="144"/>
      <c r="AI67" s="143"/>
      <c r="AJ67" s="142" t="str">
        <f>IF(AD67="","",IF(ISBLANK(AF67),"En cours",AD67+AF67))</f>
        <v>En cours</v>
      </c>
      <c r="AK67" s="142" t="str">
        <f>IF(AE67="","",IF(ISBLANK(AH67),"En cours",AE67+AH67))</f>
        <v>En cours</v>
      </c>
    </row>
    <row r="68" spans="2:37" ht="21" x14ac:dyDescent="0.35">
      <c r="B68" s="143" t="s">
        <v>209</v>
      </c>
      <c r="C68" s="143" t="s">
        <v>108</v>
      </c>
      <c r="D68" s="143">
        <v>23.1</v>
      </c>
      <c r="E68" s="143" t="s">
        <v>141</v>
      </c>
      <c r="F68" s="143">
        <v>77</v>
      </c>
      <c r="G68" s="143">
        <v>13</v>
      </c>
      <c r="H68" s="143">
        <v>97</v>
      </c>
      <c r="I68" s="143">
        <v>1</v>
      </c>
      <c r="J68" s="143"/>
      <c r="K68" s="143"/>
      <c r="L68" s="143"/>
      <c r="M68" s="143"/>
      <c r="N68" s="143"/>
      <c r="O68" s="143"/>
      <c r="P68" s="143"/>
      <c r="Q68" s="143"/>
      <c r="R68" s="143">
        <v>76</v>
      </c>
      <c r="S68" s="143">
        <v>15</v>
      </c>
      <c r="T68" s="143">
        <v>96</v>
      </c>
      <c r="U68" s="143">
        <v>4</v>
      </c>
      <c r="V68" s="143"/>
      <c r="W68" s="143"/>
      <c r="X68" s="143"/>
      <c r="Y68" s="143"/>
      <c r="Z68" s="143">
        <v>77</v>
      </c>
      <c r="AA68" s="143">
        <v>13</v>
      </c>
      <c r="AB68" s="143">
        <v>97</v>
      </c>
      <c r="AC68" s="143">
        <v>6</v>
      </c>
      <c r="AD68" s="144">
        <f>IF(MIN(F68,J68,N68,R68,V68,Z68)&lt;&gt;0,MIN(F68,J68,N68,R68,V68,Z68),"")</f>
        <v>76</v>
      </c>
      <c r="AE68" s="144">
        <f>IF(MIN(H68,L68,P68,T68,X68,AB68)&lt;&gt;0,MIN(H68,L68,P68,T68,X68,AB68),"")</f>
        <v>96</v>
      </c>
      <c r="AF68" s="144"/>
      <c r="AG68" s="143"/>
      <c r="AH68" s="144"/>
      <c r="AI68" s="143"/>
      <c r="AJ68" s="142" t="str">
        <f>IF(AD68="","",IF(ISBLANK(AF68),"En cours",AD68+AF68))</f>
        <v>En cours</v>
      </c>
      <c r="AK68" s="142" t="str">
        <f>IF(AE68="","",IF(ISBLANK(AH68),"En cours",AE68+AH68))</f>
        <v>En cours</v>
      </c>
    </row>
    <row r="69" spans="2:37" ht="21" x14ac:dyDescent="0.35">
      <c r="B69" s="143" t="s">
        <v>210</v>
      </c>
      <c r="C69" s="143" t="s">
        <v>108</v>
      </c>
      <c r="D69" s="143">
        <v>25.2</v>
      </c>
      <c r="E69" s="143" t="s">
        <v>141</v>
      </c>
      <c r="F69" s="143">
        <v>73</v>
      </c>
      <c r="G69" s="143">
        <v>14</v>
      </c>
      <c r="H69" s="143">
        <v>95</v>
      </c>
      <c r="I69" s="143">
        <v>1</v>
      </c>
      <c r="J69" s="143">
        <v>72</v>
      </c>
      <c r="K69" s="143">
        <v>6</v>
      </c>
      <c r="L69" s="143">
        <v>94</v>
      </c>
      <c r="M69" s="143">
        <v>2</v>
      </c>
      <c r="N69" s="143">
        <v>70</v>
      </c>
      <c r="O69" s="143">
        <v>5</v>
      </c>
      <c r="P69" s="143">
        <v>92</v>
      </c>
      <c r="Q69" s="143">
        <v>3</v>
      </c>
      <c r="R69" s="143"/>
      <c r="S69" s="143"/>
      <c r="T69" s="143"/>
      <c r="U69" s="143"/>
      <c r="V69" s="143"/>
      <c r="W69" s="143"/>
      <c r="X69" s="143"/>
      <c r="Y69" s="143"/>
      <c r="Z69" s="143"/>
      <c r="AA69" s="143"/>
      <c r="AB69" s="143"/>
      <c r="AC69" s="143"/>
      <c r="AD69" s="144">
        <f>IF(MIN(F69,J69,N69,R69,V69,Z69)&lt;&gt;0,MIN(F69,J69,N69,R69,V69,Z69),"")</f>
        <v>70</v>
      </c>
      <c r="AE69" s="144">
        <f>IF(MIN(H69,L69,P69,T69,X69,AB69)&lt;&gt;0,MIN(H69,L69,P69,T69,X69,AB69),"")</f>
        <v>92</v>
      </c>
      <c r="AF69" s="144"/>
      <c r="AG69" s="143"/>
      <c r="AH69" s="144"/>
      <c r="AI69" s="143"/>
      <c r="AJ69" s="142" t="str">
        <f>IF(AD69="","",IF(ISBLANK(AF69),"En cours",AD69+AF69))</f>
        <v>En cours</v>
      </c>
      <c r="AK69" s="142" t="str">
        <f>IF(AE69="","",IF(ISBLANK(AH69),"En cours",AE69+AH69))</f>
        <v>En cours</v>
      </c>
    </row>
    <row r="70" spans="2:37" ht="21" x14ac:dyDescent="0.35">
      <c r="B70" s="143" t="s">
        <v>203</v>
      </c>
      <c r="C70" s="143" t="s">
        <v>108</v>
      </c>
      <c r="D70" s="143">
        <v>18.899999999999999</v>
      </c>
      <c r="E70" s="143" t="s">
        <v>141</v>
      </c>
      <c r="F70" s="143">
        <v>71</v>
      </c>
      <c r="G70" s="143">
        <v>5</v>
      </c>
      <c r="H70" s="143">
        <v>86</v>
      </c>
      <c r="I70" s="143">
        <v>1</v>
      </c>
      <c r="J70" s="143">
        <v>75</v>
      </c>
      <c r="K70" s="143">
        <v>14</v>
      </c>
      <c r="L70" s="143">
        <v>90</v>
      </c>
      <c r="M70" s="143">
        <v>2</v>
      </c>
      <c r="N70" s="143">
        <v>78</v>
      </c>
      <c r="O70" s="143">
        <v>26</v>
      </c>
      <c r="P70" s="143">
        <v>93</v>
      </c>
      <c r="Q70" s="143">
        <v>3</v>
      </c>
      <c r="R70" s="143">
        <v>76</v>
      </c>
      <c r="S70" s="143">
        <v>16</v>
      </c>
      <c r="T70" s="143">
        <v>91</v>
      </c>
      <c r="U70" s="143">
        <v>4</v>
      </c>
      <c r="V70" s="143">
        <v>71</v>
      </c>
      <c r="W70" s="143">
        <v>7</v>
      </c>
      <c r="X70" s="143">
        <v>86</v>
      </c>
      <c r="Y70" s="143">
        <v>5</v>
      </c>
      <c r="Z70" s="143">
        <v>71</v>
      </c>
      <c r="AA70" s="143">
        <v>5</v>
      </c>
      <c r="AB70" s="143">
        <v>86</v>
      </c>
      <c r="AC70" s="143">
        <v>6</v>
      </c>
      <c r="AD70" s="144">
        <f>IF(MIN(F70,J70,N70,R70,V70,Z70)&lt;&gt;0,MIN(F70,J70,N70,R70,V70,Z70),"")</f>
        <v>71</v>
      </c>
      <c r="AE70" s="144">
        <f>IF(MIN(H70,L70,P70,T70,X70,AB70)&lt;&gt;0,MIN(H70,L70,P70,T70,X70,AB70),"")</f>
        <v>86</v>
      </c>
      <c r="AF70" s="144"/>
      <c r="AG70" s="143"/>
      <c r="AH70" s="144"/>
      <c r="AI70" s="143"/>
      <c r="AJ70" s="142" t="str">
        <f>IF(AD70="","",IF(ISBLANK(AF70),"En cours",AD70+AF70))</f>
        <v>En cours</v>
      </c>
      <c r="AK70" s="142" t="str">
        <f>IF(AE70="","",IF(ISBLANK(AH70),"En cours",AE70+AH70))</f>
        <v>En cours</v>
      </c>
    </row>
    <row r="71" spans="2:37" ht="21" x14ac:dyDescent="0.35">
      <c r="B71" s="143" t="s">
        <v>212</v>
      </c>
      <c r="C71" s="143" t="s">
        <v>108</v>
      </c>
      <c r="D71" s="143">
        <v>25</v>
      </c>
      <c r="E71" s="143" t="s">
        <v>141</v>
      </c>
      <c r="F71" s="143">
        <v>73</v>
      </c>
      <c r="G71" s="143">
        <v>6</v>
      </c>
      <c r="H71" s="143">
        <v>95</v>
      </c>
      <c r="I71" s="143">
        <v>1</v>
      </c>
      <c r="J71" s="143"/>
      <c r="K71" s="143"/>
      <c r="L71" s="143"/>
      <c r="M71" s="143"/>
      <c r="N71" s="143"/>
      <c r="O71" s="143"/>
      <c r="P71" s="143"/>
      <c r="Q71" s="143"/>
      <c r="R71" s="143">
        <v>65</v>
      </c>
      <c r="S71" s="143">
        <v>2</v>
      </c>
      <c r="T71" s="143">
        <v>87</v>
      </c>
      <c r="U71" s="143">
        <v>4</v>
      </c>
      <c r="V71" s="143"/>
      <c r="W71" s="143"/>
      <c r="X71" s="143"/>
      <c r="Y71" s="143"/>
      <c r="Z71" s="143">
        <v>73</v>
      </c>
      <c r="AA71" s="143">
        <v>6</v>
      </c>
      <c r="AB71" s="143">
        <v>95</v>
      </c>
      <c r="AC71" s="143">
        <v>6</v>
      </c>
      <c r="AD71" s="144">
        <f>IF(MIN(F71,J71,N71,R71,V71,Z71)&lt;&gt;0,MIN(F71,J71,N71,R71,V71,Z71),"")</f>
        <v>65</v>
      </c>
      <c r="AE71" s="144">
        <f>IF(MIN(H71,L71,P71,T71,X71,AB71)&lt;&gt;0,MIN(H71,L71,P71,T71,X71,AB71),"")</f>
        <v>87</v>
      </c>
      <c r="AF71" s="144"/>
      <c r="AG71" s="143"/>
      <c r="AH71" s="144"/>
      <c r="AI71" s="143"/>
      <c r="AJ71" s="142" t="str">
        <f>IF(AD71="","",IF(ISBLANK(AF71),"En cours",AD71+AF71))</f>
        <v>En cours</v>
      </c>
      <c r="AK71" s="142" t="str">
        <f>IF(AE71="","",IF(ISBLANK(AH71),"En cours",AE71+AH71))</f>
        <v>En cours</v>
      </c>
    </row>
    <row r="72" spans="2:37" ht="21" x14ac:dyDescent="0.35">
      <c r="B72" s="143" t="s">
        <v>207</v>
      </c>
      <c r="C72" s="143" t="s">
        <v>108</v>
      </c>
      <c r="D72" s="143">
        <v>20.6</v>
      </c>
      <c r="E72" s="143" t="s">
        <v>141</v>
      </c>
      <c r="F72" s="143">
        <v>74</v>
      </c>
      <c r="G72" s="143">
        <v>17</v>
      </c>
      <c r="H72" s="143">
        <v>91</v>
      </c>
      <c r="I72" s="143">
        <v>1</v>
      </c>
      <c r="J72" s="143">
        <v>81</v>
      </c>
      <c r="K72" s="143">
        <v>28</v>
      </c>
      <c r="L72" s="143">
        <v>98</v>
      </c>
      <c r="M72" s="143">
        <v>2</v>
      </c>
      <c r="N72" s="143"/>
      <c r="O72" s="143"/>
      <c r="P72" s="143"/>
      <c r="Q72" s="143"/>
      <c r="R72" s="143">
        <v>73</v>
      </c>
      <c r="S72" s="143">
        <v>9</v>
      </c>
      <c r="T72" s="143">
        <v>90</v>
      </c>
      <c r="U72" s="143">
        <v>4</v>
      </c>
      <c r="V72" s="143">
        <v>71</v>
      </c>
      <c r="W72" s="143">
        <v>8</v>
      </c>
      <c r="X72" s="143">
        <v>88</v>
      </c>
      <c r="Y72" s="143">
        <v>5</v>
      </c>
      <c r="Z72" s="143"/>
      <c r="AA72" s="143"/>
      <c r="AB72" s="143"/>
      <c r="AC72" s="143"/>
      <c r="AD72" s="144">
        <f>IF(MIN(F72,J72,N72,R72,V72,Z72)&lt;&gt;0,MIN(F72,J72,N72,R72,V72,Z72),"")</f>
        <v>71</v>
      </c>
      <c r="AE72" s="144">
        <f>IF(MIN(H72,L72,P72,T72,X72,AB72)&lt;&gt;0,MIN(H72,L72,P72,T72,X72,AB72),"")</f>
        <v>88</v>
      </c>
      <c r="AF72" s="144"/>
      <c r="AG72" s="143"/>
      <c r="AH72" s="144"/>
      <c r="AI72" s="143"/>
      <c r="AJ72" s="142" t="str">
        <f>IF(AD72="","",IF(ISBLANK(AF72),"En cours",AD72+AF72))</f>
        <v>En cours</v>
      </c>
      <c r="AK72" s="142" t="str">
        <f>IF(AE72="","",IF(ISBLANK(AH72),"En cours",AE72+AH72))</f>
        <v>En cours</v>
      </c>
    </row>
    <row r="73" spans="2:37" ht="21" x14ac:dyDescent="0.35">
      <c r="B73" s="143" t="s">
        <v>213</v>
      </c>
      <c r="C73" s="143" t="s">
        <v>108</v>
      </c>
      <c r="D73" s="143">
        <v>29.1</v>
      </c>
      <c r="E73" s="143" t="s">
        <v>141</v>
      </c>
      <c r="F73" s="143">
        <v>81</v>
      </c>
      <c r="G73" s="143">
        <v>20</v>
      </c>
      <c r="H73" s="143">
        <v>104</v>
      </c>
      <c r="I73" s="143">
        <v>1</v>
      </c>
      <c r="J73" s="143"/>
      <c r="K73" s="143"/>
      <c r="L73" s="143"/>
      <c r="M73" s="143"/>
      <c r="N73" s="143">
        <v>69</v>
      </c>
      <c r="O73" s="143">
        <v>4</v>
      </c>
      <c r="P73" s="143">
        <v>92</v>
      </c>
      <c r="Q73" s="143">
        <v>3</v>
      </c>
      <c r="R73" s="143"/>
      <c r="S73" s="143"/>
      <c r="T73" s="143"/>
      <c r="U73" s="143"/>
      <c r="V73" s="143"/>
      <c r="W73" s="143"/>
      <c r="X73" s="143"/>
      <c r="Y73" s="143"/>
      <c r="Z73" s="143">
        <v>81</v>
      </c>
      <c r="AA73" s="143">
        <v>20</v>
      </c>
      <c r="AB73" s="143">
        <v>104</v>
      </c>
      <c r="AC73" s="143">
        <v>6</v>
      </c>
      <c r="AD73" s="144">
        <f>IF(MIN(F73,J73,N73,R73,V73,Z73)&lt;&gt;0,MIN(F73,J73,N73,R73,V73,Z73),"")</f>
        <v>69</v>
      </c>
      <c r="AE73" s="144">
        <f>IF(MIN(H73,L73,P73,T73,X73,AB73)&lt;&gt;0,MIN(H73,L73,P73,T73,X73,AB73),"")</f>
        <v>92</v>
      </c>
      <c r="AF73" s="144"/>
      <c r="AG73" s="143"/>
      <c r="AH73" s="144"/>
      <c r="AI73" s="143"/>
      <c r="AJ73" s="142" t="str">
        <f>IF(AD73="","",IF(ISBLANK(AF73),"En cours",AD73+AF73))</f>
        <v>En cours</v>
      </c>
      <c r="AK73" s="142" t="str">
        <f>IF(AE73="","",IF(ISBLANK(AH73),"En cours",AE73+AH73))</f>
        <v>En cours</v>
      </c>
    </row>
    <row r="74" spans="2:37" ht="21" x14ac:dyDescent="0.35">
      <c r="B74" s="143" t="s">
        <v>215</v>
      </c>
      <c r="C74" s="143" t="s">
        <v>108</v>
      </c>
      <c r="D74" s="143">
        <v>26.4</v>
      </c>
      <c r="E74" s="143" t="s">
        <v>141</v>
      </c>
      <c r="F74" s="143">
        <v>76</v>
      </c>
      <c r="G74" s="143">
        <v>19</v>
      </c>
      <c r="H74" s="143">
        <v>99</v>
      </c>
      <c r="I74" s="143">
        <v>1</v>
      </c>
      <c r="J74" s="143">
        <v>84</v>
      </c>
      <c r="K74" s="143">
        <v>29</v>
      </c>
      <c r="L74" s="143">
        <v>107</v>
      </c>
      <c r="M74" s="143">
        <v>2</v>
      </c>
      <c r="N74" s="143"/>
      <c r="O74" s="143"/>
      <c r="P74" s="143"/>
      <c r="Q74" s="143"/>
      <c r="R74" s="143"/>
      <c r="S74" s="143"/>
      <c r="T74" s="143"/>
      <c r="U74" s="143"/>
      <c r="V74" s="143"/>
      <c r="W74" s="143"/>
      <c r="X74" s="143"/>
      <c r="Y74" s="143"/>
      <c r="Z74" s="143"/>
      <c r="AA74" s="143"/>
      <c r="AB74" s="143"/>
      <c r="AC74" s="143"/>
      <c r="AD74" s="144">
        <f>IF(MIN(F74,J74,N74,R74,V74,Z74)&lt;&gt;0,MIN(F74,J74,N74,R74,V74,Z74),"")</f>
        <v>76</v>
      </c>
      <c r="AE74" s="144">
        <f>IF(MIN(H74,L74,P74,T74,X74,AB74)&lt;&gt;0,MIN(H74,L74,P74,T74,X74,AB74),"")</f>
        <v>99</v>
      </c>
      <c r="AF74" s="144"/>
      <c r="AG74" s="143"/>
      <c r="AH74" s="144"/>
      <c r="AI74" s="143"/>
      <c r="AJ74" s="142" t="str">
        <f>IF(AD74="","",IF(ISBLANK(AF74),"En cours",AD74+AF74))</f>
        <v>En cours</v>
      </c>
      <c r="AK74" s="142" t="str">
        <f>IF(AE74="","",IF(ISBLANK(AH74),"En cours",AE74+AH74))</f>
        <v>En cours</v>
      </c>
    </row>
    <row r="75" spans="2:37" ht="21" x14ac:dyDescent="0.35">
      <c r="B75" s="143" t="s">
        <v>216</v>
      </c>
      <c r="C75" s="143" t="s">
        <v>108</v>
      </c>
      <c r="D75" s="143">
        <v>27.6</v>
      </c>
      <c r="E75" s="143" t="s">
        <v>141</v>
      </c>
      <c r="F75" s="143">
        <v>80</v>
      </c>
      <c r="G75" s="143">
        <v>20</v>
      </c>
      <c r="H75" s="143">
        <v>101</v>
      </c>
      <c r="I75" s="143">
        <v>1</v>
      </c>
      <c r="J75" s="143"/>
      <c r="K75" s="143"/>
      <c r="L75" s="143"/>
      <c r="M75" s="143"/>
      <c r="N75" s="143">
        <v>72</v>
      </c>
      <c r="O75" s="143">
        <v>10</v>
      </c>
      <c r="P75" s="143">
        <v>93</v>
      </c>
      <c r="Q75" s="143">
        <v>3</v>
      </c>
      <c r="R75" s="143"/>
      <c r="S75" s="143"/>
      <c r="T75" s="143"/>
      <c r="U75" s="143"/>
      <c r="V75" s="143"/>
      <c r="W75" s="143"/>
      <c r="X75" s="143"/>
      <c r="Y75" s="143"/>
      <c r="Z75" s="143"/>
      <c r="AA75" s="143"/>
      <c r="AB75" s="143"/>
      <c r="AC75" s="143"/>
      <c r="AD75" s="144">
        <f>IF(MIN(F75,J75,N75,R75,V75,Z75)&lt;&gt;0,MIN(F75,J75,N75,R75,V75,Z75),"")</f>
        <v>72</v>
      </c>
      <c r="AE75" s="144">
        <f>IF(MIN(H75,L75,P75,T75,X75,AB75)&lt;&gt;0,MIN(H75,L75,P75,T75,X75,AB75),"")</f>
        <v>93</v>
      </c>
      <c r="AF75" s="144"/>
      <c r="AG75" s="143"/>
      <c r="AH75" s="144"/>
      <c r="AI75" s="143"/>
      <c r="AJ75" s="142" t="str">
        <f>IF(AD75="","",IF(ISBLANK(AF75),"En cours",AD75+AF75))</f>
        <v>En cours</v>
      </c>
      <c r="AK75" s="142" t="str">
        <f>IF(AE75="","",IF(ISBLANK(AH75),"En cours",AE75+AH75))</f>
        <v>En cours</v>
      </c>
    </row>
    <row r="76" spans="2:37" ht="21" x14ac:dyDescent="0.35">
      <c r="B76" s="143" t="s">
        <v>214</v>
      </c>
      <c r="C76" s="143" t="s">
        <v>108</v>
      </c>
      <c r="D76" s="143">
        <v>20.100000000000001</v>
      </c>
      <c r="E76" s="143" t="s">
        <v>141</v>
      </c>
      <c r="F76" s="143">
        <v>78</v>
      </c>
      <c r="G76" s="143">
        <v>16</v>
      </c>
      <c r="H76" s="143">
        <v>94</v>
      </c>
      <c r="I76" s="143">
        <v>1</v>
      </c>
      <c r="J76" s="143">
        <v>78</v>
      </c>
      <c r="K76" s="143">
        <v>26</v>
      </c>
      <c r="L76" s="143">
        <v>94</v>
      </c>
      <c r="M76" s="143">
        <v>2</v>
      </c>
      <c r="N76" s="143">
        <v>71</v>
      </c>
      <c r="O76" s="143">
        <v>8</v>
      </c>
      <c r="P76" s="143">
        <v>87</v>
      </c>
      <c r="Q76" s="143">
        <v>3</v>
      </c>
      <c r="R76" s="143">
        <v>76</v>
      </c>
      <c r="S76" s="143">
        <v>18</v>
      </c>
      <c r="T76" s="143">
        <v>92</v>
      </c>
      <c r="U76" s="143">
        <v>4</v>
      </c>
      <c r="V76" s="143">
        <v>84</v>
      </c>
      <c r="W76" s="143">
        <v>20</v>
      </c>
      <c r="X76" s="143">
        <v>100</v>
      </c>
      <c r="Y76" s="143">
        <v>5</v>
      </c>
      <c r="Z76" s="143">
        <v>78</v>
      </c>
      <c r="AA76" s="143">
        <v>16</v>
      </c>
      <c r="AB76" s="143">
        <v>94</v>
      </c>
      <c r="AC76" s="143">
        <v>6</v>
      </c>
      <c r="AD76" s="144">
        <f>IF(MIN(F76,J76,N76,R76,V76,Z76)&lt;&gt;0,MIN(F76,J76,N76,R76,V76,Z76),"")</f>
        <v>71</v>
      </c>
      <c r="AE76" s="144">
        <f>IF(MIN(H76,L76,P76,T76,X76,AB76)&lt;&gt;0,MIN(H76,L76,P76,T76,X76,AB76),"")</f>
        <v>87</v>
      </c>
      <c r="AF76" s="144"/>
      <c r="AG76" s="143"/>
      <c r="AH76" s="144"/>
      <c r="AI76" s="143"/>
      <c r="AJ76" s="142" t="str">
        <f>IF(AD76="","",IF(ISBLANK(AF76),"En cours",AD76+AF76))</f>
        <v>En cours</v>
      </c>
      <c r="AK76" s="142" t="str">
        <f>IF(AE76="","",IF(ISBLANK(AH76),"En cours",AE76+AH76))</f>
        <v>En cours</v>
      </c>
    </row>
    <row r="77" spans="2:37" ht="21" x14ac:dyDescent="0.35">
      <c r="B77" s="143" t="s">
        <v>217</v>
      </c>
      <c r="C77" s="143" t="s">
        <v>108</v>
      </c>
      <c r="D77" s="143">
        <v>20.6</v>
      </c>
      <c r="E77" s="143" t="s">
        <v>141</v>
      </c>
      <c r="F77" s="143">
        <v>79</v>
      </c>
      <c r="G77" s="143">
        <v>18</v>
      </c>
      <c r="H77" s="143">
        <v>96</v>
      </c>
      <c r="I77" s="143">
        <v>1</v>
      </c>
      <c r="J77" s="143"/>
      <c r="K77" s="143"/>
      <c r="L77" s="143"/>
      <c r="M77" s="143"/>
      <c r="N77" s="143">
        <v>81</v>
      </c>
      <c r="O77" s="143">
        <v>29</v>
      </c>
      <c r="P77" s="143">
        <v>98</v>
      </c>
      <c r="Q77" s="143">
        <v>3</v>
      </c>
      <c r="R77" s="143"/>
      <c r="S77" s="143"/>
      <c r="T77" s="143"/>
      <c r="U77" s="143"/>
      <c r="V77" s="143">
        <v>76</v>
      </c>
      <c r="W77" s="143">
        <v>13</v>
      </c>
      <c r="X77" s="143">
        <v>93</v>
      </c>
      <c r="Y77" s="143">
        <v>5</v>
      </c>
      <c r="Z77" s="143">
        <v>79</v>
      </c>
      <c r="AA77" s="143">
        <v>18</v>
      </c>
      <c r="AB77" s="143">
        <v>96</v>
      </c>
      <c r="AC77" s="143">
        <v>6</v>
      </c>
      <c r="AD77" s="144">
        <f>IF(MIN(F77,J77,N77,R77,V77,Z77)&lt;&gt;0,MIN(F77,J77,N77,R77,V77,Z77),"")</f>
        <v>76</v>
      </c>
      <c r="AE77" s="144">
        <f>IF(MIN(H77,L77,P77,T77,X77,AB77)&lt;&gt;0,MIN(H77,L77,P77,T77,X77,AB77),"")</f>
        <v>93</v>
      </c>
      <c r="AF77" s="144"/>
      <c r="AG77" s="143"/>
      <c r="AH77" s="144"/>
      <c r="AI77" s="143"/>
      <c r="AJ77" s="142" t="str">
        <f>IF(AD77="","",IF(ISBLANK(AF77),"En cours",AD77+AF77))</f>
        <v>En cours</v>
      </c>
      <c r="AK77" s="142" t="str">
        <f>IF(AE77="","",IF(ISBLANK(AH77),"En cours",AE77+AH77))</f>
        <v>En cours</v>
      </c>
    </row>
    <row r="78" spans="2:37" ht="21" x14ac:dyDescent="0.35">
      <c r="B78" s="143" t="s">
        <v>220</v>
      </c>
      <c r="C78" s="143" t="s">
        <v>108</v>
      </c>
      <c r="D78" s="143">
        <v>11.2</v>
      </c>
      <c r="E78" s="143" t="s">
        <v>141</v>
      </c>
      <c r="F78" s="143"/>
      <c r="G78" s="143"/>
      <c r="H78" s="143"/>
      <c r="I78" s="143"/>
      <c r="J78" s="143">
        <v>71</v>
      </c>
      <c r="K78" s="143">
        <v>3</v>
      </c>
      <c r="L78" s="143">
        <v>85</v>
      </c>
      <c r="M78" s="143">
        <v>2</v>
      </c>
      <c r="N78" s="143">
        <v>77</v>
      </c>
      <c r="O78" s="143">
        <v>11</v>
      </c>
      <c r="P78" s="143">
        <v>91</v>
      </c>
      <c r="Q78" s="143">
        <v>3</v>
      </c>
      <c r="R78" s="143">
        <v>74</v>
      </c>
      <c r="S78" s="143">
        <v>8</v>
      </c>
      <c r="T78" s="143">
        <v>88</v>
      </c>
      <c r="U78" s="143">
        <v>4</v>
      </c>
      <c r="V78" s="143">
        <v>75</v>
      </c>
      <c r="W78" s="143">
        <v>5</v>
      </c>
      <c r="X78" s="143">
        <v>89</v>
      </c>
      <c r="Y78" s="143">
        <v>5</v>
      </c>
      <c r="Z78" s="143"/>
      <c r="AA78" s="143"/>
      <c r="AB78" s="143"/>
      <c r="AC78" s="143"/>
      <c r="AD78" s="144">
        <f>IF(MIN(F78,J78,N78,R78,V78,Z78)&lt;&gt;0,MIN(F78,J78,N78,R78,V78,Z78),"")</f>
        <v>71</v>
      </c>
      <c r="AE78" s="144">
        <f>IF(MIN(H78,L78,P78,T78,X78,AB78)&lt;&gt;0,MIN(H78,L78,P78,T78,X78,AB78),"")</f>
        <v>85</v>
      </c>
      <c r="AF78" s="144"/>
      <c r="AG78" s="143"/>
      <c r="AH78" s="144"/>
      <c r="AI78" s="143"/>
      <c r="AJ78" s="142" t="str">
        <f>IF(AD78="","",IF(ISBLANK(AF78),"En cours",AD78+AF78))</f>
        <v>En cours</v>
      </c>
      <c r="AK78" s="142" t="str">
        <f>IF(AE78="","",IF(ISBLANK(AH78),"En cours",AE78+AH78))</f>
        <v>En cours</v>
      </c>
    </row>
    <row r="79" spans="2:37" ht="21" x14ac:dyDescent="0.35">
      <c r="B79" s="143" t="s">
        <v>219</v>
      </c>
      <c r="C79" s="143" t="s">
        <v>108</v>
      </c>
      <c r="D79" s="143">
        <v>6.4</v>
      </c>
      <c r="E79" s="143" t="s">
        <v>141</v>
      </c>
      <c r="F79" s="143"/>
      <c r="G79" s="143"/>
      <c r="H79" s="143"/>
      <c r="I79" s="143"/>
      <c r="J79" s="143">
        <v>72</v>
      </c>
      <c r="K79" s="143">
        <v>6</v>
      </c>
      <c r="L79" s="143">
        <v>80</v>
      </c>
      <c r="M79" s="143">
        <v>2</v>
      </c>
      <c r="N79" s="143">
        <v>76</v>
      </c>
      <c r="O79" s="143">
        <v>9</v>
      </c>
      <c r="P79" s="143">
        <v>84</v>
      </c>
      <c r="Q79" s="143">
        <v>3</v>
      </c>
      <c r="R79" s="143"/>
      <c r="S79" s="143"/>
      <c r="T79" s="143"/>
      <c r="U79" s="143"/>
      <c r="V79" s="143"/>
      <c r="W79" s="143"/>
      <c r="X79" s="143"/>
      <c r="Y79" s="143"/>
      <c r="Z79" s="143"/>
      <c r="AA79" s="143"/>
      <c r="AB79" s="143"/>
      <c r="AC79" s="143"/>
      <c r="AD79" s="144">
        <f>IF(MIN(F79,J79,N79,R79,V79,Z79)&lt;&gt;0,MIN(F79,J79,N79,R79,V79,Z79),"")</f>
        <v>72</v>
      </c>
      <c r="AE79" s="144">
        <f>IF(MIN(H79,L79,P79,T79,X79,AB79)&lt;&gt;0,MIN(H79,L79,P79,T79,X79,AB79),"")</f>
        <v>80</v>
      </c>
      <c r="AF79" s="144"/>
      <c r="AG79" s="143"/>
      <c r="AH79" s="144"/>
      <c r="AI79" s="143"/>
      <c r="AJ79" s="142" t="str">
        <f>IF(AD79="","",IF(ISBLANK(AF79),"En cours",AD79+AF79))</f>
        <v>En cours</v>
      </c>
      <c r="AK79" s="142" t="str">
        <f>IF(AE79="","",IF(ISBLANK(AH79),"En cours",AE79+AH79))</f>
        <v>En cours</v>
      </c>
    </row>
    <row r="80" spans="2:37" ht="21" x14ac:dyDescent="0.35">
      <c r="B80" s="143" t="s">
        <v>221</v>
      </c>
      <c r="C80" s="143" t="s">
        <v>108</v>
      </c>
      <c r="D80" s="143">
        <v>6.7</v>
      </c>
      <c r="E80" s="143" t="s">
        <v>141</v>
      </c>
      <c r="F80" s="143">
        <v>75</v>
      </c>
      <c r="G80" s="143">
        <v>10</v>
      </c>
      <c r="H80" s="143">
        <v>83</v>
      </c>
      <c r="I80" s="143">
        <v>1</v>
      </c>
      <c r="J80" s="143">
        <v>79</v>
      </c>
      <c r="K80" s="143">
        <v>9</v>
      </c>
      <c r="L80" s="143">
        <v>87</v>
      </c>
      <c r="M80" s="143">
        <v>2</v>
      </c>
      <c r="N80" s="143">
        <v>75</v>
      </c>
      <c r="O80" s="143">
        <v>7</v>
      </c>
      <c r="P80" s="143">
        <v>83</v>
      </c>
      <c r="Q80" s="143">
        <v>3</v>
      </c>
      <c r="R80" s="143"/>
      <c r="S80" s="143"/>
      <c r="T80" s="143"/>
      <c r="U80" s="143"/>
      <c r="V80" s="143">
        <v>86</v>
      </c>
      <c r="W80" s="143">
        <v>11</v>
      </c>
      <c r="X80" s="143">
        <v>94</v>
      </c>
      <c r="Y80" s="143">
        <v>5</v>
      </c>
      <c r="Z80" s="143">
        <v>75</v>
      </c>
      <c r="AA80" s="143">
        <v>10</v>
      </c>
      <c r="AB80" s="143">
        <v>83</v>
      </c>
      <c r="AC80" s="143">
        <v>6</v>
      </c>
      <c r="AD80" s="144">
        <f>IF(MIN(F80,J80,N80,R80,V80,Z80)&lt;&gt;0,MIN(F80,J80,N80,R80,V80,Z80),"")</f>
        <v>75</v>
      </c>
      <c r="AE80" s="144">
        <f>IF(MIN(H80,L80,P80,T80,X80,AB80)&lt;&gt;0,MIN(H80,L80,P80,T80,X80,AB80),"")</f>
        <v>83</v>
      </c>
      <c r="AF80" s="144"/>
      <c r="AG80" s="143"/>
      <c r="AH80" s="144"/>
      <c r="AI80" s="143"/>
      <c r="AJ80" s="142" t="str">
        <f>IF(AD80="","",IF(ISBLANK(AF80),"En cours",AD80+AF80))</f>
        <v>En cours</v>
      </c>
      <c r="AK80" s="142" t="str">
        <f>IF(AE80="","",IF(ISBLANK(AH80),"En cours",AE80+AH80))</f>
        <v>En cours</v>
      </c>
    </row>
    <row r="81" spans="2:37" ht="21" x14ac:dyDescent="0.35">
      <c r="B81" s="143" t="s">
        <v>222</v>
      </c>
      <c r="C81" s="143" t="s">
        <v>145</v>
      </c>
      <c r="D81" s="143">
        <v>7.2</v>
      </c>
      <c r="E81" s="143" t="s">
        <v>141</v>
      </c>
      <c r="F81" s="143"/>
      <c r="G81" s="143"/>
      <c r="H81" s="143"/>
      <c r="I81" s="143"/>
      <c r="J81" s="143">
        <v>85</v>
      </c>
      <c r="K81" s="143">
        <v>10</v>
      </c>
      <c r="L81" s="143">
        <v>94</v>
      </c>
      <c r="M81" s="143">
        <v>2</v>
      </c>
      <c r="N81" s="143"/>
      <c r="O81" s="143"/>
      <c r="P81" s="143"/>
      <c r="Q81" s="143"/>
      <c r="R81" s="143">
        <v>78</v>
      </c>
      <c r="S81" s="143">
        <v>12</v>
      </c>
      <c r="T81" s="143">
        <v>87</v>
      </c>
      <c r="U81" s="143">
        <v>4</v>
      </c>
      <c r="V81" s="143"/>
      <c r="W81" s="143"/>
      <c r="X81" s="143"/>
      <c r="Y81" s="143"/>
      <c r="Z81" s="143"/>
      <c r="AA81" s="143"/>
      <c r="AB81" s="143"/>
      <c r="AC81" s="143"/>
      <c r="AD81" s="144">
        <f>IF(MIN(F81,J81,N81,R81,V81,Z81)&lt;&gt;0,MIN(F81,J81,N81,R81,V81,Z81),"")</f>
        <v>78</v>
      </c>
      <c r="AE81" s="144">
        <f>IF(MIN(H81,L81,P81,T81,X81,AB81)&lt;&gt;0,MIN(H81,L81,P81,T81,X81,AB81),"")</f>
        <v>87</v>
      </c>
      <c r="AF81" s="144"/>
      <c r="AG81" s="143"/>
      <c r="AH81" s="144"/>
      <c r="AI81" s="143"/>
      <c r="AJ81" s="142" t="str">
        <f>IF(AD81="","",IF(ISBLANK(AF81),"En cours",AD81+AF81))</f>
        <v>En cours</v>
      </c>
      <c r="AK81" s="142" t="str">
        <f>IF(AE81="","",IF(ISBLANK(AH81),"En cours",AE81+AH81))</f>
        <v>En cours</v>
      </c>
    </row>
    <row r="82" spans="2:37" ht="21" x14ac:dyDescent="0.35">
      <c r="B82" s="143" t="s">
        <v>226</v>
      </c>
      <c r="C82" s="143" t="s">
        <v>108</v>
      </c>
      <c r="D82" s="143">
        <v>18</v>
      </c>
      <c r="E82" s="143" t="s">
        <v>141</v>
      </c>
      <c r="F82" s="143"/>
      <c r="G82" s="143"/>
      <c r="H82" s="143"/>
      <c r="I82" s="143"/>
      <c r="J82" s="143">
        <v>70</v>
      </c>
      <c r="K82" s="143">
        <v>1</v>
      </c>
      <c r="L82" s="143">
        <v>87</v>
      </c>
      <c r="M82" s="143">
        <v>2</v>
      </c>
      <c r="N82" s="143">
        <v>79</v>
      </c>
      <c r="O82" s="143">
        <v>24</v>
      </c>
      <c r="P82" s="143">
        <v>96</v>
      </c>
      <c r="Q82" s="143">
        <v>3</v>
      </c>
      <c r="R82" s="143"/>
      <c r="S82" s="143"/>
      <c r="T82" s="143"/>
      <c r="U82" s="143"/>
      <c r="V82" s="143"/>
      <c r="W82" s="143"/>
      <c r="X82" s="143"/>
      <c r="Y82" s="143"/>
      <c r="Z82" s="143"/>
      <c r="AA82" s="143"/>
      <c r="AB82" s="143"/>
      <c r="AC82" s="143"/>
      <c r="AD82" s="144">
        <f>IF(MIN(F82,J82,N82,R82,V82,Z82)&lt;&gt;0,MIN(F82,J82,N82,R82,V82,Z82),"")</f>
        <v>70</v>
      </c>
      <c r="AE82" s="144">
        <f>IF(MIN(H82,L82,P82,T82,X82,AB82)&lt;&gt;0,MIN(H82,L82,P82,T82,X82,AB82),"")</f>
        <v>87</v>
      </c>
      <c r="AF82" s="144"/>
      <c r="AG82" s="143"/>
      <c r="AH82" s="144"/>
      <c r="AI82" s="143"/>
      <c r="AJ82" s="142" t="str">
        <f>IF(AD82="","",IF(ISBLANK(AF82),"En cours",AD82+AF82))</f>
        <v>En cours</v>
      </c>
      <c r="AK82" s="142" t="str">
        <f>IF(AE82="","",IF(ISBLANK(AH82),"En cours",AE82+AH82))</f>
        <v>En cours</v>
      </c>
    </row>
    <row r="83" spans="2:37" ht="21" x14ac:dyDescent="0.35">
      <c r="B83" s="143" t="s">
        <v>225</v>
      </c>
      <c r="C83" s="143" t="s">
        <v>108</v>
      </c>
      <c r="D83" s="143">
        <v>15.8</v>
      </c>
      <c r="E83" s="143" t="s">
        <v>141</v>
      </c>
      <c r="F83" s="143">
        <v>69</v>
      </c>
      <c r="G83" s="143">
        <v>3</v>
      </c>
      <c r="H83" s="143">
        <v>84</v>
      </c>
      <c r="I83" s="143">
        <v>1</v>
      </c>
      <c r="J83" s="143">
        <v>72</v>
      </c>
      <c r="K83" s="143">
        <v>6</v>
      </c>
      <c r="L83" s="143">
        <v>87</v>
      </c>
      <c r="M83" s="143">
        <v>2</v>
      </c>
      <c r="N83" s="143">
        <v>73</v>
      </c>
      <c r="O83" s="143">
        <v>9</v>
      </c>
      <c r="P83" s="143">
        <v>88</v>
      </c>
      <c r="Q83" s="143">
        <v>3</v>
      </c>
      <c r="R83" s="143">
        <v>71</v>
      </c>
      <c r="S83" s="143">
        <v>6</v>
      </c>
      <c r="T83" s="143">
        <v>86</v>
      </c>
      <c r="U83" s="143">
        <v>4</v>
      </c>
      <c r="V83" s="143">
        <v>71</v>
      </c>
      <c r="W83" s="143">
        <v>6</v>
      </c>
      <c r="X83" s="143">
        <v>86</v>
      </c>
      <c r="Y83" s="143">
        <v>5</v>
      </c>
      <c r="Z83" s="143">
        <v>69</v>
      </c>
      <c r="AA83" s="143">
        <v>3</v>
      </c>
      <c r="AB83" s="143">
        <v>84</v>
      </c>
      <c r="AC83" s="143">
        <v>6</v>
      </c>
      <c r="AD83" s="144">
        <f>IF(MIN(F83,J83,N83,R83,V83,Z83)&lt;&gt;0,MIN(F83,J83,N83,R83,V83,Z83),"")</f>
        <v>69</v>
      </c>
      <c r="AE83" s="144">
        <f>IF(MIN(H83,L83,P83,T83,X83,AB83)&lt;&gt;0,MIN(H83,L83,P83,T83,X83,AB83),"")</f>
        <v>84</v>
      </c>
      <c r="AF83" s="144"/>
      <c r="AG83" s="143"/>
      <c r="AH83" s="144"/>
      <c r="AI83" s="143"/>
      <c r="AJ83" s="142" t="str">
        <f>IF(AD83="","",IF(ISBLANK(AF83),"En cours",AD83+AF83))</f>
        <v>En cours</v>
      </c>
      <c r="AK83" s="142" t="str">
        <f>IF(AE83="","",IF(ISBLANK(AH83),"En cours",AE83+AH83))</f>
        <v>En cours</v>
      </c>
    </row>
    <row r="84" spans="2:37" ht="21" x14ac:dyDescent="0.35">
      <c r="B84" s="143" t="s">
        <v>223</v>
      </c>
      <c r="C84" s="143" t="s">
        <v>108</v>
      </c>
      <c r="D84" s="143">
        <v>13.4</v>
      </c>
      <c r="E84" s="143" t="s">
        <v>141</v>
      </c>
      <c r="F84" s="143">
        <v>77</v>
      </c>
      <c r="G84" s="143">
        <v>19</v>
      </c>
      <c r="H84" s="143">
        <v>89</v>
      </c>
      <c r="I84" s="143">
        <v>1</v>
      </c>
      <c r="J84" s="143">
        <v>72</v>
      </c>
      <c r="K84" s="143">
        <v>7</v>
      </c>
      <c r="L84" s="143">
        <v>84</v>
      </c>
      <c r="M84" s="143">
        <v>2</v>
      </c>
      <c r="N84" s="143"/>
      <c r="O84" s="143"/>
      <c r="P84" s="143"/>
      <c r="Q84" s="143"/>
      <c r="R84" s="143">
        <v>75</v>
      </c>
      <c r="S84" s="143">
        <v>16</v>
      </c>
      <c r="T84" s="143">
        <v>87</v>
      </c>
      <c r="U84" s="143">
        <v>4</v>
      </c>
      <c r="V84" s="143"/>
      <c r="W84" s="143"/>
      <c r="X84" s="143"/>
      <c r="Y84" s="143"/>
      <c r="Z84" s="143">
        <v>77</v>
      </c>
      <c r="AA84" s="143">
        <v>19</v>
      </c>
      <c r="AB84" s="143">
        <v>89</v>
      </c>
      <c r="AC84" s="143">
        <v>6</v>
      </c>
      <c r="AD84" s="144">
        <f>IF(MIN(F84,J84,N84,R84,V84,Z84)&lt;&gt;0,MIN(F84,J84,N84,R84,V84,Z84),"")</f>
        <v>72</v>
      </c>
      <c r="AE84" s="144">
        <f>IF(MIN(H84,L84,P84,T84,X84,AB84)&lt;&gt;0,MIN(H84,L84,P84,T84,X84,AB84),"")</f>
        <v>84</v>
      </c>
      <c r="AF84" s="144"/>
      <c r="AG84" s="143"/>
      <c r="AH84" s="144"/>
      <c r="AI84" s="143"/>
      <c r="AJ84" s="142" t="str">
        <f>IF(AD84="","",IF(ISBLANK(AF84),"En cours",AD84+AF84))</f>
        <v>En cours</v>
      </c>
      <c r="AK84" s="142" t="str">
        <f>IF(AE84="","",IF(ISBLANK(AH84),"En cours",AE84+AH84))</f>
        <v>En cours</v>
      </c>
    </row>
    <row r="85" spans="2:37" ht="21" x14ac:dyDescent="0.35">
      <c r="B85" s="143" t="s">
        <v>224</v>
      </c>
      <c r="C85" s="143" t="s">
        <v>108</v>
      </c>
      <c r="D85" s="143">
        <v>14.1</v>
      </c>
      <c r="E85" s="143" t="s">
        <v>141</v>
      </c>
      <c r="F85" s="143"/>
      <c r="G85" s="143"/>
      <c r="H85" s="143"/>
      <c r="I85" s="143"/>
      <c r="J85" s="143">
        <v>72</v>
      </c>
      <c r="K85" s="143">
        <v>8</v>
      </c>
      <c r="L85" s="143">
        <v>85</v>
      </c>
      <c r="M85" s="143">
        <v>2</v>
      </c>
      <c r="N85" s="143">
        <v>73</v>
      </c>
      <c r="O85" s="143">
        <v>10</v>
      </c>
      <c r="P85" s="143">
        <v>86</v>
      </c>
      <c r="Q85" s="143">
        <v>3</v>
      </c>
      <c r="R85" s="143"/>
      <c r="S85" s="143"/>
      <c r="T85" s="143"/>
      <c r="U85" s="143"/>
      <c r="V85" s="143"/>
      <c r="W85" s="143"/>
      <c r="X85" s="143"/>
      <c r="Y85" s="143"/>
      <c r="Z85" s="143"/>
      <c r="AA85" s="143"/>
      <c r="AB85" s="143"/>
      <c r="AC85" s="143"/>
      <c r="AD85" s="144">
        <f>IF(MIN(F85,J85,N85,R85,V85,Z85)&lt;&gt;0,MIN(F85,J85,N85,R85,V85,Z85),"")</f>
        <v>72</v>
      </c>
      <c r="AE85" s="144">
        <f>IF(MIN(H85,L85,P85,T85,X85,AB85)&lt;&gt;0,MIN(H85,L85,P85,T85,X85,AB85),"")</f>
        <v>85</v>
      </c>
      <c r="AF85" s="144"/>
      <c r="AG85" s="143"/>
      <c r="AH85" s="144"/>
      <c r="AI85" s="143"/>
      <c r="AJ85" s="142" t="str">
        <f>IF(AD85="","",IF(ISBLANK(AF85),"En cours",AD85+AF85))</f>
        <v>En cours</v>
      </c>
      <c r="AK85" s="142" t="str">
        <f>IF(AE85="","",IF(ISBLANK(AH85),"En cours",AE85+AH85))</f>
        <v>En cours</v>
      </c>
    </row>
    <row r="86" spans="2:37" ht="21" x14ac:dyDescent="0.35">
      <c r="B86" s="143" t="s">
        <v>230</v>
      </c>
      <c r="C86" s="143" t="s">
        <v>108</v>
      </c>
      <c r="D86" s="143">
        <v>15.4</v>
      </c>
      <c r="E86" s="143" t="s">
        <v>141</v>
      </c>
      <c r="F86" s="143"/>
      <c r="G86" s="143"/>
      <c r="H86" s="143"/>
      <c r="I86" s="143"/>
      <c r="J86" s="143">
        <v>74</v>
      </c>
      <c r="K86" s="143">
        <v>12</v>
      </c>
      <c r="L86" s="143">
        <v>89</v>
      </c>
      <c r="M86" s="143">
        <v>2</v>
      </c>
      <c r="N86" s="143"/>
      <c r="O86" s="143"/>
      <c r="P86" s="143"/>
      <c r="Q86" s="143"/>
      <c r="R86" s="143">
        <v>72</v>
      </c>
      <c r="S86" s="143">
        <v>10</v>
      </c>
      <c r="T86" s="143">
        <v>87</v>
      </c>
      <c r="U86" s="143">
        <v>4</v>
      </c>
      <c r="V86" s="143"/>
      <c r="W86" s="143"/>
      <c r="X86" s="143"/>
      <c r="Y86" s="143"/>
      <c r="Z86" s="143"/>
      <c r="AA86" s="143"/>
      <c r="AB86" s="143"/>
      <c r="AC86" s="143"/>
      <c r="AD86" s="144">
        <f>IF(MIN(F86,J86,N86,R86,V86,Z86)&lt;&gt;0,MIN(F86,J86,N86,R86,V86,Z86),"")</f>
        <v>72</v>
      </c>
      <c r="AE86" s="144">
        <f>IF(MIN(H86,L86,P86,T86,X86,AB86)&lt;&gt;0,MIN(H86,L86,P86,T86,X86,AB86),"")</f>
        <v>87</v>
      </c>
      <c r="AF86" s="144"/>
      <c r="AG86" s="143"/>
      <c r="AH86" s="144"/>
      <c r="AI86" s="143"/>
      <c r="AJ86" s="142" t="str">
        <f>IF(AD86="","",IF(ISBLANK(AF86),"En cours",AD86+AF86))</f>
        <v>En cours</v>
      </c>
      <c r="AK86" s="142" t="str">
        <f>IF(AE86="","",IF(ISBLANK(AH86),"En cours",AE86+AH86))</f>
        <v>En cours</v>
      </c>
    </row>
    <row r="87" spans="2:37" ht="21" x14ac:dyDescent="0.35">
      <c r="B87" s="143" t="s">
        <v>228</v>
      </c>
      <c r="C87" s="143" t="s">
        <v>108</v>
      </c>
      <c r="D87" s="143">
        <v>13.9</v>
      </c>
      <c r="E87" s="143" t="s">
        <v>141</v>
      </c>
      <c r="F87" s="143"/>
      <c r="G87" s="143"/>
      <c r="H87" s="143"/>
      <c r="I87" s="143"/>
      <c r="J87" s="143">
        <v>75</v>
      </c>
      <c r="K87" s="143">
        <v>13</v>
      </c>
      <c r="L87" s="143">
        <v>88</v>
      </c>
      <c r="M87" s="143">
        <v>2</v>
      </c>
      <c r="N87" s="143"/>
      <c r="O87" s="143"/>
      <c r="P87" s="143"/>
      <c r="Q87" s="143"/>
      <c r="R87" s="143">
        <v>71</v>
      </c>
      <c r="S87" s="143">
        <v>8</v>
      </c>
      <c r="T87" s="143">
        <v>84</v>
      </c>
      <c r="U87" s="143">
        <v>4</v>
      </c>
      <c r="V87" s="143">
        <v>74</v>
      </c>
      <c r="W87" s="143">
        <v>11</v>
      </c>
      <c r="X87" s="143">
        <v>87</v>
      </c>
      <c r="Y87" s="143">
        <v>5</v>
      </c>
      <c r="Z87" s="143"/>
      <c r="AA87" s="143"/>
      <c r="AB87" s="143"/>
      <c r="AC87" s="143"/>
      <c r="AD87" s="144">
        <f>IF(MIN(F87,J87,N87,R87,V87,Z87)&lt;&gt;0,MIN(F87,J87,N87,R87,V87,Z87),"")</f>
        <v>71</v>
      </c>
      <c r="AE87" s="144">
        <f>IF(MIN(H87,L87,P87,T87,X87,AB87)&lt;&gt;0,MIN(H87,L87,P87,T87,X87,AB87),"")</f>
        <v>84</v>
      </c>
      <c r="AF87" s="144"/>
      <c r="AG87" s="143"/>
      <c r="AH87" s="144"/>
      <c r="AI87" s="143"/>
      <c r="AJ87" s="142" t="str">
        <f>IF(AD87="","",IF(ISBLANK(AF87),"En cours",AD87+AF87))</f>
        <v>En cours</v>
      </c>
      <c r="AK87" s="142" t="str">
        <f>IF(AE87="","",IF(ISBLANK(AH87),"En cours",AE87+AH87))</f>
        <v>En cours</v>
      </c>
    </row>
    <row r="88" spans="2:37" ht="21" x14ac:dyDescent="0.35">
      <c r="B88" s="143" t="s">
        <v>233</v>
      </c>
      <c r="C88" s="143" t="s">
        <v>108</v>
      </c>
      <c r="D88" s="143">
        <v>17.2</v>
      </c>
      <c r="E88" s="143" t="s">
        <v>141</v>
      </c>
      <c r="F88" s="143"/>
      <c r="G88" s="143"/>
      <c r="H88" s="143"/>
      <c r="I88" s="143"/>
      <c r="J88" s="143">
        <v>75</v>
      </c>
      <c r="K88" s="143">
        <v>14</v>
      </c>
      <c r="L88" s="143">
        <v>92</v>
      </c>
      <c r="M88" s="143">
        <v>2</v>
      </c>
      <c r="N88" s="143"/>
      <c r="O88" s="143"/>
      <c r="P88" s="143"/>
      <c r="Q88" s="143"/>
      <c r="R88" s="143"/>
      <c r="S88" s="143"/>
      <c r="T88" s="143"/>
      <c r="U88" s="143"/>
      <c r="V88" s="143">
        <v>77</v>
      </c>
      <c r="W88" s="143">
        <v>18</v>
      </c>
      <c r="X88" s="143">
        <v>94</v>
      </c>
      <c r="Y88" s="143">
        <v>5</v>
      </c>
      <c r="Z88" s="143"/>
      <c r="AA88" s="143"/>
      <c r="AB88" s="143"/>
      <c r="AC88" s="143"/>
      <c r="AD88" s="144">
        <f>IF(MIN(F88,J88,N88,R88,V88,Z88)&lt;&gt;0,MIN(F88,J88,N88,R88,V88,Z88),"")</f>
        <v>75</v>
      </c>
      <c r="AE88" s="144">
        <f>IF(MIN(H88,L88,P88,T88,X88,AB88)&lt;&gt;0,MIN(H88,L88,P88,T88,X88,AB88),"")</f>
        <v>92</v>
      </c>
      <c r="AF88" s="144"/>
      <c r="AG88" s="143"/>
      <c r="AH88" s="144"/>
      <c r="AI88" s="143"/>
      <c r="AJ88" s="142" t="str">
        <f>IF(AD88="","",IF(ISBLANK(AF88),"En cours",AD88+AF88))</f>
        <v>En cours</v>
      </c>
      <c r="AK88" s="142" t="str">
        <f>IF(AE88="","",IF(ISBLANK(AH88),"En cours",AE88+AH88))</f>
        <v>En cours</v>
      </c>
    </row>
    <row r="89" spans="2:37" ht="21" x14ac:dyDescent="0.35">
      <c r="B89" s="143" t="s">
        <v>231</v>
      </c>
      <c r="C89" s="143" t="s">
        <v>108</v>
      </c>
      <c r="D89" s="143">
        <v>15.9</v>
      </c>
      <c r="E89" s="143" t="s">
        <v>141</v>
      </c>
      <c r="F89" s="143">
        <v>77</v>
      </c>
      <c r="G89" s="143">
        <v>18</v>
      </c>
      <c r="H89" s="143">
        <v>92</v>
      </c>
      <c r="I89" s="143">
        <v>1</v>
      </c>
      <c r="J89" s="143">
        <v>76</v>
      </c>
      <c r="K89" s="143">
        <v>15</v>
      </c>
      <c r="L89" s="143">
        <v>91</v>
      </c>
      <c r="M89" s="143">
        <v>2</v>
      </c>
      <c r="N89" s="143"/>
      <c r="O89" s="143"/>
      <c r="P89" s="143"/>
      <c r="Q89" s="143"/>
      <c r="R89" s="143">
        <v>84</v>
      </c>
      <c r="S89" s="143">
        <v>35</v>
      </c>
      <c r="T89" s="143">
        <v>99</v>
      </c>
      <c r="U89" s="143">
        <v>4</v>
      </c>
      <c r="V89" s="143"/>
      <c r="W89" s="143"/>
      <c r="X89" s="143"/>
      <c r="Y89" s="143"/>
      <c r="Z89" s="143">
        <v>77</v>
      </c>
      <c r="AA89" s="143">
        <v>18</v>
      </c>
      <c r="AB89" s="143">
        <v>92</v>
      </c>
      <c r="AC89" s="143">
        <v>6</v>
      </c>
      <c r="AD89" s="144">
        <f>IF(MIN(F89,J89,N89,R89,V89,Z89)&lt;&gt;0,MIN(F89,J89,N89,R89,V89,Z89),"")</f>
        <v>76</v>
      </c>
      <c r="AE89" s="144">
        <f>IF(MIN(H89,L89,P89,T89,X89,AB89)&lt;&gt;0,MIN(H89,L89,P89,T89,X89,AB89),"")</f>
        <v>91</v>
      </c>
      <c r="AF89" s="144"/>
      <c r="AG89" s="143"/>
      <c r="AH89" s="144"/>
      <c r="AI89" s="143"/>
      <c r="AJ89" s="142" t="str">
        <f>IF(AD89="","",IF(ISBLANK(AF89),"En cours",AD89+AF89))</f>
        <v>En cours</v>
      </c>
      <c r="AK89" s="142" t="str">
        <f>IF(AE89="","",IF(ISBLANK(AH89),"En cours",AE89+AH89))</f>
        <v>En cours</v>
      </c>
    </row>
    <row r="90" spans="2:37" ht="21" x14ac:dyDescent="0.35">
      <c r="B90" s="143" t="s">
        <v>232</v>
      </c>
      <c r="C90" s="143" t="s">
        <v>108</v>
      </c>
      <c r="D90" s="143">
        <v>16.2</v>
      </c>
      <c r="E90" s="143" t="s">
        <v>141</v>
      </c>
      <c r="F90" s="143"/>
      <c r="G90" s="143"/>
      <c r="H90" s="143"/>
      <c r="I90" s="143"/>
      <c r="J90" s="143">
        <v>76</v>
      </c>
      <c r="K90" s="143">
        <v>18</v>
      </c>
      <c r="L90" s="143">
        <v>91</v>
      </c>
      <c r="M90" s="143">
        <v>2</v>
      </c>
      <c r="N90" s="143">
        <v>77</v>
      </c>
      <c r="O90" s="143">
        <v>20</v>
      </c>
      <c r="P90" s="143">
        <v>92</v>
      </c>
      <c r="Q90" s="143">
        <v>3</v>
      </c>
      <c r="R90" s="143"/>
      <c r="S90" s="143"/>
      <c r="T90" s="143"/>
      <c r="U90" s="143"/>
      <c r="V90" s="143"/>
      <c r="W90" s="143"/>
      <c r="X90" s="143"/>
      <c r="Y90" s="143"/>
      <c r="Z90" s="143"/>
      <c r="AA90" s="143"/>
      <c r="AB90" s="143"/>
      <c r="AC90" s="143"/>
      <c r="AD90" s="144">
        <f>IF(MIN(F90,J90,N90,R90,V90,Z90)&lt;&gt;0,MIN(F90,J90,N90,R90,V90,Z90),"")</f>
        <v>76</v>
      </c>
      <c r="AE90" s="144">
        <f>IF(MIN(H90,L90,P90,T90,X90,AB90)&lt;&gt;0,MIN(H90,L90,P90,T90,X90,AB90),"")</f>
        <v>91</v>
      </c>
      <c r="AF90" s="144"/>
      <c r="AG90" s="143"/>
      <c r="AH90" s="144"/>
      <c r="AI90" s="143"/>
      <c r="AJ90" s="142" t="str">
        <f>IF(AD90="","",IF(ISBLANK(AF90),"En cours",AD90+AF90))</f>
        <v>En cours</v>
      </c>
      <c r="AK90" s="142" t="str">
        <f>IF(AE90="","",IF(ISBLANK(AH90),"En cours",AE90+AH90))</f>
        <v>En cours</v>
      </c>
    </row>
    <row r="91" spans="2:37" ht="21" x14ac:dyDescent="0.35">
      <c r="B91" s="143" t="s">
        <v>227</v>
      </c>
      <c r="C91" s="143" t="s">
        <v>108</v>
      </c>
      <c r="D91" s="143">
        <v>11.7</v>
      </c>
      <c r="E91" s="143" t="s">
        <v>141</v>
      </c>
      <c r="F91" s="143"/>
      <c r="G91" s="143"/>
      <c r="H91" s="143"/>
      <c r="I91" s="143"/>
      <c r="J91" s="143">
        <v>77</v>
      </c>
      <c r="K91" s="143">
        <v>19</v>
      </c>
      <c r="L91" s="143">
        <v>87</v>
      </c>
      <c r="M91" s="143">
        <v>2</v>
      </c>
      <c r="N91" s="143">
        <v>77</v>
      </c>
      <c r="O91" s="143">
        <v>17</v>
      </c>
      <c r="P91" s="143">
        <v>87</v>
      </c>
      <c r="Q91" s="143">
        <v>3</v>
      </c>
      <c r="R91" s="143"/>
      <c r="S91" s="143"/>
      <c r="T91" s="143"/>
      <c r="U91" s="143"/>
      <c r="V91" s="143"/>
      <c r="W91" s="143"/>
      <c r="X91" s="143"/>
      <c r="Y91" s="143"/>
      <c r="Z91" s="143"/>
      <c r="AA91" s="143"/>
      <c r="AB91" s="143"/>
      <c r="AC91" s="143"/>
      <c r="AD91" s="144">
        <f>IF(MIN(F91,J91,N91,R91,V91,Z91)&lt;&gt;0,MIN(F91,J91,N91,R91,V91,Z91),"")</f>
        <v>77</v>
      </c>
      <c r="AE91" s="144">
        <f>IF(MIN(H91,L91,P91,T91,X91,AB91)&lt;&gt;0,MIN(H91,L91,P91,T91,X91,AB91),"")</f>
        <v>87</v>
      </c>
      <c r="AF91" s="144"/>
      <c r="AG91" s="143"/>
      <c r="AH91" s="144"/>
      <c r="AI91" s="143"/>
      <c r="AJ91" s="142" t="str">
        <f>IF(AD91="","",IF(ISBLANK(AF91),"En cours",AD91+AF91))</f>
        <v>En cours</v>
      </c>
      <c r="AK91" s="142" t="str">
        <f>IF(AE91="","",IF(ISBLANK(AH91),"En cours",AE91+AH91))</f>
        <v>En cours</v>
      </c>
    </row>
    <row r="92" spans="2:37" ht="21" x14ac:dyDescent="0.35">
      <c r="B92" s="143" t="s">
        <v>234</v>
      </c>
      <c r="C92" s="143" t="s">
        <v>108</v>
      </c>
      <c r="D92" s="143">
        <v>16.100000000000001</v>
      </c>
      <c r="E92" s="143" t="s">
        <v>141</v>
      </c>
      <c r="F92" s="143">
        <v>76</v>
      </c>
      <c r="G92" s="143">
        <v>15</v>
      </c>
      <c r="H92" s="143">
        <v>91</v>
      </c>
      <c r="I92" s="143">
        <v>1</v>
      </c>
      <c r="J92" s="143">
        <v>78</v>
      </c>
      <c r="K92" s="143">
        <v>21</v>
      </c>
      <c r="L92" s="143">
        <v>93</v>
      </c>
      <c r="M92" s="143">
        <v>2</v>
      </c>
      <c r="N92" s="143"/>
      <c r="O92" s="143"/>
      <c r="P92" s="143"/>
      <c r="Q92" s="143"/>
      <c r="R92" s="143">
        <v>72</v>
      </c>
      <c r="S92" s="143">
        <v>13</v>
      </c>
      <c r="T92" s="143">
        <v>87</v>
      </c>
      <c r="U92" s="143">
        <v>4</v>
      </c>
      <c r="V92" s="143"/>
      <c r="W92" s="143"/>
      <c r="X92" s="143"/>
      <c r="Y92" s="143"/>
      <c r="Z92" s="143">
        <v>76</v>
      </c>
      <c r="AA92" s="143">
        <v>15</v>
      </c>
      <c r="AB92" s="143">
        <v>91</v>
      </c>
      <c r="AC92" s="143">
        <v>6</v>
      </c>
      <c r="AD92" s="144">
        <f>IF(MIN(F92,J92,N92,R92,V92,Z92)&lt;&gt;0,MIN(F92,J92,N92,R92,V92,Z92),"")</f>
        <v>72</v>
      </c>
      <c r="AE92" s="144">
        <f>IF(MIN(H92,L92,P92,T92,X92,AB92)&lt;&gt;0,MIN(H92,L92,P92,T92,X92,AB92),"")</f>
        <v>87</v>
      </c>
      <c r="AF92" s="144"/>
      <c r="AG92" s="143"/>
      <c r="AH92" s="144"/>
      <c r="AI92" s="143"/>
      <c r="AJ92" s="142" t="str">
        <f>IF(AD92="","",IF(ISBLANK(AF92),"En cours",AD92+AF92))</f>
        <v>En cours</v>
      </c>
      <c r="AK92" s="142" t="str">
        <f>IF(AE92="","",IF(ISBLANK(AH92),"En cours",AE92+AH92))</f>
        <v>En cours</v>
      </c>
    </row>
    <row r="93" spans="2:37" ht="21" x14ac:dyDescent="0.35">
      <c r="B93" s="143" t="s">
        <v>229</v>
      </c>
      <c r="C93" s="143" t="s">
        <v>108</v>
      </c>
      <c r="D93" s="143">
        <v>11.5</v>
      </c>
      <c r="E93" s="143" t="s">
        <v>141</v>
      </c>
      <c r="F93" s="143">
        <v>79</v>
      </c>
      <c r="G93" s="143">
        <v>23</v>
      </c>
      <c r="H93" s="143">
        <v>89</v>
      </c>
      <c r="I93" s="143">
        <v>1</v>
      </c>
      <c r="J93" s="143">
        <v>78</v>
      </c>
      <c r="K93" s="143">
        <v>22</v>
      </c>
      <c r="L93" s="143">
        <v>88</v>
      </c>
      <c r="M93" s="143">
        <v>2</v>
      </c>
      <c r="N93" s="143"/>
      <c r="O93" s="143"/>
      <c r="P93" s="143"/>
      <c r="Q93" s="143"/>
      <c r="R93" s="143">
        <v>80</v>
      </c>
      <c r="S93" s="143">
        <v>31</v>
      </c>
      <c r="T93" s="143">
        <v>90</v>
      </c>
      <c r="U93" s="143">
        <v>4</v>
      </c>
      <c r="V93" s="143"/>
      <c r="W93" s="143"/>
      <c r="X93" s="143"/>
      <c r="Y93" s="143"/>
      <c r="Z93" s="143">
        <v>79</v>
      </c>
      <c r="AA93" s="143">
        <v>23</v>
      </c>
      <c r="AB93" s="143">
        <v>89</v>
      </c>
      <c r="AC93" s="143">
        <v>6</v>
      </c>
      <c r="AD93" s="144">
        <f>IF(MIN(F93,J93,N93,R93,V93,Z93)&lt;&gt;0,MIN(F93,J93,N93,R93,V93,Z93),"")</f>
        <v>78</v>
      </c>
      <c r="AE93" s="144">
        <f>IF(MIN(H93,L93,P93,T93,X93,AB93)&lt;&gt;0,MIN(H93,L93,P93,T93,X93,AB93),"")</f>
        <v>88</v>
      </c>
      <c r="AF93" s="144"/>
      <c r="AG93" s="143"/>
      <c r="AH93" s="144"/>
      <c r="AI93" s="143"/>
      <c r="AJ93" s="142" t="str">
        <f>IF(AD93="","",IF(ISBLANK(AF93),"En cours",AD93+AF93))</f>
        <v>En cours</v>
      </c>
      <c r="AK93" s="142" t="str">
        <f>IF(AE93="","",IF(ISBLANK(AH93),"En cours",AE93+AH93))</f>
        <v>En cours</v>
      </c>
    </row>
    <row r="94" spans="2:37" ht="21" x14ac:dyDescent="0.35">
      <c r="B94" s="143" t="s">
        <v>236</v>
      </c>
      <c r="C94" s="143" t="s">
        <v>108</v>
      </c>
      <c r="D94" s="143">
        <v>16.7</v>
      </c>
      <c r="E94" s="143" t="s">
        <v>141</v>
      </c>
      <c r="F94" s="143">
        <v>83</v>
      </c>
      <c r="G94" s="143">
        <v>27</v>
      </c>
      <c r="H94" s="143">
        <v>99</v>
      </c>
      <c r="I94" s="143">
        <v>1</v>
      </c>
      <c r="J94" s="143">
        <v>78</v>
      </c>
      <c r="K94" s="143">
        <v>23</v>
      </c>
      <c r="L94" s="143">
        <v>94</v>
      </c>
      <c r="M94" s="143">
        <v>2</v>
      </c>
      <c r="N94" s="143"/>
      <c r="O94" s="143"/>
      <c r="P94" s="143"/>
      <c r="Q94" s="143"/>
      <c r="R94" s="143">
        <v>84</v>
      </c>
      <c r="S94" s="143">
        <v>34</v>
      </c>
      <c r="T94" s="143">
        <v>100</v>
      </c>
      <c r="U94" s="143">
        <v>4</v>
      </c>
      <c r="V94" s="143"/>
      <c r="W94" s="143"/>
      <c r="X94" s="143"/>
      <c r="Y94" s="143"/>
      <c r="Z94" s="143">
        <v>83</v>
      </c>
      <c r="AA94" s="143">
        <v>27</v>
      </c>
      <c r="AB94" s="143">
        <v>99</v>
      </c>
      <c r="AC94" s="143">
        <v>6</v>
      </c>
      <c r="AD94" s="144">
        <f>IF(MIN(F94,J94,N94,R94,V94,Z94)&lt;&gt;0,MIN(F94,J94,N94,R94,V94,Z94),"")</f>
        <v>78</v>
      </c>
      <c r="AE94" s="144">
        <f>IF(MIN(H94,L94,P94,T94,X94,AB94)&lt;&gt;0,MIN(H94,L94,P94,T94,X94,AB94),"")</f>
        <v>94</v>
      </c>
      <c r="AF94" s="144"/>
      <c r="AG94" s="143"/>
      <c r="AH94" s="144"/>
      <c r="AI94" s="143"/>
      <c r="AJ94" s="142" t="str">
        <f>IF(AD94="","",IF(ISBLANK(AF94),"En cours",AD94+AF94))</f>
        <v>En cours</v>
      </c>
      <c r="AK94" s="142" t="str">
        <f>IF(AE94="","",IF(ISBLANK(AH94),"En cours",AE94+AH94))</f>
        <v>En cours</v>
      </c>
    </row>
    <row r="95" spans="2:37" ht="21" x14ac:dyDescent="0.35">
      <c r="B95" s="143" t="s">
        <v>237</v>
      </c>
      <c r="C95" s="143" t="s">
        <v>108</v>
      </c>
      <c r="D95" s="143">
        <v>16.399999999999999</v>
      </c>
      <c r="E95" s="143" t="s">
        <v>141</v>
      </c>
      <c r="F95" s="143"/>
      <c r="G95" s="143"/>
      <c r="H95" s="143"/>
      <c r="I95" s="143"/>
      <c r="J95" s="143">
        <v>79</v>
      </c>
      <c r="K95" s="143">
        <v>24</v>
      </c>
      <c r="L95" s="143">
        <v>95</v>
      </c>
      <c r="M95" s="143">
        <v>2</v>
      </c>
      <c r="N95" s="143"/>
      <c r="O95" s="143"/>
      <c r="P95" s="143"/>
      <c r="Q95" s="143"/>
      <c r="R95" s="143">
        <v>80</v>
      </c>
      <c r="S95" s="143">
        <v>32</v>
      </c>
      <c r="T95" s="143">
        <v>96</v>
      </c>
      <c r="U95" s="143">
        <v>4</v>
      </c>
      <c r="V95" s="143"/>
      <c r="W95" s="143"/>
      <c r="X95" s="143"/>
      <c r="Y95" s="143"/>
      <c r="Z95" s="143"/>
      <c r="AA95" s="143"/>
      <c r="AB95" s="143"/>
      <c r="AC95" s="143"/>
      <c r="AD95" s="144">
        <f>IF(MIN(F95,J95,N95,R95,V95,Z95)&lt;&gt;0,MIN(F95,J95,N95,R95,V95,Z95),"")</f>
        <v>79</v>
      </c>
      <c r="AE95" s="144">
        <f>IF(MIN(H95,L95,P95,T95,X95,AB95)&lt;&gt;0,MIN(H95,L95,P95,T95,X95,AB95),"")</f>
        <v>95</v>
      </c>
      <c r="AF95" s="144"/>
      <c r="AG95" s="143"/>
      <c r="AH95" s="144"/>
      <c r="AI95" s="143"/>
      <c r="AJ95" s="142" t="str">
        <f>IF(AD95="","",IF(ISBLANK(AF95),"En cours",AD95+AF95))</f>
        <v>En cours</v>
      </c>
      <c r="AK95" s="142" t="str">
        <f>IF(AE95="","",IF(ISBLANK(AH95),"En cours",AE95+AH95))</f>
        <v>En cours</v>
      </c>
    </row>
    <row r="96" spans="2:37" ht="21" x14ac:dyDescent="0.35">
      <c r="B96" s="143" t="s">
        <v>235</v>
      </c>
      <c r="C96" s="143" t="s">
        <v>108</v>
      </c>
      <c r="D96" s="143">
        <v>14.6</v>
      </c>
      <c r="E96" s="143" t="s">
        <v>141</v>
      </c>
      <c r="F96" s="143">
        <v>88</v>
      </c>
      <c r="G96" s="143">
        <v>28</v>
      </c>
      <c r="H96" s="143">
        <v>102</v>
      </c>
      <c r="I96" s="143">
        <v>1</v>
      </c>
      <c r="J96" s="143">
        <v>80</v>
      </c>
      <c r="K96" s="143">
        <v>26</v>
      </c>
      <c r="L96" s="143">
        <v>94</v>
      </c>
      <c r="M96" s="143">
        <v>2</v>
      </c>
      <c r="N96" s="143">
        <v>87</v>
      </c>
      <c r="O96" s="143">
        <v>34</v>
      </c>
      <c r="P96" s="143">
        <v>101</v>
      </c>
      <c r="Q96" s="143">
        <v>3</v>
      </c>
      <c r="R96" s="143"/>
      <c r="S96" s="143"/>
      <c r="T96" s="143"/>
      <c r="U96" s="143"/>
      <c r="V96" s="143"/>
      <c r="W96" s="143"/>
      <c r="X96" s="143"/>
      <c r="Y96" s="143"/>
      <c r="Z96" s="143">
        <v>88</v>
      </c>
      <c r="AA96" s="143">
        <v>28</v>
      </c>
      <c r="AB96" s="143">
        <v>102</v>
      </c>
      <c r="AC96" s="143">
        <v>6</v>
      </c>
      <c r="AD96" s="144">
        <f>IF(MIN(F96,J96,N96,R96,V96,Z96)&lt;&gt;0,MIN(F96,J96,N96,R96,V96,Z96),"")</f>
        <v>80</v>
      </c>
      <c r="AE96" s="144">
        <f>IF(MIN(H96,L96,P96,T96,X96,AB96)&lt;&gt;0,MIN(H96,L96,P96,T96,X96,AB96),"")</f>
        <v>94</v>
      </c>
      <c r="AF96" s="144"/>
      <c r="AG96" s="143"/>
      <c r="AH96" s="144"/>
      <c r="AI96" s="143"/>
      <c r="AJ96" s="142" t="str">
        <f>IF(AD96="","",IF(ISBLANK(AF96),"En cours",AD96+AF96))</f>
        <v>En cours</v>
      </c>
      <c r="AK96" s="142" t="str">
        <f>IF(AE96="","",IF(ISBLANK(AH96),"En cours",AE96+AH96))</f>
        <v>En cours</v>
      </c>
    </row>
    <row r="97" spans="2:37" ht="21" x14ac:dyDescent="0.35">
      <c r="B97" s="143" t="s">
        <v>238</v>
      </c>
      <c r="C97" s="143" t="s">
        <v>108</v>
      </c>
      <c r="D97" s="143">
        <v>17.5</v>
      </c>
      <c r="E97" s="143" t="s">
        <v>141</v>
      </c>
      <c r="F97" s="143"/>
      <c r="G97" s="143"/>
      <c r="H97" s="143"/>
      <c r="I97" s="143"/>
      <c r="J97" s="143">
        <v>89</v>
      </c>
      <c r="K97" s="143">
        <v>37</v>
      </c>
      <c r="L97" s="143">
        <v>106</v>
      </c>
      <c r="M97" s="143">
        <v>2</v>
      </c>
      <c r="N97" s="143"/>
      <c r="O97" s="143"/>
      <c r="P97" s="143"/>
      <c r="Q97" s="143"/>
      <c r="R97" s="143">
        <v>87</v>
      </c>
      <c r="S97" s="143">
        <v>38</v>
      </c>
      <c r="T97" s="143">
        <v>104</v>
      </c>
      <c r="U97" s="143">
        <v>4</v>
      </c>
      <c r="V97" s="143"/>
      <c r="W97" s="143"/>
      <c r="X97" s="143"/>
      <c r="Y97" s="143"/>
      <c r="Z97" s="143"/>
      <c r="AA97" s="143"/>
      <c r="AB97" s="143"/>
      <c r="AC97" s="143"/>
      <c r="AD97" s="144">
        <f>IF(MIN(F97,J97,N97,R97,V97,Z97)&lt;&gt;0,MIN(F97,J97,N97,R97,V97,Z97),"")</f>
        <v>87</v>
      </c>
      <c r="AE97" s="144">
        <f>IF(MIN(H97,L97,P97,T97,X97,AB97)&lt;&gt;0,MIN(H97,L97,P97,T97,X97,AB97),"")</f>
        <v>104</v>
      </c>
      <c r="AF97" s="144"/>
      <c r="AG97" s="143"/>
      <c r="AH97" s="144"/>
      <c r="AI97" s="143"/>
      <c r="AJ97" s="142" t="str">
        <f>IF(AD97="","",IF(ISBLANK(AF97),"En cours",AD97+AF97))</f>
        <v>En cours</v>
      </c>
      <c r="AK97" s="142" t="str">
        <f>IF(AE97="","",IF(ISBLANK(AH97),"En cours",AE97+AH97))</f>
        <v>En cours</v>
      </c>
    </row>
    <row r="98" spans="2:37" ht="21" x14ac:dyDescent="0.35">
      <c r="B98" s="143" t="s">
        <v>239</v>
      </c>
      <c r="C98" s="143" t="s">
        <v>108</v>
      </c>
      <c r="D98" s="143">
        <v>17.899999999999999</v>
      </c>
      <c r="E98" s="143" t="s">
        <v>141</v>
      </c>
      <c r="F98" s="143"/>
      <c r="G98" s="143"/>
      <c r="H98" s="143"/>
      <c r="I98" s="143"/>
      <c r="J98" s="143">
        <v>89</v>
      </c>
      <c r="K98" s="143">
        <v>38</v>
      </c>
      <c r="L98" s="143">
        <v>106</v>
      </c>
      <c r="M98" s="143">
        <v>2</v>
      </c>
      <c r="N98" s="143"/>
      <c r="O98" s="143"/>
      <c r="P98" s="143"/>
      <c r="Q98" s="143"/>
      <c r="R98" s="143"/>
      <c r="S98" s="143"/>
      <c r="T98" s="143"/>
      <c r="U98" s="143"/>
      <c r="V98" s="143"/>
      <c r="W98" s="143"/>
      <c r="X98" s="143"/>
      <c r="Y98" s="143"/>
      <c r="Z98" s="143"/>
      <c r="AA98" s="143"/>
      <c r="AB98" s="143"/>
      <c r="AC98" s="143"/>
      <c r="AD98" s="144">
        <f>IF(MIN(F98,J98,N98,R98,V98,Z98)&lt;&gt;0,MIN(F98,J98,N98,R98,V98,Z98),"")</f>
        <v>89</v>
      </c>
      <c r="AE98" s="144">
        <f>IF(MIN(H98,L98,P98,T98,X98,AB98)&lt;&gt;0,MIN(H98,L98,P98,T98,X98,AB98),"")</f>
        <v>106</v>
      </c>
      <c r="AF98" s="144"/>
      <c r="AG98" s="143"/>
      <c r="AH98" s="144"/>
      <c r="AI98" s="143"/>
      <c r="AJ98" s="142" t="str">
        <f>IF(AD98="","",IF(ISBLANK(AF98),"En cours",AD98+AF98))</f>
        <v>En cours</v>
      </c>
      <c r="AK98" s="142" t="str">
        <f>IF(AE98="","",IF(ISBLANK(AH98),"En cours",AE98+AH98))</f>
        <v>En cours</v>
      </c>
    </row>
    <row r="99" spans="2:37" ht="21" x14ac:dyDescent="0.35">
      <c r="B99" s="143" t="s">
        <v>240</v>
      </c>
      <c r="C99" s="143" t="s">
        <v>108</v>
      </c>
      <c r="D99" s="143">
        <v>15.5</v>
      </c>
      <c r="E99" s="143" t="s">
        <v>141</v>
      </c>
      <c r="F99" s="143"/>
      <c r="G99" s="143"/>
      <c r="H99" s="143"/>
      <c r="I99" s="143"/>
      <c r="J99" s="143">
        <v>95</v>
      </c>
      <c r="K99" s="143">
        <v>39</v>
      </c>
      <c r="L99" s="143">
        <v>110</v>
      </c>
      <c r="M99" s="143">
        <v>2</v>
      </c>
      <c r="N99" s="143"/>
      <c r="O99" s="143"/>
      <c r="P99" s="143"/>
      <c r="Q99" s="143"/>
      <c r="R99" s="143">
        <v>81</v>
      </c>
      <c r="S99" s="143">
        <v>33</v>
      </c>
      <c r="T99" s="143">
        <v>96</v>
      </c>
      <c r="U99" s="143">
        <v>4</v>
      </c>
      <c r="V99" s="143"/>
      <c r="W99" s="143"/>
      <c r="X99" s="143"/>
      <c r="Y99" s="143"/>
      <c r="Z99" s="143"/>
      <c r="AA99" s="143"/>
      <c r="AB99" s="143"/>
      <c r="AC99" s="143"/>
      <c r="AD99" s="144">
        <f>IF(MIN(F99,J99,N99,R99,V99,Z99)&lt;&gt;0,MIN(F99,J99,N99,R99,V99,Z99),"")</f>
        <v>81</v>
      </c>
      <c r="AE99" s="144">
        <f>IF(MIN(H99,L99,P99,T99,X99,AB99)&lt;&gt;0,MIN(H99,L99,P99,T99,X99,AB99),"")</f>
        <v>96</v>
      </c>
      <c r="AF99" s="144"/>
      <c r="AG99" s="143"/>
      <c r="AH99" s="144"/>
      <c r="AI99" s="143"/>
      <c r="AJ99" s="142" t="str">
        <f>IF(AD99="","",IF(ISBLANK(AF99),"En cours",AD99+AF99))</f>
        <v>En cours</v>
      </c>
      <c r="AK99" s="142" t="str">
        <f>IF(AE99="","",IF(ISBLANK(AH99),"En cours",AE99+AH99))</f>
        <v>En cours</v>
      </c>
    </row>
    <row r="100" spans="2:37" ht="21" x14ac:dyDescent="0.35">
      <c r="B100" s="143" t="s">
        <v>241</v>
      </c>
      <c r="C100" s="143" t="s">
        <v>108</v>
      </c>
      <c r="D100" s="143">
        <v>21.6</v>
      </c>
      <c r="E100" s="143" t="s">
        <v>141</v>
      </c>
      <c r="F100" s="143"/>
      <c r="G100" s="143"/>
      <c r="H100" s="143"/>
      <c r="I100" s="143"/>
      <c r="J100" s="143">
        <v>62</v>
      </c>
      <c r="K100" s="143">
        <v>1</v>
      </c>
      <c r="L100" s="143">
        <v>80</v>
      </c>
      <c r="M100" s="143">
        <v>2</v>
      </c>
      <c r="N100" s="143"/>
      <c r="O100" s="143"/>
      <c r="P100" s="143"/>
      <c r="Q100" s="143"/>
      <c r="R100" s="143"/>
      <c r="S100" s="143"/>
      <c r="T100" s="143"/>
      <c r="U100" s="143"/>
      <c r="V100" s="143"/>
      <c r="W100" s="143"/>
      <c r="X100" s="143"/>
      <c r="Y100" s="143"/>
      <c r="Z100" s="143"/>
      <c r="AA100" s="143"/>
      <c r="AB100" s="143"/>
      <c r="AC100" s="143"/>
      <c r="AD100" s="144">
        <f>IF(MIN(F100,J100,N100,R100,V100,Z100)&lt;&gt;0,MIN(F100,J100,N100,R100,V100,Z100),"")</f>
        <v>62</v>
      </c>
      <c r="AE100" s="144">
        <f>IF(MIN(H100,L100,P100,T100,X100,AB100)&lt;&gt;0,MIN(H100,L100,P100,T100,X100,AB100),"")</f>
        <v>80</v>
      </c>
      <c r="AF100" s="144"/>
      <c r="AG100" s="143"/>
      <c r="AH100" s="144"/>
      <c r="AI100" s="143"/>
      <c r="AJ100" s="142" t="str">
        <f>IF(AD100="","",IF(ISBLANK(AF100),"En cours",AD100+AF100))</f>
        <v>En cours</v>
      </c>
      <c r="AK100" s="142" t="str">
        <f>IF(AE100="","",IF(ISBLANK(AH100),"En cours",AE100+AH100))</f>
        <v>En cours</v>
      </c>
    </row>
    <row r="101" spans="2:37" ht="21" x14ac:dyDescent="0.35">
      <c r="B101" s="143" t="s">
        <v>242</v>
      </c>
      <c r="C101" s="143" t="s">
        <v>108</v>
      </c>
      <c r="D101" s="143">
        <v>24.7</v>
      </c>
      <c r="E101" s="143" t="s">
        <v>141</v>
      </c>
      <c r="F101" s="143">
        <v>69</v>
      </c>
      <c r="G101" s="143">
        <v>1</v>
      </c>
      <c r="H101" s="143">
        <v>90</v>
      </c>
      <c r="I101" s="143">
        <v>1</v>
      </c>
      <c r="J101" s="143">
        <v>67</v>
      </c>
      <c r="K101" s="143">
        <v>2</v>
      </c>
      <c r="L101" s="143">
        <v>88</v>
      </c>
      <c r="M101" s="143">
        <v>2</v>
      </c>
      <c r="N101" s="143"/>
      <c r="O101" s="143"/>
      <c r="P101" s="143"/>
      <c r="Q101" s="143"/>
      <c r="R101" s="143">
        <v>72</v>
      </c>
      <c r="S101" s="143">
        <v>7</v>
      </c>
      <c r="T101" s="143">
        <v>93</v>
      </c>
      <c r="U101" s="143">
        <v>4</v>
      </c>
      <c r="V101" s="143"/>
      <c r="W101" s="143"/>
      <c r="X101" s="143"/>
      <c r="Y101" s="143"/>
      <c r="Z101" s="143">
        <v>69</v>
      </c>
      <c r="AA101" s="143">
        <v>1</v>
      </c>
      <c r="AB101" s="143">
        <v>90</v>
      </c>
      <c r="AC101" s="143">
        <v>6</v>
      </c>
      <c r="AD101" s="144">
        <f>IF(MIN(F101,J101,N101,R101,V101,Z101)&lt;&gt;0,MIN(F101,J101,N101,R101,V101,Z101),"")</f>
        <v>67</v>
      </c>
      <c r="AE101" s="144">
        <f>IF(MIN(H101,L101,P101,T101,X101,AB101)&lt;&gt;0,MIN(H101,L101,P101,T101,X101,AB101),"")</f>
        <v>88</v>
      </c>
      <c r="AF101" s="144"/>
      <c r="AG101" s="143"/>
      <c r="AH101" s="144"/>
      <c r="AI101" s="143"/>
      <c r="AJ101" s="142" t="str">
        <f>IF(AD101="","",IF(ISBLANK(AF101),"En cours",AD101+AF101))</f>
        <v>En cours</v>
      </c>
      <c r="AK101" s="142" t="str">
        <f>IF(AE101="","",IF(ISBLANK(AH101),"En cours",AE101+AH101))</f>
        <v>En cours</v>
      </c>
    </row>
    <row r="102" spans="2:37" ht="21" x14ac:dyDescent="0.35">
      <c r="B102" s="143" t="s">
        <v>244</v>
      </c>
      <c r="C102" s="143" t="s">
        <v>108</v>
      </c>
      <c r="D102" s="143">
        <v>25.6</v>
      </c>
      <c r="E102" s="143" t="s">
        <v>141</v>
      </c>
      <c r="F102" s="143"/>
      <c r="G102" s="143"/>
      <c r="H102" s="143"/>
      <c r="I102" s="143"/>
      <c r="J102" s="143">
        <v>68</v>
      </c>
      <c r="K102" s="143">
        <v>3</v>
      </c>
      <c r="L102" s="143">
        <v>90</v>
      </c>
      <c r="M102" s="143">
        <v>2</v>
      </c>
      <c r="N102" s="143"/>
      <c r="O102" s="143"/>
      <c r="P102" s="143"/>
      <c r="Q102" s="143"/>
      <c r="R102" s="143">
        <v>67</v>
      </c>
      <c r="S102" s="143">
        <v>3</v>
      </c>
      <c r="T102" s="143">
        <v>89</v>
      </c>
      <c r="U102" s="143">
        <v>4</v>
      </c>
      <c r="V102" s="143"/>
      <c r="W102" s="143"/>
      <c r="X102" s="143"/>
      <c r="Y102" s="143"/>
      <c r="Z102" s="143"/>
      <c r="AA102" s="143"/>
      <c r="AB102" s="143"/>
      <c r="AC102" s="143"/>
      <c r="AD102" s="144">
        <f>IF(MIN(F102,J102,N102,R102,V102,Z102)&lt;&gt;0,MIN(F102,J102,N102,R102,V102,Z102),"")</f>
        <v>67</v>
      </c>
      <c r="AE102" s="144">
        <f>IF(MIN(H102,L102,P102,T102,X102,AB102)&lt;&gt;0,MIN(H102,L102,P102,T102,X102,AB102),"")</f>
        <v>89</v>
      </c>
      <c r="AF102" s="144"/>
      <c r="AG102" s="143"/>
      <c r="AH102" s="144"/>
      <c r="AI102" s="143"/>
      <c r="AJ102" s="142" t="str">
        <f>IF(AD102="","",IF(ISBLANK(AF102),"En cours",AD102+AF102))</f>
        <v>En cours</v>
      </c>
      <c r="AK102" s="142" t="str">
        <f>IF(AE102="","",IF(ISBLANK(AH102),"En cours",AE102+AH102))</f>
        <v>En cours</v>
      </c>
    </row>
    <row r="103" spans="2:37" ht="21" x14ac:dyDescent="0.35">
      <c r="B103" s="143" t="s">
        <v>246</v>
      </c>
      <c r="C103" s="143" t="s">
        <v>108</v>
      </c>
      <c r="D103" s="143">
        <v>28.9</v>
      </c>
      <c r="E103" s="143" t="s">
        <v>141</v>
      </c>
      <c r="F103" s="143"/>
      <c r="G103" s="143"/>
      <c r="H103" s="143"/>
      <c r="I103" s="143"/>
      <c r="J103" s="143">
        <v>70</v>
      </c>
      <c r="K103" s="143">
        <v>5</v>
      </c>
      <c r="L103" s="143">
        <v>92</v>
      </c>
      <c r="M103" s="143">
        <v>2</v>
      </c>
      <c r="N103" s="143"/>
      <c r="O103" s="143"/>
      <c r="P103" s="143"/>
      <c r="Q103" s="143"/>
      <c r="R103" s="143"/>
      <c r="S103" s="143"/>
      <c r="T103" s="143"/>
      <c r="U103" s="143"/>
      <c r="V103" s="143"/>
      <c r="W103" s="143"/>
      <c r="X103" s="143"/>
      <c r="Y103" s="143"/>
      <c r="Z103" s="143"/>
      <c r="AA103" s="143"/>
      <c r="AB103" s="143"/>
      <c r="AC103" s="143"/>
      <c r="AD103" s="144">
        <f>IF(MIN(F103,J103,N103,R103,V103,Z103)&lt;&gt;0,MIN(F103,J103,N103,R103,V103,Z103),"")</f>
        <v>70</v>
      </c>
      <c r="AE103" s="144">
        <f>IF(MIN(H103,L103,P103,T103,X103,AB103)&lt;&gt;0,MIN(H103,L103,P103,T103,X103,AB103),"")</f>
        <v>92</v>
      </c>
      <c r="AF103" s="144"/>
      <c r="AG103" s="143"/>
      <c r="AH103" s="144"/>
      <c r="AI103" s="143"/>
      <c r="AJ103" s="142" t="str">
        <f>IF(AD103="","",IF(ISBLANK(AF103),"En cours",AD103+AF103))</f>
        <v>En cours</v>
      </c>
      <c r="AK103" s="142" t="str">
        <f>IF(AE103="","",IF(ISBLANK(AH103),"En cours",AE103+AH103))</f>
        <v>En cours</v>
      </c>
    </row>
    <row r="104" spans="2:37" ht="21" x14ac:dyDescent="0.35">
      <c r="B104" s="143" t="s">
        <v>243</v>
      </c>
      <c r="C104" s="143" t="s">
        <v>108</v>
      </c>
      <c r="D104" s="143">
        <v>19.399999999999999</v>
      </c>
      <c r="E104" s="143" t="s">
        <v>141</v>
      </c>
      <c r="F104" s="143"/>
      <c r="G104" s="143"/>
      <c r="H104" s="143"/>
      <c r="I104" s="143"/>
      <c r="J104" s="143">
        <v>72</v>
      </c>
      <c r="K104" s="143">
        <v>7</v>
      </c>
      <c r="L104" s="143">
        <v>88</v>
      </c>
      <c r="M104" s="143">
        <v>2</v>
      </c>
      <c r="N104" s="143"/>
      <c r="O104" s="143"/>
      <c r="P104" s="143"/>
      <c r="Q104" s="143"/>
      <c r="R104" s="143">
        <v>76</v>
      </c>
      <c r="S104" s="143">
        <v>14</v>
      </c>
      <c r="T104" s="143">
        <v>92</v>
      </c>
      <c r="U104" s="143">
        <v>4</v>
      </c>
      <c r="V104" s="143"/>
      <c r="W104" s="143"/>
      <c r="X104" s="143"/>
      <c r="Y104" s="143"/>
      <c r="Z104" s="143"/>
      <c r="AA104" s="143"/>
      <c r="AB104" s="143"/>
      <c r="AC104" s="143"/>
      <c r="AD104" s="144">
        <f>IF(MIN(F104,J104,N104,R104,V104,Z104)&lt;&gt;0,MIN(F104,J104,N104,R104,V104,Z104),"")</f>
        <v>72</v>
      </c>
      <c r="AE104" s="144">
        <f>IF(MIN(H104,L104,P104,T104,X104,AB104)&lt;&gt;0,MIN(H104,L104,P104,T104,X104,AB104),"")</f>
        <v>88</v>
      </c>
      <c r="AF104" s="144"/>
      <c r="AG104" s="143"/>
      <c r="AH104" s="144"/>
      <c r="AI104" s="143"/>
      <c r="AJ104" s="142" t="str">
        <f>IF(AD104="","",IF(ISBLANK(AF104),"En cours",AD104+AF104))</f>
        <v>En cours</v>
      </c>
      <c r="AK104" s="142" t="str">
        <f>IF(AE104="","",IF(ISBLANK(AH104),"En cours",AE104+AH104))</f>
        <v>En cours</v>
      </c>
    </row>
    <row r="105" spans="2:37" ht="21" x14ac:dyDescent="0.35">
      <c r="B105" s="143" t="s">
        <v>260</v>
      </c>
      <c r="C105" s="143" t="s">
        <v>184</v>
      </c>
      <c r="D105" s="143">
        <v>35</v>
      </c>
      <c r="E105" s="143" t="s">
        <v>141</v>
      </c>
      <c r="F105" s="143"/>
      <c r="G105" s="143"/>
      <c r="H105" s="143"/>
      <c r="I105" s="143"/>
      <c r="J105" s="143">
        <v>72</v>
      </c>
      <c r="K105" s="143">
        <v>8</v>
      </c>
      <c r="L105" s="143">
        <v>101</v>
      </c>
      <c r="M105" s="143">
        <v>2</v>
      </c>
      <c r="N105" s="143"/>
      <c r="O105" s="143"/>
      <c r="P105" s="143"/>
      <c r="Q105" s="143"/>
      <c r="R105" s="143"/>
      <c r="S105" s="143"/>
      <c r="T105" s="143"/>
      <c r="U105" s="143"/>
      <c r="V105" s="143"/>
      <c r="W105" s="143"/>
      <c r="X105" s="143"/>
      <c r="Y105" s="143"/>
      <c r="Z105" s="143"/>
      <c r="AA105" s="143"/>
      <c r="AB105" s="143"/>
      <c r="AC105" s="143"/>
      <c r="AD105" s="144">
        <f>IF(MIN(F105,J105,N105,R105,V105,Z105)&lt;&gt;0,MIN(F105,J105,N105,R105,V105,Z105),"")</f>
        <v>72</v>
      </c>
      <c r="AE105" s="144">
        <f>IF(MIN(H105,L105,P105,T105,X105,AB105)&lt;&gt;0,MIN(H105,L105,P105,T105,X105,AB105),"")</f>
        <v>101</v>
      </c>
      <c r="AF105" s="144"/>
      <c r="AG105" s="143"/>
      <c r="AH105" s="144"/>
      <c r="AI105" s="143"/>
      <c r="AJ105" s="142" t="str">
        <f>IF(AD105="","",IF(ISBLANK(AF105),"En cours",AD105+AF105))</f>
        <v>En cours</v>
      </c>
      <c r="AK105" s="142" t="str">
        <f>IF(AE105="","",IF(ISBLANK(AH105),"En cours",AE105+AH105))</f>
        <v>En cours</v>
      </c>
    </row>
    <row r="106" spans="2:37" ht="21" x14ac:dyDescent="0.35">
      <c r="B106" s="143" t="s">
        <v>257</v>
      </c>
      <c r="C106" s="143" t="s">
        <v>108</v>
      </c>
      <c r="D106" s="143">
        <v>31.8</v>
      </c>
      <c r="E106" s="143" t="s">
        <v>141</v>
      </c>
      <c r="F106" s="143"/>
      <c r="G106" s="143"/>
      <c r="H106" s="143"/>
      <c r="I106" s="143"/>
      <c r="J106" s="143">
        <v>72</v>
      </c>
      <c r="K106" s="143">
        <v>9</v>
      </c>
      <c r="L106" s="143">
        <v>97</v>
      </c>
      <c r="M106" s="143">
        <v>2</v>
      </c>
      <c r="N106" s="143"/>
      <c r="O106" s="143"/>
      <c r="P106" s="143"/>
      <c r="Q106" s="143"/>
      <c r="R106" s="143"/>
      <c r="S106" s="143"/>
      <c r="T106" s="143"/>
      <c r="U106" s="143"/>
      <c r="V106" s="143"/>
      <c r="W106" s="143"/>
      <c r="X106" s="143"/>
      <c r="Y106" s="143"/>
      <c r="Z106" s="143"/>
      <c r="AA106" s="143"/>
      <c r="AB106" s="143"/>
      <c r="AC106" s="143"/>
      <c r="AD106" s="144">
        <f>IF(MIN(F106,J106,N106,R106,V106,Z106)&lt;&gt;0,MIN(F106,J106,N106,R106,V106,Z106),"")</f>
        <v>72</v>
      </c>
      <c r="AE106" s="144">
        <f>IF(MIN(H106,L106,P106,T106,X106,AB106)&lt;&gt;0,MIN(H106,L106,P106,T106,X106,AB106),"")</f>
        <v>97</v>
      </c>
      <c r="AF106" s="144"/>
      <c r="AG106" s="143"/>
      <c r="AH106" s="144"/>
      <c r="AI106" s="143"/>
      <c r="AJ106" s="142" t="str">
        <f>IF(AD106="","",IF(ISBLANK(AF106),"En cours",AD106+AF106))</f>
        <v>En cours</v>
      </c>
      <c r="AK106" s="142" t="str">
        <f>IF(AE106="","",IF(ISBLANK(AH106),"En cours",AE106+AH106))</f>
        <v>En cours</v>
      </c>
    </row>
    <row r="107" spans="2:37" ht="21" x14ac:dyDescent="0.35">
      <c r="B107" s="143" t="s">
        <v>248</v>
      </c>
      <c r="C107" s="143" t="s">
        <v>108</v>
      </c>
      <c r="D107" s="143">
        <v>23.2</v>
      </c>
      <c r="E107" s="143" t="s">
        <v>141</v>
      </c>
      <c r="F107" s="143"/>
      <c r="G107" s="143"/>
      <c r="H107" s="143"/>
      <c r="I107" s="143"/>
      <c r="J107" s="143">
        <v>73</v>
      </c>
      <c r="K107" s="143">
        <v>10</v>
      </c>
      <c r="L107" s="143">
        <v>93</v>
      </c>
      <c r="M107" s="143">
        <v>2</v>
      </c>
      <c r="N107" s="143">
        <v>76</v>
      </c>
      <c r="O107" s="143">
        <v>22</v>
      </c>
      <c r="P107" s="143">
        <v>96</v>
      </c>
      <c r="Q107" s="143">
        <v>3</v>
      </c>
      <c r="R107" s="143"/>
      <c r="S107" s="143"/>
      <c r="T107" s="143"/>
      <c r="U107" s="143"/>
      <c r="V107" s="143"/>
      <c r="W107" s="143"/>
      <c r="X107" s="143"/>
      <c r="Y107" s="143"/>
      <c r="Z107" s="143"/>
      <c r="AA107" s="143"/>
      <c r="AB107" s="143"/>
      <c r="AC107" s="143"/>
      <c r="AD107" s="144">
        <f>IF(MIN(F107,J107,N107,R107,V107,Z107)&lt;&gt;0,MIN(F107,J107,N107,R107,V107,Z107),"")</f>
        <v>73</v>
      </c>
      <c r="AE107" s="144">
        <f>IF(MIN(H107,L107,P107,T107,X107,AB107)&lt;&gt;0,MIN(H107,L107,P107,T107,X107,AB107),"")</f>
        <v>93</v>
      </c>
      <c r="AF107" s="144"/>
      <c r="AG107" s="143"/>
      <c r="AH107" s="144"/>
      <c r="AI107" s="143"/>
      <c r="AJ107" s="142" t="str">
        <f>IF(AD107="","",IF(ISBLANK(AF107),"En cours",AD107+AF107))</f>
        <v>En cours</v>
      </c>
      <c r="AK107" s="142" t="str">
        <f>IF(AE107="","",IF(ISBLANK(AH107),"En cours",AE107+AH107))</f>
        <v>En cours</v>
      </c>
    </row>
    <row r="108" spans="2:37" ht="21" x14ac:dyDescent="0.35">
      <c r="B108" s="143" t="s">
        <v>245</v>
      </c>
      <c r="C108" s="143" t="s">
        <v>108</v>
      </c>
      <c r="D108" s="143">
        <v>21.4</v>
      </c>
      <c r="E108" s="143" t="s">
        <v>141</v>
      </c>
      <c r="F108" s="143"/>
      <c r="G108" s="143"/>
      <c r="H108" s="143"/>
      <c r="I108" s="143"/>
      <c r="J108" s="143">
        <v>74</v>
      </c>
      <c r="K108" s="143">
        <v>11</v>
      </c>
      <c r="L108" s="143">
        <v>92</v>
      </c>
      <c r="M108" s="143">
        <v>2</v>
      </c>
      <c r="N108" s="143"/>
      <c r="O108" s="143"/>
      <c r="P108" s="143"/>
      <c r="Q108" s="143"/>
      <c r="R108" s="143">
        <v>83</v>
      </c>
      <c r="S108" s="143">
        <v>29</v>
      </c>
      <c r="T108" s="143">
        <v>101</v>
      </c>
      <c r="U108" s="143">
        <v>4</v>
      </c>
      <c r="V108" s="143">
        <v>68</v>
      </c>
      <c r="W108" s="143">
        <v>4</v>
      </c>
      <c r="X108" s="143">
        <v>86</v>
      </c>
      <c r="Y108" s="143">
        <v>5</v>
      </c>
      <c r="Z108" s="143"/>
      <c r="AA108" s="143"/>
      <c r="AB108" s="143"/>
      <c r="AC108" s="143"/>
      <c r="AD108" s="144">
        <f>IF(MIN(F108,J108,N108,R108,V108,Z108)&lt;&gt;0,MIN(F108,J108,N108,R108,V108,Z108),"")</f>
        <v>68</v>
      </c>
      <c r="AE108" s="144">
        <f>IF(MIN(H108,L108,P108,T108,X108,AB108)&lt;&gt;0,MIN(H108,L108,P108,T108,X108,AB108),"")</f>
        <v>86</v>
      </c>
      <c r="AF108" s="144"/>
      <c r="AG108" s="143"/>
      <c r="AH108" s="144"/>
      <c r="AI108" s="143"/>
      <c r="AJ108" s="142" t="str">
        <f>IF(AD108="","",IF(ISBLANK(AF108),"En cours",AD108+AF108))</f>
        <v>En cours</v>
      </c>
      <c r="AK108" s="142" t="str">
        <f>IF(AE108="","",IF(ISBLANK(AH108),"En cours",AE108+AH108))</f>
        <v>En cours</v>
      </c>
    </row>
    <row r="109" spans="2:37" ht="21" x14ac:dyDescent="0.35">
      <c r="B109" s="143" t="s">
        <v>256</v>
      </c>
      <c r="C109" s="143" t="s">
        <v>108</v>
      </c>
      <c r="D109" s="143">
        <v>25.8</v>
      </c>
      <c r="E109" s="143" t="s">
        <v>141</v>
      </c>
      <c r="F109" s="143"/>
      <c r="G109" s="143"/>
      <c r="H109" s="143"/>
      <c r="I109" s="143"/>
      <c r="J109" s="143">
        <v>75</v>
      </c>
      <c r="K109" s="143">
        <v>13</v>
      </c>
      <c r="L109" s="143">
        <v>97</v>
      </c>
      <c r="M109" s="143">
        <v>2</v>
      </c>
      <c r="N109" s="143"/>
      <c r="O109" s="143"/>
      <c r="P109" s="143"/>
      <c r="Q109" s="143"/>
      <c r="R109" s="143"/>
      <c r="S109" s="143"/>
      <c r="T109" s="143"/>
      <c r="U109" s="143"/>
      <c r="V109" s="143"/>
      <c r="W109" s="143"/>
      <c r="X109" s="143"/>
      <c r="Y109" s="143"/>
      <c r="Z109" s="143"/>
      <c r="AA109" s="143"/>
      <c r="AB109" s="143"/>
      <c r="AC109" s="143"/>
      <c r="AD109" s="144">
        <f>IF(MIN(F109,J109,N109,R109,V109,Z109)&lt;&gt;0,MIN(F109,J109,N109,R109,V109,Z109),"")</f>
        <v>75</v>
      </c>
      <c r="AE109" s="144">
        <f>IF(MIN(H109,L109,P109,T109,X109,AB109)&lt;&gt;0,MIN(H109,L109,P109,T109,X109,AB109),"")</f>
        <v>97</v>
      </c>
      <c r="AF109" s="144"/>
      <c r="AG109" s="143"/>
      <c r="AH109" s="144"/>
      <c r="AI109" s="143"/>
      <c r="AJ109" s="142" t="str">
        <f>IF(AD109="","",IF(ISBLANK(AF109),"En cours",AD109+AF109))</f>
        <v>En cours</v>
      </c>
      <c r="AK109" s="142" t="str">
        <f>IF(AE109="","",IF(ISBLANK(AH109),"En cours",AE109+AH109))</f>
        <v>En cours</v>
      </c>
    </row>
    <row r="110" spans="2:37" ht="21" x14ac:dyDescent="0.35">
      <c r="B110" s="143" t="s">
        <v>250</v>
      </c>
      <c r="C110" s="143" t="s">
        <v>108</v>
      </c>
      <c r="D110" s="143">
        <v>22.2</v>
      </c>
      <c r="E110" s="143" t="s">
        <v>141</v>
      </c>
      <c r="F110" s="143"/>
      <c r="G110" s="143"/>
      <c r="H110" s="143"/>
      <c r="I110" s="143"/>
      <c r="J110" s="143">
        <v>75</v>
      </c>
      <c r="K110" s="143">
        <v>15</v>
      </c>
      <c r="L110" s="143">
        <v>94</v>
      </c>
      <c r="M110" s="143">
        <v>2</v>
      </c>
      <c r="N110" s="143">
        <v>80</v>
      </c>
      <c r="O110" s="143">
        <v>28</v>
      </c>
      <c r="P110" s="143">
        <v>99</v>
      </c>
      <c r="Q110" s="143">
        <v>3</v>
      </c>
      <c r="R110" s="143"/>
      <c r="S110" s="143"/>
      <c r="T110" s="143"/>
      <c r="U110" s="143"/>
      <c r="V110" s="143"/>
      <c r="W110" s="143"/>
      <c r="X110" s="143"/>
      <c r="Y110" s="143"/>
      <c r="Z110" s="143"/>
      <c r="AA110" s="143"/>
      <c r="AB110" s="143"/>
      <c r="AC110" s="143"/>
      <c r="AD110" s="144">
        <f>IF(MIN(F110,J110,N110,R110,V110,Z110)&lt;&gt;0,MIN(F110,J110,N110,R110,V110,Z110),"")</f>
        <v>75</v>
      </c>
      <c r="AE110" s="144">
        <f>IF(MIN(H110,L110,P110,T110,X110,AB110)&lt;&gt;0,MIN(H110,L110,P110,T110,X110,AB110),"")</f>
        <v>94</v>
      </c>
      <c r="AF110" s="144"/>
      <c r="AG110" s="143"/>
      <c r="AH110" s="144"/>
      <c r="AI110" s="143"/>
      <c r="AJ110" s="142" t="str">
        <f>IF(AD110="","",IF(ISBLANK(AF110),"En cours",AD110+AF110))</f>
        <v>En cours</v>
      </c>
      <c r="AK110" s="142" t="str">
        <f>IF(AE110="","",IF(ISBLANK(AH110),"En cours",AE110+AH110))</f>
        <v>En cours</v>
      </c>
    </row>
    <row r="111" spans="2:37" ht="21" x14ac:dyDescent="0.35">
      <c r="B111" s="143" t="s">
        <v>254</v>
      </c>
      <c r="C111" s="143" t="s">
        <v>145</v>
      </c>
      <c r="D111" s="143">
        <v>23.5</v>
      </c>
      <c r="E111" s="143" t="s">
        <v>141</v>
      </c>
      <c r="F111" s="143"/>
      <c r="G111" s="143"/>
      <c r="H111" s="143"/>
      <c r="I111" s="143"/>
      <c r="J111" s="143">
        <v>75</v>
      </c>
      <c r="K111" s="143">
        <v>16</v>
      </c>
      <c r="L111" s="143">
        <v>95</v>
      </c>
      <c r="M111" s="143">
        <v>2</v>
      </c>
      <c r="N111" s="143"/>
      <c r="O111" s="143"/>
      <c r="P111" s="143"/>
      <c r="Q111" s="143"/>
      <c r="R111" s="143"/>
      <c r="S111" s="143"/>
      <c r="T111" s="143"/>
      <c r="U111" s="143"/>
      <c r="V111" s="143"/>
      <c r="W111" s="143"/>
      <c r="X111" s="143"/>
      <c r="Y111" s="143"/>
      <c r="Z111" s="143"/>
      <c r="AA111" s="143"/>
      <c r="AB111" s="143"/>
      <c r="AC111" s="143"/>
      <c r="AD111" s="144">
        <f>IF(MIN(F111,J111,N111,R111,V111,Z111)&lt;&gt;0,MIN(F111,J111,N111,R111,V111,Z111),"")</f>
        <v>75</v>
      </c>
      <c r="AE111" s="144">
        <f>IF(MIN(H111,L111,P111,T111,X111,AB111)&lt;&gt;0,MIN(H111,L111,P111,T111,X111,AB111),"")</f>
        <v>95</v>
      </c>
      <c r="AF111" s="144"/>
      <c r="AG111" s="143"/>
      <c r="AH111" s="144"/>
      <c r="AI111" s="143"/>
      <c r="AJ111" s="142" t="str">
        <f>IF(AD111="","",IF(ISBLANK(AF111),"En cours",AD111+AF111))</f>
        <v>En cours</v>
      </c>
      <c r="AK111" s="142" t="str">
        <f>IF(AE111="","",IF(ISBLANK(AH111),"En cours",AE111+AH111))</f>
        <v>En cours</v>
      </c>
    </row>
    <row r="112" spans="2:37" ht="21" x14ac:dyDescent="0.35">
      <c r="B112" s="143" t="s">
        <v>247</v>
      </c>
      <c r="C112" s="143" t="s">
        <v>108</v>
      </c>
      <c r="D112" s="143">
        <v>20.399999999999999</v>
      </c>
      <c r="E112" s="143" t="s">
        <v>141</v>
      </c>
      <c r="F112" s="143">
        <v>70</v>
      </c>
      <c r="G112" s="143">
        <v>4</v>
      </c>
      <c r="H112" s="143">
        <v>87</v>
      </c>
      <c r="I112" s="143">
        <v>1</v>
      </c>
      <c r="J112" s="143">
        <v>75</v>
      </c>
      <c r="K112" s="143">
        <v>17</v>
      </c>
      <c r="L112" s="143">
        <v>92</v>
      </c>
      <c r="M112" s="143">
        <v>2</v>
      </c>
      <c r="N112" s="143"/>
      <c r="O112" s="143"/>
      <c r="P112" s="143"/>
      <c r="Q112" s="143"/>
      <c r="R112" s="143">
        <v>69</v>
      </c>
      <c r="S112" s="143">
        <v>5</v>
      </c>
      <c r="T112" s="143">
        <v>86</v>
      </c>
      <c r="U112" s="143">
        <v>4</v>
      </c>
      <c r="V112" s="143"/>
      <c r="W112" s="143"/>
      <c r="X112" s="143"/>
      <c r="Y112" s="143"/>
      <c r="Z112" s="143">
        <v>70</v>
      </c>
      <c r="AA112" s="143">
        <v>4</v>
      </c>
      <c r="AB112" s="143">
        <v>87</v>
      </c>
      <c r="AC112" s="143">
        <v>6</v>
      </c>
      <c r="AD112" s="144">
        <f>IF(MIN(F112,J112,N112,R112,V112,Z112)&lt;&gt;0,MIN(F112,J112,N112,R112,V112,Z112),"")</f>
        <v>69</v>
      </c>
      <c r="AE112" s="144">
        <f>IF(MIN(H112,L112,P112,T112,X112,AB112)&lt;&gt;0,MIN(H112,L112,P112,T112,X112,AB112),"")</f>
        <v>86</v>
      </c>
      <c r="AF112" s="144"/>
      <c r="AG112" s="143"/>
      <c r="AH112" s="144"/>
      <c r="AI112" s="143"/>
      <c r="AJ112" s="142" t="str">
        <f>IF(AD112="","",IF(ISBLANK(AF112),"En cours",AD112+AF112))</f>
        <v>En cours</v>
      </c>
      <c r="AK112" s="142" t="str">
        <f>IF(AE112="","",IF(ISBLANK(AH112),"En cours",AE112+AH112))</f>
        <v>En cours</v>
      </c>
    </row>
    <row r="113" spans="2:37" ht="21" x14ac:dyDescent="0.35">
      <c r="B113" s="143" t="s">
        <v>251</v>
      </c>
      <c r="C113" s="143" t="s">
        <v>108</v>
      </c>
      <c r="D113" s="143">
        <v>22</v>
      </c>
      <c r="E113" s="143" t="s">
        <v>141</v>
      </c>
      <c r="F113" s="143">
        <v>73</v>
      </c>
      <c r="G113" s="143">
        <v>7</v>
      </c>
      <c r="H113" s="143">
        <v>91</v>
      </c>
      <c r="I113" s="143">
        <v>1</v>
      </c>
      <c r="J113" s="143">
        <v>76</v>
      </c>
      <c r="K113" s="143">
        <v>18</v>
      </c>
      <c r="L113" s="143">
        <v>94</v>
      </c>
      <c r="M113" s="143">
        <v>2</v>
      </c>
      <c r="N113" s="143"/>
      <c r="O113" s="143"/>
      <c r="P113" s="143"/>
      <c r="Q113" s="143"/>
      <c r="R113" s="143">
        <v>68</v>
      </c>
      <c r="S113" s="143">
        <v>4</v>
      </c>
      <c r="T113" s="143">
        <v>86</v>
      </c>
      <c r="U113" s="143">
        <v>4</v>
      </c>
      <c r="V113" s="143"/>
      <c r="W113" s="143"/>
      <c r="X113" s="143"/>
      <c r="Y113" s="143"/>
      <c r="Z113" s="143">
        <v>73</v>
      </c>
      <c r="AA113" s="143">
        <v>7</v>
      </c>
      <c r="AB113" s="143">
        <v>91</v>
      </c>
      <c r="AC113" s="143">
        <v>6</v>
      </c>
      <c r="AD113" s="144">
        <f>IF(MIN(F113,J113,N113,R113,V113,Z113)&lt;&gt;0,MIN(F113,J113,N113,R113,V113,Z113),"")</f>
        <v>68</v>
      </c>
      <c r="AE113" s="144">
        <f>IF(MIN(H113,L113,P113,T113,X113,AB113)&lt;&gt;0,MIN(H113,L113,P113,T113,X113,AB113),"")</f>
        <v>86</v>
      </c>
      <c r="AF113" s="144"/>
      <c r="AG113" s="143"/>
      <c r="AH113" s="144"/>
      <c r="AI113" s="143"/>
      <c r="AJ113" s="142" t="str">
        <f>IF(AD113="","",IF(ISBLANK(AF113),"En cours",AD113+AF113))</f>
        <v>En cours</v>
      </c>
      <c r="AK113" s="142" t="str">
        <f>IF(AE113="","",IF(ISBLANK(AH113),"En cours",AE113+AH113))</f>
        <v>En cours</v>
      </c>
    </row>
    <row r="114" spans="2:37" ht="21" x14ac:dyDescent="0.35">
      <c r="B114" s="143" t="s">
        <v>252</v>
      </c>
      <c r="C114" s="143" t="s">
        <v>108</v>
      </c>
      <c r="D114" s="143">
        <v>20.7</v>
      </c>
      <c r="E114" s="143" t="s">
        <v>141</v>
      </c>
      <c r="F114" s="143">
        <v>75</v>
      </c>
      <c r="G114" s="143">
        <v>10</v>
      </c>
      <c r="H114" s="143">
        <v>92</v>
      </c>
      <c r="I114" s="143">
        <v>1</v>
      </c>
      <c r="J114" s="143">
        <v>77</v>
      </c>
      <c r="K114" s="143">
        <v>19</v>
      </c>
      <c r="L114" s="143">
        <v>94</v>
      </c>
      <c r="M114" s="143">
        <v>2</v>
      </c>
      <c r="N114" s="143"/>
      <c r="O114" s="143"/>
      <c r="P114" s="143"/>
      <c r="Q114" s="143"/>
      <c r="R114" s="143"/>
      <c r="S114" s="143"/>
      <c r="T114" s="143"/>
      <c r="U114" s="143"/>
      <c r="V114" s="143"/>
      <c r="W114" s="143"/>
      <c r="X114" s="143"/>
      <c r="Y114" s="143"/>
      <c r="Z114" s="143">
        <v>75</v>
      </c>
      <c r="AA114" s="143">
        <v>10</v>
      </c>
      <c r="AB114" s="143">
        <v>92</v>
      </c>
      <c r="AC114" s="143">
        <v>6</v>
      </c>
      <c r="AD114" s="144">
        <f>IF(MIN(F114,J114,N114,R114,V114,Z114)&lt;&gt;0,MIN(F114,J114,N114,R114,V114,Z114),"")</f>
        <v>75</v>
      </c>
      <c r="AE114" s="144">
        <f>IF(MIN(H114,L114,P114,T114,X114,AB114)&lt;&gt;0,MIN(H114,L114,P114,T114,X114,AB114),"")</f>
        <v>92</v>
      </c>
      <c r="AF114" s="144"/>
      <c r="AG114" s="143"/>
      <c r="AH114" s="144"/>
      <c r="AI114" s="143"/>
      <c r="AJ114" s="142" t="str">
        <f>IF(AD114="","",IF(ISBLANK(AF114),"En cours",AD114+AF114))</f>
        <v>En cours</v>
      </c>
      <c r="AK114" s="142" t="str">
        <f>IF(AE114="","",IF(ISBLANK(AH114),"En cours",AE114+AH114))</f>
        <v>En cours</v>
      </c>
    </row>
    <row r="115" spans="2:37" ht="21" x14ac:dyDescent="0.35">
      <c r="B115" s="143" t="s">
        <v>253</v>
      </c>
      <c r="C115" s="143" t="s">
        <v>108</v>
      </c>
      <c r="D115" s="143">
        <v>21.3</v>
      </c>
      <c r="E115" s="143" t="s">
        <v>141</v>
      </c>
      <c r="F115" s="143"/>
      <c r="G115" s="143"/>
      <c r="H115" s="143"/>
      <c r="I115" s="143"/>
      <c r="J115" s="143">
        <v>77</v>
      </c>
      <c r="K115" s="143">
        <v>20</v>
      </c>
      <c r="L115" s="143">
        <v>95</v>
      </c>
      <c r="M115" s="143">
        <v>2</v>
      </c>
      <c r="N115" s="143"/>
      <c r="O115" s="143"/>
      <c r="P115" s="143"/>
      <c r="Q115" s="143"/>
      <c r="R115" s="143">
        <v>73</v>
      </c>
      <c r="S115" s="143">
        <v>8</v>
      </c>
      <c r="T115" s="143">
        <v>91</v>
      </c>
      <c r="U115" s="143">
        <v>4</v>
      </c>
      <c r="V115" s="143"/>
      <c r="W115" s="143"/>
      <c r="X115" s="143"/>
      <c r="Y115" s="143"/>
      <c r="Z115" s="143"/>
      <c r="AA115" s="143"/>
      <c r="AB115" s="143"/>
      <c r="AC115" s="143"/>
      <c r="AD115" s="144">
        <f>IF(MIN(F115,J115,N115,R115,V115,Z115)&lt;&gt;0,MIN(F115,J115,N115,R115,V115,Z115),"")</f>
        <v>73</v>
      </c>
      <c r="AE115" s="144">
        <f>IF(MIN(H115,L115,P115,T115,X115,AB115)&lt;&gt;0,MIN(H115,L115,P115,T115,X115,AB115),"")</f>
        <v>91</v>
      </c>
      <c r="AF115" s="144"/>
      <c r="AG115" s="143"/>
      <c r="AH115" s="144"/>
      <c r="AI115" s="143"/>
      <c r="AJ115" s="142" t="str">
        <f>IF(AD115="","",IF(ISBLANK(AF115),"En cours",AD115+AF115))</f>
        <v>En cours</v>
      </c>
      <c r="AK115" s="142" t="str">
        <f>IF(AE115="","",IF(ISBLANK(AH115),"En cours",AE115+AH115))</f>
        <v>En cours</v>
      </c>
    </row>
    <row r="116" spans="2:37" ht="21" x14ac:dyDescent="0.35">
      <c r="B116" s="143" t="s">
        <v>255</v>
      </c>
      <c r="C116" s="143" t="s">
        <v>108</v>
      </c>
      <c r="D116" s="143">
        <v>22.6</v>
      </c>
      <c r="E116" s="143" t="s">
        <v>141</v>
      </c>
      <c r="F116" s="143">
        <v>75</v>
      </c>
      <c r="G116" s="143">
        <v>9</v>
      </c>
      <c r="H116" s="143">
        <v>94</v>
      </c>
      <c r="I116" s="143">
        <v>1</v>
      </c>
      <c r="J116" s="143">
        <v>77</v>
      </c>
      <c r="K116" s="143">
        <v>21</v>
      </c>
      <c r="L116" s="143">
        <v>96</v>
      </c>
      <c r="M116" s="143">
        <v>2</v>
      </c>
      <c r="N116" s="143"/>
      <c r="O116" s="143"/>
      <c r="P116" s="143"/>
      <c r="Q116" s="143"/>
      <c r="R116" s="143"/>
      <c r="S116" s="143"/>
      <c r="T116" s="143"/>
      <c r="U116" s="143"/>
      <c r="V116" s="143"/>
      <c r="W116" s="143"/>
      <c r="X116" s="143"/>
      <c r="Y116" s="143"/>
      <c r="Z116" s="143">
        <v>75</v>
      </c>
      <c r="AA116" s="143">
        <v>9</v>
      </c>
      <c r="AB116" s="143">
        <v>94</v>
      </c>
      <c r="AC116" s="143">
        <v>6</v>
      </c>
      <c r="AD116" s="144">
        <f>IF(MIN(F116,J116,N116,R116,V116,Z116)&lt;&gt;0,MIN(F116,J116,N116,R116,V116,Z116),"")</f>
        <v>75</v>
      </c>
      <c r="AE116" s="144">
        <f>IF(MIN(H116,L116,P116,T116,X116,AB116)&lt;&gt;0,MIN(H116,L116,P116,T116,X116,AB116),"")</f>
        <v>94</v>
      </c>
      <c r="AF116" s="144"/>
      <c r="AG116" s="143"/>
      <c r="AH116" s="144"/>
      <c r="AI116" s="143"/>
      <c r="AJ116" s="142" t="str">
        <f>IF(AD116="","",IF(ISBLANK(AF116),"En cours",AD116+AF116))</f>
        <v>En cours</v>
      </c>
      <c r="AK116" s="142" t="str">
        <f>IF(AE116="","",IF(ISBLANK(AH116),"En cours",AE116+AH116))</f>
        <v>En cours</v>
      </c>
    </row>
    <row r="117" spans="2:37" ht="21" x14ac:dyDescent="0.35">
      <c r="B117" s="143" t="s">
        <v>249</v>
      </c>
      <c r="C117" s="143" t="s">
        <v>108</v>
      </c>
      <c r="D117" s="143">
        <v>19.899999999999999</v>
      </c>
      <c r="E117" s="143" t="s">
        <v>141</v>
      </c>
      <c r="F117" s="143"/>
      <c r="G117" s="143"/>
      <c r="H117" s="143"/>
      <c r="I117" s="143"/>
      <c r="J117" s="143">
        <v>77</v>
      </c>
      <c r="K117" s="143">
        <v>22</v>
      </c>
      <c r="L117" s="143">
        <v>93</v>
      </c>
      <c r="M117" s="143">
        <v>2</v>
      </c>
      <c r="N117" s="143"/>
      <c r="O117" s="143"/>
      <c r="P117" s="143"/>
      <c r="Q117" s="143"/>
      <c r="R117" s="143"/>
      <c r="S117" s="143"/>
      <c r="T117" s="143"/>
      <c r="U117" s="143"/>
      <c r="V117" s="143"/>
      <c r="W117" s="143"/>
      <c r="X117" s="143"/>
      <c r="Y117" s="143"/>
      <c r="Z117" s="143"/>
      <c r="AA117" s="143"/>
      <c r="AB117" s="143"/>
      <c r="AC117" s="143"/>
      <c r="AD117" s="144">
        <f>IF(MIN(F117,J117,N117,R117,V117,Z117)&lt;&gt;0,MIN(F117,J117,N117,R117,V117,Z117),"")</f>
        <v>77</v>
      </c>
      <c r="AE117" s="144">
        <f>IF(MIN(H117,L117,P117,T117,X117,AB117)&lt;&gt;0,MIN(H117,L117,P117,T117,X117,AB117),"")</f>
        <v>93</v>
      </c>
      <c r="AF117" s="144"/>
      <c r="AG117" s="143"/>
      <c r="AH117" s="144"/>
      <c r="AI117" s="143"/>
      <c r="AJ117" s="142" t="str">
        <f>IF(AD117="","",IF(ISBLANK(AF117),"En cours",AD117+AF117))</f>
        <v>En cours</v>
      </c>
      <c r="AK117" s="142" t="str">
        <f>IF(AE117="","",IF(ISBLANK(AH117),"En cours",AE117+AH117))</f>
        <v>En cours</v>
      </c>
    </row>
    <row r="118" spans="2:37" ht="21" x14ac:dyDescent="0.35">
      <c r="B118" s="143" t="s">
        <v>258</v>
      </c>
      <c r="C118" s="143" t="s">
        <v>108</v>
      </c>
      <c r="D118" s="143">
        <v>23</v>
      </c>
      <c r="E118" s="143" t="s">
        <v>141</v>
      </c>
      <c r="F118" s="143"/>
      <c r="G118" s="143"/>
      <c r="H118" s="143"/>
      <c r="I118" s="143"/>
      <c r="J118" s="143">
        <v>78</v>
      </c>
      <c r="K118" s="143">
        <v>23</v>
      </c>
      <c r="L118" s="143">
        <v>98</v>
      </c>
      <c r="M118" s="143">
        <v>2</v>
      </c>
      <c r="N118" s="143"/>
      <c r="O118" s="143"/>
      <c r="P118" s="143"/>
      <c r="Q118" s="143"/>
      <c r="R118" s="143">
        <v>74</v>
      </c>
      <c r="S118" s="143">
        <v>11</v>
      </c>
      <c r="T118" s="143">
        <v>94</v>
      </c>
      <c r="U118" s="143">
        <v>4</v>
      </c>
      <c r="V118" s="143"/>
      <c r="W118" s="143"/>
      <c r="X118" s="143"/>
      <c r="Y118" s="143"/>
      <c r="Z118" s="143"/>
      <c r="AA118" s="143"/>
      <c r="AB118" s="143"/>
      <c r="AC118" s="143"/>
      <c r="AD118" s="144">
        <f>IF(MIN(F118,J118,N118,R118,V118,Z118)&lt;&gt;0,MIN(F118,J118,N118,R118,V118,Z118),"")</f>
        <v>74</v>
      </c>
      <c r="AE118" s="144">
        <f>IF(MIN(H118,L118,P118,T118,X118,AB118)&lt;&gt;0,MIN(H118,L118,P118,T118,X118,AB118),"")</f>
        <v>94</v>
      </c>
      <c r="AF118" s="144"/>
      <c r="AG118" s="143"/>
      <c r="AH118" s="144"/>
      <c r="AI118" s="143"/>
      <c r="AJ118" s="142" t="str">
        <f>IF(AD118="","",IF(ISBLANK(AF118),"En cours",AD118+AF118))</f>
        <v>En cours</v>
      </c>
      <c r="AK118" s="142" t="str">
        <f>IF(AE118="","",IF(ISBLANK(AH118),"En cours",AE118+AH118))</f>
        <v>En cours</v>
      </c>
    </row>
    <row r="119" spans="2:37" ht="21" x14ac:dyDescent="0.35">
      <c r="B119" s="143" t="s">
        <v>259</v>
      </c>
      <c r="C119" s="143" t="s">
        <v>108</v>
      </c>
      <c r="D119" s="143">
        <v>25.5</v>
      </c>
      <c r="E119" s="143" t="s">
        <v>141</v>
      </c>
      <c r="F119" s="143"/>
      <c r="G119" s="143"/>
      <c r="H119" s="143"/>
      <c r="I119" s="143"/>
      <c r="J119" s="143">
        <v>78</v>
      </c>
      <c r="K119" s="143">
        <v>25</v>
      </c>
      <c r="L119" s="143">
        <v>100</v>
      </c>
      <c r="M119" s="143">
        <v>2</v>
      </c>
      <c r="N119" s="143"/>
      <c r="O119" s="143"/>
      <c r="P119" s="143"/>
      <c r="Q119" s="143"/>
      <c r="R119" s="143"/>
      <c r="S119" s="143"/>
      <c r="T119" s="143"/>
      <c r="U119" s="143"/>
      <c r="V119" s="143"/>
      <c r="W119" s="143"/>
      <c r="X119" s="143"/>
      <c r="Y119" s="143"/>
      <c r="Z119" s="143"/>
      <c r="AA119" s="143"/>
      <c r="AB119" s="143"/>
      <c r="AC119" s="143"/>
      <c r="AD119" s="144">
        <f>IF(MIN(F119,J119,N119,R119,V119,Z119)&lt;&gt;0,MIN(F119,J119,N119,R119,V119,Z119),"")</f>
        <v>78</v>
      </c>
      <c r="AE119" s="144">
        <f>IF(MIN(H119,L119,P119,T119,X119,AB119)&lt;&gt;0,MIN(H119,L119,P119,T119,X119,AB119),"")</f>
        <v>100</v>
      </c>
      <c r="AF119" s="144"/>
      <c r="AG119" s="143"/>
      <c r="AH119" s="144"/>
      <c r="AI119" s="143"/>
      <c r="AJ119" s="142" t="str">
        <f>IF(AD119="","",IF(ISBLANK(AF119),"En cours",AD119+AF119))</f>
        <v>En cours</v>
      </c>
      <c r="AK119" s="142" t="str">
        <f>IF(AE119="","",IF(ISBLANK(AH119),"En cours",AE119+AH119))</f>
        <v>En cours</v>
      </c>
    </row>
    <row r="120" spans="2:37" ht="21" x14ac:dyDescent="0.35">
      <c r="B120" s="143" t="s">
        <v>266</v>
      </c>
      <c r="C120" s="143" t="s">
        <v>108</v>
      </c>
      <c r="D120" s="143">
        <v>11.4</v>
      </c>
      <c r="E120" s="143" t="s">
        <v>141</v>
      </c>
      <c r="F120" s="143">
        <v>68</v>
      </c>
      <c r="G120" s="143">
        <v>1</v>
      </c>
      <c r="H120" s="143">
        <v>82</v>
      </c>
      <c r="I120" s="143">
        <v>1</v>
      </c>
      <c r="J120" s="143"/>
      <c r="K120" s="143"/>
      <c r="L120" s="143"/>
      <c r="M120" s="143"/>
      <c r="N120" s="143">
        <v>72</v>
      </c>
      <c r="O120" s="143">
        <v>4</v>
      </c>
      <c r="P120" s="143">
        <v>86</v>
      </c>
      <c r="Q120" s="143">
        <v>3</v>
      </c>
      <c r="R120" s="143">
        <v>67</v>
      </c>
      <c r="S120" s="143">
        <v>1</v>
      </c>
      <c r="T120" s="143">
        <v>81</v>
      </c>
      <c r="U120" s="143">
        <v>4</v>
      </c>
      <c r="V120" s="143">
        <v>66</v>
      </c>
      <c r="W120" s="143">
        <v>1</v>
      </c>
      <c r="X120" s="143">
        <v>80</v>
      </c>
      <c r="Y120" s="143">
        <v>5</v>
      </c>
      <c r="Z120" s="143">
        <v>68</v>
      </c>
      <c r="AA120" s="143">
        <v>1</v>
      </c>
      <c r="AB120" s="143">
        <v>82</v>
      </c>
      <c r="AC120" s="143">
        <v>6</v>
      </c>
      <c r="AD120" s="144">
        <f>IF(MIN(F120,J120,N120,R120,V120,Z120)&lt;&gt;0,MIN(F120,J120,N120,R120,V120,Z120),"")</f>
        <v>66</v>
      </c>
      <c r="AE120" s="144">
        <f>IF(MIN(H120,L120,P120,T120,X120,AB120)&lt;&gt;0,MIN(H120,L120,P120,T120,X120,AB120),"")</f>
        <v>80</v>
      </c>
      <c r="AF120" s="144"/>
      <c r="AG120" s="143"/>
      <c r="AH120" s="144"/>
      <c r="AI120" s="143"/>
      <c r="AJ120" s="142" t="str">
        <f>IF(AD120="","",IF(ISBLANK(AF120),"En cours",AD120+AF120))</f>
        <v>En cours</v>
      </c>
      <c r="AK120" s="142" t="str">
        <f>IF(AE120="","",IF(ISBLANK(AH120),"En cours",AE120+AH120))</f>
        <v>En cours</v>
      </c>
    </row>
    <row r="121" spans="2:37" ht="21" x14ac:dyDescent="0.35">
      <c r="B121" s="143" t="s">
        <v>267</v>
      </c>
      <c r="C121" s="143" t="s">
        <v>108</v>
      </c>
      <c r="D121" s="143">
        <v>13.7</v>
      </c>
      <c r="E121" s="143" t="s">
        <v>141</v>
      </c>
      <c r="F121" s="143">
        <v>70</v>
      </c>
      <c r="G121" s="143">
        <v>4</v>
      </c>
      <c r="H121" s="143">
        <v>83</v>
      </c>
      <c r="I121" s="143">
        <v>1</v>
      </c>
      <c r="J121" s="143"/>
      <c r="K121" s="143"/>
      <c r="L121" s="143"/>
      <c r="M121" s="143"/>
      <c r="N121" s="143">
        <v>73</v>
      </c>
      <c r="O121" s="143">
        <v>11</v>
      </c>
      <c r="P121" s="143">
        <v>86</v>
      </c>
      <c r="Q121" s="143">
        <v>3</v>
      </c>
      <c r="R121" s="143"/>
      <c r="S121" s="143"/>
      <c r="T121" s="143"/>
      <c r="U121" s="143"/>
      <c r="V121" s="143"/>
      <c r="W121" s="143"/>
      <c r="X121" s="143"/>
      <c r="Y121" s="143"/>
      <c r="Z121" s="143">
        <v>70</v>
      </c>
      <c r="AA121" s="143">
        <v>4</v>
      </c>
      <c r="AB121" s="143">
        <v>83</v>
      </c>
      <c r="AC121" s="143">
        <v>6</v>
      </c>
      <c r="AD121" s="144">
        <f>IF(MIN(F121,J121,N121,R121,V121,Z121)&lt;&gt;0,MIN(F121,J121,N121,R121,V121,Z121),"")</f>
        <v>70</v>
      </c>
      <c r="AE121" s="144">
        <f>IF(MIN(H121,L121,P121,T121,X121,AB121)&lt;&gt;0,MIN(H121,L121,P121,T121,X121,AB121),"")</f>
        <v>83</v>
      </c>
      <c r="AF121" s="144"/>
      <c r="AG121" s="143"/>
      <c r="AH121" s="144"/>
      <c r="AI121" s="143"/>
      <c r="AJ121" s="142" t="str">
        <f>IF(AD121="","",IF(ISBLANK(AF121),"En cours",AD121+AF121))</f>
        <v>En cours</v>
      </c>
      <c r="AK121" s="142" t="str">
        <f>IF(AE121="","",IF(ISBLANK(AH121),"En cours",AE121+AH121))</f>
        <v>En cours</v>
      </c>
    </row>
    <row r="122" spans="2:37" ht="21" x14ac:dyDescent="0.35">
      <c r="B122" s="143" t="s">
        <v>268</v>
      </c>
      <c r="C122" s="143" t="s">
        <v>108</v>
      </c>
      <c r="D122" s="143">
        <v>14.3</v>
      </c>
      <c r="E122" s="143" t="s">
        <v>141</v>
      </c>
      <c r="F122" s="143">
        <v>81</v>
      </c>
      <c r="G122" s="143">
        <v>26</v>
      </c>
      <c r="H122" s="143">
        <v>94</v>
      </c>
      <c r="I122" s="143">
        <v>1</v>
      </c>
      <c r="J122" s="143"/>
      <c r="K122" s="143"/>
      <c r="L122" s="143"/>
      <c r="M122" s="143"/>
      <c r="N122" s="143">
        <v>74</v>
      </c>
      <c r="O122" s="143">
        <v>13</v>
      </c>
      <c r="P122" s="143">
        <v>87</v>
      </c>
      <c r="Q122" s="143">
        <v>3</v>
      </c>
      <c r="R122" s="143">
        <v>74</v>
      </c>
      <c r="S122" s="143">
        <v>15</v>
      </c>
      <c r="T122" s="143">
        <v>87</v>
      </c>
      <c r="U122" s="143">
        <v>4</v>
      </c>
      <c r="V122" s="143">
        <v>77</v>
      </c>
      <c r="W122" s="143">
        <v>17</v>
      </c>
      <c r="X122" s="143">
        <v>90</v>
      </c>
      <c r="Y122" s="143">
        <v>5</v>
      </c>
      <c r="Z122" s="143">
        <v>81</v>
      </c>
      <c r="AA122" s="143">
        <v>26</v>
      </c>
      <c r="AB122" s="143">
        <v>94</v>
      </c>
      <c r="AC122" s="143">
        <v>6</v>
      </c>
      <c r="AD122" s="144">
        <f>IF(MIN(F122,J122,N122,R122,V122,Z122)&lt;&gt;0,MIN(F122,J122,N122,R122,V122,Z122),"")</f>
        <v>74</v>
      </c>
      <c r="AE122" s="144">
        <f>IF(MIN(H122,L122,P122,T122,X122,AB122)&lt;&gt;0,MIN(H122,L122,P122,T122,X122,AB122),"")</f>
        <v>87</v>
      </c>
      <c r="AF122" s="144"/>
      <c r="AG122" s="143"/>
      <c r="AH122" s="144"/>
      <c r="AI122" s="143"/>
      <c r="AJ122" s="142" t="str">
        <f>IF(AD122="","",IF(ISBLANK(AF122),"En cours",AD122+AF122))</f>
        <v>En cours</v>
      </c>
      <c r="AK122" s="142" t="str">
        <f>IF(AE122="","",IF(ISBLANK(AH122),"En cours",AE122+AH122))</f>
        <v>En cours</v>
      </c>
    </row>
    <row r="123" spans="2:37" ht="21" x14ac:dyDescent="0.35">
      <c r="B123" s="143" t="s">
        <v>269</v>
      </c>
      <c r="C123" s="143" t="s">
        <v>270</v>
      </c>
      <c r="D123" s="143">
        <v>14.2</v>
      </c>
      <c r="E123" s="143" t="s">
        <v>141</v>
      </c>
      <c r="F123" s="143"/>
      <c r="G123" s="143"/>
      <c r="H123" s="143"/>
      <c r="I123" s="143"/>
      <c r="J123" s="143"/>
      <c r="K123" s="143"/>
      <c r="L123" s="143"/>
      <c r="M123" s="143"/>
      <c r="N123" s="143">
        <v>78</v>
      </c>
      <c r="O123" s="143">
        <v>23</v>
      </c>
      <c r="P123" s="143">
        <v>91</v>
      </c>
      <c r="Q123" s="143">
        <v>3</v>
      </c>
      <c r="R123" s="143"/>
      <c r="S123" s="143"/>
      <c r="T123" s="143"/>
      <c r="U123" s="143"/>
      <c r="V123" s="143">
        <v>79</v>
      </c>
      <c r="W123" s="143">
        <v>23</v>
      </c>
      <c r="X123" s="143">
        <v>92</v>
      </c>
      <c r="Y123" s="143">
        <v>5</v>
      </c>
      <c r="Z123" s="143"/>
      <c r="AA123" s="143"/>
      <c r="AB123" s="143"/>
      <c r="AC123" s="143"/>
      <c r="AD123" s="144">
        <f>IF(MIN(F123,J123,N123,R123,V123,Z123)&lt;&gt;0,MIN(F123,J123,N123,R123,V123,Z123),"")</f>
        <v>78</v>
      </c>
      <c r="AE123" s="144">
        <f>IF(MIN(H123,L123,P123,T123,X123,AB123)&lt;&gt;0,MIN(H123,L123,P123,T123,X123,AB123),"")</f>
        <v>91</v>
      </c>
      <c r="AF123" s="144"/>
      <c r="AG123" s="143"/>
      <c r="AH123" s="144"/>
      <c r="AI123" s="143"/>
      <c r="AJ123" s="142" t="str">
        <f>IF(AD123="","",IF(ISBLANK(AF123),"En cours",AD123+AF123))</f>
        <v>En cours</v>
      </c>
      <c r="AK123" s="142" t="str">
        <f>IF(AE123="","",IF(ISBLANK(AH123),"En cours",AE123+AH123))</f>
        <v>En cours</v>
      </c>
    </row>
    <row r="124" spans="2:37" ht="21" x14ac:dyDescent="0.35">
      <c r="B124" s="143" t="s">
        <v>274</v>
      </c>
      <c r="C124" s="143" t="s">
        <v>108</v>
      </c>
      <c r="D124" s="143">
        <v>33</v>
      </c>
      <c r="E124" s="143" t="s">
        <v>141</v>
      </c>
      <c r="F124" s="143"/>
      <c r="G124" s="143"/>
      <c r="H124" s="143"/>
      <c r="I124" s="143"/>
      <c r="J124" s="143"/>
      <c r="K124" s="143"/>
      <c r="L124" s="143"/>
      <c r="M124" s="143"/>
      <c r="N124" s="143">
        <v>67</v>
      </c>
      <c r="O124" s="143">
        <v>3</v>
      </c>
      <c r="P124" s="143">
        <v>94</v>
      </c>
      <c r="Q124" s="143">
        <v>3</v>
      </c>
      <c r="R124" s="143"/>
      <c r="S124" s="143"/>
      <c r="T124" s="143"/>
      <c r="U124" s="143"/>
      <c r="V124" s="143"/>
      <c r="W124" s="143"/>
      <c r="X124" s="143"/>
      <c r="Y124" s="143"/>
      <c r="Z124" s="143"/>
      <c r="AA124" s="143"/>
      <c r="AB124" s="143"/>
      <c r="AC124" s="143"/>
      <c r="AD124" s="144">
        <f>IF(MIN(F124,J124,N124,R124,V124,Z124)&lt;&gt;0,MIN(F124,J124,N124,R124,V124,Z124),"")</f>
        <v>67</v>
      </c>
      <c r="AE124" s="144">
        <f>IF(MIN(H124,L124,P124,T124,X124,AB124)&lt;&gt;0,MIN(H124,L124,P124,T124,X124,AB124),"")</f>
        <v>94</v>
      </c>
      <c r="AF124" s="144"/>
      <c r="AG124" s="143"/>
      <c r="AH124" s="144"/>
      <c r="AI124" s="143"/>
      <c r="AJ124" s="142" t="str">
        <f>IF(AD124="","",IF(ISBLANK(AF124),"En cours",AD124+AF124))</f>
        <v>En cours</v>
      </c>
      <c r="AK124" s="142" t="str">
        <f>IF(AE124="","",IF(ISBLANK(AH124),"En cours",AE124+AH124))</f>
        <v>En cours</v>
      </c>
    </row>
    <row r="125" spans="2:37" ht="21" x14ac:dyDescent="0.35">
      <c r="B125" s="143" t="s">
        <v>272</v>
      </c>
      <c r="C125" s="143" t="s">
        <v>108</v>
      </c>
      <c r="D125" s="143">
        <v>24.6</v>
      </c>
      <c r="E125" s="143" t="s">
        <v>141</v>
      </c>
      <c r="F125" s="143"/>
      <c r="G125" s="143"/>
      <c r="H125" s="143"/>
      <c r="I125" s="143"/>
      <c r="J125" s="143"/>
      <c r="K125" s="143"/>
      <c r="L125" s="143"/>
      <c r="M125" s="143"/>
      <c r="N125" s="143">
        <v>70</v>
      </c>
      <c r="O125" s="143">
        <v>6</v>
      </c>
      <c r="P125" s="143">
        <v>91</v>
      </c>
      <c r="Q125" s="143">
        <v>3</v>
      </c>
      <c r="R125" s="143"/>
      <c r="S125" s="143"/>
      <c r="T125" s="143"/>
      <c r="U125" s="143"/>
      <c r="V125" s="143"/>
      <c r="W125" s="143"/>
      <c r="X125" s="143"/>
      <c r="Y125" s="143"/>
      <c r="Z125" s="143"/>
      <c r="AA125" s="143"/>
      <c r="AB125" s="143"/>
      <c r="AC125" s="143"/>
      <c r="AD125" s="144">
        <f>IF(MIN(F125,J125,N125,R125,V125,Z125)&lt;&gt;0,MIN(F125,J125,N125,R125,V125,Z125),"")</f>
        <v>70</v>
      </c>
      <c r="AE125" s="144">
        <f>IF(MIN(H125,L125,P125,T125,X125,AB125)&lt;&gt;0,MIN(H125,L125,P125,T125,X125,AB125),"")</f>
        <v>91</v>
      </c>
      <c r="AF125" s="144"/>
      <c r="AG125" s="143"/>
      <c r="AH125" s="144"/>
      <c r="AI125" s="143"/>
      <c r="AJ125" s="142" t="str">
        <f>IF(AD125="","",IF(ISBLANK(AF125),"En cours",AD125+AF125))</f>
        <v>En cours</v>
      </c>
      <c r="AK125" s="142" t="str">
        <f>IF(AE125="","",IF(ISBLANK(AH125),"En cours",AE125+AH125))</f>
        <v>En cours</v>
      </c>
    </row>
    <row r="126" spans="2:37" ht="21" x14ac:dyDescent="0.35">
      <c r="B126" s="143" t="s">
        <v>278</v>
      </c>
      <c r="C126" s="143" t="s">
        <v>108</v>
      </c>
      <c r="D126" s="143">
        <v>31.9</v>
      </c>
      <c r="E126" s="143" t="s">
        <v>141</v>
      </c>
      <c r="F126" s="143"/>
      <c r="G126" s="143"/>
      <c r="H126" s="143"/>
      <c r="I126" s="143"/>
      <c r="J126" s="143"/>
      <c r="K126" s="143"/>
      <c r="L126" s="143"/>
      <c r="M126" s="143"/>
      <c r="N126" s="143">
        <v>71</v>
      </c>
      <c r="O126" s="143">
        <v>7</v>
      </c>
      <c r="P126" s="143">
        <v>96</v>
      </c>
      <c r="Q126" s="143">
        <v>3</v>
      </c>
      <c r="R126" s="143"/>
      <c r="S126" s="143"/>
      <c r="T126" s="143"/>
      <c r="U126" s="143"/>
      <c r="V126" s="143"/>
      <c r="W126" s="143"/>
      <c r="X126" s="143"/>
      <c r="Y126" s="143"/>
      <c r="Z126" s="143"/>
      <c r="AA126" s="143"/>
      <c r="AB126" s="143"/>
      <c r="AC126" s="143"/>
      <c r="AD126" s="144">
        <f>IF(MIN(F126,J126,N126,R126,V126,Z126)&lt;&gt;0,MIN(F126,J126,N126,R126,V126,Z126),"")</f>
        <v>71</v>
      </c>
      <c r="AE126" s="144">
        <f>IF(MIN(H126,L126,P126,T126,X126,AB126)&lt;&gt;0,MIN(H126,L126,P126,T126,X126,AB126),"")</f>
        <v>96</v>
      </c>
      <c r="AF126" s="144"/>
      <c r="AG126" s="143"/>
      <c r="AH126" s="144"/>
      <c r="AI126" s="143"/>
      <c r="AJ126" s="142" t="str">
        <f>IF(AD126="","",IF(ISBLANK(AF126),"En cours",AD126+AF126))</f>
        <v>En cours</v>
      </c>
      <c r="AK126" s="142" t="str">
        <f>IF(AE126="","",IF(ISBLANK(AH126),"En cours",AE126+AH126))</f>
        <v>En cours</v>
      </c>
    </row>
    <row r="127" spans="2:37" ht="21" x14ac:dyDescent="0.35">
      <c r="B127" s="143" t="s">
        <v>271</v>
      </c>
      <c r="C127" s="143" t="s">
        <v>108</v>
      </c>
      <c r="D127" s="143">
        <v>19.8</v>
      </c>
      <c r="E127" s="143" t="s">
        <v>141</v>
      </c>
      <c r="F127" s="143">
        <v>78</v>
      </c>
      <c r="G127" s="143">
        <v>14</v>
      </c>
      <c r="H127" s="143">
        <v>94</v>
      </c>
      <c r="I127" s="143">
        <v>1</v>
      </c>
      <c r="J127" s="143"/>
      <c r="K127" s="143"/>
      <c r="L127" s="143"/>
      <c r="M127" s="143"/>
      <c r="N127" s="143">
        <v>74</v>
      </c>
      <c r="O127" s="143">
        <v>13</v>
      </c>
      <c r="P127" s="143">
        <v>90</v>
      </c>
      <c r="Q127" s="143">
        <v>3</v>
      </c>
      <c r="R127" s="143"/>
      <c r="S127" s="143"/>
      <c r="T127" s="143"/>
      <c r="U127" s="143"/>
      <c r="V127" s="143"/>
      <c r="W127" s="143"/>
      <c r="X127" s="143"/>
      <c r="Y127" s="143"/>
      <c r="Z127" s="143">
        <v>78</v>
      </c>
      <c r="AA127" s="143">
        <v>14</v>
      </c>
      <c r="AB127" s="143">
        <v>94</v>
      </c>
      <c r="AC127" s="143">
        <v>6</v>
      </c>
      <c r="AD127" s="144">
        <f>IF(MIN(F127,J127,N127,R127,V127,Z127)&lt;&gt;0,MIN(F127,J127,N127,R127,V127,Z127),"")</f>
        <v>74</v>
      </c>
      <c r="AE127" s="144">
        <f>IF(MIN(H127,L127,P127,T127,X127,AB127)&lt;&gt;0,MIN(H127,L127,P127,T127,X127,AB127),"")</f>
        <v>90</v>
      </c>
      <c r="AF127" s="144"/>
      <c r="AG127" s="143"/>
      <c r="AH127" s="144"/>
      <c r="AI127" s="143"/>
      <c r="AJ127" s="142" t="str">
        <f>IF(AD127="","",IF(ISBLANK(AF127),"En cours",AD127+AF127))</f>
        <v>En cours</v>
      </c>
      <c r="AK127" s="142" t="str">
        <f>IF(AE127="","",IF(ISBLANK(AH127),"En cours",AE127+AH127))</f>
        <v>En cours</v>
      </c>
    </row>
    <row r="128" spans="2:37" ht="21" x14ac:dyDescent="0.35">
      <c r="B128" s="143" t="s">
        <v>276</v>
      </c>
      <c r="C128" s="143" t="s">
        <v>108</v>
      </c>
      <c r="D128" s="143">
        <v>24</v>
      </c>
      <c r="E128" s="143" t="s">
        <v>141</v>
      </c>
      <c r="F128" s="143"/>
      <c r="G128" s="143"/>
      <c r="H128" s="143"/>
      <c r="I128" s="143"/>
      <c r="J128" s="143"/>
      <c r="K128" s="143"/>
      <c r="L128" s="143"/>
      <c r="M128" s="143"/>
      <c r="N128" s="143">
        <v>74</v>
      </c>
      <c r="O128" s="143">
        <v>14</v>
      </c>
      <c r="P128" s="143">
        <v>95</v>
      </c>
      <c r="Q128" s="143">
        <v>3</v>
      </c>
      <c r="R128" s="143"/>
      <c r="S128" s="143"/>
      <c r="T128" s="143"/>
      <c r="U128" s="143"/>
      <c r="V128" s="143"/>
      <c r="W128" s="143"/>
      <c r="X128" s="143"/>
      <c r="Y128" s="143"/>
      <c r="Z128" s="143"/>
      <c r="AA128" s="143"/>
      <c r="AB128" s="143"/>
      <c r="AC128" s="143"/>
      <c r="AD128" s="144">
        <f>IF(MIN(F128,J128,N128,R128,V128,Z128)&lt;&gt;0,MIN(F128,J128,N128,R128,V128,Z128),"")</f>
        <v>74</v>
      </c>
      <c r="AE128" s="144">
        <f>IF(MIN(H128,L128,P128,T128,X128,AB128)&lt;&gt;0,MIN(H128,L128,P128,T128,X128,AB128),"")</f>
        <v>95</v>
      </c>
      <c r="AF128" s="144"/>
      <c r="AG128" s="143"/>
      <c r="AH128" s="144"/>
      <c r="AI128" s="143"/>
      <c r="AJ128" s="142" t="str">
        <f>IF(AD128="","",IF(ISBLANK(AF128),"En cours",AD128+AF128))</f>
        <v>En cours</v>
      </c>
      <c r="AK128" s="142" t="str">
        <f>IF(AE128="","",IF(ISBLANK(AH128),"En cours",AE128+AH128))</f>
        <v>En cours</v>
      </c>
    </row>
    <row r="129" spans="2:37" ht="21" x14ac:dyDescent="0.35">
      <c r="B129" s="143" t="s">
        <v>281</v>
      </c>
      <c r="C129" s="143" t="s">
        <v>108</v>
      </c>
      <c r="D129" s="143">
        <v>33.299999999999997</v>
      </c>
      <c r="E129" s="143" t="s">
        <v>141</v>
      </c>
      <c r="F129" s="143"/>
      <c r="G129" s="143"/>
      <c r="H129" s="143"/>
      <c r="I129" s="143"/>
      <c r="J129" s="143"/>
      <c r="K129" s="143"/>
      <c r="L129" s="143"/>
      <c r="M129" s="143"/>
      <c r="N129" s="143">
        <v>74</v>
      </c>
      <c r="O129" s="143">
        <v>15</v>
      </c>
      <c r="P129" s="143">
        <v>101</v>
      </c>
      <c r="Q129" s="143">
        <v>3</v>
      </c>
      <c r="R129" s="143"/>
      <c r="S129" s="143"/>
      <c r="T129" s="143"/>
      <c r="U129" s="143"/>
      <c r="V129" s="143">
        <v>65</v>
      </c>
      <c r="W129" s="143">
        <v>2</v>
      </c>
      <c r="X129" s="143">
        <v>92</v>
      </c>
      <c r="Y129" s="143">
        <v>5</v>
      </c>
      <c r="Z129" s="143"/>
      <c r="AA129" s="143"/>
      <c r="AB129" s="143"/>
      <c r="AC129" s="143"/>
      <c r="AD129" s="144">
        <f>IF(MIN(F129,J129,N129,R129,V129,Z129)&lt;&gt;0,MIN(F129,J129,N129,R129,V129,Z129),"")</f>
        <v>65</v>
      </c>
      <c r="AE129" s="144">
        <f>IF(MIN(H129,L129,P129,T129,X129,AB129)&lt;&gt;0,MIN(H129,L129,P129,T129,X129,AB129),"")</f>
        <v>92</v>
      </c>
      <c r="AF129" s="144"/>
      <c r="AG129" s="143"/>
      <c r="AH129" s="144"/>
      <c r="AI129" s="143"/>
      <c r="AJ129" s="142" t="str">
        <f>IF(AD129="","",IF(ISBLANK(AF129),"En cours",AD129+AF129))</f>
        <v>En cours</v>
      </c>
      <c r="AK129" s="142" t="str">
        <f>IF(AE129="","",IF(ISBLANK(AH129),"En cours",AE129+AH129))</f>
        <v>En cours</v>
      </c>
    </row>
    <row r="130" spans="2:37" ht="21" x14ac:dyDescent="0.35">
      <c r="B130" s="143" t="s">
        <v>275</v>
      </c>
      <c r="C130" s="143" t="s">
        <v>108</v>
      </c>
      <c r="D130" s="143">
        <v>23.3</v>
      </c>
      <c r="E130" s="143" t="s">
        <v>141</v>
      </c>
      <c r="F130" s="143"/>
      <c r="G130" s="143"/>
      <c r="H130" s="143"/>
      <c r="I130" s="143"/>
      <c r="J130" s="143"/>
      <c r="K130" s="143"/>
      <c r="L130" s="143"/>
      <c r="M130" s="143"/>
      <c r="N130" s="143">
        <v>75</v>
      </c>
      <c r="O130" s="143">
        <v>16</v>
      </c>
      <c r="P130" s="143">
        <v>95</v>
      </c>
      <c r="Q130" s="143">
        <v>3</v>
      </c>
      <c r="R130" s="143"/>
      <c r="S130" s="143"/>
      <c r="T130" s="143"/>
      <c r="U130" s="143"/>
      <c r="V130" s="143">
        <v>76</v>
      </c>
      <c r="W130" s="143">
        <v>12</v>
      </c>
      <c r="X130" s="143">
        <v>96</v>
      </c>
      <c r="Y130" s="143">
        <v>5</v>
      </c>
      <c r="Z130" s="143"/>
      <c r="AA130" s="143"/>
      <c r="AB130" s="143"/>
      <c r="AC130" s="143"/>
      <c r="AD130" s="144">
        <f>IF(MIN(F130,J130,N130,R130,V130,Z130)&lt;&gt;0,MIN(F130,J130,N130,R130,V130,Z130),"")</f>
        <v>75</v>
      </c>
      <c r="AE130" s="144">
        <f>IF(MIN(H130,L130,P130,T130,X130,AB130)&lt;&gt;0,MIN(H130,L130,P130,T130,X130,AB130),"")</f>
        <v>95</v>
      </c>
      <c r="AF130" s="144"/>
      <c r="AG130" s="143"/>
      <c r="AH130" s="144"/>
      <c r="AI130" s="143"/>
      <c r="AJ130" s="142" t="str">
        <f>IF(AD130="","",IF(ISBLANK(AF130),"En cours",AD130+AF130))</f>
        <v>En cours</v>
      </c>
      <c r="AK130" s="142" t="str">
        <f>IF(AE130="","",IF(ISBLANK(AH130),"En cours",AE130+AH130))</f>
        <v>En cours</v>
      </c>
    </row>
    <row r="131" spans="2:37" ht="21" x14ac:dyDescent="0.35">
      <c r="B131" s="143" t="s">
        <v>279</v>
      </c>
      <c r="C131" s="143" t="s">
        <v>108</v>
      </c>
      <c r="D131" s="143">
        <v>27.7</v>
      </c>
      <c r="E131" s="143" t="s">
        <v>141</v>
      </c>
      <c r="F131" s="143"/>
      <c r="G131" s="143"/>
      <c r="H131" s="143"/>
      <c r="I131" s="143"/>
      <c r="J131" s="143"/>
      <c r="K131" s="143"/>
      <c r="L131" s="143"/>
      <c r="M131" s="143"/>
      <c r="N131" s="143">
        <v>75</v>
      </c>
      <c r="O131" s="143">
        <v>19</v>
      </c>
      <c r="P131" s="143">
        <v>96</v>
      </c>
      <c r="Q131" s="143">
        <v>3</v>
      </c>
      <c r="R131" s="143"/>
      <c r="S131" s="143"/>
      <c r="T131" s="143"/>
      <c r="U131" s="143"/>
      <c r="V131" s="143">
        <v>70</v>
      </c>
      <c r="W131" s="143">
        <v>6</v>
      </c>
      <c r="X131" s="143">
        <v>91</v>
      </c>
      <c r="Y131" s="143">
        <v>5</v>
      </c>
      <c r="Z131" s="143"/>
      <c r="AA131" s="143"/>
      <c r="AB131" s="143"/>
      <c r="AC131" s="143"/>
      <c r="AD131" s="144">
        <f>IF(MIN(F131,J131,N131,R131,V131,Z131)&lt;&gt;0,MIN(F131,J131,N131,R131,V131,Z131),"")</f>
        <v>70</v>
      </c>
      <c r="AE131" s="144">
        <f>IF(MIN(H131,L131,P131,T131,X131,AB131)&lt;&gt;0,MIN(H131,L131,P131,T131,X131,AB131),"")</f>
        <v>91</v>
      </c>
      <c r="AF131" s="144"/>
      <c r="AG131" s="143"/>
      <c r="AH131" s="144"/>
      <c r="AI131" s="143"/>
      <c r="AJ131" s="142" t="str">
        <f>IF(AD131="","",IF(ISBLANK(AF131),"En cours",AD131+AF131))</f>
        <v>En cours</v>
      </c>
      <c r="AK131" s="142" t="str">
        <f>IF(AE131="","",IF(ISBLANK(AH131),"En cours",AE131+AH131))</f>
        <v>En cours</v>
      </c>
    </row>
    <row r="132" spans="2:37" ht="21" x14ac:dyDescent="0.35">
      <c r="B132" s="143" t="s">
        <v>277</v>
      </c>
      <c r="C132" s="143" t="s">
        <v>108</v>
      </c>
      <c r="D132" s="143">
        <v>22.9</v>
      </c>
      <c r="E132" s="143" t="s">
        <v>141</v>
      </c>
      <c r="F132" s="143">
        <v>69</v>
      </c>
      <c r="G132" s="143">
        <v>2</v>
      </c>
      <c r="H132" s="143">
        <v>88</v>
      </c>
      <c r="I132" s="143">
        <v>1</v>
      </c>
      <c r="J132" s="143"/>
      <c r="K132" s="143"/>
      <c r="L132" s="143"/>
      <c r="M132" s="143"/>
      <c r="N132" s="143">
        <v>76</v>
      </c>
      <c r="O132" s="143">
        <v>23</v>
      </c>
      <c r="P132" s="143">
        <v>95</v>
      </c>
      <c r="Q132" s="143">
        <v>3</v>
      </c>
      <c r="R132" s="143"/>
      <c r="S132" s="143"/>
      <c r="T132" s="143"/>
      <c r="U132" s="143"/>
      <c r="V132" s="143">
        <v>70</v>
      </c>
      <c r="W132" s="143">
        <v>5</v>
      </c>
      <c r="X132" s="143">
        <v>89</v>
      </c>
      <c r="Y132" s="143">
        <v>5</v>
      </c>
      <c r="Z132" s="143">
        <v>69</v>
      </c>
      <c r="AA132" s="143">
        <v>2</v>
      </c>
      <c r="AB132" s="143">
        <v>88</v>
      </c>
      <c r="AC132" s="143">
        <v>6</v>
      </c>
      <c r="AD132" s="144">
        <f>IF(MIN(F132,J132,N132,R132,V132,Z132)&lt;&gt;0,MIN(F132,J132,N132,R132,V132,Z132),"")</f>
        <v>69</v>
      </c>
      <c r="AE132" s="144">
        <f>IF(MIN(H132,L132,P132,T132,X132,AB132)&lt;&gt;0,MIN(H132,L132,P132,T132,X132,AB132),"")</f>
        <v>88</v>
      </c>
      <c r="AF132" s="144"/>
      <c r="AG132" s="143"/>
      <c r="AH132" s="144"/>
      <c r="AI132" s="143"/>
      <c r="AJ132" s="142" t="str">
        <f>IF(AD132="","",IF(ISBLANK(AF132),"En cours",AD132+AF132))</f>
        <v>En cours</v>
      </c>
      <c r="AK132" s="142" t="str">
        <f>IF(AE132="","",IF(ISBLANK(AH132),"En cours",AE132+AH132))</f>
        <v>En cours</v>
      </c>
    </row>
    <row r="133" spans="2:37" ht="21" x14ac:dyDescent="0.35">
      <c r="B133" s="143" t="s">
        <v>273</v>
      </c>
      <c r="C133" s="143" t="s">
        <v>108</v>
      </c>
      <c r="D133" s="143">
        <v>21.7</v>
      </c>
      <c r="E133" s="143" t="s">
        <v>141</v>
      </c>
      <c r="F133" s="143">
        <v>76</v>
      </c>
      <c r="G133" s="143">
        <v>11</v>
      </c>
      <c r="H133" s="143">
        <v>94</v>
      </c>
      <c r="I133" s="143">
        <v>1</v>
      </c>
      <c r="J133" s="143"/>
      <c r="K133" s="143"/>
      <c r="L133" s="143"/>
      <c r="M133" s="143"/>
      <c r="N133" s="143">
        <v>76</v>
      </c>
      <c r="O133" s="143">
        <v>24</v>
      </c>
      <c r="P133" s="143">
        <v>94</v>
      </c>
      <c r="Q133" s="143">
        <v>3</v>
      </c>
      <c r="R133" s="143"/>
      <c r="S133" s="143"/>
      <c r="T133" s="143"/>
      <c r="U133" s="143"/>
      <c r="V133" s="143">
        <v>68</v>
      </c>
      <c r="W133" s="143">
        <v>3</v>
      </c>
      <c r="X133" s="143">
        <v>86</v>
      </c>
      <c r="Y133" s="143">
        <v>5</v>
      </c>
      <c r="Z133" s="143">
        <v>76</v>
      </c>
      <c r="AA133" s="143">
        <v>11</v>
      </c>
      <c r="AB133" s="143">
        <v>94</v>
      </c>
      <c r="AC133" s="143">
        <v>6</v>
      </c>
      <c r="AD133" s="144">
        <f>IF(MIN(F133,J133,N133,R133,V133,Z133)&lt;&gt;0,MIN(F133,J133,N133,R133,V133,Z133),"")</f>
        <v>68</v>
      </c>
      <c r="AE133" s="144">
        <f>IF(MIN(H133,L133,P133,T133,X133,AB133)&lt;&gt;0,MIN(H133,L133,P133,T133,X133,AB133),"")</f>
        <v>86</v>
      </c>
      <c r="AF133" s="144"/>
      <c r="AG133" s="143"/>
      <c r="AH133" s="144"/>
      <c r="AI133" s="143"/>
      <c r="AJ133" s="142" t="str">
        <f>IF(AD133="","",IF(ISBLANK(AF133),"En cours",AD133+AF133))</f>
        <v>En cours</v>
      </c>
      <c r="AK133" s="142" t="str">
        <f>IF(AE133="","",IF(ISBLANK(AH133),"En cours",AE133+AH133))</f>
        <v>En cours</v>
      </c>
    </row>
    <row r="134" spans="2:37" ht="21" x14ac:dyDescent="0.35">
      <c r="B134" s="143" t="s">
        <v>280</v>
      </c>
      <c r="C134" s="143" t="s">
        <v>108</v>
      </c>
      <c r="D134" s="143">
        <v>22.2</v>
      </c>
      <c r="E134" s="143" t="s">
        <v>141</v>
      </c>
      <c r="F134" s="143"/>
      <c r="G134" s="143"/>
      <c r="H134" s="143"/>
      <c r="I134" s="143"/>
      <c r="J134" s="143"/>
      <c r="K134" s="143"/>
      <c r="L134" s="143"/>
      <c r="M134" s="143"/>
      <c r="N134" s="143">
        <v>79</v>
      </c>
      <c r="O134" s="143">
        <v>27</v>
      </c>
      <c r="P134" s="143">
        <v>98</v>
      </c>
      <c r="Q134" s="143">
        <v>3</v>
      </c>
      <c r="R134" s="143"/>
      <c r="S134" s="143"/>
      <c r="T134" s="143"/>
      <c r="U134" s="143"/>
      <c r="V134" s="143"/>
      <c r="W134" s="143"/>
      <c r="X134" s="143"/>
      <c r="Y134" s="143"/>
      <c r="Z134" s="143"/>
      <c r="AA134" s="143"/>
      <c r="AB134" s="143"/>
      <c r="AC134" s="143"/>
      <c r="AD134" s="144">
        <f>IF(MIN(F134,J134,N134,R134,V134,Z134)&lt;&gt;0,MIN(F134,J134,N134,R134,V134,Z134),"")</f>
        <v>79</v>
      </c>
      <c r="AE134" s="144">
        <f>IF(MIN(H134,L134,P134,T134,X134,AB134)&lt;&gt;0,MIN(H134,L134,P134,T134,X134,AB134),"")</f>
        <v>98</v>
      </c>
      <c r="AF134" s="144"/>
      <c r="AG134" s="143"/>
      <c r="AH134" s="144"/>
      <c r="AI134" s="143"/>
      <c r="AJ134" s="142" t="str">
        <f>IF(AD134="","",IF(ISBLANK(AF134),"En cours",AD134+AF134))</f>
        <v>En cours</v>
      </c>
      <c r="AK134" s="142" t="str">
        <f>IF(AE134="","",IF(ISBLANK(AH134),"En cours",AE134+AH134))</f>
        <v>En cours</v>
      </c>
    </row>
    <row r="135" spans="2:37" ht="21" x14ac:dyDescent="0.35">
      <c r="B135" s="143" t="s">
        <v>282</v>
      </c>
      <c r="C135" s="143" t="s">
        <v>108</v>
      </c>
      <c r="D135" s="143">
        <v>27.7</v>
      </c>
      <c r="E135" s="143" t="s">
        <v>141</v>
      </c>
      <c r="F135" s="143"/>
      <c r="G135" s="143"/>
      <c r="H135" s="143"/>
      <c r="I135" s="143"/>
      <c r="J135" s="143"/>
      <c r="K135" s="143"/>
      <c r="L135" s="143"/>
      <c r="M135" s="143"/>
      <c r="N135" s="143">
        <v>82</v>
      </c>
      <c r="O135" s="143">
        <v>30</v>
      </c>
      <c r="P135" s="143">
        <v>103</v>
      </c>
      <c r="Q135" s="143">
        <v>3</v>
      </c>
      <c r="R135" s="143"/>
      <c r="S135" s="143"/>
      <c r="T135" s="143"/>
      <c r="U135" s="143"/>
      <c r="V135" s="143">
        <v>81</v>
      </c>
      <c r="W135" s="143">
        <v>19</v>
      </c>
      <c r="X135" s="143">
        <v>102</v>
      </c>
      <c r="Y135" s="143">
        <v>5</v>
      </c>
      <c r="Z135" s="143"/>
      <c r="AA135" s="143"/>
      <c r="AB135" s="143"/>
      <c r="AC135" s="143"/>
      <c r="AD135" s="144">
        <f>IF(MIN(F135,J135,N135,R135,V135,Z135)&lt;&gt;0,MIN(F135,J135,N135,R135,V135,Z135),"")</f>
        <v>81</v>
      </c>
      <c r="AE135" s="144">
        <f>IF(MIN(H135,L135,P135,T135,X135,AB135)&lt;&gt;0,MIN(H135,L135,P135,T135,X135,AB135),"")</f>
        <v>102</v>
      </c>
      <c r="AF135" s="144"/>
      <c r="AG135" s="143"/>
      <c r="AH135" s="144"/>
      <c r="AI135" s="143"/>
      <c r="AJ135" s="142" t="str">
        <f>IF(AD135="","",IF(ISBLANK(AF135),"En cours",AD135+AF135))</f>
        <v>En cours</v>
      </c>
      <c r="AK135" s="142" t="str">
        <f>IF(AE135="","",IF(ISBLANK(AH135),"En cours",AE135+AH135))</f>
        <v>En cours</v>
      </c>
    </row>
    <row r="136" spans="2:37" ht="21" x14ac:dyDescent="0.35">
      <c r="B136" s="143" t="s">
        <v>291</v>
      </c>
      <c r="C136" s="143" t="s">
        <v>108</v>
      </c>
      <c r="D136" s="143">
        <v>11.2</v>
      </c>
      <c r="E136" s="143" t="s">
        <v>141</v>
      </c>
      <c r="F136" s="143"/>
      <c r="G136" s="143"/>
      <c r="H136" s="143"/>
      <c r="I136" s="143"/>
      <c r="J136" s="143"/>
      <c r="K136" s="143"/>
      <c r="L136" s="143"/>
      <c r="M136" s="143"/>
      <c r="N136" s="143"/>
      <c r="O136" s="143"/>
      <c r="P136" s="143"/>
      <c r="Q136" s="143"/>
      <c r="R136" s="143">
        <v>69</v>
      </c>
      <c r="S136" s="143">
        <v>3</v>
      </c>
      <c r="T136" s="143">
        <v>83</v>
      </c>
      <c r="U136" s="143">
        <v>4</v>
      </c>
      <c r="V136" s="143">
        <v>82</v>
      </c>
      <c r="W136" s="143">
        <v>9</v>
      </c>
      <c r="X136" s="143">
        <v>96</v>
      </c>
      <c r="Y136" s="143">
        <v>5</v>
      </c>
      <c r="Z136" s="143"/>
      <c r="AA136" s="143"/>
      <c r="AB136" s="143"/>
      <c r="AC136" s="143"/>
      <c r="AD136" s="144">
        <f>IF(MIN(F136,J136,N136,R136,V136,Z136)&lt;&gt;0,MIN(F136,J136,N136,R136,V136,Z136),"")</f>
        <v>69</v>
      </c>
      <c r="AE136" s="144">
        <f>IF(MIN(H136,L136,P136,T136,X136,AB136)&lt;&gt;0,MIN(H136,L136,P136,T136,X136,AB136),"")</f>
        <v>83</v>
      </c>
      <c r="AF136" s="144"/>
      <c r="AG136" s="143"/>
      <c r="AH136" s="144"/>
      <c r="AI136" s="143"/>
      <c r="AJ136" s="142" t="str">
        <f>IF(AD136="","",IF(ISBLANK(AF136),"En cours",AD136+AF136))</f>
        <v>En cours</v>
      </c>
      <c r="AK136" s="142" t="str">
        <f>IF(AE136="","",IF(ISBLANK(AH136),"En cours",AE136+AH136))</f>
        <v>En cours</v>
      </c>
    </row>
    <row r="137" spans="2:37" ht="21" x14ac:dyDescent="0.35">
      <c r="B137" s="143" t="s">
        <v>290</v>
      </c>
      <c r="C137" s="143" t="s">
        <v>108</v>
      </c>
      <c r="D137" s="143">
        <v>7</v>
      </c>
      <c r="E137" s="143" t="s">
        <v>141</v>
      </c>
      <c r="F137" s="143"/>
      <c r="G137" s="143"/>
      <c r="H137" s="143"/>
      <c r="I137" s="143"/>
      <c r="J137" s="143"/>
      <c r="K137" s="143"/>
      <c r="L137" s="143"/>
      <c r="M137" s="143"/>
      <c r="N137" s="143"/>
      <c r="O137" s="143"/>
      <c r="P137" s="143"/>
      <c r="Q137" s="143"/>
      <c r="R137" s="143">
        <v>72</v>
      </c>
      <c r="S137" s="143">
        <v>4</v>
      </c>
      <c r="T137" s="143">
        <v>81</v>
      </c>
      <c r="U137" s="143">
        <v>4</v>
      </c>
      <c r="V137" s="143"/>
      <c r="W137" s="143"/>
      <c r="X137" s="143"/>
      <c r="Y137" s="143"/>
      <c r="Z137" s="143"/>
      <c r="AA137" s="143"/>
      <c r="AB137" s="143"/>
      <c r="AC137" s="143"/>
      <c r="AD137" s="144">
        <f>IF(MIN(F137,J137,N137,R137,V137,Z137)&lt;&gt;0,MIN(F137,J137,N137,R137,V137,Z137),"")</f>
        <v>72</v>
      </c>
      <c r="AE137" s="144">
        <f>IF(MIN(H137,L137,P137,T137,X137,AB137)&lt;&gt;0,MIN(H137,L137,P137,T137,X137,AB137),"")</f>
        <v>81</v>
      </c>
      <c r="AF137" s="144"/>
      <c r="AG137" s="143"/>
      <c r="AH137" s="144"/>
      <c r="AI137" s="143"/>
      <c r="AJ137" s="142" t="str">
        <f>IF(AD137="","",IF(ISBLANK(AF137),"En cours",AD137+AF137))</f>
        <v>En cours</v>
      </c>
      <c r="AK137" s="142" t="str">
        <f>IF(AE137="","",IF(ISBLANK(AH137),"En cours",AE137+AH137))</f>
        <v>En cours</v>
      </c>
    </row>
    <row r="138" spans="2:37" ht="21" x14ac:dyDescent="0.35">
      <c r="B138" s="143" t="s">
        <v>294</v>
      </c>
      <c r="C138" s="143" t="s">
        <v>270</v>
      </c>
      <c r="D138" s="143">
        <v>11.3</v>
      </c>
      <c r="E138" s="143" t="s">
        <v>141</v>
      </c>
      <c r="F138" s="143">
        <v>75</v>
      </c>
      <c r="G138" s="143">
        <v>9</v>
      </c>
      <c r="H138" s="143">
        <v>89</v>
      </c>
      <c r="I138" s="143">
        <v>1</v>
      </c>
      <c r="J138" s="143"/>
      <c r="K138" s="143"/>
      <c r="L138" s="143"/>
      <c r="M138" s="143"/>
      <c r="N138" s="143"/>
      <c r="O138" s="143"/>
      <c r="P138" s="143"/>
      <c r="Q138" s="143"/>
      <c r="R138" s="143">
        <v>73</v>
      </c>
      <c r="S138" s="143">
        <v>5</v>
      </c>
      <c r="T138" s="143">
        <v>87</v>
      </c>
      <c r="U138" s="143">
        <v>4</v>
      </c>
      <c r="V138" s="143"/>
      <c r="W138" s="143"/>
      <c r="X138" s="143"/>
      <c r="Y138" s="143"/>
      <c r="Z138" s="143">
        <v>75</v>
      </c>
      <c r="AA138" s="143">
        <v>9</v>
      </c>
      <c r="AB138" s="143">
        <v>89</v>
      </c>
      <c r="AC138" s="143">
        <v>6</v>
      </c>
      <c r="AD138" s="144">
        <f>IF(MIN(F138,J138,N138,R138,V138,Z138)&lt;&gt;0,MIN(F138,J138,N138,R138,V138,Z138),"")</f>
        <v>73</v>
      </c>
      <c r="AE138" s="144">
        <f>IF(MIN(H138,L138,P138,T138,X138,AB138)&lt;&gt;0,MIN(H138,L138,P138,T138,X138,AB138),"")</f>
        <v>87</v>
      </c>
      <c r="AF138" s="144"/>
      <c r="AG138" s="143"/>
      <c r="AH138" s="144"/>
      <c r="AI138" s="143"/>
      <c r="AJ138" s="142" t="str">
        <f>IF(AD138="","",IF(ISBLANK(AF138),"En cours",AD138+AF138))</f>
        <v>En cours</v>
      </c>
      <c r="AK138" s="142" t="str">
        <f>IF(AE138="","",IF(ISBLANK(AH138),"En cours",AE138+AH138))</f>
        <v>En cours</v>
      </c>
    </row>
    <row r="139" spans="2:37" ht="21" x14ac:dyDescent="0.35">
      <c r="B139" s="143" t="s">
        <v>293</v>
      </c>
      <c r="C139" s="143" t="s">
        <v>270</v>
      </c>
      <c r="D139" s="143">
        <v>7.9</v>
      </c>
      <c r="E139" s="143" t="s">
        <v>141</v>
      </c>
      <c r="F139" s="143"/>
      <c r="G139" s="143"/>
      <c r="H139" s="143"/>
      <c r="I139" s="143"/>
      <c r="J139" s="143"/>
      <c r="K139" s="143"/>
      <c r="L139" s="143"/>
      <c r="M139" s="143"/>
      <c r="N139" s="143"/>
      <c r="O139" s="143"/>
      <c r="P139" s="143"/>
      <c r="Q139" s="143"/>
      <c r="R139" s="143">
        <v>73</v>
      </c>
      <c r="S139" s="143">
        <v>6</v>
      </c>
      <c r="T139" s="143">
        <v>83</v>
      </c>
      <c r="U139" s="143">
        <v>4</v>
      </c>
      <c r="V139" s="143"/>
      <c r="W139" s="143"/>
      <c r="X139" s="143"/>
      <c r="Y139" s="143"/>
      <c r="Z139" s="143"/>
      <c r="AA139" s="143"/>
      <c r="AB139" s="143"/>
      <c r="AC139" s="143"/>
      <c r="AD139" s="144">
        <f>IF(MIN(F139,J139,N139,R139,V139,Z139)&lt;&gt;0,MIN(F139,J139,N139,R139,V139,Z139),"")</f>
        <v>73</v>
      </c>
      <c r="AE139" s="144">
        <f>IF(MIN(H139,L139,P139,T139,X139,AB139)&lt;&gt;0,MIN(H139,L139,P139,T139,X139,AB139),"")</f>
        <v>83</v>
      </c>
      <c r="AF139" s="144"/>
      <c r="AG139" s="143"/>
      <c r="AH139" s="144"/>
      <c r="AI139" s="143"/>
      <c r="AJ139" s="142" t="str">
        <f>IF(AD139="","",IF(ISBLANK(AF139),"En cours",AD139+AF139))</f>
        <v>En cours</v>
      </c>
      <c r="AK139" s="142" t="str">
        <f>IF(AE139="","",IF(ISBLANK(AH139),"En cours",AE139+AH139))</f>
        <v>En cours</v>
      </c>
    </row>
    <row r="140" spans="2:37" ht="21" x14ac:dyDescent="0.35">
      <c r="B140" s="143" t="s">
        <v>292</v>
      </c>
      <c r="C140" s="143" t="s">
        <v>108</v>
      </c>
      <c r="D140" s="143">
        <v>3.4</v>
      </c>
      <c r="E140" s="143" t="s">
        <v>141</v>
      </c>
      <c r="F140" s="143"/>
      <c r="G140" s="143"/>
      <c r="H140" s="143"/>
      <c r="I140" s="143"/>
      <c r="J140" s="143"/>
      <c r="K140" s="143"/>
      <c r="L140" s="143"/>
      <c r="M140" s="143"/>
      <c r="N140" s="143"/>
      <c r="O140" s="143"/>
      <c r="P140" s="143"/>
      <c r="Q140" s="143"/>
      <c r="R140" s="143">
        <v>79</v>
      </c>
      <c r="S140" s="143">
        <v>13</v>
      </c>
      <c r="T140" s="143">
        <v>83</v>
      </c>
      <c r="U140" s="143">
        <v>4</v>
      </c>
      <c r="V140" s="143"/>
      <c r="W140" s="143"/>
      <c r="X140" s="143"/>
      <c r="Y140" s="143"/>
      <c r="Z140" s="143"/>
      <c r="AA140" s="143"/>
      <c r="AB140" s="143"/>
      <c r="AC140" s="143"/>
      <c r="AD140" s="144">
        <f>IF(MIN(F140,J140,N140,R140,V140,Z140)&lt;&gt;0,MIN(F140,J140,N140,R140,V140,Z140),"")</f>
        <v>79</v>
      </c>
      <c r="AE140" s="144">
        <f>IF(MIN(H140,L140,P140,T140,X140,AB140)&lt;&gt;0,MIN(H140,L140,P140,T140,X140,AB140),"")</f>
        <v>83</v>
      </c>
      <c r="AF140" s="144"/>
      <c r="AG140" s="143"/>
      <c r="AH140" s="144"/>
      <c r="AI140" s="143"/>
      <c r="AJ140" s="142" t="str">
        <f>IF(AD140="","",IF(ISBLANK(AF140),"En cours",AD140+AF140))</f>
        <v>En cours</v>
      </c>
      <c r="AK140" s="142" t="str">
        <f>IF(AE140="","",IF(ISBLANK(AH140),"En cours",AE140+AH140))</f>
        <v>En cours</v>
      </c>
    </row>
    <row r="141" spans="2:37" ht="21" x14ac:dyDescent="0.35">
      <c r="B141" s="143" t="s">
        <v>297</v>
      </c>
      <c r="C141" s="143" t="s">
        <v>108</v>
      </c>
      <c r="D141" s="143">
        <v>16.3</v>
      </c>
      <c r="E141" s="143" t="s">
        <v>141</v>
      </c>
      <c r="F141" s="143">
        <v>74</v>
      </c>
      <c r="G141" s="143">
        <v>9</v>
      </c>
      <c r="H141" s="143">
        <v>90</v>
      </c>
      <c r="I141" s="143">
        <v>1</v>
      </c>
      <c r="J141" s="143"/>
      <c r="K141" s="143"/>
      <c r="L141" s="143"/>
      <c r="M141" s="143"/>
      <c r="N141" s="143"/>
      <c r="O141" s="143"/>
      <c r="P141" s="143"/>
      <c r="Q141" s="143"/>
      <c r="R141" s="143">
        <v>69</v>
      </c>
      <c r="S141" s="143">
        <v>3</v>
      </c>
      <c r="T141" s="143">
        <v>85</v>
      </c>
      <c r="U141" s="143">
        <v>4</v>
      </c>
      <c r="V141" s="143">
        <v>67</v>
      </c>
      <c r="W141" s="143">
        <v>2</v>
      </c>
      <c r="X141" s="143">
        <v>83</v>
      </c>
      <c r="Y141" s="143">
        <v>5</v>
      </c>
      <c r="Z141" s="143">
        <v>74</v>
      </c>
      <c r="AA141" s="143">
        <v>9</v>
      </c>
      <c r="AB141" s="143">
        <v>90</v>
      </c>
      <c r="AC141" s="143">
        <v>6</v>
      </c>
      <c r="AD141" s="144">
        <f>IF(MIN(F141,J141,N141,R141,V141,Z141)&lt;&gt;0,MIN(F141,J141,N141,R141,V141,Z141),"")</f>
        <v>67</v>
      </c>
      <c r="AE141" s="144">
        <f>IF(MIN(H141,L141,P141,T141,X141,AB141)&lt;&gt;0,MIN(H141,L141,P141,T141,X141,AB141),"")</f>
        <v>83</v>
      </c>
      <c r="AF141" s="144"/>
      <c r="AG141" s="143"/>
      <c r="AH141" s="144"/>
      <c r="AI141" s="143"/>
      <c r="AJ141" s="142" t="str">
        <f>IF(AD141="","",IF(ISBLANK(AF141),"En cours",AD141+AF141))</f>
        <v>En cours</v>
      </c>
      <c r="AK141" s="142" t="str">
        <f>IF(AE141="","",IF(ISBLANK(AH141),"En cours",AE141+AH141))</f>
        <v>En cours</v>
      </c>
    </row>
    <row r="142" spans="2:37" ht="21" x14ac:dyDescent="0.35">
      <c r="B142" s="143" t="s">
        <v>295</v>
      </c>
      <c r="C142" s="143" t="s">
        <v>108</v>
      </c>
      <c r="D142" s="143">
        <v>12.9</v>
      </c>
      <c r="E142" s="143" t="s">
        <v>141</v>
      </c>
      <c r="F142" s="143"/>
      <c r="G142" s="143"/>
      <c r="H142" s="143"/>
      <c r="I142" s="143"/>
      <c r="J142" s="143"/>
      <c r="K142" s="143"/>
      <c r="L142" s="143"/>
      <c r="M142" s="143"/>
      <c r="N142" s="143"/>
      <c r="O142" s="143"/>
      <c r="P142" s="143"/>
      <c r="Q142" s="143"/>
      <c r="R142" s="143">
        <v>71</v>
      </c>
      <c r="S142" s="143">
        <v>7</v>
      </c>
      <c r="T142" s="143">
        <v>83</v>
      </c>
      <c r="U142" s="143">
        <v>4</v>
      </c>
      <c r="V142" s="143">
        <v>73</v>
      </c>
      <c r="W142" s="143">
        <v>9</v>
      </c>
      <c r="X142" s="143">
        <v>85</v>
      </c>
      <c r="Y142" s="143">
        <v>5</v>
      </c>
      <c r="Z142" s="143"/>
      <c r="AA142" s="143"/>
      <c r="AB142" s="143"/>
      <c r="AC142" s="143"/>
      <c r="AD142" s="144">
        <f>IF(MIN(F142,J142,N142,R142,V142,Z142)&lt;&gt;0,MIN(F142,J142,N142,R142,V142,Z142),"")</f>
        <v>71</v>
      </c>
      <c r="AE142" s="144">
        <f>IF(MIN(H142,L142,P142,T142,X142,AB142)&lt;&gt;0,MIN(H142,L142,P142,T142,X142,AB142),"")</f>
        <v>83</v>
      </c>
      <c r="AF142" s="144"/>
      <c r="AG142" s="143"/>
      <c r="AH142" s="144"/>
      <c r="AI142" s="143"/>
      <c r="AJ142" s="142" t="str">
        <f>IF(AD142="","",IF(ISBLANK(AF142),"En cours",AD142+AF142))</f>
        <v>En cours</v>
      </c>
      <c r="AK142" s="142" t="str">
        <f>IF(AE142="","",IF(ISBLANK(AH142),"En cours",AE142+AH142))</f>
        <v>En cours</v>
      </c>
    </row>
    <row r="143" spans="2:37" ht="21" x14ac:dyDescent="0.35">
      <c r="B143" s="143" t="s">
        <v>299</v>
      </c>
      <c r="C143" s="143" t="s">
        <v>300</v>
      </c>
      <c r="D143" s="143">
        <v>17.3</v>
      </c>
      <c r="E143" s="143" t="s">
        <v>141</v>
      </c>
      <c r="F143" s="143"/>
      <c r="G143" s="143"/>
      <c r="H143" s="143"/>
      <c r="I143" s="143"/>
      <c r="J143" s="143"/>
      <c r="K143" s="143"/>
      <c r="L143" s="143"/>
      <c r="M143" s="143"/>
      <c r="N143" s="143"/>
      <c r="O143" s="143"/>
      <c r="P143" s="143"/>
      <c r="Q143" s="143"/>
      <c r="R143" s="143">
        <v>72</v>
      </c>
      <c r="S143" s="143">
        <v>9</v>
      </c>
      <c r="T143" s="143">
        <v>89</v>
      </c>
      <c r="U143" s="143">
        <v>4</v>
      </c>
      <c r="V143" s="143"/>
      <c r="W143" s="143"/>
      <c r="X143" s="143"/>
      <c r="Y143" s="143"/>
      <c r="Z143" s="143"/>
      <c r="AA143" s="143"/>
      <c r="AB143" s="143"/>
      <c r="AC143" s="143"/>
      <c r="AD143" s="144">
        <f>IF(MIN(F143,J143,N143,R143,V143,Z143)&lt;&gt;0,MIN(F143,J143,N143,R143,V143,Z143),"")</f>
        <v>72</v>
      </c>
      <c r="AE143" s="144">
        <f>IF(MIN(H143,L143,P143,T143,X143,AB143)&lt;&gt;0,MIN(H143,L143,P143,T143,X143,AB143),"")</f>
        <v>89</v>
      </c>
      <c r="AF143" s="144"/>
      <c r="AG143" s="143"/>
      <c r="AH143" s="144"/>
      <c r="AI143" s="143"/>
      <c r="AJ143" s="142" t="str">
        <f>IF(AD143="","",IF(ISBLANK(AF143),"En cours",AD143+AF143))</f>
        <v>En cours</v>
      </c>
      <c r="AK143" s="142" t="str">
        <f>IF(AE143="","",IF(ISBLANK(AH143),"En cours",AE143+AH143))</f>
        <v>En cours</v>
      </c>
    </row>
    <row r="144" spans="2:37" ht="21" x14ac:dyDescent="0.35">
      <c r="B144" s="143" t="s">
        <v>296</v>
      </c>
      <c r="C144" s="143" t="s">
        <v>108</v>
      </c>
      <c r="D144" s="143">
        <v>13</v>
      </c>
      <c r="E144" s="143" t="s">
        <v>141</v>
      </c>
      <c r="F144" s="143"/>
      <c r="G144" s="143"/>
      <c r="H144" s="143"/>
      <c r="I144" s="143"/>
      <c r="J144" s="143"/>
      <c r="K144" s="143"/>
      <c r="L144" s="143"/>
      <c r="M144" s="143"/>
      <c r="N144" s="143"/>
      <c r="O144" s="143"/>
      <c r="P144" s="143"/>
      <c r="Q144" s="143"/>
      <c r="R144" s="143">
        <v>72</v>
      </c>
      <c r="S144" s="143">
        <v>11</v>
      </c>
      <c r="T144" s="143">
        <v>84</v>
      </c>
      <c r="U144" s="143">
        <v>4</v>
      </c>
      <c r="V144" s="143"/>
      <c r="W144" s="143"/>
      <c r="X144" s="143"/>
      <c r="Y144" s="143"/>
      <c r="Z144" s="143"/>
      <c r="AA144" s="143"/>
      <c r="AB144" s="143"/>
      <c r="AC144" s="143"/>
      <c r="AD144" s="144">
        <f>IF(MIN(F144,J144,N144,R144,V144,Z144)&lt;&gt;0,MIN(F144,J144,N144,R144,V144,Z144),"")</f>
        <v>72</v>
      </c>
      <c r="AE144" s="144">
        <f>IF(MIN(H144,L144,P144,T144,X144,AB144)&lt;&gt;0,MIN(H144,L144,P144,T144,X144,AB144),"")</f>
        <v>84</v>
      </c>
      <c r="AF144" s="144"/>
      <c r="AG144" s="143"/>
      <c r="AH144" s="144"/>
      <c r="AI144" s="143"/>
      <c r="AJ144" s="142" t="str">
        <f>IF(AD144="","",IF(ISBLANK(AF144),"En cours",AD144+AF144))</f>
        <v>En cours</v>
      </c>
      <c r="AK144" s="142" t="str">
        <f>IF(AE144="","",IF(ISBLANK(AH144),"En cours",AE144+AH144))</f>
        <v>En cours</v>
      </c>
    </row>
    <row r="145" spans="2:37" ht="21" x14ac:dyDescent="0.35">
      <c r="B145" s="143" t="s">
        <v>298</v>
      </c>
      <c r="C145" s="143" t="s">
        <v>108</v>
      </c>
      <c r="D145" s="143">
        <v>13.5</v>
      </c>
      <c r="E145" s="143" t="s">
        <v>141</v>
      </c>
      <c r="F145" s="143"/>
      <c r="G145" s="143"/>
      <c r="H145" s="143"/>
      <c r="I145" s="143"/>
      <c r="J145" s="143"/>
      <c r="K145" s="143"/>
      <c r="L145" s="143"/>
      <c r="M145" s="143"/>
      <c r="N145" s="143"/>
      <c r="O145" s="143"/>
      <c r="P145" s="143"/>
      <c r="Q145" s="143"/>
      <c r="R145" s="143">
        <v>75</v>
      </c>
      <c r="S145" s="143">
        <v>17</v>
      </c>
      <c r="T145" s="143">
        <v>87</v>
      </c>
      <c r="U145" s="143">
        <v>4</v>
      </c>
      <c r="V145" s="143">
        <v>74</v>
      </c>
      <c r="W145" s="143">
        <v>10</v>
      </c>
      <c r="X145" s="143">
        <v>86</v>
      </c>
      <c r="Y145" s="143">
        <v>5</v>
      </c>
      <c r="Z145" s="143"/>
      <c r="AA145" s="143"/>
      <c r="AB145" s="143"/>
      <c r="AC145" s="143"/>
      <c r="AD145" s="144">
        <f>IF(MIN(F145,J145,N145,R145,V145,Z145)&lt;&gt;0,MIN(F145,J145,N145,R145,V145,Z145),"")</f>
        <v>74</v>
      </c>
      <c r="AE145" s="144">
        <f>IF(MIN(H145,L145,P145,T145,X145,AB145)&lt;&gt;0,MIN(H145,L145,P145,T145,X145,AB145),"")</f>
        <v>86</v>
      </c>
      <c r="AF145" s="144"/>
      <c r="AG145" s="143"/>
      <c r="AH145" s="144"/>
      <c r="AI145" s="143"/>
      <c r="AJ145" s="142" t="str">
        <f>IF(AD145="","",IF(ISBLANK(AF145),"En cours",AD145+AF145))</f>
        <v>En cours</v>
      </c>
      <c r="AK145" s="142" t="str">
        <f>IF(AE145="","",IF(ISBLANK(AH145),"En cours",AE145+AH145))</f>
        <v>En cours</v>
      </c>
    </row>
    <row r="146" spans="2:37" ht="21" x14ac:dyDescent="0.35">
      <c r="B146" s="143" t="s">
        <v>301</v>
      </c>
      <c r="C146" s="143" t="s">
        <v>108</v>
      </c>
      <c r="D146" s="143">
        <v>15.7</v>
      </c>
      <c r="E146" s="143" t="s">
        <v>141</v>
      </c>
      <c r="F146" s="143">
        <v>71</v>
      </c>
      <c r="G146" s="143">
        <v>5</v>
      </c>
      <c r="H146" s="143">
        <v>86</v>
      </c>
      <c r="I146" s="143">
        <v>1</v>
      </c>
      <c r="J146" s="143"/>
      <c r="K146" s="143"/>
      <c r="L146" s="143"/>
      <c r="M146" s="143"/>
      <c r="N146" s="143"/>
      <c r="O146" s="143"/>
      <c r="P146" s="143"/>
      <c r="Q146" s="143"/>
      <c r="R146" s="143">
        <v>75</v>
      </c>
      <c r="S146" s="143">
        <v>18</v>
      </c>
      <c r="T146" s="143">
        <v>90</v>
      </c>
      <c r="U146" s="143">
        <v>4</v>
      </c>
      <c r="V146" s="143"/>
      <c r="W146" s="143"/>
      <c r="X146" s="143"/>
      <c r="Y146" s="143"/>
      <c r="Z146" s="143">
        <v>71</v>
      </c>
      <c r="AA146" s="143">
        <v>5</v>
      </c>
      <c r="AB146" s="143">
        <v>86</v>
      </c>
      <c r="AC146" s="143">
        <v>6</v>
      </c>
      <c r="AD146" s="144">
        <f>IF(MIN(F146,J146,N146,R146,V146,Z146)&lt;&gt;0,MIN(F146,J146,N146,R146,V146,Z146),"")</f>
        <v>71</v>
      </c>
      <c r="AE146" s="144">
        <f>IF(MIN(H146,L146,P146,T146,X146,AB146)&lt;&gt;0,MIN(H146,L146,P146,T146,X146,AB146),"")</f>
        <v>86</v>
      </c>
      <c r="AF146" s="144"/>
      <c r="AG146" s="143"/>
      <c r="AH146" s="144"/>
      <c r="AI146" s="143"/>
      <c r="AJ146" s="142" t="str">
        <f>IF(AD146="","",IF(ISBLANK(AF146),"En cours",AD146+AF146))</f>
        <v>En cours</v>
      </c>
      <c r="AK146" s="142" t="str">
        <f>IF(AE146="","",IF(ISBLANK(AH146),"En cours",AE146+AH146))</f>
        <v>En cours</v>
      </c>
    </row>
    <row r="147" spans="2:37" ht="21" x14ac:dyDescent="0.35">
      <c r="B147" s="143" t="s">
        <v>304</v>
      </c>
      <c r="C147" s="143" t="s">
        <v>108</v>
      </c>
      <c r="D147" s="143">
        <v>18</v>
      </c>
      <c r="E147" s="143" t="s">
        <v>141</v>
      </c>
      <c r="F147" s="143">
        <v>75</v>
      </c>
      <c r="G147" s="143">
        <v>12</v>
      </c>
      <c r="H147" s="143">
        <v>92</v>
      </c>
      <c r="I147" s="143">
        <v>1</v>
      </c>
      <c r="J147" s="143"/>
      <c r="K147" s="143"/>
      <c r="L147" s="143"/>
      <c r="M147" s="143"/>
      <c r="N147" s="143"/>
      <c r="O147" s="143"/>
      <c r="P147" s="143"/>
      <c r="Q147" s="143"/>
      <c r="R147" s="143">
        <v>77</v>
      </c>
      <c r="S147" s="143">
        <v>19</v>
      </c>
      <c r="T147" s="143">
        <v>94</v>
      </c>
      <c r="U147" s="143">
        <v>4</v>
      </c>
      <c r="V147" s="143">
        <v>79</v>
      </c>
      <c r="W147" s="143">
        <v>24</v>
      </c>
      <c r="X147" s="143">
        <v>96</v>
      </c>
      <c r="Y147" s="143">
        <v>5</v>
      </c>
      <c r="Z147" s="143">
        <v>75</v>
      </c>
      <c r="AA147" s="143">
        <v>12</v>
      </c>
      <c r="AB147" s="143">
        <v>92</v>
      </c>
      <c r="AC147" s="143">
        <v>6</v>
      </c>
      <c r="AD147" s="144">
        <f>IF(MIN(F147,J147,N147,R147,V147,Z147)&lt;&gt;0,MIN(F147,J147,N147,R147,V147,Z147),"")</f>
        <v>75</v>
      </c>
      <c r="AE147" s="144">
        <f>IF(MIN(H147,L147,P147,T147,X147,AB147)&lt;&gt;0,MIN(H147,L147,P147,T147,X147,AB147),"")</f>
        <v>92</v>
      </c>
      <c r="AF147" s="144"/>
      <c r="AG147" s="143"/>
      <c r="AH147" s="144"/>
      <c r="AI147" s="143"/>
      <c r="AJ147" s="142" t="str">
        <f>IF(AD147="","",IF(ISBLANK(AF147),"En cours",AD147+AF147))</f>
        <v>En cours</v>
      </c>
      <c r="AK147" s="142" t="str">
        <f>IF(AE147="","",IF(ISBLANK(AH147),"En cours",AE147+AH147))</f>
        <v>En cours</v>
      </c>
    </row>
    <row r="148" spans="2:37" ht="21" x14ac:dyDescent="0.35">
      <c r="B148" s="143" t="s">
        <v>305</v>
      </c>
      <c r="C148" s="143" t="s">
        <v>108</v>
      </c>
      <c r="D148" s="143">
        <v>17.399999999999999</v>
      </c>
      <c r="E148" s="143" t="s">
        <v>141</v>
      </c>
      <c r="F148" s="143">
        <v>76</v>
      </c>
      <c r="G148" s="143">
        <v>16</v>
      </c>
      <c r="H148" s="143">
        <v>93</v>
      </c>
      <c r="I148" s="143">
        <v>1</v>
      </c>
      <c r="J148" s="143"/>
      <c r="K148" s="143"/>
      <c r="L148" s="143"/>
      <c r="M148" s="143"/>
      <c r="N148" s="143"/>
      <c r="O148" s="143"/>
      <c r="P148" s="143"/>
      <c r="Q148" s="143"/>
      <c r="R148" s="143">
        <v>77</v>
      </c>
      <c r="S148" s="143">
        <v>21</v>
      </c>
      <c r="T148" s="143">
        <v>94</v>
      </c>
      <c r="U148" s="143">
        <v>4</v>
      </c>
      <c r="V148" s="143"/>
      <c r="W148" s="143"/>
      <c r="X148" s="143"/>
      <c r="Y148" s="143"/>
      <c r="Z148" s="143">
        <v>76</v>
      </c>
      <c r="AA148" s="143">
        <v>16</v>
      </c>
      <c r="AB148" s="143">
        <v>93</v>
      </c>
      <c r="AC148" s="143">
        <v>6</v>
      </c>
      <c r="AD148" s="144">
        <f>IF(MIN(F148,J148,N148,R148,V148,Z148)&lt;&gt;0,MIN(F148,J148,N148,R148,V148,Z148),"")</f>
        <v>76</v>
      </c>
      <c r="AE148" s="144">
        <f>IF(MIN(H148,L148,P148,T148,X148,AB148)&lt;&gt;0,MIN(H148,L148,P148,T148,X148,AB148),"")</f>
        <v>93</v>
      </c>
      <c r="AF148" s="144"/>
      <c r="AG148" s="143"/>
      <c r="AH148" s="144"/>
      <c r="AI148" s="143"/>
      <c r="AJ148" s="142" t="str">
        <f>IF(AD148="","",IF(ISBLANK(AF148),"En cours",AD148+AF148))</f>
        <v>En cours</v>
      </c>
      <c r="AK148" s="142" t="str">
        <f>IF(AE148="","",IF(ISBLANK(AH148),"En cours",AE148+AH148))</f>
        <v>En cours</v>
      </c>
    </row>
    <row r="149" spans="2:37" ht="21" x14ac:dyDescent="0.35">
      <c r="B149" s="143" t="s">
        <v>306</v>
      </c>
      <c r="C149" s="143" t="s">
        <v>108</v>
      </c>
      <c r="D149" s="143">
        <v>17.600000000000001</v>
      </c>
      <c r="E149" s="143" t="s">
        <v>141</v>
      </c>
      <c r="F149" s="143"/>
      <c r="G149" s="143"/>
      <c r="H149" s="143"/>
      <c r="I149" s="143"/>
      <c r="J149" s="143"/>
      <c r="K149" s="143"/>
      <c r="L149" s="143"/>
      <c r="M149" s="143"/>
      <c r="N149" s="143"/>
      <c r="O149" s="143"/>
      <c r="P149" s="143"/>
      <c r="Q149" s="143"/>
      <c r="R149" s="143">
        <v>78</v>
      </c>
      <c r="S149" s="143">
        <v>24</v>
      </c>
      <c r="T149" s="143">
        <v>95</v>
      </c>
      <c r="U149" s="143">
        <v>4</v>
      </c>
      <c r="V149" s="143"/>
      <c r="W149" s="143"/>
      <c r="X149" s="143"/>
      <c r="Y149" s="143"/>
      <c r="Z149" s="143"/>
      <c r="AA149" s="143"/>
      <c r="AB149" s="143"/>
      <c r="AC149" s="143"/>
      <c r="AD149" s="144">
        <f>IF(MIN(F149,J149,N149,R149,V149,Z149)&lt;&gt;0,MIN(F149,J149,N149,R149,V149,Z149),"")</f>
        <v>78</v>
      </c>
      <c r="AE149" s="144">
        <f>IF(MIN(H149,L149,P149,T149,X149,AB149)&lt;&gt;0,MIN(H149,L149,P149,T149,X149,AB149),"")</f>
        <v>95</v>
      </c>
      <c r="AF149" s="144"/>
      <c r="AG149" s="143"/>
      <c r="AH149" s="144"/>
      <c r="AI149" s="143"/>
      <c r="AJ149" s="142" t="str">
        <f>IF(AD149="","",IF(ISBLANK(AF149),"En cours",AD149+AF149))</f>
        <v>En cours</v>
      </c>
      <c r="AK149" s="142" t="str">
        <f>IF(AE149="","",IF(ISBLANK(AH149),"En cours",AE149+AH149))</f>
        <v>En cours</v>
      </c>
    </row>
    <row r="150" spans="2:37" ht="21" x14ac:dyDescent="0.35">
      <c r="B150" s="143" t="s">
        <v>302</v>
      </c>
      <c r="C150" s="143" t="s">
        <v>108</v>
      </c>
      <c r="D150" s="143">
        <v>15.2</v>
      </c>
      <c r="E150" s="143" t="s">
        <v>141</v>
      </c>
      <c r="F150" s="143"/>
      <c r="G150" s="143"/>
      <c r="H150" s="143"/>
      <c r="I150" s="143"/>
      <c r="J150" s="143"/>
      <c r="K150" s="143"/>
      <c r="L150" s="143"/>
      <c r="M150" s="143"/>
      <c r="N150" s="143"/>
      <c r="O150" s="143"/>
      <c r="P150" s="143"/>
      <c r="Q150" s="143"/>
      <c r="R150" s="143">
        <v>79</v>
      </c>
      <c r="S150" s="143">
        <v>27</v>
      </c>
      <c r="T150" s="143">
        <v>93</v>
      </c>
      <c r="U150" s="143">
        <v>4</v>
      </c>
      <c r="V150" s="143"/>
      <c r="W150" s="143"/>
      <c r="X150" s="143"/>
      <c r="Y150" s="143"/>
      <c r="Z150" s="143"/>
      <c r="AA150" s="143"/>
      <c r="AB150" s="143"/>
      <c r="AC150" s="143"/>
      <c r="AD150" s="144">
        <f>IF(MIN(F150,J150,N150,R150,V150,Z150)&lt;&gt;0,MIN(F150,J150,N150,R150,V150,Z150),"")</f>
        <v>79</v>
      </c>
      <c r="AE150" s="144">
        <f>IF(MIN(H150,L150,P150,T150,X150,AB150)&lt;&gt;0,MIN(H150,L150,P150,T150,X150,AB150),"")</f>
        <v>93</v>
      </c>
      <c r="AF150" s="144"/>
      <c r="AG150" s="143"/>
      <c r="AH150" s="144"/>
      <c r="AI150" s="143"/>
      <c r="AJ150" s="142" t="str">
        <f>IF(AD150="","",IF(ISBLANK(AF150),"En cours",AD150+AF150))</f>
        <v>En cours</v>
      </c>
      <c r="AK150" s="142" t="str">
        <f>IF(AE150="","",IF(ISBLANK(AH150),"En cours",AE150+AH150))</f>
        <v>En cours</v>
      </c>
    </row>
    <row r="151" spans="2:37" ht="21" x14ac:dyDescent="0.35">
      <c r="B151" s="143" t="s">
        <v>303</v>
      </c>
      <c r="C151" s="143" t="s">
        <v>270</v>
      </c>
      <c r="D151" s="143">
        <v>13.7</v>
      </c>
      <c r="E151" s="143" t="s">
        <v>141</v>
      </c>
      <c r="F151" s="143"/>
      <c r="G151" s="143"/>
      <c r="H151" s="143"/>
      <c r="I151" s="143"/>
      <c r="J151" s="143"/>
      <c r="K151" s="143"/>
      <c r="L151" s="143"/>
      <c r="M151" s="143"/>
      <c r="N151" s="143"/>
      <c r="O151" s="143"/>
      <c r="P151" s="143"/>
      <c r="Q151" s="143"/>
      <c r="R151" s="143">
        <v>80</v>
      </c>
      <c r="S151" s="143">
        <v>29</v>
      </c>
      <c r="T151" s="143">
        <v>93</v>
      </c>
      <c r="U151" s="143">
        <v>4</v>
      </c>
      <c r="V151" s="143"/>
      <c r="W151" s="143"/>
      <c r="X151" s="143"/>
      <c r="Y151" s="143"/>
      <c r="Z151" s="143"/>
      <c r="AA151" s="143"/>
      <c r="AB151" s="143"/>
      <c r="AC151" s="143"/>
      <c r="AD151" s="144">
        <f>IF(MIN(F151,J151,N151,R151,V151,Z151)&lt;&gt;0,MIN(F151,J151,N151,R151,V151,Z151),"")</f>
        <v>80</v>
      </c>
      <c r="AE151" s="144">
        <f>IF(MIN(H151,L151,P151,T151,X151,AB151)&lt;&gt;0,MIN(H151,L151,P151,T151,X151,AB151),"")</f>
        <v>93</v>
      </c>
      <c r="AF151" s="144"/>
      <c r="AG151" s="143"/>
      <c r="AH151" s="144"/>
      <c r="AI151" s="143"/>
      <c r="AJ151" s="142" t="str">
        <f>IF(AD151="","",IF(ISBLANK(AF151),"En cours",AD151+AF151))</f>
        <v>En cours</v>
      </c>
      <c r="AK151" s="142" t="str">
        <f>IF(AE151="","",IF(ISBLANK(AH151),"En cours",AE151+AH151))</f>
        <v>En cours</v>
      </c>
    </row>
    <row r="152" spans="2:37" ht="21" x14ac:dyDescent="0.35">
      <c r="B152" s="143" t="s">
        <v>307</v>
      </c>
      <c r="C152" s="143" t="s">
        <v>308</v>
      </c>
      <c r="D152" s="143">
        <v>24.5</v>
      </c>
      <c r="E152" s="143" t="s">
        <v>141</v>
      </c>
      <c r="F152" s="143"/>
      <c r="G152" s="143"/>
      <c r="H152" s="143"/>
      <c r="I152" s="143"/>
      <c r="J152" s="143"/>
      <c r="K152" s="143"/>
      <c r="L152" s="143"/>
      <c r="M152" s="143"/>
      <c r="N152" s="143"/>
      <c r="O152" s="143"/>
      <c r="P152" s="143"/>
      <c r="Q152" s="143"/>
      <c r="R152" s="143">
        <v>64</v>
      </c>
      <c r="S152" s="143">
        <v>1</v>
      </c>
      <c r="T152" s="143">
        <v>85</v>
      </c>
      <c r="U152" s="143">
        <v>4</v>
      </c>
      <c r="V152" s="143"/>
      <c r="W152" s="143"/>
      <c r="X152" s="143"/>
      <c r="Y152" s="143"/>
      <c r="Z152" s="143"/>
      <c r="AA152" s="143"/>
      <c r="AB152" s="143"/>
      <c r="AC152" s="143"/>
      <c r="AD152" s="144">
        <f>IF(MIN(F152,J152,N152,R152,V152,Z152)&lt;&gt;0,MIN(F152,J152,N152,R152,V152,Z152),"")</f>
        <v>64</v>
      </c>
      <c r="AE152" s="144">
        <f>IF(MIN(H152,L152,P152,T152,X152,AB152)&lt;&gt;0,MIN(H152,L152,P152,T152,X152,AB152),"")</f>
        <v>85</v>
      </c>
      <c r="AF152" s="144"/>
      <c r="AG152" s="143"/>
      <c r="AH152" s="144"/>
      <c r="AI152" s="143"/>
      <c r="AJ152" s="142" t="str">
        <f>IF(AD152="","",IF(ISBLANK(AF152),"En cours",AD152+AF152))</f>
        <v>En cours</v>
      </c>
      <c r="AK152" s="142" t="str">
        <f>IF(AE152="","",IF(ISBLANK(AH152),"En cours",AE152+AH152))</f>
        <v>En cours</v>
      </c>
    </row>
    <row r="153" spans="2:37" ht="21" x14ac:dyDescent="0.35">
      <c r="B153" s="143" t="s">
        <v>311</v>
      </c>
      <c r="C153" s="143" t="s">
        <v>108</v>
      </c>
      <c r="D153" s="143">
        <v>25.1</v>
      </c>
      <c r="E153" s="143" t="s">
        <v>141</v>
      </c>
      <c r="F153" s="143">
        <v>76</v>
      </c>
      <c r="G153" s="143">
        <v>12</v>
      </c>
      <c r="H153" s="143">
        <v>98</v>
      </c>
      <c r="I153" s="143">
        <v>1</v>
      </c>
      <c r="J153" s="143"/>
      <c r="K153" s="143"/>
      <c r="L153" s="143"/>
      <c r="M153" s="143"/>
      <c r="N153" s="143"/>
      <c r="O153" s="143"/>
      <c r="P153" s="143"/>
      <c r="Q153" s="143"/>
      <c r="R153" s="143">
        <v>72</v>
      </c>
      <c r="S153" s="143">
        <v>6</v>
      </c>
      <c r="T153" s="143">
        <v>94</v>
      </c>
      <c r="U153" s="143">
        <v>4</v>
      </c>
      <c r="V153" s="143"/>
      <c r="W153" s="143"/>
      <c r="X153" s="143"/>
      <c r="Y153" s="143"/>
      <c r="Z153" s="143">
        <v>76</v>
      </c>
      <c r="AA153" s="143">
        <v>12</v>
      </c>
      <c r="AB153" s="143">
        <v>98</v>
      </c>
      <c r="AC153" s="143">
        <v>6</v>
      </c>
      <c r="AD153" s="144">
        <f>IF(MIN(F153,J153,N153,R153,V153,Z153)&lt;&gt;0,MIN(F153,J153,N153,R153,V153,Z153),"")</f>
        <v>72</v>
      </c>
      <c r="AE153" s="144">
        <f>IF(MIN(H153,L153,P153,T153,X153,AB153)&lt;&gt;0,MIN(H153,L153,P153,T153,X153,AB153),"")</f>
        <v>94</v>
      </c>
      <c r="AF153" s="144"/>
      <c r="AG153" s="143"/>
      <c r="AH153" s="144"/>
      <c r="AI153" s="143"/>
      <c r="AJ153" s="142" t="str">
        <f>IF(AD153="","",IF(ISBLANK(AF153),"En cours",AD153+AF153))</f>
        <v>En cours</v>
      </c>
      <c r="AK153" s="142" t="str">
        <f>IF(AE153="","",IF(ISBLANK(AH153),"En cours",AE153+AH153))</f>
        <v>En cours</v>
      </c>
    </row>
    <row r="154" spans="2:37" ht="21" x14ac:dyDescent="0.35">
      <c r="B154" s="143" t="s">
        <v>314</v>
      </c>
      <c r="C154" s="143" t="s">
        <v>308</v>
      </c>
      <c r="D154" s="143">
        <v>30.7</v>
      </c>
      <c r="E154" s="143" t="s">
        <v>141</v>
      </c>
      <c r="F154" s="143"/>
      <c r="G154" s="143"/>
      <c r="H154" s="143"/>
      <c r="I154" s="143"/>
      <c r="J154" s="143"/>
      <c r="K154" s="143"/>
      <c r="L154" s="143"/>
      <c r="M154" s="143"/>
      <c r="N154" s="143"/>
      <c r="O154" s="143"/>
      <c r="P154" s="143"/>
      <c r="Q154" s="143"/>
      <c r="R154" s="143">
        <v>74</v>
      </c>
      <c r="S154" s="143">
        <v>10</v>
      </c>
      <c r="T154" s="143">
        <v>98</v>
      </c>
      <c r="U154" s="143">
        <v>4</v>
      </c>
      <c r="V154" s="143">
        <v>80</v>
      </c>
      <c r="W154" s="143">
        <v>18</v>
      </c>
      <c r="X154" s="143">
        <v>104</v>
      </c>
      <c r="Y154" s="143">
        <v>5</v>
      </c>
      <c r="Z154" s="143"/>
      <c r="AA154" s="143"/>
      <c r="AB154" s="143"/>
      <c r="AC154" s="143"/>
      <c r="AD154" s="144">
        <f>IF(MIN(F154,J154,N154,R154,V154,Z154)&lt;&gt;0,MIN(F154,J154,N154,R154,V154,Z154),"")</f>
        <v>74</v>
      </c>
      <c r="AE154" s="144">
        <f>IF(MIN(H154,L154,P154,T154,X154,AB154)&lt;&gt;0,MIN(H154,L154,P154,T154,X154,AB154),"")</f>
        <v>98</v>
      </c>
      <c r="AF154" s="144"/>
      <c r="AG154" s="143"/>
      <c r="AH154" s="144"/>
      <c r="AI154" s="143"/>
      <c r="AJ154" s="142" t="str">
        <f>IF(AD154="","",IF(ISBLANK(AF154),"En cours",AD154+AF154))</f>
        <v>En cours</v>
      </c>
      <c r="AK154" s="142" t="str">
        <f>IF(AE154="","",IF(ISBLANK(AH154),"En cours",AE154+AH154))</f>
        <v>En cours</v>
      </c>
    </row>
    <row r="155" spans="2:37" ht="21" x14ac:dyDescent="0.35">
      <c r="B155" s="143" t="s">
        <v>309</v>
      </c>
      <c r="C155" s="143" t="s">
        <v>108</v>
      </c>
      <c r="D155" s="143">
        <v>22.4</v>
      </c>
      <c r="E155" s="143" t="s">
        <v>141</v>
      </c>
      <c r="F155" s="143"/>
      <c r="G155" s="143"/>
      <c r="H155" s="143"/>
      <c r="I155" s="143"/>
      <c r="J155" s="143"/>
      <c r="K155" s="143"/>
      <c r="L155" s="143"/>
      <c r="M155" s="143"/>
      <c r="N155" s="143"/>
      <c r="O155" s="143"/>
      <c r="P155" s="143"/>
      <c r="Q155" s="143"/>
      <c r="R155" s="143">
        <v>74</v>
      </c>
      <c r="S155" s="143">
        <v>12</v>
      </c>
      <c r="T155" s="143">
        <v>93</v>
      </c>
      <c r="U155" s="143">
        <v>4</v>
      </c>
      <c r="V155" s="143">
        <v>79</v>
      </c>
      <c r="W155" s="143">
        <v>16</v>
      </c>
      <c r="X155" s="143">
        <v>98</v>
      </c>
      <c r="Y155" s="143">
        <v>5</v>
      </c>
      <c r="Z155" s="143"/>
      <c r="AA155" s="143"/>
      <c r="AB155" s="143"/>
      <c r="AC155" s="143"/>
      <c r="AD155" s="144">
        <f>IF(MIN(F155,J155,N155,R155,V155,Z155)&lt;&gt;0,MIN(F155,J155,N155,R155,V155,Z155),"")</f>
        <v>74</v>
      </c>
      <c r="AE155" s="144">
        <f>IF(MIN(H155,L155,P155,T155,X155,AB155)&lt;&gt;0,MIN(H155,L155,P155,T155,X155,AB155),"")</f>
        <v>93</v>
      </c>
      <c r="AF155" s="144"/>
      <c r="AG155" s="143"/>
      <c r="AH155" s="144"/>
      <c r="AI155" s="143"/>
      <c r="AJ155" s="142" t="str">
        <f>IF(AD155="","",IF(ISBLANK(AF155),"En cours",AD155+AF155))</f>
        <v>En cours</v>
      </c>
      <c r="AK155" s="142" t="str">
        <f>IF(AE155="","",IF(ISBLANK(AH155),"En cours",AE155+AH155))</f>
        <v>En cours</v>
      </c>
    </row>
    <row r="156" spans="2:37" ht="21" x14ac:dyDescent="0.35">
      <c r="B156" s="143" t="s">
        <v>316</v>
      </c>
      <c r="C156" s="143" t="s">
        <v>108</v>
      </c>
      <c r="D156" s="143">
        <v>25.6</v>
      </c>
      <c r="E156" s="143" t="s">
        <v>141</v>
      </c>
      <c r="F156" s="143"/>
      <c r="G156" s="143"/>
      <c r="H156" s="143"/>
      <c r="I156" s="143"/>
      <c r="J156" s="143"/>
      <c r="K156" s="143"/>
      <c r="L156" s="143"/>
      <c r="M156" s="143"/>
      <c r="N156" s="143"/>
      <c r="O156" s="143"/>
      <c r="P156" s="143"/>
      <c r="Q156" s="143"/>
      <c r="R156" s="143">
        <v>76</v>
      </c>
      <c r="S156" s="143">
        <v>17</v>
      </c>
      <c r="T156" s="143">
        <v>98</v>
      </c>
      <c r="U156" s="143">
        <v>4</v>
      </c>
      <c r="V156" s="143">
        <v>63</v>
      </c>
      <c r="W156" s="143">
        <v>1</v>
      </c>
      <c r="X156" s="143">
        <v>85</v>
      </c>
      <c r="Y156" s="143">
        <v>5</v>
      </c>
      <c r="Z156" s="143"/>
      <c r="AA156" s="143"/>
      <c r="AB156" s="143"/>
      <c r="AC156" s="143"/>
      <c r="AD156" s="144">
        <f>IF(MIN(F156,J156,N156,R156,V156,Z156)&lt;&gt;0,MIN(F156,J156,N156,R156,V156,Z156),"")</f>
        <v>63</v>
      </c>
      <c r="AE156" s="144">
        <f>IF(MIN(H156,L156,P156,T156,X156,AB156)&lt;&gt;0,MIN(H156,L156,P156,T156,X156,AB156),"")</f>
        <v>85</v>
      </c>
      <c r="AF156" s="144"/>
      <c r="AG156" s="143"/>
      <c r="AH156" s="144"/>
      <c r="AI156" s="143"/>
      <c r="AJ156" s="142" t="str">
        <f>IF(AD156="","",IF(ISBLANK(AF156),"En cours",AD156+AF156))</f>
        <v>En cours</v>
      </c>
      <c r="AK156" s="142" t="str">
        <f>IF(AE156="","",IF(ISBLANK(AH156),"En cours",AE156+AH156))</f>
        <v>En cours</v>
      </c>
    </row>
    <row r="157" spans="2:37" ht="21" x14ac:dyDescent="0.35">
      <c r="B157" s="143" t="s">
        <v>312</v>
      </c>
      <c r="C157" s="143" t="s">
        <v>108</v>
      </c>
      <c r="D157" s="143">
        <v>20.3</v>
      </c>
      <c r="E157" s="143" t="s">
        <v>141</v>
      </c>
      <c r="F157" s="143"/>
      <c r="G157" s="143"/>
      <c r="H157" s="143"/>
      <c r="I157" s="143"/>
      <c r="J157" s="143"/>
      <c r="K157" s="143"/>
      <c r="L157" s="143"/>
      <c r="M157" s="143"/>
      <c r="N157" s="143"/>
      <c r="O157" s="143"/>
      <c r="P157" s="143"/>
      <c r="Q157" s="143"/>
      <c r="R157" s="143">
        <v>77</v>
      </c>
      <c r="S157" s="143">
        <v>20</v>
      </c>
      <c r="T157" s="143">
        <v>94</v>
      </c>
      <c r="U157" s="143">
        <v>4</v>
      </c>
      <c r="V157" s="143"/>
      <c r="W157" s="143"/>
      <c r="X157" s="143"/>
      <c r="Y157" s="143"/>
      <c r="Z157" s="143"/>
      <c r="AA157" s="143"/>
      <c r="AB157" s="143"/>
      <c r="AC157" s="143"/>
      <c r="AD157" s="144">
        <f>IF(MIN(F157,J157,N157,R157,V157,Z157)&lt;&gt;0,MIN(F157,J157,N157,R157,V157,Z157),"")</f>
        <v>77</v>
      </c>
      <c r="AE157" s="144">
        <f>IF(MIN(H157,L157,P157,T157,X157,AB157)&lt;&gt;0,MIN(H157,L157,P157,T157,X157,AB157),"")</f>
        <v>94</v>
      </c>
      <c r="AF157" s="144"/>
      <c r="AG157" s="143"/>
      <c r="AH157" s="144"/>
      <c r="AI157" s="143"/>
      <c r="AJ157" s="142" t="str">
        <f>IF(AD157="","",IF(ISBLANK(AF157),"En cours",AD157+AF157))</f>
        <v>En cours</v>
      </c>
      <c r="AK157" s="142" t="str">
        <f>IF(AE157="","",IF(ISBLANK(AH157),"En cours",AE157+AH157))</f>
        <v>En cours</v>
      </c>
    </row>
    <row r="158" spans="2:37" ht="21" x14ac:dyDescent="0.35">
      <c r="B158" s="143" t="s">
        <v>310</v>
      </c>
      <c r="C158" s="143" t="s">
        <v>108</v>
      </c>
      <c r="D158" s="143">
        <v>19.399999999999999</v>
      </c>
      <c r="E158" s="143" t="s">
        <v>141</v>
      </c>
      <c r="F158" s="143"/>
      <c r="G158" s="143"/>
      <c r="H158" s="143"/>
      <c r="I158" s="143"/>
      <c r="J158" s="143"/>
      <c r="K158" s="143"/>
      <c r="L158" s="143"/>
      <c r="M158" s="143"/>
      <c r="N158" s="143"/>
      <c r="O158" s="143"/>
      <c r="P158" s="143"/>
      <c r="Q158" s="143"/>
      <c r="R158" s="143">
        <v>77</v>
      </c>
      <c r="S158" s="143">
        <v>21</v>
      </c>
      <c r="T158" s="143">
        <v>93</v>
      </c>
      <c r="U158" s="143">
        <v>4</v>
      </c>
      <c r="V158" s="143"/>
      <c r="W158" s="143"/>
      <c r="X158" s="143"/>
      <c r="Y158" s="143"/>
      <c r="Z158" s="143"/>
      <c r="AA158" s="143"/>
      <c r="AB158" s="143"/>
      <c r="AC158" s="143"/>
      <c r="AD158" s="144">
        <f>IF(MIN(F158,J158,N158,R158,V158,Z158)&lt;&gt;0,MIN(F158,J158,N158,R158,V158,Z158),"")</f>
        <v>77</v>
      </c>
      <c r="AE158" s="144">
        <f>IF(MIN(H158,L158,P158,T158,X158,AB158)&lt;&gt;0,MIN(H158,L158,P158,T158,X158,AB158),"")</f>
        <v>93</v>
      </c>
      <c r="AF158" s="144"/>
      <c r="AG158" s="143"/>
      <c r="AH158" s="144"/>
      <c r="AI158" s="143"/>
      <c r="AJ158" s="142" t="str">
        <f>IF(AD158="","",IF(ISBLANK(AF158),"En cours",AD158+AF158))</f>
        <v>En cours</v>
      </c>
      <c r="AK158" s="142" t="str">
        <f>IF(AE158="","",IF(ISBLANK(AH158),"En cours",AE158+AH158))</f>
        <v>En cours</v>
      </c>
    </row>
    <row r="159" spans="2:37" ht="21" x14ac:dyDescent="0.35">
      <c r="B159" s="143" t="s">
        <v>315</v>
      </c>
      <c r="C159" s="143" t="s">
        <v>108</v>
      </c>
      <c r="D159" s="143">
        <v>23.7</v>
      </c>
      <c r="E159" s="143" t="s">
        <v>141</v>
      </c>
      <c r="F159" s="143">
        <v>75</v>
      </c>
      <c r="G159" s="143">
        <v>8</v>
      </c>
      <c r="H159" s="143">
        <v>95</v>
      </c>
      <c r="I159" s="143">
        <v>1</v>
      </c>
      <c r="J159" s="143"/>
      <c r="K159" s="143"/>
      <c r="L159" s="143"/>
      <c r="M159" s="143"/>
      <c r="N159" s="143"/>
      <c r="O159" s="143"/>
      <c r="P159" s="143"/>
      <c r="Q159" s="143"/>
      <c r="R159" s="143">
        <v>78</v>
      </c>
      <c r="S159" s="143">
        <v>22</v>
      </c>
      <c r="T159" s="143">
        <v>98</v>
      </c>
      <c r="U159" s="143">
        <v>4</v>
      </c>
      <c r="V159" s="143"/>
      <c r="W159" s="143"/>
      <c r="X159" s="143"/>
      <c r="Y159" s="143"/>
      <c r="Z159" s="143">
        <v>75</v>
      </c>
      <c r="AA159" s="143">
        <v>8</v>
      </c>
      <c r="AB159" s="143">
        <v>95</v>
      </c>
      <c r="AC159" s="143">
        <v>6</v>
      </c>
      <c r="AD159" s="144">
        <f>IF(MIN(F159,J159,N159,R159,V159,Z159)&lt;&gt;0,MIN(F159,J159,N159,R159,V159,Z159),"")</f>
        <v>75</v>
      </c>
      <c r="AE159" s="144">
        <f>IF(MIN(H159,L159,P159,T159,X159,AB159)&lt;&gt;0,MIN(H159,L159,P159,T159,X159,AB159),"")</f>
        <v>95</v>
      </c>
      <c r="AF159" s="144"/>
      <c r="AG159" s="143"/>
      <c r="AH159" s="144"/>
      <c r="AI159" s="143"/>
      <c r="AJ159" s="142" t="str">
        <f>IF(AD159="","",IF(ISBLANK(AF159),"En cours",AD159+AF159))</f>
        <v>En cours</v>
      </c>
      <c r="AK159" s="142" t="str">
        <f>IF(AE159="","",IF(ISBLANK(AH159),"En cours",AE159+AH159))</f>
        <v>En cours</v>
      </c>
    </row>
    <row r="160" spans="2:37" ht="21" x14ac:dyDescent="0.35">
      <c r="B160" s="143" t="s">
        <v>313</v>
      </c>
      <c r="C160" s="143" t="s">
        <v>108</v>
      </c>
      <c r="D160" s="143">
        <v>22</v>
      </c>
      <c r="E160" s="143" t="s">
        <v>141</v>
      </c>
      <c r="F160" s="143">
        <v>83</v>
      </c>
      <c r="G160" s="143">
        <v>22</v>
      </c>
      <c r="H160" s="143">
        <v>101</v>
      </c>
      <c r="I160" s="143">
        <v>1</v>
      </c>
      <c r="J160" s="143"/>
      <c r="K160" s="143"/>
      <c r="L160" s="143"/>
      <c r="M160" s="143"/>
      <c r="N160" s="143"/>
      <c r="O160" s="143"/>
      <c r="P160" s="143"/>
      <c r="Q160" s="143"/>
      <c r="R160" s="143">
        <v>79</v>
      </c>
      <c r="S160" s="143">
        <v>24</v>
      </c>
      <c r="T160" s="143">
        <v>97</v>
      </c>
      <c r="U160" s="143">
        <v>4</v>
      </c>
      <c r="V160" s="143"/>
      <c r="W160" s="143"/>
      <c r="X160" s="143"/>
      <c r="Y160" s="143"/>
      <c r="Z160" s="143">
        <v>83</v>
      </c>
      <c r="AA160" s="143">
        <v>22</v>
      </c>
      <c r="AB160" s="143">
        <v>101</v>
      </c>
      <c r="AC160" s="143">
        <v>6</v>
      </c>
      <c r="AD160" s="144">
        <f>IF(MIN(F160,J160,N160,R160,V160,Z160)&lt;&gt;0,MIN(F160,J160,N160,R160,V160,Z160),"")</f>
        <v>79</v>
      </c>
      <c r="AE160" s="144">
        <f>IF(MIN(H160,L160,P160,T160,X160,AB160)&lt;&gt;0,MIN(H160,L160,P160,T160,X160,AB160),"")</f>
        <v>97</v>
      </c>
      <c r="AF160" s="144"/>
      <c r="AG160" s="143"/>
      <c r="AH160" s="144"/>
      <c r="AI160" s="143"/>
      <c r="AJ160" s="142" t="str">
        <f>IF(AD160="","",IF(ISBLANK(AF160),"En cours",AD160+AF160))</f>
        <v>En cours</v>
      </c>
      <c r="AK160" s="142" t="str">
        <f>IF(AE160="","",IF(ISBLANK(AH160),"En cours",AE160+AH160))</f>
        <v>En cours</v>
      </c>
    </row>
    <row r="161" spans="2:37" ht="21" x14ac:dyDescent="0.35">
      <c r="B161" s="143" t="s">
        <v>317</v>
      </c>
      <c r="C161" s="143" t="s">
        <v>108</v>
      </c>
      <c r="D161" s="143">
        <v>23.1</v>
      </c>
      <c r="E161" s="143" t="s">
        <v>141</v>
      </c>
      <c r="F161" s="143"/>
      <c r="G161" s="143"/>
      <c r="H161" s="143"/>
      <c r="I161" s="143"/>
      <c r="J161" s="143"/>
      <c r="K161" s="143"/>
      <c r="L161" s="143"/>
      <c r="M161" s="143"/>
      <c r="N161" s="143"/>
      <c r="O161" s="143"/>
      <c r="P161" s="143"/>
      <c r="Q161" s="143"/>
      <c r="R161" s="143">
        <v>80</v>
      </c>
      <c r="S161" s="143">
        <v>25</v>
      </c>
      <c r="T161" s="143">
        <v>100</v>
      </c>
      <c r="U161" s="143">
        <v>4</v>
      </c>
      <c r="V161" s="143"/>
      <c r="W161" s="143"/>
      <c r="X161" s="143"/>
      <c r="Y161" s="143"/>
      <c r="Z161" s="143"/>
      <c r="AA161" s="143"/>
      <c r="AB161" s="143"/>
      <c r="AC161" s="143"/>
      <c r="AD161" s="144">
        <f>IF(MIN(F161,J161,N161,R161,V161,Z161)&lt;&gt;0,MIN(F161,J161,N161,R161,V161,Z161),"")</f>
        <v>80</v>
      </c>
      <c r="AE161" s="144">
        <f>IF(MIN(H161,L161,P161,T161,X161,AB161)&lt;&gt;0,MIN(H161,L161,P161,T161,X161,AB161),"")</f>
        <v>100</v>
      </c>
      <c r="AF161" s="144"/>
      <c r="AG161" s="143"/>
      <c r="AH161" s="144"/>
      <c r="AI161" s="143"/>
      <c r="AJ161" s="142" t="str">
        <f>IF(AD161="","",IF(ISBLANK(AF161),"En cours",AD161+AF161))</f>
        <v>En cours</v>
      </c>
      <c r="AK161" s="142" t="str">
        <f>IF(AE161="","",IF(ISBLANK(AH161),"En cours",AE161+AH161))</f>
        <v>En cours</v>
      </c>
    </row>
    <row r="162" spans="2:37" ht="21" x14ac:dyDescent="0.35">
      <c r="B162" s="143" t="s">
        <v>318</v>
      </c>
      <c r="C162" s="143" t="s">
        <v>108</v>
      </c>
      <c r="D162" s="143">
        <v>26.5</v>
      </c>
      <c r="E162" s="143" t="s">
        <v>141</v>
      </c>
      <c r="F162" s="143"/>
      <c r="G162" s="143"/>
      <c r="H162" s="143"/>
      <c r="I162" s="143"/>
      <c r="J162" s="143"/>
      <c r="K162" s="143"/>
      <c r="L162" s="143"/>
      <c r="M162" s="143"/>
      <c r="N162" s="143"/>
      <c r="O162" s="143"/>
      <c r="P162" s="143"/>
      <c r="Q162" s="143"/>
      <c r="R162" s="143">
        <v>80</v>
      </c>
      <c r="S162" s="143">
        <v>26</v>
      </c>
      <c r="T162" s="143">
        <v>100</v>
      </c>
      <c r="U162" s="143">
        <v>4</v>
      </c>
      <c r="V162" s="143"/>
      <c r="W162" s="143"/>
      <c r="X162" s="143"/>
      <c r="Y162" s="143"/>
      <c r="Z162" s="143"/>
      <c r="AA162" s="143"/>
      <c r="AB162" s="143"/>
      <c r="AC162" s="143"/>
      <c r="AD162" s="144">
        <f>IF(MIN(F162,J162,N162,R162,V162,Z162)&lt;&gt;0,MIN(F162,J162,N162,R162,V162,Z162),"")</f>
        <v>80</v>
      </c>
      <c r="AE162" s="144">
        <f>IF(MIN(H162,L162,P162,T162,X162,AB162)&lt;&gt;0,MIN(H162,L162,P162,T162,X162,AB162),"")</f>
        <v>100</v>
      </c>
      <c r="AF162" s="144"/>
      <c r="AG162" s="143"/>
      <c r="AH162" s="144"/>
      <c r="AI162" s="143"/>
      <c r="AJ162" s="142" t="str">
        <f>IF(AD162="","",IF(ISBLANK(AF162),"En cours",AD162+AF162))</f>
        <v>En cours</v>
      </c>
      <c r="AK162" s="142" t="str">
        <f>IF(AE162="","",IF(ISBLANK(AH162),"En cours",AE162+AH162))</f>
        <v>En cours</v>
      </c>
    </row>
    <row r="163" spans="2:37" ht="21" x14ac:dyDescent="0.35">
      <c r="B163" s="143" t="s">
        <v>319</v>
      </c>
      <c r="C163" s="143" t="s">
        <v>108</v>
      </c>
      <c r="D163" s="143">
        <v>23.2</v>
      </c>
      <c r="E163" s="143" t="s">
        <v>141</v>
      </c>
      <c r="F163" s="143"/>
      <c r="G163" s="143"/>
      <c r="H163" s="143"/>
      <c r="I163" s="143"/>
      <c r="J163" s="143"/>
      <c r="K163" s="143"/>
      <c r="L163" s="143"/>
      <c r="M163" s="143"/>
      <c r="N163" s="143"/>
      <c r="O163" s="143"/>
      <c r="P163" s="143"/>
      <c r="Q163" s="143"/>
      <c r="R163" s="143">
        <v>81</v>
      </c>
      <c r="S163" s="143">
        <v>27</v>
      </c>
      <c r="T163" s="143">
        <v>101</v>
      </c>
      <c r="U163" s="143">
        <v>4</v>
      </c>
      <c r="V163" s="143">
        <v>74</v>
      </c>
      <c r="W163" s="143">
        <v>10</v>
      </c>
      <c r="X163" s="143">
        <v>94</v>
      </c>
      <c r="Y163" s="143">
        <v>5</v>
      </c>
      <c r="Z163" s="143"/>
      <c r="AA163" s="143"/>
      <c r="AB163" s="143"/>
      <c r="AC163" s="143"/>
      <c r="AD163" s="144">
        <f>IF(MIN(F163,J163,N163,R163,V163,Z163)&lt;&gt;0,MIN(F163,J163,N163,R163,V163,Z163),"")</f>
        <v>74</v>
      </c>
      <c r="AE163" s="144">
        <f>IF(MIN(H163,L163,P163,T163,X163,AB163)&lt;&gt;0,MIN(H163,L163,P163,T163,X163,AB163),"")</f>
        <v>94</v>
      </c>
      <c r="AF163" s="144"/>
      <c r="AG163" s="143"/>
      <c r="AH163" s="144"/>
      <c r="AI163" s="143"/>
      <c r="AJ163" s="142" t="str">
        <f>IF(AD163="","",IF(ISBLANK(AF163),"En cours",AD163+AF163))</f>
        <v>En cours</v>
      </c>
      <c r="AK163" s="142" t="str">
        <f>IF(AE163="","",IF(ISBLANK(AH163),"En cours",AE163+AH163))</f>
        <v>En cours</v>
      </c>
    </row>
    <row r="164" spans="2:37" ht="21" x14ac:dyDescent="0.35">
      <c r="B164" s="143" t="s">
        <v>320</v>
      </c>
      <c r="C164" s="143" t="s">
        <v>108</v>
      </c>
      <c r="D164" s="143">
        <v>25.8</v>
      </c>
      <c r="E164" s="143" t="s">
        <v>141</v>
      </c>
      <c r="F164" s="143"/>
      <c r="G164" s="143"/>
      <c r="H164" s="143"/>
      <c r="I164" s="143"/>
      <c r="J164" s="143"/>
      <c r="K164" s="143"/>
      <c r="L164" s="143"/>
      <c r="M164" s="143"/>
      <c r="N164" s="143"/>
      <c r="O164" s="143"/>
      <c r="P164" s="143"/>
      <c r="Q164" s="143"/>
      <c r="R164" s="143">
        <v>82</v>
      </c>
      <c r="S164" s="143">
        <v>28</v>
      </c>
      <c r="T164" s="143">
        <v>104</v>
      </c>
      <c r="U164" s="143">
        <v>4</v>
      </c>
      <c r="V164" s="143"/>
      <c r="W164" s="143"/>
      <c r="X164" s="143"/>
      <c r="Y164" s="143"/>
      <c r="Z164" s="143"/>
      <c r="AA164" s="143"/>
      <c r="AB164" s="143"/>
      <c r="AC164" s="143"/>
      <c r="AD164" s="144">
        <f>IF(MIN(F164,J164,N164,R164,V164,Z164)&lt;&gt;0,MIN(F164,J164,N164,R164,V164,Z164),"")</f>
        <v>82</v>
      </c>
      <c r="AE164" s="144">
        <f>IF(MIN(H164,L164,P164,T164,X164,AB164)&lt;&gt;0,MIN(H164,L164,P164,T164,X164,AB164),"")</f>
        <v>104</v>
      </c>
      <c r="AF164" s="144"/>
      <c r="AG164" s="143"/>
      <c r="AH164" s="144"/>
      <c r="AI164" s="143"/>
      <c r="AJ164" s="142" t="str">
        <f>IF(AD164="","",IF(ISBLANK(AF164),"En cours",AD164+AF164))</f>
        <v>En cours</v>
      </c>
      <c r="AK164" s="142" t="str">
        <f>IF(AE164="","",IF(ISBLANK(AH164),"En cours",AE164+AH164))</f>
        <v>En cours</v>
      </c>
    </row>
    <row r="165" spans="2:37" ht="21" x14ac:dyDescent="0.35">
      <c r="B165" s="143" t="s">
        <v>324</v>
      </c>
      <c r="C165" s="143" t="s">
        <v>270</v>
      </c>
      <c r="D165" s="143">
        <v>7.2</v>
      </c>
      <c r="E165" s="143" t="s">
        <v>141</v>
      </c>
      <c r="F165" s="143">
        <v>73</v>
      </c>
      <c r="G165" s="143">
        <v>4</v>
      </c>
      <c r="H165" s="143">
        <v>76</v>
      </c>
      <c r="I165" s="143">
        <v>1</v>
      </c>
      <c r="J165" s="143"/>
      <c r="K165" s="143"/>
      <c r="L165" s="143"/>
      <c r="M165" s="143"/>
      <c r="N165" s="143"/>
      <c r="O165" s="143"/>
      <c r="P165" s="143"/>
      <c r="Q165" s="143"/>
      <c r="R165" s="143"/>
      <c r="S165" s="143"/>
      <c r="T165" s="143"/>
      <c r="U165" s="143"/>
      <c r="V165" s="143">
        <v>70</v>
      </c>
      <c r="W165" s="143">
        <v>3</v>
      </c>
      <c r="X165" s="143">
        <v>79</v>
      </c>
      <c r="Y165" s="143">
        <v>5</v>
      </c>
      <c r="Z165" s="143">
        <v>73</v>
      </c>
      <c r="AA165" s="143">
        <v>4</v>
      </c>
      <c r="AB165" s="143">
        <v>76</v>
      </c>
      <c r="AC165" s="143">
        <v>6</v>
      </c>
      <c r="AD165" s="144">
        <f>IF(MIN(F165,J165,N165,R165,V165,Z165)&lt;&gt;0,MIN(F165,J165,N165,R165,V165,Z165),"")</f>
        <v>70</v>
      </c>
      <c r="AE165" s="144">
        <f>IF(MIN(H165,L165,P165,T165,X165,AB165)&lt;&gt;0,MIN(H165,L165,P165,T165,X165,AB165),"")</f>
        <v>76</v>
      </c>
      <c r="AF165" s="144"/>
      <c r="AG165" s="143"/>
      <c r="AH165" s="144"/>
      <c r="AI165" s="143"/>
      <c r="AJ165" s="142" t="str">
        <f>IF(AD165="","",IF(ISBLANK(AF165),"En cours",AD165+AF165))</f>
        <v>En cours</v>
      </c>
      <c r="AK165" s="142" t="str">
        <f>IF(AE165="","",IF(ISBLANK(AH165),"En cours",AE165+AH165))</f>
        <v>En cours</v>
      </c>
    </row>
    <row r="166" spans="2:37" ht="21" x14ac:dyDescent="0.35">
      <c r="B166" s="143" t="s">
        <v>325</v>
      </c>
      <c r="C166" s="143" t="s">
        <v>108</v>
      </c>
      <c r="D166" s="143">
        <v>7.7</v>
      </c>
      <c r="E166" s="143" t="s">
        <v>141</v>
      </c>
      <c r="F166" s="143"/>
      <c r="G166" s="143"/>
      <c r="H166" s="143"/>
      <c r="I166" s="143"/>
      <c r="J166" s="143"/>
      <c r="K166" s="143"/>
      <c r="L166" s="143"/>
      <c r="M166" s="143"/>
      <c r="N166" s="143"/>
      <c r="O166" s="143"/>
      <c r="P166" s="143"/>
      <c r="Q166" s="143"/>
      <c r="R166" s="143"/>
      <c r="S166" s="143"/>
      <c r="T166" s="143"/>
      <c r="U166" s="143"/>
      <c r="V166" s="143">
        <v>73</v>
      </c>
      <c r="W166" s="143">
        <v>4</v>
      </c>
      <c r="X166" s="143">
        <v>83</v>
      </c>
      <c r="Y166" s="143">
        <v>5</v>
      </c>
      <c r="Z166" s="143"/>
      <c r="AA166" s="143"/>
      <c r="AB166" s="143"/>
      <c r="AC166" s="143"/>
      <c r="AD166" s="144">
        <f>IF(MIN(F166,J166,N166,R166,V166,Z166)&lt;&gt;0,MIN(F166,J166,N166,R166,V166,Z166),"")</f>
        <v>73</v>
      </c>
      <c r="AE166" s="144">
        <f>IF(MIN(H166,L166,P166,T166,X166,AB166)&lt;&gt;0,MIN(H166,L166,P166,T166,X166,AB166),"")</f>
        <v>83</v>
      </c>
      <c r="AF166" s="144"/>
      <c r="AG166" s="143"/>
      <c r="AH166" s="144"/>
      <c r="AI166" s="143"/>
      <c r="AJ166" s="142" t="str">
        <f>IF(AD166="","",IF(ISBLANK(AF166),"En cours",AD166+AF166))</f>
        <v>En cours</v>
      </c>
      <c r="AK166" s="142" t="str">
        <f>IF(AE166="","",IF(ISBLANK(AH166),"En cours",AE166+AH166))</f>
        <v>En cours</v>
      </c>
    </row>
    <row r="167" spans="2:37" ht="21" x14ac:dyDescent="0.35">
      <c r="B167" s="143" t="s">
        <v>326</v>
      </c>
      <c r="C167" s="143" t="s">
        <v>108</v>
      </c>
      <c r="D167" s="143">
        <v>1.2</v>
      </c>
      <c r="E167" s="143" t="s">
        <v>141</v>
      </c>
      <c r="F167" s="143"/>
      <c r="G167" s="143"/>
      <c r="H167" s="143"/>
      <c r="I167" s="143"/>
      <c r="J167" s="143"/>
      <c r="K167" s="143"/>
      <c r="L167" s="143"/>
      <c r="M167" s="143"/>
      <c r="N167" s="143"/>
      <c r="O167" s="143"/>
      <c r="P167" s="143"/>
      <c r="Q167" s="143"/>
      <c r="R167" s="143"/>
      <c r="S167" s="143"/>
      <c r="T167" s="143"/>
      <c r="U167" s="143"/>
      <c r="V167" s="143">
        <v>83</v>
      </c>
      <c r="W167" s="143">
        <v>10</v>
      </c>
      <c r="X167" s="143">
        <v>85</v>
      </c>
      <c r="Y167" s="143">
        <v>5</v>
      </c>
      <c r="Z167" s="143"/>
      <c r="AA167" s="143"/>
      <c r="AB167" s="143"/>
      <c r="AC167" s="143"/>
      <c r="AD167" s="144">
        <f>IF(MIN(F167,J167,N167,R167,V167,Z167)&lt;&gt;0,MIN(F167,J167,N167,R167,V167,Z167),"")</f>
        <v>83</v>
      </c>
      <c r="AE167" s="144">
        <f>IF(MIN(H167,L167,P167,T167,X167,AB167)&lt;&gt;0,MIN(H167,L167,P167,T167,X167,AB167),"")</f>
        <v>85</v>
      </c>
      <c r="AF167" s="144"/>
      <c r="AG167" s="143"/>
      <c r="AH167" s="144"/>
      <c r="AI167" s="143"/>
      <c r="AJ167" s="142" t="str">
        <f>IF(AD167="","",IF(ISBLANK(AF167),"En cours",AD167+AF167))</f>
        <v>En cours</v>
      </c>
      <c r="AK167" s="142" t="str">
        <f>IF(AE167="","",IF(ISBLANK(AH167),"En cours",AE167+AH167))</f>
        <v>En cours</v>
      </c>
    </row>
    <row r="168" spans="2:37" ht="21" x14ac:dyDescent="0.35">
      <c r="B168" s="143" t="s">
        <v>327</v>
      </c>
      <c r="C168" s="143" t="s">
        <v>108</v>
      </c>
      <c r="D168" s="143">
        <v>16.600000000000001</v>
      </c>
      <c r="E168" s="143" t="s">
        <v>141</v>
      </c>
      <c r="F168" s="143"/>
      <c r="G168" s="143"/>
      <c r="H168" s="143"/>
      <c r="I168" s="143"/>
      <c r="J168" s="143"/>
      <c r="K168" s="143"/>
      <c r="L168" s="143"/>
      <c r="M168" s="143"/>
      <c r="N168" s="143"/>
      <c r="O168" s="143"/>
      <c r="P168" s="143"/>
      <c r="Q168" s="143"/>
      <c r="R168" s="143"/>
      <c r="S168" s="143"/>
      <c r="T168" s="143"/>
      <c r="U168" s="143"/>
      <c r="V168" s="143">
        <v>66</v>
      </c>
      <c r="W168" s="143">
        <v>1</v>
      </c>
      <c r="X168" s="143">
        <v>82</v>
      </c>
      <c r="Y168" s="143">
        <v>5</v>
      </c>
      <c r="Z168" s="143"/>
      <c r="AA168" s="143"/>
      <c r="AB168" s="143"/>
      <c r="AC168" s="143"/>
      <c r="AD168" s="144">
        <f>IF(MIN(F168,J168,N168,R168,V168,Z168)&lt;&gt;0,MIN(F168,J168,N168,R168,V168,Z168),"")</f>
        <v>66</v>
      </c>
      <c r="AE168" s="144">
        <f>IF(MIN(H168,L168,P168,T168,X168,AB168)&lt;&gt;0,MIN(H168,L168,P168,T168,X168,AB168),"")</f>
        <v>82</v>
      </c>
      <c r="AF168" s="144"/>
      <c r="AG168" s="143"/>
      <c r="AH168" s="144"/>
      <c r="AI168" s="143"/>
      <c r="AJ168" s="142" t="str">
        <f>IF(AD168="","",IF(ISBLANK(AF168),"En cours",AD168+AF168))</f>
        <v>En cours</v>
      </c>
      <c r="AK168" s="142" t="str">
        <f>IF(AE168="","",IF(ISBLANK(AH168),"En cours",AE168+AH168))</f>
        <v>En cours</v>
      </c>
    </row>
    <row r="169" spans="2:37" ht="21" x14ac:dyDescent="0.35">
      <c r="B169" s="143" t="s">
        <v>328</v>
      </c>
      <c r="C169" s="143" t="s">
        <v>108</v>
      </c>
      <c r="D169" s="143">
        <v>16.600000000000001</v>
      </c>
      <c r="E169" s="143" t="s">
        <v>141</v>
      </c>
      <c r="F169" s="143"/>
      <c r="G169" s="143"/>
      <c r="H169" s="143"/>
      <c r="I169" s="143"/>
      <c r="J169" s="143"/>
      <c r="K169" s="143"/>
      <c r="L169" s="143"/>
      <c r="M169" s="143"/>
      <c r="N169" s="143"/>
      <c r="O169" s="143"/>
      <c r="P169" s="143"/>
      <c r="Q169" s="143"/>
      <c r="R169" s="143"/>
      <c r="S169" s="143"/>
      <c r="T169" s="143"/>
      <c r="U169" s="143"/>
      <c r="V169" s="143">
        <v>69</v>
      </c>
      <c r="W169" s="143">
        <v>3</v>
      </c>
      <c r="X169" s="143">
        <v>85</v>
      </c>
      <c r="Y169" s="143">
        <v>5</v>
      </c>
      <c r="Z169" s="143"/>
      <c r="AA169" s="143"/>
      <c r="AB169" s="143"/>
      <c r="AC169" s="143"/>
      <c r="AD169" s="144">
        <f>IF(MIN(F169,J169,N169,R169,V169,Z169)&lt;&gt;0,MIN(F169,J169,N169,R169,V169,Z169),"")</f>
        <v>69</v>
      </c>
      <c r="AE169" s="144">
        <f>IF(MIN(H169,L169,P169,T169,X169,AB169)&lt;&gt;0,MIN(H169,L169,P169,T169,X169,AB169),"")</f>
        <v>85</v>
      </c>
      <c r="AF169" s="144"/>
      <c r="AG169" s="143"/>
      <c r="AH169" s="144"/>
      <c r="AI169" s="143"/>
      <c r="AJ169" s="142" t="str">
        <f>IF(AD169="","",IF(ISBLANK(AF169),"En cours",AD169+AF169))</f>
        <v>En cours</v>
      </c>
      <c r="AK169" s="142" t="str">
        <f>IF(AE169="","",IF(ISBLANK(AH169),"En cours",AE169+AH169))</f>
        <v>En cours</v>
      </c>
    </row>
    <row r="170" spans="2:37" ht="21" x14ac:dyDescent="0.35">
      <c r="B170" s="143" t="s">
        <v>329</v>
      </c>
      <c r="C170" s="143" t="s">
        <v>108</v>
      </c>
      <c r="D170" s="143">
        <v>14</v>
      </c>
      <c r="E170" s="143" t="s">
        <v>141</v>
      </c>
      <c r="F170" s="143">
        <v>74</v>
      </c>
      <c r="G170" s="143">
        <v>11</v>
      </c>
      <c r="H170" s="143">
        <v>87</v>
      </c>
      <c r="I170" s="143">
        <v>1</v>
      </c>
      <c r="J170" s="143"/>
      <c r="K170" s="143"/>
      <c r="L170" s="143"/>
      <c r="M170" s="143"/>
      <c r="N170" s="143"/>
      <c r="O170" s="143"/>
      <c r="P170" s="143"/>
      <c r="Q170" s="143"/>
      <c r="R170" s="143"/>
      <c r="S170" s="143"/>
      <c r="T170" s="143"/>
      <c r="U170" s="143"/>
      <c r="V170" s="143">
        <v>84</v>
      </c>
      <c r="W170" s="143">
        <v>29</v>
      </c>
      <c r="X170" s="143">
        <v>97</v>
      </c>
      <c r="Y170" s="143">
        <v>5</v>
      </c>
      <c r="Z170" s="143">
        <v>74</v>
      </c>
      <c r="AA170" s="143">
        <v>11</v>
      </c>
      <c r="AB170" s="143">
        <v>87</v>
      </c>
      <c r="AC170" s="143">
        <v>6</v>
      </c>
      <c r="AD170" s="144">
        <f>IF(MIN(F170,J170,N170,R170,V170,Z170)&lt;&gt;0,MIN(F170,J170,N170,R170,V170,Z170),"")</f>
        <v>74</v>
      </c>
      <c r="AE170" s="144">
        <f>IF(MIN(H170,L170,P170,T170,X170,AB170)&lt;&gt;0,MIN(H170,L170,P170,T170,X170,AB170),"")</f>
        <v>87</v>
      </c>
      <c r="AF170" s="144"/>
      <c r="AG170" s="143"/>
      <c r="AH170" s="144"/>
      <c r="AI170" s="143"/>
      <c r="AJ170" s="142" t="str">
        <f>IF(AD170="","",IF(ISBLANK(AF170),"En cours",AD170+AF170))</f>
        <v>En cours</v>
      </c>
      <c r="AK170" s="142" t="str">
        <f>IF(AE170="","",IF(ISBLANK(AH170),"En cours",AE170+AH170))</f>
        <v>En cours</v>
      </c>
    </row>
    <row r="171" spans="2:37" ht="21" x14ac:dyDescent="0.35">
      <c r="B171" s="143" t="s">
        <v>330</v>
      </c>
      <c r="C171" s="143" t="s">
        <v>108</v>
      </c>
      <c r="D171" s="143">
        <v>32.1</v>
      </c>
      <c r="E171" s="143" t="s">
        <v>141</v>
      </c>
      <c r="F171" s="143"/>
      <c r="G171" s="143"/>
      <c r="H171" s="143"/>
      <c r="I171" s="143"/>
      <c r="J171" s="143"/>
      <c r="K171" s="143"/>
      <c r="L171" s="143"/>
      <c r="M171" s="143"/>
      <c r="N171" s="143"/>
      <c r="O171" s="143"/>
      <c r="P171" s="143"/>
      <c r="Q171" s="143"/>
      <c r="R171" s="143"/>
      <c r="S171" s="143"/>
      <c r="T171" s="143"/>
      <c r="U171" s="143"/>
      <c r="V171" s="143">
        <v>77</v>
      </c>
      <c r="W171" s="143">
        <v>14</v>
      </c>
      <c r="X171" s="143">
        <v>103</v>
      </c>
      <c r="Y171" s="143">
        <v>5</v>
      </c>
      <c r="Z171" s="143"/>
      <c r="AA171" s="143"/>
      <c r="AB171" s="143"/>
      <c r="AC171" s="143"/>
      <c r="AD171" s="144">
        <f>IF(MIN(F171,J171,N171,R171,V171,Z171)&lt;&gt;0,MIN(F171,J171,N171,R171,V171,Z171),"")</f>
        <v>77</v>
      </c>
      <c r="AE171" s="144">
        <f>IF(MIN(H171,L171,P171,T171,X171,AB171)&lt;&gt;0,MIN(H171,L171,P171,T171,X171,AB171),"")</f>
        <v>103</v>
      </c>
      <c r="AF171" s="144"/>
      <c r="AG171" s="143"/>
      <c r="AH171" s="144"/>
      <c r="AI171" s="143"/>
      <c r="AJ171" s="142" t="str">
        <f>IF(AD171="","",IF(ISBLANK(AF171),"En cours",AD171+AF171))</f>
        <v>En cours</v>
      </c>
      <c r="AK171" s="142" t="str">
        <f>IF(AE171="","",IF(ISBLANK(AH171),"En cours",AE171+AH171))</f>
        <v>En cours</v>
      </c>
    </row>
    <row r="172" spans="2:37" ht="21" x14ac:dyDescent="0.35">
      <c r="B172" s="143" t="s">
        <v>332</v>
      </c>
      <c r="C172" s="143" t="s">
        <v>108</v>
      </c>
      <c r="D172" s="143">
        <v>7</v>
      </c>
      <c r="E172" s="143" t="s">
        <v>141</v>
      </c>
      <c r="F172" s="143">
        <v>71</v>
      </c>
      <c r="G172" s="143">
        <v>2</v>
      </c>
      <c r="H172" s="143">
        <v>80</v>
      </c>
      <c r="I172" s="143">
        <v>1</v>
      </c>
      <c r="J172" s="143"/>
      <c r="K172" s="143"/>
      <c r="L172" s="143"/>
      <c r="M172" s="143"/>
      <c r="N172" s="143"/>
      <c r="O172" s="143"/>
      <c r="P172" s="143"/>
      <c r="Q172" s="143"/>
      <c r="R172" s="143"/>
      <c r="S172" s="143"/>
      <c r="T172" s="143"/>
      <c r="U172" s="143"/>
      <c r="V172" s="143"/>
      <c r="W172" s="143"/>
      <c r="X172" s="143"/>
      <c r="Y172" s="143"/>
      <c r="Z172" s="143">
        <v>71</v>
      </c>
      <c r="AA172" s="143">
        <v>2</v>
      </c>
      <c r="AB172" s="143">
        <v>80</v>
      </c>
      <c r="AC172" s="143">
        <v>6</v>
      </c>
      <c r="AD172" s="144">
        <f>IF(MIN(F172,J172,N172,R172,V172,Z172)&lt;&gt;0,MIN(F172,J172,N172,R172,V172,Z172),"")</f>
        <v>71</v>
      </c>
      <c r="AE172" s="144">
        <f>IF(MIN(H172,L172,P172,T172,X172,AB172)&lt;&gt;0,MIN(H172,L172,P172,T172,X172,AB172),"")</f>
        <v>80</v>
      </c>
      <c r="AF172" s="144"/>
      <c r="AG172" s="143"/>
      <c r="AH172" s="144"/>
      <c r="AI172" s="143"/>
      <c r="AJ172" s="142" t="str">
        <f>IF(AD172="","",IF(ISBLANK(AF172),"En cours",AD172+AF172))</f>
        <v>En cours</v>
      </c>
      <c r="AK172" s="142" t="str">
        <f>IF(AE172="","",IF(ISBLANK(AH172),"En cours",AE172+AH172))</f>
        <v>En cours</v>
      </c>
    </row>
    <row r="173" spans="2:37" ht="21" x14ac:dyDescent="0.35">
      <c r="B173" s="143" t="s">
        <v>333</v>
      </c>
      <c r="C173" s="143" t="s">
        <v>108</v>
      </c>
      <c r="D173" s="143">
        <v>7.8</v>
      </c>
      <c r="E173" s="143" t="s">
        <v>141</v>
      </c>
      <c r="F173" s="143">
        <v>73</v>
      </c>
      <c r="G173" s="143">
        <v>5</v>
      </c>
      <c r="H173" s="143">
        <v>83</v>
      </c>
      <c r="I173" s="143">
        <v>1</v>
      </c>
      <c r="J173" s="143"/>
      <c r="K173" s="143"/>
      <c r="L173" s="143"/>
      <c r="M173" s="143"/>
      <c r="N173" s="143"/>
      <c r="O173" s="143"/>
      <c r="P173" s="143"/>
      <c r="Q173" s="143"/>
      <c r="R173" s="143"/>
      <c r="S173" s="143"/>
      <c r="T173" s="143"/>
      <c r="U173" s="143"/>
      <c r="V173" s="143"/>
      <c r="W173" s="143"/>
      <c r="X173" s="143"/>
      <c r="Y173" s="143"/>
      <c r="Z173" s="143">
        <v>73</v>
      </c>
      <c r="AA173" s="143">
        <v>5</v>
      </c>
      <c r="AB173" s="143">
        <v>83</v>
      </c>
      <c r="AC173" s="143">
        <v>6</v>
      </c>
      <c r="AD173" s="144">
        <f>IF(MIN(F173,J173,N173,R173,V173,Z173)&lt;&gt;0,MIN(F173,J173,N173,R173,V173,Z173),"")</f>
        <v>73</v>
      </c>
      <c r="AE173" s="144">
        <f>IF(MIN(H173,L173,P173,T173,X173,AB173)&lt;&gt;0,MIN(H173,L173,P173,T173,X173,AB173),"")</f>
        <v>83</v>
      </c>
      <c r="AF173" s="144"/>
      <c r="AG173" s="143"/>
      <c r="AH173" s="144"/>
      <c r="AI173" s="143"/>
      <c r="AJ173" s="142" t="str">
        <f>IF(AD173="","",IF(ISBLANK(AF173),"En cours",AD173+AF173))</f>
        <v>En cours</v>
      </c>
      <c r="AK173" s="142" t="str">
        <f>IF(AE173="","",IF(ISBLANK(AH173),"En cours",AE173+AH173))</f>
        <v>En cours</v>
      </c>
    </row>
    <row r="174" spans="2:37" ht="21" x14ac:dyDescent="0.35">
      <c r="B174" s="143" t="s">
        <v>334</v>
      </c>
      <c r="C174" s="143" t="s">
        <v>108</v>
      </c>
      <c r="D174" s="143">
        <v>12.6</v>
      </c>
      <c r="E174" s="143" t="s">
        <v>141</v>
      </c>
      <c r="F174" s="143">
        <v>64</v>
      </c>
      <c r="G174" s="143">
        <v>1</v>
      </c>
      <c r="H174" s="143">
        <v>75</v>
      </c>
      <c r="I174" s="143">
        <v>1</v>
      </c>
      <c r="J174" s="143"/>
      <c r="K174" s="143"/>
      <c r="L174" s="143"/>
      <c r="M174" s="143"/>
      <c r="N174" s="143"/>
      <c r="O174" s="143"/>
      <c r="P174" s="143"/>
      <c r="Q174" s="143"/>
      <c r="R174" s="143"/>
      <c r="S174" s="143"/>
      <c r="T174" s="143"/>
      <c r="U174" s="143"/>
      <c r="V174" s="143"/>
      <c r="W174" s="143"/>
      <c r="X174" s="143"/>
      <c r="Y174" s="143"/>
      <c r="Z174" s="143">
        <v>64</v>
      </c>
      <c r="AA174" s="143">
        <v>1</v>
      </c>
      <c r="AB174" s="143">
        <v>75</v>
      </c>
      <c r="AC174" s="143">
        <v>6</v>
      </c>
      <c r="AD174" s="144">
        <f>IF(MIN(F174,J174,N174,R174,V174,Z174)&lt;&gt;0,MIN(F174,J174,N174,R174,V174,Z174),"")</f>
        <v>64</v>
      </c>
      <c r="AE174" s="144">
        <f>IF(MIN(H174,L174,P174,T174,X174,AB174)&lt;&gt;0,MIN(H174,L174,P174,T174,X174,AB174),"")</f>
        <v>75</v>
      </c>
      <c r="AF174" s="144"/>
      <c r="AG174" s="143"/>
      <c r="AH174" s="144"/>
      <c r="AI174" s="143"/>
      <c r="AJ174" s="142" t="str">
        <f>IF(AD174="","",IF(ISBLANK(AF174),"En cours",AD174+AF174))</f>
        <v>En cours</v>
      </c>
      <c r="AK174" s="142" t="str">
        <f>IF(AE174="","",IF(ISBLANK(AH174),"En cours",AE174+AH174))</f>
        <v>En cours</v>
      </c>
    </row>
    <row r="175" spans="2:37" ht="21" x14ac:dyDescent="0.35">
      <c r="B175" s="143" t="s">
        <v>335</v>
      </c>
      <c r="C175" s="143" t="s">
        <v>108</v>
      </c>
      <c r="D175" s="143">
        <v>19.399999999999999</v>
      </c>
      <c r="E175" s="143" t="s">
        <v>141</v>
      </c>
      <c r="F175" s="143">
        <v>78</v>
      </c>
      <c r="G175" s="143">
        <v>15</v>
      </c>
      <c r="H175" s="143">
        <v>94</v>
      </c>
      <c r="I175" s="143">
        <v>1</v>
      </c>
      <c r="J175" s="143"/>
      <c r="K175" s="143"/>
      <c r="L175" s="143"/>
      <c r="M175" s="143"/>
      <c r="N175" s="143"/>
      <c r="O175" s="143"/>
      <c r="P175" s="143"/>
      <c r="Q175" s="143"/>
      <c r="R175" s="143"/>
      <c r="S175" s="143"/>
      <c r="T175" s="143"/>
      <c r="U175" s="143"/>
      <c r="V175" s="143"/>
      <c r="W175" s="143"/>
      <c r="X175" s="143"/>
      <c r="Y175" s="143"/>
      <c r="Z175" s="143">
        <v>78</v>
      </c>
      <c r="AA175" s="143">
        <v>15</v>
      </c>
      <c r="AB175" s="143">
        <v>94</v>
      </c>
      <c r="AC175" s="143">
        <v>6</v>
      </c>
      <c r="AD175" s="144">
        <f>IF(MIN(F175,J175,N175,R175,V175,Z175)&lt;&gt;0,MIN(F175,J175,N175,R175,V175,Z175),"")</f>
        <v>78</v>
      </c>
      <c r="AE175" s="144">
        <f>IF(MIN(H175,L175,P175,T175,X175,AB175)&lt;&gt;0,MIN(H175,L175,P175,T175,X175,AB175),"")</f>
        <v>94</v>
      </c>
      <c r="AF175" s="144"/>
      <c r="AG175" s="143"/>
      <c r="AH175" s="144"/>
      <c r="AI175" s="143"/>
      <c r="AJ175" s="142" t="str">
        <f>IF(AD175="","",IF(ISBLANK(AF175),"En cours",AD175+AF175))</f>
        <v>En cours</v>
      </c>
      <c r="AK175" s="142" t="str">
        <f>IF(AE175="","",IF(ISBLANK(AH175),"En cours",AE175+AH175))</f>
        <v>En cours</v>
      </c>
    </row>
    <row r="176" spans="2:37" ht="21" x14ac:dyDescent="0.35">
      <c r="B176" s="143" t="s">
        <v>336</v>
      </c>
      <c r="C176" s="143" t="s">
        <v>108</v>
      </c>
      <c r="D176" s="143">
        <v>20.3</v>
      </c>
      <c r="E176" s="143" t="s">
        <v>141</v>
      </c>
      <c r="F176" s="143">
        <v>81</v>
      </c>
      <c r="G176" s="143">
        <v>21</v>
      </c>
      <c r="H176" s="143">
        <v>98</v>
      </c>
      <c r="I176" s="143">
        <v>1</v>
      </c>
      <c r="J176" s="143"/>
      <c r="K176" s="143"/>
      <c r="L176" s="143"/>
      <c r="M176" s="143"/>
      <c r="N176" s="143"/>
      <c r="O176" s="143"/>
      <c r="P176" s="143"/>
      <c r="Q176" s="143"/>
      <c r="R176" s="143"/>
      <c r="S176" s="143"/>
      <c r="T176" s="143"/>
      <c r="U176" s="143"/>
      <c r="V176" s="143"/>
      <c r="W176" s="143"/>
      <c r="X176" s="143"/>
      <c r="Y176" s="143"/>
      <c r="Z176" s="143">
        <v>81</v>
      </c>
      <c r="AA176" s="143">
        <v>21</v>
      </c>
      <c r="AB176" s="143">
        <v>98</v>
      </c>
      <c r="AC176" s="143">
        <v>6</v>
      </c>
      <c r="AD176" s="144">
        <f>IF(MIN(F176,J176,N176,R176,V176,Z176)&lt;&gt;0,MIN(F176,J176,N176,R176,V176,Z176),"")</f>
        <v>81</v>
      </c>
      <c r="AE176" s="144">
        <f>IF(MIN(H176,L176,P176,T176,X176,AB176)&lt;&gt;0,MIN(H176,L176,P176,T176,X176,AB176),"")</f>
        <v>98</v>
      </c>
      <c r="AF176" s="144"/>
      <c r="AG176" s="143"/>
      <c r="AH176" s="144"/>
      <c r="AI176" s="143"/>
      <c r="AJ176" s="142" t="str">
        <f>IF(AD176="","",IF(ISBLANK(AF176),"En cours",AD176+AF176))</f>
        <v>En cours</v>
      </c>
      <c r="AK176" s="142" t="str">
        <f>IF(AE176="","",IF(ISBLANK(AH176),"En cours",AE176+AH176))</f>
        <v>En cours</v>
      </c>
    </row>
    <row r="177" spans="2:37" ht="21" x14ac:dyDescent="0.35">
      <c r="B177" s="131"/>
      <c r="C177" s="132"/>
      <c r="D177" s="132"/>
      <c r="E177" s="132"/>
      <c r="F177" s="132"/>
      <c r="G177" s="132"/>
      <c r="H177" s="132"/>
      <c r="I177" s="132"/>
      <c r="J177" s="132"/>
      <c r="K177" s="132"/>
      <c r="L177" s="132"/>
      <c r="M177" s="132"/>
      <c r="N177" s="132"/>
      <c r="O177" s="132"/>
      <c r="P177" s="132"/>
      <c r="Q177" s="132"/>
      <c r="R177" s="132"/>
      <c r="S177" s="132"/>
      <c r="T177" s="132"/>
      <c r="U177" s="132"/>
      <c r="V177" s="132"/>
      <c r="W177" s="132"/>
      <c r="X177" s="132"/>
      <c r="Y177" s="132"/>
      <c r="Z177" s="132"/>
      <c r="AA177" s="132"/>
      <c r="AB177" s="132"/>
      <c r="AC177" s="132"/>
      <c r="AD177" s="133" t="str">
        <f t="shared" ref="AD132:AD195" si="0">IF(MIN(F177,J177,N177,R177,V177,Z177)&lt;&gt;0,MIN(F177,J177,N177,R177,V177,Z177),"")</f>
        <v/>
      </c>
      <c r="AE177" s="133" t="str">
        <f t="shared" ref="AE132:AE195" si="1">IF(MIN(H177,L177,P177,T177,X177,AB177)&lt;&gt;0,MIN(H177,L177,P177,T177,X177,AB177),"")</f>
        <v/>
      </c>
      <c r="AF177" s="133"/>
      <c r="AG177" s="132"/>
      <c r="AH177" s="133"/>
      <c r="AI177" s="132"/>
      <c r="AJ177" s="134" t="str">
        <f t="shared" ref="AJ132:AJ195" si="2">IF(AD177="","",IF(ISBLANK(AF177),"En cours",AD177+AF177))</f>
        <v/>
      </c>
      <c r="AK177" s="135" t="str">
        <f t="shared" ref="AK132:AK195" si="3">IF(AE177="","",IF(ISBLANK(AH177),"En cours",AE177+AH177))</f>
        <v/>
      </c>
    </row>
    <row r="178" spans="2:37" ht="21" x14ac:dyDescent="0.35">
      <c r="B178" s="131"/>
      <c r="C178" s="132"/>
      <c r="D178" s="132"/>
      <c r="E178" s="132"/>
      <c r="F178" s="132"/>
      <c r="G178" s="132"/>
      <c r="H178" s="132"/>
      <c r="I178" s="132"/>
      <c r="J178" s="132"/>
      <c r="K178" s="132"/>
      <c r="L178" s="132"/>
      <c r="M178" s="132"/>
      <c r="N178" s="132"/>
      <c r="O178" s="132"/>
      <c r="P178" s="132"/>
      <c r="Q178" s="132"/>
      <c r="R178" s="132"/>
      <c r="S178" s="132"/>
      <c r="T178" s="132"/>
      <c r="U178" s="132"/>
      <c r="V178" s="132"/>
      <c r="W178" s="132"/>
      <c r="X178" s="132"/>
      <c r="Y178" s="132"/>
      <c r="Z178" s="132"/>
      <c r="AA178" s="132"/>
      <c r="AB178" s="132"/>
      <c r="AC178" s="132"/>
      <c r="AD178" s="133" t="str">
        <f t="shared" si="0"/>
        <v/>
      </c>
      <c r="AE178" s="133" t="str">
        <f t="shared" si="1"/>
        <v/>
      </c>
      <c r="AF178" s="133"/>
      <c r="AG178" s="132"/>
      <c r="AH178" s="133"/>
      <c r="AI178" s="132"/>
      <c r="AJ178" s="134" t="str">
        <f t="shared" si="2"/>
        <v/>
      </c>
      <c r="AK178" s="135" t="str">
        <f t="shared" si="3"/>
        <v/>
      </c>
    </row>
    <row r="179" spans="2:37" ht="21" x14ac:dyDescent="0.35">
      <c r="B179" s="138"/>
      <c r="C179" s="139"/>
      <c r="D179" s="139"/>
      <c r="E179" s="139"/>
      <c r="F179" s="139"/>
      <c r="G179" s="139"/>
      <c r="H179" s="139"/>
      <c r="I179" s="139"/>
      <c r="J179" s="139"/>
      <c r="K179" s="139"/>
      <c r="L179" s="139"/>
      <c r="M179" s="139"/>
      <c r="N179" s="139"/>
      <c r="O179" s="139"/>
      <c r="P179" s="139"/>
      <c r="Q179" s="139"/>
      <c r="R179" s="139"/>
      <c r="S179" s="139"/>
      <c r="T179" s="139"/>
      <c r="U179" s="139"/>
      <c r="V179" s="139"/>
      <c r="W179" s="139"/>
      <c r="X179" s="139"/>
      <c r="Y179" s="139"/>
      <c r="Z179" s="139"/>
      <c r="AA179" s="139"/>
      <c r="AB179" s="139"/>
      <c r="AC179" s="139"/>
      <c r="AD179" s="140" t="str">
        <f t="shared" si="0"/>
        <v/>
      </c>
      <c r="AE179" s="140" t="str">
        <f t="shared" si="1"/>
        <v/>
      </c>
      <c r="AF179" s="140"/>
      <c r="AG179" s="139"/>
      <c r="AH179" s="140"/>
      <c r="AI179" s="139"/>
      <c r="AJ179" s="141" t="str">
        <f t="shared" si="2"/>
        <v/>
      </c>
      <c r="AK179" s="142" t="str">
        <f t="shared" si="3"/>
        <v/>
      </c>
    </row>
    <row r="180" spans="2:37" ht="21" x14ac:dyDescent="0.35">
      <c r="B180" s="77"/>
      <c r="C180" s="77"/>
      <c r="D180" s="77"/>
      <c r="E180" s="77"/>
      <c r="F180" s="77"/>
      <c r="G180" s="77"/>
      <c r="H180" s="77"/>
      <c r="I180" s="78"/>
      <c r="J180" s="77"/>
      <c r="K180" s="77"/>
      <c r="L180" s="77"/>
      <c r="M180" s="78"/>
      <c r="N180" s="77"/>
      <c r="O180" s="77"/>
      <c r="P180" s="77"/>
      <c r="Q180" s="78"/>
      <c r="R180" s="77"/>
      <c r="S180" s="77"/>
      <c r="T180" s="77"/>
      <c r="U180" s="78"/>
      <c r="V180" s="77"/>
      <c r="W180" s="77"/>
      <c r="X180" s="77"/>
      <c r="Y180" s="78"/>
      <c r="Z180" s="77"/>
      <c r="AA180" s="77"/>
      <c r="AB180" s="77"/>
      <c r="AC180" s="77"/>
      <c r="AD180" s="79" t="str">
        <f t="shared" si="0"/>
        <v/>
      </c>
      <c r="AE180" s="80" t="str">
        <f t="shared" si="1"/>
        <v/>
      </c>
      <c r="AF180" s="81"/>
      <c r="AG180" s="77"/>
      <c r="AH180" s="81"/>
      <c r="AI180" s="77"/>
      <c r="AJ180" s="82" t="str">
        <f t="shared" si="2"/>
        <v/>
      </c>
      <c r="AK180" s="83" t="str">
        <f t="shared" si="3"/>
        <v/>
      </c>
    </row>
    <row r="181" spans="2:37" ht="21" x14ac:dyDescent="0.35">
      <c r="B181" s="77"/>
      <c r="C181" s="77"/>
      <c r="D181" s="77"/>
      <c r="E181" s="77"/>
      <c r="F181" s="77"/>
      <c r="G181" s="77"/>
      <c r="H181" s="77"/>
      <c r="I181" s="78"/>
      <c r="J181" s="77"/>
      <c r="K181" s="77"/>
      <c r="L181" s="77"/>
      <c r="M181" s="78"/>
      <c r="N181" s="77"/>
      <c r="O181" s="77"/>
      <c r="P181" s="77"/>
      <c r="Q181" s="78"/>
      <c r="R181" s="77"/>
      <c r="S181" s="77"/>
      <c r="T181" s="77"/>
      <c r="U181" s="78"/>
      <c r="V181" s="77"/>
      <c r="W181" s="77"/>
      <c r="X181" s="77"/>
      <c r="Y181" s="78"/>
      <c r="Z181" s="77"/>
      <c r="AA181" s="77"/>
      <c r="AB181" s="77"/>
      <c r="AC181" s="77"/>
      <c r="AD181" s="79" t="str">
        <f t="shared" si="0"/>
        <v/>
      </c>
      <c r="AE181" s="80" t="str">
        <f t="shared" si="1"/>
        <v/>
      </c>
      <c r="AF181" s="81"/>
      <c r="AG181" s="77"/>
      <c r="AH181" s="81"/>
      <c r="AI181" s="77"/>
      <c r="AJ181" s="82" t="str">
        <f t="shared" si="2"/>
        <v/>
      </c>
      <c r="AK181" s="83" t="str">
        <f t="shared" si="3"/>
        <v/>
      </c>
    </row>
    <row r="182" spans="2:37" ht="21" x14ac:dyDescent="0.35">
      <c r="B182" s="77"/>
      <c r="C182" s="77"/>
      <c r="D182" s="77"/>
      <c r="E182" s="77"/>
      <c r="F182" s="77"/>
      <c r="G182" s="77"/>
      <c r="H182" s="77"/>
      <c r="I182" s="78"/>
      <c r="J182" s="77"/>
      <c r="K182" s="77"/>
      <c r="L182" s="77"/>
      <c r="M182" s="78"/>
      <c r="N182" s="77"/>
      <c r="O182" s="77"/>
      <c r="P182" s="77"/>
      <c r="Q182" s="78"/>
      <c r="R182" s="77"/>
      <c r="S182" s="77"/>
      <c r="T182" s="77"/>
      <c r="U182" s="78"/>
      <c r="V182" s="77"/>
      <c r="W182" s="77"/>
      <c r="X182" s="77"/>
      <c r="Y182" s="78"/>
      <c r="Z182" s="77"/>
      <c r="AA182" s="77"/>
      <c r="AB182" s="77"/>
      <c r="AC182" s="77"/>
      <c r="AD182" s="79" t="str">
        <f t="shared" si="0"/>
        <v/>
      </c>
      <c r="AE182" s="80" t="str">
        <f t="shared" si="1"/>
        <v/>
      </c>
      <c r="AF182" s="81"/>
      <c r="AG182" s="77"/>
      <c r="AH182" s="81"/>
      <c r="AI182" s="77"/>
      <c r="AJ182" s="82" t="str">
        <f t="shared" si="2"/>
        <v/>
      </c>
      <c r="AK182" s="83" t="str">
        <f t="shared" si="3"/>
        <v/>
      </c>
    </row>
    <row r="183" spans="2:37" ht="21" x14ac:dyDescent="0.35">
      <c r="B183" s="77"/>
      <c r="C183" s="77"/>
      <c r="D183" s="77"/>
      <c r="E183" s="77"/>
      <c r="F183" s="77"/>
      <c r="G183" s="77"/>
      <c r="H183" s="77"/>
      <c r="I183" s="78"/>
      <c r="J183" s="77"/>
      <c r="K183" s="77"/>
      <c r="L183" s="77"/>
      <c r="M183" s="78"/>
      <c r="N183" s="77"/>
      <c r="O183" s="77"/>
      <c r="P183" s="77"/>
      <c r="Q183" s="78"/>
      <c r="R183" s="77"/>
      <c r="S183" s="77"/>
      <c r="T183" s="77"/>
      <c r="U183" s="78"/>
      <c r="V183" s="77"/>
      <c r="W183" s="77"/>
      <c r="X183" s="77"/>
      <c r="Y183" s="78"/>
      <c r="Z183" s="77"/>
      <c r="AA183" s="77"/>
      <c r="AB183" s="77"/>
      <c r="AC183" s="77"/>
      <c r="AD183" s="79" t="str">
        <f t="shared" si="0"/>
        <v/>
      </c>
      <c r="AE183" s="80" t="str">
        <f t="shared" si="1"/>
        <v/>
      </c>
      <c r="AF183" s="81"/>
      <c r="AG183" s="77"/>
      <c r="AH183" s="81"/>
      <c r="AI183" s="77"/>
      <c r="AJ183" s="82" t="str">
        <f t="shared" si="2"/>
        <v/>
      </c>
      <c r="AK183" s="83" t="str">
        <f t="shared" si="3"/>
        <v/>
      </c>
    </row>
    <row r="184" spans="2:37" ht="21" x14ac:dyDescent="0.35">
      <c r="B184" s="77"/>
      <c r="C184" s="77"/>
      <c r="D184" s="77"/>
      <c r="E184" s="77"/>
      <c r="F184" s="77"/>
      <c r="G184" s="77"/>
      <c r="H184" s="77"/>
      <c r="I184" s="78"/>
      <c r="J184" s="77"/>
      <c r="K184" s="77"/>
      <c r="L184" s="77"/>
      <c r="M184" s="78"/>
      <c r="N184" s="77"/>
      <c r="O184" s="77"/>
      <c r="P184" s="77"/>
      <c r="Q184" s="78"/>
      <c r="R184" s="77"/>
      <c r="S184" s="77"/>
      <c r="T184" s="77"/>
      <c r="U184" s="78"/>
      <c r="V184" s="77"/>
      <c r="W184" s="77"/>
      <c r="X184" s="77"/>
      <c r="Y184" s="78"/>
      <c r="Z184" s="77"/>
      <c r="AA184" s="77"/>
      <c r="AB184" s="77"/>
      <c r="AC184" s="77"/>
      <c r="AD184" s="79" t="str">
        <f t="shared" si="0"/>
        <v/>
      </c>
      <c r="AE184" s="80" t="str">
        <f t="shared" si="1"/>
        <v/>
      </c>
      <c r="AF184" s="81"/>
      <c r="AG184" s="77"/>
      <c r="AH184" s="81"/>
      <c r="AI184" s="77"/>
      <c r="AJ184" s="82" t="str">
        <f t="shared" si="2"/>
        <v/>
      </c>
      <c r="AK184" s="83" t="str">
        <f t="shared" si="3"/>
        <v/>
      </c>
    </row>
    <row r="185" spans="2:37" ht="21" x14ac:dyDescent="0.35">
      <c r="B185" s="77"/>
      <c r="C185" s="77"/>
      <c r="D185" s="77"/>
      <c r="E185" s="77"/>
      <c r="F185" s="77"/>
      <c r="G185" s="77"/>
      <c r="H185" s="77"/>
      <c r="I185" s="78"/>
      <c r="J185" s="77"/>
      <c r="K185" s="77"/>
      <c r="L185" s="77"/>
      <c r="M185" s="78"/>
      <c r="N185" s="77"/>
      <c r="O185" s="77"/>
      <c r="P185" s="77"/>
      <c r="Q185" s="78"/>
      <c r="R185" s="77"/>
      <c r="S185" s="77"/>
      <c r="T185" s="77"/>
      <c r="U185" s="78"/>
      <c r="V185" s="77"/>
      <c r="W185" s="77"/>
      <c r="X185" s="77"/>
      <c r="Y185" s="78"/>
      <c r="Z185" s="77"/>
      <c r="AA185" s="77"/>
      <c r="AB185" s="77"/>
      <c r="AC185" s="77"/>
      <c r="AD185" s="79" t="str">
        <f t="shared" si="0"/>
        <v/>
      </c>
      <c r="AE185" s="80" t="str">
        <f t="shared" si="1"/>
        <v/>
      </c>
      <c r="AF185" s="81"/>
      <c r="AG185" s="77"/>
      <c r="AH185" s="81"/>
      <c r="AI185" s="77"/>
      <c r="AJ185" s="82" t="str">
        <f t="shared" si="2"/>
        <v/>
      </c>
      <c r="AK185" s="83" t="str">
        <f t="shared" si="3"/>
        <v/>
      </c>
    </row>
    <row r="186" spans="2:37" ht="21" x14ac:dyDescent="0.35">
      <c r="B186" s="77"/>
      <c r="C186" s="77"/>
      <c r="D186" s="77"/>
      <c r="E186" s="77"/>
      <c r="F186" s="77"/>
      <c r="G186" s="77"/>
      <c r="H186" s="77"/>
      <c r="I186" s="78"/>
      <c r="J186" s="77"/>
      <c r="K186" s="77"/>
      <c r="L186" s="77"/>
      <c r="M186" s="78"/>
      <c r="N186" s="77"/>
      <c r="O186" s="77"/>
      <c r="P186" s="77"/>
      <c r="Q186" s="78"/>
      <c r="R186" s="77"/>
      <c r="S186" s="77"/>
      <c r="T186" s="77"/>
      <c r="U186" s="78"/>
      <c r="V186" s="77"/>
      <c r="W186" s="77"/>
      <c r="X186" s="77"/>
      <c r="Y186" s="78"/>
      <c r="Z186" s="77"/>
      <c r="AA186" s="77"/>
      <c r="AB186" s="77"/>
      <c r="AC186" s="77"/>
      <c r="AD186" s="79" t="str">
        <f t="shared" si="0"/>
        <v/>
      </c>
      <c r="AE186" s="80" t="str">
        <f t="shared" si="1"/>
        <v/>
      </c>
      <c r="AF186" s="81"/>
      <c r="AG186" s="77"/>
      <c r="AH186" s="81"/>
      <c r="AI186" s="77"/>
      <c r="AJ186" s="82" t="str">
        <f t="shared" si="2"/>
        <v/>
      </c>
      <c r="AK186" s="83" t="str">
        <f t="shared" si="3"/>
        <v/>
      </c>
    </row>
    <row r="187" spans="2:37" ht="21" x14ac:dyDescent="0.35">
      <c r="B187" s="77"/>
      <c r="C187" s="77"/>
      <c r="D187" s="77"/>
      <c r="E187" s="77"/>
      <c r="F187" s="77"/>
      <c r="G187" s="77"/>
      <c r="H187" s="77"/>
      <c r="I187" s="78"/>
      <c r="J187" s="77"/>
      <c r="K187" s="77"/>
      <c r="L187" s="77"/>
      <c r="M187" s="78"/>
      <c r="N187" s="77"/>
      <c r="O187" s="77"/>
      <c r="P187" s="77"/>
      <c r="Q187" s="78"/>
      <c r="R187" s="77"/>
      <c r="S187" s="77"/>
      <c r="T187" s="77"/>
      <c r="U187" s="78"/>
      <c r="V187" s="77"/>
      <c r="W187" s="77"/>
      <c r="X187" s="77"/>
      <c r="Y187" s="78"/>
      <c r="Z187" s="77"/>
      <c r="AA187" s="77"/>
      <c r="AB187" s="77"/>
      <c r="AC187" s="77"/>
      <c r="AD187" s="79" t="str">
        <f t="shared" si="0"/>
        <v/>
      </c>
      <c r="AE187" s="80" t="str">
        <f t="shared" si="1"/>
        <v/>
      </c>
      <c r="AF187" s="81"/>
      <c r="AG187" s="77"/>
      <c r="AH187" s="81"/>
      <c r="AI187" s="77"/>
      <c r="AJ187" s="82" t="str">
        <f t="shared" si="2"/>
        <v/>
      </c>
      <c r="AK187" s="83" t="str">
        <f t="shared" si="3"/>
        <v/>
      </c>
    </row>
    <row r="188" spans="2:37" ht="21" x14ac:dyDescent="0.35">
      <c r="B188" s="77"/>
      <c r="C188" s="77"/>
      <c r="D188" s="77"/>
      <c r="E188" s="77"/>
      <c r="F188" s="77"/>
      <c r="G188" s="77"/>
      <c r="H188" s="77"/>
      <c r="I188" s="78"/>
      <c r="J188" s="77"/>
      <c r="K188" s="77"/>
      <c r="L188" s="77"/>
      <c r="M188" s="78"/>
      <c r="N188" s="77"/>
      <c r="O188" s="77"/>
      <c r="P188" s="77"/>
      <c r="Q188" s="78"/>
      <c r="R188" s="77"/>
      <c r="S188" s="77"/>
      <c r="T188" s="77"/>
      <c r="U188" s="78"/>
      <c r="V188" s="77"/>
      <c r="W188" s="77"/>
      <c r="X188" s="77"/>
      <c r="Y188" s="78"/>
      <c r="Z188" s="77"/>
      <c r="AA188" s="77"/>
      <c r="AB188" s="77"/>
      <c r="AC188" s="77"/>
      <c r="AD188" s="79" t="str">
        <f t="shared" si="0"/>
        <v/>
      </c>
      <c r="AE188" s="80" t="str">
        <f t="shared" si="1"/>
        <v/>
      </c>
      <c r="AF188" s="81"/>
      <c r="AG188" s="77"/>
      <c r="AH188" s="81"/>
      <c r="AI188" s="77"/>
      <c r="AJ188" s="82" t="str">
        <f t="shared" si="2"/>
        <v/>
      </c>
      <c r="AK188" s="83" t="str">
        <f t="shared" si="3"/>
        <v/>
      </c>
    </row>
    <row r="189" spans="2:37" ht="21" x14ac:dyDescent="0.35">
      <c r="B189" s="77"/>
      <c r="C189" s="77"/>
      <c r="D189" s="77"/>
      <c r="E189" s="77"/>
      <c r="F189" s="77"/>
      <c r="G189" s="77"/>
      <c r="H189" s="77"/>
      <c r="I189" s="78"/>
      <c r="J189" s="77"/>
      <c r="K189" s="77"/>
      <c r="L189" s="77"/>
      <c r="M189" s="78"/>
      <c r="N189" s="77"/>
      <c r="O189" s="77"/>
      <c r="P189" s="77"/>
      <c r="Q189" s="78"/>
      <c r="R189" s="77"/>
      <c r="S189" s="77"/>
      <c r="T189" s="77"/>
      <c r="U189" s="78"/>
      <c r="V189" s="77"/>
      <c r="W189" s="77"/>
      <c r="X189" s="77"/>
      <c r="Y189" s="78"/>
      <c r="Z189" s="77"/>
      <c r="AA189" s="77"/>
      <c r="AB189" s="77"/>
      <c r="AC189" s="77"/>
      <c r="AD189" s="79" t="str">
        <f t="shared" si="0"/>
        <v/>
      </c>
      <c r="AE189" s="80" t="str">
        <f t="shared" si="1"/>
        <v/>
      </c>
      <c r="AF189" s="81"/>
      <c r="AG189" s="77"/>
      <c r="AH189" s="81"/>
      <c r="AI189" s="77"/>
      <c r="AJ189" s="82" t="str">
        <f t="shared" si="2"/>
        <v/>
      </c>
      <c r="AK189" s="83" t="str">
        <f t="shared" si="3"/>
        <v/>
      </c>
    </row>
    <row r="190" spans="2:37" ht="21" x14ac:dyDescent="0.35">
      <c r="B190" s="77"/>
      <c r="C190" s="77"/>
      <c r="D190" s="77"/>
      <c r="E190" s="77"/>
      <c r="F190" s="77"/>
      <c r="G190" s="77"/>
      <c r="H190" s="77"/>
      <c r="I190" s="78"/>
      <c r="J190" s="77"/>
      <c r="K190" s="77"/>
      <c r="L190" s="77"/>
      <c r="M190" s="78"/>
      <c r="N190" s="77"/>
      <c r="O190" s="77"/>
      <c r="P190" s="77"/>
      <c r="Q190" s="78"/>
      <c r="R190" s="77"/>
      <c r="S190" s="77"/>
      <c r="T190" s="77"/>
      <c r="U190" s="78"/>
      <c r="V190" s="77"/>
      <c r="W190" s="77"/>
      <c r="X190" s="77"/>
      <c r="Y190" s="78"/>
      <c r="Z190" s="77"/>
      <c r="AA190" s="77"/>
      <c r="AB190" s="77"/>
      <c r="AC190" s="77"/>
      <c r="AD190" s="79" t="str">
        <f t="shared" si="0"/>
        <v/>
      </c>
      <c r="AE190" s="80" t="str">
        <f t="shared" si="1"/>
        <v/>
      </c>
      <c r="AF190" s="81"/>
      <c r="AG190" s="77"/>
      <c r="AH190" s="81"/>
      <c r="AI190" s="77"/>
      <c r="AJ190" s="82" t="str">
        <f t="shared" si="2"/>
        <v/>
      </c>
      <c r="AK190" s="83" t="str">
        <f t="shared" si="3"/>
        <v/>
      </c>
    </row>
    <row r="191" spans="2:37" ht="21" x14ac:dyDescent="0.35">
      <c r="B191" s="77"/>
      <c r="C191" s="77"/>
      <c r="D191" s="77"/>
      <c r="E191" s="77"/>
      <c r="F191" s="77"/>
      <c r="G191" s="77"/>
      <c r="H191" s="77"/>
      <c r="I191" s="78"/>
      <c r="J191" s="77"/>
      <c r="K191" s="77"/>
      <c r="L191" s="77"/>
      <c r="M191" s="78"/>
      <c r="N191" s="77"/>
      <c r="O191" s="77"/>
      <c r="P191" s="77"/>
      <c r="Q191" s="78"/>
      <c r="R191" s="77"/>
      <c r="S191" s="77"/>
      <c r="T191" s="77"/>
      <c r="U191" s="78"/>
      <c r="V191" s="77"/>
      <c r="W191" s="77"/>
      <c r="X191" s="77"/>
      <c r="Y191" s="78"/>
      <c r="Z191" s="77"/>
      <c r="AA191" s="77"/>
      <c r="AB191" s="77"/>
      <c r="AC191" s="77"/>
      <c r="AD191" s="79" t="str">
        <f t="shared" si="0"/>
        <v/>
      </c>
      <c r="AE191" s="80" t="str">
        <f t="shared" si="1"/>
        <v/>
      </c>
      <c r="AF191" s="81"/>
      <c r="AG191" s="77"/>
      <c r="AH191" s="81"/>
      <c r="AI191" s="77"/>
      <c r="AJ191" s="82" t="str">
        <f t="shared" si="2"/>
        <v/>
      </c>
      <c r="AK191" s="83" t="str">
        <f t="shared" si="3"/>
        <v/>
      </c>
    </row>
    <row r="192" spans="2:37" ht="21" x14ac:dyDescent="0.35">
      <c r="B192" s="77"/>
      <c r="C192" s="77"/>
      <c r="D192" s="77"/>
      <c r="E192" s="77"/>
      <c r="F192" s="77"/>
      <c r="G192" s="77"/>
      <c r="H192" s="77"/>
      <c r="I192" s="78"/>
      <c r="J192" s="77"/>
      <c r="K192" s="77"/>
      <c r="L192" s="77"/>
      <c r="M192" s="78"/>
      <c r="N192" s="77"/>
      <c r="O192" s="77"/>
      <c r="P192" s="77"/>
      <c r="Q192" s="78"/>
      <c r="R192" s="77"/>
      <c r="S192" s="77"/>
      <c r="T192" s="77"/>
      <c r="U192" s="78"/>
      <c r="V192" s="77"/>
      <c r="W192" s="77"/>
      <c r="X192" s="77"/>
      <c r="Y192" s="78"/>
      <c r="Z192" s="77"/>
      <c r="AA192" s="77"/>
      <c r="AB192" s="77"/>
      <c r="AC192" s="77"/>
      <c r="AD192" s="79" t="str">
        <f t="shared" si="0"/>
        <v/>
      </c>
      <c r="AE192" s="80" t="str">
        <f t="shared" si="1"/>
        <v/>
      </c>
      <c r="AF192" s="81"/>
      <c r="AG192" s="77"/>
      <c r="AH192" s="81"/>
      <c r="AI192" s="77"/>
      <c r="AJ192" s="82" t="str">
        <f t="shared" si="2"/>
        <v/>
      </c>
      <c r="AK192" s="83" t="str">
        <f t="shared" si="3"/>
        <v/>
      </c>
    </row>
    <row r="193" spans="2:37" ht="21" x14ac:dyDescent="0.35">
      <c r="B193" s="77"/>
      <c r="C193" s="77"/>
      <c r="D193" s="77"/>
      <c r="E193" s="77"/>
      <c r="F193" s="77"/>
      <c r="G193" s="77"/>
      <c r="H193" s="77"/>
      <c r="I193" s="78"/>
      <c r="J193" s="77"/>
      <c r="K193" s="77"/>
      <c r="L193" s="77"/>
      <c r="M193" s="78"/>
      <c r="N193" s="77"/>
      <c r="O193" s="77"/>
      <c r="P193" s="77"/>
      <c r="Q193" s="78"/>
      <c r="R193" s="77"/>
      <c r="S193" s="77"/>
      <c r="T193" s="77"/>
      <c r="U193" s="78"/>
      <c r="V193" s="77"/>
      <c r="W193" s="77"/>
      <c r="X193" s="77"/>
      <c r="Y193" s="78"/>
      <c r="Z193" s="77"/>
      <c r="AA193" s="77"/>
      <c r="AB193" s="77"/>
      <c r="AC193" s="77"/>
      <c r="AD193" s="79" t="str">
        <f t="shared" si="0"/>
        <v/>
      </c>
      <c r="AE193" s="80" t="str">
        <f t="shared" si="1"/>
        <v/>
      </c>
      <c r="AF193" s="81"/>
      <c r="AG193" s="77"/>
      <c r="AH193" s="81"/>
      <c r="AI193" s="77"/>
      <c r="AJ193" s="82" t="str">
        <f t="shared" si="2"/>
        <v/>
      </c>
      <c r="AK193" s="83" t="str">
        <f t="shared" si="3"/>
        <v/>
      </c>
    </row>
    <row r="194" spans="2:37" ht="21" x14ac:dyDescent="0.35">
      <c r="B194" s="77"/>
      <c r="C194" s="77"/>
      <c r="D194" s="77"/>
      <c r="E194" s="77"/>
      <c r="F194" s="77"/>
      <c r="G194" s="77"/>
      <c r="H194" s="77"/>
      <c r="I194" s="78"/>
      <c r="J194" s="77"/>
      <c r="K194" s="77"/>
      <c r="L194" s="77"/>
      <c r="M194" s="78"/>
      <c r="N194" s="77"/>
      <c r="O194" s="77"/>
      <c r="P194" s="77"/>
      <c r="Q194" s="78"/>
      <c r="R194" s="77"/>
      <c r="S194" s="77"/>
      <c r="T194" s="77"/>
      <c r="U194" s="78"/>
      <c r="V194" s="77"/>
      <c r="W194" s="77"/>
      <c r="X194" s="77"/>
      <c r="Y194" s="78"/>
      <c r="Z194" s="77"/>
      <c r="AA194" s="77"/>
      <c r="AB194" s="77"/>
      <c r="AC194" s="77"/>
      <c r="AD194" s="79" t="str">
        <f t="shared" si="0"/>
        <v/>
      </c>
      <c r="AE194" s="80" t="str">
        <f t="shared" si="1"/>
        <v/>
      </c>
      <c r="AF194" s="81"/>
      <c r="AG194" s="77"/>
      <c r="AH194" s="81"/>
      <c r="AI194" s="77"/>
      <c r="AJ194" s="82" t="str">
        <f t="shared" si="2"/>
        <v/>
      </c>
      <c r="AK194" s="83" t="str">
        <f t="shared" si="3"/>
        <v/>
      </c>
    </row>
    <row r="195" spans="2:37" ht="21" x14ac:dyDescent="0.35">
      <c r="B195" s="77"/>
      <c r="C195" s="77"/>
      <c r="D195" s="77"/>
      <c r="E195" s="77"/>
      <c r="F195" s="77"/>
      <c r="G195" s="77"/>
      <c r="H195" s="77"/>
      <c r="I195" s="78"/>
      <c r="J195" s="77"/>
      <c r="K195" s="77"/>
      <c r="L195" s="77"/>
      <c r="M195" s="78"/>
      <c r="N195" s="77"/>
      <c r="O195" s="77"/>
      <c r="P195" s="77"/>
      <c r="Q195" s="78"/>
      <c r="R195" s="77"/>
      <c r="S195" s="77"/>
      <c r="T195" s="77"/>
      <c r="U195" s="78"/>
      <c r="V195" s="77"/>
      <c r="W195" s="77"/>
      <c r="X195" s="77"/>
      <c r="Y195" s="78"/>
      <c r="Z195" s="77"/>
      <c r="AA195" s="77"/>
      <c r="AB195" s="77"/>
      <c r="AC195" s="77"/>
      <c r="AD195" s="79" t="str">
        <f t="shared" si="0"/>
        <v/>
      </c>
      <c r="AE195" s="80" t="str">
        <f t="shared" si="1"/>
        <v/>
      </c>
      <c r="AF195" s="81"/>
      <c r="AG195" s="77"/>
      <c r="AH195" s="81"/>
      <c r="AI195" s="77"/>
      <c r="AJ195" s="82" t="str">
        <f t="shared" si="2"/>
        <v/>
      </c>
      <c r="AK195" s="83" t="str">
        <f t="shared" si="3"/>
        <v/>
      </c>
    </row>
    <row r="196" spans="2:37" ht="21" x14ac:dyDescent="0.35">
      <c r="B196" s="77"/>
      <c r="C196" s="77"/>
      <c r="D196" s="77"/>
      <c r="E196" s="77"/>
      <c r="F196" s="77"/>
      <c r="G196" s="77"/>
      <c r="H196" s="77"/>
      <c r="I196" s="78"/>
      <c r="J196" s="77"/>
      <c r="K196" s="77"/>
      <c r="L196" s="77"/>
      <c r="M196" s="78"/>
      <c r="N196" s="77"/>
      <c r="O196" s="77"/>
      <c r="P196" s="77"/>
      <c r="Q196" s="78"/>
      <c r="R196" s="77"/>
      <c r="S196" s="77"/>
      <c r="T196" s="77"/>
      <c r="U196" s="78"/>
      <c r="V196" s="77"/>
      <c r="W196" s="77"/>
      <c r="X196" s="77"/>
      <c r="Y196" s="78"/>
      <c r="Z196" s="77"/>
      <c r="AA196" s="77"/>
      <c r="AB196" s="77"/>
      <c r="AC196" s="77"/>
      <c r="AD196" s="79" t="str">
        <f t="shared" ref="AD196:AD259" si="4">IF(MIN(F196,J196,N196,R196,V196,Z196)&lt;&gt;0,MIN(F196,J196,N196,R196,V196,Z196),"")</f>
        <v/>
      </c>
      <c r="AE196" s="80" t="str">
        <f t="shared" ref="AE196:AE259" si="5">IF(MIN(H196,L196,P196,T196,X196,AB196)&lt;&gt;0,MIN(H196,L196,P196,T196,X196,AB196),"")</f>
        <v/>
      </c>
      <c r="AF196" s="81"/>
      <c r="AG196" s="77"/>
      <c r="AH196" s="81"/>
      <c r="AI196" s="77"/>
      <c r="AJ196" s="82" t="str">
        <f t="shared" ref="AJ196:AJ259" si="6">IF(AD196="","",IF(ISBLANK(AF196),"En cours",AD196+AF196))</f>
        <v/>
      </c>
      <c r="AK196" s="83" t="str">
        <f t="shared" ref="AK196:AK259" si="7">IF(AE196="","",IF(ISBLANK(AH196),"En cours",AE196+AH196))</f>
        <v/>
      </c>
    </row>
    <row r="197" spans="2:37" ht="21" x14ac:dyDescent="0.35">
      <c r="B197" s="77"/>
      <c r="C197" s="77"/>
      <c r="D197" s="77"/>
      <c r="E197" s="77"/>
      <c r="F197" s="77"/>
      <c r="G197" s="77"/>
      <c r="H197" s="77"/>
      <c r="I197" s="78"/>
      <c r="J197" s="77"/>
      <c r="K197" s="77"/>
      <c r="L197" s="77"/>
      <c r="M197" s="78"/>
      <c r="N197" s="77"/>
      <c r="O197" s="77"/>
      <c r="P197" s="77"/>
      <c r="Q197" s="78"/>
      <c r="R197" s="77"/>
      <c r="S197" s="77"/>
      <c r="T197" s="77"/>
      <c r="U197" s="78"/>
      <c r="V197" s="77"/>
      <c r="W197" s="77"/>
      <c r="X197" s="77"/>
      <c r="Y197" s="78"/>
      <c r="Z197" s="77"/>
      <c r="AA197" s="77"/>
      <c r="AB197" s="77"/>
      <c r="AC197" s="77"/>
      <c r="AD197" s="79" t="str">
        <f t="shared" si="4"/>
        <v/>
      </c>
      <c r="AE197" s="80" t="str">
        <f t="shared" si="5"/>
        <v/>
      </c>
      <c r="AF197" s="81"/>
      <c r="AG197" s="77"/>
      <c r="AH197" s="81"/>
      <c r="AI197" s="77"/>
      <c r="AJ197" s="82" t="str">
        <f t="shared" si="6"/>
        <v/>
      </c>
      <c r="AK197" s="83" t="str">
        <f t="shared" si="7"/>
        <v/>
      </c>
    </row>
    <row r="198" spans="2:37" ht="21" x14ac:dyDescent="0.35">
      <c r="B198" s="77"/>
      <c r="C198" s="77"/>
      <c r="D198" s="77"/>
      <c r="E198" s="77"/>
      <c r="F198" s="77"/>
      <c r="G198" s="77"/>
      <c r="H198" s="77"/>
      <c r="I198" s="78"/>
      <c r="J198" s="77"/>
      <c r="K198" s="77"/>
      <c r="L198" s="77"/>
      <c r="M198" s="78"/>
      <c r="N198" s="77"/>
      <c r="O198" s="77"/>
      <c r="P198" s="77"/>
      <c r="Q198" s="78"/>
      <c r="R198" s="77"/>
      <c r="S198" s="77"/>
      <c r="T198" s="77"/>
      <c r="U198" s="78"/>
      <c r="V198" s="77"/>
      <c r="W198" s="77"/>
      <c r="X198" s="77"/>
      <c r="Y198" s="78"/>
      <c r="Z198" s="77"/>
      <c r="AA198" s="77"/>
      <c r="AB198" s="77"/>
      <c r="AC198" s="77"/>
      <c r="AD198" s="79" t="str">
        <f t="shared" si="4"/>
        <v/>
      </c>
      <c r="AE198" s="80" t="str">
        <f t="shared" si="5"/>
        <v/>
      </c>
      <c r="AF198" s="81"/>
      <c r="AG198" s="77"/>
      <c r="AH198" s="81"/>
      <c r="AI198" s="77"/>
      <c r="AJ198" s="82" t="str">
        <f t="shared" si="6"/>
        <v/>
      </c>
      <c r="AK198" s="83" t="str">
        <f t="shared" si="7"/>
        <v/>
      </c>
    </row>
    <row r="199" spans="2:37" ht="21" x14ac:dyDescent="0.35">
      <c r="B199" s="77"/>
      <c r="C199" s="77"/>
      <c r="D199" s="77"/>
      <c r="E199" s="77"/>
      <c r="F199" s="77"/>
      <c r="G199" s="77"/>
      <c r="H199" s="77"/>
      <c r="I199" s="78"/>
      <c r="J199" s="77"/>
      <c r="K199" s="77"/>
      <c r="L199" s="77"/>
      <c r="M199" s="78"/>
      <c r="N199" s="77"/>
      <c r="O199" s="77"/>
      <c r="P199" s="77"/>
      <c r="Q199" s="78"/>
      <c r="R199" s="77"/>
      <c r="S199" s="77"/>
      <c r="T199" s="77"/>
      <c r="U199" s="78"/>
      <c r="V199" s="77"/>
      <c r="W199" s="77"/>
      <c r="X199" s="77"/>
      <c r="Y199" s="78"/>
      <c r="Z199" s="77"/>
      <c r="AA199" s="77"/>
      <c r="AB199" s="77"/>
      <c r="AC199" s="77"/>
      <c r="AD199" s="79" t="str">
        <f t="shared" si="4"/>
        <v/>
      </c>
      <c r="AE199" s="80" t="str">
        <f t="shared" si="5"/>
        <v/>
      </c>
      <c r="AF199" s="81"/>
      <c r="AG199" s="77"/>
      <c r="AH199" s="81"/>
      <c r="AI199" s="77"/>
      <c r="AJ199" s="82" t="str">
        <f t="shared" si="6"/>
        <v/>
      </c>
      <c r="AK199" s="83" t="str">
        <f t="shared" si="7"/>
        <v/>
      </c>
    </row>
    <row r="200" spans="2:37" ht="21" x14ac:dyDescent="0.35">
      <c r="B200" s="77"/>
      <c r="C200" s="77"/>
      <c r="D200" s="77"/>
      <c r="E200" s="77"/>
      <c r="F200" s="77"/>
      <c r="G200" s="77"/>
      <c r="H200" s="77"/>
      <c r="I200" s="78"/>
      <c r="J200" s="77"/>
      <c r="K200" s="77"/>
      <c r="L200" s="77"/>
      <c r="M200" s="78"/>
      <c r="N200" s="77"/>
      <c r="O200" s="77"/>
      <c r="P200" s="77"/>
      <c r="Q200" s="78"/>
      <c r="R200" s="77"/>
      <c r="S200" s="77"/>
      <c r="T200" s="77"/>
      <c r="U200" s="78"/>
      <c r="V200" s="77"/>
      <c r="W200" s="77"/>
      <c r="X200" s="77"/>
      <c r="Y200" s="78"/>
      <c r="Z200" s="77"/>
      <c r="AA200" s="77"/>
      <c r="AB200" s="77"/>
      <c r="AC200" s="77"/>
      <c r="AD200" s="79" t="str">
        <f t="shared" si="4"/>
        <v/>
      </c>
      <c r="AE200" s="80" t="str">
        <f t="shared" si="5"/>
        <v/>
      </c>
      <c r="AF200" s="81"/>
      <c r="AG200" s="77"/>
      <c r="AH200" s="81"/>
      <c r="AI200" s="77"/>
      <c r="AJ200" s="82" t="str">
        <f t="shared" si="6"/>
        <v/>
      </c>
      <c r="AK200" s="83" t="str">
        <f t="shared" si="7"/>
        <v/>
      </c>
    </row>
    <row r="201" spans="2:37" ht="21" x14ac:dyDescent="0.35">
      <c r="B201" s="77"/>
      <c r="C201" s="77"/>
      <c r="D201" s="77"/>
      <c r="E201" s="77"/>
      <c r="F201" s="77"/>
      <c r="G201" s="77"/>
      <c r="H201" s="77"/>
      <c r="I201" s="78"/>
      <c r="J201" s="77"/>
      <c r="K201" s="77"/>
      <c r="L201" s="77"/>
      <c r="M201" s="78"/>
      <c r="N201" s="77"/>
      <c r="O201" s="77"/>
      <c r="P201" s="77"/>
      <c r="Q201" s="78"/>
      <c r="R201" s="77"/>
      <c r="S201" s="77"/>
      <c r="T201" s="77"/>
      <c r="U201" s="78"/>
      <c r="V201" s="77"/>
      <c r="W201" s="77"/>
      <c r="X201" s="77"/>
      <c r="Y201" s="78"/>
      <c r="Z201" s="77"/>
      <c r="AA201" s="77"/>
      <c r="AB201" s="77"/>
      <c r="AC201" s="77"/>
      <c r="AD201" s="79" t="str">
        <f t="shared" si="4"/>
        <v/>
      </c>
      <c r="AE201" s="80" t="str">
        <f t="shared" si="5"/>
        <v/>
      </c>
      <c r="AF201" s="81"/>
      <c r="AG201" s="77"/>
      <c r="AH201" s="81"/>
      <c r="AI201" s="77"/>
      <c r="AJ201" s="82" t="str">
        <f t="shared" si="6"/>
        <v/>
      </c>
      <c r="AK201" s="83" t="str">
        <f t="shared" si="7"/>
        <v/>
      </c>
    </row>
    <row r="202" spans="2:37" ht="21" x14ac:dyDescent="0.35">
      <c r="B202" s="77"/>
      <c r="C202" s="77"/>
      <c r="D202" s="77"/>
      <c r="E202" s="77"/>
      <c r="F202" s="77"/>
      <c r="G202" s="77"/>
      <c r="H202" s="77"/>
      <c r="I202" s="78"/>
      <c r="J202" s="77"/>
      <c r="K202" s="77"/>
      <c r="L202" s="77"/>
      <c r="M202" s="78"/>
      <c r="N202" s="77"/>
      <c r="O202" s="77"/>
      <c r="P202" s="77"/>
      <c r="Q202" s="78"/>
      <c r="R202" s="77"/>
      <c r="S202" s="77"/>
      <c r="T202" s="77"/>
      <c r="U202" s="78"/>
      <c r="V202" s="77"/>
      <c r="W202" s="77"/>
      <c r="X202" s="77"/>
      <c r="Y202" s="78"/>
      <c r="Z202" s="77"/>
      <c r="AA202" s="77"/>
      <c r="AB202" s="77"/>
      <c r="AC202" s="77"/>
      <c r="AD202" s="79" t="str">
        <f t="shared" si="4"/>
        <v/>
      </c>
      <c r="AE202" s="80" t="str">
        <f t="shared" si="5"/>
        <v/>
      </c>
      <c r="AF202" s="81"/>
      <c r="AG202" s="77"/>
      <c r="AH202" s="81"/>
      <c r="AI202" s="77"/>
      <c r="AJ202" s="82" t="str">
        <f t="shared" si="6"/>
        <v/>
      </c>
      <c r="AK202" s="83" t="str">
        <f t="shared" si="7"/>
        <v/>
      </c>
    </row>
    <row r="203" spans="2:37" ht="21" x14ac:dyDescent="0.35">
      <c r="B203" s="77"/>
      <c r="C203" s="77"/>
      <c r="D203" s="77"/>
      <c r="E203" s="77"/>
      <c r="F203" s="77"/>
      <c r="G203" s="77"/>
      <c r="H203" s="77"/>
      <c r="I203" s="78"/>
      <c r="J203" s="77"/>
      <c r="K203" s="77"/>
      <c r="L203" s="77"/>
      <c r="M203" s="78"/>
      <c r="N203" s="77"/>
      <c r="O203" s="77"/>
      <c r="P203" s="77"/>
      <c r="Q203" s="78"/>
      <c r="R203" s="77"/>
      <c r="S203" s="77"/>
      <c r="T203" s="77"/>
      <c r="U203" s="78"/>
      <c r="V203" s="77"/>
      <c r="W203" s="77"/>
      <c r="X203" s="77"/>
      <c r="Y203" s="78"/>
      <c r="Z203" s="77"/>
      <c r="AA203" s="77"/>
      <c r="AB203" s="77"/>
      <c r="AC203" s="77"/>
      <c r="AD203" s="79" t="str">
        <f t="shared" si="4"/>
        <v/>
      </c>
      <c r="AE203" s="80" t="str">
        <f t="shared" si="5"/>
        <v/>
      </c>
      <c r="AF203" s="81"/>
      <c r="AG203" s="77"/>
      <c r="AH203" s="81"/>
      <c r="AI203" s="77"/>
      <c r="AJ203" s="82" t="str">
        <f t="shared" si="6"/>
        <v/>
      </c>
      <c r="AK203" s="83" t="str">
        <f t="shared" si="7"/>
        <v/>
      </c>
    </row>
    <row r="204" spans="2:37" ht="21" x14ac:dyDescent="0.35">
      <c r="B204" s="77"/>
      <c r="C204" s="77"/>
      <c r="D204" s="77"/>
      <c r="E204" s="77"/>
      <c r="F204" s="77"/>
      <c r="G204" s="77"/>
      <c r="H204" s="77"/>
      <c r="I204" s="78"/>
      <c r="J204" s="77"/>
      <c r="K204" s="77"/>
      <c r="L204" s="77"/>
      <c r="M204" s="78"/>
      <c r="N204" s="77"/>
      <c r="O204" s="77"/>
      <c r="P204" s="77"/>
      <c r="Q204" s="78"/>
      <c r="R204" s="77"/>
      <c r="S204" s="77"/>
      <c r="T204" s="77"/>
      <c r="U204" s="78"/>
      <c r="V204" s="77"/>
      <c r="W204" s="77"/>
      <c r="X204" s="77"/>
      <c r="Y204" s="78"/>
      <c r="Z204" s="77"/>
      <c r="AA204" s="77"/>
      <c r="AB204" s="77"/>
      <c r="AC204" s="77"/>
      <c r="AD204" s="79" t="str">
        <f t="shared" si="4"/>
        <v/>
      </c>
      <c r="AE204" s="80" t="str">
        <f t="shared" si="5"/>
        <v/>
      </c>
      <c r="AF204" s="81"/>
      <c r="AG204" s="77"/>
      <c r="AH204" s="81"/>
      <c r="AI204" s="77"/>
      <c r="AJ204" s="82" t="str">
        <f t="shared" si="6"/>
        <v/>
      </c>
      <c r="AK204" s="83" t="str">
        <f t="shared" si="7"/>
        <v/>
      </c>
    </row>
    <row r="205" spans="2:37" ht="21" x14ac:dyDescent="0.35">
      <c r="B205" s="77"/>
      <c r="C205" s="77"/>
      <c r="D205" s="77"/>
      <c r="E205" s="77"/>
      <c r="F205" s="77"/>
      <c r="G205" s="77"/>
      <c r="H205" s="77"/>
      <c r="I205" s="78"/>
      <c r="J205" s="77"/>
      <c r="K205" s="77"/>
      <c r="L205" s="77"/>
      <c r="M205" s="78"/>
      <c r="N205" s="77"/>
      <c r="O205" s="77"/>
      <c r="P205" s="77"/>
      <c r="Q205" s="78"/>
      <c r="R205" s="77"/>
      <c r="S205" s="77"/>
      <c r="T205" s="77"/>
      <c r="U205" s="78"/>
      <c r="V205" s="77"/>
      <c r="W205" s="77"/>
      <c r="X205" s="77"/>
      <c r="Y205" s="78"/>
      <c r="Z205" s="77"/>
      <c r="AA205" s="77"/>
      <c r="AB205" s="77"/>
      <c r="AC205" s="77"/>
      <c r="AD205" s="79" t="str">
        <f t="shared" si="4"/>
        <v/>
      </c>
      <c r="AE205" s="80" t="str">
        <f t="shared" si="5"/>
        <v/>
      </c>
      <c r="AF205" s="81"/>
      <c r="AG205" s="77"/>
      <c r="AH205" s="81"/>
      <c r="AI205" s="77"/>
      <c r="AJ205" s="82" t="str">
        <f t="shared" si="6"/>
        <v/>
      </c>
      <c r="AK205" s="83" t="str">
        <f t="shared" si="7"/>
        <v/>
      </c>
    </row>
    <row r="206" spans="2:37" ht="21" x14ac:dyDescent="0.35">
      <c r="B206" s="77"/>
      <c r="C206" s="77"/>
      <c r="D206" s="77"/>
      <c r="E206" s="77"/>
      <c r="F206" s="77"/>
      <c r="G206" s="77"/>
      <c r="H206" s="77"/>
      <c r="I206" s="78"/>
      <c r="J206" s="77"/>
      <c r="K206" s="77"/>
      <c r="L206" s="77"/>
      <c r="M206" s="78"/>
      <c r="N206" s="77"/>
      <c r="O206" s="77"/>
      <c r="P206" s="77"/>
      <c r="Q206" s="78"/>
      <c r="R206" s="77"/>
      <c r="S206" s="77"/>
      <c r="T206" s="77"/>
      <c r="U206" s="78"/>
      <c r="V206" s="77"/>
      <c r="W206" s="77"/>
      <c r="X206" s="77"/>
      <c r="Y206" s="78"/>
      <c r="Z206" s="77"/>
      <c r="AA206" s="77"/>
      <c r="AB206" s="77"/>
      <c r="AC206" s="77"/>
      <c r="AD206" s="79" t="str">
        <f t="shared" si="4"/>
        <v/>
      </c>
      <c r="AE206" s="80" t="str">
        <f t="shared" si="5"/>
        <v/>
      </c>
      <c r="AF206" s="81"/>
      <c r="AG206" s="77"/>
      <c r="AH206" s="81"/>
      <c r="AI206" s="77"/>
      <c r="AJ206" s="82" t="str">
        <f t="shared" si="6"/>
        <v/>
      </c>
      <c r="AK206" s="83" t="str">
        <f t="shared" si="7"/>
        <v/>
      </c>
    </row>
    <row r="207" spans="2:37" ht="21" x14ac:dyDescent="0.35">
      <c r="B207" s="77"/>
      <c r="C207" s="77"/>
      <c r="D207" s="77"/>
      <c r="E207" s="77"/>
      <c r="F207" s="77"/>
      <c r="G207" s="77"/>
      <c r="H207" s="77"/>
      <c r="I207" s="78"/>
      <c r="J207" s="77"/>
      <c r="K207" s="77"/>
      <c r="L207" s="77"/>
      <c r="M207" s="78"/>
      <c r="N207" s="77"/>
      <c r="O207" s="77"/>
      <c r="P207" s="77"/>
      <c r="Q207" s="78"/>
      <c r="R207" s="77"/>
      <c r="S207" s="77"/>
      <c r="T207" s="77"/>
      <c r="U207" s="78"/>
      <c r="V207" s="77"/>
      <c r="W207" s="77"/>
      <c r="X207" s="77"/>
      <c r="Y207" s="78"/>
      <c r="Z207" s="77"/>
      <c r="AA207" s="77"/>
      <c r="AB207" s="77"/>
      <c r="AC207" s="77"/>
      <c r="AD207" s="79" t="str">
        <f t="shared" si="4"/>
        <v/>
      </c>
      <c r="AE207" s="80" t="str">
        <f t="shared" si="5"/>
        <v/>
      </c>
      <c r="AF207" s="81"/>
      <c r="AG207" s="77"/>
      <c r="AH207" s="81"/>
      <c r="AI207" s="77"/>
      <c r="AJ207" s="82" t="str">
        <f t="shared" si="6"/>
        <v/>
      </c>
      <c r="AK207" s="83" t="str">
        <f t="shared" si="7"/>
        <v/>
      </c>
    </row>
    <row r="208" spans="2:37" ht="21" x14ac:dyDescent="0.35">
      <c r="B208" s="77"/>
      <c r="C208" s="77"/>
      <c r="D208" s="77"/>
      <c r="E208" s="77"/>
      <c r="F208" s="77"/>
      <c r="G208" s="77"/>
      <c r="H208" s="77"/>
      <c r="I208" s="78"/>
      <c r="J208" s="77"/>
      <c r="K208" s="77"/>
      <c r="L208" s="77"/>
      <c r="M208" s="78"/>
      <c r="N208" s="77"/>
      <c r="O208" s="77"/>
      <c r="P208" s="77"/>
      <c r="Q208" s="78"/>
      <c r="R208" s="77"/>
      <c r="S208" s="77"/>
      <c r="T208" s="77"/>
      <c r="U208" s="78"/>
      <c r="V208" s="77"/>
      <c r="W208" s="77"/>
      <c r="X208" s="77"/>
      <c r="Y208" s="78"/>
      <c r="Z208" s="77"/>
      <c r="AA208" s="77"/>
      <c r="AB208" s="77"/>
      <c r="AC208" s="77"/>
      <c r="AD208" s="79" t="str">
        <f t="shared" si="4"/>
        <v/>
      </c>
      <c r="AE208" s="80" t="str">
        <f t="shared" si="5"/>
        <v/>
      </c>
      <c r="AF208" s="81"/>
      <c r="AG208" s="77"/>
      <c r="AH208" s="81"/>
      <c r="AI208" s="77"/>
      <c r="AJ208" s="82" t="str">
        <f t="shared" si="6"/>
        <v/>
      </c>
      <c r="AK208" s="83" t="str">
        <f t="shared" si="7"/>
        <v/>
      </c>
    </row>
    <row r="209" spans="2:37" ht="21" x14ac:dyDescent="0.35">
      <c r="B209" s="77"/>
      <c r="C209" s="77"/>
      <c r="D209" s="77"/>
      <c r="E209" s="77"/>
      <c r="F209" s="77"/>
      <c r="G209" s="77"/>
      <c r="H209" s="77"/>
      <c r="I209" s="78"/>
      <c r="J209" s="77"/>
      <c r="K209" s="77"/>
      <c r="L209" s="77"/>
      <c r="M209" s="78"/>
      <c r="N209" s="77"/>
      <c r="O209" s="77"/>
      <c r="P209" s="77"/>
      <c r="Q209" s="78"/>
      <c r="R209" s="77"/>
      <c r="S209" s="77"/>
      <c r="T209" s="77"/>
      <c r="U209" s="78"/>
      <c r="V209" s="77"/>
      <c r="W209" s="77"/>
      <c r="X209" s="77"/>
      <c r="Y209" s="78"/>
      <c r="Z209" s="77"/>
      <c r="AA209" s="77"/>
      <c r="AB209" s="77"/>
      <c r="AC209" s="77"/>
      <c r="AD209" s="79" t="str">
        <f t="shared" si="4"/>
        <v/>
      </c>
      <c r="AE209" s="80" t="str">
        <f t="shared" si="5"/>
        <v/>
      </c>
      <c r="AF209" s="81"/>
      <c r="AG209" s="77"/>
      <c r="AH209" s="81"/>
      <c r="AI209" s="77"/>
      <c r="AJ209" s="82" t="str">
        <f t="shared" si="6"/>
        <v/>
      </c>
      <c r="AK209" s="83" t="str">
        <f t="shared" si="7"/>
        <v/>
      </c>
    </row>
    <row r="210" spans="2:37" ht="21" x14ac:dyDescent="0.35">
      <c r="B210" s="77"/>
      <c r="C210" s="77"/>
      <c r="D210" s="77"/>
      <c r="E210" s="77"/>
      <c r="F210" s="77"/>
      <c r="G210" s="77"/>
      <c r="H210" s="77"/>
      <c r="I210" s="78"/>
      <c r="J210" s="77"/>
      <c r="K210" s="77"/>
      <c r="L210" s="77"/>
      <c r="M210" s="78"/>
      <c r="N210" s="77"/>
      <c r="O210" s="77"/>
      <c r="P210" s="77"/>
      <c r="Q210" s="78"/>
      <c r="R210" s="77"/>
      <c r="S210" s="77"/>
      <c r="T210" s="77"/>
      <c r="U210" s="78"/>
      <c r="V210" s="77"/>
      <c r="W210" s="77"/>
      <c r="X210" s="77"/>
      <c r="Y210" s="78"/>
      <c r="Z210" s="77"/>
      <c r="AA210" s="77"/>
      <c r="AB210" s="77"/>
      <c r="AC210" s="77"/>
      <c r="AD210" s="79" t="str">
        <f t="shared" si="4"/>
        <v/>
      </c>
      <c r="AE210" s="80" t="str">
        <f t="shared" si="5"/>
        <v/>
      </c>
      <c r="AF210" s="81"/>
      <c r="AG210" s="77"/>
      <c r="AH210" s="81"/>
      <c r="AI210" s="77"/>
      <c r="AJ210" s="82" t="str">
        <f t="shared" si="6"/>
        <v/>
      </c>
      <c r="AK210" s="83" t="str">
        <f t="shared" si="7"/>
        <v/>
      </c>
    </row>
    <row r="211" spans="2:37" ht="21" x14ac:dyDescent="0.35">
      <c r="B211" s="77"/>
      <c r="C211" s="77"/>
      <c r="D211" s="77"/>
      <c r="E211" s="77"/>
      <c r="F211" s="77"/>
      <c r="G211" s="77"/>
      <c r="H211" s="77"/>
      <c r="I211" s="78"/>
      <c r="J211" s="77"/>
      <c r="K211" s="77"/>
      <c r="L211" s="77"/>
      <c r="M211" s="78"/>
      <c r="N211" s="77"/>
      <c r="O211" s="77"/>
      <c r="P211" s="77"/>
      <c r="Q211" s="78"/>
      <c r="R211" s="77"/>
      <c r="S211" s="77"/>
      <c r="T211" s="77"/>
      <c r="U211" s="78"/>
      <c r="V211" s="77"/>
      <c r="W211" s="77"/>
      <c r="X211" s="77"/>
      <c r="Y211" s="78"/>
      <c r="Z211" s="77"/>
      <c r="AA211" s="77"/>
      <c r="AB211" s="77"/>
      <c r="AC211" s="77"/>
      <c r="AD211" s="79" t="str">
        <f t="shared" si="4"/>
        <v/>
      </c>
      <c r="AE211" s="80" t="str">
        <f t="shared" si="5"/>
        <v/>
      </c>
      <c r="AF211" s="81"/>
      <c r="AG211" s="77"/>
      <c r="AH211" s="81"/>
      <c r="AI211" s="77"/>
      <c r="AJ211" s="82" t="str">
        <f t="shared" si="6"/>
        <v/>
      </c>
      <c r="AK211" s="83" t="str">
        <f t="shared" si="7"/>
        <v/>
      </c>
    </row>
    <row r="212" spans="2:37" ht="21" x14ac:dyDescent="0.35">
      <c r="B212" s="77"/>
      <c r="C212" s="77"/>
      <c r="D212" s="77"/>
      <c r="E212" s="77"/>
      <c r="F212" s="77"/>
      <c r="G212" s="77"/>
      <c r="H212" s="77"/>
      <c r="I212" s="78"/>
      <c r="J212" s="77"/>
      <c r="K212" s="77"/>
      <c r="L212" s="77"/>
      <c r="M212" s="78"/>
      <c r="N212" s="77"/>
      <c r="O212" s="77"/>
      <c r="P212" s="77"/>
      <c r="Q212" s="78"/>
      <c r="R212" s="77"/>
      <c r="S212" s="77"/>
      <c r="T212" s="77"/>
      <c r="U212" s="78"/>
      <c r="V212" s="77"/>
      <c r="W212" s="77"/>
      <c r="X212" s="77"/>
      <c r="Y212" s="78"/>
      <c r="Z212" s="77"/>
      <c r="AA212" s="77"/>
      <c r="AB212" s="77"/>
      <c r="AC212" s="77"/>
      <c r="AD212" s="79" t="str">
        <f t="shared" si="4"/>
        <v/>
      </c>
      <c r="AE212" s="80" t="str">
        <f t="shared" si="5"/>
        <v/>
      </c>
      <c r="AF212" s="81"/>
      <c r="AG212" s="77"/>
      <c r="AH212" s="81"/>
      <c r="AI212" s="77"/>
      <c r="AJ212" s="82" t="str">
        <f t="shared" si="6"/>
        <v/>
      </c>
      <c r="AK212" s="83" t="str">
        <f t="shared" si="7"/>
        <v/>
      </c>
    </row>
    <row r="213" spans="2:37" ht="21" x14ac:dyDescent="0.35">
      <c r="B213" s="77"/>
      <c r="C213" s="77"/>
      <c r="D213" s="77"/>
      <c r="E213" s="77"/>
      <c r="F213" s="77"/>
      <c r="G213" s="77"/>
      <c r="H213" s="77"/>
      <c r="I213" s="78"/>
      <c r="J213" s="77"/>
      <c r="K213" s="77"/>
      <c r="L213" s="77"/>
      <c r="M213" s="78"/>
      <c r="N213" s="77"/>
      <c r="O213" s="77"/>
      <c r="P213" s="77"/>
      <c r="Q213" s="78"/>
      <c r="R213" s="77"/>
      <c r="S213" s="77"/>
      <c r="T213" s="77"/>
      <c r="U213" s="78"/>
      <c r="V213" s="77"/>
      <c r="W213" s="77"/>
      <c r="X213" s="77"/>
      <c r="Y213" s="78"/>
      <c r="Z213" s="77"/>
      <c r="AA213" s="77"/>
      <c r="AB213" s="77"/>
      <c r="AC213" s="77"/>
      <c r="AD213" s="79" t="str">
        <f t="shared" si="4"/>
        <v/>
      </c>
      <c r="AE213" s="80" t="str">
        <f t="shared" si="5"/>
        <v/>
      </c>
      <c r="AF213" s="81"/>
      <c r="AG213" s="77"/>
      <c r="AH213" s="81"/>
      <c r="AI213" s="77"/>
      <c r="AJ213" s="82" t="str">
        <f t="shared" si="6"/>
        <v/>
      </c>
      <c r="AK213" s="83" t="str">
        <f t="shared" si="7"/>
        <v/>
      </c>
    </row>
    <row r="214" spans="2:37" ht="21" x14ac:dyDescent="0.35">
      <c r="B214" s="77"/>
      <c r="C214" s="77"/>
      <c r="D214" s="77"/>
      <c r="E214" s="77"/>
      <c r="F214" s="77"/>
      <c r="G214" s="77"/>
      <c r="H214" s="77"/>
      <c r="I214" s="78"/>
      <c r="J214" s="77"/>
      <c r="K214" s="77"/>
      <c r="L214" s="77"/>
      <c r="M214" s="78"/>
      <c r="N214" s="77"/>
      <c r="O214" s="77"/>
      <c r="P214" s="77"/>
      <c r="Q214" s="78"/>
      <c r="R214" s="77"/>
      <c r="S214" s="77"/>
      <c r="T214" s="77"/>
      <c r="U214" s="78"/>
      <c r="V214" s="77"/>
      <c r="W214" s="77"/>
      <c r="X214" s="77"/>
      <c r="Y214" s="78"/>
      <c r="Z214" s="77"/>
      <c r="AA214" s="77"/>
      <c r="AB214" s="77"/>
      <c r="AC214" s="77"/>
      <c r="AD214" s="79" t="str">
        <f t="shared" si="4"/>
        <v/>
      </c>
      <c r="AE214" s="80" t="str">
        <f t="shared" si="5"/>
        <v/>
      </c>
      <c r="AF214" s="81"/>
      <c r="AG214" s="77"/>
      <c r="AH214" s="81"/>
      <c r="AI214" s="77"/>
      <c r="AJ214" s="82" t="str">
        <f t="shared" si="6"/>
        <v/>
      </c>
      <c r="AK214" s="83" t="str">
        <f t="shared" si="7"/>
        <v/>
      </c>
    </row>
    <row r="215" spans="2:37" ht="21" x14ac:dyDescent="0.35">
      <c r="B215" s="77"/>
      <c r="C215" s="77"/>
      <c r="D215" s="77"/>
      <c r="E215" s="77"/>
      <c r="F215" s="77"/>
      <c r="G215" s="77"/>
      <c r="H215" s="77"/>
      <c r="I215" s="78"/>
      <c r="J215" s="77"/>
      <c r="K215" s="77"/>
      <c r="L215" s="77"/>
      <c r="M215" s="78"/>
      <c r="N215" s="77"/>
      <c r="O215" s="77"/>
      <c r="P215" s="77"/>
      <c r="Q215" s="78"/>
      <c r="R215" s="77"/>
      <c r="S215" s="77"/>
      <c r="T215" s="77"/>
      <c r="U215" s="78"/>
      <c r="V215" s="77"/>
      <c r="W215" s="77"/>
      <c r="X215" s="77"/>
      <c r="Y215" s="78"/>
      <c r="Z215" s="77"/>
      <c r="AA215" s="77"/>
      <c r="AB215" s="77"/>
      <c r="AC215" s="77"/>
      <c r="AD215" s="79" t="str">
        <f t="shared" si="4"/>
        <v/>
      </c>
      <c r="AE215" s="80" t="str">
        <f t="shared" si="5"/>
        <v/>
      </c>
      <c r="AF215" s="81"/>
      <c r="AG215" s="77"/>
      <c r="AH215" s="81"/>
      <c r="AI215" s="77"/>
      <c r="AJ215" s="82" t="str">
        <f t="shared" si="6"/>
        <v/>
      </c>
      <c r="AK215" s="83" t="str">
        <f t="shared" si="7"/>
        <v/>
      </c>
    </row>
    <row r="216" spans="2:37" ht="21" x14ac:dyDescent="0.35">
      <c r="B216" s="77"/>
      <c r="C216" s="77"/>
      <c r="D216" s="77"/>
      <c r="E216" s="77"/>
      <c r="F216" s="77"/>
      <c r="G216" s="77"/>
      <c r="H216" s="77"/>
      <c r="I216" s="78"/>
      <c r="J216" s="77"/>
      <c r="K216" s="77"/>
      <c r="L216" s="77"/>
      <c r="M216" s="78"/>
      <c r="N216" s="77"/>
      <c r="O216" s="77"/>
      <c r="P216" s="77"/>
      <c r="Q216" s="78"/>
      <c r="R216" s="77"/>
      <c r="S216" s="77"/>
      <c r="T216" s="77"/>
      <c r="U216" s="78"/>
      <c r="V216" s="77"/>
      <c r="W216" s="77"/>
      <c r="X216" s="77"/>
      <c r="Y216" s="78"/>
      <c r="Z216" s="77"/>
      <c r="AA216" s="77"/>
      <c r="AB216" s="77"/>
      <c r="AC216" s="77"/>
      <c r="AD216" s="79" t="str">
        <f t="shared" si="4"/>
        <v/>
      </c>
      <c r="AE216" s="80" t="str">
        <f t="shared" si="5"/>
        <v/>
      </c>
      <c r="AF216" s="81"/>
      <c r="AG216" s="77"/>
      <c r="AH216" s="81"/>
      <c r="AI216" s="77"/>
      <c r="AJ216" s="82" t="str">
        <f t="shared" si="6"/>
        <v/>
      </c>
      <c r="AK216" s="83" t="str">
        <f t="shared" si="7"/>
        <v/>
      </c>
    </row>
    <row r="217" spans="2:37" ht="21" x14ac:dyDescent="0.35">
      <c r="B217" s="77"/>
      <c r="C217" s="77"/>
      <c r="D217" s="77"/>
      <c r="E217" s="77"/>
      <c r="F217" s="77"/>
      <c r="G217" s="77"/>
      <c r="H217" s="77"/>
      <c r="I217" s="78"/>
      <c r="J217" s="77"/>
      <c r="K217" s="77"/>
      <c r="L217" s="77"/>
      <c r="M217" s="78"/>
      <c r="N217" s="77"/>
      <c r="O217" s="77"/>
      <c r="P217" s="77"/>
      <c r="Q217" s="78"/>
      <c r="R217" s="77"/>
      <c r="S217" s="77"/>
      <c r="T217" s="77"/>
      <c r="U217" s="78"/>
      <c r="V217" s="77"/>
      <c r="W217" s="77"/>
      <c r="X217" s="77"/>
      <c r="Y217" s="78"/>
      <c r="Z217" s="77"/>
      <c r="AA217" s="77"/>
      <c r="AB217" s="77"/>
      <c r="AC217" s="77"/>
      <c r="AD217" s="79" t="str">
        <f t="shared" si="4"/>
        <v/>
      </c>
      <c r="AE217" s="80" t="str">
        <f t="shared" si="5"/>
        <v/>
      </c>
      <c r="AF217" s="81"/>
      <c r="AG217" s="77"/>
      <c r="AH217" s="81"/>
      <c r="AI217" s="77"/>
      <c r="AJ217" s="82" t="str">
        <f t="shared" si="6"/>
        <v/>
      </c>
      <c r="AK217" s="83" t="str">
        <f t="shared" si="7"/>
        <v/>
      </c>
    </row>
    <row r="218" spans="2:37" ht="21" x14ac:dyDescent="0.35">
      <c r="B218" s="77"/>
      <c r="C218" s="77"/>
      <c r="D218" s="77"/>
      <c r="E218" s="77"/>
      <c r="F218" s="77"/>
      <c r="G218" s="77"/>
      <c r="H218" s="77"/>
      <c r="I218" s="78"/>
      <c r="J218" s="77"/>
      <c r="K218" s="77"/>
      <c r="L218" s="77"/>
      <c r="M218" s="78"/>
      <c r="N218" s="77"/>
      <c r="O218" s="77"/>
      <c r="P218" s="77"/>
      <c r="Q218" s="78"/>
      <c r="R218" s="77"/>
      <c r="S218" s="77"/>
      <c r="T218" s="77"/>
      <c r="U218" s="78"/>
      <c r="V218" s="77"/>
      <c r="W218" s="77"/>
      <c r="X218" s="77"/>
      <c r="Y218" s="78"/>
      <c r="Z218" s="77"/>
      <c r="AA218" s="77"/>
      <c r="AB218" s="77"/>
      <c r="AC218" s="77"/>
      <c r="AD218" s="79" t="str">
        <f t="shared" si="4"/>
        <v/>
      </c>
      <c r="AE218" s="80" t="str">
        <f t="shared" si="5"/>
        <v/>
      </c>
      <c r="AF218" s="81"/>
      <c r="AG218" s="77"/>
      <c r="AH218" s="81"/>
      <c r="AI218" s="77"/>
      <c r="AJ218" s="82" t="str">
        <f t="shared" si="6"/>
        <v/>
      </c>
      <c r="AK218" s="83" t="str">
        <f t="shared" si="7"/>
        <v/>
      </c>
    </row>
    <row r="219" spans="2:37" ht="21" x14ac:dyDescent="0.35">
      <c r="B219" s="77"/>
      <c r="C219" s="77"/>
      <c r="D219" s="77"/>
      <c r="E219" s="77"/>
      <c r="F219" s="77"/>
      <c r="G219" s="77"/>
      <c r="H219" s="77"/>
      <c r="I219" s="78"/>
      <c r="J219" s="77"/>
      <c r="K219" s="77"/>
      <c r="L219" s="77"/>
      <c r="M219" s="78"/>
      <c r="N219" s="77"/>
      <c r="O219" s="77"/>
      <c r="P219" s="77"/>
      <c r="Q219" s="78"/>
      <c r="R219" s="77"/>
      <c r="S219" s="77"/>
      <c r="T219" s="77"/>
      <c r="U219" s="78"/>
      <c r="V219" s="77"/>
      <c r="W219" s="77"/>
      <c r="X219" s="77"/>
      <c r="Y219" s="78"/>
      <c r="Z219" s="77"/>
      <c r="AA219" s="77"/>
      <c r="AB219" s="77"/>
      <c r="AC219" s="77"/>
      <c r="AD219" s="79" t="str">
        <f t="shared" si="4"/>
        <v/>
      </c>
      <c r="AE219" s="80" t="str">
        <f t="shared" si="5"/>
        <v/>
      </c>
      <c r="AF219" s="81"/>
      <c r="AG219" s="77"/>
      <c r="AH219" s="81"/>
      <c r="AI219" s="77"/>
      <c r="AJ219" s="82" t="str">
        <f t="shared" si="6"/>
        <v/>
      </c>
      <c r="AK219" s="83" t="str">
        <f t="shared" si="7"/>
        <v/>
      </c>
    </row>
    <row r="220" spans="2:37" ht="21" x14ac:dyDescent="0.35">
      <c r="B220" s="77"/>
      <c r="C220" s="77"/>
      <c r="D220" s="77"/>
      <c r="E220" s="77"/>
      <c r="F220" s="77"/>
      <c r="G220" s="77"/>
      <c r="H220" s="77"/>
      <c r="I220" s="78"/>
      <c r="J220" s="77"/>
      <c r="K220" s="77"/>
      <c r="L220" s="77"/>
      <c r="M220" s="78"/>
      <c r="N220" s="77"/>
      <c r="O220" s="77"/>
      <c r="P220" s="77"/>
      <c r="Q220" s="78"/>
      <c r="R220" s="77"/>
      <c r="S220" s="77"/>
      <c r="T220" s="77"/>
      <c r="U220" s="78"/>
      <c r="V220" s="77"/>
      <c r="W220" s="77"/>
      <c r="X220" s="77"/>
      <c r="Y220" s="78"/>
      <c r="Z220" s="77"/>
      <c r="AA220" s="77"/>
      <c r="AB220" s="77"/>
      <c r="AC220" s="77"/>
      <c r="AD220" s="79" t="str">
        <f t="shared" si="4"/>
        <v/>
      </c>
      <c r="AE220" s="80" t="str">
        <f t="shared" si="5"/>
        <v/>
      </c>
      <c r="AF220" s="81"/>
      <c r="AG220" s="77"/>
      <c r="AH220" s="81"/>
      <c r="AI220" s="77"/>
      <c r="AJ220" s="82" t="str">
        <f t="shared" si="6"/>
        <v/>
      </c>
      <c r="AK220" s="83" t="str">
        <f t="shared" si="7"/>
        <v/>
      </c>
    </row>
    <row r="221" spans="2:37" ht="21" x14ac:dyDescent="0.35">
      <c r="B221" s="77"/>
      <c r="C221" s="77"/>
      <c r="D221" s="77"/>
      <c r="E221" s="77"/>
      <c r="F221" s="77"/>
      <c r="G221" s="77"/>
      <c r="H221" s="77"/>
      <c r="I221" s="78"/>
      <c r="J221" s="77"/>
      <c r="K221" s="77"/>
      <c r="L221" s="77"/>
      <c r="M221" s="78"/>
      <c r="N221" s="77"/>
      <c r="O221" s="77"/>
      <c r="P221" s="77"/>
      <c r="Q221" s="78"/>
      <c r="R221" s="77"/>
      <c r="S221" s="77"/>
      <c r="T221" s="77"/>
      <c r="U221" s="78"/>
      <c r="V221" s="77"/>
      <c r="W221" s="77"/>
      <c r="X221" s="77"/>
      <c r="Y221" s="78"/>
      <c r="Z221" s="77"/>
      <c r="AA221" s="77"/>
      <c r="AB221" s="77"/>
      <c r="AC221" s="77"/>
      <c r="AD221" s="79" t="str">
        <f t="shared" si="4"/>
        <v/>
      </c>
      <c r="AE221" s="80" t="str">
        <f t="shared" si="5"/>
        <v/>
      </c>
      <c r="AF221" s="81"/>
      <c r="AG221" s="77"/>
      <c r="AH221" s="81"/>
      <c r="AI221" s="77"/>
      <c r="AJ221" s="82" t="str">
        <f t="shared" si="6"/>
        <v/>
      </c>
      <c r="AK221" s="83" t="str">
        <f t="shared" si="7"/>
        <v/>
      </c>
    </row>
    <row r="222" spans="2:37" ht="21" x14ac:dyDescent="0.35">
      <c r="B222" s="77"/>
      <c r="C222" s="77"/>
      <c r="D222" s="77"/>
      <c r="E222" s="77"/>
      <c r="F222" s="77"/>
      <c r="G222" s="77"/>
      <c r="H222" s="77"/>
      <c r="I222" s="78"/>
      <c r="J222" s="77"/>
      <c r="K222" s="77"/>
      <c r="L222" s="77"/>
      <c r="M222" s="78"/>
      <c r="N222" s="77"/>
      <c r="O222" s="77"/>
      <c r="P222" s="77"/>
      <c r="Q222" s="78"/>
      <c r="R222" s="77"/>
      <c r="S222" s="77"/>
      <c r="T222" s="77"/>
      <c r="U222" s="78"/>
      <c r="V222" s="77"/>
      <c r="W222" s="77"/>
      <c r="X222" s="77"/>
      <c r="Y222" s="78"/>
      <c r="Z222" s="77"/>
      <c r="AA222" s="77"/>
      <c r="AB222" s="77"/>
      <c r="AC222" s="77"/>
      <c r="AD222" s="79" t="str">
        <f t="shared" si="4"/>
        <v/>
      </c>
      <c r="AE222" s="80" t="str">
        <f t="shared" si="5"/>
        <v/>
      </c>
      <c r="AF222" s="81"/>
      <c r="AG222" s="77"/>
      <c r="AH222" s="81"/>
      <c r="AI222" s="77"/>
      <c r="AJ222" s="82" t="str">
        <f t="shared" si="6"/>
        <v/>
      </c>
      <c r="AK222" s="83" t="str">
        <f t="shared" si="7"/>
        <v/>
      </c>
    </row>
    <row r="223" spans="2:37" ht="21" x14ac:dyDescent="0.35">
      <c r="B223" s="77"/>
      <c r="C223" s="77"/>
      <c r="D223" s="77"/>
      <c r="E223" s="77"/>
      <c r="F223" s="77"/>
      <c r="G223" s="77"/>
      <c r="H223" s="77"/>
      <c r="I223" s="78"/>
      <c r="J223" s="77"/>
      <c r="K223" s="77"/>
      <c r="L223" s="77"/>
      <c r="M223" s="78"/>
      <c r="N223" s="77"/>
      <c r="O223" s="77"/>
      <c r="P223" s="77"/>
      <c r="Q223" s="78"/>
      <c r="R223" s="77"/>
      <c r="S223" s="77"/>
      <c r="T223" s="77"/>
      <c r="U223" s="78"/>
      <c r="V223" s="77"/>
      <c r="W223" s="77"/>
      <c r="X223" s="77"/>
      <c r="Y223" s="78"/>
      <c r="Z223" s="77"/>
      <c r="AA223" s="77"/>
      <c r="AB223" s="77"/>
      <c r="AC223" s="77"/>
      <c r="AD223" s="79" t="str">
        <f t="shared" si="4"/>
        <v/>
      </c>
      <c r="AE223" s="80" t="str">
        <f t="shared" si="5"/>
        <v/>
      </c>
      <c r="AF223" s="81"/>
      <c r="AG223" s="77"/>
      <c r="AH223" s="81"/>
      <c r="AI223" s="77"/>
      <c r="AJ223" s="82" t="str">
        <f t="shared" si="6"/>
        <v/>
      </c>
      <c r="AK223" s="83" t="str">
        <f t="shared" si="7"/>
        <v/>
      </c>
    </row>
    <row r="224" spans="2:37" ht="21" x14ac:dyDescent="0.35">
      <c r="B224" s="77"/>
      <c r="C224" s="77"/>
      <c r="D224" s="77"/>
      <c r="E224" s="77"/>
      <c r="F224" s="77"/>
      <c r="G224" s="77"/>
      <c r="H224" s="77"/>
      <c r="I224" s="78"/>
      <c r="J224" s="77"/>
      <c r="K224" s="77"/>
      <c r="L224" s="77"/>
      <c r="M224" s="78"/>
      <c r="N224" s="77"/>
      <c r="O224" s="77"/>
      <c r="P224" s="77"/>
      <c r="Q224" s="78"/>
      <c r="R224" s="77"/>
      <c r="S224" s="77"/>
      <c r="T224" s="77"/>
      <c r="U224" s="78"/>
      <c r="V224" s="77"/>
      <c r="W224" s="77"/>
      <c r="X224" s="77"/>
      <c r="Y224" s="78"/>
      <c r="Z224" s="77"/>
      <c r="AA224" s="77"/>
      <c r="AB224" s="77"/>
      <c r="AC224" s="77"/>
      <c r="AD224" s="79" t="str">
        <f t="shared" si="4"/>
        <v/>
      </c>
      <c r="AE224" s="80" t="str">
        <f t="shared" si="5"/>
        <v/>
      </c>
      <c r="AF224" s="81"/>
      <c r="AG224" s="77"/>
      <c r="AH224" s="81"/>
      <c r="AI224" s="77"/>
      <c r="AJ224" s="82" t="str">
        <f t="shared" si="6"/>
        <v/>
      </c>
      <c r="AK224" s="83" t="str">
        <f t="shared" si="7"/>
        <v/>
      </c>
    </row>
    <row r="225" spans="2:37" ht="21" x14ac:dyDescent="0.35">
      <c r="B225" s="77"/>
      <c r="C225" s="77"/>
      <c r="D225" s="77"/>
      <c r="E225" s="77"/>
      <c r="F225" s="77"/>
      <c r="G225" s="77"/>
      <c r="H225" s="77"/>
      <c r="I225" s="78"/>
      <c r="J225" s="77"/>
      <c r="K225" s="77"/>
      <c r="L225" s="77"/>
      <c r="M225" s="78"/>
      <c r="N225" s="77"/>
      <c r="O225" s="77"/>
      <c r="P225" s="77"/>
      <c r="Q225" s="78"/>
      <c r="R225" s="77"/>
      <c r="S225" s="77"/>
      <c r="T225" s="77"/>
      <c r="U225" s="78"/>
      <c r="V225" s="77"/>
      <c r="W225" s="77"/>
      <c r="X225" s="77"/>
      <c r="Y225" s="78"/>
      <c r="Z225" s="77"/>
      <c r="AA225" s="77"/>
      <c r="AB225" s="77"/>
      <c r="AC225" s="77"/>
      <c r="AD225" s="79" t="str">
        <f t="shared" si="4"/>
        <v/>
      </c>
      <c r="AE225" s="80" t="str">
        <f t="shared" si="5"/>
        <v/>
      </c>
      <c r="AF225" s="81"/>
      <c r="AG225" s="77"/>
      <c r="AH225" s="81"/>
      <c r="AI225" s="77"/>
      <c r="AJ225" s="82" t="str">
        <f t="shared" si="6"/>
        <v/>
      </c>
      <c r="AK225" s="83" t="str">
        <f t="shared" si="7"/>
        <v/>
      </c>
    </row>
    <row r="226" spans="2:37" ht="21" x14ac:dyDescent="0.35">
      <c r="B226" s="77"/>
      <c r="C226" s="77"/>
      <c r="D226" s="77"/>
      <c r="E226" s="77"/>
      <c r="F226" s="77"/>
      <c r="G226" s="77"/>
      <c r="H226" s="77"/>
      <c r="I226" s="78"/>
      <c r="J226" s="77"/>
      <c r="K226" s="77"/>
      <c r="L226" s="77"/>
      <c r="M226" s="78"/>
      <c r="N226" s="77"/>
      <c r="O226" s="77"/>
      <c r="P226" s="77"/>
      <c r="Q226" s="78"/>
      <c r="R226" s="77"/>
      <c r="S226" s="77"/>
      <c r="T226" s="77"/>
      <c r="U226" s="78"/>
      <c r="V226" s="77"/>
      <c r="W226" s="77"/>
      <c r="X226" s="77"/>
      <c r="Y226" s="78"/>
      <c r="Z226" s="77"/>
      <c r="AA226" s="77"/>
      <c r="AB226" s="77"/>
      <c r="AC226" s="77"/>
      <c r="AD226" s="79" t="str">
        <f t="shared" si="4"/>
        <v/>
      </c>
      <c r="AE226" s="80" t="str">
        <f t="shared" si="5"/>
        <v/>
      </c>
      <c r="AF226" s="81"/>
      <c r="AG226" s="77"/>
      <c r="AH226" s="81"/>
      <c r="AI226" s="77"/>
      <c r="AJ226" s="82" t="str">
        <f t="shared" si="6"/>
        <v/>
      </c>
      <c r="AK226" s="83" t="str">
        <f t="shared" si="7"/>
        <v/>
      </c>
    </row>
    <row r="227" spans="2:37" ht="21" x14ac:dyDescent="0.35">
      <c r="B227" s="77"/>
      <c r="C227" s="77"/>
      <c r="D227" s="77"/>
      <c r="E227" s="77"/>
      <c r="F227" s="77"/>
      <c r="G227" s="77"/>
      <c r="H227" s="77"/>
      <c r="I227" s="78"/>
      <c r="J227" s="77"/>
      <c r="K227" s="77"/>
      <c r="L227" s="77"/>
      <c r="M227" s="78"/>
      <c r="N227" s="77"/>
      <c r="O227" s="77"/>
      <c r="P227" s="77"/>
      <c r="Q227" s="78"/>
      <c r="R227" s="77"/>
      <c r="S227" s="77"/>
      <c r="T227" s="77"/>
      <c r="U227" s="78"/>
      <c r="V227" s="77"/>
      <c r="W227" s="77"/>
      <c r="X227" s="77"/>
      <c r="Y227" s="78"/>
      <c r="Z227" s="77"/>
      <c r="AA227" s="77"/>
      <c r="AB227" s="77"/>
      <c r="AC227" s="77"/>
      <c r="AD227" s="79" t="str">
        <f t="shared" si="4"/>
        <v/>
      </c>
      <c r="AE227" s="80" t="str">
        <f t="shared" si="5"/>
        <v/>
      </c>
      <c r="AF227" s="81"/>
      <c r="AG227" s="77"/>
      <c r="AH227" s="81"/>
      <c r="AI227" s="77"/>
      <c r="AJ227" s="82" t="str">
        <f t="shared" si="6"/>
        <v/>
      </c>
      <c r="AK227" s="83" t="str">
        <f t="shared" si="7"/>
        <v/>
      </c>
    </row>
    <row r="228" spans="2:37" ht="21" x14ac:dyDescent="0.35">
      <c r="B228" s="77"/>
      <c r="C228" s="77"/>
      <c r="D228" s="77"/>
      <c r="E228" s="77"/>
      <c r="F228" s="77"/>
      <c r="G228" s="77"/>
      <c r="H228" s="77"/>
      <c r="I228" s="78"/>
      <c r="J228" s="77"/>
      <c r="K228" s="77"/>
      <c r="L228" s="77"/>
      <c r="M228" s="78"/>
      <c r="N228" s="77"/>
      <c r="O228" s="77"/>
      <c r="P228" s="77"/>
      <c r="Q228" s="78"/>
      <c r="R228" s="77"/>
      <c r="S228" s="77"/>
      <c r="T228" s="77"/>
      <c r="U228" s="78"/>
      <c r="V228" s="77"/>
      <c r="W228" s="77"/>
      <c r="X228" s="77"/>
      <c r="Y228" s="78"/>
      <c r="Z228" s="77"/>
      <c r="AA228" s="77"/>
      <c r="AB228" s="77"/>
      <c r="AC228" s="77"/>
      <c r="AD228" s="79" t="str">
        <f t="shared" si="4"/>
        <v/>
      </c>
      <c r="AE228" s="80" t="str">
        <f t="shared" si="5"/>
        <v/>
      </c>
      <c r="AF228" s="81"/>
      <c r="AG228" s="77"/>
      <c r="AH228" s="81"/>
      <c r="AI228" s="77"/>
      <c r="AJ228" s="82" t="str">
        <f t="shared" si="6"/>
        <v/>
      </c>
      <c r="AK228" s="83" t="str">
        <f t="shared" si="7"/>
        <v/>
      </c>
    </row>
    <row r="229" spans="2:37" ht="21" x14ac:dyDescent="0.35">
      <c r="B229" s="77"/>
      <c r="C229" s="77"/>
      <c r="D229" s="77"/>
      <c r="E229" s="77"/>
      <c r="F229" s="77"/>
      <c r="G229" s="77"/>
      <c r="H229" s="77"/>
      <c r="I229" s="78"/>
      <c r="J229" s="77"/>
      <c r="K229" s="77"/>
      <c r="L229" s="77"/>
      <c r="M229" s="78"/>
      <c r="N229" s="77"/>
      <c r="O229" s="77"/>
      <c r="P229" s="77"/>
      <c r="Q229" s="78"/>
      <c r="R229" s="77"/>
      <c r="S229" s="77"/>
      <c r="T229" s="77"/>
      <c r="U229" s="78"/>
      <c r="V229" s="77"/>
      <c r="W229" s="77"/>
      <c r="X229" s="77"/>
      <c r="Y229" s="78"/>
      <c r="Z229" s="77"/>
      <c r="AA229" s="77"/>
      <c r="AB229" s="77"/>
      <c r="AC229" s="77"/>
      <c r="AD229" s="79" t="str">
        <f t="shared" si="4"/>
        <v/>
      </c>
      <c r="AE229" s="80" t="str">
        <f t="shared" si="5"/>
        <v/>
      </c>
      <c r="AF229" s="81"/>
      <c r="AG229" s="77"/>
      <c r="AH229" s="81"/>
      <c r="AI229" s="77"/>
      <c r="AJ229" s="82" t="str">
        <f t="shared" si="6"/>
        <v/>
      </c>
      <c r="AK229" s="83" t="str">
        <f t="shared" si="7"/>
        <v/>
      </c>
    </row>
    <row r="230" spans="2:37" ht="21" x14ac:dyDescent="0.35">
      <c r="B230" s="77"/>
      <c r="C230" s="77"/>
      <c r="D230" s="77"/>
      <c r="E230" s="77"/>
      <c r="F230" s="77"/>
      <c r="G230" s="77"/>
      <c r="H230" s="77"/>
      <c r="I230" s="78"/>
      <c r="J230" s="77"/>
      <c r="K230" s="77"/>
      <c r="L230" s="77"/>
      <c r="M230" s="78"/>
      <c r="N230" s="77"/>
      <c r="O230" s="77"/>
      <c r="P230" s="77"/>
      <c r="Q230" s="78"/>
      <c r="R230" s="77"/>
      <c r="S230" s="77"/>
      <c r="T230" s="77"/>
      <c r="U230" s="78"/>
      <c r="V230" s="77"/>
      <c r="W230" s="77"/>
      <c r="X230" s="77"/>
      <c r="Y230" s="78"/>
      <c r="Z230" s="77"/>
      <c r="AA230" s="77"/>
      <c r="AB230" s="77"/>
      <c r="AC230" s="77"/>
      <c r="AD230" s="79" t="str">
        <f t="shared" si="4"/>
        <v/>
      </c>
      <c r="AE230" s="80" t="str">
        <f t="shared" si="5"/>
        <v/>
      </c>
      <c r="AF230" s="81"/>
      <c r="AG230" s="77"/>
      <c r="AH230" s="81"/>
      <c r="AI230" s="77"/>
      <c r="AJ230" s="82" t="str">
        <f t="shared" si="6"/>
        <v/>
      </c>
      <c r="AK230" s="83" t="str">
        <f t="shared" si="7"/>
        <v/>
      </c>
    </row>
    <row r="231" spans="2:37" ht="21" x14ac:dyDescent="0.35">
      <c r="B231" s="77"/>
      <c r="C231" s="77"/>
      <c r="D231" s="77"/>
      <c r="E231" s="77"/>
      <c r="F231" s="77"/>
      <c r="G231" s="77"/>
      <c r="H231" s="77"/>
      <c r="I231" s="78"/>
      <c r="J231" s="77"/>
      <c r="K231" s="77"/>
      <c r="L231" s="77"/>
      <c r="M231" s="78"/>
      <c r="N231" s="77"/>
      <c r="O231" s="77"/>
      <c r="P231" s="77"/>
      <c r="Q231" s="78"/>
      <c r="R231" s="77"/>
      <c r="S231" s="77"/>
      <c r="T231" s="77"/>
      <c r="U231" s="78"/>
      <c r="V231" s="77"/>
      <c r="W231" s="77"/>
      <c r="X231" s="77"/>
      <c r="Y231" s="78"/>
      <c r="Z231" s="77"/>
      <c r="AA231" s="77"/>
      <c r="AB231" s="77"/>
      <c r="AC231" s="77"/>
      <c r="AD231" s="79" t="str">
        <f t="shared" si="4"/>
        <v/>
      </c>
      <c r="AE231" s="80" t="str">
        <f t="shared" si="5"/>
        <v/>
      </c>
      <c r="AF231" s="81"/>
      <c r="AG231" s="77"/>
      <c r="AH231" s="81"/>
      <c r="AI231" s="77"/>
      <c r="AJ231" s="82" t="str">
        <f t="shared" si="6"/>
        <v/>
      </c>
      <c r="AK231" s="83" t="str">
        <f t="shared" si="7"/>
        <v/>
      </c>
    </row>
    <row r="232" spans="2:37" ht="21" x14ac:dyDescent="0.35">
      <c r="B232" s="77"/>
      <c r="C232" s="77"/>
      <c r="D232" s="77"/>
      <c r="E232" s="77"/>
      <c r="F232" s="77"/>
      <c r="G232" s="77"/>
      <c r="H232" s="77"/>
      <c r="I232" s="78"/>
      <c r="J232" s="77"/>
      <c r="K232" s="77"/>
      <c r="L232" s="77"/>
      <c r="M232" s="78"/>
      <c r="N232" s="77"/>
      <c r="O232" s="77"/>
      <c r="P232" s="77"/>
      <c r="Q232" s="78"/>
      <c r="R232" s="77"/>
      <c r="S232" s="77"/>
      <c r="T232" s="77"/>
      <c r="U232" s="78"/>
      <c r="V232" s="77"/>
      <c r="W232" s="77"/>
      <c r="X232" s="77"/>
      <c r="Y232" s="78"/>
      <c r="Z232" s="77"/>
      <c r="AA232" s="77"/>
      <c r="AB232" s="77"/>
      <c r="AC232" s="77"/>
      <c r="AD232" s="79" t="str">
        <f t="shared" si="4"/>
        <v/>
      </c>
      <c r="AE232" s="80" t="str">
        <f t="shared" si="5"/>
        <v/>
      </c>
      <c r="AF232" s="81"/>
      <c r="AG232" s="77"/>
      <c r="AH232" s="81"/>
      <c r="AI232" s="77"/>
      <c r="AJ232" s="82" t="str">
        <f t="shared" si="6"/>
        <v/>
      </c>
      <c r="AK232" s="83" t="str">
        <f t="shared" si="7"/>
        <v/>
      </c>
    </row>
    <row r="233" spans="2:37" ht="21" x14ac:dyDescent="0.35">
      <c r="B233" s="77"/>
      <c r="C233" s="77"/>
      <c r="D233" s="77"/>
      <c r="E233" s="77"/>
      <c r="F233" s="77"/>
      <c r="G233" s="77"/>
      <c r="H233" s="77"/>
      <c r="I233" s="78"/>
      <c r="J233" s="77"/>
      <c r="K233" s="77"/>
      <c r="L233" s="77"/>
      <c r="M233" s="78"/>
      <c r="N233" s="77"/>
      <c r="O233" s="77"/>
      <c r="P233" s="77"/>
      <c r="Q233" s="78"/>
      <c r="R233" s="77"/>
      <c r="S233" s="77"/>
      <c r="T233" s="77"/>
      <c r="U233" s="78"/>
      <c r="V233" s="77"/>
      <c r="W233" s="77"/>
      <c r="X233" s="77"/>
      <c r="Y233" s="78"/>
      <c r="Z233" s="77"/>
      <c r="AA233" s="77"/>
      <c r="AB233" s="77"/>
      <c r="AC233" s="77"/>
      <c r="AD233" s="79" t="str">
        <f t="shared" si="4"/>
        <v/>
      </c>
      <c r="AE233" s="80" t="str">
        <f t="shared" si="5"/>
        <v/>
      </c>
      <c r="AF233" s="81"/>
      <c r="AG233" s="77"/>
      <c r="AH233" s="81"/>
      <c r="AI233" s="77"/>
      <c r="AJ233" s="82" t="str">
        <f t="shared" si="6"/>
        <v/>
      </c>
      <c r="AK233" s="83" t="str">
        <f t="shared" si="7"/>
        <v/>
      </c>
    </row>
    <row r="234" spans="2:37" ht="21" x14ac:dyDescent="0.35">
      <c r="B234" s="77"/>
      <c r="C234" s="77"/>
      <c r="D234" s="77"/>
      <c r="E234" s="77"/>
      <c r="F234" s="77"/>
      <c r="G234" s="77"/>
      <c r="H234" s="77"/>
      <c r="I234" s="78"/>
      <c r="J234" s="77"/>
      <c r="K234" s="77"/>
      <c r="L234" s="77"/>
      <c r="M234" s="78"/>
      <c r="N234" s="77"/>
      <c r="O234" s="77"/>
      <c r="P234" s="77"/>
      <c r="Q234" s="78"/>
      <c r="R234" s="77"/>
      <c r="S234" s="77"/>
      <c r="T234" s="77"/>
      <c r="U234" s="78"/>
      <c r="V234" s="77"/>
      <c r="W234" s="77"/>
      <c r="X234" s="77"/>
      <c r="Y234" s="78"/>
      <c r="Z234" s="77"/>
      <c r="AA234" s="77"/>
      <c r="AB234" s="77"/>
      <c r="AC234" s="77"/>
      <c r="AD234" s="79" t="str">
        <f t="shared" si="4"/>
        <v/>
      </c>
      <c r="AE234" s="80" t="str">
        <f t="shared" si="5"/>
        <v/>
      </c>
      <c r="AF234" s="81"/>
      <c r="AG234" s="77"/>
      <c r="AH234" s="81"/>
      <c r="AI234" s="77"/>
      <c r="AJ234" s="82" t="str">
        <f t="shared" si="6"/>
        <v/>
      </c>
      <c r="AK234" s="83" t="str">
        <f t="shared" si="7"/>
        <v/>
      </c>
    </row>
    <row r="235" spans="2:37" ht="21" x14ac:dyDescent="0.35">
      <c r="B235" s="77"/>
      <c r="C235" s="77"/>
      <c r="D235" s="77"/>
      <c r="E235" s="77"/>
      <c r="F235" s="77"/>
      <c r="G235" s="77"/>
      <c r="H235" s="77"/>
      <c r="I235" s="78"/>
      <c r="J235" s="77"/>
      <c r="K235" s="77"/>
      <c r="L235" s="77"/>
      <c r="M235" s="78"/>
      <c r="N235" s="77"/>
      <c r="O235" s="77"/>
      <c r="P235" s="77"/>
      <c r="Q235" s="78"/>
      <c r="R235" s="77"/>
      <c r="S235" s="77"/>
      <c r="T235" s="77"/>
      <c r="U235" s="78"/>
      <c r="V235" s="77"/>
      <c r="W235" s="77"/>
      <c r="X235" s="77"/>
      <c r="Y235" s="78"/>
      <c r="Z235" s="77"/>
      <c r="AA235" s="77"/>
      <c r="AB235" s="77"/>
      <c r="AC235" s="77"/>
      <c r="AD235" s="79" t="str">
        <f t="shared" si="4"/>
        <v/>
      </c>
      <c r="AE235" s="80" t="str">
        <f t="shared" si="5"/>
        <v/>
      </c>
      <c r="AF235" s="81"/>
      <c r="AG235" s="77"/>
      <c r="AH235" s="81"/>
      <c r="AI235" s="77"/>
      <c r="AJ235" s="82" t="str">
        <f t="shared" si="6"/>
        <v/>
      </c>
      <c r="AK235" s="83" t="str">
        <f t="shared" si="7"/>
        <v/>
      </c>
    </row>
    <row r="236" spans="2:37" ht="21" x14ac:dyDescent="0.35">
      <c r="B236" s="77"/>
      <c r="C236" s="77"/>
      <c r="D236" s="77"/>
      <c r="E236" s="77"/>
      <c r="F236" s="77"/>
      <c r="G236" s="77"/>
      <c r="H236" s="77"/>
      <c r="I236" s="78"/>
      <c r="J236" s="77"/>
      <c r="K236" s="77"/>
      <c r="L236" s="77"/>
      <c r="M236" s="78"/>
      <c r="N236" s="77"/>
      <c r="O236" s="77"/>
      <c r="P236" s="77"/>
      <c r="Q236" s="78"/>
      <c r="R236" s="77"/>
      <c r="S236" s="77"/>
      <c r="T236" s="77"/>
      <c r="U236" s="78"/>
      <c r="V236" s="77"/>
      <c r="W236" s="77"/>
      <c r="X236" s="77"/>
      <c r="Y236" s="78"/>
      <c r="Z236" s="77"/>
      <c r="AA236" s="77"/>
      <c r="AB236" s="77"/>
      <c r="AC236" s="77"/>
      <c r="AD236" s="79" t="str">
        <f t="shared" si="4"/>
        <v/>
      </c>
      <c r="AE236" s="80" t="str">
        <f t="shared" si="5"/>
        <v/>
      </c>
      <c r="AF236" s="81"/>
      <c r="AG236" s="77"/>
      <c r="AH236" s="81"/>
      <c r="AI236" s="77"/>
      <c r="AJ236" s="82" t="str">
        <f t="shared" si="6"/>
        <v/>
      </c>
      <c r="AK236" s="83" t="str">
        <f t="shared" si="7"/>
        <v/>
      </c>
    </row>
    <row r="237" spans="2:37" ht="21" x14ac:dyDescent="0.35">
      <c r="B237" s="77"/>
      <c r="C237" s="77"/>
      <c r="D237" s="77"/>
      <c r="E237" s="77"/>
      <c r="F237" s="77"/>
      <c r="G237" s="77"/>
      <c r="H237" s="77"/>
      <c r="I237" s="78"/>
      <c r="J237" s="77"/>
      <c r="K237" s="77"/>
      <c r="L237" s="77"/>
      <c r="M237" s="78"/>
      <c r="N237" s="77"/>
      <c r="O237" s="77"/>
      <c r="P237" s="77"/>
      <c r="Q237" s="78"/>
      <c r="R237" s="77"/>
      <c r="S237" s="77"/>
      <c r="T237" s="77"/>
      <c r="U237" s="78"/>
      <c r="V237" s="77"/>
      <c r="W237" s="77"/>
      <c r="X237" s="77"/>
      <c r="Y237" s="78"/>
      <c r="Z237" s="77"/>
      <c r="AA237" s="77"/>
      <c r="AB237" s="77"/>
      <c r="AC237" s="77"/>
      <c r="AD237" s="79" t="str">
        <f t="shared" si="4"/>
        <v/>
      </c>
      <c r="AE237" s="80" t="str">
        <f t="shared" si="5"/>
        <v/>
      </c>
      <c r="AF237" s="81"/>
      <c r="AG237" s="77"/>
      <c r="AH237" s="81"/>
      <c r="AI237" s="77"/>
      <c r="AJ237" s="82" t="str">
        <f t="shared" si="6"/>
        <v/>
      </c>
      <c r="AK237" s="83" t="str">
        <f t="shared" si="7"/>
        <v/>
      </c>
    </row>
    <row r="238" spans="2:37" ht="21" x14ac:dyDescent="0.35">
      <c r="B238" s="77"/>
      <c r="C238" s="77"/>
      <c r="D238" s="77"/>
      <c r="E238" s="77"/>
      <c r="F238" s="77"/>
      <c r="G238" s="77"/>
      <c r="H238" s="77"/>
      <c r="I238" s="78"/>
      <c r="J238" s="77"/>
      <c r="K238" s="77"/>
      <c r="L238" s="77"/>
      <c r="M238" s="78"/>
      <c r="N238" s="77"/>
      <c r="O238" s="77"/>
      <c r="P238" s="77"/>
      <c r="Q238" s="78"/>
      <c r="R238" s="77"/>
      <c r="S238" s="77"/>
      <c r="T238" s="77"/>
      <c r="U238" s="78"/>
      <c r="V238" s="77"/>
      <c r="W238" s="77"/>
      <c r="X238" s="77"/>
      <c r="Y238" s="78"/>
      <c r="Z238" s="77"/>
      <c r="AA238" s="77"/>
      <c r="AB238" s="77"/>
      <c r="AC238" s="77"/>
      <c r="AD238" s="79" t="str">
        <f t="shared" si="4"/>
        <v/>
      </c>
      <c r="AE238" s="80" t="str">
        <f t="shared" si="5"/>
        <v/>
      </c>
      <c r="AF238" s="81"/>
      <c r="AG238" s="77"/>
      <c r="AH238" s="81"/>
      <c r="AI238" s="77"/>
      <c r="AJ238" s="82" t="str">
        <f t="shared" si="6"/>
        <v/>
      </c>
      <c r="AK238" s="83" t="str">
        <f t="shared" si="7"/>
        <v/>
      </c>
    </row>
    <row r="239" spans="2:37" ht="21" x14ac:dyDescent="0.35">
      <c r="B239" s="77"/>
      <c r="C239" s="77"/>
      <c r="D239" s="77"/>
      <c r="E239" s="77"/>
      <c r="F239" s="77"/>
      <c r="G239" s="77"/>
      <c r="H239" s="77"/>
      <c r="I239" s="78"/>
      <c r="J239" s="77"/>
      <c r="K239" s="77"/>
      <c r="L239" s="77"/>
      <c r="M239" s="78"/>
      <c r="N239" s="77"/>
      <c r="O239" s="77"/>
      <c r="P239" s="77"/>
      <c r="Q239" s="78"/>
      <c r="R239" s="77"/>
      <c r="S239" s="77"/>
      <c r="T239" s="77"/>
      <c r="U239" s="78"/>
      <c r="V239" s="77"/>
      <c r="W239" s="77"/>
      <c r="X239" s="77"/>
      <c r="Y239" s="78"/>
      <c r="Z239" s="77"/>
      <c r="AA239" s="77"/>
      <c r="AB239" s="77"/>
      <c r="AC239" s="77"/>
      <c r="AD239" s="79" t="str">
        <f t="shared" si="4"/>
        <v/>
      </c>
      <c r="AE239" s="80" t="str">
        <f t="shared" si="5"/>
        <v/>
      </c>
      <c r="AF239" s="81"/>
      <c r="AG239" s="77"/>
      <c r="AH239" s="81"/>
      <c r="AI239" s="77"/>
      <c r="AJ239" s="82" t="str">
        <f t="shared" si="6"/>
        <v/>
      </c>
      <c r="AK239" s="83" t="str">
        <f t="shared" si="7"/>
        <v/>
      </c>
    </row>
    <row r="240" spans="2:37" ht="21" x14ac:dyDescent="0.35">
      <c r="B240" s="77"/>
      <c r="C240" s="77"/>
      <c r="D240" s="77"/>
      <c r="E240" s="77"/>
      <c r="F240" s="77"/>
      <c r="G240" s="77"/>
      <c r="H240" s="77"/>
      <c r="I240" s="78"/>
      <c r="J240" s="77"/>
      <c r="K240" s="77"/>
      <c r="L240" s="77"/>
      <c r="M240" s="78"/>
      <c r="N240" s="77"/>
      <c r="O240" s="77"/>
      <c r="P240" s="77"/>
      <c r="Q240" s="78"/>
      <c r="R240" s="77"/>
      <c r="S240" s="77"/>
      <c r="T240" s="77"/>
      <c r="U240" s="78"/>
      <c r="V240" s="77"/>
      <c r="W240" s="77"/>
      <c r="X240" s="77"/>
      <c r="Y240" s="78"/>
      <c r="Z240" s="77"/>
      <c r="AA240" s="77"/>
      <c r="AB240" s="77"/>
      <c r="AC240" s="77"/>
      <c r="AD240" s="79" t="str">
        <f t="shared" si="4"/>
        <v/>
      </c>
      <c r="AE240" s="80" t="str">
        <f t="shared" si="5"/>
        <v/>
      </c>
      <c r="AF240" s="81"/>
      <c r="AG240" s="77"/>
      <c r="AH240" s="81"/>
      <c r="AI240" s="77"/>
      <c r="AJ240" s="82" t="str">
        <f t="shared" si="6"/>
        <v/>
      </c>
      <c r="AK240" s="83" t="str">
        <f t="shared" si="7"/>
        <v/>
      </c>
    </row>
    <row r="241" spans="2:37" ht="21" x14ac:dyDescent="0.35">
      <c r="B241" s="77"/>
      <c r="C241" s="77"/>
      <c r="D241" s="77"/>
      <c r="E241" s="77"/>
      <c r="F241" s="77"/>
      <c r="G241" s="77"/>
      <c r="H241" s="77"/>
      <c r="I241" s="78"/>
      <c r="J241" s="77"/>
      <c r="K241" s="77"/>
      <c r="L241" s="77"/>
      <c r="M241" s="78"/>
      <c r="N241" s="77"/>
      <c r="O241" s="77"/>
      <c r="P241" s="77"/>
      <c r="Q241" s="78"/>
      <c r="R241" s="77"/>
      <c r="S241" s="77"/>
      <c r="T241" s="77"/>
      <c r="U241" s="78"/>
      <c r="V241" s="77"/>
      <c r="W241" s="77"/>
      <c r="X241" s="77"/>
      <c r="Y241" s="78"/>
      <c r="Z241" s="77"/>
      <c r="AA241" s="77"/>
      <c r="AB241" s="77"/>
      <c r="AC241" s="77"/>
      <c r="AD241" s="79" t="str">
        <f t="shared" si="4"/>
        <v/>
      </c>
      <c r="AE241" s="80" t="str">
        <f t="shared" si="5"/>
        <v/>
      </c>
      <c r="AF241" s="81"/>
      <c r="AG241" s="77"/>
      <c r="AH241" s="81"/>
      <c r="AI241" s="77"/>
      <c r="AJ241" s="82" t="str">
        <f t="shared" si="6"/>
        <v/>
      </c>
      <c r="AK241" s="83" t="str">
        <f t="shared" si="7"/>
        <v/>
      </c>
    </row>
    <row r="242" spans="2:37" ht="21" x14ac:dyDescent="0.35">
      <c r="B242" s="77"/>
      <c r="C242" s="77"/>
      <c r="D242" s="77"/>
      <c r="E242" s="77"/>
      <c r="F242" s="77"/>
      <c r="G242" s="77"/>
      <c r="H242" s="77"/>
      <c r="I242" s="78"/>
      <c r="J242" s="77"/>
      <c r="K242" s="77"/>
      <c r="L242" s="77"/>
      <c r="M242" s="78"/>
      <c r="N242" s="77"/>
      <c r="O242" s="77"/>
      <c r="P242" s="77"/>
      <c r="Q242" s="78"/>
      <c r="R242" s="77"/>
      <c r="S242" s="77"/>
      <c r="T242" s="77"/>
      <c r="U242" s="78"/>
      <c r="V242" s="77"/>
      <c r="W242" s="77"/>
      <c r="X242" s="77"/>
      <c r="Y242" s="78"/>
      <c r="Z242" s="77"/>
      <c r="AA242" s="77"/>
      <c r="AB242" s="77"/>
      <c r="AC242" s="77"/>
      <c r="AD242" s="79" t="str">
        <f t="shared" si="4"/>
        <v/>
      </c>
      <c r="AE242" s="80" t="str">
        <f t="shared" si="5"/>
        <v/>
      </c>
      <c r="AF242" s="81"/>
      <c r="AG242" s="77"/>
      <c r="AH242" s="81"/>
      <c r="AI242" s="77"/>
      <c r="AJ242" s="82" t="str">
        <f t="shared" si="6"/>
        <v/>
      </c>
      <c r="AK242" s="83" t="str">
        <f t="shared" si="7"/>
        <v/>
      </c>
    </row>
    <row r="243" spans="2:37" ht="21" x14ac:dyDescent="0.35">
      <c r="B243" s="77"/>
      <c r="C243" s="77"/>
      <c r="D243" s="77"/>
      <c r="E243" s="77"/>
      <c r="F243" s="77"/>
      <c r="G243" s="77"/>
      <c r="H243" s="77"/>
      <c r="I243" s="78"/>
      <c r="J243" s="77"/>
      <c r="K243" s="77"/>
      <c r="L243" s="77"/>
      <c r="M243" s="78"/>
      <c r="N243" s="77"/>
      <c r="O243" s="77"/>
      <c r="P243" s="77"/>
      <c r="Q243" s="78"/>
      <c r="R243" s="77"/>
      <c r="S243" s="77"/>
      <c r="T243" s="77"/>
      <c r="U243" s="78"/>
      <c r="V243" s="77"/>
      <c r="W243" s="77"/>
      <c r="X243" s="77"/>
      <c r="Y243" s="78"/>
      <c r="Z243" s="77"/>
      <c r="AA243" s="77"/>
      <c r="AB243" s="77"/>
      <c r="AC243" s="77"/>
      <c r="AD243" s="79" t="str">
        <f t="shared" si="4"/>
        <v/>
      </c>
      <c r="AE243" s="80" t="str">
        <f t="shared" si="5"/>
        <v/>
      </c>
      <c r="AF243" s="81"/>
      <c r="AG243" s="77"/>
      <c r="AH243" s="81"/>
      <c r="AI243" s="77"/>
      <c r="AJ243" s="82" t="str">
        <f t="shared" si="6"/>
        <v/>
      </c>
      <c r="AK243" s="83" t="str">
        <f t="shared" si="7"/>
        <v/>
      </c>
    </row>
    <row r="244" spans="2:37" ht="21" x14ac:dyDescent="0.35">
      <c r="B244" s="77"/>
      <c r="C244" s="77"/>
      <c r="D244" s="77"/>
      <c r="E244" s="77"/>
      <c r="F244" s="77"/>
      <c r="G244" s="77"/>
      <c r="H244" s="77"/>
      <c r="I244" s="78"/>
      <c r="J244" s="77"/>
      <c r="K244" s="77"/>
      <c r="L244" s="77"/>
      <c r="M244" s="78"/>
      <c r="N244" s="77"/>
      <c r="O244" s="77"/>
      <c r="P244" s="77"/>
      <c r="Q244" s="78"/>
      <c r="R244" s="77"/>
      <c r="S244" s="77"/>
      <c r="T244" s="77"/>
      <c r="U244" s="78"/>
      <c r="V244" s="77"/>
      <c r="W244" s="77"/>
      <c r="X244" s="77"/>
      <c r="Y244" s="78"/>
      <c r="Z244" s="77"/>
      <c r="AA244" s="77"/>
      <c r="AB244" s="77"/>
      <c r="AC244" s="77"/>
      <c r="AD244" s="79" t="str">
        <f t="shared" si="4"/>
        <v/>
      </c>
      <c r="AE244" s="80" t="str">
        <f t="shared" si="5"/>
        <v/>
      </c>
      <c r="AF244" s="81"/>
      <c r="AG244" s="77"/>
      <c r="AH244" s="81"/>
      <c r="AI244" s="77"/>
      <c r="AJ244" s="82" t="str">
        <f t="shared" si="6"/>
        <v/>
      </c>
      <c r="AK244" s="83" t="str">
        <f t="shared" si="7"/>
        <v/>
      </c>
    </row>
    <row r="245" spans="2:37" ht="21" x14ac:dyDescent="0.35">
      <c r="B245" s="77"/>
      <c r="C245" s="77"/>
      <c r="D245" s="77"/>
      <c r="E245" s="77"/>
      <c r="F245" s="77"/>
      <c r="G245" s="77"/>
      <c r="H245" s="77"/>
      <c r="I245" s="78"/>
      <c r="J245" s="77"/>
      <c r="K245" s="77"/>
      <c r="L245" s="77"/>
      <c r="M245" s="78"/>
      <c r="N245" s="77"/>
      <c r="O245" s="77"/>
      <c r="P245" s="77"/>
      <c r="Q245" s="78"/>
      <c r="R245" s="77"/>
      <c r="S245" s="77"/>
      <c r="T245" s="77"/>
      <c r="U245" s="78"/>
      <c r="V245" s="77"/>
      <c r="W245" s="77"/>
      <c r="X245" s="77"/>
      <c r="Y245" s="78"/>
      <c r="Z245" s="77"/>
      <c r="AA245" s="77"/>
      <c r="AB245" s="77"/>
      <c r="AC245" s="77"/>
      <c r="AD245" s="79" t="str">
        <f t="shared" si="4"/>
        <v/>
      </c>
      <c r="AE245" s="80" t="str">
        <f t="shared" si="5"/>
        <v/>
      </c>
      <c r="AF245" s="81"/>
      <c r="AG245" s="77"/>
      <c r="AH245" s="81"/>
      <c r="AI245" s="77"/>
      <c r="AJ245" s="82" t="str">
        <f t="shared" si="6"/>
        <v/>
      </c>
      <c r="AK245" s="83" t="str">
        <f t="shared" si="7"/>
        <v/>
      </c>
    </row>
    <row r="246" spans="2:37" ht="21" x14ac:dyDescent="0.35">
      <c r="B246" s="77"/>
      <c r="C246" s="77"/>
      <c r="D246" s="77"/>
      <c r="E246" s="77"/>
      <c r="F246" s="77"/>
      <c r="G246" s="77"/>
      <c r="H246" s="77"/>
      <c r="I246" s="78"/>
      <c r="J246" s="77"/>
      <c r="K246" s="77"/>
      <c r="L246" s="77"/>
      <c r="M246" s="78"/>
      <c r="N246" s="77"/>
      <c r="O246" s="77"/>
      <c r="P246" s="77"/>
      <c r="Q246" s="78"/>
      <c r="R246" s="77"/>
      <c r="S246" s="77"/>
      <c r="T246" s="77"/>
      <c r="U246" s="78"/>
      <c r="V246" s="77"/>
      <c r="W246" s="77"/>
      <c r="X246" s="77"/>
      <c r="Y246" s="78"/>
      <c r="Z246" s="77"/>
      <c r="AA246" s="77"/>
      <c r="AB246" s="77"/>
      <c r="AC246" s="77"/>
      <c r="AD246" s="79" t="str">
        <f t="shared" si="4"/>
        <v/>
      </c>
      <c r="AE246" s="80" t="str">
        <f t="shared" si="5"/>
        <v/>
      </c>
      <c r="AF246" s="81"/>
      <c r="AG246" s="77"/>
      <c r="AH246" s="81"/>
      <c r="AI246" s="77"/>
      <c r="AJ246" s="82" t="str">
        <f t="shared" si="6"/>
        <v/>
      </c>
      <c r="AK246" s="83" t="str">
        <f t="shared" si="7"/>
        <v/>
      </c>
    </row>
    <row r="247" spans="2:37" ht="21" x14ac:dyDescent="0.35">
      <c r="B247" s="77"/>
      <c r="C247" s="77"/>
      <c r="D247" s="77"/>
      <c r="E247" s="77"/>
      <c r="F247" s="77"/>
      <c r="G247" s="77"/>
      <c r="H247" s="77"/>
      <c r="I247" s="78"/>
      <c r="J247" s="77"/>
      <c r="K247" s="77"/>
      <c r="L247" s="77"/>
      <c r="M247" s="78"/>
      <c r="N247" s="77"/>
      <c r="O247" s="77"/>
      <c r="P247" s="77"/>
      <c r="Q247" s="78"/>
      <c r="R247" s="77"/>
      <c r="S247" s="77"/>
      <c r="T247" s="77"/>
      <c r="U247" s="78"/>
      <c r="V247" s="77"/>
      <c r="W247" s="77"/>
      <c r="X247" s="77"/>
      <c r="Y247" s="78"/>
      <c r="Z247" s="77"/>
      <c r="AA247" s="77"/>
      <c r="AB247" s="77"/>
      <c r="AC247" s="77"/>
      <c r="AD247" s="79" t="str">
        <f t="shared" si="4"/>
        <v/>
      </c>
      <c r="AE247" s="80" t="str">
        <f t="shared" si="5"/>
        <v/>
      </c>
      <c r="AF247" s="81"/>
      <c r="AG247" s="77"/>
      <c r="AH247" s="81"/>
      <c r="AI247" s="77"/>
      <c r="AJ247" s="82" t="str">
        <f t="shared" si="6"/>
        <v/>
      </c>
      <c r="AK247" s="83" t="str">
        <f t="shared" si="7"/>
        <v/>
      </c>
    </row>
    <row r="248" spans="2:37" ht="21" x14ac:dyDescent="0.35">
      <c r="B248" s="77"/>
      <c r="C248" s="77"/>
      <c r="D248" s="77"/>
      <c r="E248" s="77"/>
      <c r="F248" s="77"/>
      <c r="G248" s="77"/>
      <c r="H248" s="77"/>
      <c r="I248" s="78"/>
      <c r="J248" s="77"/>
      <c r="K248" s="77"/>
      <c r="L248" s="77"/>
      <c r="M248" s="78"/>
      <c r="N248" s="77"/>
      <c r="O248" s="77"/>
      <c r="P248" s="77"/>
      <c r="Q248" s="78"/>
      <c r="R248" s="77"/>
      <c r="S248" s="77"/>
      <c r="T248" s="77"/>
      <c r="U248" s="78"/>
      <c r="V248" s="77"/>
      <c r="W248" s="77"/>
      <c r="X248" s="77"/>
      <c r="Y248" s="78"/>
      <c r="Z248" s="77"/>
      <c r="AA248" s="77"/>
      <c r="AB248" s="77"/>
      <c r="AC248" s="77"/>
      <c r="AD248" s="79" t="str">
        <f t="shared" si="4"/>
        <v/>
      </c>
      <c r="AE248" s="80" t="str">
        <f t="shared" si="5"/>
        <v/>
      </c>
      <c r="AF248" s="81"/>
      <c r="AG248" s="77"/>
      <c r="AH248" s="81"/>
      <c r="AI248" s="77"/>
      <c r="AJ248" s="82" t="str">
        <f t="shared" si="6"/>
        <v/>
      </c>
      <c r="AK248" s="83" t="str">
        <f t="shared" si="7"/>
        <v/>
      </c>
    </row>
    <row r="249" spans="2:37" ht="21" x14ac:dyDescent="0.35">
      <c r="B249" s="77"/>
      <c r="C249" s="77"/>
      <c r="D249" s="77"/>
      <c r="E249" s="77"/>
      <c r="F249" s="77"/>
      <c r="G249" s="77"/>
      <c r="H249" s="77"/>
      <c r="I249" s="78"/>
      <c r="J249" s="77"/>
      <c r="K249" s="77"/>
      <c r="L249" s="77"/>
      <c r="M249" s="78"/>
      <c r="N249" s="77"/>
      <c r="O249" s="77"/>
      <c r="P249" s="77"/>
      <c r="Q249" s="78"/>
      <c r="R249" s="77"/>
      <c r="S249" s="77"/>
      <c r="T249" s="77"/>
      <c r="U249" s="78"/>
      <c r="V249" s="77"/>
      <c r="W249" s="77"/>
      <c r="X249" s="77"/>
      <c r="Y249" s="78"/>
      <c r="Z249" s="77"/>
      <c r="AA249" s="77"/>
      <c r="AB249" s="77"/>
      <c r="AC249" s="77"/>
      <c r="AD249" s="79" t="str">
        <f t="shared" si="4"/>
        <v/>
      </c>
      <c r="AE249" s="80" t="str">
        <f t="shared" si="5"/>
        <v/>
      </c>
      <c r="AF249" s="81"/>
      <c r="AG249" s="77"/>
      <c r="AH249" s="81"/>
      <c r="AI249" s="77"/>
      <c r="AJ249" s="82" t="str">
        <f t="shared" si="6"/>
        <v/>
      </c>
      <c r="AK249" s="83" t="str">
        <f t="shared" si="7"/>
        <v/>
      </c>
    </row>
    <row r="250" spans="2:37" ht="21" x14ac:dyDescent="0.35">
      <c r="B250" s="77"/>
      <c r="C250" s="77"/>
      <c r="D250" s="77"/>
      <c r="E250" s="77"/>
      <c r="F250" s="77"/>
      <c r="G250" s="77"/>
      <c r="H250" s="77"/>
      <c r="I250" s="78"/>
      <c r="J250" s="77"/>
      <c r="K250" s="77"/>
      <c r="L250" s="77"/>
      <c r="M250" s="78"/>
      <c r="N250" s="77"/>
      <c r="O250" s="77"/>
      <c r="P250" s="77"/>
      <c r="Q250" s="78"/>
      <c r="R250" s="77"/>
      <c r="S250" s="77"/>
      <c r="T250" s="77"/>
      <c r="U250" s="78"/>
      <c r="V250" s="77"/>
      <c r="W250" s="77"/>
      <c r="X250" s="77"/>
      <c r="Y250" s="78"/>
      <c r="Z250" s="77"/>
      <c r="AA250" s="77"/>
      <c r="AB250" s="77"/>
      <c r="AC250" s="77"/>
      <c r="AD250" s="79" t="str">
        <f t="shared" si="4"/>
        <v/>
      </c>
      <c r="AE250" s="80" t="str">
        <f t="shared" si="5"/>
        <v/>
      </c>
      <c r="AF250" s="81"/>
      <c r="AG250" s="77"/>
      <c r="AH250" s="81"/>
      <c r="AI250" s="77"/>
      <c r="AJ250" s="82" t="str">
        <f t="shared" si="6"/>
        <v/>
      </c>
      <c r="AK250" s="83" t="str">
        <f t="shared" si="7"/>
        <v/>
      </c>
    </row>
    <row r="251" spans="2:37" ht="21" x14ac:dyDescent="0.35">
      <c r="B251" s="77"/>
      <c r="C251" s="77"/>
      <c r="D251" s="77"/>
      <c r="E251" s="77"/>
      <c r="F251" s="77"/>
      <c r="G251" s="77"/>
      <c r="H251" s="77"/>
      <c r="I251" s="78"/>
      <c r="J251" s="77"/>
      <c r="K251" s="77"/>
      <c r="L251" s="77"/>
      <c r="M251" s="78"/>
      <c r="N251" s="77"/>
      <c r="O251" s="77"/>
      <c r="P251" s="77"/>
      <c r="Q251" s="78"/>
      <c r="R251" s="77"/>
      <c r="S251" s="77"/>
      <c r="T251" s="77"/>
      <c r="U251" s="78"/>
      <c r="V251" s="77"/>
      <c r="W251" s="77"/>
      <c r="X251" s="77"/>
      <c r="Y251" s="78"/>
      <c r="Z251" s="77"/>
      <c r="AA251" s="77"/>
      <c r="AB251" s="77"/>
      <c r="AC251" s="77"/>
      <c r="AD251" s="79" t="str">
        <f t="shared" si="4"/>
        <v/>
      </c>
      <c r="AE251" s="80" t="str">
        <f t="shared" si="5"/>
        <v/>
      </c>
      <c r="AF251" s="81"/>
      <c r="AG251" s="77"/>
      <c r="AH251" s="81"/>
      <c r="AI251" s="77"/>
      <c r="AJ251" s="82" t="str">
        <f t="shared" si="6"/>
        <v/>
      </c>
      <c r="AK251" s="83" t="str">
        <f t="shared" si="7"/>
        <v/>
      </c>
    </row>
    <row r="252" spans="2:37" ht="21" x14ac:dyDescent="0.35">
      <c r="B252" s="77"/>
      <c r="C252" s="77"/>
      <c r="D252" s="77"/>
      <c r="E252" s="77"/>
      <c r="F252" s="77"/>
      <c r="G252" s="77"/>
      <c r="H252" s="77"/>
      <c r="I252" s="78"/>
      <c r="J252" s="77"/>
      <c r="K252" s="77"/>
      <c r="L252" s="77"/>
      <c r="M252" s="78"/>
      <c r="N252" s="77"/>
      <c r="O252" s="77"/>
      <c r="P252" s="77"/>
      <c r="Q252" s="78"/>
      <c r="R252" s="77"/>
      <c r="S252" s="77"/>
      <c r="T252" s="77"/>
      <c r="U252" s="78"/>
      <c r="V252" s="77"/>
      <c r="W252" s="77"/>
      <c r="X252" s="77"/>
      <c r="Y252" s="78"/>
      <c r="Z252" s="77"/>
      <c r="AA252" s="77"/>
      <c r="AB252" s="77"/>
      <c r="AC252" s="77"/>
      <c r="AD252" s="79" t="str">
        <f t="shared" si="4"/>
        <v/>
      </c>
      <c r="AE252" s="80" t="str">
        <f t="shared" si="5"/>
        <v/>
      </c>
      <c r="AF252" s="81"/>
      <c r="AG252" s="77"/>
      <c r="AH252" s="81"/>
      <c r="AI252" s="77"/>
      <c r="AJ252" s="82" t="str">
        <f t="shared" si="6"/>
        <v/>
      </c>
      <c r="AK252" s="83" t="str">
        <f t="shared" si="7"/>
        <v/>
      </c>
    </row>
    <row r="253" spans="2:37" ht="21" x14ac:dyDescent="0.35">
      <c r="B253" s="77"/>
      <c r="C253" s="77"/>
      <c r="D253" s="77"/>
      <c r="E253" s="77"/>
      <c r="F253" s="77"/>
      <c r="G253" s="77"/>
      <c r="H253" s="77"/>
      <c r="I253" s="78"/>
      <c r="J253" s="77"/>
      <c r="K253" s="77"/>
      <c r="L253" s="77"/>
      <c r="M253" s="78"/>
      <c r="N253" s="77"/>
      <c r="O253" s="77"/>
      <c r="P253" s="77"/>
      <c r="Q253" s="78"/>
      <c r="R253" s="77"/>
      <c r="S253" s="77"/>
      <c r="T253" s="77"/>
      <c r="U253" s="78"/>
      <c r="V253" s="77"/>
      <c r="W253" s="77"/>
      <c r="X253" s="77"/>
      <c r="Y253" s="78"/>
      <c r="Z253" s="77"/>
      <c r="AA253" s="77"/>
      <c r="AB253" s="77"/>
      <c r="AC253" s="77"/>
      <c r="AD253" s="79" t="str">
        <f t="shared" si="4"/>
        <v/>
      </c>
      <c r="AE253" s="80" t="str">
        <f t="shared" si="5"/>
        <v/>
      </c>
      <c r="AF253" s="81"/>
      <c r="AG253" s="77"/>
      <c r="AH253" s="81"/>
      <c r="AI253" s="77"/>
      <c r="AJ253" s="82" t="str">
        <f t="shared" si="6"/>
        <v/>
      </c>
      <c r="AK253" s="83" t="str">
        <f t="shared" si="7"/>
        <v/>
      </c>
    </row>
    <row r="254" spans="2:37" ht="21" x14ac:dyDescent="0.35">
      <c r="B254" s="77"/>
      <c r="C254" s="77"/>
      <c r="D254" s="77"/>
      <c r="E254" s="77"/>
      <c r="F254" s="77"/>
      <c r="G254" s="77"/>
      <c r="H254" s="77"/>
      <c r="I254" s="78"/>
      <c r="J254" s="77"/>
      <c r="K254" s="77"/>
      <c r="L254" s="77"/>
      <c r="M254" s="78"/>
      <c r="N254" s="77"/>
      <c r="O254" s="77"/>
      <c r="P254" s="77"/>
      <c r="Q254" s="78"/>
      <c r="R254" s="77"/>
      <c r="S254" s="77"/>
      <c r="T254" s="77"/>
      <c r="U254" s="78"/>
      <c r="V254" s="77"/>
      <c r="W254" s="77"/>
      <c r="X254" s="77"/>
      <c r="Y254" s="78"/>
      <c r="Z254" s="77"/>
      <c r="AA254" s="77"/>
      <c r="AB254" s="77"/>
      <c r="AC254" s="77"/>
      <c r="AD254" s="79" t="str">
        <f t="shared" si="4"/>
        <v/>
      </c>
      <c r="AE254" s="80" t="str">
        <f t="shared" si="5"/>
        <v/>
      </c>
      <c r="AF254" s="81"/>
      <c r="AG254" s="77"/>
      <c r="AH254" s="81"/>
      <c r="AI254" s="77"/>
      <c r="AJ254" s="82" t="str">
        <f t="shared" si="6"/>
        <v/>
      </c>
      <c r="AK254" s="83" t="str">
        <f t="shared" si="7"/>
        <v/>
      </c>
    </row>
    <row r="255" spans="2:37" ht="21" x14ac:dyDescent="0.35">
      <c r="B255" s="77"/>
      <c r="C255" s="77"/>
      <c r="D255" s="77"/>
      <c r="E255" s="77"/>
      <c r="F255" s="77"/>
      <c r="G255" s="77"/>
      <c r="H255" s="77"/>
      <c r="I255" s="78"/>
      <c r="J255" s="77"/>
      <c r="K255" s="77"/>
      <c r="L255" s="77"/>
      <c r="M255" s="78"/>
      <c r="N255" s="77"/>
      <c r="O255" s="77"/>
      <c r="P255" s="77"/>
      <c r="Q255" s="78"/>
      <c r="R255" s="77"/>
      <c r="S255" s="77"/>
      <c r="T255" s="77"/>
      <c r="U255" s="78"/>
      <c r="V255" s="77"/>
      <c r="W255" s="77"/>
      <c r="X255" s="77"/>
      <c r="Y255" s="78"/>
      <c r="Z255" s="77"/>
      <c r="AA255" s="77"/>
      <c r="AB255" s="77"/>
      <c r="AC255" s="77"/>
      <c r="AD255" s="79" t="str">
        <f t="shared" si="4"/>
        <v/>
      </c>
      <c r="AE255" s="80" t="str">
        <f t="shared" si="5"/>
        <v/>
      </c>
      <c r="AF255" s="81"/>
      <c r="AG255" s="77"/>
      <c r="AH255" s="81"/>
      <c r="AI255" s="77"/>
      <c r="AJ255" s="82" t="str">
        <f t="shared" si="6"/>
        <v/>
      </c>
      <c r="AK255" s="83" t="str">
        <f t="shared" si="7"/>
        <v/>
      </c>
    </row>
    <row r="256" spans="2:37" ht="21" x14ac:dyDescent="0.35">
      <c r="B256" s="77"/>
      <c r="C256" s="77"/>
      <c r="D256" s="77"/>
      <c r="E256" s="77"/>
      <c r="F256" s="77"/>
      <c r="G256" s="77"/>
      <c r="H256" s="77"/>
      <c r="I256" s="78"/>
      <c r="J256" s="77"/>
      <c r="K256" s="77"/>
      <c r="L256" s="77"/>
      <c r="M256" s="78"/>
      <c r="N256" s="77"/>
      <c r="O256" s="77"/>
      <c r="P256" s="77"/>
      <c r="Q256" s="78"/>
      <c r="R256" s="77"/>
      <c r="S256" s="77"/>
      <c r="T256" s="77"/>
      <c r="U256" s="78"/>
      <c r="V256" s="77"/>
      <c r="W256" s="77"/>
      <c r="X256" s="77"/>
      <c r="Y256" s="78"/>
      <c r="Z256" s="77"/>
      <c r="AA256" s="77"/>
      <c r="AB256" s="77"/>
      <c r="AC256" s="77"/>
      <c r="AD256" s="79" t="str">
        <f t="shared" si="4"/>
        <v/>
      </c>
      <c r="AE256" s="80" t="str">
        <f t="shared" si="5"/>
        <v/>
      </c>
      <c r="AF256" s="81"/>
      <c r="AG256" s="77"/>
      <c r="AH256" s="81"/>
      <c r="AI256" s="77"/>
      <c r="AJ256" s="82" t="str">
        <f t="shared" si="6"/>
        <v/>
      </c>
      <c r="AK256" s="83" t="str">
        <f t="shared" si="7"/>
        <v/>
      </c>
    </row>
    <row r="257" spans="2:37" ht="21" x14ac:dyDescent="0.35">
      <c r="B257" s="77"/>
      <c r="C257" s="77"/>
      <c r="D257" s="77"/>
      <c r="E257" s="77"/>
      <c r="F257" s="77"/>
      <c r="G257" s="77"/>
      <c r="H257" s="77"/>
      <c r="I257" s="78"/>
      <c r="J257" s="77"/>
      <c r="K257" s="77"/>
      <c r="L257" s="77"/>
      <c r="M257" s="78"/>
      <c r="N257" s="77"/>
      <c r="O257" s="77"/>
      <c r="P257" s="77"/>
      <c r="Q257" s="78"/>
      <c r="R257" s="77"/>
      <c r="S257" s="77"/>
      <c r="T257" s="77"/>
      <c r="U257" s="78"/>
      <c r="V257" s="77"/>
      <c r="W257" s="77"/>
      <c r="X257" s="77"/>
      <c r="Y257" s="78"/>
      <c r="Z257" s="77"/>
      <c r="AA257" s="77"/>
      <c r="AB257" s="77"/>
      <c r="AC257" s="77"/>
      <c r="AD257" s="79" t="str">
        <f t="shared" si="4"/>
        <v/>
      </c>
      <c r="AE257" s="80" t="str">
        <f t="shared" si="5"/>
        <v/>
      </c>
      <c r="AF257" s="81"/>
      <c r="AG257" s="77"/>
      <c r="AH257" s="81"/>
      <c r="AI257" s="77"/>
      <c r="AJ257" s="82" t="str">
        <f t="shared" si="6"/>
        <v/>
      </c>
      <c r="AK257" s="83" t="str">
        <f t="shared" si="7"/>
        <v/>
      </c>
    </row>
    <row r="258" spans="2:37" ht="21" x14ac:dyDescent="0.35">
      <c r="B258" s="77"/>
      <c r="C258" s="77"/>
      <c r="D258" s="77"/>
      <c r="E258" s="77"/>
      <c r="F258" s="77"/>
      <c r="G258" s="77"/>
      <c r="H258" s="77"/>
      <c r="I258" s="78"/>
      <c r="J258" s="77"/>
      <c r="K258" s="77"/>
      <c r="L258" s="77"/>
      <c r="M258" s="78"/>
      <c r="N258" s="77"/>
      <c r="O258" s="77"/>
      <c r="P258" s="77"/>
      <c r="Q258" s="78"/>
      <c r="R258" s="77"/>
      <c r="S258" s="77"/>
      <c r="T258" s="77"/>
      <c r="U258" s="78"/>
      <c r="V258" s="77"/>
      <c r="W258" s="77"/>
      <c r="X258" s="77"/>
      <c r="Y258" s="78"/>
      <c r="Z258" s="77"/>
      <c r="AA258" s="77"/>
      <c r="AB258" s="77"/>
      <c r="AC258" s="77"/>
      <c r="AD258" s="79" t="str">
        <f t="shared" si="4"/>
        <v/>
      </c>
      <c r="AE258" s="80" t="str">
        <f t="shared" si="5"/>
        <v/>
      </c>
      <c r="AF258" s="81"/>
      <c r="AG258" s="77"/>
      <c r="AH258" s="81"/>
      <c r="AI258" s="77"/>
      <c r="AJ258" s="82" t="str">
        <f t="shared" si="6"/>
        <v/>
      </c>
      <c r="AK258" s="83" t="str">
        <f t="shared" si="7"/>
        <v/>
      </c>
    </row>
    <row r="259" spans="2:37" ht="21" x14ac:dyDescent="0.35">
      <c r="B259" s="77"/>
      <c r="C259" s="77"/>
      <c r="D259" s="77"/>
      <c r="E259" s="77"/>
      <c r="F259" s="77"/>
      <c r="G259" s="77"/>
      <c r="H259" s="77"/>
      <c r="I259" s="78"/>
      <c r="J259" s="77"/>
      <c r="K259" s="77"/>
      <c r="L259" s="77"/>
      <c r="M259" s="78"/>
      <c r="N259" s="77"/>
      <c r="O259" s="77"/>
      <c r="P259" s="77"/>
      <c r="Q259" s="78"/>
      <c r="R259" s="77"/>
      <c r="S259" s="77"/>
      <c r="T259" s="77"/>
      <c r="U259" s="78"/>
      <c r="V259" s="77"/>
      <c r="W259" s="77"/>
      <c r="X259" s="77"/>
      <c r="Y259" s="78"/>
      <c r="Z259" s="77"/>
      <c r="AA259" s="77"/>
      <c r="AB259" s="77"/>
      <c r="AC259" s="77"/>
      <c r="AD259" s="79" t="str">
        <f t="shared" si="4"/>
        <v/>
      </c>
      <c r="AE259" s="80" t="str">
        <f t="shared" si="5"/>
        <v/>
      </c>
      <c r="AF259" s="81"/>
      <c r="AG259" s="77"/>
      <c r="AH259" s="81"/>
      <c r="AI259" s="77"/>
      <c r="AJ259" s="82" t="str">
        <f t="shared" si="6"/>
        <v/>
      </c>
      <c r="AK259" s="83" t="str">
        <f t="shared" si="7"/>
        <v/>
      </c>
    </row>
    <row r="260" spans="2:37" ht="21" x14ac:dyDescent="0.35">
      <c r="B260" s="77"/>
      <c r="C260" s="77"/>
      <c r="D260" s="77"/>
      <c r="E260" s="77"/>
      <c r="F260" s="77"/>
      <c r="G260" s="77"/>
      <c r="H260" s="77"/>
      <c r="I260" s="78"/>
      <c r="J260" s="77"/>
      <c r="K260" s="77"/>
      <c r="L260" s="77"/>
      <c r="M260" s="78"/>
      <c r="N260" s="77"/>
      <c r="O260" s="77"/>
      <c r="P260" s="77"/>
      <c r="Q260" s="78"/>
      <c r="R260" s="77"/>
      <c r="S260" s="77"/>
      <c r="T260" s="77"/>
      <c r="U260" s="78"/>
      <c r="V260" s="77"/>
      <c r="W260" s="77"/>
      <c r="X260" s="77"/>
      <c r="Y260" s="78"/>
      <c r="Z260" s="77"/>
      <c r="AA260" s="77"/>
      <c r="AB260" s="77"/>
      <c r="AC260" s="77"/>
      <c r="AD260" s="79" t="str">
        <f t="shared" ref="AD260:AD323" si="8">IF(MIN(F260,J260,N260,R260,V260,Z260)&lt;&gt;0,MIN(F260,J260,N260,R260,V260,Z260),"")</f>
        <v/>
      </c>
      <c r="AE260" s="80" t="str">
        <f t="shared" ref="AE260:AE323" si="9">IF(MIN(H260,L260,P260,T260,X260,AB260)&lt;&gt;0,MIN(H260,L260,P260,T260,X260,AB260),"")</f>
        <v/>
      </c>
      <c r="AF260" s="81"/>
      <c r="AG260" s="77"/>
      <c r="AH260" s="81"/>
      <c r="AI260" s="77"/>
      <c r="AJ260" s="82" t="str">
        <f t="shared" ref="AJ260:AJ323" si="10">IF(AD260="","",IF(ISBLANK(AF260),"En cours",AD260+AF260))</f>
        <v/>
      </c>
      <c r="AK260" s="83" t="str">
        <f t="shared" ref="AK260:AK323" si="11">IF(AE260="","",IF(ISBLANK(AH260),"En cours",AE260+AH260))</f>
        <v/>
      </c>
    </row>
    <row r="261" spans="2:37" ht="21" x14ac:dyDescent="0.35">
      <c r="B261" s="77"/>
      <c r="C261" s="77"/>
      <c r="D261" s="77"/>
      <c r="E261" s="77"/>
      <c r="F261" s="77"/>
      <c r="G261" s="77"/>
      <c r="H261" s="77"/>
      <c r="I261" s="78"/>
      <c r="J261" s="77"/>
      <c r="K261" s="77"/>
      <c r="L261" s="77"/>
      <c r="M261" s="78"/>
      <c r="N261" s="77"/>
      <c r="O261" s="77"/>
      <c r="P261" s="77"/>
      <c r="Q261" s="78"/>
      <c r="R261" s="77"/>
      <c r="S261" s="77"/>
      <c r="T261" s="77"/>
      <c r="U261" s="78"/>
      <c r="V261" s="77"/>
      <c r="W261" s="77"/>
      <c r="X261" s="77"/>
      <c r="Y261" s="78"/>
      <c r="Z261" s="77"/>
      <c r="AA261" s="77"/>
      <c r="AB261" s="77"/>
      <c r="AC261" s="77"/>
      <c r="AD261" s="79" t="str">
        <f t="shared" si="8"/>
        <v/>
      </c>
      <c r="AE261" s="80" t="str">
        <f t="shared" si="9"/>
        <v/>
      </c>
      <c r="AF261" s="81"/>
      <c r="AG261" s="77"/>
      <c r="AH261" s="81"/>
      <c r="AI261" s="77"/>
      <c r="AJ261" s="82" t="str">
        <f t="shared" si="10"/>
        <v/>
      </c>
      <c r="AK261" s="83" t="str">
        <f t="shared" si="11"/>
        <v/>
      </c>
    </row>
    <row r="262" spans="2:37" ht="21" x14ac:dyDescent="0.35">
      <c r="B262" s="77"/>
      <c r="C262" s="77"/>
      <c r="D262" s="77"/>
      <c r="E262" s="77"/>
      <c r="F262" s="77"/>
      <c r="G262" s="77"/>
      <c r="H262" s="77"/>
      <c r="I262" s="78"/>
      <c r="J262" s="77"/>
      <c r="K262" s="77"/>
      <c r="L262" s="77"/>
      <c r="M262" s="78"/>
      <c r="N262" s="77"/>
      <c r="O262" s="77"/>
      <c r="P262" s="77"/>
      <c r="Q262" s="78"/>
      <c r="R262" s="77"/>
      <c r="S262" s="77"/>
      <c r="T262" s="77"/>
      <c r="U262" s="78"/>
      <c r="V262" s="77"/>
      <c r="W262" s="77"/>
      <c r="X262" s="77"/>
      <c r="Y262" s="78"/>
      <c r="Z262" s="77"/>
      <c r="AA262" s="77"/>
      <c r="AB262" s="77"/>
      <c r="AC262" s="77"/>
      <c r="AD262" s="79" t="str">
        <f t="shared" si="8"/>
        <v/>
      </c>
      <c r="AE262" s="80" t="str">
        <f t="shared" si="9"/>
        <v/>
      </c>
      <c r="AF262" s="81"/>
      <c r="AG262" s="77"/>
      <c r="AH262" s="81"/>
      <c r="AI262" s="77"/>
      <c r="AJ262" s="82" t="str">
        <f t="shared" si="10"/>
        <v/>
      </c>
      <c r="AK262" s="83" t="str">
        <f t="shared" si="11"/>
        <v/>
      </c>
    </row>
    <row r="263" spans="2:37" ht="21" x14ac:dyDescent="0.35">
      <c r="B263" s="77"/>
      <c r="C263" s="77"/>
      <c r="D263" s="77"/>
      <c r="E263" s="77"/>
      <c r="F263" s="77"/>
      <c r="G263" s="77"/>
      <c r="H263" s="77"/>
      <c r="I263" s="78"/>
      <c r="J263" s="77"/>
      <c r="K263" s="77"/>
      <c r="L263" s="77"/>
      <c r="M263" s="78"/>
      <c r="N263" s="77"/>
      <c r="O263" s="77"/>
      <c r="P263" s="77"/>
      <c r="Q263" s="78"/>
      <c r="R263" s="77"/>
      <c r="S263" s="77"/>
      <c r="T263" s="77"/>
      <c r="U263" s="78"/>
      <c r="V263" s="77"/>
      <c r="W263" s="77"/>
      <c r="X263" s="77"/>
      <c r="Y263" s="78"/>
      <c r="Z263" s="77"/>
      <c r="AA263" s="77"/>
      <c r="AB263" s="77"/>
      <c r="AC263" s="77"/>
      <c r="AD263" s="79" t="str">
        <f t="shared" si="8"/>
        <v/>
      </c>
      <c r="AE263" s="80" t="str">
        <f t="shared" si="9"/>
        <v/>
      </c>
      <c r="AF263" s="81"/>
      <c r="AG263" s="77"/>
      <c r="AH263" s="81"/>
      <c r="AI263" s="77"/>
      <c r="AJ263" s="82" t="str">
        <f t="shared" si="10"/>
        <v/>
      </c>
      <c r="AK263" s="83" t="str">
        <f t="shared" si="11"/>
        <v/>
      </c>
    </row>
    <row r="264" spans="2:37" ht="21" x14ac:dyDescent="0.35">
      <c r="B264" s="77"/>
      <c r="C264" s="77"/>
      <c r="D264" s="77"/>
      <c r="E264" s="77"/>
      <c r="F264" s="77"/>
      <c r="G264" s="77"/>
      <c r="H264" s="77"/>
      <c r="I264" s="78"/>
      <c r="J264" s="77"/>
      <c r="K264" s="77"/>
      <c r="L264" s="77"/>
      <c r="M264" s="78"/>
      <c r="N264" s="77"/>
      <c r="O264" s="77"/>
      <c r="P264" s="77"/>
      <c r="Q264" s="78"/>
      <c r="R264" s="77"/>
      <c r="S264" s="77"/>
      <c r="T264" s="77"/>
      <c r="U264" s="78"/>
      <c r="V264" s="77"/>
      <c r="W264" s="77"/>
      <c r="X264" s="77"/>
      <c r="Y264" s="78"/>
      <c r="Z264" s="77"/>
      <c r="AA264" s="77"/>
      <c r="AB264" s="77"/>
      <c r="AC264" s="77"/>
      <c r="AD264" s="79" t="str">
        <f t="shared" si="8"/>
        <v/>
      </c>
      <c r="AE264" s="80" t="str">
        <f t="shared" si="9"/>
        <v/>
      </c>
      <c r="AF264" s="81"/>
      <c r="AG264" s="77"/>
      <c r="AH264" s="81"/>
      <c r="AI264" s="77"/>
      <c r="AJ264" s="82" t="str">
        <f t="shared" si="10"/>
        <v/>
      </c>
      <c r="AK264" s="83" t="str">
        <f t="shared" si="11"/>
        <v/>
      </c>
    </row>
    <row r="265" spans="2:37" ht="21" x14ac:dyDescent="0.35">
      <c r="B265" s="77"/>
      <c r="C265" s="77"/>
      <c r="D265" s="77"/>
      <c r="E265" s="77"/>
      <c r="F265" s="77"/>
      <c r="G265" s="77"/>
      <c r="H265" s="77"/>
      <c r="I265" s="78"/>
      <c r="J265" s="77"/>
      <c r="K265" s="77"/>
      <c r="L265" s="77"/>
      <c r="M265" s="78"/>
      <c r="N265" s="77"/>
      <c r="O265" s="77"/>
      <c r="P265" s="77"/>
      <c r="Q265" s="78"/>
      <c r="R265" s="77"/>
      <c r="S265" s="77"/>
      <c r="T265" s="77"/>
      <c r="U265" s="78"/>
      <c r="V265" s="77"/>
      <c r="W265" s="77"/>
      <c r="X265" s="77"/>
      <c r="Y265" s="78"/>
      <c r="Z265" s="77"/>
      <c r="AA265" s="77"/>
      <c r="AB265" s="77"/>
      <c r="AC265" s="77"/>
      <c r="AD265" s="79" t="str">
        <f t="shared" si="8"/>
        <v/>
      </c>
      <c r="AE265" s="80" t="str">
        <f t="shared" si="9"/>
        <v/>
      </c>
      <c r="AF265" s="81"/>
      <c r="AG265" s="77"/>
      <c r="AH265" s="81"/>
      <c r="AI265" s="77"/>
      <c r="AJ265" s="82" t="str">
        <f t="shared" si="10"/>
        <v/>
      </c>
      <c r="AK265" s="83" t="str">
        <f t="shared" si="11"/>
        <v/>
      </c>
    </row>
    <row r="266" spans="2:37" ht="21" x14ac:dyDescent="0.35">
      <c r="B266" s="77"/>
      <c r="C266" s="77"/>
      <c r="D266" s="77"/>
      <c r="E266" s="77"/>
      <c r="F266" s="77"/>
      <c r="G266" s="77"/>
      <c r="H266" s="77"/>
      <c r="I266" s="78"/>
      <c r="J266" s="77"/>
      <c r="K266" s="77"/>
      <c r="L266" s="77"/>
      <c r="M266" s="78"/>
      <c r="N266" s="77"/>
      <c r="O266" s="77"/>
      <c r="P266" s="77"/>
      <c r="Q266" s="78"/>
      <c r="R266" s="77"/>
      <c r="S266" s="77"/>
      <c r="T266" s="77"/>
      <c r="U266" s="78"/>
      <c r="V266" s="77"/>
      <c r="W266" s="77"/>
      <c r="X266" s="77"/>
      <c r="Y266" s="78"/>
      <c r="Z266" s="77"/>
      <c r="AA266" s="77"/>
      <c r="AB266" s="77"/>
      <c r="AC266" s="77"/>
      <c r="AD266" s="79" t="str">
        <f t="shared" si="8"/>
        <v/>
      </c>
      <c r="AE266" s="80" t="str">
        <f t="shared" si="9"/>
        <v/>
      </c>
      <c r="AF266" s="81"/>
      <c r="AG266" s="77"/>
      <c r="AH266" s="81"/>
      <c r="AI266" s="77"/>
      <c r="AJ266" s="82" t="str">
        <f t="shared" si="10"/>
        <v/>
      </c>
      <c r="AK266" s="83" t="str">
        <f t="shared" si="11"/>
        <v/>
      </c>
    </row>
    <row r="267" spans="2:37" ht="21" x14ac:dyDescent="0.35">
      <c r="B267" s="77"/>
      <c r="C267" s="77"/>
      <c r="D267" s="77"/>
      <c r="E267" s="77"/>
      <c r="F267" s="77"/>
      <c r="G267" s="77"/>
      <c r="H267" s="77"/>
      <c r="I267" s="78"/>
      <c r="J267" s="77"/>
      <c r="K267" s="77"/>
      <c r="L267" s="77"/>
      <c r="M267" s="78"/>
      <c r="N267" s="77"/>
      <c r="O267" s="77"/>
      <c r="P267" s="77"/>
      <c r="Q267" s="78"/>
      <c r="R267" s="77"/>
      <c r="S267" s="77"/>
      <c r="T267" s="77"/>
      <c r="U267" s="78"/>
      <c r="V267" s="77"/>
      <c r="W267" s="77"/>
      <c r="X267" s="77"/>
      <c r="Y267" s="78"/>
      <c r="Z267" s="77"/>
      <c r="AA267" s="77"/>
      <c r="AB267" s="77"/>
      <c r="AC267" s="77"/>
      <c r="AD267" s="79" t="str">
        <f t="shared" si="8"/>
        <v/>
      </c>
      <c r="AE267" s="80" t="str">
        <f t="shared" si="9"/>
        <v/>
      </c>
      <c r="AF267" s="81"/>
      <c r="AG267" s="77"/>
      <c r="AH267" s="81"/>
      <c r="AI267" s="77"/>
      <c r="AJ267" s="82" t="str">
        <f t="shared" si="10"/>
        <v/>
      </c>
      <c r="AK267" s="83" t="str">
        <f t="shared" si="11"/>
        <v/>
      </c>
    </row>
    <row r="268" spans="2:37" ht="21" x14ac:dyDescent="0.35">
      <c r="B268" s="77"/>
      <c r="C268" s="77"/>
      <c r="D268" s="77"/>
      <c r="E268" s="77"/>
      <c r="F268" s="77"/>
      <c r="G268" s="77"/>
      <c r="H268" s="77"/>
      <c r="I268" s="78"/>
      <c r="J268" s="77"/>
      <c r="K268" s="77"/>
      <c r="L268" s="77"/>
      <c r="M268" s="78"/>
      <c r="N268" s="77"/>
      <c r="O268" s="77"/>
      <c r="P268" s="77"/>
      <c r="Q268" s="78"/>
      <c r="R268" s="77"/>
      <c r="S268" s="77"/>
      <c r="T268" s="77"/>
      <c r="U268" s="78"/>
      <c r="V268" s="77"/>
      <c r="W268" s="77"/>
      <c r="X268" s="77"/>
      <c r="Y268" s="78"/>
      <c r="Z268" s="77"/>
      <c r="AA268" s="77"/>
      <c r="AB268" s="77"/>
      <c r="AC268" s="77"/>
      <c r="AD268" s="79" t="str">
        <f t="shared" si="8"/>
        <v/>
      </c>
      <c r="AE268" s="80" t="str">
        <f t="shared" si="9"/>
        <v/>
      </c>
      <c r="AF268" s="81"/>
      <c r="AG268" s="77"/>
      <c r="AH268" s="81"/>
      <c r="AI268" s="77"/>
      <c r="AJ268" s="82" t="str">
        <f t="shared" si="10"/>
        <v/>
      </c>
      <c r="AK268" s="83" t="str">
        <f t="shared" si="11"/>
        <v/>
      </c>
    </row>
    <row r="269" spans="2:37" ht="21" x14ac:dyDescent="0.35">
      <c r="B269" s="77"/>
      <c r="C269" s="77"/>
      <c r="D269" s="77"/>
      <c r="E269" s="77"/>
      <c r="F269" s="77"/>
      <c r="G269" s="77"/>
      <c r="H269" s="77"/>
      <c r="I269" s="78"/>
      <c r="J269" s="77"/>
      <c r="K269" s="77"/>
      <c r="L269" s="77"/>
      <c r="M269" s="78"/>
      <c r="N269" s="77"/>
      <c r="O269" s="77"/>
      <c r="P269" s="77"/>
      <c r="Q269" s="78"/>
      <c r="R269" s="77"/>
      <c r="S269" s="77"/>
      <c r="T269" s="77"/>
      <c r="U269" s="78"/>
      <c r="V269" s="77"/>
      <c r="W269" s="77"/>
      <c r="X269" s="77"/>
      <c r="Y269" s="78"/>
      <c r="Z269" s="77"/>
      <c r="AA269" s="77"/>
      <c r="AB269" s="77"/>
      <c r="AC269" s="77"/>
      <c r="AD269" s="79" t="str">
        <f t="shared" si="8"/>
        <v/>
      </c>
      <c r="AE269" s="80" t="str">
        <f t="shared" si="9"/>
        <v/>
      </c>
      <c r="AF269" s="81"/>
      <c r="AG269" s="77"/>
      <c r="AH269" s="81"/>
      <c r="AI269" s="77"/>
      <c r="AJ269" s="82" t="str">
        <f t="shared" si="10"/>
        <v/>
      </c>
      <c r="AK269" s="83" t="str">
        <f t="shared" si="11"/>
        <v/>
      </c>
    </row>
    <row r="270" spans="2:37" ht="21" x14ac:dyDescent="0.35">
      <c r="B270" s="77"/>
      <c r="C270" s="77"/>
      <c r="D270" s="77"/>
      <c r="E270" s="77"/>
      <c r="F270" s="77"/>
      <c r="G270" s="77"/>
      <c r="H270" s="77"/>
      <c r="I270" s="78"/>
      <c r="J270" s="77"/>
      <c r="K270" s="77"/>
      <c r="L270" s="77"/>
      <c r="M270" s="78"/>
      <c r="N270" s="77"/>
      <c r="O270" s="77"/>
      <c r="P270" s="77"/>
      <c r="Q270" s="78"/>
      <c r="R270" s="77"/>
      <c r="S270" s="77"/>
      <c r="T270" s="77"/>
      <c r="U270" s="78"/>
      <c r="V270" s="77"/>
      <c r="W270" s="77"/>
      <c r="X270" s="77"/>
      <c r="Y270" s="78"/>
      <c r="Z270" s="77"/>
      <c r="AA270" s="77"/>
      <c r="AB270" s="77"/>
      <c r="AC270" s="77"/>
      <c r="AD270" s="79" t="str">
        <f t="shared" si="8"/>
        <v/>
      </c>
      <c r="AE270" s="80" t="str">
        <f t="shared" si="9"/>
        <v/>
      </c>
      <c r="AF270" s="81"/>
      <c r="AG270" s="77"/>
      <c r="AH270" s="81"/>
      <c r="AI270" s="77"/>
      <c r="AJ270" s="82" t="str">
        <f t="shared" si="10"/>
        <v/>
      </c>
      <c r="AK270" s="83" t="str">
        <f t="shared" si="11"/>
        <v/>
      </c>
    </row>
    <row r="271" spans="2:37" ht="21" x14ac:dyDescent="0.35">
      <c r="B271" s="77"/>
      <c r="C271" s="77"/>
      <c r="D271" s="77"/>
      <c r="E271" s="77"/>
      <c r="F271" s="77"/>
      <c r="G271" s="77"/>
      <c r="H271" s="77"/>
      <c r="I271" s="78"/>
      <c r="J271" s="77"/>
      <c r="K271" s="77"/>
      <c r="L271" s="77"/>
      <c r="M271" s="78"/>
      <c r="N271" s="77"/>
      <c r="O271" s="77"/>
      <c r="P271" s="77"/>
      <c r="Q271" s="78"/>
      <c r="R271" s="77"/>
      <c r="S271" s="77"/>
      <c r="T271" s="77"/>
      <c r="U271" s="78"/>
      <c r="V271" s="77"/>
      <c r="W271" s="77"/>
      <c r="X271" s="77"/>
      <c r="Y271" s="78"/>
      <c r="Z271" s="77"/>
      <c r="AA271" s="77"/>
      <c r="AB271" s="77"/>
      <c r="AC271" s="77"/>
      <c r="AD271" s="79" t="str">
        <f t="shared" si="8"/>
        <v/>
      </c>
      <c r="AE271" s="80" t="str">
        <f t="shared" si="9"/>
        <v/>
      </c>
      <c r="AF271" s="81"/>
      <c r="AG271" s="77"/>
      <c r="AH271" s="81"/>
      <c r="AI271" s="77"/>
      <c r="AJ271" s="82" t="str">
        <f t="shared" si="10"/>
        <v/>
      </c>
      <c r="AK271" s="83" t="str">
        <f t="shared" si="11"/>
        <v/>
      </c>
    </row>
    <row r="272" spans="2:37" ht="21" x14ac:dyDescent="0.35">
      <c r="B272" s="77"/>
      <c r="C272" s="77"/>
      <c r="D272" s="77"/>
      <c r="E272" s="77"/>
      <c r="F272" s="77"/>
      <c r="G272" s="77"/>
      <c r="H272" s="77"/>
      <c r="I272" s="78"/>
      <c r="J272" s="77"/>
      <c r="K272" s="77"/>
      <c r="L272" s="77"/>
      <c r="M272" s="78"/>
      <c r="N272" s="77"/>
      <c r="O272" s="77"/>
      <c r="P272" s="77"/>
      <c r="Q272" s="78"/>
      <c r="R272" s="77"/>
      <c r="S272" s="77"/>
      <c r="T272" s="77"/>
      <c r="U272" s="78"/>
      <c r="V272" s="77"/>
      <c r="W272" s="77"/>
      <c r="X272" s="77"/>
      <c r="Y272" s="78"/>
      <c r="Z272" s="77"/>
      <c r="AA272" s="77"/>
      <c r="AB272" s="77"/>
      <c r="AC272" s="77"/>
      <c r="AD272" s="79" t="str">
        <f t="shared" si="8"/>
        <v/>
      </c>
      <c r="AE272" s="80" t="str">
        <f t="shared" si="9"/>
        <v/>
      </c>
      <c r="AF272" s="81"/>
      <c r="AG272" s="77"/>
      <c r="AH272" s="81"/>
      <c r="AI272" s="77"/>
      <c r="AJ272" s="82" t="str">
        <f t="shared" si="10"/>
        <v/>
      </c>
      <c r="AK272" s="83" t="str">
        <f t="shared" si="11"/>
        <v/>
      </c>
    </row>
    <row r="273" spans="2:37" ht="21" x14ac:dyDescent="0.35">
      <c r="B273" s="77"/>
      <c r="C273" s="77"/>
      <c r="D273" s="77"/>
      <c r="E273" s="77"/>
      <c r="F273" s="77"/>
      <c r="G273" s="77"/>
      <c r="H273" s="77"/>
      <c r="I273" s="78"/>
      <c r="J273" s="77"/>
      <c r="K273" s="77"/>
      <c r="L273" s="77"/>
      <c r="M273" s="78"/>
      <c r="N273" s="77"/>
      <c r="O273" s="77"/>
      <c r="P273" s="77"/>
      <c r="Q273" s="78"/>
      <c r="R273" s="77"/>
      <c r="S273" s="77"/>
      <c r="T273" s="77"/>
      <c r="U273" s="78"/>
      <c r="V273" s="77"/>
      <c r="W273" s="77"/>
      <c r="X273" s="77"/>
      <c r="Y273" s="78"/>
      <c r="Z273" s="77"/>
      <c r="AA273" s="77"/>
      <c r="AB273" s="77"/>
      <c r="AC273" s="77"/>
      <c r="AD273" s="79" t="str">
        <f t="shared" si="8"/>
        <v/>
      </c>
      <c r="AE273" s="80" t="str">
        <f t="shared" si="9"/>
        <v/>
      </c>
      <c r="AF273" s="81"/>
      <c r="AG273" s="77"/>
      <c r="AH273" s="81"/>
      <c r="AI273" s="77"/>
      <c r="AJ273" s="82" t="str">
        <f t="shared" si="10"/>
        <v/>
      </c>
      <c r="AK273" s="83" t="str">
        <f t="shared" si="11"/>
        <v/>
      </c>
    </row>
    <row r="274" spans="2:37" ht="21" x14ac:dyDescent="0.35">
      <c r="B274" s="77"/>
      <c r="C274" s="77"/>
      <c r="D274" s="77"/>
      <c r="E274" s="77"/>
      <c r="F274" s="77"/>
      <c r="G274" s="77"/>
      <c r="H274" s="77"/>
      <c r="I274" s="78"/>
      <c r="J274" s="77"/>
      <c r="K274" s="77"/>
      <c r="L274" s="77"/>
      <c r="M274" s="78"/>
      <c r="N274" s="77"/>
      <c r="O274" s="77"/>
      <c r="P274" s="77"/>
      <c r="Q274" s="78"/>
      <c r="R274" s="77"/>
      <c r="S274" s="77"/>
      <c r="T274" s="77"/>
      <c r="U274" s="78"/>
      <c r="V274" s="77"/>
      <c r="W274" s="77"/>
      <c r="X274" s="77"/>
      <c r="Y274" s="78"/>
      <c r="Z274" s="77"/>
      <c r="AA274" s="77"/>
      <c r="AB274" s="77"/>
      <c r="AC274" s="77"/>
      <c r="AD274" s="79" t="str">
        <f t="shared" si="8"/>
        <v/>
      </c>
      <c r="AE274" s="80" t="str">
        <f t="shared" si="9"/>
        <v/>
      </c>
      <c r="AF274" s="81"/>
      <c r="AG274" s="77"/>
      <c r="AH274" s="81"/>
      <c r="AI274" s="77"/>
      <c r="AJ274" s="82" t="str">
        <f t="shared" si="10"/>
        <v/>
      </c>
      <c r="AK274" s="83" t="str">
        <f t="shared" si="11"/>
        <v/>
      </c>
    </row>
    <row r="275" spans="2:37" ht="21" x14ac:dyDescent="0.35">
      <c r="B275" s="77"/>
      <c r="C275" s="77"/>
      <c r="D275" s="77"/>
      <c r="E275" s="77"/>
      <c r="F275" s="77"/>
      <c r="G275" s="77"/>
      <c r="H275" s="77"/>
      <c r="I275" s="78"/>
      <c r="J275" s="77"/>
      <c r="K275" s="77"/>
      <c r="L275" s="77"/>
      <c r="M275" s="78"/>
      <c r="N275" s="77"/>
      <c r="O275" s="77"/>
      <c r="P275" s="77"/>
      <c r="Q275" s="78"/>
      <c r="R275" s="77"/>
      <c r="S275" s="77"/>
      <c r="T275" s="77"/>
      <c r="U275" s="78"/>
      <c r="V275" s="77"/>
      <c r="W275" s="77"/>
      <c r="X275" s="77"/>
      <c r="Y275" s="78"/>
      <c r="Z275" s="77"/>
      <c r="AA275" s="77"/>
      <c r="AB275" s="77"/>
      <c r="AC275" s="77"/>
      <c r="AD275" s="79" t="str">
        <f t="shared" si="8"/>
        <v/>
      </c>
      <c r="AE275" s="80" t="str">
        <f t="shared" si="9"/>
        <v/>
      </c>
      <c r="AF275" s="81"/>
      <c r="AG275" s="77"/>
      <c r="AH275" s="81"/>
      <c r="AI275" s="77"/>
      <c r="AJ275" s="82" t="str">
        <f t="shared" si="10"/>
        <v/>
      </c>
      <c r="AK275" s="83" t="str">
        <f t="shared" si="11"/>
        <v/>
      </c>
    </row>
    <row r="276" spans="2:37" ht="21" x14ac:dyDescent="0.35">
      <c r="B276" s="77"/>
      <c r="C276" s="77"/>
      <c r="D276" s="77"/>
      <c r="E276" s="77"/>
      <c r="F276" s="77"/>
      <c r="G276" s="77"/>
      <c r="H276" s="77"/>
      <c r="I276" s="78"/>
      <c r="J276" s="77"/>
      <c r="K276" s="77"/>
      <c r="L276" s="77"/>
      <c r="M276" s="78"/>
      <c r="N276" s="77"/>
      <c r="O276" s="77"/>
      <c r="P276" s="77"/>
      <c r="Q276" s="78"/>
      <c r="R276" s="77"/>
      <c r="S276" s="77"/>
      <c r="T276" s="77"/>
      <c r="U276" s="78"/>
      <c r="V276" s="77"/>
      <c r="W276" s="77"/>
      <c r="X276" s="77"/>
      <c r="Y276" s="78"/>
      <c r="Z276" s="77"/>
      <c r="AA276" s="77"/>
      <c r="AB276" s="77"/>
      <c r="AC276" s="77"/>
      <c r="AD276" s="79" t="str">
        <f t="shared" si="8"/>
        <v/>
      </c>
      <c r="AE276" s="80" t="str">
        <f t="shared" si="9"/>
        <v/>
      </c>
      <c r="AF276" s="81"/>
      <c r="AG276" s="77"/>
      <c r="AH276" s="81"/>
      <c r="AI276" s="77"/>
      <c r="AJ276" s="82" t="str">
        <f t="shared" si="10"/>
        <v/>
      </c>
      <c r="AK276" s="83" t="str">
        <f t="shared" si="11"/>
        <v/>
      </c>
    </row>
    <row r="277" spans="2:37" ht="21" x14ac:dyDescent="0.35">
      <c r="B277" s="77"/>
      <c r="C277" s="77"/>
      <c r="D277" s="77"/>
      <c r="E277" s="77"/>
      <c r="F277" s="77"/>
      <c r="G277" s="77"/>
      <c r="H277" s="77"/>
      <c r="I277" s="78"/>
      <c r="J277" s="77"/>
      <c r="K277" s="77"/>
      <c r="L277" s="77"/>
      <c r="M277" s="78"/>
      <c r="N277" s="77"/>
      <c r="O277" s="77"/>
      <c r="P277" s="77"/>
      <c r="Q277" s="78"/>
      <c r="R277" s="77"/>
      <c r="S277" s="77"/>
      <c r="T277" s="77"/>
      <c r="U277" s="78"/>
      <c r="V277" s="77"/>
      <c r="W277" s="77"/>
      <c r="X277" s="77"/>
      <c r="Y277" s="78"/>
      <c r="Z277" s="77"/>
      <c r="AA277" s="77"/>
      <c r="AB277" s="77"/>
      <c r="AC277" s="77"/>
      <c r="AD277" s="79" t="str">
        <f t="shared" si="8"/>
        <v/>
      </c>
      <c r="AE277" s="80" t="str">
        <f t="shared" si="9"/>
        <v/>
      </c>
      <c r="AF277" s="81"/>
      <c r="AG277" s="77"/>
      <c r="AH277" s="81"/>
      <c r="AI277" s="77"/>
      <c r="AJ277" s="82" t="str">
        <f t="shared" si="10"/>
        <v/>
      </c>
      <c r="AK277" s="83" t="str">
        <f t="shared" si="11"/>
        <v/>
      </c>
    </row>
    <row r="278" spans="2:37" ht="21" x14ac:dyDescent="0.35">
      <c r="B278" s="77"/>
      <c r="C278" s="77"/>
      <c r="D278" s="77"/>
      <c r="E278" s="77"/>
      <c r="F278" s="77"/>
      <c r="G278" s="77"/>
      <c r="H278" s="77"/>
      <c r="I278" s="78"/>
      <c r="J278" s="77"/>
      <c r="K278" s="77"/>
      <c r="L278" s="77"/>
      <c r="M278" s="78"/>
      <c r="N278" s="77"/>
      <c r="O278" s="77"/>
      <c r="P278" s="77"/>
      <c r="Q278" s="78"/>
      <c r="R278" s="77"/>
      <c r="S278" s="77"/>
      <c r="T278" s="77"/>
      <c r="U278" s="78"/>
      <c r="V278" s="77"/>
      <c r="W278" s="77"/>
      <c r="X278" s="77"/>
      <c r="Y278" s="78"/>
      <c r="Z278" s="77"/>
      <c r="AA278" s="77"/>
      <c r="AB278" s="77"/>
      <c r="AC278" s="77"/>
      <c r="AD278" s="79" t="str">
        <f t="shared" si="8"/>
        <v/>
      </c>
      <c r="AE278" s="80" t="str">
        <f t="shared" si="9"/>
        <v/>
      </c>
      <c r="AF278" s="81"/>
      <c r="AG278" s="77"/>
      <c r="AH278" s="81"/>
      <c r="AI278" s="77"/>
      <c r="AJ278" s="82" t="str">
        <f t="shared" si="10"/>
        <v/>
      </c>
      <c r="AK278" s="83" t="str">
        <f t="shared" si="11"/>
        <v/>
      </c>
    </row>
    <row r="279" spans="2:37" ht="21" x14ac:dyDescent="0.35">
      <c r="B279" s="77"/>
      <c r="C279" s="77"/>
      <c r="D279" s="77"/>
      <c r="E279" s="77"/>
      <c r="F279" s="77"/>
      <c r="G279" s="77"/>
      <c r="H279" s="77"/>
      <c r="I279" s="78"/>
      <c r="J279" s="77"/>
      <c r="K279" s="77"/>
      <c r="L279" s="77"/>
      <c r="M279" s="78"/>
      <c r="N279" s="77"/>
      <c r="O279" s="77"/>
      <c r="P279" s="77"/>
      <c r="Q279" s="78"/>
      <c r="R279" s="77"/>
      <c r="S279" s="77"/>
      <c r="T279" s="77"/>
      <c r="U279" s="78"/>
      <c r="V279" s="77"/>
      <c r="W279" s="77"/>
      <c r="X279" s="77"/>
      <c r="Y279" s="78"/>
      <c r="Z279" s="77"/>
      <c r="AA279" s="77"/>
      <c r="AB279" s="77"/>
      <c r="AC279" s="77"/>
      <c r="AD279" s="79" t="str">
        <f t="shared" si="8"/>
        <v/>
      </c>
      <c r="AE279" s="80" t="str">
        <f t="shared" si="9"/>
        <v/>
      </c>
      <c r="AF279" s="81"/>
      <c r="AG279" s="77"/>
      <c r="AH279" s="81"/>
      <c r="AI279" s="77"/>
      <c r="AJ279" s="82" t="str">
        <f t="shared" si="10"/>
        <v/>
      </c>
      <c r="AK279" s="83" t="str">
        <f t="shared" si="11"/>
        <v/>
      </c>
    </row>
    <row r="280" spans="2:37" ht="21" x14ac:dyDescent="0.35">
      <c r="B280" s="77"/>
      <c r="C280" s="77"/>
      <c r="D280" s="77"/>
      <c r="E280" s="77"/>
      <c r="F280" s="77"/>
      <c r="G280" s="77"/>
      <c r="H280" s="77"/>
      <c r="I280" s="78"/>
      <c r="J280" s="77"/>
      <c r="K280" s="77"/>
      <c r="L280" s="77"/>
      <c r="M280" s="78"/>
      <c r="N280" s="77"/>
      <c r="O280" s="77"/>
      <c r="P280" s="77"/>
      <c r="Q280" s="78"/>
      <c r="R280" s="77"/>
      <c r="S280" s="77"/>
      <c r="T280" s="77"/>
      <c r="U280" s="78"/>
      <c r="V280" s="77"/>
      <c r="W280" s="77"/>
      <c r="X280" s="77"/>
      <c r="Y280" s="78"/>
      <c r="Z280" s="77"/>
      <c r="AA280" s="77"/>
      <c r="AB280" s="77"/>
      <c r="AC280" s="77"/>
      <c r="AD280" s="79" t="str">
        <f t="shared" si="8"/>
        <v/>
      </c>
      <c r="AE280" s="80" t="str">
        <f t="shared" si="9"/>
        <v/>
      </c>
      <c r="AF280" s="81"/>
      <c r="AG280" s="77"/>
      <c r="AH280" s="81"/>
      <c r="AI280" s="77"/>
      <c r="AJ280" s="82" t="str">
        <f t="shared" si="10"/>
        <v/>
      </c>
      <c r="AK280" s="83" t="str">
        <f t="shared" si="11"/>
        <v/>
      </c>
    </row>
    <row r="281" spans="2:37" ht="21" x14ac:dyDescent="0.35">
      <c r="B281" s="77"/>
      <c r="C281" s="77"/>
      <c r="D281" s="77"/>
      <c r="E281" s="77"/>
      <c r="F281" s="77"/>
      <c r="G281" s="77"/>
      <c r="H281" s="77"/>
      <c r="I281" s="78"/>
      <c r="J281" s="77"/>
      <c r="K281" s="77"/>
      <c r="L281" s="77"/>
      <c r="M281" s="78"/>
      <c r="N281" s="77"/>
      <c r="O281" s="77"/>
      <c r="P281" s="77"/>
      <c r="Q281" s="78"/>
      <c r="R281" s="77"/>
      <c r="S281" s="77"/>
      <c r="T281" s="77"/>
      <c r="U281" s="78"/>
      <c r="V281" s="77"/>
      <c r="W281" s="77"/>
      <c r="X281" s="77"/>
      <c r="Y281" s="78"/>
      <c r="Z281" s="77"/>
      <c r="AA281" s="77"/>
      <c r="AB281" s="77"/>
      <c r="AC281" s="77"/>
      <c r="AD281" s="79" t="str">
        <f t="shared" si="8"/>
        <v/>
      </c>
      <c r="AE281" s="80" t="str">
        <f t="shared" si="9"/>
        <v/>
      </c>
      <c r="AF281" s="81"/>
      <c r="AG281" s="77"/>
      <c r="AH281" s="81"/>
      <c r="AI281" s="77"/>
      <c r="AJ281" s="82" t="str">
        <f t="shared" si="10"/>
        <v/>
      </c>
      <c r="AK281" s="83" t="str">
        <f t="shared" si="11"/>
        <v/>
      </c>
    </row>
    <row r="282" spans="2:37" ht="21" x14ac:dyDescent="0.35">
      <c r="B282" s="77"/>
      <c r="C282" s="77"/>
      <c r="D282" s="77"/>
      <c r="E282" s="77"/>
      <c r="F282" s="77"/>
      <c r="G282" s="77"/>
      <c r="H282" s="77"/>
      <c r="I282" s="78"/>
      <c r="J282" s="77"/>
      <c r="K282" s="77"/>
      <c r="L282" s="77"/>
      <c r="M282" s="78"/>
      <c r="N282" s="77"/>
      <c r="O282" s="77"/>
      <c r="P282" s="77"/>
      <c r="Q282" s="78"/>
      <c r="R282" s="77"/>
      <c r="S282" s="77"/>
      <c r="T282" s="77"/>
      <c r="U282" s="78"/>
      <c r="V282" s="77"/>
      <c r="W282" s="77"/>
      <c r="X282" s="77"/>
      <c r="Y282" s="78"/>
      <c r="Z282" s="77"/>
      <c r="AA282" s="77"/>
      <c r="AB282" s="77"/>
      <c r="AC282" s="77"/>
      <c r="AD282" s="79" t="str">
        <f t="shared" si="8"/>
        <v/>
      </c>
      <c r="AE282" s="80" t="str">
        <f t="shared" si="9"/>
        <v/>
      </c>
      <c r="AF282" s="81"/>
      <c r="AG282" s="77"/>
      <c r="AH282" s="81"/>
      <c r="AI282" s="77"/>
      <c r="AJ282" s="82" t="str">
        <f t="shared" si="10"/>
        <v/>
      </c>
      <c r="AK282" s="83" t="str">
        <f t="shared" si="11"/>
        <v/>
      </c>
    </row>
    <row r="283" spans="2:37" ht="21" x14ac:dyDescent="0.35">
      <c r="B283" s="77"/>
      <c r="C283" s="77"/>
      <c r="D283" s="77"/>
      <c r="E283" s="77"/>
      <c r="F283" s="77"/>
      <c r="G283" s="77"/>
      <c r="H283" s="77"/>
      <c r="I283" s="78"/>
      <c r="J283" s="77"/>
      <c r="K283" s="77"/>
      <c r="L283" s="77"/>
      <c r="M283" s="78"/>
      <c r="N283" s="77"/>
      <c r="O283" s="77"/>
      <c r="P283" s="77"/>
      <c r="Q283" s="78"/>
      <c r="R283" s="77"/>
      <c r="S283" s="77"/>
      <c r="T283" s="77"/>
      <c r="U283" s="78"/>
      <c r="V283" s="77"/>
      <c r="W283" s="77"/>
      <c r="X283" s="77"/>
      <c r="Y283" s="78"/>
      <c r="Z283" s="77"/>
      <c r="AA283" s="77"/>
      <c r="AB283" s="77"/>
      <c r="AC283" s="77"/>
      <c r="AD283" s="79" t="str">
        <f t="shared" si="8"/>
        <v/>
      </c>
      <c r="AE283" s="80" t="str">
        <f t="shared" si="9"/>
        <v/>
      </c>
      <c r="AF283" s="81"/>
      <c r="AG283" s="77"/>
      <c r="AH283" s="81"/>
      <c r="AI283" s="77"/>
      <c r="AJ283" s="82" t="str">
        <f t="shared" si="10"/>
        <v/>
      </c>
      <c r="AK283" s="83" t="str">
        <f t="shared" si="11"/>
        <v/>
      </c>
    </row>
    <row r="284" spans="2:37" ht="21" x14ac:dyDescent="0.35">
      <c r="B284" s="77"/>
      <c r="C284" s="77"/>
      <c r="D284" s="77"/>
      <c r="E284" s="77"/>
      <c r="F284" s="77"/>
      <c r="G284" s="77"/>
      <c r="H284" s="77"/>
      <c r="I284" s="78"/>
      <c r="J284" s="77"/>
      <c r="K284" s="77"/>
      <c r="L284" s="77"/>
      <c r="M284" s="78"/>
      <c r="N284" s="77"/>
      <c r="O284" s="77"/>
      <c r="P284" s="77"/>
      <c r="Q284" s="78"/>
      <c r="R284" s="77"/>
      <c r="S284" s="77"/>
      <c r="T284" s="77"/>
      <c r="U284" s="78"/>
      <c r="V284" s="77"/>
      <c r="W284" s="77"/>
      <c r="X284" s="77"/>
      <c r="Y284" s="78"/>
      <c r="Z284" s="77"/>
      <c r="AA284" s="77"/>
      <c r="AB284" s="77"/>
      <c r="AC284" s="77"/>
      <c r="AD284" s="79" t="str">
        <f t="shared" si="8"/>
        <v/>
      </c>
      <c r="AE284" s="80" t="str">
        <f t="shared" si="9"/>
        <v/>
      </c>
      <c r="AF284" s="81"/>
      <c r="AG284" s="77"/>
      <c r="AH284" s="81"/>
      <c r="AI284" s="77"/>
      <c r="AJ284" s="82" t="str">
        <f t="shared" si="10"/>
        <v/>
      </c>
      <c r="AK284" s="83" t="str">
        <f t="shared" si="11"/>
        <v/>
      </c>
    </row>
    <row r="285" spans="2:37" ht="21" x14ac:dyDescent="0.35">
      <c r="B285" s="77"/>
      <c r="C285" s="77"/>
      <c r="D285" s="77"/>
      <c r="E285" s="77"/>
      <c r="F285" s="77"/>
      <c r="G285" s="77"/>
      <c r="H285" s="77"/>
      <c r="I285" s="78"/>
      <c r="J285" s="77"/>
      <c r="K285" s="77"/>
      <c r="L285" s="77"/>
      <c r="M285" s="78"/>
      <c r="N285" s="77"/>
      <c r="O285" s="77"/>
      <c r="P285" s="77"/>
      <c r="Q285" s="78"/>
      <c r="R285" s="77"/>
      <c r="S285" s="77"/>
      <c r="T285" s="77"/>
      <c r="U285" s="78"/>
      <c r="V285" s="77"/>
      <c r="W285" s="77"/>
      <c r="X285" s="77"/>
      <c r="Y285" s="78"/>
      <c r="Z285" s="77"/>
      <c r="AA285" s="77"/>
      <c r="AB285" s="77"/>
      <c r="AC285" s="77"/>
      <c r="AD285" s="79" t="str">
        <f t="shared" si="8"/>
        <v/>
      </c>
      <c r="AE285" s="80" t="str">
        <f t="shared" si="9"/>
        <v/>
      </c>
      <c r="AF285" s="81"/>
      <c r="AG285" s="77"/>
      <c r="AH285" s="81"/>
      <c r="AI285" s="77"/>
      <c r="AJ285" s="82" t="str">
        <f t="shared" si="10"/>
        <v/>
      </c>
      <c r="AK285" s="83" t="str">
        <f t="shared" si="11"/>
        <v/>
      </c>
    </row>
    <row r="286" spans="2:37" ht="21" x14ac:dyDescent="0.35">
      <c r="B286" s="77"/>
      <c r="C286" s="77"/>
      <c r="D286" s="77"/>
      <c r="E286" s="77"/>
      <c r="F286" s="77"/>
      <c r="G286" s="77"/>
      <c r="H286" s="77"/>
      <c r="I286" s="78"/>
      <c r="J286" s="77"/>
      <c r="K286" s="77"/>
      <c r="L286" s="77"/>
      <c r="M286" s="78"/>
      <c r="N286" s="77"/>
      <c r="O286" s="77"/>
      <c r="P286" s="77"/>
      <c r="Q286" s="78"/>
      <c r="R286" s="77"/>
      <c r="S286" s="77"/>
      <c r="T286" s="77"/>
      <c r="U286" s="78"/>
      <c r="V286" s="77"/>
      <c r="W286" s="77"/>
      <c r="X286" s="77"/>
      <c r="Y286" s="78"/>
      <c r="Z286" s="77"/>
      <c r="AA286" s="77"/>
      <c r="AB286" s="77"/>
      <c r="AC286" s="77"/>
      <c r="AD286" s="79" t="str">
        <f t="shared" si="8"/>
        <v/>
      </c>
      <c r="AE286" s="80" t="str">
        <f t="shared" si="9"/>
        <v/>
      </c>
      <c r="AF286" s="81"/>
      <c r="AG286" s="77"/>
      <c r="AH286" s="81"/>
      <c r="AI286" s="77"/>
      <c r="AJ286" s="82" t="str">
        <f t="shared" si="10"/>
        <v/>
      </c>
      <c r="AK286" s="83" t="str">
        <f t="shared" si="11"/>
        <v/>
      </c>
    </row>
    <row r="287" spans="2:37" ht="21" x14ac:dyDescent="0.35">
      <c r="B287" s="77"/>
      <c r="C287" s="77"/>
      <c r="D287" s="77"/>
      <c r="E287" s="77"/>
      <c r="F287" s="77"/>
      <c r="G287" s="77"/>
      <c r="H287" s="77"/>
      <c r="I287" s="78"/>
      <c r="J287" s="77"/>
      <c r="K287" s="77"/>
      <c r="L287" s="77"/>
      <c r="M287" s="78"/>
      <c r="N287" s="77"/>
      <c r="O287" s="77"/>
      <c r="P287" s="77"/>
      <c r="Q287" s="78"/>
      <c r="R287" s="77"/>
      <c r="S287" s="77"/>
      <c r="T287" s="77"/>
      <c r="U287" s="78"/>
      <c r="V287" s="77"/>
      <c r="W287" s="77"/>
      <c r="X287" s="77"/>
      <c r="Y287" s="78"/>
      <c r="Z287" s="77"/>
      <c r="AA287" s="77"/>
      <c r="AB287" s="77"/>
      <c r="AC287" s="77"/>
      <c r="AD287" s="79" t="str">
        <f t="shared" si="8"/>
        <v/>
      </c>
      <c r="AE287" s="80" t="str">
        <f t="shared" si="9"/>
        <v/>
      </c>
      <c r="AF287" s="81"/>
      <c r="AG287" s="77"/>
      <c r="AH287" s="81"/>
      <c r="AI287" s="77"/>
      <c r="AJ287" s="82" t="str">
        <f t="shared" si="10"/>
        <v/>
      </c>
      <c r="AK287" s="83" t="str">
        <f t="shared" si="11"/>
        <v/>
      </c>
    </row>
    <row r="288" spans="2:37" ht="21" x14ac:dyDescent="0.35">
      <c r="B288" s="77"/>
      <c r="C288" s="77"/>
      <c r="D288" s="77"/>
      <c r="E288" s="77"/>
      <c r="F288" s="77"/>
      <c r="G288" s="77"/>
      <c r="H288" s="77"/>
      <c r="I288" s="78"/>
      <c r="J288" s="77"/>
      <c r="K288" s="77"/>
      <c r="L288" s="77"/>
      <c r="M288" s="78"/>
      <c r="N288" s="77"/>
      <c r="O288" s="77"/>
      <c r="P288" s="77"/>
      <c r="Q288" s="78"/>
      <c r="R288" s="77"/>
      <c r="S288" s="77"/>
      <c r="T288" s="77"/>
      <c r="U288" s="78"/>
      <c r="V288" s="77"/>
      <c r="W288" s="77"/>
      <c r="X288" s="77"/>
      <c r="Y288" s="78"/>
      <c r="Z288" s="77"/>
      <c r="AA288" s="77"/>
      <c r="AB288" s="77"/>
      <c r="AC288" s="77"/>
      <c r="AD288" s="79" t="str">
        <f t="shared" si="8"/>
        <v/>
      </c>
      <c r="AE288" s="80" t="str">
        <f t="shared" si="9"/>
        <v/>
      </c>
      <c r="AF288" s="81"/>
      <c r="AG288" s="77"/>
      <c r="AH288" s="81"/>
      <c r="AI288" s="77"/>
      <c r="AJ288" s="82" t="str">
        <f t="shared" si="10"/>
        <v/>
      </c>
      <c r="AK288" s="83" t="str">
        <f t="shared" si="11"/>
        <v/>
      </c>
    </row>
    <row r="289" spans="2:37" ht="21" x14ac:dyDescent="0.35">
      <c r="B289" s="77"/>
      <c r="C289" s="77"/>
      <c r="D289" s="77"/>
      <c r="E289" s="77"/>
      <c r="F289" s="77"/>
      <c r="G289" s="77"/>
      <c r="H289" s="77"/>
      <c r="I289" s="78"/>
      <c r="J289" s="77"/>
      <c r="K289" s="77"/>
      <c r="L289" s="77"/>
      <c r="M289" s="78"/>
      <c r="N289" s="77"/>
      <c r="O289" s="77"/>
      <c r="P289" s="77"/>
      <c r="Q289" s="78"/>
      <c r="R289" s="77"/>
      <c r="S289" s="77"/>
      <c r="T289" s="77"/>
      <c r="U289" s="78"/>
      <c r="V289" s="77"/>
      <c r="W289" s="77"/>
      <c r="X289" s="77"/>
      <c r="Y289" s="78"/>
      <c r="Z289" s="77"/>
      <c r="AA289" s="77"/>
      <c r="AB289" s="77"/>
      <c r="AC289" s="77"/>
      <c r="AD289" s="79" t="str">
        <f t="shared" si="8"/>
        <v/>
      </c>
      <c r="AE289" s="80" t="str">
        <f t="shared" si="9"/>
        <v/>
      </c>
      <c r="AF289" s="81"/>
      <c r="AG289" s="77"/>
      <c r="AH289" s="81"/>
      <c r="AI289" s="77"/>
      <c r="AJ289" s="82" t="str">
        <f t="shared" si="10"/>
        <v/>
      </c>
      <c r="AK289" s="83" t="str">
        <f t="shared" si="11"/>
        <v/>
      </c>
    </row>
    <row r="290" spans="2:37" ht="21" x14ac:dyDescent="0.35">
      <c r="B290" s="77"/>
      <c r="C290" s="77"/>
      <c r="D290" s="77"/>
      <c r="E290" s="77"/>
      <c r="F290" s="77"/>
      <c r="G290" s="77"/>
      <c r="H290" s="77"/>
      <c r="I290" s="78"/>
      <c r="J290" s="77"/>
      <c r="K290" s="77"/>
      <c r="L290" s="77"/>
      <c r="M290" s="78"/>
      <c r="N290" s="77"/>
      <c r="O290" s="77"/>
      <c r="P290" s="77"/>
      <c r="Q290" s="78"/>
      <c r="R290" s="77"/>
      <c r="S290" s="77"/>
      <c r="T290" s="77"/>
      <c r="U290" s="78"/>
      <c r="V290" s="77"/>
      <c r="W290" s="77"/>
      <c r="X290" s="77"/>
      <c r="Y290" s="78"/>
      <c r="Z290" s="77"/>
      <c r="AA290" s="77"/>
      <c r="AB290" s="77"/>
      <c r="AC290" s="77"/>
      <c r="AD290" s="79" t="str">
        <f t="shared" si="8"/>
        <v/>
      </c>
      <c r="AE290" s="80" t="str">
        <f t="shared" si="9"/>
        <v/>
      </c>
      <c r="AF290" s="81"/>
      <c r="AG290" s="77"/>
      <c r="AH290" s="81"/>
      <c r="AI290" s="77"/>
      <c r="AJ290" s="82" t="str">
        <f t="shared" si="10"/>
        <v/>
      </c>
      <c r="AK290" s="83" t="str">
        <f t="shared" si="11"/>
        <v/>
      </c>
    </row>
    <row r="291" spans="2:37" ht="21" x14ac:dyDescent="0.35">
      <c r="B291" s="77"/>
      <c r="C291" s="77"/>
      <c r="D291" s="77"/>
      <c r="E291" s="77"/>
      <c r="F291" s="77"/>
      <c r="G291" s="77"/>
      <c r="H291" s="77"/>
      <c r="I291" s="78"/>
      <c r="J291" s="77"/>
      <c r="K291" s="77"/>
      <c r="L291" s="77"/>
      <c r="M291" s="78"/>
      <c r="N291" s="77"/>
      <c r="O291" s="77"/>
      <c r="P291" s="77"/>
      <c r="Q291" s="78"/>
      <c r="R291" s="77"/>
      <c r="S291" s="77"/>
      <c r="T291" s="77"/>
      <c r="U291" s="78"/>
      <c r="V291" s="77"/>
      <c r="W291" s="77"/>
      <c r="X291" s="77"/>
      <c r="Y291" s="78"/>
      <c r="Z291" s="77"/>
      <c r="AA291" s="77"/>
      <c r="AB291" s="77"/>
      <c r="AC291" s="77"/>
      <c r="AD291" s="79" t="str">
        <f t="shared" si="8"/>
        <v/>
      </c>
      <c r="AE291" s="80" t="str">
        <f t="shared" si="9"/>
        <v/>
      </c>
      <c r="AF291" s="81"/>
      <c r="AG291" s="77"/>
      <c r="AH291" s="81"/>
      <c r="AI291" s="77"/>
      <c r="AJ291" s="82" t="str">
        <f t="shared" si="10"/>
        <v/>
      </c>
      <c r="AK291" s="83" t="str">
        <f t="shared" si="11"/>
        <v/>
      </c>
    </row>
    <row r="292" spans="2:37" ht="21" x14ac:dyDescent="0.35">
      <c r="B292" s="77"/>
      <c r="C292" s="77"/>
      <c r="D292" s="77"/>
      <c r="E292" s="77"/>
      <c r="F292" s="77"/>
      <c r="G292" s="77"/>
      <c r="H292" s="77"/>
      <c r="I292" s="78"/>
      <c r="J292" s="77"/>
      <c r="K292" s="77"/>
      <c r="L292" s="77"/>
      <c r="M292" s="78"/>
      <c r="N292" s="77"/>
      <c r="O292" s="77"/>
      <c r="P292" s="77"/>
      <c r="Q292" s="78"/>
      <c r="R292" s="77"/>
      <c r="S292" s="77"/>
      <c r="T292" s="77"/>
      <c r="U292" s="78"/>
      <c r="V292" s="77"/>
      <c r="W292" s="77"/>
      <c r="X292" s="77"/>
      <c r="Y292" s="78"/>
      <c r="Z292" s="77"/>
      <c r="AA292" s="77"/>
      <c r="AB292" s="77"/>
      <c r="AC292" s="77"/>
      <c r="AD292" s="79" t="str">
        <f t="shared" si="8"/>
        <v/>
      </c>
      <c r="AE292" s="80" t="str">
        <f t="shared" si="9"/>
        <v/>
      </c>
      <c r="AF292" s="81"/>
      <c r="AG292" s="77"/>
      <c r="AH292" s="81"/>
      <c r="AI292" s="77"/>
      <c r="AJ292" s="82" t="str">
        <f t="shared" si="10"/>
        <v/>
      </c>
      <c r="AK292" s="83" t="str">
        <f t="shared" si="11"/>
        <v/>
      </c>
    </row>
    <row r="293" spans="2:37" ht="21" x14ac:dyDescent="0.35">
      <c r="B293" s="77"/>
      <c r="C293" s="77"/>
      <c r="D293" s="77"/>
      <c r="E293" s="77"/>
      <c r="F293" s="77"/>
      <c r="G293" s="77"/>
      <c r="H293" s="77"/>
      <c r="I293" s="78"/>
      <c r="J293" s="77"/>
      <c r="K293" s="77"/>
      <c r="L293" s="77"/>
      <c r="M293" s="78"/>
      <c r="N293" s="77"/>
      <c r="O293" s="77"/>
      <c r="P293" s="77"/>
      <c r="Q293" s="78"/>
      <c r="R293" s="77"/>
      <c r="S293" s="77"/>
      <c r="T293" s="77"/>
      <c r="U293" s="78"/>
      <c r="V293" s="77"/>
      <c r="W293" s="77"/>
      <c r="X293" s="77"/>
      <c r="Y293" s="78"/>
      <c r="Z293" s="77"/>
      <c r="AA293" s="77"/>
      <c r="AB293" s="77"/>
      <c r="AC293" s="77"/>
      <c r="AD293" s="79" t="str">
        <f t="shared" si="8"/>
        <v/>
      </c>
      <c r="AE293" s="80" t="str">
        <f t="shared" si="9"/>
        <v/>
      </c>
      <c r="AF293" s="81"/>
      <c r="AG293" s="77"/>
      <c r="AH293" s="81"/>
      <c r="AI293" s="77"/>
      <c r="AJ293" s="82" t="str">
        <f t="shared" si="10"/>
        <v/>
      </c>
      <c r="AK293" s="83" t="str">
        <f t="shared" si="11"/>
        <v/>
      </c>
    </row>
    <row r="294" spans="2:37" ht="21" x14ac:dyDescent="0.35">
      <c r="B294" s="77"/>
      <c r="C294" s="77"/>
      <c r="D294" s="77"/>
      <c r="E294" s="77"/>
      <c r="F294" s="77"/>
      <c r="G294" s="77"/>
      <c r="H294" s="77"/>
      <c r="I294" s="78"/>
      <c r="J294" s="77"/>
      <c r="K294" s="77"/>
      <c r="L294" s="77"/>
      <c r="M294" s="78"/>
      <c r="N294" s="77"/>
      <c r="O294" s="77"/>
      <c r="P294" s="77"/>
      <c r="Q294" s="78"/>
      <c r="R294" s="77"/>
      <c r="S294" s="77"/>
      <c r="T294" s="77"/>
      <c r="U294" s="78"/>
      <c r="V294" s="77"/>
      <c r="W294" s="77"/>
      <c r="X294" s="77"/>
      <c r="Y294" s="78"/>
      <c r="Z294" s="77"/>
      <c r="AA294" s="77"/>
      <c r="AB294" s="77"/>
      <c r="AC294" s="77"/>
      <c r="AD294" s="79" t="str">
        <f t="shared" si="8"/>
        <v/>
      </c>
      <c r="AE294" s="80" t="str">
        <f t="shared" si="9"/>
        <v/>
      </c>
      <c r="AF294" s="81"/>
      <c r="AG294" s="77"/>
      <c r="AH294" s="81"/>
      <c r="AI294" s="77"/>
      <c r="AJ294" s="82" t="str">
        <f t="shared" si="10"/>
        <v/>
      </c>
      <c r="AK294" s="83" t="str">
        <f t="shared" si="11"/>
        <v/>
      </c>
    </row>
    <row r="295" spans="2:37" ht="21" x14ac:dyDescent="0.35">
      <c r="B295" s="77"/>
      <c r="C295" s="77"/>
      <c r="D295" s="77"/>
      <c r="E295" s="77"/>
      <c r="F295" s="77"/>
      <c r="G295" s="77"/>
      <c r="H295" s="77"/>
      <c r="I295" s="78"/>
      <c r="J295" s="77"/>
      <c r="K295" s="77"/>
      <c r="L295" s="77"/>
      <c r="M295" s="78"/>
      <c r="N295" s="77"/>
      <c r="O295" s="77"/>
      <c r="P295" s="77"/>
      <c r="Q295" s="78"/>
      <c r="R295" s="77"/>
      <c r="S295" s="77"/>
      <c r="T295" s="77"/>
      <c r="U295" s="78"/>
      <c r="V295" s="77"/>
      <c r="W295" s="77"/>
      <c r="X295" s="77"/>
      <c r="Y295" s="78"/>
      <c r="Z295" s="77"/>
      <c r="AA295" s="77"/>
      <c r="AB295" s="77"/>
      <c r="AC295" s="77"/>
      <c r="AD295" s="79" t="str">
        <f t="shared" si="8"/>
        <v/>
      </c>
      <c r="AE295" s="80" t="str">
        <f t="shared" si="9"/>
        <v/>
      </c>
      <c r="AF295" s="81"/>
      <c r="AG295" s="77"/>
      <c r="AH295" s="81"/>
      <c r="AI295" s="77"/>
      <c r="AJ295" s="82" t="str">
        <f t="shared" si="10"/>
        <v/>
      </c>
      <c r="AK295" s="83" t="str">
        <f t="shared" si="11"/>
        <v/>
      </c>
    </row>
    <row r="296" spans="2:37" ht="21" x14ac:dyDescent="0.35">
      <c r="B296" s="77"/>
      <c r="C296" s="77"/>
      <c r="D296" s="77"/>
      <c r="E296" s="77"/>
      <c r="F296" s="77"/>
      <c r="G296" s="77"/>
      <c r="H296" s="77"/>
      <c r="I296" s="78"/>
      <c r="J296" s="77"/>
      <c r="K296" s="77"/>
      <c r="L296" s="77"/>
      <c r="M296" s="78"/>
      <c r="N296" s="77"/>
      <c r="O296" s="77"/>
      <c r="P296" s="77"/>
      <c r="Q296" s="78"/>
      <c r="R296" s="77"/>
      <c r="S296" s="77"/>
      <c r="T296" s="77"/>
      <c r="U296" s="78"/>
      <c r="V296" s="77"/>
      <c r="W296" s="77"/>
      <c r="X296" s="77"/>
      <c r="Y296" s="78"/>
      <c r="Z296" s="77"/>
      <c r="AA296" s="77"/>
      <c r="AB296" s="77"/>
      <c r="AC296" s="77"/>
      <c r="AD296" s="79" t="str">
        <f t="shared" si="8"/>
        <v/>
      </c>
      <c r="AE296" s="80" t="str">
        <f t="shared" si="9"/>
        <v/>
      </c>
      <c r="AF296" s="81"/>
      <c r="AG296" s="77"/>
      <c r="AH296" s="81"/>
      <c r="AI296" s="77"/>
      <c r="AJ296" s="82" t="str">
        <f t="shared" si="10"/>
        <v/>
      </c>
      <c r="AK296" s="83" t="str">
        <f t="shared" si="11"/>
        <v/>
      </c>
    </row>
    <row r="297" spans="2:37" ht="21" x14ac:dyDescent="0.35">
      <c r="B297" s="77"/>
      <c r="C297" s="77"/>
      <c r="D297" s="77"/>
      <c r="E297" s="77"/>
      <c r="F297" s="77"/>
      <c r="G297" s="77"/>
      <c r="H297" s="77"/>
      <c r="I297" s="78"/>
      <c r="J297" s="77"/>
      <c r="K297" s="77"/>
      <c r="L297" s="77"/>
      <c r="M297" s="78"/>
      <c r="N297" s="77"/>
      <c r="O297" s="77"/>
      <c r="P297" s="77"/>
      <c r="Q297" s="78"/>
      <c r="R297" s="77"/>
      <c r="S297" s="77"/>
      <c r="T297" s="77"/>
      <c r="U297" s="78"/>
      <c r="V297" s="77"/>
      <c r="W297" s="77"/>
      <c r="X297" s="77"/>
      <c r="Y297" s="78"/>
      <c r="Z297" s="77"/>
      <c r="AA297" s="77"/>
      <c r="AB297" s="77"/>
      <c r="AC297" s="77"/>
      <c r="AD297" s="79" t="str">
        <f t="shared" si="8"/>
        <v/>
      </c>
      <c r="AE297" s="80" t="str">
        <f t="shared" si="9"/>
        <v/>
      </c>
      <c r="AF297" s="81"/>
      <c r="AG297" s="77"/>
      <c r="AH297" s="81"/>
      <c r="AI297" s="77"/>
      <c r="AJ297" s="82" t="str">
        <f t="shared" si="10"/>
        <v/>
      </c>
      <c r="AK297" s="83" t="str">
        <f t="shared" si="11"/>
        <v/>
      </c>
    </row>
    <row r="298" spans="2:37" ht="21" x14ac:dyDescent="0.35">
      <c r="B298" s="77"/>
      <c r="C298" s="77"/>
      <c r="D298" s="77"/>
      <c r="E298" s="77"/>
      <c r="F298" s="77"/>
      <c r="G298" s="77"/>
      <c r="H298" s="77"/>
      <c r="I298" s="78"/>
      <c r="J298" s="77"/>
      <c r="K298" s="77"/>
      <c r="L298" s="77"/>
      <c r="M298" s="78"/>
      <c r="N298" s="77"/>
      <c r="O298" s="77"/>
      <c r="P298" s="77"/>
      <c r="Q298" s="78"/>
      <c r="R298" s="77"/>
      <c r="S298" s="77"/>
      <c r="T298" s="77"/>
      <c r="U298" s="78"/>
      <c r="V298" s="77"/>
      <c r="W298" s="77"/>
      <c r="X298" s="77"/>
      <c r="Y298" s="78"/>
      <c r="Z298" s="77"/>
      <c r="AA298" s="77"/>
      <c r="AB298" s="77"/>
      <c r="AC298" s="77"/>
      <c r="AD298" s="79" t="str">
        <f t="shared" si="8"/>
        <v/>
      </c>
      <c r="AE298" s="80" t="str">
        <f t="shared" si="9"/>
        <v/>
      </c>
      <c r="AF298" s="81"/>
      <c r="AG298" s="77"/>
      <c r="AH298" s="81"/>
      <c r="AI298" s="77"/>
      <c r="AJ298" s="82" t="str">
        <f t="shared" si="10"/>
        <v/>
      </c>
      <c r="AK298" s="83" t="str">
        <f t="shared" si="11"/>
        <v/>
      </c>
    </row>
    <row r="299" spans="2:37" ht="21" x14ac:dyDescent="0.35">
      <c r="B299" s="77"/>
      <c r="C299" s="77"/>
      <c r="D299" s="77"/>
      <c r="E299" s="77"/>
      <c r="F299" s="77"/>
      <c r="G299" s="77"/>
      <c r="H299" s="77"/>
      <c r="I299" s="78"/>
      <c r="J299" s="77"/>
      <c r="K299" s="77"/>
      <c r="L299" s="77"/>
      <c r="M299" s="78"/>
      <c r="N299" s="77"/>
      <c r="O299" s="77"/>
      <c r="P299" s="77"/>
      <c r="Q299" s="78"/>
      <c r="R299" s="77"/>
      <c r="S299" s="77"/>
      <c r="T299" s="77"/>
      <c r="U299" s="78"/>
      <c r="V299" s="77"/>
      <c r="W299" s="77"/>
      <c r="X299" s="77"/>
      <c r="Y299" s="78"/>
      <c r="Z299" s="77"/>
      <c r="AA299" s="77"/>
      <c r="AB299" s="77"/>
      <c r="AC299" s="77"/>
      <c r="AD299" s="79" t="str">
        <f t="shared" si="8"/>
        <v/>
      </c>
      <c r="AE299" s="80" t="str">
        <f t="shared" si="9"/>
        <v/>
      </c>
      <c r="AF299" s="81"/>
      <c r="AG299" s="77"/>
      <c r="AH299" s="81"/>
      <c r="AI299" s="77"/>
      <c r="AJ299" s="82" t="str">
        <f t="shared" si="10"/>
        <v/>
      </c>
      <c r="AK299" s="83" t="str">
        <f t="shared" si="11"/>
        <v/>
      </c>
    </row>
    <row r="300" spans="2:37" ht="21" x14ac:dyDescent="0.35">
      <c r="B300" s="77"/>
      <c r="C300" s="77"/>
      <c r="D300" s="77"/>
      <c r="E300" s="77"/>
      <c r="F300" s="77"/>
      <c r="G300" s="77"/>
      <c r="H300" s="77"/>
      <c r="I300" s="78"/>
      <c r="J300" s="77"/>
      <c r="K300" s="77"/>
      <c r="L300" s="77"/>
      <c r="M300" s="78"/>
      <c r="N300" s="77"/>
      <c r="O300" s="77"/>
      <c r="P300" s="77"/>
      <c r="Q300" s="78"/>
      <c r="R300" s="77"/>
      <c r="S300" s="77"/>
      <c r="T300" s="77"/>
      <c r="U300" s="78"/>
      <c r="V300" s="77"/>
      <c r="W300" s="77"/>
      <c r="X300" s="77"/>
      <c r="Y300" s="78"/>
      <c r="Z300" s="77"/>
      <c r="AA300" s="77"/>
      <c r="AB300" s="77"/>
      <c r="AC300" s="77"/>
      <c r="AD300" s="79" t="str">
        <f t="shared" si="8"/>
        <v/>
      </c>
      <c r="AE300" s="80" t="str">
        <f t="shared" si="9"/>
        <v/>
      </c>
      <c r="AF300" s="81"/>
      <c r="AG300" s="77"/>
      <c r="AH300" s="81"/>
      <c r="AI300" s="77"/>
      <c r="AJ300" s="82" t="str">
        <f t="shared" si="10"/>
        <v/>
      </c>
      <c r="AK300" s="83" t="str">
        <f t="shared" si="11"/>
        <v/>
      </c>
    </row>
    <row r="301" spans="2:37" ht="21" x14ac:dyDescent="0.35">
      <c r="B301" s="77"/>
      <c r="C301" s="77"/>
      <c r="D301" s="77"/>
      <c r="E301" s="77"/>
      <c r="F301" s="77"/>
      <c r="G301" s="77"/>
      <c r="H301" s="77"/>
      <c r="I301" s="78"/>
      <c r="J301" s="77"/>
      <c r="K301" s="77"/>
      <c r="L301" s="77"/>
      <c r="M301" s="78"/>
      <c r="N301" s="77"/>
      <c r="O301" s="77"/>
      <c r="P301" s="77"/>
      <c r="Q301" s="78"/>
      <c r="R301" s="77"/>
      <c r="S301" s="77"/>
      <c r="T301" s="77"/>
      <c r="U301" s="78"/>
      <c r="V301" s="77"/>
      <c r="W301" s="77"/>
      <c r="X301" s="77"/>
      <c r="Y301" s="78"/>
      <c r="Z301" s="77"/>
      <c r="AA301" s="77"/>
      <c r="AB301" s="77"/>
      <c r="AC301" s="77"/>
      <c r="AD301" s="79" t="str">
        <f t="shared" si="8"/>
        <v/>
      </c>
      <c r="AE301" s="80" t="str">
        <f t="shared" si="9"/>
        <v/>
      </c>
      <c r="AF301" s="81"/>
      <c r="AG301" s="77"/>
      <c r="AH301" s="81"/>
      <c r="AI301" s="77"/>
      <c r="AJ301" s="82" t="str">
        <f t="shared" si="10"/>
        <v/>
      </c>
      <c r="AK301" s="83" t="str">
        <f t="shared" si="11"/>
        <v/>
      </c>
    </row>
    <row r="302" spans="2:37" ht="21" x14ac:dyDescent="0.35">
      <c r="B302" s="77"/>
      <c r="C302" s="77"/>
      <c r="D302" s="77"/>
      <c r="E302" s="77"/>
      <c r="F302" s="77"/>
      <c r="G302" s="77"/>
      <c r="H302" s="77"/>
      <c r="I302" s="78"/>
      <c r="J302" s="77"/>
      <c r="K302" s="77"/>
      <c r="L302" s="77"/>
      <c r="M302" s="78"/>
      <c r="N302" s="77"/>
      <c r="O302" s="77"/>
      <c r="P302" s="77"/>
      <c r="Q302" s="78"/>
      <c r="R302" s="77"/>
      <c r="S302" s="77"/>
      <c r="T302" s="77"/>
      <c r="U302" s="78"/>
      <c r="V302" s="77"/>
      <c r="W302" s="77"/>
      <c r="X302" s="77"/>
      <c r="Y302" s="78"/>
      <c r="Z302" s="77"/>
      <c r="AA302" s="77"/>
      <c r="AB302" s="77"/>
      <c r="AC302" s="77"/>
      <c r="AD302" s="79" t="str">
        <f t="shared" si="8"/>
        <v/>
      </c>
      <c r="AE302" s="80" t="str">
        <f t="shared" si="9"/>
        <v/>
      </c>
      <c r="AF302" s="81"/>
      <c r="AG302" s="77"/>
      <c r="AH302" s="81"/>
      <c r="AI302" s="77"/>
      <c r="AJ302" s="82" t="str">
        <f t="shared" si="10"/>
        <v/>
      </c>
      <c r="AK302" s="83" t="str">
        <f t="shared" si="11"/>
        <v/>
      </c>
    </row>
    <row r="303" spans="2:37" ht="21" x14ac:dyDescent="0.35">
      <c r="B303" s="77"/>
      <c r="C303" s="77"/>
      <c r="D303" s="77"/>
      <c r="E303" s="77"/>
      <c r="F303" s="77"/>
      <c r="G303" s="77"/>
      <c r="H303" s="77"/>
      <c r="I303" s="78"/>
      <c r="J303" s="77"/>
      <c r="K303" s="77"/>
      <c r="L303" s="77"/>
      <c r="M303" s="78"/>
      <c r="N303" s="77"/>
      <c r="O303" s="77"/>
      <c r="P303" s="77"/>
      <c r="Q303" s="78"/>
      <c r="R303" s="77"/>
      <c r="S303" s="77"/>
      <c r="T303" s="77"/>
      <c r="U303" s="78"/>
      <c r="V303" s="77"/>
      <c r="W303" s="77"/>
      <c r="X303" s="77"/>
      <c r="Y303" s="78"/>
      <c r="Z303" s="77"/>
      <c r="AA303" s="77"/>
      <c r="AB303" s="77"/>
      <c r="AC303" s="77"/>
      <c r="AD303" s="79" t="str">
        <f t="shared" si="8"/>
        <v/>
      </c>
      <c r="AE303" s="80" t="str">
        <f t="shared" si="9"/>
        <v/>
      </c>
      <c r="AF303" s="81"/>
      <c r="AG303" s="77"/>
      <c r="AH303" s="81"/>
      <c r="AI303" s="77"/>
      <c r="AJ303" s="82" t="str">
        <f t="shared" si="10"/>
        <v/>
      </c>
      <c r="AK303" s="83" t="str">
        <f t="shared" si="11"/>
        <v/>
      </c>
    </row>
    <row r="304" spans="2:37" ht="21" x14ac:dyDescent="0.35">
      <c r="B304" s="77"/>
      <c r="C304" s="77"/>
      <c r="D304" s="77"/>
      <c r="E304" s="77"/>
      <c r="F304" s="77"/>
      <c r="G304" s="77"/>
      <c r="H304" s="77"/>
      <c r="I304" s="78"/>
      <c r="J304" s="77"/>
      <c r="K304" s="77"/>
      <c r="L304" s="77"/>
      <c r="M304" s="78"/>
      <c r="N304" s="77"/>
      <c r="O304" s="77"/>
      <c r="P304" s="77"/>
      <c r="Q304" s="78"/>
      <c r="R304" s="77"/>
      <c r="S304" s="77"/>
      <c r="T304" s="77"/>
      <c r="U304" s="78"/>
      <c r="V304" s="77"/>
      <c r="W304" s="77"/>
      <c r="X304" s="77"/>
      <c r="Y304" s="78"/>
      <c r="Z304" s="77"/>
      <c r="AA304" s="77"/>
      <c r="AB304" s="77"/>
      <c r="AC304" s="77"/>
      <c r="AD304" s="79" t="str">
        <f t="shared" si="8"/>
        <v/>
      </c>
      <c r="AE304" s="80" t="str">
        <f t="shared" si="9"/>
        <v/>
      </c>
      <c r="AF304" s="81"/>
      <c r="AG304" s="77"/>
      <c r="AH304" s="81"/>
      <c r="AI304" s="77"/>
      <c r="AJ304" s="82" t="str">
        <f t="shared" si="10"/>
        <v/>
      </c>
      <c r="AK304" s="83" t="str">
        <f t="shared" si="11"/>
        <v/>
      </c>
    </row>
    <row r="305" spans="2:37" ht="21" x14ac:dyDescent="0.35">
      <c r="B305" s="77"/>
      <c r="C305" s="77"/>
      <c r="D305" s="77"/>
      <c r="E305" s="77"/>
      <c r="F305" s="77"/>
      <c r="G305" s="77"/>
      <c r="H305" s="77"/>
      <c r="I305" s="78"/>
      <c r="J305" s="77"/>
      <c r="K305" s="77"/>
      <c r="L305" s="77"/>
      <c r="M305" s="78"/>
      <c r="N305" s="77"/>
      <c r="O305" s="77"/>
      <c r="P305" s="77"/>
      <c r="Q305" s="78"/>
      <c r="R305" s="77"/>
      <c r="S305" s="77"/>
      <c r="T305" s="77"/>
      <c r="U305" s="78"/>
      <c r="V305" s="77"/>
      <c r="W305" s="77"/>
      <c r="X305" s="77"/>
      <c r="Y305" s="78"/>
      <c r="Z305" s="77"/>
      <c r="AA305" s="77"/>
      <c r="AB305" s="77"/>
      <c r="AC305" s="77"/>
      <c r="AD305" s="79" t="str">
        <f t="shared" si="8"/>
        <v/>
      </c>
      <c r="AE305" s="80" t="str">
        <f t="shared" si="9"/>
        <v/>
      </c>
      <c r="AF305" s="81"/>
      <c r="AG305" s="77"/>
      <c r="AH305" s="81"/>
      <c r="AI305" s="77"/>
      <c r="AJ305" s="82" t="str">
        <f t="shared" si="10"/>
        <v/>
      </c>
      <c r="AK305" s="83" t="str">
        <f t="shared" si="11"/>
        <v/>
      </c>
    </row>
    <row r="306" spans="2:37" ht="21" x14ac:dyDescent="0.35">
      <c r="B306" s="77"/>
      <c r="C306" s="77"/>
      <c r="D306" s="77"/>
      <c r="E306" s="77"/>
      <c r="F306" s="77"/>
      <c r="G306" s="77"/>
      <c r="H306" s="77"/>
      <c r="I306" s="78"/>
      <c r="J306" s="77"/>
      <c r="K306" s="77"/>
      <c r="L306" s="77"/>
      <c r="M306" s="78"/>
      <c r="N306" s="77"/>
      <c r="O306" s="77"/>
      <c r="P306" s="77"/>
      <c r="Q306" s="78"/>
      <c r="R306" s="77"/>
      <c r="S306" s="77"/>
      <c r="T306" s="77"/>
      <c r="U306" s="78"/>
      <c r="V306" s="77"/>
      <c r="W306" s="77"/>
      <c r="X306" s="77"/>
      <c r="Y306" s="78"/>
      <c r="Z306" s="77"/>
      <c r="AA306" s="77"/>
      <c r="AB306" s="77"/>
      <c r="AC306" s="77"/>
      <c r="AD306" s="79" t="str">
        <f t="shared" si="8"/>
        <v/>
      </c>
      <c r="AE306" s="80" t="str">
        <f t="shared" si="9"/>
        <v/>
      </c>
      <c r="AF306" s="81"/>
      <c r="AG306" s="77"/>
      <c r="AH306" s="81"/>
      <c r="AI306" s="77"/>
      <c r="AJ306" s="82" t="str">
        <f t="shared" si="10"/>
        <v/>
      </c>
      <c r="AK306" s="83" t="str">
        <f t="shared" si="11"/>
        <v/>
      </c>
    </row>
    <row r="307" spans="2:37" ht="21" x14ac:dyDescent="0.35">
      <c r="B307" s="77"/>
      <c r="C307" s="77"/>
      <c r="D307" s="77"/>
      <c r="E307" s="77"/>
      <c r="F307" s="77"/>
      <c r="G307" s="77"/>
      <c r="H307" s="77"/>
      <c r="I307" s="78"/>
      <c r="J307" s="77"/>
      <c r="K307" s="77"/>
      <c r="L307" s="77"/>
      <c r="M307" s="78"/>
      <c r="N307" s="77"/>
      <c r="O307" s="77"/>
      <c r="P307" s="77"/>
      <c r="Q307" s="78"/>
      <c r="R307" s="77"/>
      <c r="S307" s="77"/>
      <c r="T307" s="77"/>
      <c r="U307" s="78"/>
      <c r="V307" s="77"/>
      <c r="W307" s="77"/>
      <c r="X307" s="77"/>
      <c r="Y307" s="78"/>
      <c r="Z307" s="77"/>
      <c r="AA307" s="77"/>
      <c r="AB307" s="77"/>
      <c r="AC307" s="77"/>
      <c r="AD307" s="79" t="str">
        <f t="shared" si="8"/>
        <v/>
      </c>
      <c r="AE307" s="80" t="str">
        <f t="shared" si="9"/>
        <v/>
      </c>
      <c r="AF307" s="81"/>
      <c r="AG307" s="77"/>
      <c r="AH307" s="81"/>
      <c r="AI307" s="77"/>
      <c r="AJ307" s="82" t="str">
        <f t="shared" si="10"/>
        <v/>
      </c>
      <c r="AK307" s="83" t="str">
        <f t="shared" si="11"/>
        <v/>
      </c>
    </row>
    <row r="308" spans="2:37" ht="21" x14ac:dyDescent="0.35">
      <c r="B308" s="77"/>
      <c r="C308" s="77"/>
      <c r="D308" s="77"/>
      <c r="E308" s="77"/>
      <c r="F308" s="77"/>
      <c r="G308" s="77"/>
      <c r="H308" s="77"/>
      <c r="I308" s="78"/>
      <c r="J308" s="77"/>
      <c r="K308" s="77"/>
      <c r="L308" s="77"/>
      <c r="M308" s="78"/>
      <c r="N308" s="77"/>
      <c r="O308" s="77"/>
      <c r="P308" s="77"/>
      <c r="Q308" s="78"/>
      <c r="R308" s="77"/>
      <c r="S308" s="77"/>
      <c r="T308" s="77"/>
      <c r="U308" s="78"/>
      <c r="V308" s="77"/>
      <c r="W308" s="77"/>
      <c r="X308" s="77"/>
      <c r="Y308" s="78"/>
      <c r="Z308" s="77"/>
      <c r="AA308" s="77"/>
      <c r="AB308" s="77"/>
      <c r="AC308" s="77"/>
      <c r="AD308" s="79" t="str">
        <f t="shared" si="8"/>
        <v/>
      </c>
      <c r="AE308" s="80" t="str">
        <f t="shared" si="9"/>
        <v/>
      </c>
      <c r="AF308" s="81"/>
      <c r="AG308" s="77"/>
      <c r="AH308" s="81"/>
      <c r="AI308" s="77"/>
      <c r="AJ308" s="82" t="str">
        <f t="shared" si="10"/>
        <v/>
      </c>
      <c r="AK308" s="83" t="str">
        <f t="shared" si="11"/>
        <v/>
      </c>
    </row>
    <row r="309" spans="2:37" ht="21" x14ac:dyDescent="0.35">
      <c r="B309" s="77"/>
      <c r="C309" s="77"/>
      <c r="D309" s="77"/>
      <c r="E309" s="77"/>
      <c r="F309" s="77"/>
      <c r="G309" s="77"/>
      <c r="H309" s="77"/>
      <c r="I309" s="78"/>
      <c r="J309" s="77"/>
      <c r="K309" s="77"/>
      <c r="L309" s="77"/>
      <c r="M309" s="78"/>
      <c r="N309" s="77"/>
      <c r="O309" s="77"/>
      <c r="P309" s="77"/>
      <c r="Q309" s="78"/>
      <c r="R309" s="77"/>
      <c r="S309" s="77"/>
      <c r="T309" s="77"/>
      <c r="U309" s="78"/>
      <c r="V309" s="77"/>
      <c r="W309" s="77"/>
      <c r="X309" s="77"/>
      <c r="Y309" s="78"/>
      <c r="Z309" s="77"/>
      <c r="AA309" s="77"/>
      <c r="AB309" s="77"/>
      <c r="AC309" s="77"/>
      <c r="AD309" s="79" t="str">
        <f t="shared" si="8"/>
        <v/>
      </c>
      <c r="AE309" s="80" t="str">
        <f t="shared" si="9"/>
        <v/>
      </c>
      <c r="AF309" s="81"/>
      <c r="AG309" s="77"/>
      <c r="AH309" s="81"/>
      <c r="AI309" s="77"/>
      <c r="AJ309" s="82" t="str">
        <f t="shared" si="10"/>
        <v/>
      </c>
      <c r="AK309" s="83" t="str">
        <f t="shared" si="11"/>
        <v/>
      </c>
    </row>
    <row r="310" spans="2:37" ht="21" x14ac:dyDescent="0.35">
      <c r="B310" s="77"/>
      <c r="C310" s="77"/>
      <c r="D310" s="77"/>
      <c r="E310" s="77"/>
      <c r="F310" s="77"/>
      <c r="G310" s="77"/>
      <c r="H310" s="77"/>
      <c r="I310" s="78"/>
      <c r="J310" s="77"/>
      <c r="K310" s="77"/>
      <c r="L310" s="77"/>
      <c r="M310" s="78"/>
      <c r="N310" s="77"/>
      <c r="O310" s="77"/>
      <c r="P310" s="77"/>
      <c r="Q310" s="78"/>
      <c r="R310" s="77"/>
      <c r="S310" s="77"/>
      <c r="T310" s="77"/>
      <c r="U310" s="78"/>
      <c r="V310" s="77"/>
      <c r="W310" s="77"/>
      <c r="X310" s="77"/>
      <c r="Y310" s="78"/>
      <c r="Z310" s="77"/>
      <c r="AA310" s="77"/>
      <c r="AB310" s="77"/>
      <c r="AC310" s="77"/>
      <c r="AD310" s="79" t="str">
        <f t="shared" si="8"/>
        <v/>
      </c>
      <c r="AE310" s="80" t="str">
        <f t="shared" si="9"/>
        <v/>
      </c>
      <c r="AF310" s="81"/>
      <c r="AG310" s="77"/>
      <c r="AH310" s="81"/>
      <c r="AI310" s="77"/>
      <c r="AJ310" s="82" t="str">
        <f t="shared" si="10"/>
        <v/>
      </c>
      <c r="AK310" s="83" t="str">
        <f t="shared" si="11"/>
        <v/>
      </c>
    </row>
    <row r="311" spans="2:37" ht="21" x14ac:dyDescent="0.35">
      <c r="B311" s="77"/>
      <c r="C311" s="77"/>
      <c r="D311" s="77"/>
      <c r="E311" s="77"/>
      <c r="F311" s="77"/>
      <c r="G311" s="77"/>
      <c r="H311" s="77"/>
      <c r="I311" s="78"/>
      <c r="J311" s="77"/>
      <c r="K311" s="77"/>
      <c r="L311" s="77"/>
      <c r="M311" s="78"/>
      <c r="N311" s="77"/>
      <c r="O311" s="77"/>
      <c r="P311" s="77"/>
      <c r="Q311" s="78"/>
      <c r="R311" s="77"/>
      <c r="S311" s="77"/>
      <c r="T311" s="77"/>
      <c r="U311" s="78"/>
      <c r="V311" s="77"/>
      <c r="W311" s="77"/>
      <c r="X311" s="77"/>
      <c r="Y311" s="78"/>
      <c r="Z311" s="77"/>
      <c r="AA311" s="77"/>
      <c r="AB311" s="77"/>
      <c r="AC311" s="77"/>
      <c r="AD311" s="79" t="str">
        <f t="shared" si="8"/>
        <v/>
      </c>
      <c r="AE311" s="80" t="str">
        <f t="shared" si="9"/>
        <v/>
      </c>
      <c r="AF311" s="81"/>
      <c r="AG311" s="77"/>
      <c r="AH311" s="81"/>
      <c r="AI311" s="77"/>
      <c r="AJ311" s="82" t="str">
        <f t="shared" si="10"/>
        <v/>
      </c>
      <c r="AK311" s="83" t="str">
        <f t="shared" si="11"/>
        <v/>
      </c>
    </row>
    <row r="312" spans="2:37" ht="21" x14ac:dyDescent="0.35">
      <c r="B312" s="77"/>
      <c r="C312" s="77"/>
      <c r="D312" s="77"/>
      <c r="E312" s="77"/>
      <c r="F312" s="77"/>
      <c r="G312" s="77"/>
      <c r="H312" s="77"/>
      <c r="I312" s="78"/>
      <c r="J312" s="77"/>
      <c r="K312" s="77"/>
      <c r="L312" s="77"/>
      <c r="M312" s="78"/>
      <c r="N312" s="77"/>
      <c r="O312" s="77"/>
      <c r="P312" s="77"/>
      <c r="Q312" s="78"/>
      <c r="R312" s="77"/>
      <c r="S312" s="77"/>
      <c r="T312" s="77"/>
      <c r="U312" s="78"/>
      <c r="V312" s="77"/>
      <c r="W312" s="77"/>
      <c r="X312" s="77"/>
      <c r="Y312" s="78"/>
      <c r="Z312" s="77"/>
      <c r="AA312" s="77"/>
      <c r="AB312" s="77"/>
      <c r="AC312" s="77"/>
      <c r="AD312" s="79" t="str">
        <f t="shared" si="8"/>
        <v/>
      </c>
      <c r="AE312" s="80" t="str">
        <f t="shared" si="9"/>
        <v/>
      </c>
      <c r="AF312" s="81"/>
      <c r="AG312" s="77"/>
      <c r="AH312" s="81"/>
      <c r="AI312" s="77"/>
      <c r="AJ312" s="82" t="str">
        <f t="shared" si="10"/>
        <v/>
      </c>
      <c r="AK312" s="83" t="str">
        <f t="shared" si="11"/>
        <v/>
      </c>
    </row>
    <row r="313" spans="2:37" ht="21" x14ac:dyDescent="0.35">
      <c r="B313" s="77"/>
      <c r="C313" s="77"/>
      <c r="D313" s="77"/>
      <c r="E313" s="77"/>
      <c r="F313" s="77"/>
      <c r="G313" s="77"/>
      <c r="H313" s="77"/>
      <c r="I313" s="78"/>
      <c r="J313" s="77"/>
      <c r="K313" s="77"/>
      <c r="L313" s="77"/>
      <c r="M313" s="78"/>
      <c r="N313" s="77"/>
      <c r="O313" s="77"/>
      <c r="P313" s="77"/>
      <c r="Q313" s="78"/>
      <c r="R313" s="77"/>
      <c r="S313" s="77"/>
      <c r="T313" s="77"/>
      <c r="U313" s="78"/>
      <c r="V313" s="77"/>
      <c r="W313" s="77"/>
      <c r="X313" s="77"/>
      <c r="Y313" s="78"/>
      <c r="Z313" s="77"/>
      <c r="AA313" s="77"/>
      <c r="AB313" s="77"/>
      <c r="AC313" s="77"/>
      <c r="AD313" s="79" t="str">
        <f t="shared" si="8"/>
        <v/>
      </c>
      <c r="AE313" s="80" t="str">
        <f t="shared" si="9"/>
        <v/>
      </c>
      <c r="AF313" s="81"/>
      <c r="AG313" s="77"/>
      <c r="AH313" s="81"/>
      <c r="AI313" s="77"/>
      <c r="AJ313" s="82" t="str">
        <f t="shared" si="10"/>
        <v/>
      </c>
      <c r="AK313" s="83" t="str">
        <f t="shared" si="11"/>
        <v/>
      </c>
    </row>
    <row r="314" spans="2:37" ht="21" x14ac:dyDescent="0.35">
      <c r="B314" s="77"/>
      <c r="C314" s="77"/>
      <c r="D314" s="77"/>
      <c r="E314" s="77"/>
      <c r="F314" s="77"/>
      <c r="G314" s="77"/>
      <c r="H314" s="77"/>
      <c r="I314" s="78"/>
      <c r="J314" s="77"/>
      <c r="K314" s="77"/>
      <c r="L314" s="77"/>
      <c r="M314" s="78"/>
      <c r="N314" s="77"/>
      <c r="O314" s="77"/>
      <c r="P314" s="77"/>
      <c r="Q314" s="78"/>
      <c r="R314" s="77"/>
      <c r="S314" s="77"/>
      <c r="T314" s="77"/>
      <c r="U314" s="78"/>
      <c r="V314" s="77"/>
      <c r="W314" s="77"/>
      <c r="X314" s="77"/>
      <c r="Y314" s="78"/>
      <c r="Z314" s="77"/>
      <c r="AA314" s="77"/>
      <c r="AB314" s="77"/>
      <c r="AC314" s="77"/>
      <c r="AD314" s="79" t="str">
        <f t="shared" si="8"/>
        <v/>
      </c>
      <c r="AE314" s="80" t="str">
        <f t="shared" si="9"/>
        <v/>
      </c>
      <c r="AF314" s="81"/>
      <c r="AG314" s="77"/>
      <c r="AH314" s="81"/>
      <c r="AI314" s="77"/>
      <c r="AJ314" s="82" t="str">
        <f t="shared" si="10"/>
        <v/>
      </c>
      <c r="AK314" s="83" t="str">
        <f t="shared" si="11"/>
        <v/>
      </c>
    </row>
    <row r="315" spans="2:37" ht="21" x14ac:dyDescent="0.35">
      <c r="B315" s="77"/>
      <c r="C315" s="77"/>
      <c r="D315" s="77"/>
      <c r="E315" s="77"/>
      <c r="F315" s="77"/>
      <c r="G315" s="77"/>
      <c r="H315" s="77"/>
      <c r="I315" s="78"/>
      <c r="J315" s="77"/>
      <c r="K315" s="77"/>
      <c r="L315" s="77"/>
      <c r="M315" s="78"/>
      <c r="N315" s="77"/>
      <c r="O315" s="77"/>
      <c r="P315" s="77"/>
      <c r="Q315" s="78"/>
      <c r="R315" s="77"/>
      <c r="S315" s="77"/>
      <c r="T315" s="77"/>
      <c r="U315" s="78"/>
      <c r="V315" s="77"/>
      <c r="W315" s="77"/>
      <c r="X315" s="77"/>
      <c r="Y315" s="78"/>
      <c r="Z315" s="77"/>
      <c r="AA315" s="77"/>
      <c r="AB315" s="77"/>
      <c r="AC315" s="77"/>
      <c r="AD315" s="79" t="str">
        <f t="shared" si="8"/>
        <v/>
      </c>
      <c r="AE315" s="80" t="str">
        <f t="shared" si="9"/>
        <v/>
      </c>
      <c r="AF315" s="81"/>
      <c r="AG315" s="77"/>
      <c r="AH315" s="81"/>
      <c r="AI315" s="77"/>
      <c r="AJ315" s="82" t="str">
        <f t="shared" si="10"/>
        <v/>
      </c>
      <c r="AK315" s="83" t="str">
        <f t="shared" si="11"/>
        <v/>
      </c>
    </row>
    <row r="316" spans="2:37" ht="21" x14ac:dyDescent="0.35">
      <c r="B316" s="77"/>
      <c r="C316" s="77"/>
      <c r="D316" s="77"/>
      <c r="E316" s="77"/>
      <c r="F316" s="77"/>
      <c r="G316" s="77"/>
      <c r="H316" s="77"/>
      <c r="I316" s="78"/>
      <c r="J316" s="77"/>
      <c r="K316" s="77"/>
      <c r="L316" s="77"/>
      <c r="M316" s="78"/>
      <c r="N316" s="77"/>
      <c r="O316" s="77"/>
      <c r="P316" s="77"/>
      <c r="Q316" s="78"/>
      <c r="R316" s="77"/>
      <c r="S316" s="77"/>
      <c r="T316" s="77"/>
      <c r="U316" s="78"/>
      <c r="V316" s="77"/>
      <c r="W316" s="77"/>
      <c r="X316" s="77"/>
      <c r="Y316" s="78"/>
      <c r="Z316" s="77"/>
      <c r="AA316" s="77"/>
      <c r="AB316" s="77"/>
      <c r="AC316" s="77"/>
      <c r="AD316" s="79" t="str">
        <f t="shared" si="8"/>
        <v/>
      </c>
      <c r="AE316" s="80" t="str">
        <f t="shared" si="9"/>
        <v/>
      </c>
      <c r="AF316" s="81"/>
      <c r="AG316" s="77"/>
      <c r="AH316" s="81"/>
      <c r="AI316" s="77"/>
      <c r="AJ316" s="82" t="str">
        <f t="shared" si="10"/>
        <v/>
      </c>
      <c r="AK316" s="83" t="str">
        <f t="shared" si="11"/>
        <v/>
      </c>
    </row>
    <row r="317" spans="2:37" ht="21" x14ac:dyDescent="0.35">
      <c r="B317" s="77"/>
      <c r="C317" s="77"/>
      <c r="D317" s="77"/>
      <c r="E317" s="77"/>
      <c r="F317" s="77"/>
      <c r="G317" s="77"/>
      <c r="H317" s="77"/>
      <c r="I317" s="78"/>
      <c r="J317" s="77"/>
      <c r="K317" s="77"/>
      <c r="L317" s="77"/>
      <c r="M317" s="78"/>
      <c r="N317" s="77"/>
      <c r="O317" s="77"/>
      <c r="P317" s="77"/>
      <c r="Q317" s="78"/>
      <c r="R317" s="77"/>
      <c r="S317" s="77"/>
      <c r="T317" s="77"/>
      <c r="U317" s="78"/>
      <c r="V317" s="77"/>
      <c r="W317" s="77"/>
      <c r="X317" s="77"/>
      <c r="Y317" s="78"/>
      <c r="Z317" s="77"/>
      <c r="AA317" s="77"/>
      <c r="AB317" s="77"/>
      <c r="AC317" s="77"/>
      <c r="AD317" s="79" t="str">
        <f t="shared" si="8"/>
        <v/>
      </c>
      <c r="AE317" s="80" t="str">
        <f t="shared" si="9"/>
        <v/>
      </c>
      <c r="AF317" s="81"/>
      <c r="AG317" s="77"/>
      <c r="AH317" s="81"/>
      <c r="AI317" s="77"/>
      <c r="AJ317" s="82" t="str">
        <f t="shared" si="10"/>
        <v/>
      </c>
      <c r="AK317" s="83" t="str">
        <f t="shared" si="11"/>
        <v/>
      </c>
    </row>
    <row r="318" spans="2:37" ht="21" x14ac:dyDescent="0.35">
      <c r="B318" s="77"/>
      <c r="C318" s="77"/>
      <c r="D318" s="77"/>
      <c r="E318" s="77"/>
      <c r="F318" s="77"/>
      <c r="G318" s="77"/>
      <c r="H318" s="77"/>
      <c r="I318" s="78"/>
      <c r="J318" s="77"/>
      <c r="K318" s="77"/>
      <c r="L318" s="77"/>
      <c r="M318" s="78"/>
      <c r="N318" s="77"/>
      <c r="O318" s="77"/>
      <c r="P318" s="77"/>
      <c r="Q318" s="78"/>
      <c r="R318" s="77"/>
      <c r="S318" s="77"/>
      <c r="T318" s="77"/>
      <c r="U318" s="78"/>
      <c r="V318" s="77"/>
      <c r="W318" s="77"/>
      <c r="X318" s="77"/>
      <c r="Y318" s="78"/>
      <c r="Z318" s="77"/>
      <c r="AA318" s="77"/>
      <c r="AB318" s="77"/>
      <c r="AC318" s="77"/>
      <c r="AD318" s="79" t="str">
        <f t="shared" si="8"/>
        <v/>
      </c>
      <c r="AE318" s="80" t="str">
        <f t="shared" si="9"/>
        <v/>
      </c>
      <c r="AF318" s="81"/>
      <c r="AG318" s="77"/>
      <c r="AH318" s="81"/>
      <c r="AI318" s="77"/>
      <c r="AJ318" s="82" t="str">
        <f t="shared" si="10"/>
        <v/>
      </c>
      <c r="AK318" s="83" t="str">
        <f t="shared" si="11"/>
        <v/>
      </c>
    </row>
    <row r="319" spans="2:37" ht="21" x14ac:dyDescent="0.35">
      <c r="B319" s="77"/>
      <c r="C319" s="77"/>
      <c r="D319" s="77"/>
      <c r="E319" s="77"/>
      <c r="F319" s="77"/>
      <c r="G319" s="77"/>
      <c r="H319" s="77"/>
      <c r="I319" s="78"/>
      <c r="J319" s="77"/>
      <c r="K319" s="77"/>
      <c r="L319" s="77"/>
      <c r="M319" s="78"/>
      <c r="N319" s="77"/>
      <c r="O319" s="77"/>
      <c r="P319" s="77"/>
      <c r="Q319" s="78"/>
      <c r="R319" s="77"/>
      <c r="S319" s="77"/>
      <c r="T319" s="77"/>
      <c r="U319" s="78"/>
      <c r="V319" s="77"/>
      <c r="W319" s="77"/>
      <c r="X319" s="77"/>
      <c r="Y319" s="78"/>
      <c r="Z319" s="77"/>
      <c r="AA319" s="77"/>
      <c r="AB319" s="77"/>
      <c r="AC319" s="77"/>
      <c r="AD319" s="79" t="str">
        <f t="shared" si="8"/>
        <v/>
      </c>
      <c r="AE319" s="80" t="str">
        <f t="shared" si="9"/>
        <v/>
      </c>
      <c r="AF319" s="81"/>
      <c r="AG319" s="77"/>
      <c r="AH319" s="81"/>
      <c r="AI319" s="77"/>
      <c r="AJ319" s="82" t="str">
        <f t="shared" si="10"/>
        <v/>
      </c>
      <c r="AK319" s="83" t="str">
        <f t="shared" si="11"/>
        <v/>
      </c>
    </row>
    <row r="320" spans="2:37" ht="21" x14ac:dyDescent="0.35">
      <c r="B320" s="77"/>
      <c r="C320" s="77"/>
      <c r="D320" s="77"/>
      <c r="E320" s="77"/>
      <c r="F320" s="77"/>
      <c r="G320" s="77"/>
      <c r="H320" s="77"/>
      <c r="I320" s="78"/>
      <c r="J320" s="77"/>
      <c r="K320" s="77"/>
      <c r="L320" s="77"/>
      <c r="M320" s="78"/>
      <c r="N320" s="77"/>
      <c r="O320" s="77"/>
      <c r="P320" s="77"/>
      <c r="Q320" s="78"/>
      <c r="R320" s="77"/>
      <c r="S320" s="77"/>
      <c r="T320" s="77"/>
      <c r="U320" s="78"/>
      <c r="V320" s="77"/>
      <c r="W320" s="77"/>
      <c r="X320" s="77"/>
      <c r="Y320" s="78"/>
      <c r="Z320" s="77"/>
      <c r="AA320" s="77"/>
      <c r="AB320" s="77"/>
      <c r="AC320" s="77"/>
      <c r="AD320" s="79" t="str">
        <f t="shared" si="8"/>
        <v/>
      </c>
      <c r="AE320" s="80" t="str">
        <f t="shared" si="9"/>
        <v/>
      </c>
      <c r="AF320" s="81"/>
      <c r="AG320" s="77"/>
      <c r="AH320" s="81"/>
      <c r="AI320" s="77"/>
      <c r="AJ320" s="82" t="str">
        <f t="shared" si="10"/>
        <v/>
      </c>
      <c r="AK320" s="83" t="str">
        <f t="shared" si="11"/>
        <v/>
      </c>
    </row>
    <row r="321" spans="2:37" ht="21" x14ac:dyDescent="0.35">
      <c r="B321" s="77"/>
      <c r="C321" s="77"/>
      <c r="D321" s="77"/>
      <c r="E321" s="77"/>
      <c r="F321" s="77"/>
      <c r="G321" s="77"/>
      <c r="H321" s="77"/>
      <c r="I321" s="78"/>
      <c r="J321" s="77"/>
      <c r="K321" s="77"/>
      <c r="L321" s="77"/>
      <c r="M321" s="78"/>
      <c r="N321" s="77"/>
      <c r="O321" s="77"/>
      <c r="P321" s="77"/>
      <c r="Q321" s="78"/>
      <c r="R321" s="77"/>
      <c r="S321" s="77"/>
      <c r="T321" s="77"/>
      <c r="U321" s="78"/>
      <c r="V321" s="77"/>
      <c r="W321" s="77"/>
      <c r="X321" s="77"/>
      <c r="Y321" s="78"/>
      <c r="Z321" s="77"/>
      <c r="AA321" s="77"/>
      <c r="AB321" s="77"/>
      <c r="AC321" s="77"/>
      <c r="AD321" s="79" t="str">
        <f t="shared" si="8"/>
        <v/>
      </c>
      <c r="AE321" s="80" t="str">
        <f t="shared" si="9"/>
        <v/>
      </c>
      <c r="AF321" s="81"/>
      <c r="AG321" s="77"/>
      <c r="AH321" s="81"/>
      <c r="AI321" s="77"/>
      <c r="AJ321" s="82" t="str">
        <f t="shared" si="10"/>
        <v/>
      </c>
      <c r="AK321" s="83" t="str">
        <f t="shared" si="11"/>
        <v/>
      </c>
    </row>
    <row r="322" spans="2:37" ht="21" x14ac:dyDescent="0.35">
      <c r="B322" s="77"/>
      <c r="C322" s="77"/>
      <c r="D322" s="77"/>
      <c r="E322" s="77"/>
      <c r="F322" s="77"/>
      <c r="G322" s="77"/>
      <c r="H322" s="77"/>
      <c r="I322" s="78"/>
      <c r="J322" s="77"/>
      <c r="K322" s="77"/>
      <c r="L322" s="77"/>
      <c r="M322" s="78"/>
      <c r="N322" s="77"/>
      <c r="O322" s="77"/>
      <c r="P322" s="77"/>
      <c r="Q322" s="78"/>
      <c r="R322" s="77"/>
      <c r="S322" s="77"/>
      <c r="T322" s="77"/>
      <c r="U322" s="78"/>
      <c r="V322" s="77"/>
      <c r="W322" s="77"/>
      <c r="X322" s="77"/>
      <c r="Y322" s="78"/>
      <c r="Z322" s="77"/>
      <c r="AA322" s="77"/>
      <c r="AB322" s="77"/>
      <c r="AC322" s="77"/>
      <c r="AD322" s="79" t="str">
        <f t="shared" si="8"/>
        <v/>
      </c>
      <c r="AE322" s="80" t="str">
        <f t="shared" si="9"/>
        <v/>
      </c>
      <c r="AF322" s="81"/>
      <c r="AG322" s="77"/>
      <c r="AH322" s="81"/>
      <c r="AI322" s="77"/>
      <c r="AJ322" s="82" t="str">
        <f t="shared" si="10"/>
        <v/>
      </c>
      <c r="AK322" s="83" t="str">
        <f t="shared" si="11"/>
        <v/>
      </c>
    </row>
    <row r="323" spans="2:37" ht="21" x14ac:dyDescent="0.35">
      <c r="B323" s="77"/>
      <c r="C323" s="77"/>
      <c r="D323" s="77"/>
      <c r="E323" s="77"/>
      <c r="F323" s="77"/>
      <c r="G323" s="77"/>
      <c r="H323" s="77"/>
      <c r="I323" s="78"/>
      <c r="J323" s="77"/>
      <c r="K323" s="77"/>
      <c r="L323" s="77"/>
      <c r="M323" s="78"/>
      <c r="N323" s="77"/>
      <c r="O323" s="77"/>
      <c r="P323" s="77"/>
      <c r="Q323" s="78"/>
      <c r="R323" s="77"/>
      <c r="S323" s="77"/>
      <c r="T323" s="77"/>
      <c r="U323" s="78"/>
      <c r="V323" s="77"/>
      <c r="W323" s="77"/>
      <c r="X323" s="77"/>
      <c r="Y323" s="78"/>
      <c r="Z323" s="77"/>
      <c r="AA323" s="77"/>
      <c r="AB323" s="77"/>
      <c r="AC323" s="77"/>
      <c r="AD323" s="79" t="str">
        <f t="shared" si="8"/>
        <v/>
      </c>
      <c r="AE323" s="80" t="str">
        <f t="shared" si="9"/>
        <v/>
      </c>
      <c r="AF323" s="81"/>
      <c r="AG323" s="77"/>
      <c r="AH323" s="81"/>
      <c r="AI323" s="77"/>
      <c r="AJ323" s="82" t="str">
        <f t="shared" si="10"/>
        <v/>
      </c>
      <c r="AK323" s="83" t="str">
        <f t="shared" si="11"/>
        <v/>
      </c>
    </row>
    <row r="324" spans="2:37" ht="21" x14ac:dyDescent="0.35">
      <c r="B324" s="77"/>
      <c r="C324" s="77"/>
      <c r="D324" s="77"/>
      <c r="E324" s="77"/>
      <c r="F324" s="77"/>
      <c r="G324" s="77"/>
      <c r="H324" s="77"/>
      <c r="I324" s="78"/>
      <c r="J324" s="77"/>
      <c r="K324" s="77"/>
      <c r="L324" s="77"/>
      <c r="M324" s="78"/>
      <c r="N324" s="77"/>
      <c r="O324" s="77"/>
      <c r="P324" s="77"/>
      <c r="Q324" s="78"/>
      <c r="R324" s="77"/>
      <c r="S324" s="77"/>
      <c r="T324" s="77"/>
      <c r="U324" s="78"/>
      <c r="V324" s="77"/>
      <c r="W324" s="77"/>
      <c r="X324" s="77"/>
      <c r="Y324" s="78"/>
      <c r="Z324" s="77"/>
      <c r="AA324" s="77"/>
      <c r="AB324" s="77"/>
      <c r="AC324" s="77"/>
      <c r="AD324" s="79" t="str">
        <f t="shared" ref="AD324:AD350" si="12">IF(MIN(F324,J324,N324,R324,V324,Z324)&lt;&gt;0,MIN(F324,J324,N324,R324,V324,Z324),"")</f>
        <v/>
      </c>
      <c r="AE324" s="80" t="str">
        <f t="shared" ref="AE324:AE350" si="13">IF(MIN(H324,L324,P324,T324,X324,AB324)&lt;&gt;0,MIN(H324,L324,P324,T324,X324,AB324),"")</f>
        <v/>
      </c>
      <c r="AF324" s="81"/>
      <c r="AG324" s="77"/>
      <c r="AH324" s="81"/>
      <c r="AI324" s="77"/>
      <c r="AJ324" s="82" t="str">
        <f t="shared" ref="AJ324:AJ350" si="14">IF(AD324="","",IF(ISBLANK(AF324),"En cours",AD324+AF324))</f>
        <v/>
      </c>
      <c r="AK324" s="83" t="str">
        <f t="shared" ref="AK324:AK350" si="15">IF(AE324="","",IF(ISBLANK(AH324),"En cours",AE324+AH324))</f>
        <v/>
      </c>
    </row>
    <row r="325" spans="2:37" ht="21" x14ac:dyDescent="0.35">
      <c r="B325" s="77"/>
      <c r="C325" s="77"/>
      <c r="D325" s="77"/>
      <c r="E325" s="77"/>
      <c r="F325" s="77"/>
      <c r="G325" s="77"/>
      <c r="H325" s="77"/>
      <c r="I325" s="78"/>
      <c r="J325" s="77"/>
      <c r="K325" s="77"/>
      <c r="L325" s="77"/>
      <c r="M325" s="78"/>
      <c r="N325" s="77"/>
      <c r="O325" s="77"/>
      <c r="P325" s="77"/>
      <c r="Q325" s="78"/>
      <c r="R325" s="77"/>
      <c r="S325" s="77"/>
      <c r="T325" s="77"/>
      <c r="U325" s="78"/>
      <c r="V325" s="77"/>
      <c r="W325" s="77"/>
      <c r="X325" s="77"/>
      <c r="Y325" s="78"/>
      <c r="Z325" s="77"/>
      <c r="AA325" s="77"/>
      <c r="AB325" s="77"/>
      <c r="AC325" s="77"/>
      <c r="AD325" s="79" t="str">
        <f t="shared" si="12"/>
        <v/>
      </c>
      <c r="AE325" s="80" t="str">
        <f t="shared" si="13"/>
        <v/>
      </c>
      <c r="AF325" s="81"/>
      <c r="AG325" s="77"/>
      <c r="AH325" s="81"/>
      <c r="AI325" s="77"/>
      <c r="AJ325" s="82" t="str">
        <f t="shared" si="14"/>
        <v/>
      </c>
      <c r="AK325" s="83" t="str">
        <f t="shared" si="15"/>
        <v/>
      </c>
    </row>
    <row r="326" spans="2:37" ht="21" x14ac:dyDescent="0.35">
      <c r="B326" s="77"/>
      <c r="C326" s="77"/>
      <c r="D326" s="77"/>
      <c r="E326" s="77"/>
      <c r="F326" s="77"/>
      <c r="G326" s="77"/>
      <c r="H326" s="77"/>
      <c r="I326" s="78"/>
      <c r="J326" s="77"/>
      <c r="K326" s="77"/>
      <c r="L326" s="77"/>
      <c r="M326" s="78"/>
      <c r="N326" s="77"/>
      <c r="O326" s="77"/>
      <c r="P326" s="77"/>
      <c r="Q326" s="78"/>
      <c r="R326" s="77"/>
      <c r="S326" s="77"/>
      <c r="T326" s="77"/>
      <c r="U326" s="78"/>
      <c r="V326" s="77"/>
      <c r="W326" s="77"/>
      <c r="X326" s="77"/>
      <c r="Y326" s="78"/>
      <c r="Z326" s="77"/>
      <c r="AA326" s="77"/>
      <c r="AB326" s="77"/>
      <c r="AC326" s="77"/>
      <c r="AD326" s="79" t="str">
        <f t="shared" si="12"/>
        <v/>
      </c>
      <c r="AE326" s="80" t="str">
        <f t="shared" si="13"/>
        <v/>
      </c>
      <c r="AF326" s="81"/>
      <c r="AG326" s="77"/>
      <c r="AH326" s="81"/>
      <c r="AI326" s="77"/>
      <c r="AJ326" s="82" t="str">
        <f t="shared" si="14"/>
        <v/>
      </c>
      <c r="AK326" s="83" t="str">
        <f t="shared" si="15"/>
        <v/>
      </c>
    </row>
    <row r="327" spans="2:37" ht="21" x14ac:dyDescent="0.35">
      <c r="B327" s="77"/>
      <c r="C327" s="77"/>
      <c r="D327" s="77"/>
      <c r="E327" s="77"/>
      <c r="F327" s="77"/>
      <c r="G327" s="77"/>
      <c r="H327" s="77"/>
      <c r="I327" s="78"/>
      <c r="J327" s="77"/>
      <c r="K327" s="77"/>
      <c r="L327" s="77"/>
      <c r="M327" s="78"/>
      <c r="N327" s="77"/>
      <c r="O327" s="77"/>
      <c r="P327" s="77"/>
      <c r="Q327" s="78"/>
      <c r="R327" s="77"/>
      <c r="S327" s="77"/>
      <c r="T327" s="77"/>
      <c r="U327" s="78"/>
      <c r="V327" s="77"/>
      <c r="W327" s="77"/>
      <c r="X327" s="77"/>
      <c r="Y327" s="78"/>
      <c r="Z327" s="77"/>
      <c r="AA327" s="77"/>
      <c r="AB327" s="77"/>
      <c r="AC327" s="77"/>
      <c r="AD327" s="79" t="str">
        <f t="shared" si="12"/>
        <v/>
      </c>
      <c r="AE327" s="80" t="str">
        <f t="shared" si="13"/>
        <v/>
      </c>
      <c r="AF327" s="81"/>
      <c r="AG327" s="77"/>
      <c r="AH327" s="81"/>
      <c r="AI327" s="77"/>
      <c r="AJ327" s="82" t="str">
        <f t="shared" si="14"/>
        <v/>
      </c>
      <c r="AK327" s="83" t="str">
        <f t="shared" si="15"/>
        <v/>
      </c>
    </row>
    <row r="328" spans="2:37" ht="21" x14ac:dyDescent="0.35">
      <c r="B328" s="77"/>
      <c r="C328" s="77"/>
      <c r="D328" s="77"/>
      <c r="E328" s="77"/>
      <c r="F328" s="77"/>
      <c r="G328" s="77"/>
      <c r="H328" s="77"/>
      <c r="I328" s="78"/>
      <c r="J328" s="77"/>
      <c r="K328" s="77"/>
      <c r="L328" s="77"/>
      <c r="M328" s="78"/>
      <c r="N328" s="77"/>
      <c r="O328" s="77"/>
      <c r="P328" s="77"/>
      <c r="Q328" s="78"/>
      <c r="R328" s="77"/>
      <c r="S328" s="77"/>
      <c r="T328" s="77"/>
      <c r="U328" s="78"/>
      <c r="V328" s="77"/>
      <c r="W328" s="77"/>
      <c r="X328" s="77"/>
      <c r="Y328" s="78"/>
      <c r="Z328" s="77"/>
      <c r="AA328" s="77"/>
      <c r="AB328" s="77"/>
      <c r="AC328" s="77"/>
      <c r="AD328" s="79" t="str">
        <f t="shared" si="12"/>
        <v/>
      </c>
      <c r="AE328" s="80" t="str">
        <f t="shared" si="13"/>
        <v/>
      </c>
      <c r="AF328" s="81"/>
      <c r="AG328" s="77"/>
      <c r="AH328" s="81"/>
      <c r="AI328" s="77"/>
      <c r="AJ328" s="82" t="str">
        <f t="shared" si="14"/>
        <v/>
      </c>
      <c r="AK328" s="83" t="str">
        <f t="shared" si="15"/>
        <v/>
      </c>
    </row>
    <row r="329" spans="2:37" ht="21" x14ac:dyDescent="0.35">
      <c r="B329" s="77"/>
      <c r="C329" s="77"/>
      <c r="D329" s="77"/>
      <c r="E329" s="77"/>
      <c r="F329" s="77"/>
      <c r="G329" s="77"/>
      <c r="H329" s="77"/>
      <c r="I329" s="78"/>
      <c r="J329" s="77"/>
      <c r="K329" s="77"/>
      <c r="L329" s="77"/>
      <c r="M329" s="78"/>
      <c r="N329" s="77"/>
      <c r="O329" s="77"/>
      <c r="P329" s="77"/>
      <c r="Q329" s="78"/>
      <c r="R329" s="77"/>
      <c r="S329" s="77"/>
      <c r="T329" s="77"/>
      <c r="U329" s="78"/>
      <c r="V329" s="77"/>
      <c r="W329" s="77"/>
      <c r="X329" s="77"/>
      <c r="Y329" s="78"/>
      <c r="Z329" s="77"/>
      <c r="AA329" s="77"/>
      <c r="AB329" s="77"/>
      <c r="AC329" s="77"/>
      <c r="AD329" s="79" t="str">
        <f t="shared" si="12"/>
        <v/>
      </c>
      <c r="AE329" s="80" t="str">
        <f t="shared" si="13"/>
        <v/>
      </c>
      <c r="AF329" s="81"/>
      <c r="AG329" s="77"/>
      <c r="AH329" s="81"/>
      <c r="AI329" s="77"/>
      <c r="AJ329" s="82" t="str">
        <f t="shared" si="14"/>
        <v/>
      </c>
      <c r="AK329" s="83" t="str">
        <f t="shared" si="15"/>
        <v/>
      </c>
    </row>
    <row r="330" spans="2:37" ht="21" x14ac:dyDescent="0.35">
      <c r="B330" s="77"/>
      <c r="C330" s="77"/>
      <c r="D330" s="77"/>
      <c r="E330" s="77"/>
      <c r="F330" s="77"/>
      <c r="G330" s="77"/>
      <c r="H330" s="77"/>
      <c r="I330" s="78"/>
      <c r="J330" s="77"/>
      <c r="K330" s="77"/>
      <c r="L330" s="77"/>
      <c r="M330" s="78"/>
      <c r="N330" s="77"/>
      <c r="O330" s="77"/>
      <c r="P330" s="77"/>
      <c r="Q330" s="78"/>
      <c r="R330" s="77"/>
      <c r="S330" s="77"/>
      <c r="T330" s="77"/>
      <c r="U330" s="78"/>
      <c r="V330" s="77"/>
      <c r="W330" s="77"/>
      <c r="X330" s="77"/>
      <c r="Y330" s="78"/>
      <c r="Z330" s="77"/>
      <c r="AA330" s="77"/>
      <c r="AB330" s="77"/>
      <c r="AC330" s="77"/>
      <c r="AD330" s="79" t="str">
        <f t="shared" si="12"/>
        <v/>
      </c>
      <c r="AE330" s="80" t="str">
        <f t="shared" si="13"/>
        <v/>
      </c>
      <c r="AF330" s="81"/>
      <c r="AG330" s="77"/>
      <c r="AH330" s="81"/>
      <c r="AI330" s="77"/>
      <c r="AJ330" s="82" t="str">
        <f t="shared" si="14"/>
        <v/>
      </c>
      <c r="AK330" s="83" t="str">
        <f t="shared" si="15"/>
        <v/>
      </c>
    </row>
    <row r="331" spans="2:37" ht="21" x14ac:dyDescent="0.35">
      <c r="B331" s="77"/>
      <c r="C331" s="77"/>
      <c r="D331" s="77"/>
      <c r="E331" s="77"/>
      <c r="F331" s="77"/>
      <c r="G331" s="77"/>
      <c r="H331" s="77"/>
      <c r="I331" s="78"/>
      <c r="J331" s="77"/>
      <c r="K331" s="77"/>
      <c r="L331" s="77"/>
      <c r="M331" s="78"/>
      <c r="N331" s="77"/>
      <c r="O331" s="77"/>
      <c r="P331" s="77"/>
      <c r="Q331" s="78"/>
      <c r="R331" s="77"/>
      <c r="S331" s="77"/>
      <c r="T331" s="77"/>
      <c r="U331" s="78"/>
      <c r="V331" s="77"/>
      <c r="W331" s="77"/>
      <c r="X331" s="77"/>
      <c r="Y331" s="78"/>
      <c r="Z331" s="77"/>
      <c r="AA331" s="77"/>
      <c r="AB331" s="77"/>
      <c r="AC331" s="77"/>
      <c r="AD331" s="79" t="str">
        <f t="shared" si="12"/>
        <v/>
      </c>
      <c r="AE331" s="80" t="str">
        <f t="shared" si="13"/>
        <v/>
      </c>
      <c r="AF331" s="81"/>
      <c r="AG331" s="77"/>
      <c r="AH331" s="81"/>
      <c r="AI331" s="77"/>
      <c r="AJ331" s="82" t="str">
        <f t="shared" si="14"/>
        <v/>
      </c>
      <c r="AK331" s="83" t="str">
        <f t="shared" si="15"/>
        <v/>
      </c>
    </row>
    <row r="332" spans="2:37" ht="21" x14ac:dyDescent="0.35">
      <c r="B332" s="77"/>
      <c r="C332" s="77"/>
      <c r="D332" s="77"/>
      <c r="E332" s="77"/>
      <c r="F332" s="77"/>
      <c r="G332" s="77"/>
      <c r="H332" s="77"/>
      <c r="I332" s="78"/>
      <c r="J332" s="77"/>
      <c r="K332" s="77"/>
      <c r="L332" s="77"/>
      <c r="M332" s="78"/>
      <c r="N332" s="77"/>
      <c r="O332" s="77"/>
      <c r="P332" s="77"/>
      <c r="Q332" s="78"/>
      <c r="R332" s="77"/>
      <c r="S332" s="77"/>
      <c r="T332" s="77"/>
      <c r="U332" s="78"/>
      <c r="V332" s="77"/>
      <c r="W332" s="77"/>
      <c r="X332" s="77"/>
      <c r="Y332" s="78"/>
      <c r="Z332" s="77"/>
      <c r="AA332" s="77"/>
      <c r="AB332" s="77"/>
      <c r="AC332" s="77"/>
      <c r="AD332" s="79" t="str">
        <f t="shared" si="12"/>
        <v/>
      </c>
      <c r="AE332" s="80" t="str">
        <f t="shared" si="13"/>
        <v/>
      </c>
      <c r="AF332" s="81"/>
      <c r="AG332" s="77"/>
      <c r="AH332" s="81"/>
      <c r="AI332" s="77"/>
      <c r="AJ332" s="82" t="str">
        <f t="shared" si="14"/>
        <v/>
      </c>
      <c r="AK332" s="83" t="str">
        <f t="shared" si="15"/>
        <v/>
      </c>
    </row>
    <row r="333" spans="2:37" ht="21" x14ac:dyDescent="0.35">
      <c r="B333" s="77"/>
      <c r="C333" s="77"/>
      <c r="D333" s="77"/>
      <c r="E333" s="77"/>
      <c r="F333" s="77"/>
      <c r="G333" s="77"/>
      <c r="H333" s="77"/>
      <c r="I333" s="78"/>
      <c r="J333" s="77"/>
      <c r="K333" s="77"/>
      <c r="L333" s="77"/>
      <c r="M333" s="78"/>
      <c r="N333" s="77"/>
      <c r="O333" s="77"/>
      <c r="P333" s="77"/>
      <c r="Q333" s="78"/>
      <c r="R333" s="77"/>
      <c r="S333" s="77"/>
      <c r="T333" s="77"/>
      <c r="U333" s="78"/>
      <c r="V333" s="77"/>
      <c r="W333" s="77"/>
      <c r="X333" s="77"/>
      <c r="Y333" s="78"/>
      <c r="Z333" s="77"/>
      <c r="AA333" s="77"/>
      <c r="AB333" s="77"/>
      <c r="AC333" s="77"/>
      <c r="AD333" s="79" t="str">
        <f t="shared" si="12"/>
        <v/>
      </c>
      <c r="AE333" s="80" t="str">
        <f t="shared" si="13"/>
        <v/>
      </c>
      <c r="AF333" s="81"/>
      <c r="AG333" s="77"/>
      <c r="AH333" s="81"/>
      <c r="AI333" s="77"/>
      <c r="AJ333" s="82" t="str">
        <f t="shared" si="14"/>
        <v/>
      </c>
      <c r="AK333" s="83" t="str">
        <f t="shared" si="15"/>
        <v/>
      </c>
    </row>
    <row r="334" spans="2:37" ht="21" x14ac:dyDescent="0.35">
      <c r="B334" s="77"/>
      <c r="C334" s="77"/>
      <c r="D334" s="77"/>
      <c r="E334" s="77"/>
      <c r="F334" s="77"/>
      <c r="G334" s="77"/>
      <c r="H334" s="77"/>
      <c r="I334" s="78"/>
      <c r="J334" s="77"/>
      <c r="K334" s="77"/>
      <c r="L334" s="77"/>
      <c r="M334" s="78"/>
      <c r="N334" s="77"/>
      <c r="O334" s="77"/>
      <c r="P334" s="77"/>
      <c r="Q334" s="78"/>
      <c r="R334" s="77"/>
      <c r="S334" s="77"/>
      <c r="T334" s="77"/>
      <c r="U334" s="78"/>
      <c r="V334" s="77"/>
      <c r="W334" s="77"/>
      <c r="X334" s="77"/>
      <c r="Y334" s="78"/>
      <c r="Z334" s="77"/>
      <c r="AA334" s="77"/>
      <c r="AB334" s="77"/>
      <c r="AC334" s="77"/>
      <c r="AD334" s="79" t="str">
        <f t="shared" si="12"/>
        <v/>
      </c>
      <c r="AE334" s="80" t="str">
        <f t="shared" si="13"/>
        <v/>
      </c>
      <c r="AF334" s="81"/>
      <c r="AG334" s="77"/>
      <c r="AH334" s="81"/>
      <c r="AI334" s="77"/>
      <c r="AJ334" s="82" t="str">
        <f t="shared" si="14"/>
        <v/>
      </c>
      <c r="AK334" s="83" t="str">
        <f t="shared" si="15"/>
        <v/>
      </c>
    </row>
    <row r="335" spans="2:37" ht="21" x14ac:dyDescent="0.35">
      <c r="B335" s="77"/>
      <c r="C335" s="77"/>
      <c r="D335" s="77"/>
      <c r="E335" s="77"/>
      <c r="F335" s="77"/>
      <c r="G335" s="77"/>
      <c r="H335" s="77"/>
      <c r="I335" s="78"/>
      <c r="J335" s="77"/>
      <c r="K335" s="77"/>
      <c r="L335" s="77"/>
      <c r="M335" s="78"/>
      <c r="N335" s="77"/>
      <c r="O335" s="77"/>
      <c r="P335" s="77"/>
      <c r="Q335" s="78"/>
      <c r="R335" s="77"/>
      <c r="S335" s="77"/>
      <c r="T335" s="77"/>
      <c r="U335" s="78"/>
      <c r="V335" s="77"/>
      <c r="W335" s="77"/>
      <c r="X335" s="77"/>
      <c r="Y335" s="78"/>
      <c r="Z335" s="77"/>
      <c r="AA335" s="77"/>
      <c r="AB335" s="77"/>
      <c r="AC335" s="77"/>
      <c r="AD335" s="79" t="str">
        <f t="shared" si="12"/>
        <v/>
      </c>
      <c r="AE335" s="80" t="str">
        <f t="shared" si="13"/>
        <v/>
      </c>
      <c r="AF335" s="81"/>
      <c r="AG335" s="77"/>
      <c r="AH335" s="81"/>
      <c r="AI335" s="77"/>
      <c r="AJ335" s="82" t="str">
        <f t="shared" si="14"/>
        <v/>
      </c>
      <c r="AK335" s="83" t="str">
        <f t="shared" si="15"/>
        <v/>
      </c>
    </row>
    <row r="336" spans="2:37" ht="21" x14ac:dyDescent="0.35">
      <c r="B336" s="77"/>
      <c r="C336" s="77"/>
      <c r="D336" s="77"/>
      <c r="E336" s="77"/>
      <c r="F336" s="77"/>
      <c r="G336" s="77"/>
      <c r="H336" s="77"/>
      <c r="I336" s="78"/>
      <c r="J336" s="77"/>
      <c r="K336" s="77"/>
      <c r="L336" s="77"/>
      <c r="M336" s="78"/>
      <c r="N336" s="77"/>
      <c r="O336" s="77"/>
      <c r="P336" s="77"/>
      <c r="Q336" s="78"/>
      <c r="R336" s="77"/>
      <c r="S336" s="77"/>
      <c r="T336" s="77"/>
      <c r="U336" s="78"/>
      <c r="V336" s="77"/>
      <c r="W336" s="77"/>
      <c r="X336" s="77"/>
      <c r="Y336" s="78"/>
      <c r="Z336" s="77"/>
      <c r="AA336" s="77"/>
      <c r="AB336" s="77"/>
      <c r="AC336" s="77"/>
      <c r="AD336" s="79" t="str">
        <f t="shared" si="12"/>
        <v/>
      </c>
      <c r="AE336" s="80" t="str">
        <f t="shared" si="13"/>
        <v/>
      </c>
      <c r="AF336" s="81"/>
      <c r="AG336" s="77"/>
      <c r="AH336" s="81"/>
      <c r="AI336" s="77"/>
      <c r="AJ336" s="82" t="str">
        <f t="shared" si="14"/>
        <v/>
      </c>
      <c r="AK336" s="83" t="str">
        <f t="shared" si="15"/>
        <v/>
      </c>
    </row>
    <row r="337" spans="2:37" ht="21" x14ac:dyDescent="0.35">
      <c r="B337" s="77"/>
      <c r="C337" s="77"/>
      <c r="D337" s="77"/>
      <c r="E337" s="77"/>
      <c r="F337" s="77"/>
      <c r="G337" s="77"/>
      <c r="H337" s="77"/>
      <c r="I337" s="78"/>
      <c r="J337" s="77"/>
      <c r="K337" s="77"/>
      <c r="L337" s="77"/>
      <c r="M337" s="78"/>
      <c r="N337" s="77"/>
      <c r="O337" s="77"/>
      <c r="P337" s="77"/>
      <c r="Q337" s="78"/>
      <c r="R337" s="77"/>
      <c r="S337" s="77"/>
      <c r="T337" s="77"/>
      <c r="U337" s="78"/>
      <c r="V337" s="77"/>
      <c r="W337" s="77"/>
      <c r="X337" s="77"/>
      <c r="Y337" s="78"/>
      <c r="Z337" s="77"/>
      <c r="AA337" s="77"/>
      <c r="AB337" s="77"/>
      <c r="AC337" s="77"/>
      <c r="AD337" s="79" t="str">
        <f t="shared" si="12"/>
        <v/>
      </c>
      <c r="AE337" s="80" t="str">
        <f t="shared" si="13"/>
        <v/>
      </c>
      <c r="AF337" s="81"/>
      <c r="AG337" s="77"/>
      <c r="AH337" s="81"/>
      <c r="AI337" s="77"/>
      <c r="AJ337" s="82" t="str">
        <f t="shared" si="14"/>
        <v/>
      </c>
      <c r="AK337" s="83" t="str">
        <f t="shared" si="15"/>
        <v/>
      </c>
    </row>
    <row r="338" spans="2:37" ht="21" x14ac:dyDescent="0.35">
      <c r="B338" s="77"/>
      <c r="C338" s="77"/>
      <c r="D338" s="77"/>
      <c r="E338" s="77"/>
      <c r="F338" s="77"/>
      <c r="G338" s="77"/>
      <c r="H338" s="77"/>
      <c r="I338" s="78"/>
      <c r="J338" s="77"/>
      <c r="K338" s="77"/>
      <c r="L338" s="77"/>
      <c r="M338" s="78"/>
      <c r="N338" s="77"/>
      <c r="O338" s="77"/>
      <c r="P338" s="77"/>
      <c r="Q338" s="78"/>
      <c r="R338" s="77"/>
      <c r="S338" s="77"/>
      <c r="T338" s="77"/>
      <c r="U338" s="78"/>
      <c r="V338" s="77"/>
      <c r="W338" s="77"/>
      <c r="X338" s="77"/>
      <c r="Y338" s="78"/>
      <c r="Z338" s="77"/>
      <c r="AA338" s="77"/>
      <c r="AB338" s="77"/>
      <c r="AC338" s="77"/>
      <c r="AD338" s="79" t="str">
        <f t="shared" si="12"/>
        <v/>
      </c>
      <c r="AE338" s="80" t="str">
        <f t="shared" si="13"/>
        <v/>
      </c>
      <c r="AF338" s="81"/>
      <c r="AG338" s="77"/>
      <c r="AH338" s="81"/>
      <c r="AI338" s="77"/>
      <c r="AJ338" s="82" t="str">
        <f t="shared" si="14"/>
        <v/>
      </c>
      <c r="AK338" s="83" t="str">
        <f t="shared" si="15"/>
        <v/>
      </c>
    </row>
    <row r="339" spans="2:37" ht="21" x14ac:dyDescent="0.35">
      <c r="B339" s="77"/>
      <c r="C339" s="77"/>
      <c r="D339" s="77"/>
      <c r="E339" s="77"/>
      <c r="F339" s="77"/>
      <c r="G339" s="77"/>
      <c r="H339" s="77"/>
      <c r="I339" s="78"/>
      <c r="J339" s="77"/>
      <c r="K339" s="77"/>
      <c r="L339" s="77"/>
      <c r="M339" s="78"/>
      <c r="N339" s="77"/>
      <c r="O339" s="77"/>
      <c r="P339" s="77"/>
      <c r="Q339" s="78"/>
      <c r="R339" s="77"/>
      <c r="S339" s="77"/>
      <c r="T339" s="77"/>
      <c r="U339" s="78"/>
      <c r="V339" s="77"/>
      <c r="W339" s="77"/>
      <c r="X339" s="77"/>
      <c r="Y339" s="78"/>
      <c r="Z339" s="77"/>
      <c r="AA339" s="77"/>
      <c r="AB339" s="77"/>
      <c r="AC339" s="77"/>
      <c r="AD339" s="79" t="str">
        <f t="shared" si="12"/>
        <v/>
      </c>
      <c r="AE339" s="80" t="str">
        <f t="shared" si="13"/>
        <v/>
      </c>
      <c r="AF339" s="81"/>
      <c r="AG339" s="77"/>
      <c r="AH339" s="81"/>
      <c r="AI339" s="77"/>
      <c r="AJ339" s="82" t="str">
        <f t="shared" si="14"/>
        <v/>
      </c>
      <c r="AK339" s="83" t="str">
        <f t="shared" si="15"/>
        <v/>
      </c>
    </row>
    <row r="340" spans="2:37" ht="21" x14ac:dyDescent="0.35">
      <c r="B340" s="77"/>
      <c r="C340" s="77"/>
      <c r="D340" s="77"/>
      <c r="E340" s="77"/>
      <c r="F340" s="77"/>
      <c r="G340" s="77"/>
      <c r="H340" s="77"/>
      <c r="I340" s="78"/>
      <c r="J340" s="77"/>
      <c r="K340" s="77"/>
      <c r="L340" s="77"/>
      <c r="M340" s="78"/>
      <c r="N340" s="77"/>
      <c r="O340" s="77"/>
      <c r="P340" s="77"/>
      <c r="Q340" s="78"/>
      <c r="R340" s="77"/>
      <c r="S340" s="77"/>
      <c r="T340" s="77"/>
      <c r="U340" s="78"/>
      <c r="V340" s="77"/>
      <c r="W340" s="77"/>
      <c r="X340" s="77"/>
      <c r="Y340" s="78"/>
      <c r="Z340" s="77"/>
      <c r="AA340" s="77"/>
      <c r="AB340" s="77"/>
      <c r="AC340" s="77"/>
      <c r="AD340" s="79" t="str">
        <f t="shared" si="12"/>
        <v/>
      </c>
      <c r="AE340" s="80" t="str">
        <f t="shared" si="13"/>
        <v/>
      </c>
      <c r="AF340" s="81"/>
      <c r="AG340" s="77"/>
      <c r="AH340" s="81"/>
      <c r="AI340" s="77"/>
      <c r="AJ340" s="82" t="str">
        <f t="shared" si="14"/>
        <v/>
      </c>
      <c r="AK340" s="83" t="str">
        <f t="shared" si="15"/>
        <v/>
      </c>
    </row>
    <row r="341" spans="2:37" ht="21" x14ac:dyDescent="0.35">
      <c r="B341" s="77"/>
      <c r="C341" s="77"/>
      <c r="D341" s="77"/>
      <c r="E341" s="77"/>
      <c r="F341" s="77"/>
      <c r="G341" s="77"/>
      <c r="H341" s="77"/>
      <c r="I341" s="78"/>
      <c r="J341" s="77"/>
      <c r="K341" s="77"/>
      <c r="L341" s="77"/>
      <c r="M341" s="78"/>
      <c r="N341" s="77"/>
      <c r="O341" s="77"/>
      <c r="P341" s="77"/>
      <c r="Q341" s="78"/>
      <c r="R341" s="77"/>
      <c r="S341" s="77"/>
      <c r="T341" s="77"/>
      <c r="U341" s="78"/>
      <c r="V341" s="77"/>
      <c r="W341" s="77"/>
      <c r="X341" s="77"/>
      <c r="Y341" s="78"/>
      <c r="Z341" s="77"/>
      <c r="AA341" s="77"/>
      <c r="AB341" s="77"/>
      <c r="AC341" s="77"/>
      <c r="AD341" s="79" t="str">
        <f t="shared" si="12"/>
        <v/>
      </c>
      <c r="AE341" s="80" t="str">
        <f t="shared" si="13"/>
        <v/>
      </c>
      <c r="AF341" s="81"/>
      <c r="AG341" s="77"/>
      <c r="AH341" s="81"/>
      <c r="AI341" s="77"/>
      <c r="AJ341" s="82" t="str">
        <f t="shared" si="14"/>
        <v/>
      </c>
      <c r="AK341" s="83" t="str">
        <f t="shared" si="15"/>
        <v/>
      </c>
    </row>
    <row r="342" spans="2:37" ht="21" x14ac:dyDescent="0.35">
      <c r="B342" s="77"/>
      <c r="C342" s="77"/>
      <c r="D342" s="77"/>
      <c r="E342" s="77"/>
      <c r="F342" s="77"/>
      <c r="G342" s="77"/>
      <c r="H342" s="77"/>
      <c r="I342" s="78"/>
      <c r="J342" s="77"/>
      <c r="K342" s="77"/>
      <c r="L342" s="77"/>
      <c r="M342" s="78"/>
      <c r="N342" s="77"/>
      <c r="O342" s="77"/>
      <c r="P342" s="77"/>
      <c r="Q342" s="78"/>
      <c r="R342" s="77"/>
      <c r="S342" s="77"/>
      <c r="T342" s="77"/>
      <c r="U342" s="78"/>
      <c r="V342" s="77"/>
      <c r="W342" s="77"/>
      <c r="X342" s="77"/>
      <c r="Y342" s="78"/>
      <c r="Z342" s="77"/>
      <c r="AA342" s="77"/>
      <c r="AB342" s="77"/>
      <c r="AC342" s="77"/>
      <c r="AD342" s="79" t="str">
        <f t="shared" si="12"/>
        <v/>
      </c>
      <c r="AE342" s="80" t="str">
        <f t="shared" si="13"/>
        <v/>
      </c>
      <c r="AF342" s="81"/>
      <c r="AG342" s="77"/>
      <c r="AH342" s="81"/>
      <c r="AI342" s="77"/>
      <c r="AJ342" s="82" t="str">
        <f t="shared" si="14"/>
        <v/>
      </c>
      <c r="AK342" s="83" t="str">
        <f t="shared" si="15"/>
        <v/>
      </c>
    </row>
    <row r="343" spans="2:37" ht="21" x14ac:dyDescent="0.35">
      <c r="B343" s="77"/>
      <c r="C343" s="77"/>
      <c r="D343" s="77"/>
      <c r="E343" s="77"/>
      <c r="F343" s="77"/>
      <c r="G343" s="77"/>
      <c r="H343" s="77"/>
      <c r="I343" s="78"/>
      <c r="J343" s="77"/>
      <c r="K343" s="77"/>
      <c r="L343" s="77"/>
      <c r="M343" s="78"/>
      <c r="N343" s="77"/>
      <c r="O343" s="77"/>
      <c r="P343" s="77"/>
      <c r="Q343" s="78"/>
      <c r="R343" s="77"/>
      <c r="S343" s="77"/>
      <c r="T343" s="77"/>
      <c r="U343" s="78"/>
      <c r="V343" s="77"/>
      <c r="W343" s="77"/>
      <c r="X343" s="77"/>
      <c r="Y343" s="78"/>
      <c r="Z343" s="77"/>
      <c r="AA343" s="77"/>
      <c r="AB343" s="77"/>
      <c r="AC343" s="77"/>
      <c r="AD343" s="79" t="str">
        <f t="shared" si="12"/>
        <v/>
      </c>
      <c r="AE343" s="80" t="str">
        <f t="shared" si="13"/>
        <v/>
      </c>
      <c r="AF343" s="81"/>
      <c r="AG343" s="77"/>
      <c r="AH343" s="81"/>
      <c r="AI343" s="77"/>
      <c r="AJ343" s="82" t="str">
        <f t="shared" si="14"/>
        <v/>
      </c>
      <c r="AK343" s="83" t="str">
        <f t="shared" si="15"/>
        <v/>
      </c>
    </row>
    <row r="344" spans="2:37" ht="21" x14ac:dyDescent="0.35">
      <c r="B344" s="77"/>
      <c r="C344" s="77"/>
      <c r="D344" s="77"/>
      <c r="E344" s="77"/>
      <c r="F344" s="77"/>
      <c r="G344" s="77"/>
      <c r="H344" s="77"/>
      <c r="I344" s="78"/>
      <c r="J344" s="77"/>
      <c r="K344" s="77"/>
      <c r="L344" s="77"/>
      <c r="M344" s="78"/>
      <c r="N344" s="77"/>
      <c r="O344" s="77"/>
      <c r="P344" s="77"/>
      <c r="Q344" s="78"/>
      <c r="R344" s="77"/>
      <c r="S344" s="77"/>
      <c r="T344" s="77"/>
      <c r="U344" s="78"/>
      <c r="V344" s="77"/>
      <c r="W344" s="77"/>
      <c r="X344" s="77"/>
      <c r="Y344" s="78"/>
      <c r="Z344" s="77"/>
      <c r="AA344" s="77"/>
      <c r="AB344" s="77"/>
      <c r="AC344" s="77"/>
      <c r="AD344" s="79" t="str">
        <f t="shared" si="12"/>
        <v/>
      </c>
      <c r="AE344" s="80" t="str">
        <f t="shared" si="13"/>
        <v/>
      </c>
      <c r="AF344" s="81"/>
      <c r="AG344" s="77"/>
      <c r="AH344" s="81"/>
      <c r="AI344" s="77"/>
      <c r="AJ344" s="82" t="str">
        <f t="shared" si="14"/>
        <v/>
      </c>
      <c r="AK344" s="83" t="str">
        <f t="shared" si="15"/>
        <v/>
      </c>
    </row>
    <row r="345" spans="2:37" ht="21" x14ac:dyDescent="0.35">
      <c r="B345" s="77"/>
      <c r="C345" s="77"/>
      <c r="D345" s="77"/>
      <c r="E345" s="77"/>
      <c r="F345" s="77"/>
      <c r="G345" s="77"/>
      <c r="H345" s="77"/>
      <c r="I345" s="78"/>
      <c r="J345" s="77"/>
      <c r="K345" s="77"/>
      <c r="L345" s="77"/>
      <c r="M345" s="78"/>
      <c r="N345" s="77"/>
      <c r="O345" s="77"/>
      <c r="P345" s="77"/>
      <c r="Q345" s="78"/>
      <c r="R345" s="77"/>
      <c r="S345" s="77"/>
      <c r="T345" s="77"/>
      <c r="U345" s="78"/>
      <c r="V345" s="77"/>
      <c r="W345" s="77"/>
      <c r="X345" s="77"/>
      <c r="Y345" s="78"/>
      <c r="Z345" s="77"/>
      <c r="AA345" s="77"/>
      <c r="AB345" s="77"/>
      <c r="AC345" s="77"/>
      <c r="AD345" s="79" t="str">
        <f t="shared" si="12"/>
        <v/>
      </c>
      <c r="AE345" s="80" t="str">
        <f t="shared" si="13"/>
        <v/>
      </c>
      <c r="AF345" s="81"/>
      <c r="AG345" s="77"/>
      <c r="AH345" s="81"/>
      <c r="AI345" s="77"/>
      <c r="AJ345" s="82" t="str">
        <f t="shared" si="14"/>
        <v/>
      </c>
      <c r="AK345" s="83" t="str">
        <f t="shared" si="15"/>
        <v/>
      </c>
    </row>
    <row r="346" spans="2:37" ht="21" x14ac:dyDescent="0.35">
      <c r="B346" s="77"/>
      <c r="C346" s="77"/>
      <c r="D346" s="77"/>
      <c r="E346" s="77"/>
      <c r="F346" s="77"/>
      <c r="G346" s="77"/>
      <c r="H346" s="77"/>
      <c r="I346" s="78"/>
      <c r="J346" s="77"/>
      <c r="K346" s="77"/>
      <c r="L346" s="77"/>
      <c r="M346" s="78"/>
      <c r="N346" s="77"/>
      <c r="O346" s="77"/>
      <c r="P346" s="77"/>
      <c r="Q346" s="78"/>
      <c r="R346" s="77"/>
      <c r="S346" s="77"/>
      <c r="T346" s="77"/>
      <c r="U346" s="78"/>
      <c r="V346" s="77"/>
      <c r="W346" s="77"/>
      <c r="X346" s="77"/>
      <c r="Y346" s="78"/>
      <c r="Z346" s="77"/>
      <c r="AA346" s="77"/>
      <c r="AB346" s="77"/>
      <c r="AC346" s="77"/>
      <c r="AD346" s="79" t="str">
        <f t="shared" si="12"/>
        <v/>
      </c>
      <c r="AE346" s="80" t="str">
        <f t="shared" si="13"/>
        <v/>
      </c>
      <c r="AF346" s="81"/>
      <c r="AG346" s="77"/>
      <c r="AH346" s="81"/>
      <c r="AI346" s="77"/>
      <c r="AJ346" s="82" t="str">
        <f t="shared" si="14"/>
        <v/>
      </c>
      <c r="AK346" s="83" t="str">
        <f t="shared" si="15"/>
        <v/>
      </c>
    </row>
    <row r="347" spans="2:37" ht="21" x14ac:dyDescent="0.35">
      <c r="B347" s="77"/>
      <c r="C347" s="77"/>
      <c r="D347" s="77"/>
      <c r="E347" s="77"/>
      <c r="F347" s="77"/>
      <c r="G347" s="77"/>
      <c r="H347" s="77"/>
      <c r="I347" s="78"/>
      <c r="J347" s="77"/>
      <c r="K347" s="77"/>
      <c r="L347" s="77"/>
      <c r="M347" s="78"/>
      <c r="N347" s="77"/>
      <c r="O347" s="77"/>
      <c r="P347" s="77"/>
      <c r="Q347" s="78"/>
      <c r="R347" s="77"/>
      <c r="S347" s="77"/>
      <c r="T347" s="77"/>
      <c r="U347" s="78"/>
      <c r="V347" s="77"/>
      <c r="W347" s="77"/>
      <c r="X347" s="77"/>
      <c r="Y347" s="78"/>
      <c r="Z347" s="77"/>
      <c r="AA347" s="77"/>
      <c r="AB347" s="77"/>
      <c r="AC347" s="77"/>
      <c r="AD347" s="79" t="str">
        <f t="shared" si="12"/>
        <v/>
      </c>
      <c r="AE347" s="80" t="str">
        <f t="shared" si="13"/>
        <v/>
      </c>
      <c r="AF347" s="81"/>
      <c r="AG347" s="77"/>
      <c r="AH347" s="81"/>
      <c r="AI347" s="77"/>
      <c r="AJ347" s="82" t="str">
        <f t="shared" si="14"/>
        <v/>
      </c>
      <c r="AK347" s="83" t="str">
        <f t="shared" si="15"/>
        <v/>
      </c>
    </row>
    <row r="348" spans="2:37" ht="21" x14ac:dyDescent="0.35">
      <c r="B348" s="77"/>
      <c r="C348" s="77"/>
      <c r="D348" s="77"/>
      <c r="E348" s="77"/>
      <c r="F348" s="77"/>
      <c r="G348" s="77"/>
      <c r="H348" s="77"/>
      <c r="I348" s="78"/>
      <c r="J348" s="77"/>
      <c r="K348" s="77"/>
      <c r="L348" s="77"/>
      <c r="M348" s="78"/>
      <c r="N348" s="77"/>
      <c r="O348" s="77"/>
      <c r="P348" s="77"/>
      <c r="Q348" s="78"/>
      <c r="R348" s="77"/>
      <c r="S348" s="77"/>
      <c r="T348" s="77"/>
      <c r="U348" s="78"/>
      <c r="V348" s="77"/>
      <c r="W348" s="77"/>
      <c r="X348" s="77"/>
      <c r="Y348" s="78"/>
      <c r="Z348" s="77"/>
      <c r="AA348" s="77"/>
      <c r="AB348" s="77"/>
      <c r="AC348" s="77"/>
      <c r="AD348" s="79" t="str">
        <f t="shared" si="12"/>
        <v/>
      </c>
      <c r="AE348" s="80" t="str">
        <f t="shared" si="13"/>
        <v/>
      </c>
      <c r="AF348" s="81"/>
      <c r="AG348" s="77"/>
      <c r="AH348" s="81"/>
      <c r="AI348" s="77"/>
      <c r="AJ348" s="82" t="str">
        <f t="shared" si="14"/>
        <v/>
      </c>
      <c r="AK348" s="83" t="str">
        <f t="shared" si="15"/>
        <v/>
      </c>
    </row>
    <row r="349" spans="2:37" ht="21" x14ac:dyDescent="0.35">
      <c r="B349" s="77"/>
      <c r="C349" s="77"/>
      <c r="D349" s="77"/>
      <c r="E349" s="77"/>
      <c r="F349" s="77"/>
      <c r="G349" s="77"/>
      <c r="H349" s="77"/>
      <c r="I349" s="78"/>
      <c r="J349" s="77"/>
      <c r="K349" s="77"/>
      <c r="L349" s="77"/>
      <c r="M349" s="78"/>
      <c r="N349" s="77"/>
      <c r="O349" s="77"/>
      <c r="P349" s="77"/>
      <c r="Q349" s="78"/>
      <c r="R349" s="77"/>
      <c r="S349" s="77"/>
      <c r="T349" s="77"/>
      <c r="U349" s="78"/>
      <c r="V349" s="77"/>
      <c r="W349" s="77"/>
      <c r="X349" s="77"/>
      <c r="Y349" s="78"/>
      <c r="Z349" s="77"/>
      <c r="AA349" s="77"/>
      <c r="AB349" s="77"/>
      <c r="AC349" s="77"/>
      <c r="AD349" s="79" t="str">
        <f t="shared" si="12"/>
        <v/>
      </c>
      <c r="AE349" s="80" t="str">
        <f t="shared" si="13"/>
        <v/>
      </c>
      <c r="AF349" s="81"/>
      <c r="AG349" s="77"/>
      <c r="AH349" s="81"/>
      <c r="AI349" s="77"/>
      <c r="AJ349" s="82" t="str">
        <f t="shared" si="14"/>
        <v/>
      </c>
      <c r="AK349" s="83" t="str">
        <f t="shared" si="15"/>
        <v/>
      </c>
    </row>
    <row r="350" spans="2:37" ht="21" x14ac:dyDescent="0.35">
      <c r="B350" s="77"/>
      <c r="C350" s="77"/>
      <c r="D350" s="77"/>
      <c r="E350" s="77"/>
      <c r="F350" s="77"/>
      <c r="G350" s="77"/>
      <c r="H350" s="77"/>
      <c r="I350" s="78"/>
      <c r="J350" s="77"/>
      <c r="K350" s="77"/>
      <c r="L350" s="77"/>
      <c r="M350" s="78"/>
      <c r="N350" s="77"/>
      <c r="O350" s="77"/>
      <c r="P350" s="77"/>
      <c r="Q350" s="78"/>
      <c r="R350" s="77"/>
      <c r="S350" s="77"/>
      <c r="T350" s="77"/>
      <c r="U350" s="78"/>
      <c r="V350" s="77"/>
      <c r="W350" s="77"/>
      <c r="X350" s="77"/>
      <c r="Y350" s="78"/>
      <c r="Z350" s="77"/>
      <c r="AA350" s="77"/>
      <c r="AB350" s="77"/>
      <c r="AC350" s="77"/>
      <c r="AD350" s="79" t="str">
        <f t="shared" si="12"/>
        <v/>
      </c>
      <c r="AE350" s="80" t="str">
        <f t="shared" si="13"/>
        <v/>
      </c>
      <c r="AF350" s="81"/>
      <c r="AG350" s="77"/>
      <c r="AH350" s="81"/>
      <c r="AI350" s="77"/>
      <c r="AJ350" s="82" t="str">
        <f t="shared" si="14"/>
        <v/>
      </c>
      <c r="AK350" s="83" t="str">
        <f t="shared" si="15"/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phoneticPr fontId="21" type="noConversion"/>
  <conditionalFormatting sqref="AJ178">
    <cfRule type="cellIs" dxfId="12443" priority="19757" stopIfTrue="1" operator="equal">
      <formula>"En cours"</formula>
    </cfRule>
  </conditionalFormatting>
  <conditionalFormatting sqref="AJ178">
    <cfRule type="cellIs" dxfId="12442" priority="19758" stopIfTrue="1" operator="notEqual">
      <formula>"En cours"</formula>
    </cfRule>
  </conditionalFormatting>
  <conditionalFormatting sqref="AK178">
    <cfRule type="cellIs" dxfId="12441" priority="19759" stopIfTrue="1" operator="equal">
      <formula>"En cours"</formula>
    </cfRule>
  </conditionalFormatting>
  <conditionalFormatting sqref="AK178">
    <cfRule type="cellIs" dxfId="12440" priority="19760" stopIfTrue="1" operator="notEqual">
      <formula>"En cours"</formula>
    </cfRule>
  </conditionalFormatting>
  <conditionalFormatting sqref="AJ177">
    <cfRule type="cellIs" dxfId="12439" priority="20525" stopIfTrue="1" operator="equal">
      <formula>"En cours"</formula>
    </cfRule>
  </conditionalFormatting>
  <conditionalFormatting sqref="AJ177">
    <cfRule type="cellIs" dxfId="12438" priority="20526" stopIfTrue="1" operator="notEqual">
      <formula>"En cours"</formula>
    </cfRule>
  </conditionalFormatting>
  <conditionalFormatting sqref="AK177">
    <cfRule type="cellIs" dxfId="12437" priority="20527" stopIfTrue="1" operator="equal">
      <formula>"En cours"</formula>
    </cfRule>
  </conditionalFormatting>
  <conditionalFormatting sqref="AK177">
    <cfRule type="cellIs" dxfId="12436" priority="20528" stopIfTrue="1" operator="notEqual">
      <formula>"En cours"</formula>
    </cfRule>
  </conditionalFormatting>
  <conditionalFormatting sqref="AJ179">
    <cfRule type="cellIs" dxfId="12431" priority="20981" stopIfTrue="1" operator="equal">
      <formula>"En cours"</formula>
    </cfRule>
  </conditionalFormatting>
  <conditionalFormatting sqref="AJ179">
    <cfRule type="cellIs" dxfId="12430" priority="20982" stopIfTrue="1" operator="notEqual">
      <formula>"En cours"</formula>
    </cfRule>
  </conditionalFormatting>
  <conditionalFormatting sqref="AK179">
    <cfRule type="cellIs" dxfId="12429" priority="20983" stopIfTrue="1" operator="equal">
      <formula>"En cours"</formula>
    </cfRule>
  </conditionalFormatting>
  <conditionalFormatting sqref="AK179">
    <cfRule type="cellIs" dxfId="12428" priority="20984" stopIfTrue="1" operator="notEqual">
      <formula>"En cours"</formula>
    </cfRule>
  </conditionalFormatting>
  <conditionalFormatting sqref="AJ4">
    <cfRule type="cellIs" dxfId="7667" priority="61309" stopIfTrue="1" operator="equal">
      <formula>"En cours"</formula>
    </cfRule>
  </conditionalFormatting>
  <conditionalFormatting sqref="AJ4">
    <cfRule type="cellIs" dxfId="7666" priority="61310" stopIfTrue="1" operator="notEqual">
      <formula>"En cours"</formula>
    </cfRule>
  </conditionalFormatting>
  <conditionalFormatting sqref="AK4">
    <cfRule type="cellIs" dxfId="7665" priority="61311" stopIfTrue="1" operator="equal">
      <formula>"En cours"</formula>
    </cfRule>
  </conditionalFormatting>
  <conditionalFormatting sqref="AK4">
    <cfRule type="cellIs" dxfId="7664" priority="61312" stopIfTrue="1" operator="notEqual">
      <formula>"En cours"</formula>
    </cfRule>
  </conditionalFormatting>
  <conditionalFormatting sqref="AJ7">
    <cfRule type="cellIs" dxfId="7663" priority="61313" stopIfTrue="1" operator="equal">
      <formula>"En cours"</formula>
    </cfRule>
    <cfRule type="cellIs" dxfId="7662" priority="61314" stopIfTrue="1" operator="notEqual">
      <formula>"En cours"</formula>
    </cfRule>
  </conditionalFormatting>
  <conditionalFormatting sqref="AK7">
    <cfRule type="cellIs" dxfId="7661" priority="61315" stopIfTrue="1" operator="equal">
      <formula>"En cours"</formula>
    </cfRule>
    <cfRule type="cellIs" dxfId="7660" priority="61316" stopIfTrue="1" operator="notEqual">
      <formula>"En cours"</formula>
    </cfRule>
  </conditionalFormatting>
  <conditionalFormatting sqref="AJ10">
    <cfRule type="cellIs" dxfId="7659" priority="61317" stopIfTrue="1" operator="equal">
      <formula>"En cours"</formula>
    </cfRule>
    <cfRule type="cellIs" dxfId="7658" priority="61318" stopIfTrue="1" operator="notEqual">
      <formula>"En cours"</formula>
    </cfRule>
  </conditionalFormatting>
  <conditionalFormatting sqref="AK10">
    <cfRule type="cellIs" dxfId="7657" priority="61319" stopIfTrue="1" operator="equal">
      <formula>"En cours"</formula>
    </cfRule>
    <cfRule type="cellIs" dxfId="7656" priority="61320" stopIfTrue="1" operator="notEqual">
      <formula>"En cours"</formula>
    </cfRule>
  </conditionalFormatting>
  <conditionalFormatting sqref="AJ8">
    <cfRule type="cellIs" dxfId="7655" priority="61321" stopIfTrue="1" operator="equal">
      <formula>"En cours"</formula>
    </cfRule>
    <cfRule type="cellIs" dxfId="7654" priority="61322" stopIfTrue="1" operator="notEqual">
      <formula>"En cours"</formula>
    </cfRule>
  </conditionalFormatting>
  <conditionalFormatting sqref="AK8">
    <cfRule type="cellIs" dxfId="7653" priority="61323" stopIfTrue="1" operator="equal">
      <formula>"En cours"</formula>
    </cfRule>
    <cfRule type="cellIs" dxfId="7652" priority="61324" stopIfTrue="1" operator="notEqual">
      <formula>"En cours"</formula>
    </cfRule>
  </conditionalFormatting>
  <conditionalFormatting sqref="AJ18">
    <cfRule type="cellIs" dxfId="7615" priority="61361" stopIfTrue="1" operator="equal">
      <formula>"En cours"</formula>
    </cfRule>
  </conditionalFormatting>
  <conditionalFormatting sqref="AJ18">
    <cfRule type="cellIs" dxfId="7614" priority="61362" stopIfTrue="1" operator="notEqual">
      <formula>"En cours"</formula>
    </cfRule>
  </conditionalFormatting>
  <conditionalFormatting sqref="AK18">
    <cfRule type="cellIs" dxfId="7613" priority="61363" stopIfTrue="1" operator="equal">
      <formula>"En cours"</formula>
    </cfRule>
  </conditionalFormatting>
  <conditionalFormatting sqref="AK18">
    <cfRule type="cellIs" dxfId="7612" priority="61364" stopIfTrue="1" operator="notEqual">
      <formula>"En cours"</formula>
    </cfRule>
  </conditionalFormatting>
  <conditionalFormatting sqref="AJ21">
    <cfRule type="cellIs" dxfId="7583" priority="61393" stopIfTrue="1" operator="equal">
      <formula>"En cours"</formula>
    </cfRule>
  </conditionalFormatting>
  <conditionalFormatting sqref="AJ21">
    <cfRule type="cellIs" dxfId="7582" priority="61394" stopIfTrue="1" operator="notEqual">
      <formula>"En cours"</formula>
    </cfRule>
  </conditionalFormatting>
  <conditionalFormatting sqref="AK21">
    <cfRule type="cellIs" dxfId="7581" priority="61395" stopIfTrue="1" operator="equal">
      <formula>"En cours"</formula>
    </cfRule>
  </conditionalFormatting>
  <conditionalFormatting sqref="AK21">
    <cfRule type="cellIs" dxfId="7580" priority="61396" stopIfTrue="1" operator="notEqual">
      <formula>"En cours"</formula>
    </cfRule>
  </conditionalFormatting>
  <conditionalFormatting sqref="AJ55">
    <cfRule type="cellIs" dxfId="7467" priority="61509" stopIfTrue="1" operator="equal">
      <formula>"En cours"</formula>
    </cfRule>
  </conditionalFormatting>
  <conditionalFormatting sqref="AJ55">
    <cfRule type="cellIs" dxfId="7466" priority="61510" stopIfTrue="1" operator="notEqual">
      <formula>"En cours"</formula>
    </cfRule>
  </conditionalFormatting>
  <conditionalFormatting sqref="AK55">
    <cfRule type="cellIs" dxfId="7465" priority="61511" stopIfTrue="1" operator="equal">
      <formula>"En cours"</formula>
    </cfRule>
  </conditionalFormatting>
  <conditionalFormatting sqref="AK55">
    <cfRule type="cellIs" dxfId="7464" priority="61512" stopIfTrue="1" operator="notEqual">
      <formula>"En cours"</formula>
    </cfRule>
  </conditionalFormatting>
  <conditionalFormatting sqref="AJ14">
    <cfRule type="cellIs" dxfId="7027" priority="61949" stopIfTrue="1" operator="equal">
      <formula>"En cours"</formula>
    </cfRule>
  </conditionalFormatting>
  <conditionalFormatting sqref="AJ14">
    <cfRule type="cellIs" dxfId="7026" priority="61950" stopIfTrue="1" operator="notEqual">
      <formula>"En cours"</formula>
    </cfRule>
  </conditionalFormatting>
  <conditionalFormatting sqref="AK14">
    <cfRule type="cellIs" dxfId="7025" priority="61951" stopIfTrue="1" operator="equal">
      <formula>"En cours"</formula>
    </cfRule>
  </conditionalFormatting>
  <conditionalFormatting sqref="AK14">
    <cfRule type="cellIs" dxfId="7024" priority="61952" stopIfTrue="1" operator="notEqual">
      <formula>"En cours"</formula>
    </cfRule>
  </conditionalFormatting>
  <conditionalFormatting sqref="AJ24">
    <cfRule type="cellIs" dxfId="7019" priority="61957" stopIfTrue="1" operator="equal">
      <formula>"En cours"</formula>
    </cfRule>
  </conditionalFormatting>
  <conditionalFormatting sqref="AJ24">
    <cfRule type="cellIs" dxfId="7018" priority="61958" stopIfTrue="1" operator="notEqual">
      <formula>"En cours"</formula>
    </cfRule>
  </conditionalFormatting>
  <conditionalFormatting sqref="AK24">
    <cfRule type="cellIs" dxfId="7017" priority="61959" stopIfTrue="1" operator="equal">
      <formula>"En cours"</formula>
    </cfRule>
  </conditionalFormatting>
  <conditionalFormatting sqref="AK24">
    <cfRule type="cellIs" dxfId="7016" priority="61960" stopIfTrue="1" operator="notEqual">
      <formula>"En cours"</formula>
    </cfRule>
  </conditionalFormatting>
  <conditionalFormatting sqref="AJ98">
    <cfRule type="cellIs" dxfId="6871" priority="62105" stopIfTrue="1" operator="equal">
      <formula>"En cours"</formula>
    </cfRule>
  </conditionalFormatting>
  <conditionalFormatting sqref="AJ98">
    <cfRule type="cellIs" dxfId="6870" priority="62106" stopIfTrue="1" operator="notEqual">
      <formula>"En cours"</formula>
    </cfRule>
  </conditionalFormatting>
  <conditionalFormatting sqref="AK98">
    <cfRule type="cellIs" dxfId="6869" priority="62107" stopIfTrue="1" operator="equal">
      <formula>"En cours"</formula>
    </cfRule>
  </conditionalFormatting>
  <conditionalFormatting sqref="AK98">
    <cfRule type="cellIs" dxfId="6868" priority="62108" stopIfTrue="1" operator="notEqual">
      <formula>"En cours"</formula>
    </cfRule>
  </conditionalFormatting>
  <conditionalFormatting sqref="AJ100">
    <cfRule type="cellIs" dxfId="6863" priority="62113" stopIfTrue="1" operator="equal">
      <formula>"En cours"</formula>
    </cfRule>
  </conditionalFormatting>
  <conditionalFormatting sqref="AJ100">
    <cfRule type="cellIs" dxfId="6862" priority="62114" stopIfTrue="1" operator="notEqual">
      <formula>"En cours"</formula>
    </cfRule>
  </conditionalFormatting>
  <conditionalFormatting sqref="AK100">
    <cfRule type="cellIs" dxfId="6861" priority="62115" stopIfTrue="1" operator="equal">
      <formula>"En cours"</formula>
    </cfRule>
  </conditionalFormatting>
  <conditionalFormatting sqref="AK100">
    <cfRule type="cellIs" dxfId="6860" priority="62116" stopIfTrue="1" operator="notEqual">
      <formula>"En cours"</formula>
    </cfRule>
  </conditionalFormatting>
  <conditionalFormatting sqref="AJ103">
    <cfRule type="cellIs" dxfId="6835" priority="62141" stopIfTrue="1" operator="equal">
      <formula>"En cours"</formula>
    </cfRule>
  </conditionalFormatting>
  <conditionalFormatting sqref="AJ103">
    <cfRule type="cellIs" dxfId="6834" priority="62142" stopIfTrue="1" operator="notEqual">
      <formula>"En cours"</formula>
    </cfRule>
  </conditionalFormatting>
  <conditionalFormatting sqref="AK103">
    <cfRule type="cellIs" dxfId="6833" priority="62143" stopIfTrue="1" operator="equal">
      <formula>"En cours"</formula>
    </cfRule>
  </conditionalFormatting>
  <conditionalFormatting sqref="AK103">
    <cfRule type="cellIs" dxfId="6832" priority="62144" stopIfTrue="1" operator="notEqual">
      <formula>"En cours"</formula>
    </cfRule>
  </conditionalFormatting>
  <conditionalFormatting sqref="AJ117">
    <cfRule type="cellIs" dxfId="6815" priority="62161" stopIfTrue="1" operator="equal">
      <formula>"En cours"</formula>
    </cfRule>
  </conditionalFormatting>
  <conditionalFormatting sqref="AJ117">
    <cfRule type="cellIs" dxfId="6814" priority="62162" stopIfTrue="1" operator="notEqual">
      <formula>"En cours"</formula>
    </cfRule>
  </conditionalFormatting>
  <conditionalFormatting sqref="AK117">
    <cfRule type="cellIs" dxfId="6813" priority="62163" stopIfTrue="1" operator="equal">
      <formula>"En cours"</formula>
    </cfRule>
  </conditionalFormatting>
  <conditionalFormatting sqref="AK117">
    <cfRule type="cellIs" dxfId="6812" priority="62164" stopIfTrue="1" operator="notEqual">
      <formula>"En cours"</formula>
    </cfRule>
  </conditionalFormatting>
  <conditionalFormatting sqref="AJ111">
    <cfRule type="cellIs" dxfId="6787" priority="62189" stopIfTrue="1" operator="equal">
      <formula>"En cours"</formula>
    </cfRule>
  </conditionalFormatting>
  <conditionalFormatting sqref="AJ111">
    <cfRule type="cellIs" dxfId="6786" priority="62190" stopIfTrue="1" operator="notEqual">
      <formula>"En cours"</formula>
    </cfRule>
  </conditionalFormatting>
  <conditionalFormatting sqref="AK111">
    <cfRule type="cellIs" dxfId="6785" priority="62191" stopIfTrue="1" operator="equal">
      <formula>"En cours"</formula>
    </cfRule>
  </conditionalFormatting>
  <conditionalFormatting sqref="AK111">
    <cfRule type="cellIs" dxfId="6784" priority="62192" stopIfTrue="1" operator="notEqual">
      <formula>"En cours"</formula>
    </cfRule>
  </conditionalFormatting>
  <conditionalFormatting sqref="AJ109">
    <cfRule type="cellIs" dxfId="6779" priority="62197" stopIfTrue="1" operator="equal">
      <formula>"En cours"</formula>
    </cfRule>
  </conditionalFormatting>
  <conditionalFormatting sqref="AJ109">
    <cfRule type="cellIs" dxfId="6778" priority="62198" stopIfTrue="1" operator="notEqual">
      <formula>"En cours"</formula>
    </cfRule>
  </conditionalFormatting>
  <conditionalFormatting sqref="AK109">
    <cfRule type="cellIs" dxfId="6777" priority="62199" stopIfTrue="1" operator="equal">
      <formula>"En cours"</formula>
    </cfRule>
  </conditionalFormatting>
  <conditionalFormatting sqref="AK109">
    <cfRule type="cellIs" dxfId="6776" priority="62200" stopIfTrue="1" operator="notEqual">
      <formula>"En cours"</formula>
    </cfRule>
  </conditionalFormatting>
  <conditionalFormatting sqref="AJ106">
    <cfRule type="cellIs" dxfId="6775" priority="62201" stopIfTrue="1" operator="equal">
      <formula>"En cours"</formula>
    </cfRule>
  </conditionalFormatting>
  <conditionalFormatting sqref="AJ106">
    <cfRule type="cellIs" dxfId="6774" priority="62202" stopIfTrue="1" operator="notEqual">
      <formula>"En cours"</formula>
    </cfRule>
  </conditionalFormatting>
  <conditionalFormatting sqref="AK106">
    <cfRule type="cellIs" dxfId="6773" priority="62203" stopIfTrue="1" operator="equal">
      <formula>"En cours"</formula>
    </cfRule>
  </conditionalFormatting>
  <conditionalFormatting sqref="AK106">
    <cfRule type="cellIs" dxfId="6772" priority="62204" stopIfTrue="1" operator="notEqual">
      <formula>"En cours"</formula>
    </cfRule>
  </conditionalFormatting>
  <conditionalFormatting sqref="AJ119">
    <cfRule type="cellIs" dxfId="6759" priority="62217" stopIfTrue="1" operator="equal">
      <formula>"En cours"</formula>
    </cfRule>
  </conditionalFormatting>
  <conditionalFormatting sqref="AJ119">
    <cfRule type="cellIs" dxfId="6758" priority="62218" stopIfTrue="1" operator="notEqual">
      <formula>"En cours"</formula>
    </cfRule>
  </conditionalFormatting>
  <conditionalFormatting sqref="AK119">
    <cfRule type="cellIs" dxfId="6757" priority="62219" stopIfTrue="1" operator="equal">
      <formula>"En cours"</formula>
    </cfRule>
  </conditionalFormatting>
  <conditionalFormatting sqref="AK119">
    <cfRule type="cellIs" dxfId="6756" priority="62220" stopIfTrue="1" operator="notEqual">
      <formula>"En cours"</formula>
    </cfRule>
  </conditionalFormatting>
  <conditionalFormatting sqref="AJ105">
    <cfRule type="cellIs" dxfId="6755" priority="62221" stopIfTrue="1" operator="equal">
      <formula>"En cours"</formula>
    </cfRule>
  </conditionalFormatting>
  <conditionalFormatting sqref="AJ105">
    <cfRule type="cellIs" dxfId="6754" priority="62222" stopIfTrue="1" operator="notEqual">
      <formula>"En cours"</formula>
    </cfRule>
  </conditionalFormatting>
  <conditionalFormatting sqref="AK105">
    <cfRule type="cellIs" dxfId="6753" priority="62223" stopIfTrue="1" operator="equal">
      <formula>"En cours"</formula>
    </cfRule>
  </conditionalFormatting>
  <conditionalFormatting sqref="AK105">
    <cfRule type="cellIs" dxfId="6752" priority="62224" stopIfTrue="1" operator="notEqual">
      <formula>"En cours"</formula>
    </cfRule>
  </conditionalFormatting>
  <conditionalFormatting sqref="AJ74">
    <cfRule type="cellIs" dxfId="6751" priority="62225" stopIfTrue="1" operator="equal">
      <formula>"En cours"</formula>
    </cfRule>
  </conditionalFormatting>
  <conditionalFormatting sqref="AJ74">
    <cfRule type="cellIs" dxfId="6750" priority="62226" stopIfTrue="1" operator="notEqual">
      <formula>"En cours"</formula>
    </cfRule>
  </conditionalFormatting>
  <conditionalFormatting sqref="AK74">
    <cfRule type="cellIs" dxfId="6749" priority="62227" stopIfTrue="1" operator="equal">
      <formula>"En cours"</formula>
    </cfRule>
  </conditionalFormatting>
  <conditionalFormatting sqref="AK74">
    <cfRule type="cellIs" dxfId="6748" priority="62228" stopIfTrue="1" operator="notEqual">
      <formula>"En cours"</formula>
    </cfRule>
  </conditionalFormatting>
  <conditionalFormatting sqref="AJ79">
    <cfRule type="cellIs" dxfId="6423" priority="62553" stopIfTrue="1" operator="equal">
      <formula>"En cours"</formula>
    </cfRule>
  </conditionalFormatting>
  <conditionalFormatting sqref="AJ79">
    <cfRule type="cellIs" dxfId="6422" priority="62554" stopIfTrue="1" operator="notEqual">
      <formula>"En cours"</formula>
    </cfRule>
  </conditionalFormatting>
  <conditionalFormatting sqref="AK79">
    <cfRule type="cellIs" dxfId="6421" priority="62555" stopIfTrue="1" operator="equal">
      <formula>"En cours"</formula>
    </cfRule>
  </conditionalFormatting>
  <conditionalFormatting sqref="AK79">
    <cfRule type="cellIs" dxfId="6420" priority="62556" stopIfTrue="1" operator="notEqual">
      <formula>"En cours"</formula>
    </cfRule>
  </conditionalFormatting>
  <conditionalFormatting sqref="AJ6">
    <cfRule type="cellIs" dxfId="6419" priority="62557" stopIfTrue="1" operator="equal">
      <formula>"En cours"</formula>
    </cfRule>
  </conditionalFormatting>
  <conditionalFormatting sqref="AJ6">
    <cfRule type="cellIs" dxfId="6418" priority="62558" stopIfTrue="1" operator="notEqual">
      <formula>"En cours"</formula>
    </cfRule>
  </conditionalFormatting>
  <conditionalFormatting sqref="AK6">
    <cfRule type="cellIs" dxfId="6417" priority="62559" stopIfTrue="1" operator="equal">
      <formula>"En cours"</formula>
    </cfRule>
  </conditionalFormatting>
  <conditionalFormatting sqref="AK6">
    <cfRule type="cellIs" dxfId="6416" priority="62560" stopIfTrue="1" operator="notEqual">
      <formula>"En cours"</formula>
    </cfRule>
  </conditionalFormatting>
  <conditionalFormatting sqref="AJ16">
    <cfRule type="cellIs" dxfId="6415" priority="62561" stopIfTrue="1" operator="equal">
      <formula>"En cours"</formula>
    </cfRule>
  </conditionalFormatting>
  <conditionalFormatting sqref="AJ16">
    <cfRule type="cellIs" dxfId="6414" priority="62562" stopIfTrue="1" operator="notEqual">
      <formula>"En cours"</formula>
    </cfRule>
  </conditionalFormatting>
  <conditionalFormatting sqref="AK16">
    <cfRule type="cellIs" dxfId="6413" priority="62563" stopIfTrue="1" operator="equal">
      <formula>"En cours"</formula>
    </cfRule>
  </conditionalFormatting>
  <conditionalFormatting sqref="AK16">
    <cfRule type="cellIs" dxfId="6412" priority="62564" stopIfTrue="1" operator="notEqual">
      <formula>"En cours"</formula>
    </cfRule>
  </conditionalFormatting>
  <conditionalFormatting sqref="AJ25">
    <cfRule type="cellIs" dxfId="6399" priority="62577" stopIfTrue="1" operator="equal">
      <formula>"En cours"</formula>
    </cfRule>
  </conditionalFormatting>
  <conditionalFormatting sqref="AJ25">
    <cfRule type="cellIs" dxfId="6398" priority="62578" stopIfTrue="1" operator="notEqual">
      <formula>"En cours"</formula>
    </cfRule>
  </conditionalFormatting>
  <conditionalFormatting sqref="AK25">
    <cfRule type="cellIs" dxfId="6397" priority="62579" stopIfTrue="1" operator="equal">
      <formula>"En cours"</formula>
    </cfRule>
  </conditionalFormatting>
  <conditionalFormatting sqref="AK25">
    <cfRule type="cellIs" dxfId="6396" priority="62580" stopIfTrue="1" operator="notEqual">
      <formula>"En cours"</formula>
    </cfRule>
  </conditionalFormatting>
  <conditionalFormatting sqref="AJ38">
    <cfRule type="cellIs" dxfId="6383" priority="62593" stopIfTrue="1" operator="equal">
      <formula>"En cours"</formula>
    </cfRule>
  </conditionalFormatting>
  <conditionalFormatting sqref="AJ38">
    <cfRule type="cellIs" dxfId="6382" priority="62594" stopIfTrue="1" operator="notEqual">
      <formula>"En cours"</formula>
    </cfRule>
  </conditionalFormatting>
  <conditionalFormatting sqref="AK38">
    <cfRule type="cellIs" dxfId="6381" priority="62595" stopIfTrue="1" operator="equal">
      <formula>"En cours"</formula>
    </cfRule>
  </conditionalFormatting>
  <conditionalFormatting sqref="AK38">
    <cfRule type="cellIs" dxfId="6380" priority="62596" stopIfTrue="1" operator="notEqual">
      <formula>"En cours"</formula>
    </cfRule>
  </conditionalFormatting>
  <conditionalFormatting sqref="AJ85">
    <cfRule type="cellIs" dxfId="6375" priority="62601" stopIfTrue="1" operator="equal">
      <formula>"En cours"</formula>
    </cfRule>
  </conditionalFormatting>
  <conditionalFormatting sqref="AJ85">
    <cfRule type="cellIs" dxfId="6374" priority="62602" stopIfTrue="1" operator="notEqual">
      <formula>"En cours"</formula>
    </cfRule>
  </conditionalFormatting>
  <conditionalFormatting sqref="AK85">
    <cfRule type="cellIs" dxfId="6373" priority="62603" stopIfTrue="1" operator="equal">
      <formula>"En cours"</formula>
    </cfRule>
  </conditionalFormatting>
  <conditionalFormatting sqref="AK85">
    <cfRule type="cellIs" dxfId="6372" priority="62604" stopIfTrue="1" operator="notEqual">
      <formula>"En cours"</formula>
    </cfRule>
  </conditionalFormatting>
  <conditionalFormatting sqref="AJ23">
    <cfRule type="cellIs" dxfId="6367" priority="62609" stopIfTrue="1" operator="equal">
      <formula>"En cours"</formula>
    </cfRule>
  </conditionalFormatting>
  <conditionalFormatting sqref="AJ23">
    <cfRule type="cellIs" dxfId="6366" priority="62610" stopIfTrue="1" operator="notEqual">
      <formula>"En cours"</formula>
    </cfRule>
  </conditionalFormatting>
  <conditionalFormatting sqref="AK23">
    <cfRule type="cellIs" dxfId="6365" priority="62611" stopIfTrue="1" operator="equal">
      <formula>"En cours"</formula>
    </cfRule>
  </conditionalFormatting>
  <conditionalFormatting sqref="AK23">
    <cfRule type="cellIs" dxfId="6364" priority="62612" stopIfTrue="1" operator="notEqual">
      <formula>"En cours"</formula>
    </cfRule>
  </conditionalFormatting>
  <conditionalFormatting sqref="AJ91">
    <cfRule type="cellIs" dxfId="6363" priority="62613" stopIfTrue="1" operator="equal">
      <formula>"En cours"</formula>
    </cfRule>
  </conditionalFormatting>
  <conditionalFormatting sqref="AJ91">
    <cfRule type="cellIs" dxfId="6362" priority="62614" stopIfTrue="1" operator="notEqual">
      <formula>"En cours"</formula>
    </cfRule>
  </conditionalFormatting>
  <conditionalFormatting sqref="AK91">
    <cfRule type="cellIs" dxfId="6361" priority="62615" stopIfTrue="1" operator="equal">
      <formula>"En cours"</formula>
    </cfRule>
  </conditionalFormatting>
  <conditionalFormatting sqref="AK91">
    <cfRule type="cellIs" dxfId="6360" priority="62616" stopIfTrue="1" operator="notEqual">
      <formula>"En cours"</formula>
    </cfRule>
  </conditionalFormatting>
  <conditionalFormatting sqref="AJ49">
    <cfRule type="cellIs" dxfId="6343" priority="62633" stopIfTrue="1" operator="equal">
      <formula>"En cours"</formula>
    </cfRule>
  </conditionalFormatting>
  <conditionalFormatting sqref="AJ49">
    <cfRule type="cellIs" dxfId="6342" priority="62634" stopIfTrue="1" operator="notEqual">
      <formula>"En cours"</formula>
    </cfRule>
  </conditionalFormatting>
  <conditionalFormatting sqref="AK49">
    <cfRule type="cellIs" dxfId="6341" priority="62635" stopIfTrue="1" operator="equal">
      <formula>"En cours"</formula>
    </cfRule>
  </conditionalFormatting>
  <conditionalFormatting sqref="AK49">
    <cfRule type="cellIs" dxfId="6340" priority="62636" stopIfTrue="1" operator="notEqual">
      <formula>"En cours"</formula>
    </cfRule>
  </conditionalFormatting>
  <conditionalFormatting sqref="AJ47">
    <cfRule type="cellIs" dxfId="6331" priority="62645" stopIfTrue="1" operator="equal">
      <formula>"En cours"</formula>
    </cfRule>
  </conditionalFormatting>
  <conditionalFormatting sqref="AJ47">
    <cfRule type="cellIs" dxfId="6330" priority="62646" stopIfTrue="1" operator="notEqual">
      <formula>"En cours"</formula>
    </cfRule>
  </conditionalFormatting>
  <conditionalFormatting sqref="AK47">
    <cfRule type="cellIs" dxfId="6329" priority="62647" stopIfTrue="1" operator="equal">
      <formula>"En cours"</formula>
    </cfRule>
  </conditionalFormatting>
  <conditionalFormatting sqref="AK47">
    <cfRule type="cellIs" dxfId="6328" priority="62648" stopIfTrue="1" operator="notEqual">
      <formula>"En cours"</formula>
    </cfRule>
  </conditionalFormatting>
  <conditionalFormatting sqref="AJ90">
    <cfRule type="cellIs" dxfId="6319" priority="62657" stopIfTrue="1" operator="equal">
      <formula>"En cours"</formula>
    </cfRule>
  </conditionalFormatting>
  <conditionalFormatting sqref="AJ90">
    <cfRule type="cellIs" dxfId="6318" priority="62658" stopIfTrue="1" operator="notEqual">
      <formula>"En cours"</formula>
    </cfRule>
  </conditionalFormatting>
  <conditionalFormatting sqref="AK90">
    <cfRule type="cellIs" dxfId="6317" priority="62659" stopIfTrue="1" operator="equal">
      <formula>"En cours"</formula>
    </cfRule>
  </conditionalFormatting>
  <conditionalFormatting sqref="AK90">
    <cfRule type="cellIs" dxfId="6316" priority="62660" stopIfTrue="1" operator="notEqual">
      <formula>"En cours"</formula>
    </cfRule>
  </conditionalFormatting>
  <conditionalFormatting sqref="AJ36">
    <cfRule type="cellIs" dxfId="6311" priority="62665" stopIfTrue="1" operator="equal">
      <formula>"En cours"</formula>
    </cfRule>
  </conditionalFormatting>
  <conditionalFormatting sqref="AJ36">
    <cfRule type="cellIs" dxfId="6310" priority="62666" stopIfTrue="1" operator="notEqual">
      <formula>"En cours"</formula>
    </cfRule>
  </conditionalFormatting>
  <conditionalFormatting sqref="AK36">
    <cfRule type="cellIs" dxfId="6309" priority="62667" stopIfTrue="1" operator="equal">
      <formula>"En cours"</formula>
    </cfRule>
  </conditionalFormatting>
  <conditionalFormatting sqref="AK36">
    <cfRule type="cellIs" dxfId="6308" priority="62668" stopIfTrue="1" operator="notEqual">
      <formula>"En cours"</formula>
    </cfRule>
  </conditionalFormatting>
  <conditionalFormatting sqref="AJ32">
    <cfRule type="cellIs" dxfId="6307" priority="62669" stopIfTrue="1" operator="equal">
      <formula>"En cours"</formula>
    </cfRule>
  </conditionalFormatting>
  <conditionalFormatting sqref="AJ32">
    <cfRule type="cellIs" dxfId="6306" priority="62670" stopIfTrue="1" operator="notEqual">
      <formula>"En cours"</formula>
    </cfRule>
  </conditionalFormatting>
  <conditionalFormatting sqref="AK32">
    <cfRule type="cellIs" dxfId="6305" priority="62671" stopIfTrue="1" operator="equal">
      <formula>"En cours"</formula>
    </cfRule>
  </conditionalFormatting>
  <conditionalFormatting sqref="AK32">
    <cfRule type="cellIs" dxfId="6304" priority="62672" stopIfTrue="1" operator="notEqual">
      <formula>"En cours"</formula>
    </cfRule>
  </conditionalFormatting>
  <conditionalFormatting sqref="AJ82">
    <cfRule type="cellIs" dxfId="6291" priority="62685" stopIfTrue="1" operator="equal">
      <formula>"En cours"</formula>
    </cfRule>
  </conditionalFormatting>
  <conditionalFormatting sqref="AJ82">
    <cfRule type="cellIs" dxfId="6290" priority="62686" stopIfTrue="1" operator="notEqual">
      <formula>"En cours"</formula>
    </cfRule>
  </conditionalFormatting>
  <conditionalFormatting sqref="AK82">
    <cfRule type="cellIs" dxfId="6289" priority="62687" stopIfTrue="1" operator="equal">
      <formula>"En cours"</formula>
    </cfRule>
  </conditionalFormatting>
  <conditionalFormatting sqref="AK82">
    <cfRule type="cellIs" dxfId="6288" priority="62688" stopIfTrue="1" operator="notEqual">
      <formula>"En cours"</formula>
    </cfRule>
  </conditionalFormatting>
  <conditionalFormatting sqref="AJ42">
    <cfRule type="cellIs" dxfId="6283" priority="62693" stopIfTrue="1" operator="equal">
      <formula>"En cours"</formula>
    </cfRule>
  </conditionalFormatting>
  <conditionalFormatting sqref="AJ42">
    <cfRule type="cellIs" dxfId="6282" priority="62694" stopIfTrue="1" operator="notEqual">
      <formula>"En cours"</formula>
    </cfRule>
  </conditionalFormatting>
  <conditionalFormatting sqref="AK42">
    <cfRule type="cellIs" dxfId="6281" priority="62695" stopIfTrue="1" operator="equal">
      <formula>"En cours"</formula>
    </cfRule>
  </conditionalFormatting>
  <conditionalFormatting sqref="AK42">
    <cfRule type="cellIs" dxfId="6280" priority="62696" stopIfTrue="1" operator="notEqual">
      <formula>"En cours"</formula>
    </cfRule>
  </conditionalFormatting>
  <conditionalFormatting sqref="AJ63">
    <cfRule type="cellIs" dxfId="6259" priority="62717" stopIfTrue="1" operator="equal">
      <formula>"En cours"</formula>
    </cfRule>
  </conditionalFormatting>
  <conditionalFormatting sqref="AJ63">
    <cfRule type="cellIs" dxfId="6258" priority="62718" stopIfTrue="1" operator="notEqual">
      <formula>"En cours"</formula>
    </cfRule>
  </conditionalFormatting>
  <conditionalFormatting sqref="AK63">
    <cfRule type="cellIs" dxfId="6257" priority="62719" stopIfTrue="1" operator="equal">
      <formula>"En cours"</formula>
    </cfRule>
  </conditionalFormatting>
  <conditionalFormatting sqref="AK63">
    <cfRule type="cellIs" dxfId="6256" priority="62720" stopIfTrue="1" operator="notEqual">
      <formula>"En cours"</formula>
    </cfRule>
  </conditionalFormatting>
  <conditionalFormatting sqref="AJ65">
    <cfRule type="cellIs" dxfId="6247" priority="62729" stopIfTrue="1" operator="equal">
      <formula>"En cours"</formula>
    </cfRule>
  </conditionalFormatting>
  <conditionalFormatting sqref="AJ65">
    <cfRule type="cellIs" dxfId="6246" priority="62730" stopIfTrue="1" operator="notEqual">
      <formula>"En cours"</formula>
    </cfRule>
  </conditionalFormatting>
  <conditionalFormatting sqref="AK65">
    <cfRule type="cellIs" dxfId="6245" priority="62731" stopIfTrue="1" operator="equal">
      <formula>"En cours"</formula>
    </cfRule>
  </conditionalFormatting>
  <conditionalFormatting sqref="AK65">
    <cfRule type="cellIs" dxfId="6244" priority="62732" stopIfTrue="1" operator="notEqual">
      <formula>"En cours"</formula>
    </cfRule>
  </conditionalFormatting>
  <conditionalFormatting sqref="AJ125">
    <cfRule type="cellIs" dxfId="6243" priority="62733" stopIfTrue="1" operator="equal">
      <formula>"En cours"</formula>
    </cfRule>
  </conditionalFormatting>
  <conditionalFormatting sqref="AJ125">
    <cfRule type="cellIs" dxfId="6242" priority="62734" stopIfTrue="1" operator="notEqual">
      <formula>"En cours"</formula>
    </cfRule>
  </conditionalFormatting>
  <conditionalFormatting sqref="AK125">
    <cfRule type="cellIs" dxfId="6241" priority="62735" stopIfTrue="1" operator="equal">
      <formula>"En cours"</formula>
    </cfRule>
  </conditionalFormatting>
  <conditionalFormatting sqref="AK125">
    <cfRule type="cellIs" dxfId="6240" priority="62736" stopIfTrue="1" operator="notEqual">
      <formula>"En cours"</formula>
    </cfRule>
  </conditionalFormatting>
  <conditionalFormatting sqref="AJ69">
    <cfRule type="cellIs" dxfId="6231" priority="62745" stopIfTrue="1" operator="equal">
      <formula>"En cours"</formula>
    </cfRule>
  </conditionalFormatting>
  <conditionalFormatting sqref="AJ69">
    <cfRule type="cellIs" dxfId="6230" priority="62746" stopIfTrue="1" operator="notEqual">
      <formula>"En cours"</formula>
    </cfRule>
  </conditionalFormatting>
  <conditionalFormatting sqref="AK69">
    <cfRule type="cellIs" dxfId="6229" priority="62747" stopIfTrue="1" operator="equal">
      <formula>"En cours"</formula>
    </cfRule>
  </conditionalFormatting>
  <conditionalFormatting sqref="AK69">
    <cfRule type="cellIs" dxfId="6228" priority="62748" stopIfTrue="1" operator="notEqual">
      <formula>"En cours"</formula>
    </cfRule>
  </conditionalFormatting>
  <conditionalFormatting sqref="AJ75">
    <cfRule type="cellIs" dxfId="6227" priority="62749" stopIfTrue="1" operator="equal">
      <formula>"En cours"</formula>
    </cfRule>
  </conditionalFormatting>
  <conditionalFormatting sqref="AJ75">
    <cfRule type="cellIs" dxfId="6226" priority="62750" stopIfTrue="1" operator="notEqual">
      <formula>"En cours"</formula>
    </cfRule>
  </conditionalFormatting>
  <conditionalFormatting sqref="AK75">
    <cfRule type="cellIs" dxfId="6225" priority="62751" stopIfTrue="1" operator="equal">
      <formula>"En cours"</formula>
    </cfRule>
  </conditionalFormatting>
  <conditionalFormatting sqref="AK75">
    <cfRule type="cellIs" dxfId="6224" priority="62752" stopIfTrue="1" operator="notEqual">
      <formula>"En cours"</formula>
    </cfRule>
  </conditionalFormatting>
  <conditionalFormatting sqref="AJ56">
    <cfRule type="cellIs" dxfId="6219" priority="62757" stopIfTrue="1" operator="equal">
      <formula>"En cours"</formula>
    </cfRule>
  </conditionalFormatting>
  <conditionalFormatting sqref="AJ56">
    <cfRule type="cellIs" dxfId="6218" priority="62758" stopIfTrue="1" operator="notEqual">
      <formula>"En cours"</formula>
    </cfRule>
  </conditionalFormatting>
  <conditionalFormatting sqref="AK56">
    <cfRule type="cellIs" dxfId="6217" priority="62759" stopIfTrue="1" operator="equal">
      <formula>"En cours"</formula>
    </cfRule>
  </conditionalFormatting>
  <conditionalFormatting sqref="AK56">
    <cfRule type="cellIs" dxfId="6216" priority="62760" stopIfTrue="1" operator="notEqual">
      <formula>"En cours"</formula>
    </cfRule>
  </conditionalFormatting>
  <conditionalFormatting sqref="AJ62">
    <cfRule type="cellIs" dxfId="6215" priority="62761" stopIfTrue="1" operator="equal">
      <formula>"En cours"</formula>
    </cfRule>
  </conditionalFormatting>
  <conditionalFormatting sqref="AJ62">
    <cfRule type="cellIs" dxfId="6214" priority="62762" stopIfTrue="1" operator="notEqual">
      <formula>"En cours"</formula>
    </cfRule>
  </conditionalFormatting>
  <conditionalFormatting sqref="AK62">
    <cfRule type="cellIs" dxfId="6213" priority="62763" stopIfTrue="1" operator="equal">
      <formula>"En cours"</formula>
    </cfRule>
  </conditionalFormatting>
  <conditionalFormatting sqref="AK62">
    <cfRule type="cellIs" dxfId="6212" priority="62764" stopIfTrue="1" operator="notEqual">
      <formula>"En cours"</formula>
    </cfRule>
  </conditionalFormatting>
  <conditionalFormatting sqref="AJ124">
    <cfRule type="cellIs" dxfId="6207" priority="62769" stopIfTrue="1" operator="equal">
      <formula>"En cours"</formula>
    </cfRule>
  </conditionalFormatting>
  <conditionalFormatting sqref="AJ124">
    <cfRule type="cellIs" dxfId="6206" priority="62770" stopIfTrue="1" operator="notEqual">
      <formula>"En cours"</formula>
    </cfRule>
  </conditionalFormatting>
  <conditionalFormatting sqref="AK124">
    <cfRule type="cellIs" dxfId="6205" priority="62771" stopIfTrue="1" operator="equal">
      <formula>"En cours"</formula>
    </cfRule>
  </conditionalFormatting>
  <conditionalFormatting sqref="AK124">
    <cfRule type="cellIs" dxfId="6204" priority="62772" stopIfTrue="1" operator="notEqual">
      <formula>"En cours"</formula>
    </cfRule>
  </conditionalFormatting>
  <conditionalFormatting sqref="AJ58">
    <cfRule type="cellIs" dxfId="6199" priority="62777" stopIfTrue="1" operator="equal">
      <formula>"En cours"</formula>
    </cfRule>
  </conditionalFormatting>
  <conditionalFormatting sqref="AJ58">
    <cfRule type="cellIs" dxfId="6198" priority="62778" stopIfTrue="1" operator="notEqual">
      <formula>"En cours"</formula>
    </cfRule>
  </conditionalFormatting>
  <conditionalFormatting sqref="AK58">
    <cfRule type="cellIs" dxfId="6197" priority="62779" stopIfTrue="1" operator="equal">
      <formula>"En cours"</formula>
    </cfRule>
  </conditionalFormatting>
  <conditionalFormatting sqref="AK58">
    <cfRule type="cellIs" dxfId="6196" priority="62780" stopIfTrue="1" operator="notEqual">
      <formula>"En cours"</formula>
    </cfRule>
  </conditionalFormatting>
  <conditionalFormatting sqref="AJ60">
    <cfRule type="cellIs" dxfId="6195" priority="62781" stopIfTrue="1" operator="equal">
      <formula>"En cours"</formula>
    </cfRule>
  </conditionalFormatting>
  <conditionalFormatting sqref="AJ60">
    <cfRule type="cellIs" dxfId="6194" priority="62782" stopIfTrue="1" operator="notEqual">
      <formula>"En cours"</formula>
    </cfRule>
  </conditionalFormatting>
  <conditionalFormatting sqref="AK60">
    <cfRule type="cellIs" dxfId="6193" priority="62783" stopIfTrue="1" operator="equal">
      <formula>"En cours"</formula>
    </cfRule>
  </conditionalFormatting>
  <conditionalFormatting sqref="AK60">
    <cfRule type="cellIs" dxfId="6192" priority="62784" stopIfTrue="1" operator="notEqual">
      <formula>"En cours"</formula>
    </cfRule>
  </conditionalFormatting>
  <conditionalFormatting sqref="AJ128">
    <cfRule type="cellIs" dxfId="6191" priority="62785" stopIfTrue="1" operator="equal">
      <formula>"En cours"</formula>
    </cfRule>
  </conditionalFormatting>
  <conditionalFormatting sqref="AJ128">
    <cfRule type="cellIs" dxfId="6190" priority="62786" stopIfTrue="1" operator="notEqual">
      <formula>"En cours"</formula>
    </cfRule>
  </conditionalFormatting>
  <conditionalFormatting sqref="AK128">
    <cfRule type="cellIs" dxfId="6189" priority="62787" stopIfTrue="1" operator="equal">
      <formula>"En cours"</formula>
    </cfRule>
  </conditionalFormatting>
  <conditionalFormatting sqref="AK128">
    <cfRule type="cellIs" dxfId="6188" priority="62788" stopIfTrue="1" operator="notEqual">
      <formula>"En cours"</formula>
    </cfRule>
  </conditionalFormatting>
  <conditionalFormatting sqref="AJ126">
    <cfRule type="cellIs" dxfId="6183" priority="62793" stopIfTrue="1" operator="equal">
      <formula>"En cours"</formula>
    </cfRule>
  </conditionalFormatting>
  <conditionalFormatting sqref="AJ126">
    <cfRule type="cellIs" dxfId="6182" priority="62794" stopIfTrue="1" operator="notEqual">
      <formula>"En cours"</formula>
    </cfRule>
  </conditionalFormatting>
  <conditionalFormatting sqref="AK126">
    <cfRule type="cellIs" dxfId="6181" priority="62795" stopIfTrue="1" operator="equal">
      <formula>"En cours"</formula>
    </cfRule>
  </conditionalFormatting>
  <conditionalFormatting sqref="AK126">
    <cfRule type="cellIs" dxfId="6180" priority="62796" stopIfTrue="1" operator="notEqual">
      <formula>"En cours"</formula>
    </cfRule>
  </conditionalFormatting>
  <conditionalFormatting sqref="AJ107">
    <cfRule type="cellIs" dxfId="6179" priority="62797" stopIfTrue="1" operator="equal">
      <formula>"En cours"</formula>
    </cfRule>
  </conditionalFormatting>
  <conditionalFormatting sqref="AJ107">
    <cfRule type="cellIs" dxfId="6178" priority="62798" stopIfTrue="1" operator="notEqual">
      <formula>"En cours"</formula>
    </cfRule>
  </conditionalFormatting>
  <conditionalFormatting sqref="AK107">
    <cfRule type="cellIs" dxfId="6177" priority="62799" stopIfTrue="1" operator="equal">
      <formula>"En cours"</formula>
    </cfRule>
  </conditionalFormatting>
  <conditionalFormatting sqref="AK107">
    <cfRule type="cellIs" dxfId="6176" priority="62800" stopIfTrue="1" operator="notEqual">
      <formula>"En cours"</formula>
    </cfRule>
  </conditionalFormatting>
  <conditionalFormatting sqref="AJ134">
    <cfRule type="cellIs" dxfId="6159" priority="62817" stopIfTrue="1" operator="equal">
      <formula>"En cours"</formula>
    </cfRule>
  </conditionalFormatting>
  <conditionalFormatting sqref="AJ134">
    <cfRule type="cellIs" dxfId="6158" priority="62818" stopIfTrue="1" operator="notEqual">
      <formula>"En cours"</formula>
    </cfRule>
  </conditionalFormatting>
  <conditionalFormatting sqref="AK134">
    <cfRule type="cellIs" dxfId="6157" priority="62819" stopIfTrue="1" operator="equal">
      <formula>"En cours"</formula>
    </cfRule>
  </conditionalFormatting>
  <conditionalFormatting sqref="AK134">
    <cfRule type="cellIs" dxfId="6156" priority="62820" stopIfTrue="1" operator="notEqual">
      <formula>"En cours"</formula>
    </cfRule>
  </conditionalFormatting>
  <conditionalFormatting sqref="AJ110">
    <cfRule type="cellIs" dxfId="6155" priority="62821" stopIfTrue="1" operator="equal">
      <formula>"En cours"</formula>
    </cfRule>
  </conditionalFormatting>
  <conditionalFormatting sqref="AJ110">
    <cfRule type="cellIs" dxfId="6154" priority="62822" stopIfTrue="1" operator="notEqual">
      <formula>"En cours"</formula>
    </cfRule>
  </conditionalFormatting>
  <conditionalFormatting sqref="AK110">
    <cfRule type="cellIs" dxfId="6153" priority="62823" stopIfTrue="1" operator="equal">
      <formula>"En cours"</formula>
    </cfRule>
  </conditionalFormatting>
  <conditionalFormatting sqref="AK110">
    <cfRule type="cellIs" dxfId="6152" priority="62824" stopIfTrue="1" operator="notEqual">
      <formula>"En cours"</formula>
    </cfRule>
  </conditionalFormatting>
  <conditionalFormatting sqref="AJ61">
    <cfRule type="cellIs" dxfId="6143" priority="62833" stopIfTrue="1" operator="equal">
      <formula>"En cours"</formula>
    </cfRule>
  </conditionalFormatting>
  <conditionalFormatting sqref="AJ61">
    <cfRule type="cellIs" dxfId="6142" priority="62834" stopIfTrue="1" operator="notEqual">
      <formula>"En cours"</formula>
    </cfRule>
  </conditionalFormatting>
  <conditionalFormatting sqref="AK61">
    <cfRule type="cellIs" dxfId="6141" priority="62835" stopIfTrue="1" operator="equal">
      <formula>"En cours"</formula>
    </cfRule>
  </conditionalFormatting>
  <conditionalFormatting sqref="AK61">
    <cfRule type="cellIs" dxfId="6140" priority="62836" stopIfTrue="1" operator="notEqual">
      <formula>"En cours"</formula>
    </cfRule>
  </conditionalFormatting>
  <conditionalFormatting sqref="AJ20">
    <cfRule type="cellIs" dxfId="5819" priority="63157" stopIfTrue="1" operator="equal">
      <formula>"En cours"</formula>
    </cfRule>
  </conditionalFormatting>
  <conditionalFormatting sqref="AJ20">
    <cfRule type="cellIs" dxfId="5818" priority="63158" stopIfTrue="1" operator="notEqual">
      <formula>"En cours"</formula>
    </cfRule>
  </conditionalFormatting>
  <conditionalFormatting sqref="AK20">
    <cfRule type="cellIs" dxfId="5817" priority="63159" stopIfTrue="1" operator="equal">
      <formula>"En cours"</formula>
    </cfRule>
  </conditionalFormatting>
  <conditionalFormatting sqref="AK20">
    <cfRule type="cellIs" dxfId="5816" priority="63160" stopIfTrue="1" operator="notEqual">
      <formula>"En cours"</formula>
    </cfRule>
  </conditionalFormatting>
  <conditionalFormatting sqref="AJ137">
    <cfRule type="cellIs" dxfId="5807" priority="63169" stopIfTrue="1" operator="equal">
      <formula>"En cours"</formula>
    </cfRule>
  </conditionalFormatting>
  <conditionalFormatting sqref="AJ137">
    <cfRule type="cellIs" dxfId="5806" priority="63170" stopIfTrue="1" operator="notEqual">
      <formula>"En cours"</formula>
    </cfRule>
  </conditionalFormatting>
  <conditionalFormatting sqref="AK137">
    <cfRule type="cellIs" dxfId="5805" priority="63171" stopIfTrue="1" operator="equal">
      <formula>"En cours"</formula>
    </cfRule>
  </conditionalFormatting>
  <conditionalFormatting sqref="AK137">
    <cfRule type="cellIs" dxfId="5804" priority="63172" stopIfTrue="1" operator="notEqual">
      <formula>"En cours"</formula>
    </cfRule>
  </conditionalFormatting>
  <conditionalFormatting sqref="AJ140">
    <cfRule type="cellIs" dxfId="5799" priority="63177" stopIfTrue="1" operator="equal">
      <formula>"En cours"</formula>
    </cfRule>
  </conditionalFormatting>
  <conditionalFormatting sqref="AJ140">
    <cfRule type="cellIs" dxfId="5798" priority="63178" stopIfTrue="1" operator="notEqual">
      <formula>"En cours"</formula>
    </cfRule>
  </conditionalFormatting>
  <conditionalFormatting sqref="AK140">
    <cfRule type="cellIs" dxfId="5797" priority="63179" stopIfTrue="1" operator="equal">
      <formula>"En cours"</formula>
    </cfRule>
  </conditionalFormatting>
  <conditionalFormatting sqref="AK140">
    <cfRule type="cellIs" dxfId="5796" priority="63180" stopIfTrue="1" operator="notEqual">
      <formula>"En cours"</formula>
    </cfRule>
  </conditionalFormatting>
  <conditionalFormatting sqref="AJ139">
    <cfRule type="cellIs" dxfId="5795" priority="63181" stopIfTrue="1" operator="equal">
      <formula>"En cours"</formula>
    </cfRule>
  </conditionalFormatting>
  <conditionalFormatting sqref="AJ139">
    <cfRule type="cellIs" dxfId="5794" priority="63182" stopIfTrue="1" operator="notEqual">
      <formula>"En cours"</formula>
    </cfRule>
  </conditionalFormatting>
  <conditionalFormatting sqref="AK139">
    <cfRule type="cellIs" dxfId="5793" priority="63183" stopIfTrue="1" operator="equal">
      <formula>"En cours"</formula>
    </cfRule>
  </conditionalFormatting>
  <conditionalFormatting sqref="AK139">
    <cfRule type="cellIs" dxfId="5792" priority="63184" stopIfTrue="1" operator="notEqual">
      <formula>"En cours"</formula>
    </cfRule>
  </conditionalFormatting>
  <conditionalFormatting sqref="AJ81">
    <cfRule type="cellIs" dxfId="5783" priority="63193" stopIfTrue="1" operator="equal">
      <formula>"En cours"</formula>
    </cfRule>
  </conditionalFormatting>
  <conditionalFormatting sqref="AJ81">
    <cfRule type="cellIs" dxfId="5782" priority="63194" stopIfTrue="1" operator="notEqual">
      <formula>"En cours"</formula>
    </cfRule>
  </conditionalFormatting>
  <conditionalFormatting sqref="AK81">
    <cfRule type="cellIs" dxfId="5781" priority="63195" stopIfTrue="1" operator="equal">
      <formula>"En cours"</formula>
    </cfRule>
  </conditionalFormatting>
  <conditionalFormatting sqref="AK81">
    <cfRule type="cellIs" dxfId="5780" priority="63196" stopIfTrue="1" operator="notEqual">
      <formula>"En cours"</formula>
    </cfRule>
  </conditionalFormatting>
  <conditionalFormatting sqref="AJ9">
    <cfRule type="cellIs" dxfId="5775" priority="63201" stopIfTrue="1" operator="equal">
      <formula>"En cours"</formula>
    </cfRule>
  </conditionalFormatting>
  <conditionalFormatting sqref="AJ9">
    <cfRule type="cellIs" dxfId="5774" priority="63202" stopIfTrue="1" operator="notEqual">
      <formula>"En cours"</formula>
    </cfRule>
  </conditionalFormatting>
  <conditionalFormatting sqref="AK9">
    <cfRule type="cellIs" dxfId="5773" priority="63203" stopIfTrue="1" operator="equal">
      <formula>"En cours"</formula>
    </cfRule>
  </conditionalFormatting>
  <conditionalFormatting sqref="AK9">
    <cfRule type="cellIs" dxfId="5772" priority="63204" stopIfTrue="1" operator="notEqual">
      <formula>"En cours"</formula>
    </cfRule>
  </conditionalFormatting>
  <conditionalFormatting sqref="AJ48">
    <cfRule type="cellIs" dxfId="5767" priority="63209" stopIfTrue="1" operator="equal">
      <formula>"En cours"</formula>
    </cfRule>
  </conditionalFormatting>
  <conditionalFormatting sqref="AJ48">
    <cfRule type="cellIs" dxfId="5766" priority="63210" stopIfTrue="1" operator="notEqual">
      <formula>"En cours"</formula>
    </cfRule>
  </conditionalFormatting>
  <conditionalFormatting sqref="AK48">
    <cfRule type="cellIs" dxfId="5765" priority="63211" stopIfTrue="1" operator="equal">
      <formula>"En cours"</formula>
    </cfRule>
  </conditionalFormatting>
  <conditionalFormatting sqref="AK48">
    <cfRule type="cellIs" dxfId="5764" priority="63212" stopIfTrue="1" operator="notEqual">
      <formula>"En cours"</formula>
    </cfRule>
  </conditionalFormatting>
  <conditionalFormatting sqref="AJ144">
    <cfRule type="cellIs" dxfId="5747" priority="63229" stopIfTrue="1" operator="equal">
      <formula>"En cours"</formula>
    </cfRule>
  </conditionalFormatting>
  <conditionalFormatting sqref="AJ144">
    <cfRule type="cellIs" dxfId="5746" priority="63230" stopIfTrue="1" operator="notEqual">
      <formula>"En cours"</formula>
    </cfRule>
  </conditionalFormatting>
  <conditionalFormatting sqref="AK144">
    <cfRule type="cellIs" dxfId="5745" priority="63231" stopIfTrue="1" operator="equal">
      <formula>"En cours"</formula>
    </cfRule>
  </conditionalFormatting>
  <conditionalFormatting sqref="AK144">
    <cfRule type="cellIs" dxfId="5744" priority="63232" stopIfTrue="1" operator="notEqual">
      <formula>"En cours"</formula>
    </cfRule>
  </conditionalFormatting>
  <conditionalFormatting sqref="AJ86">
    <cfRule type="cellIs" dxfId="5715" priority="63261" stopIfTrue="1" operator="equal">
      <formula>"En cours"</formula>
    </cfRule>
  </conditionalFormatting>
  <conditionalFormatting sqref="AJ86">
    <cfRule type="cellIs" dxfId="5714" priority="63262" stopIfTrue="1" operator="notEqual">
      <formula>"En cours"</formula>
    </cfRule>
  </conditionalFormatting>
  <conditionalFormatting sqref="AK86">
    <cfRule type="cellIs" dxfId="5713" priority="63263" stopIfTrue="1" operator="equal">
      <formula>"En cours"</formula>
    </cfRule>
  </conditionalFormatting>
  <conditionalFormatting sqref="AK86">
    <cfRule type="cellIs" dxfId="5712" priority="63264" stopIfTrue="1" operator="notEqual">
      <formula>"En cours"</formula>
    </cfRule>
  </conditionalFormatting>
  <conditionalFormatting sqref="AJ143">
    <cfRule type="cellIs" dxfId="5707" priority="63269" stopIfTrue="1" operator="equal">
      <formula>"En cours"</formula>
    </cfRule>
  </conditionalFormatting>
  <conditionalFormatting sqref="AJ143">
    <cfRule type="cellIs" dxfId="5706" priority="63270" stopIfTrue="1" operator="notEqual">
      <formula>"En cours"</formula>
    </cfRule>
  </conditionalFormatting>
  <conditionalFormatting sqref="AK143">
    <cfRule type="cellIs" dxfId="5705" priority="63271" stopIfTrue="1" operator="equal">
      <formula>"En cours"</formula>
    </cfRule>
  </conditionalFormatting>
  <conditionalFormatting sqref="AK143">
    <cfRule type="cellIs" dxfId="5704" priority="63272" stopIfTrue="1" operator="notEqual">
      <formula>"En cours"</formula>
    </cfRule>
  </conditionalFormatting>
  <conditionalFormatting sqref="AJ150">
    <cfRule type="cellIs" dxfId="5671" priority="63305" stopIfTrue="1" operator="equal">
      <formula>"En cours"</formula>
    </cfRule>
  </conditionalFormatting>
  <conditionalFormatting sqref="AJ150">
    <cfRule type="cellIs" dxfId="5670" priority="63306" stopIfTrue="1" operator="notEqual">
      <formula>"En cours"</formula>
    </cfRule>
  </conditionalFormatting>
  <conditionalFormatting sqref="AK150">
    <cfRule type="cellIs" dxfId="5669" priority="63307" stopIfTrue="1" operator="equal">
      <formula>"En cours"</formula>
    </cfRule>
  </conditionalFormatting>
  <conditionalFormatting sqref="AK150">
    <cfRule type="cellIs" dxfId="5668" priority="63308" stopIfTrue="1" operator="notEqual">
      <formula>"En cours"</formula>
    </cfRule>
  </conditionalFormatting>
  <conditionalFormatting sqref="AJ151">
    <cfRule type="cellIs" dxfId="5667" priority="63309" stopIfTrue="1" operator="equal">
      <formula>"En cours"</formula>
    </cfRule>
  </conditionalFormatting>
  <conditionalFormatting sqref="AJ151">
    <cfRule type="cellIs" dxfId="5666" priority="63310" stopIfTrue="1" operator="notEqual">
      <formula>"En cours"</formula>
    </cfRule>
  </conditionalFormatting>
  <conditionalFormatting sqref="AK151">
    <cfRule type="cellIs" dxfId="5665" priority="63311" stopIfTrue="1" operator="equal">
      <formula>"En cours"</formula>
    </cfRule>
  </conditionalFormatting>
  <conditionalFormatting sqref="AK151">
    <cfRule type="cellIs" dxfId="5664" priority="63312" stopIfTrue="1" operator="notEqual">
      <formula>"En cours"</formula>
    </cfRule>
  </conditionalFormatting>
  <conditionalFormatting sqref="AJ149">
    <cfRule type="cellIs" dxfId="5651" priority="63325" stopIfTrue="1" operator="equal">
      <formula>"En cours"</formula>
    </cfRule>
  </conditionalFormatting>
  <conditionalFormatting sqref="AJ149">
    <cfRule type="cellIs" dxfId="5650" priority="63326" stopIfTrue="1" operator="notEqual">
      <formula>"En cours"</formula>
    </cfRule>
  </conditionalFormatting>
  <conditionalFormatting sqref="AK149">
    <cfRule type="cellIs" dxfId="5649" priority="63327" stopIfTrue="1" operator="equal">
      <formula>"En cours"</formula>
    </cfRule>
  </conditionalFormatting>
  <conditionalFormatting sqref="AK149">
    <cfRule type="cellIs" dxfId="5648" priority="63328" stopIfTrue="1" operator="notEqual">
      <formula>"En cours"</formula>
    </cfRule>
  </conditionalFormatting>
  <conditionalFormatting sqref="AJ99">
    <cfRule type="cellIs" dxfId="5647" priority="63329" stopIfTrue="1" operator="equal">
      <formula>"En cours"</formula>
    </cfRule>
  </conditionalFormatting>
  <conditionalFormatting sqref="AJ99">
    <cfRule type="cellIs" dxfId="5646" priority="63330" stopIfTrue="1" operator="notEqual">
      <formula>"En cours"</formula>
    </cfRule>
  </conditionalFormatting>
  <conditionalFormatting sqref="AK99">
    <cfRule type="cellIs" dxfId="5645" priority="63331" stopIfTrue="1" operator="equal">
      <formula>"En cours"</formula>
    </cfRule>
  </conditionalFormatting>
  <conditionalFormatting sqref="AK99">
    <cfRule type="cellIs" dxfId="5644" priority="63332" stopIfTrue="1" operator="notEqual">
      <formula>"En cours"</formula>
    </cfRule>
  </conditionalFormatting>
  <conditionalFormatting sqref="AJ95">
    <cfRule type="cellIs" dxfId="5643" priority="63333" stopIfTrue="1" operator="equal">
      <formula>"En cours"</formula>
    </cfRule>
  </conditionalFormatting>
  <conditionalFormatting sqref="AJ95">
    <cfRule type="cellIs" dxfId="5642" priority="63334" stopIfTrue="1" operator="notEqual">
      <formula>"En cours"</formula>
    </cfRule>
  </conditionalFormatting>
  <conditionalFormatting sqref="AK95">
    <cfRule type="cellIs" dxfId="5641" priority="63335" stopIfTrue="1" operator="equal">
      <formula>"En cours"</formula>
    </cfRule>
  </conditionalFormatting>
  <conditionalFormatting sqref="AK95">
    <cfRule type="cellIs" dxfId="5640" priority="63336" stopIfTrue="1" operator="notEqual">
      <formula>"En cours"</formula>
    </cfRule>
  </conditionalFormatting>
  <conditionalFormatting sqref="AJ97">
    <cfRule type="cellIs" dxfId="5623" priority="63353" stopIfTrue="1" operator="equal">
      <formula>"En cours"</formula>
    </cfRule>
  </conditionalFormatting>
  <conditionalFormatting sqref="AJ97">
    <cfRule type="cellIs" dxfId="5622" priority="63354" stopIfTrue="1" operator="notEqual">
      <formula>"En cours"</formula>
    </cfRule>
  </conditionalFormatting>
  <conditionalFormatting sqref="AK97">
    <cfRule type="cellIs" dxfId="5621" priority="63355" stopIfTrue="1" operator="equal">
      <formula>"En cours"</formula>
    </cfRule>
  </conditionalFormatting>
  <conditionalFormatting sqref="AK97">
    <cfRule type="cellIs" dxfId="5620" priority="63356" stopIfTrue="1" operator="notEqual">
      <formula>"En cours"</formula>
    </cfRule>
  </conditionalFormatting>
  <conditionalFormatting sqref="AJ53">
    <cfRule type="cellIs" dxfId="5619" priority="63357" stopIfTrue="1" operator="equal">
      <formula>"En cours"</formula>
    </cfRule>
  </conditionalFormatting>
  <conditionalFormatting sqref="AJ53">
    <cfRule type="cellIs" dxfId="5618" priority="63358" stopIfTrue="1" operator="notEqual">
      <formula>"En cours"</formula>
    </cfRule>
  </conditionalFormatting>
  <conditionalFormatting sqref="AK53">
    <cfRule type="cellIs" dxfId="5617" priority="63359" stopIfTrue="1" operator="equal">
      <formula>"En cours"</formula>
    </cfRule>
  </conditionalFormatting>
  <conditionalFormatting sqref="AK53">
    <cfRule type="cellIs" dxfId="5616" priority="63360" stopIfTrue="1" operator="notEqual">
      <formula>"En cours"</formula>
    </cfRule>
  </conditionalFormatting>
  <conditionalFormatting sqref="AJ152">
    <cfRule type="cellIs" dxfId="5615" priority="63361" stopIfTrue="1" operator="equal">
      <formula>"En cours"</formula>
    </cfRule>
  </conditionalFormatting>
  <conditionalFormatting sqref="AJ152">
    <cfRule type="cellIs" dxfId="5614" priority="63362" stopIfTrue="1" operator="notEqual">
      <formula>"En cours"</formula>
    </cfRule>
  </conditionalFormatting>
  <conditionalFormatting sqref="AK152">
    <cfRule type="cellIs" dxfId="5613" priority="63363" stopIfTrue="1" operator="equal">
      <formula>"En cours"</formula>
    </cfRule>
  </conditionalFormatting>
  <conditionalFormatting sqref="AK152">
    <cfRule type="cellIs" dxfId="5612" priority="63364" stopIfTrue="1" operator="notEqual">
      <formula>"En cours"</formula>
    </cfRule>
  </conditionalFormatting>
  <conditionalFormatting sqref="AJ102">
    <cfRule type="cellIs" dxfId="5599" priority="63377" stopIfTrue="1" operator="equal">
      <formula>"En cours"</formula>
    </cfRule>
  </conditionalFormatting>
  <conditionalFormatting sqref="AJ102">
    <cfRule type="cellIs" dxfId="5598" priority="63378" stopIfTrue="1" operator="notEqual">
      <formula>"En cours"</formula>
    </cfRule>
  </conditionalFormatting>
  <conditionalFormatting sqref="AK102">
    <cfRule type="cellIs" dxfId="5597" priority="63379" stopIfTrue="1" operator="equal">
      <formula>"En cours"</formula>
    </cfRule>
  </conditionalFormatting>
  <conditionalFormatting sqref="AK102">
    <cfRule type="cellIs" dxfId="5596" priority="63380" stopIfTrue="1" operator="notEqual">
      <formula>"En cours"</formula>
    </cfRule>
  </conditionalFormatting>
  <conditionalFormatting sqref="AJ115">
    <cfRule type="cellIs" dxfId="5591" priority="63385" stopIfTrue="1" operator="equal">
      <formula>"En cours"</formula>
    </cfRule>
  </conditionalFormatting>
  <conditionalFormatting sqref="AJ115">
    <cfRule type="cellIs" dxfId="5590" priority="63386" stopIfTrue="1" operator="notEqual">
      <formula>"En cours"</formula>
    </cfRule>
  </conditionalFormatting>
  <conditionalFormatting sqref="AK115">
    <cfRule type="cellIs" dxfId="5589" priority="63387" stopIfTrue="1" operator="equal">
      <formula>"En cours"</formula>
    </cfRule>
  </conditionalFormatting>
  <conditionalFormatting sqref="AK115">
    <cfRule type="cellIs" dxfId="5588" priority="63388" stopIfTrue="1" operator="notEqual">
      <formula>"En cours"</formula>
    </cfRule>
  </conditionalFormatting>
  <conditionalFormatting sqref="AJ104">
    <cfRule type="cellIs" dxfId="5583" priority="63393" stopIfTrue="1" operator="equal">
      <formula>"En cours"</formula>
    </cfRule>
  </conditionalFormatting>
  <conditionalFormatting sqref="AJ104">
    <cfRule type="cellIs" dxfId="5582" priority="63394" stopIfTrue="1" operator="notEqual">
      <formula>"En cours"</formula>
    </cfRule>
  </conditionalFormatting>
  <conditionalFormatting sqref="AK104">
    <cfRule type="cellIs" dxfId="5581" priority="63395" stopIfTrue="1" operator="equal">
      <formula>"En cours"</formula>
    </cfRule>
  </conditionalFormatting>
  <conditionalFormatting sqref="AK104">
    <cfRule type="cellIs" dxfId="5580" priority="63396" stopIfTrue="1" operator="notEqual">
      <formula>"En cours"</formula>
    </cfRule>
  </conditionalFormatting>
  <conditionalFormatting sqref="AJ158">
    <cfRule type="cellIs" dxfId="5571" priority="63405" stopIfTrue="1" operator="equal">
      <formula>"En cours"</formula>
    </cfRule>
  </conditionalFormatting>
  <conditionalFormatting sqref="AJ158">
    <cfRule type="cellIs" dxfId="5570" priority="63406" stopIfTrue="1" operator="notEqual">
      <formula>"En cours"</formula>
    </cfRule>
  </conditionalFormatting>
  <conditionalFormatting sqref="AK158">
    <cfRule type="cellIs" dxfId="5569" priority="63407" stopIfTrue="1" operator="equal">
      <formula>"En cours"</formula>
    </cfRule>
  </conditionalFormatting>
  <conditionalFormatting sqref="AK158">
    <cfRule type="cellIs" dxfId="5568" priority="63408" stopIfTrue="1" operator="notEqual">
      <formula>"En cours"</formula>
    </cfRule>
  </conditionalFormatting>
  <conditionalFormatting sqref="AJ118">
    <cfRule type="cellIs" dxfId="5559" priority="63417" stopIfTrue="1" operator="equal">
      <formula>"En cours"</formula>
    </cfRule>
  </conditionalFormatting>
  <conditionalFormatting sqref="AJ118">
    <cfRule type="cellIs" dxfId="5558" priority="63418" stopIfTrue="1" operator="notEqual">
      <formula>"En cours"</formula>
    </cfRule>
  </conditionalFormatting>
  <conditionalFormatting sqref="AK118">
    <cfRule type="cellIs" dxfId="5557" priority="63419" stopIfTrue="1" operator="equal">
      <formula>"En cours"</formula>
    </cfRule>
  </conditionalFormatting>
  <conditionalFormatting sqref="AK118">
    <cfRule type="cellIs" dxfId="5556" priority="63420" stopIfTrue="1" operator="notEqual">
      <formula>"En cours"</formula>
    </cfRule>
  </conditionalFormatting>
  <conditionalFormatting sqref="AJ157">
    <cfRule type="cellIs" dxfId="5555" priority="63421" stopIfTrue="1" operator="equal">
      <formula>"En cours"</formula>
    </cfRule>
  </conditionalFormatting>
  <conditionalFormatting sqref="AJ157">
    <cfRule type="cellIs" dxfId="5554" priority="63422" stopIfTrue="1" operator="notEqual">
      <formula>"En cours"</formula>
    </cfRule>
  </conditionalFormatting>
  <conditionalFormatting sqref="AK157">
    <cfRule type="cellIs" dxfId="5553" priority="63423" stopIfTrue="1" operator="equal">
      <formula>"En cours"</formula>
    </cfRule>
  </conditionalFormatting>
  <conditionalFormatting sqref="AK157">
    <cfRule type="cellIs" dxfId="5552" priority="63424" stopIfTrue="1" operator="notEqual">
      <formula>"En cours"</formula>
    </cfRule>
  </conditionalFormatting>
  <conditionalFormatting sqref="AJ161">
    <cfRule type="cellIs" dxfId="5519" priority="63457" stopIfTrue="1" operator="equal">
      <formula>"En cours"</formula>
    </cfRule>
  </conditionalFormatting>
  <conditionalFormatting sqref="AJ161">
    <cfRule type="cellIs" dxfId="5518" priority="63458" stopIfTrue="1" operator="notEqual">
      <formula>"En cours"</formula>
    </cfRule>
  </conditionalFormatting>
  <conditionalFormatting sqref="AK161">
    <cfRule type="cellIs" dxfId="5517" priority="63459" stopIfTrue="1" operator="equal">
      <formula>"En cours"</formula>
    </cfRule>
  </conditionalFormatting>
  <conditionalFormatting sqref="AK161">
    <cfRule type="cellIs" dxfId="5516" priority="63460" stopIfTrue="1" operator="notEqual">
      <formula>"En cours"</formula>
    </cfRule>
  </conditionalFormatting>
  <conditionalFormatting sqref="AJ162">
    <cfRule type="cellIs" dxfId="5515" priority="63461" stopIfTrue="1" operator="equal">
      <formula>"En cours"</formula>
    </cfRule>
  </conditionalFormatting>
  <conditionalFormatting sqref="AJ162">
    <cfRule type="cellIs" dxfId="5514" priority="63462" stopIfTrue="1" operator="notEqual">
      <formula>"En cours"</formula>
    </cfRule>
  </conditionalFormatting>
  <conditionalFormatting sqref="AK162">
    <cfRule type="cellIs" dxfId="5513" priority="63463" stopIfTrue="1" operator="equal">
      <formula>"En cours"</formula>
    </cfRule>
  </conditionalFormatting>
  <conditionalFormatting sqref="AK162">
    <cfRule type="cellIs" dxfId="5512" priority="63464" stopIfTrue="1" operator="notEqual">
      <formula>"En cours"</formula>
    </cfRule>
  </conditionalFormatting>
  <conditionalFormatting sqref="AJ164">
    <cfRule type="cellIs" dxfId="5503" priority="63473" stopIfTrue="1" operator="equal">
      <formula>"En cours"</formula>
    </cfRule>
  </conditionalFormatting>
  <conditionalFormatting sqref="AJ164">
    <cfRule type="cellIs" dxfId="5502" priority="63474" stopIfTrue="1" operator="notEqual">
      <formula>"En cours"</formula>
    </cfRule>
  </conditionalFormatting>
  <conditionalFormatting sqref="AK164">
    <cfRule type="cellIs" dxfId="5501" priority="63475" stopIfTrue="1" operator="equal">
      <formula>"En cours"</formula>
    </cfRule>
  </conditionalFormatting>
  <conditionalFormatting sqref="AK164">
    <cfRule type="cellIs" dxfId="5500" priority="63476" stopIfTrue="1" operator="notEqual">
      <formula>"En cours"</formula>
    </cfRule>
  </conditionalFormatting>
  <conditionalFormatting sqref="AJ17">
    <cfRule type="cellIs" dxfId="5251" priority="63725" stopIfTrue="1" operator="equal">
      <formula>"En cours"</formula>
    </cfRule>
  </conditionalFormatting>
  <conditionalFormatting sqref="AJ17">
    <cfRule type="cellIs" dxfId="5250" priority="63726" stopIfTrue="1" operator="notEqual">
      <formula>"En cours"</formula>
    </cfRule>
  </conditionalFormatting>
  <conditionalFormatting sqref="AK17">
    <cfRule type="cellIs" dxfId="5249" priority="63727" stopIfTrue="1" operator="equal">
      <formula>"En cours"</formula>
    </cfRule>
  </conditionalFormatting>
  <conditionalFormatting sqref="AK17">
    <cfRule type="cellIs" dxfId="5248" priority="63728" stopIfTrue="1" operator="notEqual">
      <formula>"En cours"</formula>
    </cfRule>
  </conditionalFormatting>
  <conditionalFormatting sqref="AJ166">
    <cfRule type="cellIs" dxfId="5239" priority="63737" stopIfTrue="1" operator="equal">
      <formula>"En cours"</formula>
    </cfRule>
  </conditionalFormatting>
  <conditionalFormatting sqref="AJ166">
    <cfRule type="cellIs" dxfId="5238" priority="63738" stopIfTrue="1" operator="notEqual">
      <formula>"En cours"</formula>
    </cfRule>
  </conditionalFormatting>
  <conditionalFormatting sqref="AK166">
    <cfRule type="cellIs" dxfId="5237" priority="63739" stopIfTrue="1" operator="equal">
      <formula>"En cours"</formula>
    </cfRule>
  </conditionalFormatting>
  <conditionalFormatting sqref="AK166">
    <cfRule type="cellIs" dxfId="5236" priority="63740" stopIfTrue="1" operator="notEqual">
      <formula>"En cours"</formula>
    </cfRule>
  </conditionalFormatting>
  <conditionalFormatting sqref="AJ167">
    <cfRule type="cellIs" dxfId="5235" priority="63741" stopIfTrue="1" operator="equal">
      <formula>"En cours"</formula>
    </cfRule>
  </conditionalFormatting>
  <conditionalFormatting sqref="AJ167">
    <cfRule type="cellIs" dxfId="5234" priority="63742" stopIfTrue="1" operator="notEqual">
      <formula>"En cours"</formula>
    </cfRule>
  </conditionalFormatting>
  <conditionalFormatting sqref="AK167">
    <cfRule type="cellIs" dxfId="5233" priority="63743" stopIfTrue="1" operator="equal">
      <formula>"En cours"</formula>
    </cfRule>
  </conditionalFormatting>
  <conditionalFormatting sqref="AK167">
    <cfRule type="cellIs" dxfId="5232" priority="63744" stopIfTrue="1" operator="notEqual">
      <formula>"En cours"</formula>
    </cfRule>
  </conditionalFormatting>
  <conditionalFormatting sqref="AJ78">
    <cfRule type="cellIs" dxfId="5227" priority="63749" stopIfTrue="1" operator="equal">
      <formula>"En cours"</formula>
    </cfRule>
  </conditionalFormatting>
  <conditionalFormatting sqref="AJ78">
    <cfRule type="cellIs" dxfId="5226" priority="63750" stopIfTrue="1" operator="notEqual">
      <formula>"En cours"</formula>
    </cfRule>
  </conditionalFormatting>
  <conditionalFormatting sqref="AK78">
    <cfRule type="cellIs" dxfId="5225" priority="63751" stopIfTrue="1" operator="equal">
      <formula>"En cours"</formula>
    </cfRule>
  </conditionalFormatting>
  <conditionalFormatting sqref="AK78">
    <cfRule type="cellIs" dxfId="5224" priority="63752" stopIfTrue="1" operator="notEqual">
      <formula>"En cours"</formula>
    </cfRule>
  </conditionalFormatting>
  <conditionalFormatting sqref="AJ15">
    <cfRule type="cellIs" dxfId="5223" priority="63753" stopIfTrue="1" operator="equal">
      <formula>"En cours"</formula>
    </cfRule>
  </conditionalFormatting>
  <conditionalFormatting sqref="AJ15">
    <cfRule type="cellIs" dxfId="5222" priority="63754" stopIfTrue="1" operator="notEqual">
      <formula>"En cours"</formula>
    </cfRule>
  </conditionalFormatting>
  <conditionalFormatting sqref="AK15">
    <cfRule type="cellIs" dxfId="5221" priority="63755" stopIfTrue="1" operator="equal">
      <formula>"En cours"</formula>
    </cfRule>
  </conditionalFormatting>
  <conditionalFormatting sqref="AK15">
    <cfRule type="cellIs" dxfId="5220" priority="63756" stopIfTrue="1" operator="notEqual">
      <formula>"En cours"</formula>
    </cfRule>
  </conditionalFormatting>
  <conditionalFormatting sqref="AJ11">
    <cfRule type="cellIs" dxfId="5215" priority="63761" stopIfTrue="1" operator="equal">
      <formula>"En cours"</formula>
    </cfRule>
  </conditionalFormatting>
  <conditionalFormatting sqref="AJ11">
    <cfRule type="cellIs" dxfId="5214" priority="63762" stopIfTrue="1" operator="notEqual">
      <formula>"En cours"</formula>
    </cfRule>
  </conditionalFormatting>
  <conditionalFormatting sqref="AK11">
    <cfRule type="cellIs" dxfId="5213" priority="63763" stopIfTrue="1" operator="equal">
      <formula>"En cours"</formula>
    </cfRule>
  </conditionalFormatting>
  <conditionalFormatting sqref="AK11">
    <cfRule type="cellIs" dxfId="5212" priority="63764" stopIfTrue="1" operator="notEqual">
      <formula>"En cours"</formula>
    </cfRule>
  </conditionalFormatting>
  <conditionalFormatting sqref="AJ136">
    <cfRule type="cellIs" dxfId="5211" priority="63765" stopIfTrue="1" operator="equal">
      <formula>"En cours"</formula>
    </cfRule>
  </conditionalFormatting>
  <conditionalFormatting sqref="AJ136">
    <cfRule type="cellIs" dxfId="5210" priority="63766" stopIfTrue="1" operator="notEqual">
      <formula>"En cours"</formula>
    </cfRule>
  </conditionalFormatting>
  <conditionalFormatting sqref="AK136">
    <cfRule type="cellIs" dxfId="5209" priority="63767" stopIfTrue="1" operator="equal">
      <formula>"En cours"</formula>
    </cfRule>
  </conditionalFormatting>
  <conditionalFormatting sqref="AK136">
    <cfRule type="cellIs" dxfId="5208" priority="63768" stopIfTrue="1" operator="notEqual">
      <formula>"En cours"</formula>
    </cfRule>
  </conditionalFormatting>
  <conditionalFormatting sqref="AJ168">
    <cfRule type="cellIs" dxfId="5207" priority="63769" stopIfTrue="1" operator="equal">
      <formula>"En cours"</formula>
    </cfRule>
  </conditionalFormatting>
  <conditionalFormatting sqref="AJ168">
    <cfRule type="cellIs" dxfId="5206" priority="63770" stopIfTrue="1" operator="notEqual">
      <formula>"En cours"</formula>
    </cfRule>
  </conditionalFormatting>
  <conditionalFormatting sqref="AK168">
    <cfRule type="cellIs" dxfId="5205" priority="63771" stopIfTrue="1" operator="equal">
      <formula>"En cours"</formula>
    </cfRule>
  </conditionalFormatting>
  <conditionalFormatting sqref="AK168">
    <cfRule type="cellIs" dxfId="5204" priority="63772" stopIfTrue="1" operator="notEqual">
      <formula>"En cours"</formula>
    </cfRule>
  </conditionalFormatting>
  <conditionalFormatting sqref="AJ169">
    <cfRule type="cellIs" dxfId="5195" priority="63781" stopIfTrue="1" operator="equal">
      <formula>"En cours"</formula>
    </cfRule>
  </conditionalFormatting>
  <conditionalFormatting sqref="AJ169">
    <cfRule type="cellIs" dxfId="5194" priority="63782" stopIfTrue="1" operator="notEqual">
      <formula>"En cours"</formula>
    </cfRule>
  </conditionalFormatting>
  <conditionalFormatting sqref="AK169">
    <cfRule type="cellIs" dxfId="5193" priority="63783" stopIfTrue="1" operator="equal">
      <formula>"En cours"</formula>
    </cfRule>
  </conditionalFormatting>
  <conditionalFormatting sqref="AK169">
    <cfRule type="cellIs" dxfId="5192" priority="63784" stopIfTrue="1" operator="notEqual">
      <formula>"En cours"</formula>
    </cfRule>
  </conditionalFormatting>
  <conditionalFormatting sqref="AJ142">
    <cfRule type="cellIs" dxfId="5191" priority="63785" stopIfTrue="1" operator="equal">
      <formula>"En cours"</formula>
    </cfRule>
  </conditionalFormatting>
  <conditionalFormatting sqref="AJ142">
    <cfRule type="cellIs" dxfId="5190" priority="63786" stopIfTrue="1" operator="notEqual">
      <formula>"En cours"</formula>
    </cfRule>
  </conditionalFormatting>
  <conditionalFormatting sqref="AK142">
    <cfRule type="cellIs" dxfId="5189" priority="63787" stopIfTrue="1" operator="equal">
      <formula>"En cours"</formula>
    </cfRule>
  </conditionalFormatting>
  <conditionalFormatting sqref="AK142">
    <cfRule type="cellIs" dxfId="5188" priority="63788" stopIfTrue="1" operator="notEqual">
      <formula>"En cours"</formula>
    </cfRule>
  </conditionalFormatting>
  <conditionalFormatting sqref="AJ30">
    <cfRule type="cellIs" dxfId="5187" priority="63789" stopIfTrue="1" operator="equal">
      <formula>"En cours"</formula>
    </cfRule>
  </conditionalFormatting>
  <conditionalFormatting sqref="AJ30">
    <cfRule type="cellIs" dxfId="5186" priority="63790" stopIfTrue="1" operator="notEqual">
      <formula>"En cours"</formula>
    </cfRule>
  </conditionalFormatting>
  <conditionalFormatting sqref="AK30">
    <cfRule type="cellIs" dxfId="5185" priority="63791" stopIfTrue="1" operator="equal">
      <formula>"En cours"</formula>
    </cfRule>
  </conditionalFormatting>
  <conditionalFormatting sqref="AK30">
    <cfRule type="cellIs" dxfId="5184" priority="63792" stopIfTrue="1" operator="notEqual">
      <formula>"En cours"</formula>
    </cfRule>
  </conditionalFormatting>
  <conditionalFormatting sqref="AJ145">
    <cfRule type="cellIs" dxfId="5183" priority="63793" stopIfTrue="1" operator="equal">
      <formula>"En cours"</formula>
    </cfRule>
  </conditionalFormatting>
  <conditionalFormatting sqref="AJ145">
    <cfRule type="cellIs" dxfId="5182" priority="63794" stopIfTrue="1" operator="notEqual">
      <formula>"En cours"</formula>
    </cfRule>
  </conditionalFormatting>
  <conditionalFormatting sqref="AK145">
    <cfRule type="cellIs" dxfId="5181" priority="63795" stopIfTrue="1" operator="equal">
      <formula>"En cours"</formula>
    </cfRule>
  </conditionalFormatting>
  <conditionalFormatting sqref="AK145">
    <cfRule type="cellIs" dxfId="5180" priority="63796" stopIfTrue="1" operator="notEqual">
      <formula>"En cours"</formula>
    </cfRule>
  </conditionalFormatting>
  <conditionalFormatting sqref="AJ87">
    <cfRule type="cellIs" dxfId="5171" priority="63805" stopIfTrue="1" operator="equal">
      <formula>"En cours"</formula>
    </cfRule>
  </conditionalFormatting>
  <conditionalFormatting sqref="AJ87">
    <cfRule type="cellIs" dxfId="5170" priority="63806" stopIfTrue="1" operator="notEqual">
      <formula>"En cours"</formula>
    </cfRule>
  </conditionalFormatting>
  <conditionalFormatting sqref="AK87">
    <cfRule type="cellIs" dxfId="5169" priority="63807" stopIfTrue="1" operator="equal">
      <formula>"En cours"</formula>
    </cfRule>
  </conditionalFormatting>
  <conditionalFormatting sqref="AK87">
    <cfRule type="cellIs" dxfId="5168" priority="63808" stopIfTrue="1" operator="notEqual">
      <formula>"En cours"</formula>
    </cfRule>
  </conditionalFormatting>
  <conditionalFormatting sqref="AJ27">
    <cfRule type="cellIs" dxfId="5167" priority="63809" stopIfTrue="1" operator="equal">
      <formula>"En cours"</formula>
    </cfRule>
  </conditionalFormatting>
  <conditionalFormatting sqref="AJ27">
    <cfRule type="cellIs" dxfId="5166" priority="63810" stopIfTrue="1" operator="notEqual">
      <formula>"En cours"</formula>
    </cfRule>
  </conditionalFormatting>
  <conditionalFormatting sqref="AK27">
    <cfRule type="cellIs" dxfId="5165" priority="63811" stopIfTrue="1" operator="equal">
      <formula>"En cours"</formula>
    </cfRule>
  </conditionalFormatting>
  <conditionalFormatting sqref="AK27">
    <cfRule type="cellIs" dxfId="5164" priority="63812" stopIfTrue="1" operator="notEqual">
      <formula>"En cours"</formula>
    </cfRule>
  </conditionalFormatting>
  <conditionalFormatting sqref="AJ43">
    <cfRule type="cellIs" dxfId="5163" priority="63813" stopIfTrue="1" operator="equal">
      <formula>"En cours"</formula>
    </cfRule>
  </conditionalFormatting>
  <conditionalFormatting sqref="AJ43">
    <cfRule type="cellIs" dxfId="5162" priority="63814" stopIfTrue="1" operator="notEqual">
      <formula>"En cours"</formula>
    </cfRule>
  </conditionalFormatting>
  <conditionalFormatting sqref="AK43">
    <cfRule type="cellIs" dxfId="5161" priority="63815" stopIfTrue="1" operator="equal">
      <formula>"En cours"</formula>
    </cfRule>
  </conditionalFormatting>
  <conditionalFormatting sqref="AK43">
    <cfRule type="cellIs" dxfId="5160" priority="63816" stopIfTrue="1" operator="notEqual">
      <formula>"En cours"</formula>
    </cfRule>
  </conditionalFormatting>
  <conditionalFormatting sqref="AJ35">
    <cfRule type="cellIs" dxfId="5155" priority="63821" stopIfTrue="1" operator="equal">
      <formula>"En cours"</formula>
    </cfRule>
  </conditionalFormatting>
  <conditionalFormatting sqref="AJ35">
    <cfRule type="cellIs" dxfId="5154" priority="63822" stopIfTrue="1" operator="notEqual">
      <formula>"En cours"</formula>
    </cfRule>
  </conditionalFormatting>
  <conditionalFormatting sqref="AK35">
    <cfRule type="cellIs" dxfId="5153" priority="63823" stopIfTrue="1" operator="equal">
      <formula>"En cours"</formula>
    </cfRule>
  </conditionalFormatting>
  <conditionalFormatting sqref="AK35">
    <cfRule type="cellIs" dxfId="5152" priority="63824" stopIfTrue="1" operator="notEqual">
      <formula>"En cours"</formula>
    </cfRule>
  </conditionalFormatting>
  <conditionalFormatting sqref="AJ44">
    <cfRule type="cellIs" dxfId="5143" priority="63833" stopIfTrue="1" operator="equal">
      <formula>"En cours"</formula>
    </cfRule>
  </conditionalFormatting>
  <conditionalFormatting sqref="AJ44">
    <cfRule type="cellIs" dxfId="5142" priority="63834" stopIfTrue="1" operator="notEqual">
      <formula>"En cours"</formula>
    </cfRule>
  </conditionalFormatting>
  <conditionalFormatting sqref="AK44">
    <cfRule type="cellIs" dxfId="5141" priority="63835" stopIfTrue="1" operator="equal">
      <formula>"En cours"</formula>
    </cfRule>
  </conditionalFormatting>
  <conditionalFormatting sqref="AK44">
    <cfRule type="cellIs" dxfId="5140" priority="63836" stopIfTrue="1" operator="notEqual">
      <formula>"En cours"</formula>
    </cfRule>
  </conditionalFormatting>
  <conditionalFormatting sqref="AJ28">
    <cfRule type="cellIs" dxfId="5139" priority="63837" stopIfTrue="1" operator="equal">
      <formula>"En cours"</formula>
    </cfRule>
  </conditionalFormatting>
  <conditionalFormatting sqref="AJ28">
    <cfRule type="cellIs" dxfId="5138" priority="63838" stopIfTrue="1" operator="notEqual">
      <formula>"En cours"</formula>
    </cfRule>
  </conditionalFormatting>
  <conditionalFormatting sqref="AK28">
    <cfRule type="cellIs" dxfId="5137" priority="63839" stopIfTrue="1" operator="equal">
      <formula>"En cours"</formula>
    </cfRule>
  </conditionalFormatting>
  <conditionalFormatting sqref="AK28">
    <cfRule type="cellIs" dxfId="5136" priority="63840" stopIfTrue="1" operator="notEqual">
      <formula>"En cours"</formula>
    </cfRule>
  </conditionalFormatting>
  <conditionalFormatting sqref="AJ123">
    <cfRule type="cellIs" dxfId="5131" priority="63845" stopIfTrue="1" operator="equal">
      <formula>"En cours"</formula>
    </cfRule>
  </conditionalFormatting>
  <conditionalFormatting sqref="AJ123">
    <cfRule type="cellIs" dxfId="5130" priority="63846" stopIfTrue="1" operator="notEqual">
      <formula>"En cours"</formula>
    </cfRule>
  </conditionalFormatting>
  <conditionalFormatting sqref="AK123">
    <cfRule type="cellIs" dxfId="5129" priority="63847" stopIfTrue="1" operator="equal">
      <formula>"En cours"</formula>
    </cfRule>
  </conditionalFormatting>
  <conditionalFormatting sqref="AK123">
    <cfRule type="cellIs" dxfId="5128" priority="63848" stopIfTrue="1" operator="notEqual">
      <formula>"En cours"</formula>
    </cfRule>
  </conditionalFormatting>
  <conditionalFormatting sqref="AJ33">
    <cfRule type="cellIs" dxfId="5127" priority="63849" stopIfTrue="1" operator="equal">
      <formula>"En cours"</formula>
    </cfRule>
  </conditionalFormatting>
  <conditionalFormatting sqref="AJ33">
    <cfRule type="cellIs" dxfId="5126" priority="63850" stopIfTrue="1" operator="notEqual">
      <formula>"En cours"</formula>
    </cfRule>
  </conditionalFormatting>
  <conditionalFormatting sqref="AK33">
    <cfRule type="cellIs" dxfId="5125" priority="63851" stopIfTrue="1" operator="equal">
      <formula>"En cours"</formula>
    </cfRule>
  </conditionalFormatting>
  <conditionalFormatting sqref="AK33">
    <cfRule type="cellIs" dxfId="5124" priority="63852" stopIfTrue="1" operator="notEqual">
      <formula>"En cours"</formula>
    </cfRule>
  </conditionalFormatting>
  <conditionalFormatting sqref="AJ88">
    <cfRule type="cellIs" dxfId="5123" priority="63853" stopIfTrue="1" operator="equal">
      <formula>"En cours"</formula>
    </cfRule>
  </conditionalFormatting>
  <conditionalFormatting sqref="AJ88">
    <cfRule type="cellIs" dxfId="5122" priority="63854" stopIfTrue="1" operator="notEqual">
      <formula>"En cours"</formula>
    </cfRule>
  </conditionalFormatting>
  <conditionalFormatting sqref="AK88">
    <cfRule type="cellIs" dxfId="5121" priority="63855" stopIfTrue="1" operator="equal">
      <formula>"En cours"</formula>
    </cfRule>
  </conditionalFormatting>
  <conditionalFormatting sqref="AK88">
    <cfRule type="cellIs" dxfId="5120" priority="63856" stopIfTrue="1" operator="notEqual">
      <formula>"En cours"</formula>
    </cfRule>
  </conditionalFormatting>
  <conditionalFormatting sqref="AJ31">
    <cfRule type="cellIs" dxfId="5103" priority="63873" stopIfTrue="1" operator="equal">
      <formula>"En cours"</formula>
    </cfRule>
  </conditionalFormatting>
  <conditionalFormatting sqref="AJ31">
    <cfRule type="cellIs" dxfId="5102" priority="63874" stopIfTrue="1" operator="notEqual">
      <formula>"En cours"</formula>
    </cfRule>
  </conditionalFormatting>
  <conditionalFormatting sqref="AK31">
    <cfRule type="cellIs" dxfId="5101" priority="63875" stopIfTrue="1" operator="equal">
      <formula>"En cours"</formula>
    </cfRule>
  </conditionalFormatting>
  <conditionalFormatting sqref="AK31">
    <cfRule type="cellIs" dxfId="5100" priority="63876" stopIfTrue="1" operator="notEqual">
      <formula>"En cours"</formula>
    </cfRule>
  </conditionalFormatting>
  <conditionalFormatting sqref="AJ22">
    <cfRule type="cellIs" dxfId="5091" priority="63885" stopIfTrue="1" operator="equal">
      <formula>"En cours"</formula>
    </cfRule>
  </conditionalFormatting>
  <conditionalFormatting sqref="AJ22">
    <cfRule type="cellIs" dxfId="5090" priority="63886" stopIfTrue="1" operator="notEqual">
      <formula>"En cours"</formula>
    </cfRule>
  </conditionalFormatting>
  <conditionalFormatting sqref="AK22">
    <cfRule type="cellIs" dxfId="5089" priority="63887" stopIfTrue="1" operator="equal">
      <formula>"En cours"</formula>
    </cfRule>
  </conditionalFormatting>
  <conditionalFormatting sqref="AK22">
    <cfRule type="cellIs" dxfId="5088" priority="63888" stopIfTrue="1" operator="notEqual">
      <formula>"En cours"</formula>
    </cfRule>
  </conditionalFormatting>
  <conditionalFormatting sqref="AJ156">
    <cfRule type="cellIs" dxfId="5083" priority="63893" stopIfTrue="1" operator="equal">
      <formula>"En cours"</formula>
    </cfRule>
  </conditionalFormatting>
  <conditionalFormatting sqref="AJ156">
    <cfRule type="cellIs" dxfId="5082" priority="63894" stopIfTrue="1" operator="notEqual">
      <formula>"En cours"</formula>
    </cfRule>
  </conditionalFormatting>
  <conditionalFormatting sqref="AK156">
    <cfRule type="cellIs" dxfId="5081" priority="63895" stopIfTrue="1" operator="equal">
      <formula>"En cours"</formula>
    </cfRule>
  </conditionalFormatting>
  <conditionalFormatting sqref="AK156">
    <cfRule type="cellIs" dxfId="5080" priority="63896" stopIfTrue="1" operator="notEqual">
      <formula>"En cours"</formula>
    </cfRule>
  </conditionalFormatting>
  <conditionalFormatting sqref="AJ108">
    <cfRule type="cellIs" dxfId="5071" priority="63905" stopIfTrue="1" operator="equal">
      <formula>"En cours"</formula>
    </cfRule>
  </conditionalFormatting>
  <conditionalFormatting sqref="AJ108">
    <cfRule type="cellIs" dxfId="5070" priority="63906" stopIfTrue="1" operator="notEqual">
      <formula>"En cours"</formula>
    </cfRule>
  </conditionalFormatting>
  <conditionalFormatting sqref="AK108">
    <cfRule type="cellIs" dxfId="5069" priority="63907" stopIfTrue="1" operator="equal">
      <formula>"En cours"</formula>
    </cfRule>
  </conditionalFormatting>
  <conditionalFormatting sqref="AK108">
    <cfRule type="cellIs" dxfId="5068" priority="63908" stopIfTrue="1" operator="notEqual">
      <formula>"En cours"</formula>
    </cfRule>
  </conditionalFormatting>
  <conditionalFormatting sqref="AJ72">
    <cfRule type="cellIs" dxfId="5067" priority="63909" stopIfTrue="1" operator="equal">
      <formula>"En cours"</formula>
    </cfRule>
  </conditionalFormatting>
  <conditionalFormatting sqref="AJ72">
    <cfRule type="cellIs" dxfId="5066" priority="63910" stopIfTrue="1" operator="notEqual">
      <formula>"En cours"</formula>
    </cfRule>
  </conditionalFormatting>
  <conditionalFormatting sqref="AK72">
    <cfRule type="cellIs" dxfId="5065" priority="63911" stopIfTrue="1" operator="equal">
      <formula>"En cours"</formula>
    </cfRule>
  </conditionalFormatting>
  <conditionalFormatting sqref="AK72">
    <cfRule type="cellIs" dxfId="5064" priority="63912" stopIfTrue="1" operator="notEqual">
      <formula>"En cours"</formula>
    </cfRule>
  </conditionalFormatting>
  <conditionalFormatting sqref="AJ66">
    <cfRule type="cellIs" dxfId="5063" priority="63913" stopIfTrue="1" operator="equal">
      <formula>"En cours"</formula>
    </cfRule>
  </conditionalFormatting>
  <conditionalFormatting sqref="AJ66">
    <cfRule type="cellIs" dxfId="5062" priority="63914" stopIfTrue="1" operator="notEqual">
      <formula>"En cours"</formula>
    </cfRule>
  </conditionalFormatting>
  <conditionalFormatting sqref="AK66">
    <cfRule type="cellIs" dxfId="5061" priority="63915" stopIfTrue="1" operator="equal">
      <formula>"En cours"</formula>
    </cfRule>
  </conditionalFormatting>
  <conditionalFormatting sqref="AK66">
    <cfRule type="cellIs" dxfId="5060" priority="63916" stopIfTrue="1" operator="notEqual">
      <formula>"En cours"</formula>
    </cfRule>
  </conditionalFormatting>
  <conditionalFormatting sqref="AJ131">
    <cfRule type="cellIs" dxfId="5055" priority="63921" stopIfTrue="1" operator="equal">
      <formula>"En cours"</formula>
    </cfRule>
  </conditionalFormatting>
  <conditionalFormatting sqref="AJ131">
    <cfRule type="cellIs" dxfId="5054" priority="63922" stopIfTrue="1" operator="notEqual">
      <formula>"En cours"</formula>
    </cfRule>
  </conditionalFormatting>
  <conditionalFormatting sqref="AK131">
    <cfRule type="cellIs" dxfId="5053" priority="63923" stopIfTrue="1" operator="equal">
      <formula>"En cours"</formula>
    </cfRule>
  </conditionalFormatting>
  <conditionalFormatting sqref="AK131">
    <cfRule type="cellIs" dxfId="5052" priority="63924" stopIfTrue="1" operator="notEqual">
      <formula>"En cours"</formula>
    </cfRule>
  </conditionalFormatting>
  <conditionalFormatting sqref="AJ129">
    <cfRule type="cellIs" dxfId="5051" priority="63925" stopIfTrue="1" operator="equal">
      <formula>"En cours"</formula>
    </cfRule>
  </conditionalFormatting>
  <conditionalFormatting sqref="AJ129">
    <cfRule type="cellIs" dxfId="5050" priority="63926" stopIfTrue="1" operator="notEqual">
      <formula>"En cours"</formula>
    </cfRule>
  </conditionalFormatting>
  <conditionalFormatting sqref="AK129">
    <cfRule type="cellIs" dxfId="5049" priority="63927" stopIfTrue="1" operator="equal">
      <formula>"En cours"</formula>
    </cfRule>
  </conditionalFormatting>
  <conditionalFormatting sqref="AK129">
    <cfRule type="cellIs" dxfId="5048" priority="63928" stopIfTrue="1" operator="notEqual">
      <formula>"En cours"</formula>
    </cfRule>
  </conditionalFormatting>
  <conditionalFormatting sqref="AJ163">
    <cfRule type="cellIs" dxfId="5043" priority="63933" stopIfTrue="1" operator="equal">
      <formula>"En cours"</formula>
    </cfRule>
  </conditionalFormatting>
  <conditionalFormatting sqref="AJ163">
    <cfRule type="cellIs" dxfId="5042" priority="63934" stopIfTrue="1" operator="notEqual">
      <formula>"En cours"</formula>
    </cfRule>
  </conditionalFormatting>
  <conditionalFormatting sqref="AK163">
    <cfRule type="cellIs" dxfId="5041" priority="63935" stopIfTrue="1" operator="equal">
      <formula>"En cours"</formula>
    </cfRule>
  </conditionalFormatting>
  <conditionalFormatting sqref="AK163">
    <cfRule type="cellIs" dxfId="5040" priority="63936" stopIfTrue="1" operator="notEqual">
      <formula>"En cours"</formula>
    </cfRule>
  </conditionalFormatting>
  <conditionalFormatting sqref="AJ67">
    <cfRule type="cellIs" dxfId="5039" priority="63937" stopIfTrue="1" operator="equal">
      <formula>"En cours"</formula>
    </cfRule>
  </conditionalFormatting>
  <conditionalFormatting sqref="AJ67">
    <cfRule type="cellIs" dxfId="5038" priority="63938" stopIfTrue="1" operator="notEqual">
      <formula>"En cours"</formula>
    </cfRule>
  </conditionalFormatting>
  <conditionalFormatting sqref="AK67">
    <cfRule type="cellIs" dxfId="5037" priority="63939" stopIfTrue="1" operator="equal">
      <formula>"En cours"</formula>
    </cfRule>
  </conditionalFormatting>
  <conditionalFormatting sqref="AK67">
    <cfRule type="cellIs" dxfId="5036" priority="63940" stopIfTrue="1" operator="notEqual">
      <formula>"En cours"</formula>
    </cfRule>
  </conditionalFormatting>
  <conditionalFormatting sqref="AJ130">
    <cfRule type="cellIs" dxfId="5035" priority="63941" stopIfTrue="1" operator="equal">
      <formula>"En cours"</formula>
    </cfRule>
  </conditionalFormatting>
  <conditionalFormatting sqref="AJ130">
    <cfRule type="cellIs" dxfId="5034" priority="63942" stopIfTrue="1" operator="notEqual">
      <formula>"En cours"</formula>
    </cfRule>
  </conditionalFormatting>
  <conditionalFormatting sqref="AK130">
    <cfRule type="cellIs" dxfId="5033" priority="63943" stopIfTrue="1" operator="equal">
      <formula>"En cours"</formula>
    </cfRule>
  </conditionalFormatting>
  <conditionalFormatting sqref="AK130">
    <cfRule type="cellIs" dxfId="5032" priority="63944" stopIfTrue="1" operator="notEqual">
      <formula>"En cours"</formula>
    </cfRule>
  </conditionalFormatting>
  <conditionalFormatting sqref="AJ155">
    <cfRule type="cellIs" dxfId="5027" priority="63949" stopIfTrue="1" operator="equal">
      <formula>"En cours"</formula>
    </cfRule>
  </conditionalFormatting>
  <conditionalFormatting sqref="AJ155">
    <cfRule type="cellIs" dxfId="5026" priority="63950" stopIfTrue="1" operator="notEqual">
      <formula>"En cours"</formula>
    </cfRule>
  </conditionalFormatting>
  <conditionalFormatting sqref="AK155">
    <cfRule type="cellIs" dxfId="5025" priority="63951" stopIfTrue="1" operator="equal">
      <formula>"En cours"</formula>
    </cfRule>
  </conditionalFormatting>
  <conditionalFormatting sqref="AK155">
    <cfRule type="cellIs" dxfId="5024" priority="63952" stopIfTrue="1" operator="notEqual">
      <formula>"En cours"</formula>
    </cfRule>
  </conditionalFormatting>
  <conditionalFormatting sqref="AJ135">
    <cfRule type="cellIs" dxfId="5015" priority="63961" stopIfTrue="1" operator="equal">
      <formula>"En cours"</formula>
    </cfRule>
  </conditionalFormatting>
  <conditionalFormatting sqref="AJ135">
    <cfRule type="cellIs" dxfId="5014" priority="63962" stopIfTrue="1" operator="notEqual">
      <formula>"En cours"</formula>
    </cfRule>
  </conditionalFormatting>
  <conditionalFormatting sqref="AK135">
    <cfRule type="cellIs" dxfId="5013" priority="63963" stopIfTrue="1" operator="equal">
      <formula>"En cours"</formula>
    </cfRule>
  </conditionalFormatting>
  <conditionalFormatting sqref="AK135">
    <cfRule type="cellIs" dxfId="5012" priority="63964" stopIfTrue="1" operator="notEqual">
      <formula>"En cours"</formula>
    </cfRule>
  </conditionalFormatting>
  <conditionalFormatting sqref="AJ171">
    <cfRule type="cellIs" dxfId="5011" priority="63965" stopIfTrue="1" operator="equal">
      <formula>"En cours"</formula>
    </cfRule>
  </conditionalFormatting>
  <conditionalFormatting sqref="AJ171">
    <cfRule type="cellIs" dxfId="5010" priority="63966" stopIfTrue="1" operator="notEqual">
      <formula>"En cours"</formula>
    </cfRule>
  </conditionalFormatting>
  <conditionalFormatting sqref="AK171">
    <cfRule type="cellIs" dxfId="5009" priority="63967" stopIfTrue="1" operator="equal">
      <formula>"En cours"</formula>
    </cfRule>
  </conditionalFormatting>
  <conditionalFormatting sqref="AK171">
    <cfRule type="cellIs" dxfId="5008" priority="63968" stopIfTrue="1" operator="notEqual">
      <formula>"En cours"</formula>
    </cfRule>
  </conditionalFormatting>
  <conditionalFormatting sqref="AJ154">
    <cfRule type="cellIs" dxfId="5007" priority="63969" stopIfTrue="1" operator="equal">
      <formula>"En cours"</formula>
    </cfRule>
  </conditionalFormatting>
  <conditionalFormatting sqref="AJ154">
    <cfRule type="cellIs" dxfId="5006" priority="63970" stopIfTrue="1" operator="notEqual">
      <formula>"En cours"</formula>
    </cfRule>
  </conditionalFormatting>
  <conditionalFormatting sqref="AK154">
    <cfRule type="cellIs" dxfId="5005" priority="63971" stopIfTrue="1" operator="equal">
      <formula>"En cours"</formula>
    </cfRule>
  </conditionalFormatting>
  <conditionalFormatting sqref="AK154">
    <cfRule type="cellIs" dxfId="5004" priority="63972" stopIfTrue="1" operator="notEqual">
      <formula>"En cours"</formula>
    </cfRule>
  </conditionalFormatting>
  <conditionalFormatting sqref="AJ165">
    <cfRule type="cellIs" dxfId="4283" priority="64693" stopIfTrue="1" operator="equal">
      <formula>"En cours"</formula>
    </cfRule>
  </conditionalFormatting>
  <conditionalFormatting sqref="AJ165">
    <cfRule type="cellIs" dxfId="4282" priority="64694" stopIfTrue="1" operator="notEqual">
      <formula>"En cours"</formula>
    </cfRule>
  </conditionalFormatting>
  <conditionalFormatting sqref="AK165">
    <cfRule type="cellIs" dxfId="4281" priority="64695" stopIfTrue="1" operator="equal">
      <formula>"En cours"</formula>
    </cfRule>
  </conditionalFormatting>
  <conditionalFormatting sqref="AK165">
    <cfRule type="cellIs" dxfId="4280" priority="64696" stopIfTrue="1" operator="notEqual">
      <formula>"En cours"</formula>
    </cfRule>
  </conditionalFormatting>
  <conditionalFormatting sqref="AJ172">
    <cfRule type="cellIs" dxfId="4279" priority="64697" stopIfTrue="1" operator="equal">
      <formula>"En cours"</formula>
    </cfRule>
  </conditionalFormatting>
  <conditionalFormatting sqref="AJ172">
    <cfRule type="cellIs" dxfId="4278" priority="64698" stopIfTrue="1" operator="notEqual">
      <formula>"En cours"</formula>
    </cfRule>
  </conditionalFormatting>
  <conditionalFormatting sqref="AK172">
    <cfRule type="cellIs" dxfId="4277" priority="64699" stopIfTrue="1" operator="equal">
      <formula>"En cours"</formula>
    </cfRule>
  </conditionalFormatting>
  <conditionalFormatting sqref="AK172">
    <cfRule type="cellIs" dxfId="4276" priority="64700" stopIfTrue="1" operator="notEqual">
      <formula>"En cours"</formula>
    </cfRule>
  </conditionalFormatting>
  <conditionalFormatting sqref="AJ120">
    <cfRule type="cellIs" dxfId="4275" priority="64701" stopIfTrue="1" operator="equal">
      <formula>"En cours"</formula>
    </cfRule>
  </conditionalFormatting>
  <conditionalFormatting sqref="AJ120">
    <cfRule type="cellIs" dxfId="4274" priority="64702" stopIfTrue="1" operator="notEqual">
      <formula>"En cours"</formula>
    </cfRule>
  </conditionalFormatting>
  <conditionalFormatting sqref="AK120">
    <cfRule type="cellIs" dxfId="4273" priority="64703" stopIfTrue="1" operator="equal">
      <formula>"En cours"</formula>
    </cfRule>
  </conditionalFormatting>
  <conditionalFormatting sqref="AK120">
    <cfRule type="cellIs" dxfId="4272" priority="64704" stopIfTrue="1" operator="notEqual">
      <formula>"En cours"</formula>
    </cfRule>
  </conditionalFormatting>
  <conditionalFormatting sqref="AJ173">
    <cfRule type="cellIs" dxfId="4271" priority="64705" stopIfTrue="1" operator="equal">
      <formula>"En cours"</formula>
    </cfRule>
  </conditionalFormatting>
  <conditionalFormatting sqref="AJ173">
    <cfRule type="cellIs" dxfId="4270" priority="64706" stopIfTrue="1" operator="notEqual">
      <formula>"En cours"</formula>
    </cfRule>
  </conditionalFormatting>
  <conditionalFormatting sqref="AK173">
    <cfRule type="cellIs" dxfId="4269" priority="64707" stopIfTrue="1" operator="equal">
      <formula>"En cours"</formula>
    </cfRule>
  </conditionalFormatting>
  <conditionalFormatting sqref="AK173">
    <cfRule type="cellIs" dxfId="4268" priority="64708" stopIfTrue="1" operator="notEqual">
      <formula>"En cours"</formula>
    </cfRule>
  </conditionalFormatting>
  <conditionalFormatting sqref="AJ80">
    <cfRule type="cellIs" dxfId="4267" priority="64709" stopIfTrue="1" operator="equal">
      <formula>"En cours"</formula>
    </cfRule>
  </conditionalFormatting>
  <conditionalFormatting sqref="AJ80">
    <cfRule type="cellIs" dxfId="4266" priority="64710" stopIfTrue="1" operator="notEqual">
      <formula>"En cours"</formula>
    </cfRule>
  </conditionalFormatting>
  <conditionalFormatting sqref="AK80">
    <cfRule type="cellIs" dxfId="4265" priority="64711" stopIfTrue="1" operator="equal">
      <formula>"En cours"</formula>
    </cfRule>
  </conditionalFormatting>
  <conditionalFormatting sqref="AK80">
    <cfRule type="cellIs" dxfId="4264" priority="64712" stopIfTrue="1" operator="notEqual">
      <formula>"En cours"</formula>
    </cfRule>
  </conditionalFormatting>
  <conditionalFormatting sqref="AJ12">
    <cfRule type="cellIs" dxfId="4263" priority="64713" stopIfTrue="1" operator="equal">
      <formula>"En cours"</formula>
    </cfRule>
  </conditionalFormatting>
  <conditionalFormatting sqref="AJ12">
    <cfRule type="cellIs" dxfId="4262" priority="64714" stopIfTrue="1" operator="notEqual">
      <formula>"En cours"</formula>
    </cfRule>
  </conditionalFormatting>
  <conditionalFormatting sqref="AK12">
    <cfRule type="cellIs" dxfId="4261" priority="64715" stopIfTrue="1" operator="equal">
      <formula>"En cours"</formula>
    </cfRule>
  </conditionalFormatting>
  <conditionalFormatting sqref="AK12">
    <cfRule type="cellIs" dxfId="4260" priority="64716" stopIfTrue="1" operator="notEqual">
      <formula>"En cours"</formula>
    </cfRule>
  </conditionalFormatting>
  <conditionalFormatting sqref="AJ19">
    <cfRule type="cellIs" dxfId="4259" priority="64717" stopIfTrue="1" operator="equal">
      <formula>"En cours"</formula>
    </cfRule>
  </conditionalFormatting>
  <conditionalFormatting sqref="AJ19">
    <cfRule type="cellIs" dxfId="4258" priority="64718" stopIfTrue="1" operator="notEqual">
      <formula>"En cours"</formula>
    </cfRule>
  </conditionalFormatting>
  <conditionalFormatting sqref="AK19">
    <cfRule type="cellIs" dxfId="4257" priority="64719" stopIfTrue="1" operator="equal">
      <formula>"En cours"</formula>
    </cfRule>
  </conditionalFormatting>
  <conditionalFormatting sqref="AK19">
    <cfRule type="cellIs" dxfId="4256" priority="64720" stopIfTrue="1" operator="notEqual">
      <formula>"En cours"</formula>
    </cfRule>
  </conditionalFormatting>
  <conditionalFormatting sqref="AJ5">
    <cfRule type="cellIs" dxfId="4255" priority="64721" stopIfTrue="1" operator="equal">
      <formula>"En cours"</formula>
    </cfRule>
    <cfRule type="cellIs" dxfId="4254" priority="64722" stopIfTrue="1" operator="notEqual">
      <formula>"En cours"</formula>
    </cfRule>
  </conditionalFormatting>
  <conditionalFormatting sqref="AK5">
    <cfRule type="cellIs" dxfId="4253" priority="64723" stopIfTrue="1" operator="equal">
      <formula>"En cours"</formula>
    </cfRule>
    <cfRule type="cellIs" dxfId="4252" priority="64724" stopIfTrue="1" operator="notEqual">
      <formula>"En cours"</formula>
    </cfRule>
  </conditionalFormatting>
  <conditionalFormatting sqref="AJ13">
    <cfRule type="cellIs" dxfId="4251" priority="64725" stopIfTrue="1" operator="equal">
      <formula>"En cours"</formula>
    </cfRule>
  </conditionalFormatting>
  <conditionalFormatting sqref="AJ13">
    <cfRule type="cellIs" dxfId="4250" priority="64726" stopIfTrue="1" operator="notEqual">
      <formula>"En cours"</formula>
    </cfRule>
  </conditionalFormatting>
  <conditionalFormatting sqref="AK13">
    <cfRule type="cellIs" dxfId="4249" priority="64727" stopIfTrue="1" operator="equal">
      <formula>"En cours"</formula>
    </cfRule>
  </conditionalFormatting>
  <conditionalFormatting sqref="AK13">
    <cfRule type="cellIs" dxfId="4248" priority="64728" stopIfTrue="1" operator="notEqual">
      <formula>"En cours"</formula>
    </cfRule>
  </conditionalFormatting>
  <conditionalFormatting sqref="AJ138">
    <cfRule type="cellIs" dxfId="4247" priority="64729" stopIfTrue="1" operator="equal">
      <formula>"En cours"</formula>
    </cfRule>
  </conditionalFormatting>
  <conditionalFormatting sqref="AJ138">
    <cfRule type="cellIs" dxfId="4246" priority="64730" stopIfTrue="1" operator="notEqual">
      <formula>"En cours"</formula>
    </cfRule>
  </conditionalFormatting>
  <conditionalFormatting sqref="AK138">
    <cfRule type="cellIs" dxfId="4245" priority="64731" stopIfTrue="1" operator="equal">
      <formula>"En cours"</formula>
    </cfRule>
  </conditionalFormatting>
  <conditionalFormatting sqref="AK138">
    <cfRule type="cellIs" dxfId="4244" priority="64732" stopIfTrue="1" operator="notEqual">
      <formula>"En cours"</formula>
    </cfRule>
  </conditionalFormatting>
  <conditionalFormatting sqref="AJ174">
    <cfRule type="cellIs" dxfId="4243" priority="64733" stopIfTrue="1" operator="equal">
      <formula>"En cours"</formula>
    </cfRule>
  </conditionalFormatting>
  <conditionalFormatting sqref="AJ174">
    <cfRule type="cellIs" dxfId="4242" priority="64734" stopIfTrue="1" operator="notEqual">
      <formula>"En cours"</formula>
    </cfRule>
  </conditionalFormatting>
  <conditionalFormatting sqref="AK174">
    <cfRule type="cellIs" dxfId="4241" priority="64735" stopIfTrue="1" operator="equal">
      <formula>"En cours"</formula>
    </cfRule>
  </conditionalFormatting>
  <conditionalFormatting sqref="AK174">
    <cfRule type="cellIs" dxfId="4240" priority="64736" stopIfTrue="1" operator="notEqual">
      <formula>"En cours"</formula>
    </cfRule>
  </conditionalFormatting>
  <conditionalFormatting sqref="AJ34">
    <cfRule type="cellIs" dxfId="4239" priority="64737" stopIfTrue="1" operator="equal">
      <formula>"En cours"</formula>
    </cfRule>
  </conditionalFormatting>
  <conditionalFormatting sqref="AJ34">
    <cfRule type="cellIs" dxfId="4238" priority="64738" stopIfTrue="1" operator="notEqual">
      <formula>"En cours"</formula>
    </cfRule>
  </conditionalFormatting>
  <conditionalFormatting sqref="AK34">
    <cfRule type="cellIs" dxfId="4237" priority="64739" stopIfTrue="1" operator="equal">
      <formula>"En cours"</formula>
    </cfRule>
  </conditionalFormatting>
  <conditionalFormatting sqref="AK34">
    <cfRule type="cellIs" dxfId="4236" priority="64740" stopIfTrue="1" operator="notEqual">
      <formula>"En cours"</formula>
    </cfRule>
  </conditionalFormatting>
  <conditionalFormatting sqref="AJ121">
    <cfRule type="cellIs" dxfId="4235" priority="64741" stopIfTrue="1" operator="equal">
      <formula>"En cours"</formula>
    </cfRule>
  </conditionalFormatting>
  <conditionalFormatting sqref="AJ121">
    <cfRule type="cellIs" dxfId="4234" priority="64742" stopIfTrue="1" operator="notEqual">
      <formula>"En cours"</formula>
    </cfRule>
  </conditionalFormatting>
  <conditionalFormatting sqref="AK121">
    <cfRule type="cellIs" dxfId="4233" priority="64743" stopIfTrue="1" operator="equal">
      <formula>"En cours"</formula>
    </cfRule>
  </conditionalFormatting>
  <conditionalFormatting sqref="AK121">
    <cfRule type="cellIs" dxfId="4232" priority="64744" stopIfTrue="1" operator="notEqual">
      <formula>"En cours"</formula>
    </cfRule>
  </conditionalFormatting>
  <conditionalFormatting sqref="AJ83">
    <cfRule type="cellIs" dxfId="4231" priority="64745" stopIfTrue="1" operator="equal">
      <formula>"En cours"</formula>
    </cfRule>
  </conditionalFormatting>
  <conditionalFormatting sqref="AJ83">
    <cfRule type="cellIs" dxfId="4230" priority="64746" stopIfTrue="1" operator="notEqual">
      <formula>"En cours"</formula>
    </cfRule>
  </conditionalFormatting>
  <conditionalFormatting sqref="AK83">
    <cfRule type="cellIs" dxfId="4229" priority="64747" stopIfTrue="1" operator="equal">
      <formula>"En cours"</formula>
    </cfRule>
  </conditionalFormatting>
  <conditionalFormatting sqref="AK83">
    <cfRule type="cellIs" dxfId="4228" priority="64748" stopIfTrue="1" operator="notEqual">
      <formula>"En cours"</formula>
    </cfRule>
  </conditionalFormatting>
  <conditionalFormatting sqref="AJ37">
    <cfRule type="cellIs" dxfId="4227" priority="64749" stopIfTrue="1" operator="equal">
      <formula>"En cours"</formula>
    </cfRule>
  </conditionalFormatting>
  <conditionalFormatting sqref="AJ37">
    <cfRule type="cellIs" dxfId="4226" priority="64750" stopIfTrue="1" operator="notEqual">
      <formula>"En cours"</formula>
    </cfRule>
  </conditionalFormatting>
  <conditionalFormatting sqref="AK37">
    <cfRule type="cellIs" dxfId="4225" priority="64751" stopIfTrue="1" operator="equal">
      <formula>"En cours"</formula>
    </cfRule>
  </conditionalFormatting>
  <conditionalFormatting sqref="AK37">
    <cfRule type="cellIs" dxfId="4224" priority="64752" stopIfTrue="1" operator="notEqual">
      <formula>"En cours"</formula>
    </cfRule>
  </conditionalFormatting>
  <conditionalFormatting sqref="AJ146">
    <cfRule type="cellIs" dxfId="4223" priority="64753" stopIfTrue="1" operator="equal">
      <formula>"En cours"</formula>
    </cfRule>
  </conditionalFormatting>
  <conditionalFormatting sqref="AJ146">
    <cfRule type="cellIs" dxfId="4222" priority="64754" stopIfTrue="1" operator="notEqual">
      <formula>"En cours"</formula>
    </cfRule>
  </conditionalFormatting>
  <conditionalFormatting sqref="AK146">
    <cfRule type="cellIs" dxfId="4221" priority="64755" stopIfTrue="1" operator="equal">
      <formula>"En cours"</formula>
    </cfRule>
  </conditionalFormatting>
  <conditionalFormatting sqref="AK146">
    <cfRule type="cellIs" dxfId="4220" priority="64756" stopIfTrue="1" operator="notEqual">
      <formula>"En cours"</formula>
    </cfRule>
  </conditionalFormatting>
  <conditionalFormatting sqref="AJ46">
    <cfRule type="cellIs" dxfId="4219" priority="64757" stopIfTrue="1" operator="equal">
      <formula>"En cours"</formula>
    </cfRule>
  </conditionalFormatting>
  <conditionalFormatting sqref="AJ46">
    <cfRule type="cellIs" dxfId="4218" priority="64758" stopIfTrue="1" operator="notEqual">
      <formula>"En cours"</formula>
    </cfRule>
  </conditionalFormatting>
  <conditionalFormatting sqref="AK46">
    <cfRule type="cellIs" dxfId="4217" priority="64759" stopIfTrue="1" operator="equal">
      <formula>"En cours"</formula>
    </cfRule>
  </conditionalFormatting>
  <conditionalFormatting sqref="AK46">
    <cfRule type="cellIs" dxfId="4216" priority="64760" stopIfTrue="1" operator="notEqual">
      <formula>"En cours"</formula>
    </cfRule>
  </conditionalFormatting>
  <conditionalFormatting sqref="AJ29">
    <cfRule type="cellIs" dxfId="4215" priority="64761" stopIfTrue="1" operator="equal">
      <formula>"En cours"</formula>
    </cfRule>
  </conditionalFormatting>
  <conditionalFormatting sqref="AJ29">
    <cfRule type="cellIs" dxfId="4214" priority="64762" stopIfTrue="1" operator="notEqual">
      <formula>"En cours"</formula>
    </cfRule>
  </conditionalFormatting>
  <conditionalFormatting sqref="AK29">
    <cfRule type="cellIs" dxfId="4213" priority="64763" stopIfTrue="1" operator="equal">
      <formula>"En cours"</formula>
    </cfRule>
  </conditionalFormatting>
  <conditionalFormatting sqref="AK29">
    <cfRule type="cellIs" dxfId="4212" priority="64764" stopIfTrue="1" operator="notEqual">
      <formula>"En cours"</formula>
    </cfRule>
  </conditionalFormatting>
  <conditionalFormatting sqref="AJ39">
    <cfRule type="cellIs" dxfId="4211" priority="64765" stopIfTrue="1" operator="equal">
      <formula>"En cours"</formula>
    </cfRule>
  </conditionalFormatting>
  <conditionalFormatting sqref="AJ39">
    <cfRule type="cellIs" dxfId="4210" priority="64766" stopIfTrue="1" operator="notEqual">
      <formula>"En cours"</formula>
    </cfRule>
  </conditionalFormatting>
  <conditionalFormatting sqref="AK39">
    <cfRule type="cellIs" dxfId="4209" priority="64767" stopIfTrue="1" operator="equal">
      <formula>"En cours"</formula>
    </cfRule>
  </conditionalFormatting>
  <conditionalFormatting sqref="AK39">
    <cfRule type="cellIs" dxfId="4208" priority="64768" stopIfTrue="1" operator="notEqual">
      <formula>"En cours"</formula>
    </cfRule>
  </conditionalFormatting>
  <conditionalFormatting sqref="AJ170">
    <cfRule type="cellIs" dxfId="4207" priority="64769" stopIfTrue="1" operator="equal">
      <formula>"En cours"</formula>
    </cfRule>
  </conditionalFormatting>
  <conditionalFormatting sqref="AJ170">
    <cfRule type="cellIs" dxfId="4206" priority="64770" stopIfTrue="1" operator="notEqual">
      <formula>"En cours"</formula>
    </cfRule>
  </conditionalFormatting>
  <conditionalFormatting sqref="AK170">
    <cfRule type="cellIs" dxfId="4205" priority="64771" stopIfTrue="1" operator="equal">
      <formula>"En cours"</formula>
    </cfRule>
  </conditionalFormatting>
  <conditionalFormatting sqref="AK170">
    <cfRule type="cellIs" dxfId="4204" priority="64772" stopIfTrue="1" operator="notEqual">
      <formula>"En cours"</formula>
    </cfRule>
  </conditionalFormatting>
  <conditionalFormatting sqref="AJ41">
    <cfRule type="cellIs" dxfId="4203" priority="64773" stopIfTrue="1" operator="equal">
      <formula>"En cours"</formula>
    </cfRule>
  </conditionalFormatting>
  <conditionalFormatting sqref="AJ41">
    <cfRule type="cellIs" dxfId="4202" priority="64774" stopIfTrue="1" operator="notEqual">
      <formula>"En cours"</formula>
    </cfRule>
  </conditionalFormatting>
  <conditionalFormatting sqref="AK41">
    <cfRule type="cellIs" dxfId="4201" priority="64775" stopIfTrue="1" operator="equal">
      <formula>"En cours"</formula>
    </cfRule>
  </conditionalFormatting>
  <conditionalFormatting sqref="AK41">
    <cfRule type="cellIs" dxfId="4200" priority="64776" stopIfTrue="1" operator="notEqual">
      <formula>"En cours"</formula>
    </cfRule>
  </conditionalFormatting>
  <conditionalFormatting sqref="AJ26">
    <cfRule type="cellIs" dxfId="4199" priority="64777" stopIfTrue="1" operator="equal">
      <formula>"En cours"</formula>
    </cfRule>
  </conditionalFormatting>
  <conditionalFormatting sqref="AJ26">
    <cfRule type="cellIs" dxfId="4198" priority="64778" stopIfTrue="1" operator="notEqual">
      <formula>"En cours"</formula>
    </cfRule>
  </conditionalFormatting>
  <conditionalFormatting sqref="AK26">
    <cfRule type="cellIs" dxfId="4197" priority="64779" stopIfTrue="1" operator="equal">
      <formula>"En cours"</formula>
    </cfRule>
  </conditionalFormatting>
  <conditionalFormatting sqref="AK26">
    <cfRule type="cellIs" dxfId="4196" priority="64780" stopIfTrue="1" operator="notEqual">
      <formula>"En cours"</formula>
    </cfRule>
  </conditionalFormatting>
  <conditionalFormatting sqref="AJ93">
    <cfRule type="cellIs" dxfId="4195" priority="64781" stopIfTrue="1" operator="equal">
      <formula>"En cours"</formula>
    </cfRule>
  </conditionalFormatting>
  <conditionalFormatting sqref="AJ93">
    <cfRule type="cellIs" dxfId="4194" priority="64782" stopIfTrue="1" operator="notEqual">
      <formula>"En cours"</formula>
    </cfRule>
  </conditionalFormatting>
  <conditionalFormatting sqref="AK93">
    <cfRule type="cellIs" dxfId="4193" priority="64783" stopIfTrue="1" operator="equal">
      <formula>"En cours"</formula>
    </cfRule>
  </conditionalFormatting>
  <conditionalFormatting sqref="AK93">
    <cfRule type="cellIs" dxfId="4192" priority="64784" stopIfTrue="1" operator="notEqual">
      <formula>"En cours"</formula>
    </cfRule>
  </conditionalFormatting>
  <conditionalFormatting sqref="AJ84">
    <cfRule type="cellIs" dxfId="4191" priority="64785" stopIfTrue="1" operator="equal">
      <formula>"En cours"</formula>
    </cfRule>
  </conditionalFormatting>
  <conditionalFormatting sqref="AJ84">
    <cfRule type="cellIs" dxfId="4190" priority="64786" stopIfTrue="1" operator="notEqual">
      <formula>"En cours"</formula>
    </cfRule>
  </conditionalFormatting>
  <conditionalFormatting sqref="AK84">
    <cfRule type="cellIs" dxfId="4189" priority="64787" stopIfTrue="1" operator="equal">
      <formula>"En cours"</formula>
    </cfRule>
  </conditionalFormatting>
  <conditionalFormatting sqref="AK84">
    <cfRule type="cellIs" dxfId="4188" priority="64788" stopIfTrue="1" operator="notEqual">
      <formula>"En cours"</formula>
    </cfRule>
  </conditionalFormatting>
  <conditionalFormatting sqref="AJ45">
    <cfRule type="cellIs" dxfId="4187" priority="64789" stopIfTrue="1" operator="equal">
      <formula>"En cours"</formula>
    </cfRule>
  </conditionalFormatting>
  <conditionalFormatting sqref="AJ45">
    <cfRule type="cellIs" dxfId="4186" priority="64790" stopIfTrue="1" operator="notEqual">
      <formula>"En cours"</formula>
    </cfRule>
  </conditionalFormatting>
  <conditionalFormatting sqref="AK45">
    <cfRule type="cellIs" dxfId="4185" priority="64791" stopIfTrue="1" operator="equal">
      <formula>"En cours"</formula>
    </cfRule>
  </conditionalFormatting>
  <conditionalFormatting sqref="AK45">
    <cfRule type="cellIs" dxfId="4184" priority="64792" stopIfTrue="1" operator="notEqual">
      <formula>"En cours"</formula>
    </cfRule>
  </conditionalFormatting>
  <conditionalFormatting sqref="AJ51">
    <cfRule type="cellIs" dxfId="4183" priority="64793" stopIfTrue="1" operator="equal">
      <formula>"En cours"</formula>
    </cfRule>
  </conditionalFormatting>
  <conditionalFormatting sqref="AJ51">
    <cfRule type="cellIs" dxfId="4182" priority="64794" stopIfTrue="1" operator="notEqual">
      <formula>"En cours"</formula>
    </cfRule>
  </conditionalFormatting>
  <conditionalFormatting sqref="AK51">
    <cfRule type="cellIs" dxfId="4181" priority="64795" stopIfTrue="1" operator="equal">
      <formula>"En cours"</formula>
    </cfRule>
  </conditionalFormatting>
  <conditionalFormatting sqref="AK51">
    <cfRule type="cellIs" dxfId="4180" priority="64796" stopIfTrue="1" operator="notEqual">
      <formula>"En cours"</formula>
    </cfRule>
  </conditionalFormatting>
  <conditionalFormatting sqref="AJ141">
    <cfRule type="cellIs" dxfId="4179" priority="64797" stopIfTrue="1" operator="equal">
      <formula>"En cours"</formula>
    </cfRule>
  </conditionalFormatting>
  <conditionalFormatting sqref="AJ141">
    <cfRule type="cellIs" dxfId="4178" priority="64798" stopIfTrue="1" operator="notEqual">
      <formula>"En cours"</formula>
    </cfRule>
  </conditionalFormatting>
  <conditionalFormatting sqref="AK141">
    <cfRule type="cellIs" dxfId="4177" priority="64799" stopIfTrue="1" operator="equal">
      <formula>"En cours"</formula>
    </cfRule>
  </conditionalFormatting>
  <conditionalFormatting sqref="AK141">
    <cfRule type="cellIs" dxfId="4176" priority="64800" stopIfTrue="1" operator="notEqual">
      <formula>"En cours"</formula>
    </cfRule>
  </conditionalFormatting>
  <conditionalFormatting sqref="AJ92">
    <cfRule type="cellIs" dxfId="4175" priority="64801" stopIfTrue="1" operator="equal">
      <formula>"En cours"</formula>
    </cfRule>
  </conditionalFormatting>
  <conditionalFormatting sqref="AJ92">
    <cfRule type="cellIs" dxfId="4174" priority="64802" stopIfTrue="1" operator="notEqual">
      <formula>"En cours"</formula>
    </cfRule>
  </conditionalFormatting>
  <conditionalFormatting sqref="AK92">
    <cfRule type="cellIs" dxfId="4173" priority="64803" stopIfTrue="1" operator="equal">
      <formula>"En cours"</formula>
    </cfRule>
  </conditionalFormatting>
  <conditionalFormatting sqref="AK92">
    <cfRule type="cellIs" dxfId="4172" priority="64804" stopIfTrue="1" operator="notEqual">
      <formula>"En cours"</formula>
    </cfRule>
  </conditionalFormatting>
  <conditionalFormatting sqref="AJ50">
    <cfRule type="cellIs" dxfId="4171" priority="64805" stopIfTrue="1" operator="equal">
      <formula>"En cours"</formula>
    </cfRule>
  </conditionalFormatting>
  <conditionalFormatting sqref="AJ50">
    <cfRule type="cellIs" dxfId="4170" priority="64806" stopIfTrue="1" operator="notEqual">
      <formula>"En cours"</formula>
    </cfRule>
  </conditionalFormatting>
  <conditionalFormatting sqref="AK50">
    <cfRule type="cellIs" dxfId="4169" priority="64807" stopIfTrue="1" operator="equal">
      <formula>"En cours"</formula>
    </cfRule>
  </conditionalFormatting>
  <conditionalFormatting sqref="AK50">
    <cfRule type="cellIs" dxfId="4168" priority="64808" stopIfTrue="1" operator="notEqual">
      <formula>"En cours"</formula>
    </cfRule>
  </conditionalFormatting>
  <conditionalFormatting sqref="AJ89">
    <cfRule type="cellIs" dxfId="4167" priority="64809" stopIfTrue="1" operator="equal">
      <formula>"En cours"</formula>
    </cfRule>
  </conditionalFormatting>
  <conditionalFormatting sqref="AJ89">
    <cfRule type="cellIs" dxfId="4166" priority="64810" stopIfTrue="1" operator="notEqual">
      <formula>"En cours"</formula>
    </cfRule>
  </conditionalFormatting>
  <conditionalFormatting sqref="AK89">
    <cfRule type="cellIs" dxfId="4165" priority="64811" stopIfTrue="1" operator="equal">
      <formula>"En cours"</formula>
    </cfRule>
  </conditionalFormatting>
  <conditionalFormatting sqref="AK89">
    <cfRule type="cellIs" dxfId="4164" priority="64812" stopIfTrue="1" operator="notEqual">
      <formula>"En cours"</formula>
    </cfRule>
  </conditionalFormatting>
  <conditionalFormatting sqref="AJ147">
    <cfRule type="cellIs" dxfId="4163" priority="64813" stopIfTrue="1" operator="equal">
      <formula>"En cours"</formula>
    </cfRule>
  </conditionalFormatting>
  <conditionalFormatting sqref="AJ147">
    <cfRule type="cellIs" dxfId="4162" priority="64814" stopIfTrue="1" operator="notEqual">
      <formula>"En cours"</formula>
    </cfRule>
  </conditionalFormatting>
  <conditionalFormatting sqref="AK147">
    <cfRule type="cellIs" dxfId="4161" priority="64815" stopIfTrue="1" operator="equal">
      <formula>"En cours"</formula>
    </cfRule>
  </conditionalFormatting>
  <conditionalFormatting sqref="AK147">
    <cfRule type="cellIs" dxfId="4160" priority="64816" stopIfTrue="1" operator="notEqual">
      <formula>"En cours"</formula>
    </cfRule>
  </conditionalFormatting>
  <conditionalFormatting sqref="AJ54">
    <cfRule type="cellIs" dxfId="4159" priority="64817" stopIfTrue="1" operator="equal">
      <formula>"En cours"</formula>
    </cfRule>
  </conditionalFormatting>
  <conditionalFormatting sqref="AJ54">
    <cfRule type="cellIs" dxfId="4158" priority="64818" stopIfTrue="1" operator="notEqual">
      <formula>"En cours"</formula>
    </cfRule>
  </conditionalFormatting>
  <conditionalFormatting sqref="AK54">
    <cfRule type="cellIs" dxfId="4157" priority="64819" stopIfTrue="1" operator="equal">
      <formula>"En cours"</formula>
    </cfRule>
  </conditionalFormatting>
  <conditionalFormatting sqref="AK54">
    <cfRule type="cellIs" dxfId="4156" priority="64820" stopIfTrue="1" operator="notEqual">
      <formula>"En cours"</formula>
    </cfRule>
  </conditionalFormatting>
  <conditionalFormatting sqref="AJ148">
    <cfRule type="cellIs" dxfId="4155" priority="64821" stopIfTrue="1" operator="equal">
      <formula>"En cours"</formula>
    </cfRule>
  </conditionalFormatting>
  <conditionalFormatting sqref="AJ148">
    <cfRule type="cellIs" dxfId="4154" priority="64822" stopIfTrue="1" operator="notEqual">
      <formula>"En cours"</formula>
    </cfRule>
  </conditionalFormatting>
  <conditionalFormatting sqref="AK148">
    <cfRule type="cellIs" dxfId="4153" priority="64823" stopIfTrue="1" operator="equal">
      <formula>"En cours"</formula>
    </cfRule>
  </conditionalFormatting>
  <conditionalFormatting sqref="AK148">
    <cfRule type="cellIs" dxfId="4152" priority="64824" stopIfTrue="1" operator="notEqual">
      <formula>"En cours"</formula>
    </cfRule>
  </conditionalFormatting>
  <conditionalFormatting sqref="AJ122">
    <cfRule type="cellIs" dxfId="4151" priority="64825" stopIfTrue="1" operator="equal">
      <formula>"En cours"</formula>
    </cfRule>
  </conditionalFormatting>
  <conditionalFormatting sqref="AJ122">
    <cfRule type="cellIs" dxfId="4150" priority="64826" stopIfTrue="1" operator="notEqual">
      <formula>"En cours"</formula>
    </cfRule>
  </conditionalFormatting>
  <conditionalFormatting sqref="AK122">
    <cfRule type="cellIs" dxfId="4149" priority="64827" stopIfTrue="1" operator="equal">
      <formula>"En cours"</formula>
    </cfRule>
  </conditionalFormatting>
  <conditionalFormatting sqref="AK122">
    <cfRule type="cellIs" dxfId="4148" priority="64828" stopIfTrue="1" operator="notEqual">
      <formula>"En cours"</formula>
    </cfRule>
  </conditionalFormatting>
  <conditionalFormatting sqref="AJ40">
    <cfRule type="cellIs" dxfId="4147" priority="64829" stopIfTrue="1" operator="equal">
      <formula>"En cours"</formula>
    </cfRule>
  </conditionalFormatting>
  <conditionalFormatting sqref="AJ40">
    <cfRule type="cellIs" dxfId="4146" priority="64830" stopIfTrue="1" operator="notEqual">
      <formula>"En cours"</formula>
    </cfRule>
  </conditionalFormatting>
  <conditionalFormatting sqref="AK40">
    <cfRule type="cellIs" dxfId="4145" priority="64831" stopIfTrue="1" operator="equal">
      <formula>"En cours"</formula>
    </cfRule>
  </conditionalFormatting>
  <conditionalFormatting sqref="AK40">
    <cfRule type="cellIs" dxfId="4144" priority="64832" stopIfTrue="1" operator="notEqual">
      <formula>"En cours"</formula>
    </cfRule>
  </conditionalFormatting>
  <conditionalFormatting sqref="AJ52">
    <cfRule type="cellIs" dxfId="4143" priority="64833" stopIfTrue="1" operator="equal">
      <formula>"En cours"</formula>
    </cfRule>
  </conditionalFormatting>
  <conditionalFormatting sqref="AJ52">
    <cfRule type="cellIs" dxfId="4142" priority="64834" stopIfTrue="1" operator="notEqual">
      <formula>"En cours"</formula>
    </cfRule>
  </conditionalFormatting>
  <conditionalFormatting sqref="AK52">
    <cfRule type="cellIs" dxfId="4141" priority="64835" stopIfTrue="1" operator="equal">
      <formula>"En cours"</formula>
    </cfRule>
  </conditionalFormatting>
  <conditionalFormatting sqref="AK52">
    <cfRule type="cellIs" dxfId="4140" priority="64836" stopIfTrue="1" operator="notEqual">
      <formula>"En cours"</formula>
    </cfRule>
  </conditionalFormatting>
  <conditionalFormatting sqref="AJ94">
    <cfRule type="cellIs" dxfId="4139" priority="64837" stopIfTrue="1" operator="equal">
      <formula>"En cours"</formula>
    </cfRule>
  </conditionalFormatting>
  <conditionalFormatting sqref="AJ94">
    <cfRule type="cellIs" dxfId="4138" priority="64838" stopIfTrue="1" operator="notEqual">
      <formula>"En cours"</formula>
    </cfRule>
  </conditionalFormatting>
  <conditionalFormatting sqref="AK94">
    <cfRule type="cellIs" dxfId="4137" priority="64839" stopIfTrue="1" operator="equal">
      <formula>"En cours"</formula>
    </cfRule>
  </conditionalFormatting>
  <conditionalFormatting sqref="AK94">
    <cfRule type="cellIs" dxfId="4136" priority="64840" stopIfTrue="1" operator="notEqual">
      <formula>"En cours"</formula>
    </cfRule>
  </conditionalFormatting>
  <conditionalFormatting sqref="AJ96">
    <cfRule type="cellIs" dxfId="4135" priority="64841" stopIfTrue="1" operator="equal">
      <formula>"En cours"</formula>
    </cfRule>
  </conditionalFormatting>
  <conditionalFormatting sqref="AJ96">
    <cfRule type="cellIs" dxfId="4134" priority="64842" stopIfTrue="1" operator="notEqual">
      <formula>"En cours"</formula>
    </cfRule>
  </conditionalFormatting>
  <conditionalFormatting sqref="AK96">
    <cfRule type="cellIs" dxfId="4133" priority="64843" stopIfTrue="1" operator="equal">
      <formula>"En cours"</formula>
    </cfRule>
  </conditionalFormatting>
  <conditionalFormatting sqref="AK96">
    <cfRule type="cellIs" dxfId="4132" priority="64844" stopIfTrue="1" operator="notEqual">
      <formula>"En cours"</formula>
    </cfRule>
  </conditionalFormatting>
  <conditionalFormatting sqref="AJ70">
    <cfRule type="cellIs" dxfId="4131" priority="64845" stopIfTrue="1" operator="equal">
      <formula>"En cours"</formula>
    </cfRule>
  </conditionalFormatting>
  <conditionalFormatting sqref="AJ70">
    <cfRule type="cellIs" dxfId="4130" priority="64846" stopIfTrue="1" operator="notEqual">
      <formula>"En cours"</formula>
    </cfRule>
  </conditionalFormatting>
  <conditionalFormatting sqref="AK70">
    <cfRule type="cellIs" dxfId="4129" priority="64847" stopIfTrue="1" operator="equal">
      <formula>"En cours"</formula>
    </cfRule>
  </conditionalFormatting>
  <conditionalFormatting sqref="AK70">
    <cfRule type="cellIs" dxfId="4128" priority="64848" stopIfTrue="1" operator="notEqual">
      <formula>"En cours"</formula>
    </cfRule>
  </conditionalFormatting>
  <conditionalFormatting sqref="AJ57">
    <cfRule type="cellIs" dxfId="4127" priority="64849" stopIfTrue="1" operator="equal">
      <formula>"En cours"</formula>
    </cfRule>
  </conditionalFormatting>
  <conditionalFormatting sqref="AJ57">
    <cfRule type="cellIs" dxfId="4126" priority="64850" stopIfTrue="1" operator="notEqual">
      <formula>"En cours"</formula>
    </cfRule>
  </conditionalFormatting>
  <conditionalFormatting sqref="AK57">
    <cfRule type="cellIs" dxfId="4125" priority="64851" stopIfTrue="1" operator="equal">
      <formula>"En cours"</formula>
    </cfRule>
  </conditionalFormatting>
  <conditionalFormatting sqref="AK57">
    <cfRule type="cellIs" dxfId="4124" priority="64852" stopIfTrue="1" operator="notEqual">
      <formula>"En cours"</formula>
    </cfRule>
  </conditionalFormatting>
  <conditionalFormatting sqref="AJ112">
    <cfRule type="cellIs" dxfId="4123" priority="64853" stopIfTrue="1" operator="equal">
      <formula>"En cours"</formula>
    </cfRule>
  </conditionalFormatting>
  <conditionalFormatting sqref="AJ112">
    <cfRule type="cellIs" dxfId="4122" priority="64854" stopIfTrue="1" operator="notEqual">
      <formula>"En cours"</formula>
    </cfRule>
  </conditionalFormatting>
  <conditionalFormatting sqref="AK112">
    <cfRule type="cellIs" dxfId="4121" priority="64855" stopIfTrue="1" operator="equal">
      <formula>"En cours"</formula>
    </cfRule>
  </conditionalFormatting>
  <conditionalFormatting sqref="AK112">
    <cfRule type="cellIs" dxfId="4120" priority="64856" stopIfTrue="1" operator="notEqual">
      <formula>"En cours"</formula>
    </cfRule>
  </conditionalFormatting>
  <conditionalFormatting sqref="AJ132">
    <cfRule type="cellIs" dxfId="4119" priority="64857" stopIfTrue="1" operator="equal">
      <formula>"En cours"</formula>
    </cfRule>
  </conditionalFormatting>
  <conditionalFormatting sqref="AJ132">
    <cfRule type="cellIs" dxfId="4118" priority="64858" stopIfTrue="1" operator="notEqual">
      <formula>"En cours"</formula>
    </cfRule>
  </conditionalFormatting>
  <conditionalFormatting sqref="AK132">
    <cfRule type="cellIs" dxfId="4117" priority="64859" stopIfTrue="1" operator="equal">
      <formula>"En cours"</formula>
    </cfRule>
  </conditionalFormatting>
  <conditionalFormatting sqref="AK132">
    <cfRule type="cellIs" dxfId="4116" priority="64860" stopIfTrue="1" operator="notEqual">
      <formula>"En cours"</formula>
    </cfRule>
  </conditionalFormatting>
  <conditionalFormatting sqref="AJ101">
    <cfRule type="cellIs" dxfId="4115" priority="64861" stopIfTrue="1" operator="equal">
      <formula>"En cours"</formula>
    </cfRule>
  </conditionalFormatting>
  <conditionalFormatting sqref="AJ101">
    <cfRule type="cellIs" dxfId="4114" priority="64862" stopIfTrue="1" operator="notEqual">
      <formula>"En cours"</formula>
    </cfRule>
  </conditionalFormatting>
  <conditionalFormatting sqref="AK101">
    <cfRule type="cellIs" dxfId="4113" priority="64863" stopIfTrue="1" operator="equal">
      <formula>"En cours"</formula>
    </cfRule>
  </conditionalFormatting>
  <conditionalFormatting sqref="AK101">
    <cfRule type="cellIs" dxfId="4112" priority="64864" stopIfTrue="1" operator="notEqual">
      <formula>"En cours"</formula>
    </cfRule>
  </conditionalFormatting>
  <conditionalFormatting sqref="AJ113">
    <cfRule type="cellIs" dxfId="4111" priority="64865" stopIfTrue="1" operator="equal">
      <formula>"En cours"</formula>
    </cfRule>
  </conditionalFormatting>
  <conditionalFormatting sqref="AJ113">
    <cfRule type="cellIs" dxfId="4110" priority="64866" stopIfTrue="1" operator="notEqual">
      <formula>"En cours"</formula>
    </cfRule>
  </conditionalFormatting>
  <conditionalFormatting sqref="AK113">
    <cfRule type="cellIs" dxfId="4109" priority="64867" stopIfTrue="1" operator="equal">
      <formula>"En cours"</formula>
    </cfRule>
  </conditionalFormatting>
  <conditionalFormatting sqref="AK113">
    <cfRule type="cellIs" dxfId="4108" priority="64868" stopIfTrue="1" operator="notEqual">
      <formula>"En cours"</formula>
    </cfRule>
  </conditionalFormatting>
  <conditionalFormatting sqref="AJ114">
    <cfRule type="cellIs" dxfId="4107" priority="64869" stopIfTrue="1" operator="equal">
      <formula>"En cours"</formula>
    </cfRule>
  </conditionalFormatting>
  <conditionalFormatting sqref="AJ114">
    <cfRule type="cellIs" dxfId="4106" priority="64870" stopIfTrue="1" operator="notEqual">
      <formula>"En cours"</formula>
    </cfRule>
  </conditionalFormatting>
  <conditionalFormatting sqref="AK114">
    <cfRule type="cellIs" dxfId="4105" priority="64871" stopIfTrue="1" operator="equal">
      <formula>"En cours"</formula>
    </cfRule>
  </conditionalFormatting>
  <conditionalFormatting sqref="AK114">
    <cfRule type="cellIs" dxfId="4104" priority="64872" stopIfTrue="1" operator="notEqual">
      <formula>"En cours"</formula>
    </cfRule>
  </conditionalFormatting>
  <conditionalFormatting sqref="AJ133">
    <cfRule type="cellIs" dxfId="4103" priority="64873" stopIfTrue="1" operator="equal">
      <formula>"En cours"</formula>
    </cfRule>
  </conditionalFormatting>
  <conditionalFormatting sqref="AJ133">
    <cfRule type="cellIs" dxfId="4102" priority="64874" stopIfTrue="1" operator="notEqual">
      <formula>"En cours"</formula>
    </cfRule>
  </conditionalFormatting>
  <conditionalFormatting sqref="AK133">
    <cfRule type="cellIs" dxfId="4101" priority="64875" stopIfTrue="1" operator="equal">
      <formula>"En cours"</formula>
    </cfRule>
  </conditionalFormatting>
  <conditionalFormatting sqref="AK133">
    <cfRule type="cellIs" dxfId="4100" priority="64876" stopIfTrue="1" operator="notEqual">
      <formula>"En cours"</formula>
    </cfRule>
  </conditionalFormatting>
  <conditionalFormatting sqref="AJ127">
    <cfRule type="cellIs" dxfId="4099" priority="64877" stopIfTrue="1" operator="equal">
      <formula>"En cours"</formula>
    </cfRule>
  </conditionalFormatting>
  <conditionalFormatting sqref="AJ127">
    <cfRule type="cellIs" dxfId="4098" priority="64878" stopIfTrue="1" operator="notEqual">
      <formula>"En cours"</formula>
    </cfRule>
  </conditionalFormatting>
  <conditionalFormatting sqref="AK127">
    <cfRule type="cellIs" dxfId="4097" priority="64879" stopIfTrue="1" operator="equal">
      <formula>"En cours"</formula>
    </cfRule>
  </conditionalFormatting>
  <conditionalFormatting sqref="AK127">
    <cfRule type="cellIs" dxfId="4096" priority="64880" stopIfTrue="1" operator="notEqual">
      <formula>"En cours"</formula>
    </cfRule>
  </conditionalFormatting>
  <conditionalFormatting sqref="AJ116">
    <cfRule type="cellIs" dxfId="4095" priority="64881" stopIfTrue="1" operator="equal">
      <formula>"En cours"</formula>
    </cfRule>
  </conditionalFormatting>
  <conditionalFormatting sqref="AJ116">
    <cfRule type="cellIs" dxfId="4094" priority="64882" stopIfTrue="1" operator="notEqual">
      <formula>"En cours"</formula>
    </cfRule>
  </conditionalFormatting>
  <conditionalFormatting sqref="AK116">
    <cfRule type="cellIs" dxfId="4093" priority="64883" stopIfTrue="1" operator="equal">
      <formula>"En cours"</formula>
    </cfRule>
  </conditionalFormatting>
  <conditionalFormatting sqref="AK116">
    <cfRule type="cellIs" dxfId="4092" priority="64884" stopIfTrue="1" operator="notEqual">
      <formula>"En cours"</formula>
    </cfRule>
  </conditionalFormatting>
  <conditionalFormatting sqref="AJ175">
    <cfRule type="cellIs" dxfId="4091" priority="64885" stopIfTrue="1" operator="equal">
      <formula>"En cours"</formula>
    </cfRule>
  </conditionalFormatting>
  <conditionalFormatting sqref="AJ175">
    <cfRule type="cellIs" dxfId="4090" priority="64886" stopIfTrue="1" operator="notEqual">
      <formula>"En cours"</formula>
    </cfRule>
  </conditionalFormatting>
  <conditionalFormatting sqref="AK175">
    <cfRule type="cellIs" dxfId="4089" priority="64887" stopIfTrue="1" operator="equal">
      <formula>"En cours"</formula>
    </cfRule>
  </conditionalFormatting>
  <conditionalFormatting sqref="AK175">
    <cfRule type="cellIs" dxfId="4088" priority="64888" stopIfTrue="1" operator="notEqual">
      <formula>"En cours"</formula>
    </cfRule>
  </conditionalFormatting>
  <conditionalFormatting sqref="AJ76">
    <cfRule type="cellIs" dxfId="4087" priority="64889" stopIfTrue="1" operator="equal">
      <formula>"En cours"</formula>
    </cfRule>
  </conditionalFormatting>
  <conditionalFormatting sqref="AJ76">
    <cfRule type="cellIs" dxfId="4086" priority="64890" stopIfTrue="1" operator="notEqual">
      <formula>"En cours"</formula>
    </cfRule>
  </conditionalFormatting>
  <conditionalFormatting sqref="AK76">
    <cfRule type="cellIs" dxfId="4085" priority="64891" stopIfTrue="1" operator="equal">
      <formula>"En cours"</formula>
    </cfRule>
  </conditionalFormatting>
  <conditionalFormatting sqref="AK76">
    <cfRule type="cellIs" dxfId="4084" priority="64892" stopIfTrue="1" operator="notEqual">
      <formula>"En cours"</formula>
    </cfRule>
  </conditionalFormatting>
  <conditionalFormatting sqref="AJ159">
    <cfRule type="cellIs" dxfId="4083" priority="64893" stopIfTrue="1" operator="equal">
      <formula>"En cours"</formula>
    </cfRule>
  </conditionalFormatting>
  <conditionalFormatting sqref="AJ159">
    <cfRule type="cellIs" dxfId="4082" priority="64894" stopIfTrue="1" operator="notEqual">
      <formula>"En cours"</formula>
    </cfRule>
  </conditionalFormatting>
  <conditionalFormatting sqref="AK159">
    <cfRule type="cellIs" dxfId="4081" priority="64895" stopIfTrue="1" operator="equal">
      <formula>"En cours"</formula>
    </cfRule>
  </conditionalFormatting>
  <conditionalFormatting sqref="AK159">
    <cfRule type="cellIs" dxfId="4080" priority="64896" stopIfTrue="1" operator="notEqual">
      <formula>"En cours"</formula>
    </cfRule>
  </conditionalFormatting>
  <conditionalFormatting sqref="AJ71">
    <cfRule type="cellIs" dxfId="4079" priority="64897" stopIfTrue="1" operator="equal">
      <formula>"En cours"</formula>
    </cfRule>
  </conditionalFormatting>
  <conditionalFormatting sqref="AJ71">
    <cfRule type="cellIs" dxfId="4078" priority="64898" stopIfTrue="1" operator="notEqual">
      <formula>"En cours"</formula>
    </cfRule>
  </conditionalFormatting>
  <conditionalFormatting sqref="AK71">
    <cfRule type="cellIs" dxfId="4077" priority="64899" stopIfTrue="1" operator="equal">
      <formula>"En cours"</formula>
    </cfRule>
  </conditionalFormatting>
  <conditionalFormatting sqref="AK71">
    <cfRule type="cellIs" dxfId="4076" priority="64900" stopIfTrue="1" operator="notEqual">
      <formula>"En cours"</formula>
    </cfRule>
  </conditionalFormatting>
  <conditionalFormatting sqref="AJ77">
    <cfRule type="cellIs" dxfId="4075" priority="64901" stopIfTrue="1" operator="equal">
      <formula>"En cours"</formula>
    </cfRule>
  </conditionalFormatting>
  <conditionalFormatting sqref="AJ77">
    <cfRule type="cellIs" dxfId="4074" priority="64902" stopIfTrue="1" operator="notEqual">
      <formula>"En cours"</formula>
    </cfRule>
  </conditionalFormatting>
  <conditionalFormatting sqref="AK77">
    <cfRule type="cellIs" dxfId="4073" priority="64903" stopIfTrue="1" operator="equal">
      <formula>"En cours"</formula>
    </cfRule>
  </conditionalFormatting>
  <conditionalFormatting sqref="AK77">
    <cfRule type="cellIs" dxfId="4072" priority="64904" stopIfTrue="1" operator="notEqual">
      <formula>"En cours"</formula>
    </cfRule>
  </conditionalFormatting>
  <conditionalFormatting sqref="AJ68">
    <cfRule type="cellIs" dxfId="4071" priority="64905" stopIfTrue="1" operator="equal">
      <formula>"En cours"</formula>
    </cfRule>
  </conditionalFormatting>
  <conditionalFormatting sqref="AJ68">
    <cfRule type="cellIs" dxfId="4070" priority="64906" stopIfTrue="1" operator="notEqual">
      <formula>"En cours"</formula>
    </cfRule>
  </conditionalFormatting>
  <conditionalFormatting sqref="AK68">
    <cfRule type="cellIs" dxfId="4069" priority="64907" stopIfTrue="1" operator="equal">
      <formula>"En cours"</formula>
    </cfRule>
  </conditionalFormatting>
  <conditionalFormatting sqref="AK68">
    <cfRule type="cellIs" dxfId="4068" priority="64908" stopIfTrue="1" operator="notEqual">
      <formula>"En cours"</formula>
    </cfRule>
  </conditionalFormatting>
  <conditionalFormatting sqref="AJ176">
    <cfRule type="cellIs" dxfId="4067" priority="64909" stopIfTrue="1" operator="equal">
      <formula>"En cours"</formula>
    </cfRule>
  </conditionalFormatting>
  <conditionalFormatting sqref="AJ176">
    <cfRule type="cellIs" dxfId="4066" priority="64910" stopIfTrue="1" operator="notEqual">
      <formula>"En cours"</formula>
    </cfRule>
  </conditionalFormatting>
  <conditionalFormatting sqref="AK176">
    <cfRule type="cellIs" dxfId="4065" priority="64911" stopIfTrue="1" operator="equal">
      <formula>"En cours"</formula>
    </cfRule>
  </conditionalFormatting>
  <conditionalFormatting sqref="AK176">
    <cfRule type="cellIs" dxfId="4064" priority="64912" stopIfTrue="1" operator="notEqual">
      <formula>"En cours"</formula>
    </cfRule>
  </conditionalFormatting>
  <conditionalFormatting sqref="AJ153">
    <cfRule type="cellIs" dxfId="4063" priority="64913" stopIfTrue="1" operator="equal">
      <formula>"En cours"</formula>
    </cfRule>
  </conditionalFormatting>
  <conditionalFormatting sqref="AJ153">
    <cfRule type="cellIs" dxfId="4062" priority="64914" stopIfTrue="1" operator="notEqual">
      <formula>"En cours"</formula>
    </cfRule>
  </conditionalFormatting>
  <conditionalFormatting sqref="AK153">
    <cfRule type="cellIs" dxfId="4061" priority="64915" stopIfTrue="1" operator="equal">
      <formula>"En cours"</formula>
    </cfRule>
  </conditionalFormatting>
  <conditionalFormatting sqref="AK153">
    <cfRule type="cellIs" dxfId="4060" priority="64916" stopIfTrue="1" operator="notEqual">
      <formula>"En cours"</formula>
    </cfRule>
  </conditionalFormatting>
  <conditionalFormatting sqref="AJ64">
    <cfRule type="cellIs" dxfId="4059" priority="64917" stopIfTrue="1" operator="equal">
      <formula>"En cours"</formula>
    </cfRule>
  </conditionalFormatting>
  <conditionalFormatting sqref="AJ64">
    <cfRule type="cellIs" dxfId="4058" priority="64918" stopIfTrue="1" operator="notEqual">
      <formula>"En cours"</formula>
    </cfRule>
  </conditionalFormatting>
  <conditionalFormatting sqref="AK64">
    <cfRule type="cellIs" dxfId="4057" priority="64919" stopIfTrue="1" operator="equal">
      <formula>"En cours"</formula>
    </cfRule>
  </conditionalFormatting>
  <conditionalFormatting sqref="AK64">
    <cfRule type="cellIs" dxfId="4056" priority="64920" stopIfTrue="1" operator="notEqual">
      <formula>"En cours"</formula>
    </cfRule>
  </conditionalFormatting>
  <conditionalFormatting sqref="AJ59">
    <cfRule type="cellIs" dxfId="4055" priority="64921" stopIfTrue="1" operator="equal">
      <formula>"En cours"</formula>
    </cfRule>
  </conditionalFormatting>
  <conditionalFormatting sqref="AJ59">
    <cfRule type="cellIs" dxfId="4054" priority="64922" stopIfTrue="1" operator="notEqual">
      <formula>"En cours"</formula>
    </cfRule>
  </conditionalFormatting>
  <conditionalFormatting sqref="AK59">
    <cfRule type="cellIs" dxfId="4053" priority="64923" stopIfTrue="1" operator="equal">
      <formula>"En cours"</formula>
    </cfRule>
  </conditionalFormatting>
  <conditionalFormatting sqref="AK59">
    <cfRule type="cellIs" dxfId="4052" priority="64924" stopIfTrue="1" operator="notEqual">
      <formula>"En cours"</formula>
    </cfRule>
  </conditionalFormatting>
  <conditionalFormatting sqref="AJ160">
    <cfRule type="cellIs" dxfId="4051" priority="64925" stopIfTrue="1" operator="equal">
      <formula>"En cours"</formula>
    </cfRule>
  </conditionalFormatting>
  <conditionalFormatting sqref="AJ160">
    <cfRule type="cellIs" dxfId="4050" priority="64926" stopIfTrue="1" operator="notEqual">
      <formula>"En cours"</formula>
    </cfRule>
  </conditionalFormatting>
  <conditionalFormatting sqref="AK160">
    <cfRule type="cellIs" dxfId="4049" priority="64927" stopIfTrue="1" operator="equal">
      <formula>"En cours"</formula>
    </cfRule>
  </conditionalFormatting>
  <conditionalFormatting sqref="AK160">
    <cfRule type="cellIs" dxfId="4048" priority="64928" stopIfTrue="1" operator="notEqual">
      <formula>"En cours"</formula>
    </cfRule>
  </conditionalFormatting>
  <conditionalFormatting sqref="AJ73">
    <cfRule type="cellIs" dxfId="4047" priority="64929" stopIfTrue="1" operator="equal">
      <formula>"En cours"</formula>
    </cfRule>
  </conditionalFormatting>
  <conditionalFormatting sqref="AJ73">
    <cfRule type="cellIs" dxfId="4046" priority="64930" stopIfTrue="1" operator="notEqual">
      <formula>"En cours"</formula>
    </cfRule>
  </conditionalFormatting>
  <conditionalFormatting sqref="AK73">
    <cfRule type="cellIs" dxfId="4045" priority="64931" stopIfTrue="1" operator="equal">
      <formula>"En cours"</formula>
    </cfRule>
  </conditionalFormatting>
  <conditionalFormatting sqref="AK73">
    <cfRule type="cellIs" dxfId="4044" priority="64932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FE72-0E8D-49D2-A6EE-195D8B3BB0F9}">
  <sheetPr codeName="Feuil5"/>
  <dimension ref="B1:AK1004"/>
  <sheetViews>
    <sheetView zoomScale="55" zoomScaleNormal="55" workbookViewId="0">
      <pane xSplit="5" topLeftCell="F1" activePane="topRight" state="frozen"/>
      <selection pane="topRight" activeCell="F4" sqref="F4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6" customWidth="1"/>
    <col min="7" max="7" width="14.28515625" customWidth="1"/>
    <col min="8" max="8" width="15.85546875" style="76" customWidth="1"/>
    <col min="9" max="9" width="15" customWidth="1"/>
    <col min="10" max="10" width="16.42578125" style="76" customWidth="1"/>
    <col min="11" max="11" width="15.85546875" customWidth="1"/>
    <col min="12" max="12" width="17.42578125" style="76" customWidth="1"/>
    <col min="13" max="13" width="16.5703125" customWidth="1"/>
    <col min="14" max="14" width="16.42578125" style="76" customWidth="1"/>
    <col min="15" max="15" width="15.85546875" customWidth="1"/>
    <col min="16" max="16" width="17.42578125" style="76" customWidth="1"/>
    <col min="17" max="17" width="16.5703125" customWidth="1"/>
    <col min="18" max="18" width="18" style="76" customWidth="1"/>
    <col min="19" max="19" width="17.42578125" customWidth="1"/>
    <col min="20" max="20" width="19" style="76" customWidth="1"/>
    <col min="21" max="21" width="18.140625" customWidth="1"/>
    <col min="22" max="22" width="18" style="76" customWidth="1"/>
    <col min="23" max="23" width="17.42578125" customWidth="1"/>
    <col min="24" max="24" width="19" style="76" customWidth="1"/>
    <col min="25" max="25" width="18.140625" customWidth="1"/>
    <col min="26" max="26" width="18" style="76" customWidth="1"/>
    <col min="27" max="27" width="17.42578125" customWidth="1"/>
    <col min="28" max="28" width="19" style="76" customWidth="1"/>
    <col min="29" max="29" width="18.140625" customWidth="1"/>
    <col min="30" max="30" width="18" style="76" customWidth="1"/>
    <col min="31" max="31" width="19" style="76" customWidth="1"/>
    <col min="32" max="32" width="18" style="76" customWidth="1"/>
    <col min="33" max="33" width="17.42578125" customWidth="1"/>
    <col min="34" max="34" width="19" style="76" customWidth="1"/>
    <col min="35" max="35" width="18.140625" customWidth="1"/>
    <col min="36" max="36" width="23.85546875" style="76" customWidth="1"/>
    <col min="37" max="37" width="25.42578125" style="76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4">
        <f>COUNTA(B4:B7689)</f>
        <v>29</v>
      </c>
      <c r="C2" s="75" t="s">
        <v>37</v>
      </c>
      <c r="E2" s="19"/>
      <c r="F2" s="200" t="s">
        <v>18</v>
      </c>
      <c r="G2" s="201"/>
      <c r="H2" s="201"/>
      <c r="I2" s="202"/>
      <c r="J2" s="203" t="s">
        <v>19</v>
      </c>
      <c r="K2" s="204"/>
      <c r="L2" s="204"/>
      <c r="M2" s="205"/>
      <c r="N2" s="206" t="s">
        <v>20</v>
      </c>
      <c r="O2" s="201"/>
      <c r="P2" s="201"/>
      <c r="Q2" s="202"/>
      <c r="R2" s="203" t="s">
        <v>21</v>
      </c>
      <c r="S2" s="204"/>
      <c r="T2" s="204"/>
      <c r="U2" s="205"/>
      <c r="V2" s="206" t="s">
        <v>22</v>
      </c>
      <c r="W2" s="201"/>
      <c r="X2" s="201"/>
      <c r="Y2" s="202"/>
      <c r="Z2" s="203" t="s">
        <v>23</v>
      </c>
      <c r="AA2" s="204"/>
      <c r="AB2" s="204"/>
      <c r="AC2" s="207"/>
      <c r="AD2" s="193" t="s">
        <v>24</v>
      </c>
      <c r="AE2" s="194"/>
      <c r="AF2" s="195" t="s">
        <v>17</v>
      </c>
      <c r="AG2" s="196"/>
      <c r="AH2" s="196"/>
      <c r="AI2" s="197"/>
      <c r="AJ2" s="198" t="s">
        <v>25</v>
      </c>
      <c r="AK2" s="199"/>
    </row>
    <row r="3" spans="2:37" ht="57" x14ac:dyDescent="0.25">
      <c r="B3" s="84" t="s">
        <v>5</v>
      </c>
      <c r="C3" s="85" t="s">
        <v>6</v>
      </c>
      <c r="D3" s="86" t="s">
        <v>7</v>
      </c>
      <c r="E3" s="87" t="s">
        <v>8</v>
      </c>
      <c r="F3" s="88" t="s">
        <v>52</v>
      </c>
      <c r="G3" s="89" t="s">
        <v>40</v>
      </c>
      <c r="H3" s="90" t="s">
        <v>61</v>
      </c>
      <c r="I3" s="91" t="s">
        <v>41</v>
      </c>
      <c r="J3" s="92" t="s">
        <v>53</v>
      </c>
      <c r="K3" s="89" t="s">
        <v>42</v>
      </c>
      <c r="L3" s="90" t="s">
        <v>62</v>
      </c>
      <c r="M3" s="91" t="s">
        <v>43</v>
      </c>
      <c r="N3" s="92" t="s">
        <v>54</v>
      </c>
      <c r="O3" s="89" t="s">
        <v>44</v>
      </c>
      <c r="P3" s="90" t="s">
        <v>63</v>
      </c>
      <c r="Q3" s="91" t="s">
        <v>45</v>
      </c>
      <c r="R3" s="92" t="s">
        <v>55</v>
      </c>
      <c r="S3" s="89" t="s">
        <v>46</v>
      </c>
      <c r="T3" s="90" t="s">
        <v>64</v>
      </c>
      <c r="U3" s="91" t="s">
        <v>47</v>
      </c>
      <c r="V3" s="92" t="s">
        <v>56</v>
      </c>
      <c r="W3" s="89" t="s">
        <v>48</v>
      </c>
      <c r="X3" s="90" t="s">
        <v>65</v>
      </c>
      <c r="Y3" s="91" t="s">
        <v>49</v>
      </c>
      <c r="Z3" s="92" t="s">
        <v>57</v>
      </c>
      <c r="AA3" s="89" t="s">
        <v>50</v>
      </c>
      <c r="AB3" s="90" t="s">
        <v>66</v>
      </c>
      <c r="AC3" s="93" t="s">
        <v>51</v>
      </c>
      <c r="AD3" s="94" t="s">
        <v>58</v>
      </c>
      <c r="AE3" s="95" t="s">
        <v>67</v>
      </c>
      <c r="AF3" s="88" t="s">
        <v>59</v>
      </c>
      <c r="AG3" s="89" t="s">
        <v>38</v>
      </c>
      <c r="AH3" s="90" t="s">
        <v>68</v>
      </c>
      <c r="AI3" s="96" t="s">
        <v>39</v>
      </c>
      <c r="AJ3" s="97" t="s">
        <v>60</v>
      </c>
      <c r="AK3" s="98" t="s">
        <v>69</v>
      </c>
    </row>
    <row r="4" spans="2:37" ht="21" x14ac:dyDescent="0.35">
      <c r="B4" s="143" t="s">
        <v>112</v>
      </c>
      <c r="C4" s="143" t="s">
        <v>108</v>
      </c>
      <c r="D4" s="143">
        <v>18.2</v>
      </c>
      <c r="E4" s="143" t="s">
        <v>141</v>
      </c>
      <c r="F4" s="143">
        <v>69</v>
      </c>
      <c r="G4" s="143">
        <v>1</v>
      </c>
      <c r="H4" s="143">
        <v>90</v>
      </c>
      <c r="I4" s="143">
        <v>1</v>
      </c>
      <c r="J4" s="143"/>
      <c r="K4" s="143"/>
      <c r="L4" s="143"/>
      <c r="M4" s="143"/>
      <c r="N4" s="143">
        <v>64</v>
      </c>
      <c r="O4" s="143">
        <v>1</v>
      </c>
      <c r="P4" s="143">
        <v>85</v>
      </c>
      <c r="Q4" s="143">
        <v>3</v>
      </c>
      <c r="R4" s="143"/>
      <c r="S4" s="143"/>
      <c r="T4" s="143"/>
      <c r="U4" s="143"/>
      <c r="V4" s="143">
        <v>64</v>
      </c>
      <c r="W4" s="143">
        <v>1</v>
      </c>
      <c r="X4" s="143">
        <v>85</v>
      </c>
      <c r="Y4" s="143">
        <v>5</v>
      </c>
      <c r="Z4" s="143"/>
      <c r="AA4" s="143"/>
      <c r="AB4" s="143"/>
      <c r="AC4" s="143"/>
      <c r="AD4" s="144">
        <f>IF(MIN(F4,J4,N4,R4,V4,Z4)&lt;&gt;0,MIN(F4,J4,N4,R4,V4,Z4),"")</f>
        <v>64</v>
      </c>
      <c r="AE4" s="144">
        <f>IF(MIN(H4,L4,P4,T4,X4,AB4)&lt;&gt;0,MIN(H4,L4,P4,T4,X4,AB4),"")</f>
        <v>85</v>
      </c>
      <c r="AF4" s="144"/>
      <c r="AG4" s="143"/>
      <c r="AH4" s="144"/>
      <c r="AI4" s="143"/>
      <c r="AJ4" s="142" t="str">
        <f>IF(AD4="","",IF(ISBLANK(AF4),"En cours",AD4+AF4))</f>
        <v>En cours</v>
      </c>
      <c r="AK4" s="142" t="str">
        <f>IF(AE4="","",IF(ISBLANK(AH4),"En cours",AE4+AH4))</f>
        <v>En cours</v>
      </c>
    </row>
    <row r="5" spans="2:37" ht="21" x14ac:dyDescent="0.35">
      <c r="B5" s="143" t="s">
        <v>110</v>
      </c>
      <c r="C5" s="143" t="s">
        <v>108</v>
      </c>
      <c r="D5" s="143">
        <v>8.1999999999999993</v>
      </c>
      <c r="E5" s="143" t="s">
        <v>141</v>
      </c>
      <c r="F5" s="143">
        <v>70</v>
      </c>
      <c r="G5" s="143">
        <v>2</v>
      </c>
      <c r="H5" s="143">
        <v>80</v>
      </c>
      <c r="I5" s="143">
        <v>1</v>
      </c>
      <c r="J5" s="143">
        <v>71</v>
      </c>
      <c r="K5" s="143">
        <v>2</v>
      </c>
      <c r="L5" s="143">
        <v>81</v>
      </c>
      <c r="M5" s="143">
        <v>2</v>
      </c>
      <c r="N5" s="143"/>
      <c r="O5" s="143"/>
      <c r="P5" s="143"/>
      <c r="Q5" s="143"/>
      <c r="R5" s="143"/>
      <c r="S5" s="143"/>
      <c r="T5" s="143"/>
      <c r="U5" s="143"/>
      <c r="V5" s="143"/>
      <c r="W5" s="143"/>
      <c r="X5" s="143"/>
      <c r="Y5" s="143"/>
      <c r="Z5" s="143"/>
      <c r="AA5" s="143"/>
      <c r="AB5" s="143"/>
      <c r="AC5" s="143"/>
      <c r="AD5" s="144">
        <f>IF(MIN(F5,J5,N5,R5,V5,Z5)&lt;&gt;0,MIN(F5,J5,N5,R5,V5,Z5),"")</f>
        <v>70</v>
      </c>
      <c r="AE5" s="144">
        <f>IF(MIN(H5,L5,P5,T5,X5,AB5)&lt;&gt;0,MIN(H5,L5,P5,T5,X5,AB5),"")</f>
        <v>80</v>
      </c>
      <c r="AF5" s="144"/>
      <c r="AG5" s="143"/>
      <c r="AH5" s="144"/>
      <c r="AI5" s="143"/>
      <c r="AJ5" s="142" t="str">
        <f>IF(AD5="","",IF(ISBLANK(AF5),"En cours",AD5+AF5))</f>
        <v>En cours</v>
      </c>
      <c r="AK5" s="142" t="str">
        <f>IF(AE5="","",IF(ISBLANK(AH5),"En cours",AE5+AH5))</f>
        <v>En cours</v>
      </c>
    </row>
    <row r="6" spans="2:37" ht="21" x14ac:dyDescent="0.35">
      <c r="B6" s="143" t="s">
        <v>111</v>
      </c>
      <c r="C6" s="143" t="s">
        <v>108</v>
      </c>
      <c r="D6" s="143">
        <v>13.7</v>
      </c>
      <c r="E6" s="143" t="s">
        <v>141</v>
      </c>
      <c r="F6" s="143">
        <v>71</v>
      </c>
      <c r="G6" s="143">
        <v>3</v>
      </c>
      <c r="H6" s="143">
        <v>87</v>
      </c>
      <c r="I6" s="143">
        <v>1</v>
      </c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  <c r="V6" s="143">
        <v>75</v>
      </c>
      <c r="W6" s="143">
        <v>5</v>
      </c>
      <c r="X6" s="143">
        <v>91</v>
      </c>
      <c r="Y6" s="143">
        <v>5</v>
      </c>
      <c r="Z6" s="143"/>
      <c r="AA6" s="143"/>
      <c r="AB6" s="143"/>
      <c r="AC6" s="143"/>
      <c r="AD6" s="144">
        <f>IF(MIN(F6,J6,N6,R6,V6,Z6)&lt;&gt;0,MIN(F6,J6,N6,R6,V6,Z6),"")</f>
        <v>71</v>
      </c>
      <c r="AE6" s="144">
        <f>IF(MIN(H6,L6,P6,T6,X6,AB6)&lt;&gt;0,MIN(H6,L6,P6,T6,X6,AB6),"")</f>
        <v>87</v>
      </c>
      <c r="AF6" s="144"/>
      <c r="AG6" s="143"/>
      <c r="AH6" s="144"/>
      <c r="AI6" s="143"/>
      <c r="AJ6" s="142" t="str">
        <f>IF(AD6="","",IF(ISBLANK(AF6),"En cours",AD6+AF6))</f>
        <v>En cours</v>
      </c>
      <c r="AK6" s="142" t="str">
        <f>IF(AE6="","",IF(ISBLANK(AH6),"En cours",AE6+AH6))</f>
        <v>En cours</v>
      </c>
    </row>
    <row r="7" spans="2:37" ht="21" x14ac:dyDescent="0.35">
      <c r="B7" s="143" t="s">
        <v>113</v>
      </c>
      <c r="C7" s="143" t="s">
        <v>108</v>
      </c>
      <c r="D7" s="143">
        <v>14.7</v>
      </c>
      <c r="E7" s="143" t="s">
        <v>141</v>
      </c>
      <c r="F7" s="143">
        <v>76</v>
      </c>
      <c r="G7" s="143">
        <v>4</v>
      </c>
      <c r="H7" s="143">
        <v>93</v>
      </c>
      <c r="I7" s="143">
        <v>1</v>
      </c>
      <c r="J7" s="143"/>
      <c r="K7" s="143"/>
      <c r="L7" s="143"/>
      <c r="M7" s="143"/>
      <c r="N7" s="143">
        <v>82</v>
      </c>
      <c r="O7" s="143">
        <v>6</v>
      </c>
      <c r="P7" s="143">
        <v>99</v>
      </c>
      <c r="Q7" s="143">
        <v>3</v>
      </c>
      <c r="R7" s="143"/>
      <c r="S7" s="143"/>
      <c r="T7" s="143"/>
      <c r="U7" s="143"/>
      <c r="V7" s="143"/>
      <c r="W7" s="143"/>
      <c r="X7" s="143"/>
      <c r="Y7" s="143"/>
      <c r="Z7" s="143"/>
      <c r="AA7" s="143"/>
      <c r="AB7" s="143"/>
      <c r="AC7" s="143"/>
      <c r="AD7" s="144">
        <f>IF(MIN(F7,J7,N7,R7,V7,Z7)&lt;&gt;0,MIN(F7,J7,N7,R7,V7,Z7),"")</f>
        <v>76</v>
      </c>
      <c r="AE7" s="144">
        <f>IF(MIN(H7,L7,P7,T7,X7,AB7)&lt;&gt;0,MIN(H7,L7,P7,T7,X7,AB7),"")</f>
        <v>93</v>
      </c>
      <c r="AF7" s="144"/>
      <c r="AG7" s="143"/>
      <c r="AH7" s="144"/>
      <c r="AI7" s="143"/>
      <c r="AJ7" s="142" t="str">
        <f>IF(AD7="","",IF(ISBLANK(AF7),"En cours",AD7+AF7))</f>
        <v>En cours</v>
      </c>
      <c r="AK7" s="142" t="str">
        <f>IF(AE7="","",IF(ISBLANK(AH7),"En cours",AE7+AH7))</f>
        <v>En cours</v>
      </c>
    </row>
    <row r="8" spans="2:37" ht="21" x14ac:dyDescent="0.35">
      <c r="B8" s="143" t="s">
        <v>114</v>
      </c>
      <c r="C8" s="143" t="s">
        <v>108</v>
      </c>
      <c r="D8" s="143">
        <v>14.3</v>
      </c>
      <c r="E8" s="143" t="s">
        <v>141</v>
      </c>
      <c r="F8" s="143">
        <v>80</v>
      </c>
      <c r="G8" s="143">
        <v>5</v>
      </c>
      <c r="H8" s="143">
        <v>96</v>
      </c>
      <c r="I8" s="143">
        <v>1</v>
      </c>
      <c r="J8" s="143">
        <v>71</v>
      </c>
      <c r="K8" s="143">
        <v>3</v>
      </c>
      <c r="L8" s="143">
        <v>87</v>
      </c>
      <c r="M8" s="143">
        <v>2</v>
      </c>
      <c r="N8" s="143">
        <v>69</v>
      </c>
      <c r="O8" s="143">
        <v>2</v>
      </c>
      <c r="P8" s="143">
        <v>85</v>
      </c>
      <c r="Q8" s="143">
        <v>3</v>
      </c>
      <c r="R8" s="143"/>
      <c r="S8" s="143"/>
      <c r="T8" s="143"/>
      <c r="U8" s="143"/>
      <c r="V8" s="143"/>
      <c r="W8" s="143"/>
      <c r="X8" s="143"/>
      <c r="Y8" s="143"/>
      <c r="Z8" s="143"/>
      <c r="AA8" s="143"/>
      <c r="AB8" s="143"/>
      <c r="AC8" s="143"/>
      <c r="AD8" s="144">
        <f>IF(MIN(F8,J8,N8,R8,V8,Z8)&lt;&gt;0,MIN(F8,J8,N8,R8,V8,Z8),"")</f>
        <v>69</v>
      </c>
      <c r="AE8" s="144">
        <f>IF(MIN(H8,L8,P8,T8,X8,AB8)&lt;&gt;0,MIN(H8,L8,P8,T8,X8,AB8),"")</f>
        <v>85</v>
      </c>
      <c r="AF8" s="144"/>
      <c r="AG8" s="143"/>
      <c r="AH8" s="144"/>
      <c r="AI8" s="143"/>
      <c r="AJ8" s="142" t="str">
        <f>IF(AD8="","",IF(ISBLANK(AF8),"En cours",AD8+AF8))</f>
        <v>En cours</v>
      </c>
      <c r="AK8" s="142" t="str">
        <f>IF(AE8="","",IF(ISBLANK(AH8),"En cours",AE8+AH8))</f>
        <v>En cours</v>
      </c>
    </row>
    <row r="9" spans="2:37" ht="21" x14ac:dyDescent="0.35">
      <c r="B9" s="143" t="s">
        <v>115</v>
      </c>
      <c r="C9" s="143" t="s">
        <v>116</v>
      </c>
      <c r="D9" s="143">
        <v>13.3</v>
      </c>
      <c r="E9" s="143" t="s">
        <v>141</v>
      </c>
      <c r="F9" s="143">
        <v>83</v>
      </c>
      <c r="G9" s="143">
        <v>6</v>
      </c>
      <c r="H9" s="143">
        <v>98</v>
      </c>
      <c r="I9" s="143">
        <v>1</v>
      </c>
      <c r="J9" s="143"/>
      <c r="K9" s="143"/>
      <c r="L9" s="143"/>
      <c r="M9" s="143"/>
      <c r="N9" s="143"/>
      <c r="O9" s="143"/>
      <c r="P9" s="143"/>
      <c r="Q9" s="143"/>
      <c r="R9" s="143"/>
      <c r="S9" s="143"/>
      <c r="T9" s="143"/>
      <c r="U9" s="143"/>
      <c r="V9" s="143"/>
      <c r="W9" s="143"/>
      <c r="X9" s="143"/>
      <c r="Y9" s="143"/>
      <c r="Z9" s="143"/>
      <c r="AA9" s="143"/>
      <c r="AB9" s="143"/>
      <c r="AC9" s="143"/>
      <c r="AD9" s="144">
        <f>IF(MIN(F9,J9,N9,R9,V9,Z9)&lt;&gt;0,MIN(F9,J9,N9,R9,V9,Z9),"")</f>
        <v>83</v>
      </c>
      <c r="AE9" s="144">
        <f>IF(MIN(H9,L9,P9,T9,X9,AB9)&lt;&gt;0,MIN(H9,L9,P9,T9,X9,AB9),"")</f>
        <v>98</v>
      </c>
      <c r="AF9" s="144"/>
      <c r="AG9" s="143"/>
      <c r="AH9" s="144"/>
      <c r="AI9" s="143"/>
      <c r="AJ9" s="142" t="str">
        <f>IF(AD9="","",IF(ISBLANK(AF9),"En cours",AD9+AF9))</f>
        <v>En cours</v>
      </c>
      <c r="AK9" s="142" t="str">
        <f>IF(AE9="","",IF(ISBLANK(AH9),"En cours",AE9+AH9))</f>
        <v>En cours</v>
      </c>
    </row>
    <row r="10" spans="2:37" ht="21" x14ac:dyDescent="0.35">
      <c r="B10" s="143" t="s">
        <v>117</v>
      </c>
      <c r="C10" s="143" t="s">
        <v>108</v>
      </c>
      <c r="D10" s="143">
        <v>15.7</v>
      </c>
      <c r="E10" s="143" t="s">
        <v>141</v>
      </c>
      <c r="F10" s="143">
        <v>70</v>
      </c>
      <c r="G10" s="143">
        <v>1</v>
      </c>
      <c r="H10" s="143">
        <v>88</v>
      </c>
      <c r="I10" s="143">
        <v>1</v>
      </c>
      <c r="J10" s="143">
        <v>70</v>
      </c>
      <c r="K10" s="143">
        <v>1</v>
      </c>
      <c r="L10" s="143">
        <v>88</v>
      </c>
      <c r="M10" s="143">
        <v>2</v>
      </c>
      <c r="N10" s="143">
        <v>70</v>
      </c>
      <c r="O10" s="143">
        <v>3</v>
      </c>
      <c r="P10" s="143">
        <v>88</v>
      </c>
      <c r="Q10" s="143">
        <v>3</v>
      </c>
      <c r="R10" s="143"/>
      <c r="S10" s="143"/>
      <c r="T10" s="143"/>
      <c r="U10" s="143"/>
      <c r="V10" s="143"/>
      <c r="W10" s="143"/>
      <c r="X10" s="143"/>
      <c r="Y10" s="143"/>
      <c r="Z10" s="143">
        <v>70</v>
      </c>
      <c r="AA10" s="143">
        <v>1</v>
      </c>
      <c r="AB10" s="143">
        <v>88</v>
      </c>
      <c r="AC10" s="143">
        <v>6</v>
      </c>
      <c r="AD10" s="144">
        <f>IF(MIN(F10,J10,N10,R10,V10,Z10)&lt;&gt;0,MIN(F10,J10,N10,R10,V10,Z10),"")</f>
        <v>70</v>
      </c>
      <c r="AE10" s="144">
        <f>IF(MIN(H10,L10,P10,T10,X10,AB10)&lt;&gt;0,MIN(H10,L10,P10,T10,X10,AB10),"")</f>
        <v>88</v>
      </c>
      <c r="AF10" s="144"/>
      <c r="AG10" s="143"/>
      <c r="AH10" s="144"/>
      <c r="AI10" s="143"/>
      <c r="AJ10" s="142" t="str">
        <f>IF(AD10="","",IF(ISBLANK(AF10),"En cours",AD10+AF10))</f>
        <v>En cours</v>
      </c>
      <c r="AK10" s="142" t="str">
        <f>IF(AE10="","",IF(ISBLANK(AH10),"En cours",AE10+AH10))</f>
        <v>En cours</v>
      </c>
    </row>
    <row r="11" spans="2:37" ht="21" x14ac:dyDescent="0.35">
      <c r="B11" s="143" t="s">
        <v>118</v>
      </c>
      <c r="C11" s="143" t="s">
        <v>108</v>
      </c>
      <c r="D11" s="143">
        <v>34.799999999999997</v>
      </c>
      <c r="E11" s="143" t="s">
        <v>141</v>
      </c>
      <c r="F11" s="143">
        <v>56</v>
      </c>
      <c r="G11" s="143">
        <v>1</v>
      </c>
      <c r="H11" s="143">
        <v>88</v>
      </c>
      <c r="I11" s="143">
        <v>1</v>
      </c>
      <c r="J11" s="143"/>
      <c r="K11" s="143"/>
      <c r="L11" s="143"/>
      <c r="M11" s="143"/>
      <c r="N11" s="143"/>
      <c r="O11" s="143"/>
      <c r="P11" s="143"/>
      <c r="Q11" s="143"/>
      <c r="R11" s="143"/>
      <c r="S11" s="143"/>
      <c r="T11" s="143"/>
      <c r="U11" s="143"/>
      <c r="V11" s="143">
        <v>52</v>
      </c>
      <c r="W11" s="143">
        <v>1</v>
      </c>
      <c r="X11" s="143">
        <v>84</v>
      </c>
      <c r="Y11" s="143">
        <v>5</v>
      </c>
      <c r="Z11" s="143"/>
      <c r="AA11" s="143"/>
      <c r="AB11" s="143"/>
      <c r="AC11" s="143"/>
      <c r="AD11" s="144">
        <f>IF(MIN(F11,J11,N11,R11,V11,Z11)&lt;&gt;0,MIN(F11,J11,N11,R11,V11,Z11),"")</f>
        <v>52</v>
      </c>
      <c r="AE11" s="144">
        <f>IF(MIN(H11,L11,P11,T11,X11,AB11)&lt;&gt;0,MIN(H11,L11,P11,T11,X11,AB11),"")</f>
        <v>84</v>
      </c>
      <c r="AF11" s="144"/>
      <c r="AG11" s="143"/>
      <c r="AH11" s="144"/>
      <c r="AI11" s="143"/>
      <c r="AJ11" s="142" t="str">
        <f>IF(AD11="","",IF(ISBLANK(AF11),"En cours",AD11+AF11))</f>
        <v>En cours</v>
      </c>
      <c r="AK11" s="142" t="str">
        <f>IF(AE11="","",IF(ISBLANK(AH11),"En cours",AE11+AH11))</f>
        <v>En cours</v>
      </c>
    </row>
    <row r="12" spans="2:37" ht="21" x14ac:dyDescent="0.35">
      <c r="B12" s="143" t="s">
        <v>119</v>
      </c>
      <c r="C12" s="143" t="s">
        <v>108</v>
      </c>
      <c r="D12" s="143">
        <v>29</v>
      </c>
      <c r="E12" s="143" t="s">
        <v>141</v>
      </c>
      <c r="F12" s="143">
        <v>69</v>
      </c>
      <c r="G12" s="143">
        <v>1</v>
      </c>
      <c r="H12" s="143">
        <v>95</v>
      </c>
      <c r="I12" s="143">
        <v>1</v>
      </c>
      <c r="J12" s="143">
        <v>73</v>
      </c>
      <c r="K12" s="143">
        <v>3</v>
      </c>
      <c r="L12" s="143">
        <v>99</v>
      </c>
      <c r="M12" s="143">
        <v>2</v>
      </c>
      <c r="N12" s="143">
        <v>71</v>
      </c>
      <c r="O12" s="143">
        <v>4</v>
      </c>
      <c r="P12" s="143">
        <v>97</v>
      </c>
      <c r="Q12" s="143">
        <v>3</v>
      </c>
      <c r="R12" s="143"/>
      <c r="S12" s="143"/>
      <c r="T12" s="143"/>
      <c r="U12" s="143"/>
      <c r="V12" s="143">
        <v>67</v>
      </c>
      <c r="W12" s="143">
        <v>3</v>
      </c>
      <c r="X12" s="143">
        <v>93</v>
      </c>
      <c r="Y12" s="143">
        <v>5</v>
      </c>
      <c r="Z12" s="143">
        <v>69</v>
      </c>
      <c r="AA12" s="143">
        <v>1</v>
      </c>
      <c r="AB12" s="143">
        <v>95</v>
      </c>
      <c r="AC12" s="143">
        <v>6</v>
      </c>
      <c r="AD12" s="144">
        <f>IF(MIN(F12,J12,N12,R12,V12,Z12)&lt;&gt;0,MIN(F12,J12,N12,R12,V12,Z12),"")</f>
        <v>67</v>
      </c>
      <c r="AE12" s="144">
        <f>IF(MIN(H12,L12,P12,T12,X12,AB12)&lt;&gt;0,MIN(H12,L12,P12,T12,X12,AB12),"")</f>
        <v>93</v>
      </c>
      <c r="AF12" s="144"/>
      <c r="AG12" s="143"/>
      <c r="AH12" s="144"/>
      <c r="AI12" s="143"/>
      <c r="AJ12" s="142" t="str">
        <f>IF(AD12="","",IF(ISBLANK(AF12),"En cours",AD12+AF12))</f>
        <v>En cours</v>
      </c>
      <c r="AK12" s="142" t="str">
        <f>IF(AE12="","",IF(ISBLANK(AH12),"En cours",AE12+AH12))</f>
        <v>En cours</v>
      </c>
    </row>
    <row r="13" spans="2:37" ht="21" x14ac:dyDescent="0.35">
      <c r="B13" s="143" t="s">
        <v>121</v>
      </c>
      <c r="C13" s="143" t="s">
        <v>108</v>
      </c>
      <c r="D13" s="143">
        <v>26.9</v>
      </c>
      <c r="E13" s="143" t="s">
        <v>141</v>
      </c>
      <c r="F13" s="143">
        <v>73</v>
      </c>
      <c r="G13" s="143">
        <v>3</v>
      </c>
      <c r="H13" s="143">
        <v>96</v>
      </c>
      <c r="I13" s="143">
        <v>1</v>
      </c>
      <c r="J13" s="143"/>
      <c r="K13" s="143"/>
      <c r="L13" s="143"/>
      <c r="M13" s="143"/>
      <c r="N13" s="143">
        <v>72</v>
      </c>
      <c r="O13" s="143">
        <v>5</v>
      </c>
      <c r="P13" s="143">
        <v>95</v>
      </c>
      <c r="Q13" s="143">
        <v>3</v>
      </c>
      <c r="R13" s="143"/>
      <c r="S13" s="143"/>
      <c r="T13" s="143"/>
      <c r="U13" s="143"/>
      <c r="V13" s="143">
        <v>73</v>
      </c>
      <c r="W13" s="143">
        <v>6</v>
      </c>
      <c r="X13" s="143">
        <v>96</v>
      </c>
      <c r="Y13" s="143">
        <v>5</v>
      </c>
      <c r="Z13" s="143"/>
      <c r="AA13" s="143"/>
      <c r="AB13" s="143"/>
      <c r="AC13" s="143"/>
      <c r="AD13" s="144">
        <f>IF(MIN(F13,J13,N13,R13,V13,Z13)&lt;&gt;0,MIN(F13,J13,N13,R13,V13,Z13),"")</f>
        <v>72</v>
      </c>
      <c r="AE13" s="144">
        <f>IF(MIN(H13,L13,P13,T13,X13,AB13)&lt;&gt;0,MIN(H13,L13,P13,T13,X13,AB13),"")</f>
        <v>95</v>
      </c>
      <c r="AF13" s="144"/>
      <c r="AG13" s="143"/>
      <c r="AH13" s="144"/>
      <c r="AI13" s="143"/>
      <c r="AJ13" s="142" t="str">
        <f>IF(AD13="","",IF(ISBLANK(AF13),"En cours",AD13+AF13))</f>
        <v>En cours</v>
      </c>
      <c r="AK13" s="142" t="str">
        <f>IF(AE13="","",IF(ISBLANK(AH13),"En cours",AE13+AH13))</f>
        <v>En cours</v>
      </c>
    </row>
    <row r="14" spans="2:37" ht="21" x14ac:dyDescent="0.35">
      <c r="B14" s="143" t="s">
        <v>120</v>
      </c>
      <c r="C14" s="143" t="s">
        <v>108</v>
      </c>
      <c r="D14" s="143">
        <v>20.399999999999999</v>
      </c>
      <c r="E14" s="143" t="s">
        <v>141</v>
      </c>
      <c r="F14" s="143">
        <v>74</v>
      </c>
      <c r="G14" s="143">
        <v>4</v>
      </c>
      <c r="H14" s="143">
        <v>93</v>
      </c>
      <c r="I14" s="143">
        <v>1</v>
      </c>
      <c r="J14" s="143"/>
      <c r="K14" s="143"/>
      <c r="L14" s="143"/>
      <c r="M14" s="143"/>
      <c r="N14" s="143"/>
      <c r="O14" s="143"/>
      <c r="P14" s="143"/>
      <c r="Q14" s="143"/>
      <c r="R14" s="143"/>
      <c r="S14" s="143"/>
      <c r="T14" s="143"/>
      <c r="U14" s="143"/>
      <c r="V14" s="143"/>
      <c r="W14" s="143"/>
      <c r="X14" s="143"/>
      <c r="Y14" s="143"/>
      <c r="Z14" s="143"/>
      <c r="AA14" s="143"/>
      <c r="AB14" s="143"/>
      <c r="AC14" s="143"/>
      <c r="AD14" s="144">
        <f>IF(MIN(F14,J14,N14,R14,V14,Z14)&lt;&gt;0,MIN(F14,J14,N14,R14,V14,Z14),"")</f>
        <v>74</v>
      </c>
      <c r="AE14" s="144">
        <f>IF(MIN(H14,L14,P14,T14,X14,AB14)&lt;&gt;0,MIN(H14,L14,P14,T14,X14,AB14),"")</f>
        <v>93</v>
      </c>
      <c r="AF14" s="144"/>
      <c r="AG14" s="143"/>
      <c r="AH14" s="144"/>
      <c r="AI14" s="143"/>
      <c r="AJ14" s="142" t="str">
        <f>IF(AD14="","",IF(ISBLANK(AF14),"En cours",AD14+AF14))</f>
        <v>En cours</v>
      </c>
      <c r="AK14" s="142" t="str">
        <f>IF(AE14="","",IF(ISBLANK(AH14),"En cours",AE14+AH14))</f>
        <v>En cours</v>
      </c>
    </row>
    <row r="15" spans="2:37" ht="21" x14ac:dyDescent="0.35">
      <c r="B15" s="143" t="s">
        <v>123</v>
      </c>
      <c r="C15" s="143" t="s">
        <v>108</v>
      </c>
      <c r="D15" s="143">
        <v>28.8</v>
      </c>
      <c r="E15" s="143" t="s">
        <v>141</v>
      </c>
      <c r="F15" s="143">
        <v>75</v>
      </c>
      <c r="G15" s="143">
        <v>5</v>
      </c>
      <c r="H15" s="143">
        <v>100</v>
      </c>
      <c r="I15" s="143">
        <v>1</v>
      </c>
      <c r="J15" s="143"/>
      <c r="K15" s="143"/>
      <c r="L15" s="143"/>
      <c r="M15" s="143"/>
      <c r="N15" s="143">
        <v>78</v>
      </c>
      <c r="O15" s="143">
        <v>10</v>
      </c>
      <c r="P15" s="143">
        <v>103</v>
      </c>
      <c r="Q15" s="143">
        <v>3</v>
      </c>
      <c r="R15" s="143">
        <v>77</v>
      </c>
      <c r="S15" s="143">
        <v>2</v>
      </c>
      <c r="T15" s="143">
        <v>102</v>
      </c>
      <c r="U15" s="143">
        <v>4</v>
      </c>
      <c r="V15" s="143">
        <v>65</v>
      </c>
      <c r="W15" s="143">
        <v>2</v>
      </c>
      <c r="X15" s="143">
        <v>90</v>
      </c>
      <c r="Y15" s="143">
        <v>5</v>
      </c>
      <c r="Z15" s="143"/>
      <c r="AA15" s="143"/>
      <c r="AB15" s="143"/>
      <c r="AC15" s="143"/>
      <c r="AD15" s="144">
        <f>IF(MIN(F15,J15,N15,R15,V15,Z15)&lt;&gt;0,MIN(F15,J15,N15,R15,V15,Z15),"")</f>
        <v>65</v>
      </c>
      <c r="AE15" s="144">
        <f>IF(MIN(H15,L15,P15,T15,X15,AB15)&lt;&gt;0,MIN(H15,L15,P15,T15,X15,AB15),"")</f>
        <v>90</v>
      </c>
      <c r="AF15" s="144"/>
      <c r="AG15" s="143"/>
      <c r="AH15" s="144"/>
      <c r="AI15" s="143"/>
      <c r="AJ15" s="142" t="str">
        <f>IF(AD15="","",IF(ISBLANK(AF15),"En cours",AD15+AF15))</f>
        <v>En cours</v>
      </c>
      <c r="AK15" s="142" t="str">
        <f>IF(AE15="","",IF(ISBLANK(AH15),"En cours",AE15+AH15))</f>
        <v>En cours</v>
      </c>
    </row>
    <row r="16" spans="2:37" ht="21" x14ac:dyDescent="0.35">
      <c r="B16" s="143" t="s">
        <v>122</v>
      </c>
      <c r="C16" s="143" t="s">
        <v>108</v>
      </c>
      <c r="D16" s="143">
        <v>22.1</v>
      </c>
      <c r="E16" s="143" t="s">
        <v>141</v>
      </c>
      <c r="F16" s="143">
        <v>76</v>
      </c>
      <c r="G16" s="143">
        <v>6</v>
      </c>
      <c r="H16" s="143">
        <v>97</v>
      </c>
      <c r="I16" s="143">
        <v>1</v>
      </c>
      <c r="J16" s="143"/>
      <c r="K16" s="143"/>
      <c r="L16" s="143"/>
      <c r="M16" s="143"/>
      <c r="N16" s="143">
        <v>73</v>
      </c>
      <c r="O16" s="143">
        <v>7</v>
      </c>
      <c r="P16" s="143">
        <v>94</v>
      </c>
      <c r="Q16" s="143">
        <v>3</v>
      </c>
      <c r="R16" s="143"/>
      <c r="S16" s="143"/>
      <c r="T16" s="143"/>
      <c r="U16" s="143"/>
      <c r="V16" s="143"/>
      <c r="W16" s="143"/>
      <c r="X16" s="143"/>
      <c r="Y16" s="143"/>
      <c r="Z16" s="143"/>
      <c r="AA16" s="143"/>
      <c r="AB16" s="143"/>
      <c r="AC16" s="143"/>
      <c r="AD16" s="144">
        <f>IF(MIN(F16,J16,N16,R16,V16,Z16)&lt;&gt;0,MIN(F16,J16,N16,R16,V16,Z16),"")</f>
        <v>73</v>
      </c>
      <c r="AE16" s="144">
        <f>IF(MIN(H16,L16,P16,T16,X16,AB16)&lt;&gt;0,MIN(H16,L16,P16,T16,X16,AB16),"")</f>
        <v>94</v>
      </c>
      <c r="AF16" s="144"/>
      <c r="AG16" s="143"/>
      <c r="AH16" s="144"/>
      <c r="AI16" s="143"/>
      <c r="AJ16" s="142" t="str">
        <f>IF(AD16="","",IF(ISBLANK(AF16),"En cours",AD16+AF16))</f>
        <v>En cours</v>
      </c>
      <c r="AK16" s="142" t="str">
        <f>IF(AE16="","",IF(ISBLANK(AH16),"En cours",AE16+AH16))</f>
        <v>En cours</v>
      </c>
    </row>
    <row r="17" spans="2:37" ht="21" x14ac:dyDescent="0.35">
      <c r="B17" s="143" t="s">
        <v>125</v>
      </c>
      <c r="C17" s="143" t="s">
        <v>108</v>
      </c>
      <c r="D17" s="143">
        <v>23.9</v>
      </c>
      <c r="E17" s="143" t="s">
        <v>141</v>
      </c>
      <c r="F17" s="143">
        <v>77</v>
      </c>
      <c r="G17" s="143">
        <v>7</v>
      </c>
      <c r="H17" s="143">
        <v>100</v>
      </c>
      <c r="I17" s="143">
        <v>1</v>
      </c>
      <c r="J17" s="143"/>
      <c r="K17" s="143"/>
      <c r="L17" s="143"/>
      <c r="M17" s="143"/>
      <c r="N17" s="143">
        <v>75</v>
      </c>
      <c r="O17" s="143">
        <v>9</v>
      </c>
      <c r="P17" s="143">
        <v>98</v>
      </c>
      <c r="Q17" s="143">
        <v>3</v>
      </c>
      <c r="R17" s="143"/>
      <c r="S17" s="143"/>
      <c r="T17" s="143"/>
      <c r="U17" s="143"/>
      <c r="V17" s="143"/>
      <c r="W17" s="143"/>
      <c r="X17" s="143"/>
      <c r="Y17" s="143"/>
      <c r="Z17" s="143"/>
      <c r="AA17" s="143"/>
      <c r="AB17" s="143"/>
      <c r="AC17" s="143"/>
      <c r="AD17" s="144">
        <f>IF(MIN(F17,J17,N17,R17,V17,Z17)&lt;&gt;0,MIN(F17,J17,N17,R17,V17,Z17),"")</f>
        <v>75</v>
      </c>
      <c r="AE17" s="144">
        <f>IF(MIN(H17,L17,P17,T17,X17,AB17)&lt;&gt;0,MIN(H17,L17,P17,T17,X17,AB17),"")</f>
        <v>98</v>
      </c>
      <c r="AF17" s="144"/>
      <c r="AG17" s="143"/>
      <c r="AH17" s="144"/>
      <c r="AI17" s="143"/>
      <c r="AJ17" s="142" t="str">
        <f>IF(AD17="","",IF(ISBLANK(AF17),"En cours",AD17+AF17))</f>
        <v>En cours</v>
      </c>
      <c r="AK17" s="142" t="str">
        <f>IF(AE17="","",IF(ISBLANK(AH17),"En cours",AE17+AH17))</f>
        <v>En cours</v>
      </c>
    </row>
    <row r="18" spans="2:37" ht="21" x14ac:dyDescent="0.35">
      <c r="B18" s="143" t="s">
        <v>127</v>
      </c>
      <c r="C18" s="143" t="s">
        <v>108</v>
      </c>
      <c r="D18" s="143">
        <v>33</v>
      </c>
      <c r="E18" s="143" t="s">
        <v>141</v>
      </c>
      <c r="F18" s="143">
        <v>80</v>
      </c>
      <c r="G18" s="143">
        <v>8</v>
      </c>
      <c r="H18" s="143">
        <v>110</v>
      </c>
      <c r="I18" s="143">
        <v>1</v>
      </c>
      <c r="J18" s="143"/>
      <c r="K18" s="143"/>
      <c r="L18" s="143"/>
      <c r="M18" s="143"/>
      <c r="N18" s="143">
        <v>86</v>
      </c>
      <c r="O18" s="143">
        <v>12</v>
      </c>
      <c r="P18" s="143">
        <v>116</v>
      </c>
      <c r="Q18" s="143">
        <v>3</v>
      </c>
      <c r="R18" s="143"/>
      <c r="S18" s="143"/>
      <c r="T18" s="143"/>
      <c r="U18" s="143"/>
      <c r="V18" s="143"/>
      <c r="W18" s="143"/>
      <c r="X18" s="143"/>
      <c r="Y18" s="143"/>
      <c r="Z18" s="143"/>
      <c r="AA18" s="143"/>
      <c r="AB18" s="143"/>
      <c r="AC18" s="143"/>
      <c r="AD18" s="144">
        <f>IF(MIN(F18,J18,N18,R18,V18,Z18)&lt;&gt;0,MIN(F18,J18,N18,R18,V18,Z18),"")</f>
        <v>80</v>
      </c>
      <c r="AE18" s="144">
        <f>IF(MIN(H18,L18,P18,T18,X18,AB18)&lt;&gt;0,MIN(H18,L18,P18,T18,X18,AB18),"")</f>
        <v>110</v>
      </c>
      <c r="AF18" s="144"/>
      <c r="AG18" s="143"/>
      <c r="AH18" s="144"/>
      <c r="AI18" s="143"/>
      <c r="AJ18" s="142" t="str">
        <f>IF(AD18="","",IF(ISBLANK(AF18),"En cours",AD18+AF18))</f>
        <v>En cours</v>
      </c>
      <c r="AK18" s="142" t="str">
        <f>IF(AE18="","",IF(ISBLANK(AH18),"En cours",AE18+AH18))</f>
        <v>En cours</v>
      </c>
    </row>
    <row r="19" spans="2:37" ht="21" x14ac:dyDescent="0.35">
      <c r="B19" s="143" t="s">
        <v>124</v>
      </c>
      <c r="C19" s="143" t="s">
        <v>108</v>
      </c>
      <c r="D19" s="143">
        <v>20.2</v>
      </c>
      <c r="E19" s="143" t="s">
        <v>141</v>
      </c>
      <c r="F19" s="143">
        <v>81</v>
      </c>
      <c r="G19" s="143">
        <v>9</v>
      </c>
      <c r="H19" s="143">
        <v>100</v>
      </c>
      <c r="I19" s="143">
        <v>1</v>
      </c>
      <c r="J19" s="143"/>
      <c r="K19" s="143"/>
      <c r="L19" s="143"/>
      <c r="M19" s="143"/>
      <c r="N19" s="143">
        <v>80</v>
      </c>
      <c r="O19" s="143">
        <v>11</v>
      </c>
      <c r="P19" s="143">
        <v>99</v>
      </c>
      <c r="Q19" s="143">
        <v>3</v>
      </c>
      <c r="R19" s="143"/>
      <c r="S19" s="143"/>
      <c r="T19" s="143"/>
      <c r="U19" s="143"/>
      <c r="V19" s="143"/>
      <c r="W19" s="143"/>
      <c r="X19" s="143"/>
      <c r="Y19" s="143"/>
      <c r="Z19" s="143"/>
      <c r="AA19" s="143"/>
      <c r="AB19" s="143"/>
      <c r="AC19" s="143"/>
      <c r="AD19" s="144">
        <f>IF(MIN(F19,J19,N19,R19,V19,Z19)&lt;&gt;0,MIN(F19,J19,N19,R19,V19,Z19),"")</f>
        <v>80</v>
      </c>
      <c r="AE19" s="144">
        <f>IF(MIN(H19,L19,P19,T19,X19,AB19)&lt;&gt;0,MIN(H19,L19,P19,T19,X19,AB19),"")</f>
        <v>99</v>
      </c>
      <c r="AF19" s="144"/>
      <c r="AG19" s="143"/>
      <c r="AH19" s="144"/>
      <c r="AI19" s="143"/>
      <c r="AJ19" s="142" t="str">
        <f>IF(AD19="","",IF(ISBLANK(AF19),"En cours",AD19+AF19))</f>
        <v>En cours</v>
      </c>
      <c r="AK19" s="142" t="str">
        <f>IF(AE19="","",IF(ISBLANK(AH19),"En cours",AE19+AH19))</f>
        <v>En cours</v>
      </c>
    </row>
    <row r="20" spans="2:37" ht="21" x14ac:dyDescent="0.35">
      <c r="B20" s="143" t="s">
        <v>126</v>
      </c>
      <c r="C20" s="143" t="s">
        <v>108</v>
      </c>
      <c r="D20" s="143">
        <v>27.2</v>
      </c>
      <c r="E20" s="143" t="s">
        <v>141</v>
      </c>
      <c r="F20" s="143">
        <v>83</v>
      </c>
      <c r="G20" s="143">
        <v>10</v>
      </c>
      <c r="H20" s="143">
        <v>107</v>
      </c>
      <c r="I20" s="143">
        <v>1</v>
      </c>
      <c r="J20" s="143"/>
      <c r="K20" s="143"/>
      <c r="L20" s="143"/>
      <c r="M20" s="143"/>
      <c r="N20" s="143">
        <v>71</v>
      </c>
      <c r="O20" s="143">
        <v>3</v>
      </c>
      <c r="P20" s="143">
        <v>95</v>
      </c>
      <c r="Q20" s="143">
        <v>3</v>
      </c>
      <c r="R20" s="143"/>
      <c r="S20" s="143"/>
      <c r="T20" s="143"/>
      <c r="U20" s="143"/>
      <c r="V20" s="143"/>
      <c r="W20" s="143"/>
      <c r="X20" s="143"/>
      <c r="Y20" s="143"/>
      <c r="Z20" s="143"/>
      <c r="AA20" s="143"/>
      <c r="AB20" s="143"/>
      <c r="AC20" s="143"/>
      <c r="AD20" s="144">
        <f>IF(MIN(F20,J20,N20,R20,V20,Z20)&lt;&gt;0,MIN(F20,J20,N20,R20,V20,Z20),"")</f>
        <v>71</v>
      </c>
      <c r="AE20" s="144">
        <f>IF(MIN(H20,L20,P20,T20,X20,AB20)&lt;&gt;0,MIN(H20,L20,P20,T20,X20,AB20),"")</f>
        <v>95</v>
      </c>
      <c r="AF20" s="144"/>
      <c r="AG20" s="143"/>
      <c r="AH20" s="144"/>
      <c r="AI20" s="143"/>
      <c r="AJ20" s="142" t="str">
        <f>IF(AD20="","",IF(ISBLANK(AF20),"En cours",AD20+AF20))</f>
        <v>En cours</v>
      </c>
      <c r="AK20" s="142" t="str">
        <f>IF(AE20="","",IF(ISBLANK(AH20),"En cours",AE20+AH20))</f>
        <v>En cours</v>
      </c>
    </row>
    <row r="21" spans="2:37" ht="21" x14ac:dyDescent="0.35">
      <c r="B21" s="143" t="s">
        <v>261</v>
      </c>
      <c r="C21" s="143" t="s">
        <v>108</v>
      </c>
      <c r="D21" s="143">
        <v>16.899999999999999</v>
      </c>
      <c r="E21" s="143" t="s">
        <v>141</v>
      </c>
      <c r="F21" s="143">
        <v>76</v>
      </c>
      <c r="G21" s="143">
        <v>3</v>
      </c>
      <c r="H21" s="143">
        <v>95</v>
      </c>
      <c r="I21" s="143">
        <v>1</v>
      </c>
      <c r="J21" s="143">
        <v>78</v>
      </c>
      <c r="K21" s="143">
        <v>4</v>
      </c>
      <c r="L21" s="143">
        <v>97</v>
      </c>
      <c r="M21" s="143">
        <v>2</v>
      </c>
      <c r="N21" s="143"/>
      <c r="O21" s="143"/>
      <c r="P21" s="143"/>
      <c r="Q21" s="143"/>
      <c r="R21" s="143">
        <v>79</v>
      </c>
      <c r="S21" s="143">
        <v>2</v>
      </c>
      <c r="T21" s="143">
        <v>98</v>
      </c>
      <c r="U21" s="143">
        <v>4</v>
      </c>
      <c r="V21" s="143">
        <v>74</v>
      </c>
      <c r="W21" s="143">
        <v>4</v>
      </c>
      <c r="X21" s="143">
        <v>93</v>
      </c>
      <c r="Y21" s="143">
        <v>5</v>
      </c>
      <c r="Z21" s="143">
        <v>76</v>
      </c>
      <c r="AA21" s="143">
        <v>3</v>
      </c>
      <c r="AB21" s="143">
        <v>95</v>
      </c>
      <c r="AC21" s="143">
        <v>6</v>
      </c>
      <c r="AD21" s="144">
        <f>IF(MIN(F21,J21,N21,R21,V21,Z21)&lt;&gt;0,MIN(F21,J21,N21,R21,V21,Z21),"")</f>
        <v>74</v>
      </c>
      <c r="AE21" s="144">
        <f>IF(MIN(H21,L21,P21,T21,X21,AB21)&lt;&gt;0,MIN(H21,L21,P21,T21,X21,AB21),"")</f>
        <v>93</v>
      </c>
      <c r="AF21" s="144"/>
      <c r="AG21" s="143"/>
      <c r="AH21" s="144"/>
      <c r="AI21" s="143"/>
      <c r="AJ21" s="142" t="str">
        <f>IF(AD21="","",IF(ISBLANK(AF21),"En cours",AD21+AF21))</f>
        <v>En cours</v>
      </c>
      <c r="AK21" s="142" t="str">
        <f>IF(AE21="","",IF(ISBLANK(AH21),"En cours",AE21+AH21))</f>
        <v>En cours</v>
      </c>
    </row>
    <row r="22" spans="2:37" ht="21" x14ac:dyDescent="0.35">
      <c r="B22" s="143" t="s">
        <v>262</v>
      </c>
      <c r="C22" s="143" t="s">
        <v>108</v>
      </c>
      <c r="D22" s="143">
        <v>31.7</v>
      </c>
      <c r="E22" s="143" t="s">
        <v>141</v>
      </c>
      <c r="F22" s="143"/>
      <c r="G22" s="143"/>
      <c r="H22" s="143"/>
      <c r="I22" s="143"/>
      <c r="J22" s="143">
        <v>68</v>
      </c>
      <c r="K22" s="143">
        <v>1</v>
      </c>
      <c r="L22" s="143">
        <v>96</v>
      </c>
      <c r="M22" s="143">
        <v>2</v>
      </c>
      <c r="N22" s="143"/>
      <c r="O22" s="143"/>
      <c r="P22" s="143"/>
      <c r="Q22" s="143"/>
      <c r="R22" s="143"/>
      <c r="S22" s="143"/>
      <c r="T22" s="143"/>
      <c r="U22" s="143"/>
      <c r="V22" s="143"/>
      <c r="W22" s="143"/>
      <c r="X22" s="143"/>
      <c r="Y22" s="143"/>
      <c r="Z22" s="143"/>
      <c r="AA22" s="143"/>
      <c r="AB22" s="143"/>
      <c r="AC22" s="143"/>
      <c r="AD22" s="144">
        <f>IF(MIN(F22,J22,N22,R22,V22,Z22)&lt;&gt;0,MIN(F22,J22,N22,R22,V22,Z22),"")</f>
        <v>68</v>
      </c>
      <c r="AE22" s="144">
        <f>IF(MIN(H22,L22,P22,T22,X22,AB22)&lt;&gt;0,MIN(H22,L22,P22,T22,X22,AB22),"")</f>
        <v>96</v>
      </c>
      <c r="AF22" s="144"/>
      <c r="AG22" s="143"/>
      <c r="AH22" s="144"/>
      <c r="AI22" s="143"/>
      <c r="AJ22" s="142" t="str">
        <f>IF(AD22="","",IF(ISBLANK(AF22),"En cours",AD22+AF22))</f>
        <v>En cours</v>
      </c>
      <c r="AK22" s="142" t="str">
        <f>IF(AE22="","",IF(ISBLANK(AH22),"En cours",AE22+AH22))</f>
        <v>En cours</v>
      </c>
    </row>
    <row r="23" spans="2:37" ht="21" x14ac:dyDescent="0.35">
      <c r="B23" s="143" t="s">
        <v>263</v>
      </c>
      <c r="C23" s="143" t="s">
        <v>108</v>
      </c>
      <c r="D23" s="143">
        <v>32.1</v>
      </c>
      <c r="E23" s="143" t="s">
        <v>141</v>
      </c>
      <c r="F23" s="143"/>
      <c r="G23" s="143"/>
      <c r="H23" s="143"/>
      <c r="I23" s="143"/>
      <c r="J23" s="143">
        <v>71</v>
      </c>
      <c r="K23" s="143">
        <v>2</v>
      </c>
      <c r="L23" s="143">
        <v>100</v>
      </c>
      <c r="M23" s="143">
        <v>2</v>
      </c>
      <c r="N23" s="143"/>
      <c r="O23" s="143"/>
      <c r="P23" s="143"/>
      <c r="Q23" s="143"/>
      <c r="R23" s="143"/>
      <c r="S23" s="143"/>
      <c r="T23" s="143"/>
      <c r="U23" s="143"/>
      <c r="V23" s="143"/>
      <c r="W23" s="143"/>
      <c r="X23" s="143"/>
      <c r="Y23" s="143"/>
      <c r="Z23" s="143"/>
      <c r="AA23" s="143"/>
      <c r="AB23" s="143"/>
      <c r="AC23" s="143"/>
      <c r="AD23" s="144">
        <f>IF(MIN(F23,J23,N23,R23,V23,Z23)&lt;&gt;0,MIN(F23,J23,N23,R23,V23,Z23),"")</f>
        <v>71</v>
      </c>
      <c r="AE23" s="144">
        <f>IF(MIN(H23,L23,P23,T23,X23,AB23)&lt;&gt;0,MIN(H23,L23,P23,T23,X23,AB23),"")</f>
        <v>100</v>
      </c>
      <c r="AF23" s="144"/>
      <c r="AG23" s="143"/>
      <c r="AH23" s="144"/>
      <c r="AI23" s="143"/>
      <c r="AJ23" s="142" t="str">
        <f>IF(AD23="","",IF(ISBLANK(AF23),"En cours",AD23+AF23))</f>
        <v>En cours</v>
      </c>
      <c r="AK23" s="142" t="str">
        <f>IF(AE23="","",IF(ISBLANK(AH23),"En cours",AE23+AH23))</f>
        <v>En cours</v>
      </c>
    </row>
    <row r="24" spans="2:37" ht="21" x14ac:dyDescent="0.35">
      <c r="B24" s="143" t="s">
        <v>264</v>
      </c>
      <c r="C24" s="143" t="s">
        <v>108</v>
      </c>
      <c r="D24" s="143">
        <v>25.6</v>
      </c>
      <c r="E24" s="143" t="s">
        <v>141</v>
      </c>
      <c r="F24" s="143"/>
      <c r="G24" s="143"/>
      <c r="H24" s="143"/>
      <c r="I24" s="143"/>
      <c r="J24" s="143">
        <v>85</v>
      </c>
      <c r="K24" s="143">
        <v>4</v>
      </c>
      <c r="L24" s="143">
        <v>110</v>
      </c>
      <c r="M24" s="143">
        <v>2</v>
      </c>
      <c r="N24" s="143"/>
      <c r="O24" s="143"/>
      <c r="P24" s="143"/>
      <c r="Q24" s="143"/>
      <c r="R24" s="143"/>
      <c r="S24" s="143"/>
      <c r="T24" s="143"/>
      <c r="U24" s="143"/>
      <c r="V24" s="143">
        <v>81</v>
      </c>
      <c r="W24" s="143">
        <v>7</v>
      </c>
      <c r="X24" s="143">
        <v>106</v>
      </c>
      <c r="Y24" s="143">
        <v>5</v>
      </c>
      <c r="Z24" s="143"/>
      <c r="AA24" s="143"/>
      <c r="AB24" s="143"/>
      <c r="AC24" s="143"/>
      <c r="AD24" s="144">
        <f>IF(MIN(F24,J24,N24,R24,V24,Z24)&lt;&gt;0,MIN(F24,J24,N24,R24,V24,Z24),"")</f>
        <v>81</v>
      </c>
      <c r="AE24" s="144">
        <f>IF(MIN(H24,L24,P24,T24,X24,AB24)&lt;&gt;0,MIN(H24,L24,P24,T24,X24,AB24),"")</f>
        <v>106</v>
      </c>
      <c r="AF24" s="144"/>
      <c r="AG24" s="143"/>
      <c r="AH24" s="144"/>
      <c r="AI24" s="143"/>
      <c r="AJ24" s="142" t="str">
        <f>IF(AD24="","",IF(ISBLANK(AF24),"En cours",AD24+AF24))</f>
        <v>En cours</v>
      </c>
      <c r="AK24" s="142" t="str">
        <f>IF(AE24="","",IF(ISBLANK(AH24),"En cours",AE24+AH24))</f>
        <v>En cours</v>
      </c>
    </row>
    <row r="25" spans="2:37" ht="21" x14ac:dyDescent="0.35">
      <c r="B25" s="143" t="s">
        <v>284</v>
      </c>
      <c r="C25" s="143" t="s">
        <v>108</v>
      </c>
      <c r="D25" s="143">
        <v>16.3</v>
      </c>
      <c r="E25" s="143" t="s">
        <v>141</v>
      </c>
      <c r="F25" s="143"/>
      <c r="G25" s="143"/>
      <c r="H25" s="143"/>
      <c r="I25" s="143"/>
      <c r="J25" s="143"/>
      <c r="K25" s="143"/>
      <c r="L25" s="143"/>
      <c r="M25" s="143"/>
      <c r="N25" s="143">
        <v>71</v>
      </c>
      <c r="O25" s="143">
        <v>4</v>
      </c>
      <c r="P25" s="143">
        <v>90</v>
      </c>
      <c r="Q25" s="143">
        <v>3</v>
      </c>
      <c r="R25" s="143"/>
      <c r="S25" s="143"/>
      <c r="T25" s="143"/>
      <c r="U25" s="143"/>
      <c r="V25" s="143">
        <v>68</v>
      </c>
      <c r="W25" s="143">
        <v>2</v>
      </c>
      <c r="X25" s="143">
        <v>87</v>
      </c>
      <c r="Y25" s="143">
        <v>5</v>
      </c>
      <c r="Z25" s="143"/>
      <c r="AA25" s="143"/>
      <c r="AB25" s="143"/>
      <c r="AC25" s="143"/>
      <c r="AD25" s="144">
        <f>IF(MIN(F25,J25,N25,R25,V25,Z25)&lt;&gt;0,MIN(F25,J25,N25,R25,V25,Z25),"")</f>
        <v>68</v>
      </c>
      <c r="AE25" s="144">
        <f>IF(MIN(H25,L25,P25,T25,X25,AB25)&lt;&gt;0,MIN(H25,L25,P25,T25,X25,AB25),"")</f>
        <v>87</v>
      </c>
      <c r="AF25" s="144"/>
      <c r="AG25" s="143"/>
      <c r="AH25" s="144"/>
      <c r="AI25" s="143"/>
      <c r="AJ25" s="142" t="str">
        <f>IF(AD25="","",IF(ISBLANK(AF25),"En cours",AD25+AF25))</f>
        <v>En cours</v>
      </c>
      <c r="AK25" s="142" t="str">
        <f>IF(AE25="","",IF(ISBLANK(AH25),"En cours",AE25+AH25))</f>
        <v>En cours</v>
      </c>
    </row>
    <row r="26" spans="2:37" ht="21" x14ac:dyDescent="0.35">
      <c r="B26" s="143" t="s">
        <v>283</v>
      </c>
      <c r="C26" s="143" t="s">
        <v>108</v>
      </c>
      <c r="D26" s="143">
        <v>6.7</v>
      </c>
      <c r="E26" s="143" t="s">
        <v>141</v>
      </c>
      <c r="F26" s="143"/>
      <c r="G26" s="143"/>
      <c r="H26" s="143"/>
      <c r="I26" s="143"/>
      <c r="J26" s="143"/>
      <c r="K26" s="143"/>
      <c r="L26" s="143"/>
      <c r="M26" s="143"/>
      <c r="N26" s="143">
        <v>79</v>
      </c>
      <c r="O26" s="143">
        <v>5</v>
      </c>
      <c r="P26" s="143">
        <v>87</v>
      </c>
      <c r="Q26" s="143">
        <v>3</v>
      </c>
      <c r="R26" s="143"/>
      <c r="S26" s="143"/>
      <c r="T26" s="143"/>
      <c r="U26" s="143"/>
      <c r="V26" s="143"/>
      <c r="W26" s="143"/>
      <c r="X26" s="143"/>
      <c r="Y26" s="143"/>
      <c r="Z26" s="143"/>
      <c r="AA26" s="143"/>
      <c r="AB26" s="143"/>
      <c r="AC26" s="143"/>
      <c r="AD26" s="144">
        <f>IF(MIN(F26,J26,N26,R26,V26,Z26)&lt;&gt;0,MIN(F26,J26,N26,R26,V26,Z26),"")</f>
        <v>79</v>
      </c>
      <c r="AE26" s="144">
        <f>IF(MIN(H26,L26,P26,T26,X26,AB26)&lt;&gt;0,MIN(H26,L26,P26,T26,X26,AB26),"")</f>
        <v>87</v>
      </c>
      <c r="AF26" s="144"/>
      <c r="AG26" s="143"/>
      <c r="AH26" s="144"/>
      <c r="AI26" s="143"/>
      <c r="AJ26" s="142" t="str">
        <f>IF(AD26="","",IF(ISBLANK(AF26),"En cours",AD26+AF26))</f>
        <v>En cours</v>
      </c>
      <c r="AK26" s="142" t="str">
        <f>IF(AE26="","",IF(ISBLANK(AH26),"En cours",AE26+AH26))</f>
        <v>En cours</v>
      </c>
    </row>
    <row r="27" spans="2:37" ht="21" x14ac:dyDescent="0.35">
      <c r="B27" s="143" t="s">
        <v>285</v>
      </c>
      <c r="C27" s="143" t="s">
        <v>108</v>
      </c>
      <c r="D27" s="143">
        <v>22.4</v>
      </c>
      <c r="E27" s="143" t="s">
        <v>141</v>
      </c>
      <c r="F27" s="143"/>
      <c r="G27" s="143"/>
      <c r="H27" s="143"/>
      <c r="I27" s="143"/>
      <c r="J27" s="143"/>
      <c r="K27" s="143"/>
      <c r="L27" s="143"/>
      <c r="M27" s="143"/>
      <c r="N27" s="143">
        <v>64</v>
      </c>
      <c r="O27" s="143">
        <v>1</v>
      </c>
      <c r="P27" s="143">
        <v>85</v>
      </c>
      <c r="Q27" s="143">
        <v>3</v>
      </c>
      <c r="R27" s="143"/>
      <c r="S27" s="143"/>
      <c r="T27" s="143"/>
      <c r="U27" s="143"/>
      <c r="V27" s="143"/>
      <c r="W27" s="143"/>
      <c r="X27" s="143"/>
      <c r="Y27" s="143"/>
      <c r="Z27" s="143"/>
      <c r="AA27" s="143"/>
      <c r="AB27" s="143"/>
      <c r="AC27" s="143"/>
      <c r="AD27" s="144">
        <f>IF(MIN(F27,J27,N27,R27,V27,Z27)&lt;&gt;0,MIN(F27,J27,N27,R27,V27,Z27),"")</f>
        <v>64</v>
      </c>
      <c r="AE27" s="144">
        <f>IF(MIN(H27,L27,P27,T27,X27,AB27)&lt;&gt;0,MIN(H27,L27,P27,T27,X27,AB27),"")</f>
        <v>85</v>
      </c>
      <c r="AF27" s="144"/>
      <c r="AG27" s="143"/>
      <c r="AH27" s="144"/>
      <c r="AI27" s="143"/>
      <c r="AJ27" s="142" t="str">
        <f>IF(AD27="","",IF(ISBLANK(AF27),"En cours",AD27+AF27))</f>
        <v>En cours</v>
      </c>
      <c r="AK27" s="142" t="str">
        <f>IF(AE27="","",IF(ISBLANK(AH27),"En cours",AE27+AH27))</f>
        <v>En cours</v>
      </c>
    </row>
    <row r="28" spans="2:37" ht="21" x14ac:dyDescent="0.35">
      <c r="B28" s="143" t="s">
        <v>286</v>
      </c>
      <c r="C28" s="143" t="s">
        <v>108</v>
      </c>
      <c r="D28" s="143">
        <v>29.2</v>
      </c>
      <c r="E28" s="143" t="s">
        <v>141</v>
      </c>
      <c r="F28" s="143"/>
      <c r="G28" s="143"/>
      <c r="H28" s="143"/>
      <c r="I28" s="143"/>
      <c r="J28" s="143"/>
      <c r="K28" s="143"/>
      <c r="L28" s="143"/>
      <c r="M28" s="143"/>
      <c r="N28" s="143">
        <v>70</v>
      </c>
      <c r="O28" s="143">
        <v>2</v>
      </c>
      <c r="P28" s="143">
        <v>96</v>
      </c>
      <c r="Q28" s="143">
        <v>3</v>
      </c>
      <c r="R28" s="143"/>
      <c r="S28" s="143"/>
      <c r="T28" s="143"/>
      <c r="U28" s="143"/>
      <c r="V28" s="143">
        <v>72</v>
      </c>
      <c r="W28" s="143">
        <v>5</v>
      </c>
      <c r="X28" s="143">
        <v>98</v>
      </c>
      <c r="Y28" s="143">
        <v>5</v>
      </c>
      <c r="Z28" s="143"/>
      <c r="AA28" s="143"/>
      <c r="AB28" s="143"/>
      <c r="AC28" s="143"/>
      <c r="AD28" s="144">
        <f>IF(MIN(F28,J28,N28,R28,V28,Z28)&lt;&gt;0,MIN(F28,J28,N28,R28,V28,Z28),"")</f>
        <v>70</v>
      </c>
      <c r="AE28" s="144">
        <f>IF(MIN(H28,L28,P28,T28,X28,AB28)&lt;&gt;0,MIN(H28,L28,P28,T28,X28,AB28),"")</f>
        <v>96</v>
      </c>
      <c r="AF28" s="144"/>
      <c r="AG28" s="143"/>
      <c r="AH28" s="144"/>
      <c r="AI28" s="143"/>
      <c r="AJ28" s="142" t="str">
        <f>IF(AD28="","",IF(ISBLANK(AF28),"En cours",AD28+AF28))</f>
        <v>En cours</v>
      </c>
      <c r="AK28" s="142" t="str">
        <f>IF(AE28="","",IF(ISBLANK(AH28),"En cours",AE28+AH28))</f>
        <v>En cours</v>
      </c>
    </row>
    <row r="29" spans="2:37" ht="21" x14ac:dyDescent="0.35">
      <c r="B29" s="143" t="s">
        <v>288</v>
      </c>
      <c r="C29" s="143" t="s">
        <v>108</v>
      </c>
      <c r="D29" s="143">
        <v>31.5</v>
      </c>
      <c r="E29" s="143" t="s">
        <v>141</v>
      </c>
      <c r="F29" s="143"/>
      <c r="G29" s="143"/>
      <c r="H29" s="143"/>
      <c r="I29" s="143"/>
      <c r="J29" s="143"/>
      <c r="K29" s="143"/>
      <c r="L29" s="143"/>
      <c r="M29" s="143"/>
      <c r="N29" s="143">
        <v>73</v>
      </c>
      <c r="O29" s="143">
        <v>6</v>
      </c>
      <c r="P29" s="143">
        <v>101</v>
      </c>
      <c r="Q29" s="143">
        <v>3</v>
      </c>
      <c r="R29" s="143">
        <v>74</v>
      </c>
      <c r="S29" s="143">
        <v>1</v>
      </c>
      <c r="T29" s="143">
        <v>102</v>
      </c>
      <c r="U29" s="143">
        <v>4</v>
      </c>
      <c r="V29" s="143"/>
      <c r="W29" s="143"/>
      <c r="X29" s="143"/>
      <c r="Y29" s="143"/>
      <c r="Z29" s="143"/>
      <c r="AA29" s="143"/>
      <c r="AB29" s="143"/>
      <c r="AC29" s="143"/>
      <c r="AD29" s="144">
        <f>IF(MIN(F29,J29,N29,R29,V29,Z29)&lt;&gt;0,MIN(F29,J29,N29,R29,V29,Z29),"")</f>
        <v>73</v>
      </c>
      <c r="AE29" s="144">
        <f>IF(MIN(H29,L29,P29,T29,X29,AB29)&lt;&gt;0,MIN(H29,L29,P29,T29,X29,AB29),"")</f>
        <v>101</v>
      </c>
      <c r="AF29" s="144"/>
      <c r="AG29" s="143"/>
      <c r="AH29" s="144"/>
      <c r="AI29" s="143"/>
      <c r="AJ29" s="142" t="str">
        <f>IF(AD29="","",IF(ISBLANK(AF29),"En cours",AD29+AF29))</f>
        <v>En cours</v>
      </c>
      <c r="AK29" s="142" t="str">
        <f>IF(AE29="","",IF(ISBLANK(AH29),"En cours",AE29+AH29))</f>
        <v>En cours</v>
      </c>
    </row>
    <row r="30" spans="2:37" ht="21" x14ac:dyDescent="0.35">
      <c r="B30" s="143" t="s">
        <v>287</v>
      </c>
      <c r="C30" s="143" t="s">
        <v>108</v>
      </c>
      <c r="D30" s="143">
        <v>24.3</v>
      </c>
      <c r="E30" s="143" t="s">
        <v>141</v>
      </c>
      <c r="F30" s="143"/>
      <c r="G30" s="143"/>
      <c r="H30" s="143"/>
      <c r="I30" s="143"/>
      <c r="J30" s="143"/>
      <c r="K30" s="143"/>
      <c r="L30" s="143"/>
      <c r="M30" s="143"/>
      <c r="N30" s="143">
        <v>75</v>
      </c>
      <c r="O30" s="143">
        <v>8</v>
      </c>
      <c r="P30" s="143">
        <v>99</v>
      </c>
      <c r="Q30" s="143">
        <v>3</v>
      </c>
      <c r="R30" s="143"/>
      <c r="S30" s="143"/>
      <c r="T30" s="143"/>
      <c r="U30" s="143"/>
      <c r="V30" s="143">
        <v>71</v>
      </c>
      <c r="W30" s="143">
        <v>4</v>
      </c>
      <c r="X30" s="143">
        <v>95</v>
      </c>
      <c r="Y30" s="143">
        <v>5</v>
      </c>
      <c r="Z30" s="143"/>
      <c r="AA30" s="143"/>
      <c r="AB30" s="143"/>
      <c r="AC30" s="143"/>
      <c r="AD30" s="144">
        <f>IF(MIN(F30,J30,N30,R30,V30,Z30)&lt;&gt;0,MIN(F30,J30,N30,R30,V30,Z30),"")</f>
        <v>71</v>
      </c>
      <c r="AE30" s="144">
        <f>IF(MIN(H30,L30,P30,T30,X30,AB30)&lt;&gt;0,MIN(H30,L30,P30,T30,X30,AB30),"")</f>
        <v>95</v>
      </c>
      <c r="AF30" s="144"/>
      <c r="AG30" s="143"/>
      <c r="AH30" s="144"/>
      <c r="AI30" s="143"/>
      <c r="AJ30" s="142" t="str">
        <f>IF(AD30="","",IF(ISBLANK(AF30),"En cours",AD30+AF30))</f>
        <v>En cours</v>
      </c>
      <c r="AK30" s="142" t="str">
        <f>IF(AE30="","",IF(ISBLANK(AH30),"En cours",AE30+AH30))</f>
        <v>En cours</v>
      </c>
    </row>
    <row r="31" spans="2:37" ht="21" x14ac:dyDescent="0.35">
      <c r="B31" s="143" t="s">
        <v>321</v>
      </c>
      <c r="C31" s="143" t="s">
        <v>108</v>
      </c>
      <c r="D31" s="143">
        <v>9.3000000000000007</v>
      </c>
      <c r="E31" s="143" t="s">
        <v>141</v>
      </c>
      <c r="F31" s="143">
        <v>75</v>
      </c>
      <c r="G31" s="143">
        <v>2</v>
      </c>
      <c r="H31" s="143">
        <v>86</v>
      </c>
      <c r="I31" s="143">
        <v>1</v>
      </c>
      <c r="J31" s="143"/>
      <c r="K31" s="143"/>
      <c r="L31" s="143"/>
      <c r="M31" s="143"/>
      <c r="N31" s="143"/>
      <c r="O31" s="143"/>
      <c r="P31" s="143"/>
      <c r="Q31" s="143"/>
      <c r="R31" s="143">
        <v>74</v>
      </c>
      <c r="S31" s="143">
        <v>1</v>
      </c>
      <c r="T31" s="143">
        <v>85</v>
      </c>
      <c r="U31" s="143">
        <v>4</v>
      </c>
      <c r="V31" s="143">
        <v>72</v>
      </c>
      <c r="W31" s="143">
        <v>3</v>
      </c>
      <c r="X31" s="143">
        <v>83</v>
      </c>
      <c r="Y31" s="143">
        <v>5</v>
      </c>
      <c r="Z31" s="143">
        <v>75</v>
      </c>
      <c r="AA31" s="143">
        <v>2</v>
      </c>
      <c r="AB31" s="143">
        <v>86</v>
      </c>
      <c r="AC31" s="143">
        <v>6</v>
      </c>
      <c r="AD31" s="144">
        <f>IF(MIN(F31,J31,N31,R31,V31,Z31)&lt;&gt;0,MIN(F31,J31,N31,R31,V31,Z31),"")</f>
        <v>72</v>
      </c>
      <c r="AE31" s="144">
        <f>IF(MIN(H31,L31,P31,T31,X31,AB31)&lt;&gt;0,MIN(H31,L31,P31,T31,X31,AB31),"")</f>
        <v>83</v>
      </c>
      <c r="AF31" s="144"/>
      <c r="AG31" s="143"/>
      <c r="AH31" s="144"/>
      <c r="AI31" s="143"/>
      <c r="AJ31" s="142" t="str">
        <f>IF(AD31="","",IF(ISBLANK(AF31),"En cours",AD31+AF31))</f>
        <v>En cours</v>
      </c>
      <c r="AK31" s="142" t="str">
        <f>IF(AE31="","",IF(ISBLANK(AH31),"En cours",AE31+AH31))</f>
        <v>En cours</v>
      </c>
    </row>
    <row r="32" spans="2:37" ht="21" x14ac:dyDescent="0.35">
      <c r="B32" s="143" t="s">
        <v>322</v>
      </c>
      <c r="C32" s="143" t="s">
        <v>108</v>
      </c>
      <c r="D32" s="143">
        <v>19.8</v>
      </c>
      <c r="E32" s="143" t="s">
        <v>141</v>
      </c>
      <c r="F32" s="143"/>
      <c r="G32" s="143"/>
      <c r="H32" s="143"/>
      <c r="I32" s="143"/>
      <c r="J32" s="143"/>
      <c r="K32" s="143"/>
      <c r="L32" s="143"/>
      <c r="M32" s="143"/>
      <c r="N32" s="143"/>
      <c r="O32" s="143"/>
      <c r="P32" s="143"/>
      <c r="Q32" s="143"/>
      <c r="R32" s="143">
        <v>82</v>
      </c>
      <c r="S32" s="143">
        <v>3</v>
      </c>
      <c r="T32" s="143">
        <v>101</v>
      </c>
      <c r="U32" s="143">
        <v>4</v>
      </c>
      <c r="V32" s="143"/>
      <c r="W32" s="143"/>
      <c r="X32" s="143"/>
      <c r="Y32" s="143"/>
      <c r="Z32" s="143"/>
      <c r="AA32" s="143"/>
      <c r="AB32" s="143"/>
      <c r="AC32" s="143"/>
      <c r="AD32" s="144">
        <f>IF(MIN(F32,J32,N32,R32,V32,Z32)&lt;&gt;0,MIN(F32,J32,N32,R32,V32,Z32),"")</f>
        <v>82</v>
      </c>
      <c r="AE32" s="144">
        <f>IF(MIN(H32,L32,P32,T32,X32,AB32)&lt;&gt;0,MIN(H32,L32,P32,T32,X32,AB32),"")</f>
        <v>101</v>
      </c>
      <c r="AF32" s="144"/>
      <c r="AG32" s="143"/>
      <c r="AH32" s="144"/>
      <c r="AI32" s="143"/>
      <c r="AJ32" s="142" t="str">
        <f>IF(AD32="","",IF(ISBLANK(AF32),"En cours",AD32+AF32))</f>
        <v>En cours</v>
      </c>
      <c r="AK32" s="142" t="str">
        <f>IF(AE32="","",IF(ISBLANK(AH32),"En cours",AE32+AH32))</f>
        <v>En cours</v>
      </c>
    </row>
    <row r="33" spans="2:37" ht="21" x14ac:dyDescent="0.35">
      <c r="B33" s="129"/>
      <c r="C33" s="129"/>
      <c r="D33" s="129"/>
      <c r="E33" s="129"/>
      <c r="F33" s="129"/>
      <c r="G33" s="129"/>
      <c r="H33" s="129"/>
      <c r="I33" s="129"/>
      <c r="J33" s="129"/>
      <c r="K33" s="129"/>
      <c r="L33" s="129"/>
      <c r="M33" s="129"/>
      <c r="N33" s="129"/>
      <c r="O33" s="129"/>
      <c r="P33" s="129"/>
      <c r="Q33" s="129"/>
      <c r="R33" s="129"/>
      <c r="S33" s="129"/>
      <c r="T33" s="129"/>
      <c r="U33" s="129"/>
      <c r="V33" s="129"/>
      <c r="W33" s="129"/>
      <c r="X33" s="129"/>
      <c r="Y33" s="129"/>
      <c r="Z33" s="129"/>
      <c r="AA33" s="129"/>
      <c r="AB33" s="129"/>
      <c r="AC33" s="129"/>
      <c r="AD33" s="130" t="str">
        <f t="shared" ref="AD23:AD67" si="0">IF(MIN(F33,J33,N33,R33,V33,Z33)&lt;&gt;0,MIN(F33,J33,N33,R33,V33,Z33),"")</f>
        <v/>
      </c>
      <c r="AE33" s="130" t="str">
        <f t="shared" ref="AE23:AE67" si="1">IF(MIN(H33,L33,P33,T33,X33,AB33)&lt;&gt;0,MIN(H33,L33,P33,T33,X33,AB33),"")</f>
        <v/>
      </c>
      <c r="AF33" s="130"/>
      <c r="AG33" s="129"/>
      <c r="AH33" s="130"/>
      <c r="AI33" s="129"/>
      <c r="AJ33" s="128" t="str">
        <f t="shared" ref="AJ23:AJ67" si="2">IF(AD33="","",IF(ISBLANK(AF33),"En cours",AD33+AF33))</f>
        <v/>
      </c>
      <c r="AK33" s="128" t="str">
        <f t="shared" ref="AK23:AK67" si="3">IF(AE33="","",IF(ISBLANK(AH33),"En cours",AE33+AH33))</f>
        <v/>
      </c>
    </row>
    <row r="34" spans="2:37" ht="21" x14ac:dyDescent="0.35"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9"/>
      <c r="S34" s="129"/>
      <c r="T34" s="129"/>
      <c r="U34" s="129"/>
      <c r="V34" s="129"/>
      <c r="W34" s="129"/>
      <c r="X34" s="129"/>
      <c r="Y34" s="129"/>
      <c r="Z34" s="129"/>
      <c r="AA34" s="129"/>
      <c r="AB34" s="129"/>
      <c r="AC34" s="129"/>
      <c r="AD34" s="130" t="str">
        <f t="shared" si="0"/>
        <v/>
      </c>
      <c r="AE34" s="130" t="str">
        <f t="shared" si="1"/>
        <v/>
      </c>
      <c r="AF34" s="130"/>
      <c r="AG34" s="129"/>
      <c r="AH34" s="130"/>
      <c r="AI34" s="129"/>
      <c r="AJ34" s="128" t="str">
        <f t="shared" si="2"/>
        <v/>
      </c>
      <c r="AK34" s="128" t="str">
        <f t="shared" si="3"/>
        <v/>
      </c>
    </row>
    <row r="35" spans="2:37" ht="21" x14ac:dyDescent="0.35">
      <c r="B35" s="136"/>
      <c r="C35" s="136"/>
      <c r="D35" s="136"/>
      <c r="E35" s="136"/>
      <c r="F35" s="136"/>
      <c r="G35" s="136"/>
      <c r="H35" s="136"/>
      <c r="I35" s="136"/>
      <c r="J35" s="136"/>
      <c r="K35" s="136"/>
      <c r="L35" s="136"/>
      <c r="M35" s="136"/>
      <c r="N35" s="136"/>
      <c r="O35" s="136"/>
      <c r="P35" s="136"/>
      <c r="Q35" s="136"/>
      <c r="R35" s="136"/>
      <c r="S35" s="136"/>
      <c r="T35" s="136"/>
      <c r="U35" s="136"/>
      <c r="V35" s="136"/>
      <c r="W35" s="136"/>
      <c r="X35" s="136"/>
      <c r="Y35" s="136"/>
      <c r="Z35" s="136"/>
      <c r="AA35" s="136"/>
      <c r="AB35" s="136"/>
      <c r="AC35" s="136"/>
      <c r="AD35" s="137" t="str">
        <f t="shared" si="0"/>
        <v/>
      </c>
      <c r="AE35" s="137" t="str">
        <f t="shared" si="1"/>
        <v/>
      </c>
      <c r="AF35" s="137"/>
      <c r="AG35" s="136"/>
      <c r="AH35" s="137"/>
      <c r="AI35" s="136"/>
      <c r="AJ35" s="135" t="str">
        <f t="shared" si="2"/>
        <v/>
      </c>
      <c r="AK35" s="135" t="str">
        <f t="shared" si="3"/>
        <v/>
      </c>
    </row>
    <row r="36" spans="2:37" ht="21" x14ac:dyDescent="0.35">
      <c r="B36" s="136"/>
      <c r="C36" s="136"/>
      <c r="D36" s="136"/>
      <c r="E36" s="136"/>
      <c r="F36" s="136"/>
      <c r="G36" s="136"/>
      <c r="H36" s="136"/>
      <c r="I36" s="136"/>
      <c r="J36" s="136"/>
      <c r="K36" s="136"/>
      <c r="L36" s="136"/>
      <c r="M36" s="136"/>
      <c r="N36" s="136"/>
      <c r="O36" s="136"/>
      <c r="P36" s="136"/>
      <c r="Q36" s="136"/>
      <c r="R36" s="136"/>
      <c r="S36" s="136"/>
      <c r="T36" s="136"/>
      <c r="U36" s="136"/>
      <c r="V36" s="136"/>
      <c r="W36" s="136"/>
      <c r="X36" s="136"/>
      <c r="Y36" s="136"/>
      <c r="Z36" s="136"/>
      <c r="AA36" s="136"/>
      <c r="AB36" s="136"/>
      <c r="AC36" s="136"/>
      <c r="AD36" s="137" t="str">
        <f t="shared" si="0"/>
        <v/>
      </c>
      <c r="AE36" s="137" t="str">
        <f t="shared" si="1"/>
        <v/>
      </c>
      <c r="AF36" s="137"/>
      <c r="AG36" s="136"/>
      <c r="AH36" s="137"/>
      <c r="AI36" s="136"/>
      <c r="AJ36" s="135" t="str">
        <f t="shared" si="2"/>
        <v/>
      </c>
      <c r="AK36" s="135" t="str">
        <f t="shared" si="3"/>
        <v/>
      </c>
    </row>
    <row r="37" spans="2:37" ht="21" x14ac:dyDescent="0.35">
      <c r="B37" s="99"/>
      <c r="C37" s="100"/>
      <c r="D37" s="100"/>
      <c r="E37" s="100"/>
      <c r="F37" s="100"/>
      <c r="G37" s="100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  <c r="AB37" s="100"/>
      <c r="AC37" s="100"/>
      <c r="AD37" s="101" t="str">
        <f t="shared" si="0"/>
        <v/>
      </c>
      <c r="AE37" s="101" t="str">
        <f t="shared" si="1"/>
        <v/>
      </c>
      <c r="AF37" s="101"/>
      <c r="AG37" s="100"/>
      <c r="AH37" s="101"/>
      <c r="AI37" s="100"/>
      <c r="AJ37" s="102" t="str">
        <f t="shared" si="2"/>
        <v/>
      </c>
      <c r="AK37" s="103" t="str">
        <f t="shared" si="3"/>
        <v/>
      </c>
    </row>
    <row r="38" spans="2:37" ht="21" x14ac:dyDescent="0.35">
      <c r="B38" s="99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  <c r="AB38" s="100"/>
      <c r="AC38" s="100"/>
      <c r="AD38" s="101" t="str">
        <f t="shared" si="0"/>
        <v/>
      </c>
      <c r="AE38" s="101" t="str">
        <f t="shared" si="1"/>
        <v/>
      </c>
      <c r="AF38" s="101"/>
      <c r="AG38" s="100"/>
      <c r="AH38" s="101"/>
      <c r="AI38" s="100"/>
      <c r="AJ38" s="102" t="str">
        <f t="shared" si="2"/>
        <v/>
      </c>
      <c r="AK38" s="103" t="str">
        <f t="shared" si="3"/>
        <v/>
      </c>
    </row>
    <row r="39" spans="2:37" ht="21" x14ac:dyDescent="0.35">
      <c r="B39" s="99"/>
      <c r="C39" s="100"/>
      <c r="D39" s="100"/>
      <c r="E39" s="100"/>
      <c r="F39" s="100"/>
      <c r="G39" s="100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  <c r="AB39" s="100"/>
      <c r="AC39" s="100"/>
      <c r="AD39" s="101" t="str">
        <f t="shared" si="0"/>
        <v/>
      </c>
      <c r="AE39" s="101" t="str">
        <f t="shared" si="1"/>
        <v/>
      </c>
      <c r="AF39" s="101"/>
      <c r="AG39" s="100"/>
      <c r="AH39" s="101"/>
      <c r="AI39" s="100"/>
      <c r="AJ39" s="102" t="str">
        <f t="shared" si="2"/>
        <v/>
      </c>
      <c r="AK39" s="103" t="str">
        <f t="shared" si="3"/>
        <v/>
      </c>
    </row>
    <row r="40" spans="2:37" ht="21" x14ac:dyDescent="0.35">
      <c r="B40" s="99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  <c r="AB40" s="100"/>
      <c r="AC40" s="100"/>
      <c r="AD40" s="101" t="str">
        <f t="shared" si="0"/>
        <v/>
      </c>
      <c r="AE40" s="101" t="str">
        <f t="shared" si="1"/>
        <v/>
      </c>
      <c r="AF40" s="101"/>
      <c r="AG40" s="100"/>
      <c r="AH40" s="101"/>
      <c r="AI40" s="100"/>
      <c r="AJ40" s="102" t="str">
        <f t="shared" si="2"/>
        <v/>
      </c>
      <c r="AK40" s="103" t="str">
        <f t="shared" si="3"/>
        <v/>
      </c>
    </row>
    <row r="41" spans="2:37" ht="21" x14ac:dyDescent="0.35">
      <c r="B41" s="99"/>
      <c r="C41" s="100"/>
      <c r="D41" s="100"/>
      <c r="E41" s="100"/>
      <c r="F41" s="100"/>
      <c r="G41" s="100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  <c r="AB41" s="100"/>
      <c r="AC41" s="100"/>
      <c r="AD41" s="101" t="str">
        <f t="shared" si="0"/>
        <v/>
      </c>
      <c r="AE41" s="101" t="str">
        <f t="shared" si="1"/>
        <v/>
      </c>
      <c r="AF41" s="101"/>
      <c r="AG41" s="100"/>
      <c r="AH41" s="101"/>
      <c r="AI41" s="100"/>
      <c r="AJ41" s="102" t="str">
        <f t="shared" si="2"/>
        <v/>
      </c>
      <c r="AK41" s="103" t="str">
        <f t="shared" si="3"/>
        <v/>
      </c>
    </row>
    <row r="42" spans="2:37" ht="21" x14ac:dyDescent="0.35">
      <c r="B42" s="99"/>
      <c r="C42" s="100"/>
      <c r="D42" s="100"/>
      <c r="E42" s="100"/>
      <c r="F42" s="100"/>
      <c r="G42" s="100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  <c r="AB42" s="100"/>
      <c r="AC42" s="100"/>
      <c r="AD42" s="101" t="str">
        <f t="shared" si="0"/>
        <v/>
      </c>
      <c r="AE42" s="101" t="str">
        <f t="shared" si="1"/>
        <v/>
      </c>
      <c r="AF42" s="101"/>
      <c r="AG42" s="100"/>
      <c r="AH42" s="101"/>
      <c r="AI42" s="100"/>
      <c r="AJ42" s="102" t="str">
        <f t="shared" si="2"/>
        <v/>
      </c>
      <c r="AK42" s="103" t="str">
        <f t="shared" si="3"/>
        <v/>
      </c>
    </row>
    <row r="43" spans="2:37" ht="21" x14ac:dyDescent="0.35">
      <c r="B43" s="99"/>
      <c r="C43" s="100"/>
      <c r="D43" s="100"/>
      <c r="E43" s="100"/>
      <c r="F43" s="100"/>
      <c r="G43" s="100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  <c r="AB43" s="100"/>
      <c r="AC43" s="100"/>
      <c r="AD43" s="101" t="str">
        <f t="shared" si="0"/>
        <v/>
      </c>
      <c r="AE43" s="101" t="str">
        <f t="shared" si="1"/>
        <v/>
      </c>
      <c r="AF43" s="101"/>
      <c r="AG43" s="100"/>
      <c r="AH43" s="101"/>
      <c r="AI43" s="100"/>
      <c r="AJ43" s="102" t="str">
        <f t="shared" si="2"/>
        <v/>
      </c>
      <c r="AK43" s="103" t="str">
        <f t="shared" si="3"/>
        <v/>
      </c>
    </row>
    <row r="44" spans="2:37" ht="21" x14ac:dyDescent="0.35">
      <c r="B44" s="99"/>
      <c r="C44" s="100"/>
      <c r="D44" s="100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  <c r="AB44" s="100"/>
      <c r="AC44" s="100"/>
      <c r="AD44" s="101" t="str">
        <f t="shared" si="0"/>
        <v/>
      </c>
      <c r="AE44" s="101" t="str">
        <f t="shared" si="1"/>
        <v/>
      </c>
      <c r="AF44" s="101"/>
      <c r="AG44" s="100"/>
      <c r="AH44" s="101"/>
      <c r="AI44" s="100"/>
      <c r="AJ44" s="102" t="str">
        <f t="shared" si="2"/>
        <v/>
      </c>
      <c r="AK44" s="103" t="str">
        <f t="shared" si="3"/>
        <v/>
      </c>
    </row>
    <row r="45" spans="2:37" ht="21" x14ac:dyDescent="0.35">
      <c r="B45" s="99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  <c r="AC45" s="100"/>
      <c r="AD45" s="101" t="str">
        <f t="shared" si="0"/>
        <v/>
      </c>
      <c r="AE45" s="101" t="str">
        <f t="shared" si="1"/>
        <v/>
      </c>
      <c r="AF45" s="101"/>
      <c r="AG45" s="100"/>
      <c r="AH45" s="101"/>
      <c r="AI45" s="100"/>
      <c r="AJ45" s="102" t="str">
        <f t="shared" si="2"/>
        <v/>
      </c>
      <c r="AK45" s="103" t="str">
        <f t="shared" si="3"/>
        <v/>
      </c>
    </row>
    <row r="46" spans="2:37" ht="21" x14ac:dyDescent="0.35">
      <c r="B46" s="99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  <c r="AC46" s="100"/>
      <c r="AD46" s="101" t="str">
        <f t="shared" si="0"/>
        <v/>
      </c>
      <c r="AE46" s="101" t="str">
        <f t="shared" si="1"/>
        <v/>
      </c>
      <c r="AF46" s="101"/>
      <c r="AG46" s="100"/>
      <c r="AH46" s="101"/>
      <c r="AI46" s="100"/>
      <c r="AJ46" s="102" t="str">
        <f t="shared" si="2"/>
        <v/>
      </c>
      <c r="AK46" s="103" t="str">
        <f t="shared" si="3"/>
        <v/>
      </c>
    </row>
    <row r="47" spans="2:37" ht="21" x14ac:dyDescent="0.35">
      <c r="B47" s="99"/>
      <c r="C47" s="100"/>
      <c r="D47" s="100"/>
      <c r="E47" s="100"/>
      <c r="F47" s="100"/>
      <c r="G47" s="100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  <c r="AB47" s="100"/>
      <c r="AC47" s="100"/>
      <c r="AD47" s="101" t="str">
        <f t="shared" si="0"/>
        <v/>
      </c>
      <c r="AE47" s="101" t="str">
        <f t="shared" si="1"/>
        <v/>
      </c>
      <c r="AF47" s="101"/>
      <c r="AG47" s="100"/>
      <c r="AH47" s="101"/>
      <c r="AI47" s="100"/>
      <c r="AJ47" s="102" t="str">
        <f t="shared" si="2"/>
        <v/>
      </c>
      <c r="AK47" s="103" t="str">
        <f t="shared" si="3"/>
        <v/>
      </c>
    </row>
    <row r="48" spans="2:37" ht="21" x14ac:dyDescent="0.35">
      <c r="B48" s="77"/>
      <c r="C48" s="77"/>
      <c r="D48" s="77"/>
      <c r="E48" s="77"/>
      <c r="F48" s="77"/>
      <c r="G48" s="77"/>
      <c r="H48" s="77"/>
      <c r="I48" s="78"/>
      <c r="J48" s="77"/>
      <c r="K48" s="77"/>
      <c r="L48" s="77"/>
      <c r="M48" s="78"/>
      <c r="N48" s="77"/>
      <c r="O48" s="77"/>
      <c r="P48" s="77"/>
      <c r="Q48" s="78"/>
      <c r="R48" s="77"/>
      <c r="S48" s="77"/>
      <c r="T48" s="77"/>
      <c r="U48" s="78"/>
      <c r="V48" s="77"/>
      <c r="W48" s="77"/>
      <c r="X48" s="77"/>
      <c r="Y48" s="78"/>
      <c r="Z48" s="77"/>
      <c r="AA48" s="77"/>
      <c r="AB48" s="77"/>
      <c r="AC48" s="77"/>
      <c r="AD48" s="79" t="str">
        <f t="shared" si="0"/>
        <v/>
      </c>
      <c r="AE48" s="80" t="str">
        <f t="shared" si="1"/>
        <v/>
      </c>
      <c r="AF48" s="81"/>
      <c r="AG48" s="77"/>
      <c r="AH48" s="81"/>
      <c r="AI48" s="77"/>
      <c r="AJ48" s="82" t="str">
        <f t="shared" si="2"/>
        <v/>
      </c>
      <c r="AK48" s="83" t="str">
        <f t="shared" si="3"/>
        <v/>
      </c>
    </row>
    <row r="49" spans="2:37" ht="21" x14ac:dyDescent="0.35">
      <c r="B49" s="77"/>
      <c r="C49" s="77"/>
      <c r="D49" s="77"/>
      <c r="E49" s="77"/>
      <c r="F49" s="77"/>
      <c r="G49" s="77"/>
      <c r="H49" s="77"/>
      <c r="I49" s="78"/>
      <c r="J49" s="77"/>
      <c r="K49" s="77"/>
      <c r="L49" s="77"/>
      <c r="M49" s="78"/>
      <c r="N49" s="77"/>
      <c r="O49" s="77"/>
      <c r="P49" s="77"/>
      <c r="Q49" s="78"/>
      <c r="R49" s="77"/>
      <c r="S49" s="77"/>
      <c r="T49" s="77"/>
      <c r="U49" s="78"/>
      <c r="V49" s="77"/>
      <c r="W49" s="77"/>
      <c r="X49" s="77"/>
      <c r="Y49" s="78"/>
      <c r="Z49" s="77"/>
      <c r="AA49" s="77"/>
      <c r="AB49" s="77"/>
      <c r="AC49" s="77"/>
      <c r="AD49" s="79" t="str">
        <f t="shared" si="0"/>
        <v/>
      </c>
      <c r="AE49" s="80" t="str">
        <f t="shared" si="1"/>
        <v/>
      </c>
      <c r="AF49" s="81"/>
      <c r="AG49" s="77"/>
      <c r="AH49" s="81"/>
      <c r="AI49" s="77"/>
      <c r="AJ49" s="82" t="str">
        <f t="shared" si="2"/>
        <v/>
      </c>
      <c r="AK49" s="83" t="str">
        <f t="shared" si="3"/>
        <v/>
      </c>
    </row>
    <row r="50" spans="2:37" ht="21" x14ac:dyDescent="0.35">
      <c r="B50" s="77"/>
      <c r="C50" s="77"/>
      <c r="D50" s="77"/>
      <c r="E50" s="77"/>
      <c r="F50" s="77"/>
      <c r="G50" s="77"/>
      <c r="H50" s="77"/>
      <c r="I50" s="78"/>
      <c r="J50" s="77"/>
      <c r="K50" s="77"/>
      <c r="L50" s="77"/>
      <c r="M50" s="78"/>
      <c r="N50" s="77"/>
      <c r="O50" s="77"/>
      <c r="P50" s="77"/>
      <c r="Q50" s="78"/>
      <c r="R50" s="77"/>
      <c r="S50" s="77"/>
      <c r="T50" s="77"/>
      <c r="U50" s="78"/>
      <c r="V50" s="77"/>
      <c r="W50" s="77"/>
      <c r="X50" s="77"/>
      <c r="Y50" s="78"/>
      <c r="Z50" s="77"/>
      <c r="AA50" s="77"/>
      <c r="AB50" s="77"/>
      <c r="AC50" s="77"/>
      <c r="AD50" s="79" t="str">
        <f t="shared" si="0"/>
        <v/>
      </c>
      <c r="AE50" s="80" t="str">
        <f t="shared" si="1"/>
        <v/>
      </c>
      <c r="AF50" s="81"/>
      <c r="AG50" s="77"/>
      <c r="AH50" s="81"/>
      <c r="AI50" s="77"/>
      <c r="AJ50" s="82" t="str">
        <f t="shared" si="2"/>
        <v/>
      </c>
      <c r="AK50" s="83" t="str">
        <f t="shared" si="3"/>
        <v/>
      </c>
    </row>
    <row r="51" spans="2:37" ht="21" x14ac:dyDescent="0.35">
      <c r="B51" s="77"/>
      <c r="C51" s="77"/>
      <c r="D51" s="77"/>
      <c r="E51" s="77"/>
      <c r="F51" s="77"/>
      <c r="G51" s="77"/>
      <c r="H51" s="77"/>
      <c r="I51" s="78"/>
      <c r="J51" s="77"/>
      <c r="K51" s="77"/>
      <c r="L51" s="77"/>
      <c r="M51" s="78"/>
      <c r="N51" s="77"/>
      <c r="O51" s="77"/>
      <c r="P51" s="77"/>
      <c r="Q51" s="78"/>
      <c r="R51" s="77"/>
      <c r="S51" s="77"/>
      <c r="T51" s="77"/>
      <c r="U51" s="78"/>
      <c r="V51" s="77"/>
      <c r="W51" s="77"/>
      <c r="X51" s="77"/>
      <c r="Y51" s="78"/>
      <c r="Z51" s="77"/>
      <c r="AA51" s="77"/>
      <c r="AB51" s="77"/>
      <c r="AC51" s="77"/>
      <c r="AD51" s="79" t="str">
        <f t="shared" si="0"/>
        <v/>
      </c>
      <c r="AE51" s="80" t="str">
        <f t="shared" si="1"/>
        <v/>
      </c>
      <c r="AF51" s="81"/>
      <c r="AG51" s="77"/>
      <c r="AH51" s="81"/>
      <c r="AI51" s="77"/>
      <c r="AJ51" s="82" t="str">
        <f t="shared" si="2"/>
        <v/>
      </c>
      <c r="AK51" s="83" t="str">
        <f t="shared" si="3"/>
        <v/>
      </c>
    </row>
    <row r="52" spans="2:37" ht="21" x14ac:dyDescent="0.35">
      <c r="B52" s="77"/>
      <c r="C52" s="77"/>
      <c r="D52" s="77"/>
      <c r="E52" s="77"/>
      <c r="F52" s="77"/>
      <c r="G52" s="77"/>
      <c r="H52" s="77"/>
      <c r="I52" s="78"/>
      <c r="J52" s="77"/>
      <c r="K52" s="77"/>
      <c r="L52" s="77"/>
      <c r="M52" s="78"/>
      <c r="N52" s="77"/>
      <c r="O52" s="77"/>
      <c r="P52" s="77"/>
      <c r="Q52" s="78"/>
      <c r="R52" s="77"/>
      <c r="S52" s="77"/>
      <c r="T52" s="77"/>
      <c r="U52" s="78"/>
      <c r="V52" s="77"/>
      <c r="W52" s="77"/>
      <c r="X52" s="77"/>
      <c r="Y52" s="78"/>
      <c r="Z52" s="77"/>
      <c r="AA52" s="77"/>
      <c r="AB52" s="77"/>
      <c r="AC52" s="77"/>
      <c r="AD52" s="79" t="str">
        <f t="shared" si="0"/>
        <v/>
      </c>
      <c r="AE52" s="80" t="str">
        <f t="shared" si="1"/>
        <v/>
      </c>
      <c r="AF52" s="81"/>
      <c r="AG52" s="77"/>
      <c r="AH52" s="81"/>
      <c r="AI52" s="77"/>
      <c r="AJ52" s="82" t="str">
        <f t="shared" si="2"/>
        <v/>
      </c>
      <c r="AK52" s="83" t="str">
        <f t="shared" si="3"/>
        <v/>
      </c>
    </row>
    <row r="53" spans="2:37" ht="21" x14ac:dyDescent="0.35">
      <c r="B53" s="77"/>
      <c r="C53" s="77"/>
      <c r="D53" s="77"/>
      <c r="E53" s="77"/>
      <c r="F53" s="77"/>
      <c r="G53" s="77"/>
      <c r="H53" s="77"/>
      <c r="I53" s="78"/>
      <c r="J53" s="77"/>
      <c r="K53" s="77"/>
      <c r="L53" s="77"/>
      <c r="M53" s="78"/>
      <c r="N53" s="77"/>
      <c r="O53" s="77"/>
      <c r="P53" s="77"/>
      <c r="Q53" s="78"/>
      <c r="R53" s="77"/>
      <c r="S53" s="77"/>
      <c r="T53" s="77"/>
      <c r="U53" s="78"/>
      <c r="V53" s="77"/>
      <c r="W53" s="77"/>
      <c r="X53" s="77"/>
      <c r="Y53" s="78"/>
      <c r="Z53" s="77"/>
      <c r="AA53" s="77"/>
      <c r="AB53" s="77"/>
      <c r="AC53" s="77"/>
      <c r="AD53" s="79" t="str">
        <f t="shared" si="0"/>
        <v/>
      </c>
      <c r="AE53" s="80" t="str">
        <f t="shared" si="1"/>
        <v/>
      </c>
      <c r="AF53" s="81"/>
      <c r="AG53" s="77"/>
      <c r="AH53" s="81"/>
      <c r="AI53" s="77"/>
      <c r="AJ53" s="82" t="str">
        <f t="shared" si="2"/>
        <v/>
      </c>
      <c r="AK53" s="83" t="str">
        <f t="shared" si="3"/>
        <v/>
      </c>
    </row>
    <row r="54" spans="2:37" ht="21" x14ac:dyDescent="0.35">
      <c r="B54" s="77"/>
      <c r="C54" s="77"/>
      <c r="D54" s="77"/>
      <c r="E54" s="77"/>
      <c r="F54" s="77"/>
      <c r="G54" s="77"/>
      <c r="H54" s="77"/>
      <c r="I54" s="78"/>
      <c r="J54" s="77"/>
      <c r="K54" s="77"/>
      <c r="L54" s="77"/>
      <c r="M54" s="78"/>
      <c r="N54" s="77"/>
      <c r="O54" s="77"/>
      <c r="P54" s="77"/>
      <c r="Q54" s="78"/>
      <c r="R54" s="77"/>
      <c r="S54" s="77"/>
      <c r="T54" s="77"/>
      <c r="U54" s="78"/>
      <c r="V54" s="77"/>
      <c r="W54" s="77"/>
      <c r="X54" s="77"/>
      <c r="Y54" s="78"/>
      <c r="Z54" s="77"/>
      <c r="AA54" s="77"/>
      <c r="AB54" s="77"/>
      <c r="AC54" s="77"/>
      <c r="AD54" s="79" t="str">
        <f t="shared" si="0"/>
        <v/>
      </c>
      <c r="AE54" s="80" t="str">
        <f t="shared" si="1"/>
        <v/>
      </c>
      <c r="AF54" s="81"/>
      <c r="AG54" s="77"/>
      <c r="AH54" s="81"/>
      <c r="AI54" s="77"/>
      <c r="AJ54" s="82" t="str">
        <f t="shared" si="2"/>
        <v/>
      </c>
      <c r="AK54" s="83" t="str">
        <f t="shared" si="3"/>
        <v/>
      </c>
    </row>
    <row r="55" spans="2:37" ht="21" x14ac:dyDescent="0.35">
      <c r="B55" s="77"/>
      <c r="C55" s="77"/>
      <c r="D55" s="77"/>
      <c r="E55" s="77"/>
      <c r="F55" s="77"/>
      <c r="G55" s="77"/>
      <c r="H55" s="77"/>
      <c r="I55" s="78"/>
      <c r="J55" s="77"/>
      <c r="K55" s="77"/>
      <c r="L55" s="77"/>
      <c r="M55" s="78"/>
      <c r="N55" s="77"/>
      <c r="O55" s="77"/>
      <c r="P55" s="77"/>
      <c r="Q55" s="78"/>
      <c r="R55" s="77"/>
      <c r="S55" s="77"/>
      <c r="T55" s="77"/>
      <c r="U55" s="78"/>
      <c r="V55" s="77"/>
      <c r="W55" s="77"/>
      <c r="X55" s="77"/>
      <c r="Y55" s="78"/>
      <c r="Z55" s="77"/>
      <c r="AA55" s="77"/>
      <c r="AB55" s="77"/>
      <c r="AC55" s="77"/>
      <c r="AD55" s="79" t="str">
        <f t="shared" si="0"/>
        <v/>
      </c>
      <c r="AE55" s="80" t="str">
        <f t="shared" si="1"/>
        <v/>
      </c>
      <c r="AF55" s="81"/>
      <c r="AG55" s="77"/>
      <c r="AH55" s="81"/>
      <c r="AI55" s="77"/>
      <c r="AJ55" s="82" t="str">
        <f t="shared" si="2"/>
        <v/>
      </c>
      <c r="AK55" s="83" t="str">
        <f t="shared" si="3"/>
        <v/>
      </c>
    </row>
    <row r="56" spans="2:37" ht="21" x14ac:dyDescent="0.35">
      <c r="B56" s="77"/>
      <c r="C56" s="77"/>
      <c r="D56" s="77"/>
      <c r="E56" s="77"/>
      <c r="F56" s="77"/>
      <c r="G56" s="77"/>
      <c r="H56" s="77"/>
      <c r="I56" s="78"/>
      <c r="J56" s="77"/>
      <c r="K56" s="77"/>
      <c r="L56" s="77"/>
      <c r="M56" s="78"/>
      <c r="N56" s="77"/>
      <c r="O56" s="77"/>
      <c r="P56" s="77"/>
      <c r="Q56" s="78"/>
      <c r="R56" s="77"/>
      <c r="S56" s="77"/>
      <c r="T56" s="77"/>
      <c r="U56" s="78"/>
      <c r="V56" s="77"/>
      <c r="W56" s="77"/>
      <c r="X56" s="77"/>
      <c r="Y56" s="78"/>
      <c r="Z56" s="77"/>
      <c r="AA56" s="77"/>
      <c r="AB56" s="77"/>
      <c r="AC56" s="77"/>
      <c r="AD56" s="79" t="str">
        <f t="shared" si="0"/>
        <v/>
      </c>
      <c r="AE56" s="80" t="str">
        <f t="shared" si="1"/>
        <v/>
      </c>
      <c r="AF56" s="81"/>
      <c r="AG56" s="77"/>
      <c r="AH56" s="81"/>
      <c r="AI56" s="77"/>
      <c r="AJ56" s="82" t="str">
        <f t="shared" si="2"/>
        <v/>
      </c>
      <c r="AK56" s="83" t="str">
        <f t="shared" si="3"/>
        <v/>
      </c>
    </row>
    <row r="57" spans="2:37" ht="21" x14ac:dyDescent="0.35">
      <c r="B57" s="77"/>
      <c r="C57" s="77"/>
      <c r="D57" s="77"/>
      <c r="E57" s="77"/>
      <c r="F57" s="77"/>
      <c r="G57" s="77"/>
      <c r="H57" s="77"/>
      <c r="I57" s="78"/>
      <c r="J57" s="77"/>
      <c r="K57" s="77"/>
      <c r="L57" s="77"/>
      <c r="M57" s="78"/>
      <c r="N57" s="77"/>
      <c r="O57" s="77"/>
      <c r="P57" s="77"/>
      <c r="Q57" s="78"/>
      <c r="R57" s="77"/>
      <c r="S57" s="77"/>
      <c r="T57" s="77"/>
      <c r="U57" s="78"/>
      <c r="V57" s="77"/>
      <c r="W57" s="77"/>
      <c r="X57" s="77"/>
      <c r="Y57" s="78"/>
      <c r="Z57" s="77"/>
      <c r="AA57" s="77"/>
      <c r="AB57" s="77"/>
      <c r="AC57" s="77"/>
      <c r="AD57" s="79" t="str">
        <f t="shared" si="0"/>
        <v/>
      </c>
      <c r="AE57" s="80" t="str">
        <f t="shared" si="1"/>
        <v/>
      </c>
      <c r="AF57" s="81"/>
      <c r="AG57" s="77"/>
      <c r="AH57" s="81"/>
      <c r="AI57" s="77"/>
      <c r="AJ57" s="82" t="str">
        <f t="shared" si="2"/>
        <v/>
      </c>
      <c r="AK57" s="83" t="str">
        <f t="shared" si="3"/>
        <v/>
      </c>
    </row>
    <row r="58" spans="2:37" ht="21" x14ac:dyDescent="0.35">
      <c r="B58" s="77"/>
      <c r="C58" s="77"/>
      <c r="D58" s="77"/>
      <c r="E58" s="77"/>
      <c r="F58" s="77"/>
      <c r="G58" s="77"/>
      <c r="H58" s="77"/>
      <c r="I58" s="78"/>
      <c r="J58" s="77"/>
      <c r="K58" s="77"/>
      <c r="L58" s="77"/>
      <c r="M58" s="78"/>
      <c r="N58" s="77"/>
      <c r="O58" s="77"/>
      <c r="P58" s="77"/>
      <c r="Q58" s="78"/>
      <c r="R58" s="77"/>
      <c r="S58" s="77"/>
      <c r="T58" s="77"/>
      <c r="U58" s="78"/>
      <c r="V58" s="77"/>
      <c r="W58" s="77"/>
      <c r="X58" s="77"/>
      <c r="Y58" s="78"/>
      <c r="Z58" s="77"/>
      <c r="AA58" s="77"/>
      <c r="AB58" s="77"/>
      <c r="AC58" s="77"/>
      <c r="AD58" s="79" t="str">
        <f t="shared" si="0"/>
        <v/>
      </c>
      <c r="AE58" s="80" t="str">
        <f t="shared" si="1"/>
        <v/>
      </c>
      <c r="AF58" s="81"/>
      <c r="AG58" s="77"/>
      <c r="AH58" s="81"/>
      <c r="AI58" s="77"/>
      <c r="AJ58" s="82" t="str">
        <f t="shared" si="2"/>
        <v/>
      </c>
      <c r="AK58" s="83" t="str">
        <f t="shared" si="3"/>
        <v/>
      </c>
    </row>
    <row r="59" spans="2:37" ht="21" x14ac:dyDescent="0.35">
      <c r="B59" s="77"/>
      <c r="C59" s="77"/>
      <c r="D59" s="77"/>
      <c r="E59" s="77"/>
      <c r="F59" s="77"/>
      <c r="G59" s="77"/>
      <c r="H59" s="77"/>
      <c r="I59" s="78"/>
      <c r="J59" s="77"/>
      <c r="K59" s="77"/>
      <c r="L59" s="77"/>
      <c r="M59" s="78"/>
      <c r="N59" s="77"/>
      <c r="O59" s="77"/>
      <c r="P59" s="77"/>
      <c r="Q59" s="78"/>
      <c r="R59" s="77"/>
      <c r="S59" s="77"/>
      <c r="T59" s="77"/>
      <c r="U59" s="78"/>
      <c r="V59" s="77"/>
      <c r="W59" s="77"/>
      <c r="X59" s="77"/>
      <c r="Y59" s="78"/>
      <c r="Z59" s="77"/>
      <c r="AA59" s="77"/>
      <c r="AB59" s="77"/>
      <c r="AC59" s="77"/>
      <c r="AD59" s="79" t="str">
        <f t="shared" si="0"/>
        <v/>
      </c>
      <c r="AE59" s="80" t="str">
        <f t="shared" si="1"/>
        <v/>
      </c>
      <c r="AF59" s="81"/>
      <c r="AG59" s="77"/>
      <c r="AH59" s="81"/>
      <c r="AI59" s="77"/>
      <c r="AJ59" s="82" t="str">
        <f t="shared" si="2"/>
        <v/>
      </c>
      <c r="AK59" s="83" t="str">
        <f t="shared" si="3"/>
        <v/>
      </c>
    </row>
    <row r="60" spans="2:37" ht="21" x14ac:dyDescent="0.35">
      <c r="B60" s="77"/>
      <c r="C60" s="77"/>
      <c r="D60" s="77"/>
      <c r="E60" s="77"/>
      <c r="F60" s="77"/>
      <c r="G60" s="77"/>
      <c r="H60" s="77"/>
      <c r="I60" s="78"/>
      <c r="J60" s="77"/>
      <c r="K60" s="77"/>
      <c r="L60" s="77"/>
      <c r="M60" s="78"/>
      <c r="N60" s="77"/>
      <c r="O60" s="77"/>
      <c r="P60" s="77"/>
      <c r="Q60" s="78"/>
      <c r="R60" s="77"/>
      <c r="S60" s="77"/>
      <c r="T60" s="77"/>
      <c r="U60" s="78"/>
      <c r="V60" s="77"/>
      <c r="W60" s="77"/>
      <c r="X60" s="77"/>
      <c r="Y60" s="78"/>
      <c r="Z60" s="77"/>
      <c r="AA60" s="77"/>
      <c r="AB60" s="77"/>
      <c r="AC60" s="77"/>
      <c r="AD60" s="79" t="str">
        <f t="shared" si="0"/>
        <v/>
      </c>
      <c r="AE60" s="80" t="str">
        <f t="shared" si="1"/>
        <v/>
      </c>
      <c r="AF60" s="81"/>
      <c r="AG60" s="77"/>
      <c r="AH60" s="81"/>
      <c r="AI60" s="77"/>
      <c r="AJ60" s="82" t="str">
        <f t="shared" si="2"/>
        <v/>
      </c>
      <c r="AK60" s="83" t="str">
        <f t="shared" si="3"/>
        <v/>
      </c>
    </row>
    <row r="61" spans="2:37" ht="21" x14ac:dyDescent="0.35">
      <c r="B61" s="77"/>
      <c r="C61" s="77"/>
      <c r="D61" s="77"/>
      <c r="E61" s="77"/>
      <c r="F61" s="77"/>
      <c r="G61" s="77"/>
      <c r="H61" s="77"/>
      <c r="I61" s="78"/>
      <c r="J61" s="77"/>
      <c r="K61" s="77"/>
      <c r="L61" s="77"/>
      <c r="M61" s="78"/>
      <c r="N61" s="77"/>
      <c r="O61" s="77"/>
      <c r="P61" s="77"/>
      <c r="Q61" s="78"/>
      <c r="R61" s="77"/>
      <c r="S61" s="77"/>
      <c r="T61" s="77"/>
      <c r="U61" s="78"/>
      <c r="V61" s="77"/>
      <c r="W61" s="77"/>
      <c r="X61" s="77"/>
      <c r="Y61" s="78"/>
      <c r="Z61" s="77"/>
      <c r="AA61" s="77"/>
      <c r="AB61" s="77"/>
      <c r="AC61" s="77"/>
      <c r="AD61" s="79" t="str">
        <f t="shared" si="0"/>
        <v/>
      </c>
      <c r="AE61" s="80" t="str">
        <f t="shared" si="1"/>
        <v/>
      </c>
      <c r="AF61" s="81"/>
      <c r="AG61" s="77"/>
      <c r="AH61" s="81"/>
      <c r="AI61" s="77"/>
      <c r="AJ61" s="82" t="str">
        <f t="shared" si="2"/>
        <v/>
      </c>
      <c r="AK61" s="83" t="str">
        <f t="shared" si="3"/>
        <v/>
      </c>
    </row>
    <row r="62" spans="2:37" ht="21" x14ac:dyDescent="0.35">
      <c r="B62" s="77"/>
      <c r="C62" s="77"/>
      <c r="D62" s="77"/>
      <c r="E62" s="77"/>
      <c r="F62" s="77"/>
      <c r="G62" s="77"/>
      <c r="H62" s="77"/>
      <c r="I62" s="78"/>
      <c r="J62" s="77"/>
      <c r="K62" s="77"/>
      <c r="L62" s="77"/>
      <c r="M62" s="78"/>
      <c r="N62" s="77"/>
      <c r="O62" s="77"/>
      <c r="P62" s="77"/>
      <c r="Q62" s="78"/>
      <c r="R62" s="77"/>
      <c r="S62" s="77"/>
      <c r="T62" s="77"/>
      <c r="U62" s="78"/>
      <c r="V62" s="77"/>
      <c r="W62" s="77"/>
      <c r="X62" s="77"/>
      <c r="Y62" s="78"/>
      <c r="Z62" s="77"/>
      <c r="AA62" s="77"/>
      <c r="AB62" s="77"/>
      <c r="AC62" s="77"/>
      <c r="AD62" s="79" t="str">
        <f t="shared" si="0"/>
        <v/>
      </c>
      <c r="AE62" s="80" t="str">
        <f t="shared" si="1"/>
        <v/>
      </c>
      <c r="AF62" s="81"/>
      <c r="AG62" s="77"/>
      <c r="AH62" s="81"/>
      <c r="AI62" s="77"/>
      <c r="AJ62" s="82" t="str">
        <f t="shared" si="2"/>
        <v/>
      </c>
      <c r="AK62" s="83" t="str">
        <f t="shared" si="3"/>
        <v/>
      </c>
    </row>
    <row r="63" spans="2:37" ht="21" x14ac:dyDescent="0.35">
      <c r="B63" s="77"/>
      <c r="C63" s="77"/>
      <c r="D63" s="77"/>
      <c r="E63" s="77"/>
      <c r="F63" s="77"/>
      <c r="G63" s="77"/>
      <c r="H63" s="77"/>
      <c r="I63" s="78"/>
      <c r="J63" s="77"/>
      <c r="K63" s="77"/>
      <c r="L63" s="77"/>
      <c r="M63" s="78"/>
      <c r="N63" s="77"/>
      <c r="O63" s="77"/>
      <c r="P63" s="77"/>
      <c r="Q63" s="78"/>
      <c r="R63" s="77"/>
      <c r="S63" s="77"/>
      <c r="T63" s="77"/>
      <c r="U63" s="78"/>
      <c r="V63" s="77"/>
      <c r="W63" s="77"/>
      <c r="X63" s="77"/>
      <c r="Y63" s="78"/>
      <c r="Z63" s="77"/>
      <c r="AA63" s="77"/>
      <c r="AB63" s="77"/>
      <c r="AC63" s="77"/>
      <c r="AD63" s="79" t="str">
        <f t="shared" si="0"/>
        <v/>
      </c>
      <c r="AE63" s="80" t="str">
        <f t="shared" si="1"/>
        <v/>
      </c>
      <c r="AF63" s="81"/>
      <c r="AG63" s="77"/>
      <c r="AH63" s="81"/>
      <c r="AI63" s="77"/>
      <c r="AJ63" s="82" t="str">
        <f t="shared" si="2"/>
        <v/>
      </c>
      <c r="AK63" s="83" t="str">
        <f t="shared" si="3"/>
        <v/>
      </c>
    </row>
    <row r="64" spans="2:37" ht="21" x14ac:dyDescent="0.35">
      <c r="B64" s="77"/>
      <c r="C64" s="77"/>
      <c r="D64" s="77"/>
      <c r="E64" s="77"/>
      <c r="F64" s="77"/>
      <c r="G64" s="77"/>
      <c r="H64" s="77"/>
      <c r="I64" s="78"/>
      <c r="J64" s="77"/>
      <c r="K64" s="77"/>
      <c r="L64" s="77"/>
      <c r="M64" s="78"/>
      <c r="N64" s="77"/>
      <c r="O64" s="77"/>
      <c r="P64" s="77"/>
      <c r="Q64" s="78"/>
      <c r="R64" s="77"/>
      <c r="S64" s="77"/>
      <c r="T64" s="77"/>
      <c r="U64" s="78"/>
      <c r="V64" s="77"/>
      <c r="W64" s="77"/>
      <c r="X64" s="77"/>
      <c r="Y64" s="78"/>
      <c r="Z64" s="77"/>
      <c r="AA64" s="77"/>
      <c r="AB64" s="77"/>
      <c r="AC64" s="77"/>
      <c r="AD64" s="79" t="str">
        <f t="shared" si="0"/>
        <v/>
      </c>
      <c r="AE64" s="80" t="str">
        <f t="shared" si="1"/>
        <v/>
      </c>
      <c r="AF64" s="81"/>
      <c r="AG64" s="77"/>
      <c r="AH64" s="81"/>
      <c r="AI64" s="77"/>
      <c r="AJ64" s="82" t="str">
        <f t="shared" si="2"/>
        <v/>
      </c>
      <c r="AK64" s="83" t="str">
        <f t="shared" si="3"/>
        <v/>
      </c>
    </row>
    <row r="65" spans="2:37" ht="21" x14ac:dyDescent="0.35">
      <c r="B65" s="77"/>
      <c r="C65" s="77"/>
      <c r="D65" s="77"/>
      <c r="E65" s="77"/>
      <c r="F65" s="77"/>
      <c r="G65" s="77"/>
      <c r="H65" s="77"/>
      <c r="I65" s="78"/>
      <c r="J65" s="77"/>
      <c r="K65" s="77"/>
      <c r="L65" s="77"/>
      <c r="M65" s="78"/>
      <c r="N65" s="77"/>
      <c r="O65" s="77"/>
      <c r="P65" s="77"/>
      <c r="Q65" s="78"/>
      <c r="R65" s="77"/>
      <c r="S65" s="77"/>
      <c r="T65" s="77"/>
      <c r="U65" s="78"/>
      <c r="V65" s="77"/>
      <c r="W65" s="77"/>
      <c r="X65" s="77"/>
      <c r="Y65" s="78"/>
      <c r="Z65" s="77"/>
      <c r="AA65" s="77"/>
      <c r="AB65" s="77"/>
      <c r="AC65" s="77"/>
      <c r="AD65" s="79" t="str">
        <f t="shared" si="0"/>
        <v/>
      </c>
      <c r="AE65" s="80" t="str">
        <f t="shared" si="1"/>
        <v/>
      </c>
      <c r="AF65" s="81"/>
      <c r="AG65" s="77"/>
      <c r="AH65" s="81"/>
      <c r="AI65" s="77"/>
      <c r="AJ65" s="82" t="str">
        <f t="shared" si="2"/>
        <v/>
      </c>
      <c r="AK65" s="83" t="str">
        <f t="shared" si="3"/>
        <v/>
      </c>
    </row>
    <row r="66" spans="2:37" ht="21" x14ac:dyDescent="0.35">
      <c r="B66" s="77"/>
      <c r="C66" s="77"/>
      <c r="D66" s="77"/>
      <c r="E66" s="77"/>
      <c r="F66" s="77"/>
      <c r="G66" s="77"/>
      <c r="H66" s="77"/>
      <c r="I66" s="78"/>
      <c r="J66" s="77"/>
      <c r="K66" s="77"/>
      <c r="L66" s="77"/>
      <c r="M66" s="78"/>
      <c r="N66" s="77"/>
      <c r="O66" s="77"/>
      <c r="P66" s="77"/>
      <c r="Q66" s="78"/>
      <c r="R66" s="77"/>
      <c r="S66" s="77"/>
      <c r="T66" s="77"/>
      <c r="U66" s="78"/>
      <c r="V66" s="77"/>
      <c r="W66" s="77"/>
      <c r="X66" s="77"/>
      <c r="Y66" s="78"/>
      <c r="Z66" s="77"/>
      <c r="AA66" s="77"/>
      <c r="AB66" s="77"/>
      <c r="AC66" s="77"/>
      <c r="AD66" s="79" t="str">
        <f t="shared" si="0"/>
        <v/>
      </c>
      <c r="AE66" s="80" t="str">
        <f t="shared" si="1"/>
        <v/>
      </c>
      <c r="AF66" s="81"/>
      <c r="AG66" s="77"/>
      <c r="AH66" s="81"/>
      <c r="AI66" s="77"/>
      <c r="AJ66" s="82" t="str">
        <f t="shared" si="2"/>
        <v/>
      </c>
      <c r="AK66" s="83" t="str">
        <f t="shared" si="3"/>
        <v/>
      </c>
    </row>
    <row r="67" spans="2:37" ht="21" x14ac:dyDescent="0.35">
      <c r="B67" s="77"/>
      <c r="C67" s="77"/>
      <c r="D67" s="77"/>
      <c r="E67" s="77"/>
      <c r="F67" s="77"/>
      <c r="G67" s="77"/>
      <c r="H67" s="77"/>
      <c r="I67" s="78"/>
      <c r="J67" s="77"/>
      <c r="K67" s="77"/>
      <c r="L67" s="77"/>
      <c r="M67" s="78"/>
      <c r="N67" s="77"/>
      <c r="O67" s="77"/>
      <c r="P67" s="77"/>
      <c r="Q67" s="78"/>
      <c r="R67" s="77"/>
      <c r="S67" s="77"/>
      <c r="T67" s="77"/>
      <c r="U67" s="78"/>
      <c r="V67" s="77"/>
      <c r="W67" s="77"/>
      <c r="X67" s="77"/>
      <c r="Y67" s="78"/>
      <c r="Z67" s="77"/>
      <c r="AA67" s="77"/>
      <c r="AB67" s="77"/>
      <c r="AC67" s="77"/>
      <c r="AD67" s="79" t="str">
        <f t="shared" si="0"/>
        <v/>
      </c>
      <c r="AE67" s="80" t="str">
        <f t="shared" si="1"/>
        <v/>
      </c>
      <c r="AF67" s="81"/>
      <c r="AG67" s="77"/>
      <c r="AH67" s="81"/>
      <c r="AI67" s="77"/>
      <c r="AJ67" s="82" t="str">
        <f t="shared" si="2"/>
        <v/>
      </c>
      <c r="AK67" s="83" t="str">
        <f t="shared" si="3"/>
        <v/>
      </c>
    </row>
    <row r="68" spans="2:37" ht="21" x14ac:dyDescent="0.35">
      <c r="B68" s="77"/>
      <c r="C68" s="77"/>
      <c r="D68" s="77"/>
      <c r="E68" s="77"/>
      <c r="F68" s="77"/>
      <c r="G68" s="77"/>
      <c r="H68" s="77"/>
      <c r="I68" s="78"/>
      <c r="J68" s="77"/>
      <c r="K68" s="77"/>
      <c r="L68" s="77"/>
      <c r="M68" s="78"/>
      <c r="N68" s="77"/>
      <c r="O68" s="77"/>
      <c r="P68" s="77"/>
      <c r="Q68" s="78"/>
      <c r="R68" s="77"/>
      <c r="S68" s="77"/>
      <c r="T68" s="77"/>
      <c r="U68" s="78"/>
      <c r="V68" s="77"/>
      <c r="W68" s="77"/>
      <c r="X68" s="77"/>
      <c r="Y68" s="78"/>
      <c r="Z68" s="77"/>
      <c r="AA68" s="77"/>
      <c r="AB68" s="77"/>
      <c r="AC68" s="77"/>
      <c r="AD68" s="79" t="str">
        <f t="shared" ref="AD68:AD131" si="4">IF(MIN(F68,J68,N68,R68,V68,Z68)&lt;&gt;0,MIN(F68,J68,N68,R68,V68,Z68),"")</f>
        <v/>
      </c>
      <c r="AE68" s="80" t="str">
        <f t="shared" ref="AE68:AE131" si="5">IF(MIN(H68,L68,P68,T68,X68,AB68)&lt;&gt;0,MIN(H68,L68,P68,T68,X68,AB68),"")</f>
        <v/>
      </c>
      <c r="AF68" s="81"/>
      <c r="AG68" s="77"/>
      <c r="AH68" s="81"/>
      <c r="AI68" s="77"/>
      <c r="AJ68" s="82" t="str">
        <f t="shared" ref="AJ68:AJ131" si="6">IF(AD68="","",IF(ISBLANK(AF68),"En cours",AD68+AF68))</f>
        <v/>
      </c>
      <c r="AK68" s="83" t="str">
        <f t="shared" ref="AK68:AK131" si="7">IF(AE68="","",IF(ISBLANK(AH68),"En cours",AE68+AH68))</f>
        <v/>
      </c>
    </row>
    <row r="69" spans="2:37" ht="21" x14ac:dyDescent="0.35">
      <c r="B69" s="77"/>
      <c r="C69" s="77"/>
      <c r="D69" s="77"/>
      <c r="E69" s="77"/>
      <c r="F69" s="77"/>
      <c r="G69" s="77"/>
      <c r="H69" s="77"/>
      <c r="I69" s="78"/>
      <c r="J69" s="77"/>
      <c r="K69" s="77"/>
      <c r="L69" s="77"/>
      <c r="M69" s="78"/>
      <c r="N69" s="77"/>
      <c r="O69" s="77"/>
      <c r="P69" s="77"/>
      <c r="Q69" s="78"/>
      <c r="R69" s="77"/>
      <c r="S69" s="77"/>
      <c r="T69" s="77"/>
      <c r="U69" s="78"/>
      <c r="V69" s="77"/>
      <c r="W69" s="77"/>
      <c r="X69" s="77"/>
      <c r="Y69" s="78"/>
      <c r="Z69" s="77"/>
      <c r="AA69" s="77"/>
      <c r="AB69" s="77"/>
      <c r="AC69" s="77"/>
      <c r="AD69" s="79" t="str">
        <f t="shared" si="4"/>
        <v/>
      </c>
      <c r="AE69" s="80" t="str">
        <f t="shared" si="5"/>
        <v/>
      </c>
      <c r="AF69" s="81"/>
      <c r="AG69" s="77"/>
      <c r="AH69" s="81"/>
      <c r="AI69" s="77"/>
      <c r="AJ69" s="82" t="str">
        <f t="shared" si="6"/>
        <v/>
      </c>
      <c r="AK69" s="83" t="str">
        <f t="shared" si="7"/>
        <v/>
      </c>
    </row>
    <row r="70" spans="2:37" ht="21" x14ac:dyDescent="0.35">
      <c r="B70" s="77"/>
      <c r="C70" s="77"/>
      <c r="D70" s="77"/>
      <c r="E70" s="77"/>
      <c r="F70" s="77"/>
      <c r="G70" s="77"/>
      <c r="H70" s="77"/>
      <c r="I70" s="78"/>
      <c r="J70" s="77"/>
      <c r="K70" s="77"/>
      <c r="L70" s="77"/>
      <c r="M70" s="78"/>
      <c r="N70" s="77"/>
      <c r="O70" s="77"/>
      <c r="P70" s="77"/>
      <c r="Q70" s="78"/>
      <c r="R70" s="77"/>
      <c r="S70" s="77"/>
      <c r="T70" s="77"/>
      <c r="U70" s="78"/>
      <c r="V70" s="77"/>
      <c r="W70" s="77"/>
      <c r="X70" s="77"/>
      <c r="Y70" s="78"/>
      <c r="Z70" s="77"/>
      <c r="AA70" s="77"/>
      <c r="AB70" s="77"/>
      <c r="AC70" s="77"/>
      <c r="AD70" s="79" t="str">
        <f t="shared" si="4"/>
        <v/>
      </c>
      <c r="AE70" s="80" t="str">
        <f t="shared" si="5"/>
        <v/>
      </c>
      <c r="AF70" s="81"/>
      <c r="AG70" s="77"/>
      <c r="AH70" s="81"/>
      <c r="AI70" s="77"/>
      <c r="AJ70" s="82" t="str">
        <f t="shared" si="6"/>
        <v/>
      </c>
      <c r="AK70" s="83" t="str">
        <f t="shared" si="7"/>
        <v/>
      </c>
    </row>
    <row r="71" spans="2:37" ht="21" x14ac:dyDescent="0.35">
      <c r="B71" s="77"/>
      <c r="C71" s="77"/>
      <c r="D71" s="77"/>
      <c r="E71" s="77"/>
      <c r="F71" s="77"/>
      <c r="G71" s="77"/>
      <c r="H71" s="77"/>
      <c r="I71" s="78"/>
      <c r="J71" s="77"/>
      <c r="K71" s="77"/>
      <c r="L71" s="77"/>
      <c r="M71" s="78"/>
      <c r="N71" s="77"/>
      <c r="O71" s="77"/>
      <c r="P71" s="77"/>
      <c r="Q71" s="78"/>
      <c r="R71" s="77"/>
      <c r="S71" s="77"/>
      <c r="T71" s="77"/>
      <c r="U71" s="78"/>
      <c r="V71" s="77"/>
      <c r="W71" s="77"/>
      <c r="X71" s="77"/>
      <c r="Y71" s="78"/>
      <c r="Z71" s="77"/>
      <c r="AA71" s="77"/>
      <c r="AB71" s="77"/>
      <c r="AC71" s="77"/>
      <c r="AD71" s="79" t="str">
        <f t="shared" si="4"/>
        <v/>
      </c>
      <c r="AE71" s="80" t="str">
        <f t="shared" si="5"/>
        <v/>
      </c>
      <c r="AF71" s="81"/>
      <c r="AG71" s="77"/>
      <c r="AH71" s="81"/>
      <c r="AI71" s="77"/>
      <c r="AJ71" s="82" t="str">
        <f t="shared" si="6"/>
        <v/>
      </c>
      <c r="AK71" s="83" t="str">
        <f t="shared" si="7"/>
        <v/>
      </c>
    </row>
    <row r="72" spans="2:37" ht="21" x14ac:dyDescent="0.35">
      <c r="B72" s="77"/>
      <c r="C72" s="77"/>
      <c r="D72" s="77"/>
      <c r="E72" s="77"/>
      <c r="F72" s="77"/>
      <c r="G72" s="77"/>
      <c r="H72" s="77"/>
      <c r="I72" s="78"/>
      <c r="J72" s="77"/>
      <c r="K72" s="77"/>
      <c r="L72" s="77"/>
      <c r="M72" s="78"/>
      <c r="N72" s="77"/>
      <c r="O72" s="77"/>
      <c r="P72" s="77"/>
      <c r="Q72" s="78"/>
      <c r="R72" s="77"/>
      <c r="S72" s="77"/>
      <c r="T72" s="77"/>
      <c r="U72" s="78"/>
      <c r="V72" s="77"/>
      <c r="W72" s="77"/>
      <c r="X72" s="77"/>
      <c r="Y72" s="78"/>
      <c r="Z72" s="77"/>
      <c r="AA72" s="77"/>
      <c r="AB72" s="77"/>
      <c r="AC72" s="77"/>
      <c r="AD72" s="79" t="str">
        <f t="shared" si="4"/>
        <v/>
      </c>
      <c r="AE72" s="80" t="str">
        <f t="shared" si="5"/>
        <v/>
      </c>
      <c r="AF72" s="81"/>
      <c r="AG72" s="77"/>
      <c r="AH72" s="81"/>
      <c r="AI72" s="77"/>
      <c r="AJ72" s="82" t="str">
        <f t="shared" si="6"/>
        <v/>
      </c>
      <c r="AK72" s="83" t="str">
        <f t="shared" si="7"/>
        <v/>
      </c>
    </row>
    <row r="73" spans="2:37" ht="21" x14ac:dyDescent="0.35">
      <c r="B73" s="77"/>
      <c r="C73" s="77"/>
      <c r="D73" s="77"/>
      <c r="E73" s="77"/>
      <c r="F73" s="77"/>
      <c r="G73" s="77"/>
      <c r="H73" s="77"/>
      <c r="I73" s="78"/>
      <c r="J73" s="77"/>
      <c r="K73" s="77"/>
      <c r="L73" s="77"/>
      <c r="M73" s="78"/>
      <c r="N73" s="77"/>
      <c r="O73" s="77"/>
      <c r="P73" s="77"/>
      <c r="Q73" s="78"/>
      <c r="R73" s="77"/>
      <c r="S73" s="77"/>
      <c r="T73" s="77"/>
      <c r="U73" s="78"/>
      <c r="V73" s="77"/>
      <c r="W73" s="77"/>
      <c r="X73" s="77"/>
      <c r="Y73" s="78"/>
      <c r="Z73" s="77"/>
      <c r="AA73" s="77"/>
      <c r="AB73" s="77"/>
      <c r="AC73" s="77"/>
      <c r="AD73" s="79" t="str">
        <f t="shared" si="4"/>
        <v/>
      </c>
      <c r="AE73" s="80" t="str">
        <f t="shared" si="5"/>
        <v/>
      </c>
      <c r="AF73" s="81"/>
      <c r="AG73" s="77"/>
      <c r="AH73" s="81"/>
      <c r="AI73" s="77"/>
      <c r="AJ73" s="82" t="str">
        <f t="shared" si="6"/>
        <v/>
      </c>
      <c r="AK73" s="83" t="str">
        <f t="shared" si="7"/>
        <v/>
      </c>
    </row>
    <row r="74" spans="2:37" ht="21" x14ac:dyDescent="0.35">
      <c r="B74" s="77"/>
      <c r="C74" s="77"/>
      <c r="D74" s="77"/>
      <c r="E74" s="77"/>
      <c r="F74" s="77"/>
      <c r="G74" s="77"/>
      <c r="H74" s="77"/>
      <c r="I74" s="78"/>
      <c r="J74" s="77"/>
      <c r="K74" s="77"/>
      <c r="L74" s="77"/>
      <c r="M74" s="78"/>
      <c r="N74" s="77"/>
      <c r="O74" s="77"/>
      <c r="P74" s="77"/>
      <c r="Q74" s="78"/>
      <c r="R74" s="77"/>
      <c r="S74" s="77"/>
      <c r="T74" s="77"/>
      <c r="U74" s="78"/>
      <c r="V74" s="77"/>
      <c r="W74" s="77"/>
      <c r="X74" s="77"/>
      <c r="Y74" s="78"/>
      <c r="Z74" s="77"/>
      <c r="AA74" s="77"/>
      <c r="AB74" s="77"/>
      <c r="AC74" s="77"/>
      <c r="AD74" s="79" t="str">
        <f t="shared" si="4"/>
        <v/>
      </c>
      <c r="AE74" s="80" t="str">
        <f t="shared" si="5"/>
        <v/>
      </c>
      <c r="AF74" s="81"/>
      <c r="AG74" s="77"/>
      <c r="AH74" s="81"/>
      <c r="AI74" s="77"/>
      <c r="AJ74" s="82" t="str">
        <f t="shared" si="6"/>
        <v/>
      </c>
      <c r="AK74" s="83" t="str">
        <f t="shared" si="7"/>
        <v/>
      </c>
    </row>
    <row r="75" spans="2:37" ht="21" x14ac:dyDescent="0.35">
      <c r="B75" s="77"/>
      <c r="C75" s="77"/>
      <c r="D75" s="77"/>
      <c r="E75" s="77"/>
      <c r="F75" s="77"/>
      <c r="G75" s="77"/>
      <c r="H75" s="77"/>
      <c r="I75" s="78"/>
      <c r="J75" s="77"/>
      <c r="K75" s="77"/>
      <c r="L75" s="77"/>
      <c r="M75" s="78"/>
      <c r="N75" s="77"/>
      <c r="O75" s="77"/>
      <c r="P75" s="77"/>
      <c r="Q75" s="78"/>
      <c r="R75" s="77"/>
      <c r="S75" s="77"/>
      <c r="T75" s="77"/>
      <c r="U75" s="78"/>
      <c r="V75" s="77"/>
      <c r="W75" s="77"/>
      <c r="X75" s="77"/>
      <c r="Y75" s="78"/>
      <c r="Z75" s="77"/>
      <c r="AA75" s="77"/>
      <c r="AB75" s="77"/>
      <c r="AC75" s="77"/>
      <c r="AD75" s="79" t="str">
        <f t="shared" si="4"/>
        <v/>
      </c>
      <c r="AE75" s="80" t="str">
        <f t="shared" si="5"/>
        <v/>
      </c>
      <c r="AF75" s="81"/>
      <c r="AG75" s="77"/>
      <c r="AH75" s="81"/>
      <c r="AI75" s="77"/>
      <c r="AJ75" s="82" t="str">
        <f t="shared" si="6"/>
        <v/>
      </c>
      <c r="AK75" s="83" t="str">
        <f t="shared" si="7"/>
        <v/>
      </c>
    </row>
    <row r="76" spans="2:37" ht="21" x14ac:dyDescent="0.35">
      <c r="B76" s="77"/>
      <c r="C76" s="77"/>
      <c r="D76" s="77"/>
      <c r="E76" s="77"/>
      <c r="F76" s="77"/>
      <c r="G76" s="77"/>
      <c r="H76" s="77"/>
      <c r="I76" s="78"/>
      <c r="J76" s="77"/>
      <c r="K76" s="77"/>
      <c r="L76" s="77"/>
      <c r="M76" s="78"/>
      <c r="N76" s="77"/>
      <c r="O76" s="77"/>
      <c r="P76" s="77"/>
      <c r="Q76" s="78"/>
      <c r="R76" s="77"/>
      <c r="S76" s="77"/>
      <c r="T76" s="77"/>
      <c r="U76" s="78"/>
      <c r="V76" s="77"/>
      <c r="W76" s="77"/>
      <c r="X76" s="77"/>
      <c r="Y76" s="78"/>
      <c r="Z76" s="77"/>
      <c r="AA76" s="77"/>
      <c r="AB76" s="77"/>
      <c r="AC76" s="77"/>
      <c r="AD76" s="79" t="str">
        <f t="shared" si="4"/>
        <v/>
      </c>
      <c r="AE76" s="80" t="str">
        <f t="shared" si="5"/>
        <v/>
      </c>
      <c r="AF76" s="81"/>
      <c r="AG76" s="77"/>
      <c r="AH76" s="81"/>
      <c r="AI76" s="77"/>
      <c r="AJ76" s="82" t="str">
        <f t="shared" si="6"/>
        <v/>
      </c>
      <c r="AK76" s="83" t="str">
        <f t="shared" si="7"/>
        <v/>
      </c>
    </row>
    <row r="77" spans="2:37" ht="21" x14ac:dyDescent="0.35">
      <c r="B77" s="77"/>
      <c r="C77" s="77"/>
      <c r="D77" s="77"/>
      <c r="E77" s="77"/>
      <c r="F77" s="77"/>
      <c r="G77" s="77"/>
      <c r="H77" s="77"/>
      <c r="I77" s="78"/>
      <c r="J77" s="77"/>
      <c r="K77" s="77"/>
      <c r="L77" s="77"/>
      <c r="M77" s="78"/>
      <c r="N77" s="77"/>
      <c r="O77" s="77"/>
      <c r="P77" s="77"/>
      <c r="Q77" s="78"/>
      <c r="R77" s="77"/>
      <c r="S77" s="77"/>
      <c r="T77" s="77"/>
      <c r="U77" s="78"/>
      <c r="V77" s="77"/>
      <c r="W77" s="77"/>
      <c r="X77" s="77"/>
      <c r="Y77" s="78"/>
      <c r="Z77" s="77"/>
      <c r="AA77" s="77"/>
      <c r="AB77" s="77"/>
      <c r="AC77" s="77"/>
      <c r="AD77" s="79" t="str">
        <f t="shared" si="4"/>
        <v/>
      </c>
      <c r="AE77" s="80" t="str">
        <f t="shared" si="5"/>
        <v/>
      </c>
      <c r="AF77" s="81"/>
      <c r="AG77" s="77"/>
      <c r="AH77" s="81"/>
      <c r="AI77" s="77"/>
      <c r="AJ77" s="82" t="str">
        <f t="shared" si="6"/>
        <v/>
      </c>
      <c r="AK77" s="83" t="str">
        <f t="shared" si="7"/>
        <v/>
      </c>
    </row>
    <row r="78" spans="2:37" ht="21" x14ac:dyDescent="0.35">
      <c r="B78" s="77"/>
      <c r="C78" s="77"/>
      <c r="D78" s="77"/>
      <c r="E78" s="77"/>
      <c r="F78" s="77"/>
      <c r="G78" s="77"/>
      <c r="H78" s="77"/>
      <c r="I78" s="78"/>
      <c r="J78" s="77"/>
      <c r="K78" s="77"/>
      <c r="L78" s="77"/>
      <c r="M78" s="78"/>
      <c r="N78" s="77"/>
      <c r="O78" s="77"/>
      <c r="P78" s="77"/>
      <c r="Q78" s="78"/>
      <c r="R78" s="77"/>
      <c r="S78" s="77"/>
      <c r="T78" s="77"/>
      <c r="U78" s="78"/>
      <c r="V78" s="77"/>
      <c r="W78" s="77"/>
      <c r="X78" s="77"/>
      <c r="Y78" s="78"/>
      <c r="Z78" s="77"/>
      <c r="AA78" s="77"/>
      <c r="AB78" s="77"/>
      <c r="AC78" s="77"/>
      <c r="AD78" s="79" t="str">
        <f t="shared" si="4"/>
        <v/>
      </c>
      <c r="AE78" s="80" t="str">
        <f t="shared" si="5"/>
        <v/>
      </c>
      <c r="AF78" s="81"/>
      <c r="AG78" s="77"/>
      <c r="AH78" s="81"/>
      <c r="AI78" s="77"/>
      <c r="AJ78" s="82" t="str">
        <f t="shared" si="6"/>
        <v/>
      </c>
      <c r="AK78" s="83" t="str">
        <f t="shared" si="7"/>
        <v/>
      </c>
    </row>
    <row r="79" spans="2:37" ht="21" x14ac:dyDescent="0.35">
      <c r="B79" s="77"/>
      <c r="C79" s="77"/>
      <c r="D79" s="77"/>
      <c r="E79" s="77"/>
      <c r="F79" s="77"/>
      <c r="G79" s="77"/>
      <c r="H79" s="77"/>
      <c r="I79" s="78"/>
      <c r="J79" s="77"/>
      <c r="K79" s="77"/>
      <c r="L79" s="77"/>
      <c r="M79" s="78"/>
      <c r="N79" s="77"/>
      <c r="O79" s="77"/>
      <c r="P79" s="77"/>
      <c r="Q79" s="78"/>
      <c r="R79" s="77"/>
      <c r="S79" s="77"/>
      <c r="T79" s="77"/>
      <c r="U79" s="78"/>
      <c r="V79" s="77"/>
      <c r="W79" s="77"/>
      <c r="X79" s="77"/>
      <c r="Y79" s="78"/>
      <c r="Z79" s="77"/>
      <c r="AA79" s="77"/>
      <c r="AB79" s="77"/>
      <c r="AC79" s="77"/>
      <c r="AD79" s="79" t="str">
        <f t="shared" si="4"/>
        <v/>
      </c>
      <c r="AE79" s="80" t="str">
        <f t="shared" si="5"/>
        <v/>
      </c>
      <c r="AF79" s="81"/>
      <c r="AG79" s="77"/>
      <c r="AH79" s="81"/>
      <c r="AI79" s="77"/>
      <c r="AJ79" s="82" t="str">
        <f t="shared" si="6"/>
        <v/>
      </c>
      <c r="AK79" s="83" t="str">
        <f t="shared" si="7"/>
        <v/>
      </c>
    </row>
    <row r="80" spans="2:37" ht="21" x14ac:dyDescent="0.35">
      <c r="B80" s="77"/>
      <c r="C80" s="77"/>
      <c r="D80" s="77"/>
      <c r="E80" s="77"/>
      <c r="F80" s="77"/>
      <c r="G80" s="77"/>
      <c r="H80" s="77"/>
      <c r="I80" s="78"/>
      <c r="J80" s="77"/>
      <c r="K80" s="77"/>
      <c r="L80" s="77"/>
      <c r="M80" s="78"/>
      <c r="N80" s="77"/>
      <c r="O80" s="77"/>
      <c r="P80" s="77"/>
      <c r="Q80" s="78"/>
      <c r="R80" s="77"/>
      <c r="S80" s="77"/>
      <c r="T80" s="77"/>
      <c r="U80" s="78"/>
      <c r="V80" s="77"/>
      <c r="W80" s="77"/>
      <c r="X80" s="77"/>
      <c r="Y80" s="78"/>
      <c r="Z80" s="77"/>
      <c r="AA80" s="77"/>
      <c r="AB80" s="77"/>
      <c r="AC80" s="77"/>
      <c r="AD80" s="79" t="str">
        <f t="shared" si="4"/>
        <v/>
      </c>
      <c r="AE80" s="80" t="str">
        <f t="shared" si="5"/>
        <v/>
      </c>
      <c r="AF80" s="81"/>
      <c r="AG80" s="77"/>
      <c r="AH80" s="81"/>
      <c r="AI80" s="77"/>
      <c r="AJ80" s="82" t="str">
        <f t="shared" si="6"/>
        <v/>
      </c>
      <c r="AK80" s="83" t="str">
        <f t="shared" si="7"/>
        <v/>
      </c>
    </row>
    <row r="81" spans="2:37" ht="21" x14ac:dyDescent="0.35">
      <c r="B81" s="77"/>
      <c r="C81" s="77"/>
      <c r="D81" s="77"/>
      <c r="E81" s="77"/>
      <c r="F81" s="77"/>
      <c r="G81" s="77"/>
      <c r="H81" s="77"/>
      <c r="I81" s="78"/>
      <c r="J81" s="77"/>
      <c r="K81" s="77"/>
      <c r="L81" s="77"/>
      <c r="M81" s="78"/>
      <c r="N81" s="77"/>
      <c r="O81" s="77"/>
      <c r="P81" s="77"/>
      <c r="Q81" s="78"/>
      <c r="R81" s="77"/>
      <c r="S81" s="77"/>
      <c r="T81" s="77"/>
      <c r="U81" s="78"/>
      <c r="V81" s="77"/>
      <c r="W81" s="77"/>
      <c r="X81" s="77"/>
      <c r="Y81" s="78"/>
      <c r="Z81" s="77"/>
      <c r="AA81" s="77"/>
      <c r="AB81" s="77"/>
      <c r="AC81" s="77"/>
      <c r="AD81" s="79" t="str">
        <f t="shared" si="4"/>
        <v/>
      </c>
      <c r="AE81" s="80" t="str">
        <f t="shared" si="5"/>
        <v/>
      </c>
      <c r="AF81" s="81"/>
      <c r="AG81" s="77"/>
      <c r="AH81" s="81"/>
      <c r="AI81" s="77"/>
      <c r="AJ81" s="82" t="str">
        <f t="shared" si="6"/>
        <v/>
      </c>
      <c r="AK81" s="83" t="str">
        <f t="shared" si="7"/>
        <v/>
      </c>
    </row>
    <row r="82" spans="2:37" ht="21" x14ac:dyDescent="0.35">
      <c r="B82" s="77"/>
      <c r="C82" s="77"/>
      <c r="D82" s="77"/>
      <c r="E82" s="77"/>
      <c r="F82" s="77"/>
      <c r="G82" s="77"/>
      <c r="H82" s="77"/>
      <c r="I82" s="78"/>
      <c r="J82" s="77"/>
      <c r="K82" s="77"/>
      <c r="L82" s="77"/>
      <c r="M82" s="78"/>
      <c r="N82" s="77"/>
      <c r="O82" s="77"/>
      <c r="P82" s="77"/>
      <c r="Q82" s="78"/>
      <c r="R82" s="77"/>
      <c r="S82" s="77"/>
      <c r="T82" s="77"/>
      <c r="U82" s="78"/>
      <c r="V82" s="77"/>
      <c r="W82" s="77"/>
      <c r="X82" s="77"/>
      <c r="Y82" s="78"/>
      <c r="Z82" s="77"/>
      <c r="AA82" s="77"/>
      <c r="AB82" s="77"/>
      <c r="AC82" s="77"/>
      <c r="AD82" s="79" t="str">
        <f t="shared" si="4"/>
        <v/>
      </c>
      <c r="AE82" s="80" t="str">
        <f t="shared" si="5"/>
        <v/>
      </c>
      <c r="AF82" s="81"/>
      <c r="AG82" s="77"/>
      <c r="AH82" s="81"/>
      <c r="AI82" s="77"/>
      <c r="AJ82" s="82" t="str">
        <f t="shared" si="6"/>
        <v/>
      </c>
      <c r="AK82" s="83" t="str">
        <f t="shared" si="7"/>
        <v/>
      </c>
    </row>
    <row r="83" spans="2:37" ht="21" x14ac:dyDescent="0.35">
      <c r="B83" s="77"/>
      <c r="C83" s="77"/>
      <c r="D83" s="77"/>
      <c r="E83" s="77"/>
      <c r="F83" s="77"/>
      <c r="G83" s="77"/>
      <c r="H83" s="77"/>
      <c r="I83" s="78"/>
      <c r="J83" s="77"/>
      <c r="K83" s="77"/>
      <c r="L83" s="77"/>
      <c r="M83" s="78"/>
      <c r="N83" s="77"/>
      <c r="O83" s="77"/>
      <c r="P83" s="77"/>
      <c r="Q83" s="78"/>
      <c r="R83" s="77"/>
      <c r="S83" s="77"/>
      <c r="T83" s="77"/>
      <c r="U83" s="78"/>
      <c r="V83" s="77"/>
      <c r="W83" s="77"/>
      <c r="X83" s="77"/>
      <c r="Y83" s="78"/>
      <c r="Z83" s="77"/>
      <c r="AA83" s="77"/>
      <c r="AB83" s="77"/>
      <c r="AC83" s="77"/>
      <c r="AD83" s="79" t="str">
        <f t="shared" si="4"/>
        <v/>
      </c>
      <c r="AE83" s="80" t="str">
        <f t="shared" si="5"/>
        <v/>
      </c>
      <c r="AF83" s="81"/>
      <c r="AG83" s="77"/>
      <c r="AH83" s="81"/>
      <c r="AI83" s="77"/>
      <c r="AJ83" s="82" t="str">
        <f t="shared" si="6"/>
        <v/>
      </c>
      <c r="AK83" s="83" t="str">
        <f t="shared" si="7"/>
        <v/>
      </c>
    </row>
    <row r="84" spans="2:37" ht="21" x14ac:dyDescent="0.35">
      <c r="B84" s="77"/>
      <c r="C84" s="77"/>
      <c r="D84" s="77"/>
      <c r="E84" s="77"/>
      <c r="F84" s="77"/>
      <c r="G84" s="77"/>
      <c r="H84" s="77"/>
      <c r="I84" s="78"/>
      <c r="J84" s="77"/>
      <c r="K84" s="77"/>
      <c r="L84" s="77"/>
      <c r="M84" s="78"/>
      <c r="N84" s="77"/>
      <c r="O84" s="77"/>
      <c r="P84" s="77"/>
      <c r="Q84" s="78"/>
      <c r="R84" s="77"/>
      <c r="S84" s="77"/>
      <c r="T84" s="77"/>
      <c r="U84" s="78"/>
      <c r="V84" s="77"/>
      <c r="W84" s="77"/>
      <c r="X84" s="77"/>
      <c r="Y84" s="78"/>
      <c r="Z84" s="77"/>
      <c r="AA84" s="77"/>
      <c r="AB84" s="77"/>
      <c r="AC84" s="77"/>
      <c r="AD84" s="79" t="str">
        <f t="shared" si="4"/>
        <v/>
      </c>
      <c r="AE84" s="80" t="str">
        <f t="shared" si="5"/>
        <v/>
      </c>
      <c r="AF84" s="81"/>
      <c r="AG84" s="77"/>
      <c r="AH84" s="81"/>
      <c r="AI84" s="77"/>
      <c r="AJ84" s="82" t="str">
        <f t="shared" si="6"/>
        <v/>
      </c>
      <c r="AK84" s="83" t="str">
        <f t="shared" si="7"/>
        <v/>
      </c>
    </row>
    <row r="85" spans="2:37" ht="21" x14ac:dyDescent="0.35">
      <c r="B85" s="77"/>
      <c r="C85" s="77"/>
      <c r="D85" s="77"/>
      <c r="E85" s="77"/>
      <c r="F85" s="77"/>
      <c r="G85" s="77"/>
      <c r="H85" s="77"/>
      <c r="I85" s="78"/>
      <c r="J85" s="77"/>
      <c r="K85" s="77"/>
      <c r="L85" s="77"/>
      <c r="M85" s="78"/>
      <c r="N85" s="77"/>
      <c r="O85" s="77"/>
      <c r="P85" s="77"/>
      <c r="Q85" s="78"/>
      <c r="R85" s="77"/>
      <c r="S85" s="77"/>
      <c r="T85" s="77"/>
      <c r="U85" s="78"/>
      <c r="V85" s="77"/>
      <c r="W85" s="77"/>
      <c r="X85" s="77"/>
      <c r="Y85" s="78"/>
      <c r="Z85" s="77"/>
      <c r="AA85" s="77"/>
      <c r="AB85" s="77"/>
      <c r="AC85" s="77"/>
      <c r="AD85" s="79" t="str">
        <f t="shared" si="4"/>
        <v/>
      </c>
      <c r="AE85" s="80" t="str">
        <f t="shared" si="5"/>
        <v/>
      </c>
      <c r="AF85" s="81"/>
      <c r="AG85" s="77"/>
      <c r="AH85" s="81"/>
      <c r="AI85" s="77"/>
      <c r="AJ85" s="82" t="str">
        <f t="shared" si="6"/>
        <v/>
      </c>
      <c r="AK85" s="83" t="str">
        <f t="shared" si="7"/>
        <v/>
      </c>
    </row>
    <row r="86" spans="2:37" ht="21" x14ac:dyDescent="0.35">
      <c r="B86" s="77"/>
      <c r="C86" s="77"/>
      <c r="D86" s="77"/>
      <c r="E86" s="77"/>
      <c r="F86" s="77"/>
      <c r="G86" s="77"/>
      <c r="H86" s="77"/>
      <c r="I86" s="78"/>
      <c r="J86" s="77"/>
      <c r="K86" s="77"/>
      <c r="L86" s="77"/>
      <c r="M86" s="78"/>
      <c r="N86" s="77"/>
      <c r="O86" s="77"/>
      <c r="P86" s="77"/>
      <c r="Q86" s="78"/>
      <c r="R86" s="77"/>
      <c r="S86" s="77"/>
      <c r="T86" s="77"/>
      <c r="U86" s="78"/>
      <c r="V86" s="77"/>
      <c r="W86" s="77"/>
      <c r="X86" s="77"/>
      <c r="Y86" s="78"/>
      <c r="Z86" s="77"/>
      <c r="AA86" s="77"/>
      <c r="AB86" s="77"/>
      <c r="AC86" s="77"/>
      <c r="AD86" s="79" t="str">
        <f t="shared" si="4"/>
        <v/>
      </c>
      <c r="AE86" s="80" t="str">
        <f t="shared" si="5"/>
        <v/>
      </c>
      <c r="AF86" s="81"/>
      <c r="AG86" s="77"/>
      <c r="AH86" s="81"/>
      <c r="AI86" s="77"/>
      <c r="AJ86" s="82" t="str">
        <f t="shared" si="6"/>
        <v/>
      </c>
      <c r="AK86" s="83" t="str">
        <f t="shared" si="7"/>
        <v/>
      </c>
    </row>
    <row r="87" spans="2:37" ht="21" x14ac:dyDescent="0.35">
      <c r="B87" s="77"/>
      <c r="C87" s="77"/>
      <c r="D87" s="77"/>
      <c r="E87" s="77"/>
      <c r="F87" s="77"/>
      <c r="G87" s="77"/>
      <c r="H87" s="77"/>
      <c r="I87" s="78"/>
      <c r="J87" s="77"/>
      <c r="K87" s="77"/>
      <c r="L87" s="77"/>
      <c r="M87" s="78"/>
      <c r="N87" s="77"/>
      <c r="O87" s="77"/>
      <c r="P87" s="77"/>
      <c r="Q87" s="78"/>
      <c r="R87" s="77"/>
      <c r="S87" s="77"/>
      <c r="T87" s="77"/>
      <c r="U87" s="78"/>
      <c r="V87" s="77"/>
      <c r="W87" s="77"/>
      <c r="X87" s="77"/>
      <c r="Y87" s="78"/>
      <c r="Z87" s="77"/>
      <c r="AA87" s="77"/>
      <c r="AB87" s="77"/>
      <c r="AC87" s="77"/>
      <c r="AD87" s="79" t="str">
        <f t="shared" si="4"/>
        <v/>
      </c>
      <c r="AE87" s="80" t="str">
        <f t="shared" si="5"/>
        <v/>
      </c>
      <c r="AF87" s="81"/>
      <c r="AG87" s="77"/>
      <c r="AH87" s="81"/>
      <c r="AI87" s="77"/>
      <c r="AJ87" s="82" t="str">
        <f t="shared" si="6"/>
        <v/>
      </c>
      <c r="AK87" s="83" t="str">
        <f t="shared" si="7"/>
        <v/>
      </c>
    </row>
    <row r="88" spans="2:37" ht="21" x14ac:dyDescent="0.35">
      <c r="B88" s="77"/>
      <c r="C88" s="77"/>
      <c r="D88" s="77"/>
      <c r="E88" s="77"/>
      <c r="F88" s="77"/>
      <c r="G88" s="77"/>
      <c r="H88" s="77"/>
      <c r="I88" s="78"/>
      <c r="J88" s="77"/>
      <c r="K88" s="77"/>
      <c r="L88" s="77"/>
      <c r="M88" s="78"/>
      <c r="N88" s="77"/>
      <c r="O88" s="77"/>
      <c r="P88" s="77"/>
      <c r="Q88" s="78"/>
      <c r="R88" s="77"/>
      <c r="S88" s="77"/>
      <c r="T88" s="77"/>
      <c r="U88" s="78"/>
      <c r="V88" s="77"/>
      <c r="W88" s="77"/>
      <c r="X88" s="77"/>
      <c r="Y88" s="78"/>
      <c r="Z88" s="77"/>
      <c r="AA88" s="77"/>
      <c r="AB88" s="77"/>
      <c r="AC88" s="77"/>
      <c r="AD88" s="79" t="str">
        <f t="shared" si="4"/>
        <v/>
      </c>
      <c r="AE88" s="80" t="str">
        <f t="shared" si="5"/>
        <v/>
      </c>
      <c r="AF88" s="81"/>
      <c r="AG88" s="77"/>
      <c r="AH88" s="81"/>
      <c r="AI88" s="77"/>
      <c r="AJ88" s="82" t="str">
        <f t="shared" si="6"/>
        <v/>
      </c>
      <c r="AK88" s="83" t="str">
        <f t="shared" si="7"/>
        <v/>
      </c>
    </row>
    <row r="89" spans="2:37" ht="21" x14ac:dyDescent="0.35">
      <c r="B89" s="77"/>
      <c r="C89" s="77"/>
      <c r="D89" s="77"/>
      <c r="E89" s="77"/>
      <c r="F89" s="77"/>
      <c r="G89" s="77"/>
      <c r="H89" s="77"/>
      <c r="I89" s="78"/>
      <c r="J89" s="77"/>
      <c r="K89" s="77"/>
      <c r="L89" s="77"/>
      <c r="M89" s="78"/>
      <c r="N89" s="77"/>
      <c r="O89" s="77"/>
      <c r="P89" s="77"/>
      <c r="Q89" s="78"/>
      <c r="R89" s="77"/>
      <c r="S89" s="77"/>
      <c r="T89" s="77"/>
      <c r="U89" s="78"/>
      <c r="V89" s="77"/>
      <c r="W89" s="77"/>
      <c r="X89" s="77"/>
      <c r="Y89" s="78"/>
      <c r="Z89" s="77"/>
      <c r="AA89" s="77"/>
      <c r="AB89" s="77"/>
      <c r="AC89" s="77"/>
      <c r="AD89" s="79" t="str">
        <f t="shared" si="4"/>
        <v/>
      </c>
      <c r="AE89" s="80" t="str">
        <f t="shared" si="5"/>
        <v/>
      </c>
      <c r="AF89" s="81"/>
      <c r="AG89" s="77"/>
      <c r="AH89" s="81"/>
      <c r="AI89" s="77"/>
      <c r="AJ89" s="82" t="str">
        <f t="shared" si="6"/>
        <v/>
      </c>
      <c r="AK89" s="83" t="str">
        <f t="shared" si="7"/>
        <v/>
      </c>
    </row>
    <row r="90" spans="2:37" ht="21" x14ac:dyDescent="0.35">
      <c r="B90" s="77"/>
      <c r="C90" s="77"/>
      <c r="D90" s="77"/>
      <c r="E90" s="77"/>
      <c r="F90" s="77"/>
      <c r="G90" s="77"/>
      <c r="H90" s="77"/>
      <c r="I90" s="78"/>
      <c r="J90" s="77"/>
      <c r="K90" s="77"/>
      <c r="L90" s="77"/>
      <c r="M90" s="78"/>
      <c r="N90" s="77"/>
      <c r="O90" s="77"/>
      <c r="P90" s="77"/>
      <c r="Q90" s="78"/>
      <c r="R90" s="77"/>
      <c r="S90" s="77"/>
      <c r="T90" s="77"/>
      <c r="U90" s="78"/>
      <c r="V90" s="77"/>
      <c r="W90" s="77"/>
      <c r="X90" s="77"/>
      <c r="Y90" s="78"/>
      <c r="Z90" s="77"/>
      <c r="AA90" s="77"/>
      <c r="AB90" s="77"/>
      <c r="AC90" s="77"/>
      <c r="AD90" s="79" t="str">
        <f t="shared" si="4"/>
        <v/>
      </c>
      <c r="AE90" s="80" t="str">
        <f t="shared" si="5"/>
        <v/>
      </c>
      <c r="AF90" s="81"/>
      <c r="AG90" s="77"/>
      <c r="AH90" s="81"/>
      <c r="AI90" s="77"/>
      <c r="AJ90" s="82" t="str">
        <f t="shared" si="6"/>
        <v/>
      </c>
      <c r="AK90" s="83" t="str">
        <f t="shared" si="7"/>
        <v/>
      </c>
    </row>
    <row r="91" spans="2:37" ht="21" x14ac:dyDescent="0.35">
      <c r="B91" s="77"/>
      <c r="C91" s="77"/>
      <c r="D91" s="77"/>
      <c r="E91" s="77"/>
      <c r="F91" s="77"/>
      <c r="G91" s="77"/>
      <c r="H91" s="77"/>
      <c r="I91" s="78"/>
      <c r="J91" s="77"/>
      <c r="K91" s="77"/>
      <c r="L91" s="77"/>
      <c r="M91" s="78"/>
      <c r="N91" s="77"/>
      <c r="O91" s="77"/>
      <c r="P91" s="77"/>
      <c r="Q91" s="78"/>
      <c r="R91" s="77"/>
      <c r="S91" s="77"/>
      <c r="T91" s="77"/>
      <c r="U91" s="78"/>
      <c r="V91" s="77"/>
      <c r="W91" s="77"/>
      <c r="X91" s="77"/>
      <c r="Y91" s="78"/>
      <c r="Z91" s="77"/>
      <c r="AA91" s="77"/>
      <c r="AB91" s="77"/>
      <c r="AC91" s="77"/>
      <c r="AD91" s="79" t="str">
        <f t="shared" si="4"/>
        <v/>
      </c>
      <c r="AE91" s="80" t="str">
        <f t="shared" si="5"/>
        <v/>
      </c>
      <c r="AF91" s="81"/>
      <c r="AG91" s="77"/>
      <c r="AH91" s="81"/>
      <c r="AI91" s="77"/>
      <c r="AJ91" s="82" t="str">
        <f t="shared" si="6"/>
        <v/>
      </c>
      <c r="AK91" s="83" t="str">
        <f t="shared" si="7"/>
        <v/>
      </c>
    </row>
    <row r="92" spans="2:37" ht="21" x14ac:dyDescent="0.35">
      <c r="B92" s="77"/>
      <c r="C92" s="77"/>
      <c r="D92" s="77"/>
      <c r="E92" s="77"/>
      <c r="F92" s="77"/>
      <c r="G92" s="77"/>
      <c r="H92" s="77"/>
      <c r="I92" s="78"/>
      <c r="J92" s="77"/>
      <c r="K92" s="77"/>
      <c r="L92" s="77"/>
      <c r="M92" s="78"/>
      <c r="N92" s="77"/>
      <c r="O92" s="77"/>
      <c r="P92" s="77"/>
      <c r="Q92" s="78"/>
      <c r="R92" s="77"/>
      <c r="S92" s="77"/>
      <c r="T92" s="77"/>
      <c r="U92" s="78"/>
      <c r="V92" s="77"/>
      <c r="W92" s="77"/>
      <c r="X92" s="77"/>
      <c r="Y92" s="78"/>
      <c r="Z92" s="77"/>
      <c r="AA92" s="77"/>
      <c r="AB92" s="77"/>
      <c r="AC92" s="77"/>
      <c r="AD92" s="79" t="str">
        <f t="shared" si="4"/>
        <v/>
      </c>
      <c r="AE92" s="80" t="str">
        <f t="shared" si="5"/>
        <v/>
      </c>
      <c r="AF92" s="81"/>
      <c r="AG92" s="77"/>
      <c r="AH92" s="81"/>
      <c r="AI92" s="77"/>
      <c r="AJ92" s="82" t="str">
        <f t="shared" si="6"/>
        <v/>
      </c>
      <c r="AK92" s="83" t="str">
        <f t="shared" si="7"/>
        <v/>
      </c>
    </row>
    <row r="93" spans="2:37" ht="21" x14ac:dyDescent="0.35">
      <c r="B93" s="77"/>
      <c r="C93" s="77"/>
      <c r="D93" s="77"/>
      <c r="E93" s="77"/>
      <c r="F93" s="77"/>
      <c r="G93" s="77"/>
      <c r="H93" s="77"/>
      <c r="I93" s="78"/>
      <c r="J93" s="77"/>
      <c r="K93" s="77"/>
      <c r="L93" s="77"/>
      <c r="M93" s="78"/>
      <c r="N93" s="77"/>
      <c r="O93" s="77"/>
      <c r="P93" s="77"/>
      <c r="Q93" s="78"/>
      <c r="R93" s="77"/>
      <c r="S93" s="77"/>
      <c r="T93" s="77"/>
      <c r="U93" s="78"/>
      <c r="V93" s="77"/>
      <c r="W93" s="77"/>
      <c r="X93" s="77"/>
      <c r="Y93" s="78"/>
      <c r="Z93" s="77"/>
      <c r="AA93" s="77"/>
      <c r="AB93" s="77"/>
      <c r="AC93" s="77"/>
      <c r="AD93" s="79" t="str">
        <f t="shared" si="4"/>
        <v/>
      </c>
      <c r="AE93" s="80" t="str">
        <f t="shared" si="5"/>
        <v/>
      </c>
      <c r="AF93" s="81"/>
      <c r="AG93" s="77"/>
      <c r="AH93" s="81"/>
      <c r="AI93" s="77"/>
      <c r="AJ93" s="82" t="str">
        <f t="shared" si="6"/>
        <v/>
      </c>
      <c r="AK93" s="83" t="str">
        <f t="shared" si="7"/>
        <v/>
      </c>
    </row>
    <row r="94" spans="2:37" ht="21" x14ac:dyDescent="0.35">
      <c r="B94" s="77"/>
      <c r="C94" s="77"/>
      <c r="D94" s="77"/>
      <c r="E94" s="77"/>
      <c r="F94" s="77"/>
      <c r="G94" s="77"/>
      <c r="H94" s="77"/>
      <c r="I94" s="78"/>
      <c r="J94" s="77"/>
      <c r="K94" s="77"/>
      <c r="L94" s="77"/>
      <c r="M94" s="78"/>
      <c r="N94" s="77"/>
      <c r="O94" s="77"/>
      <c r="P94" s="77"/>
      <c r="Q94" s="78"/>
      <c r="R94" s="77"/>
      <c r="S94" s="77"/>
      <c r="T94" s="77"/>
      <c r="U94" s="78"/>
      <c r="V94" s="77"/>
      <c r="W94" s="77"/>
      <c r="X94" s="77"/>
      <c r="Y94" s="78"/>
      <c r="Z94" s="77"/>
      <c r="AA94" s="77"/>
      <c r="AB94" s="77"/>
      <c r="AC94" s="77"/>
      <c r="AD94" s="79" t="str">
        <f t="shared" si="4"/>
        <v/>
      </c>
      <c r="AE94" s="80" t="str">
        <f t="shared" si="5"/>
        <v/>
      </c>
      <c r="AF94" s="81"/>
      <c r="AG94" s="77"/>
      <c r="AH94" s="81"/>
      <c r="AI94" s="77"/>
      <c r="AJ94" s="82" t="str">
        <f t="shared" si="6"/>
        <v/>
      </c>
      <c r="AK94" s="83" t="str">
        <f t="shared" si="7"/>
        <v/>
      </c>
    </row>
    <row r="95" spans="2:37" ht="21" x14ac:dyDescent="0.35">
      <c r="B95" s="77"/>
      <c r="C95" s="77"/>
      <c r="D95" s="77"/>
      <c r="E95" s="77"/>
      <c r="F95" s="77"/>
      <c r="G95" s="77"/>
      <c r="H95" s="77"/>
      <c r="I95" s="78"/>
      <c r="J95" s="77"/>
      <c r="K95" s="77"/>
      <c r="L95" s="77"/>
      <c r="M95" s="78"/>
      <c r="N95" s="77"/>
      <c r="O95" s="77"/>
      <c r="P95" s="77"/>
      <c r="Q95" s="78"/>
      <c r="R95" s="77"/>
      <c r="S95" s="77"/>
      <c r="T95" s="77"/>
      <c r="U95" s="78"/>
      <c r="V95" s="77"/>
      <c r="W95" s="77"/>
      <c r="X95" s="77"/>
      <c r="Y95" s="78"/>
      <c r="Z95" s="77"/>
      <c r="AA95" s="77"/>
      <c r="AB95" s="77"/>
      <c r="AC95" s="77"/>
      <c r="AD95" s="79" t="str">
        <f t="shared" si="4"/>
        <v/>
      </c>
      <c r="AE95" s="80" t="str">
        <f t="shared" si="5"/>
        <v/>
      </c>
      <c r="AF95" s="81"/>
      <c r="AG95" s="77"/>
      <c r="AH95" s="81"/>
      <c r="AI95" s="77"/>
      <c r="AJ95" s="82" t="str">
        <f t="shared" si="6"/>
        <v/>
      </c>
      <c r="AK95" s="83" t="str">
        <f t="shared" si="7"/>
        <v/>
      </c>
    </row>
    <row r="96" spans="2:37" ht="21" x14ac:dyDescent="0.35">
      <c r="B96" s="77"/>
      <c r="C96" s="77"/>
      <c r="D96" s="77"/>
      <c r="E96" s="77"/>
      <c r="F96" s="77"/>
      <c r="G96" s="77"/>
      <c r="H96" s="77"/>
      <c r="I96" s="78"/>
      <c r="J96" s="77"/>
      <c r="K96" s="77"/>
      <c r="L96" s="77"/>
      <c r="M96" s="78"/>
      <c r="N96" s="77"/>
      <c r="O96" s="77"/>
      <c r="P96" s="77"/>
      <c r="Q96" s="78"/>
      <c r="R96" s="77"/>
      <c r="S96" s="77"/>
      <c r="T96" s="77"/>
      <c r="U96" s="78"/>
      <c r="V96" s="77"/>
      <c r="W96" s="77"/>
      <c r="X96" s="77"/>
      <c r="Y96" s="78"/>
      <c r="Z96" s="77"/>
      <c r="AA96" s="77"/>
      <c r="AB96" s="77"/>
      <c r="AC96" s="77"/>
      <c r="AD96" s="79" t="str">
        <f t="shared" si="4"/>
        <v/>
      </c>
      <c r="AE96" s="80" t="str">
        <f t="shared" si="5"/>
        <v/>
      </c>
      <c r="AF96" s="81"/>
      <c r="AG96" s="77"/>
      <c r="AH96" s="81"/>
      <c r="AI96" s="77"/>
      <c r="AJ96" s="82" t="str">
        <f t="shared" si="6"/>
        <v/>
      </c>
      <c r="AK96" s="83" t="str">
        <f t="shared" si="7"/>
        <v/>
      </c>
    </row>
    <row r="97" spans="2:37" ht="21" x14ac:dyDescent="0.35">
      <c r="B97" s="77"/>
      <c r="C97" s="77"/>
      <c r="D97" s="77"/>
      <c r="E97" s="77"/>
      <c r="F97" s="77"/>
      <c r="G97" s="77"/>
      <c r="H97" s="77"/>
      <c r="I97" s="78"/>
      <c r="J97" s="77"/>
      <c r="K97" s="77"/>
      <c r="L97" s="77"/>
      <c r="M97" s="78"/>
      <c r="N97" s="77"/>
      <c r="O97" s="77"/>
      <c r="P97" s="77"/>
      <c r="Q97" s="78"/>
      <c r="R97" s="77"/>
      <c r="S97" s="77"/>
      <c r="T97" s="77"/>
      <c r="U97" s="78"/>
      <c r="V97" s="77"/>
      <c r="W97" s="77"/>
      <c r="X97" s="77"/>
      <c r="Y97" s="78"/>
      <c r="Z97" s="77"/>
      <c r="AA97" s="77"/>
      <c r="AB97" s="77"/>
      <c r="AC97" s="77"/>
      <c r="AD97" s="79" t="str">
        <f t="shared" si="4"/>
        <v/>
      </c>
      <c r="AE97" s="80" t="str">
        <f t="shared" si="5"/>
        <v/>
      </c>
      <c r="AF97" s="81"/>
      <c r="AG97" s="77"/>
      <c r="AH97" s="81"/>
      <c r="AI97" s="77"/>
      <c r="AJ97" s="82" t="str">
        <f t="shared" si="6"/>
        <v/>
      </c>
      <c r="AK97" s="83" t="str">
        <f t="shared" si="7"/>
        <v/>
      </c>
    </row>
    <row r="98" spans="2:37" ht="21" x14ac:dyDescent="0.35">
      <c r="B98" s="77"/>
      <c r="C98" s="77"/>
      <c r="D98" s="77"/>
      <c r="E98" s="77"/>
      <c r="F98" s="77"/>
      <c r="G98" s="77"/>
      <c r="H98" s="77"/>
      <c r="I98" s="78"/>
      <c r="J98" s="77"/>
      <c r="K98" s="77"/>
      <c r="L98" s="77"/>
      <c r="M98" s="78"/>
      <c r="N98" s="77"/>
      <c r="O98" s="77"/>
      <c r="P98" s="77"/>
      <c r="Q98" s="78"/>
      <c r="R98" s="77"/>
      <c r="S98" s="77"/>
      <c r="T98" s="77"/>
      <c r="U98" s="78"/>
      <c r="V98" s="77"/>
      <c r="W98" s="77"/>
      <c r="X98" s="77"/>
      <c r="Y98" s="78"/>
      <c r="Z98" s="77"/>
      <c r="AA98" s="77"/>
      <c r="AB98" s="77"/>
      <c r="AC98" s="77"/>
      <c r="AD98" s="79" t="str">
        <f t="shared" si="4"/>
        <v/>
      </c>
      <c r="AE98" s="80" t="str">
        <f t="shared" si="5"/>
        <v/>
      </c>
      <c r="AF98" s="81"/>
      <c r="AG98" s="77"/>
      <c r="AH98" s="81"/>
      <c r="AI98" s="77"/>
      <c r="AJ98" s="82" t="str">
        <f t="shared" si="6"/>
        <v/>
      </c>
      <c r="AK98" s="83" t="str">
        <f t="shared" si="7"/>
        <v/>
      </c>
    </row>
    <row r="99" spans="2:37" ht="21" x14ac:dyDescent="0.35">
      <c r="B99" s="77"/>
      <c r="C99" s="77"/>
      <c r="D99" s="77"/>
      <c r="E99" s="77"/>
      <c r="F99" s="77"/>
      <c r="G99" s="77"/>
      <c r="H99" s="77"/>
      <c r="I99" s="78"/>
      <c r="J99" s="77"/>
      <c r="K99" s="77"/>
      <c r="L99" s="77"/>
      <c r="M99" s="78"/>
      <c r="N99" s="77"/>
      <c r="O99" s="77"/>
      <c r="P99" s="77"/>
      <c r="Q99" s="78"/>
      <c r="R99" s="77"/>
      <c r="S99" s="77"/>
      <c r="T99" s="77"/>
      <c r="U99" s="78"/>
      <c r="V99" s="77"/>
      <c r="W99" s="77"/>
      <c r="X99" s="77"/>
      <c r="Y99" s="78"/>
      <c r="Z99" s="77"/>
      <c r="AA99" s="77"/>
      <c r="AB99" s="77"/>
      <c r="AC99" s="77"/>
      <c r="AD99" s="79" t="str">
        <f t="shared" si="4"/>
        <v/>
      </c>
      <c r="AE99" s="80" t="str">
        <f t="shared" si="5"/>
        <v/>
      </c>
      <c r="AF99" s="81"/>
      <c r="AG99" s="77"/>
      <c r="AH99" s="81"/>
      <c r="AI99" s="77"/>
      <c r="AJ99" s="82" t="str">
        <f t="shared" si="6"/>
        <v/>
      </c>
      <c r="AK99" s="83" t="str">
        <f t="shared" si="7"/>
        <v/>
      </c>
    </row>
    <row r="100" spans="2:37" ht="21" x14ac:dyDescent="0.35">
      <c r="B100" s="77"/>
      <c r="C100" s="77"/>
      <c r="D100" s="77"/>
      <c r="E100" s="77"/>
      <c r="F100" s="77"/>
      <c r="G100" s="77"/>
      <c r="H100" s="77"/>
      <c r="I100" s="78"/>
      <c r="J100" s="77"/>
      <c r="K100" s="77"/>
      <c r="L100" s="77"/>
      <c r="M100" s="78"/>
      <c r="N100" s="77"/>
      <c r="O100" s="77"/>
      <c r="P100" s="77"/>
      <c r="Q100" s="78"/>
      <c r="R100" s="77"/>
      <c r="S100" s="77"/>
      <c r="T100" s="77"/>
      <c r="U100" s="78"/>
      <c r="V100" s="77"/>
      <c r="W100" s="77"/>
      <c r="X100" s="77"/>
      <c r="Y100" s="78"/>
      <c r="Z100" s="77"/>
      <c r="AA100" s="77"/>
      <c r="AB100" s="77"/>
      <c r="AC100" s="77"/>
      <c r="AD100" s="79" t="str">
        <f t="shared" si="4"/>
        <v/>
      </c>
      <c r="AE100" s="80" t="str">
        <f t="shared" si="5"/>
        <v/>
      </c>
      <c r="AF100" s="81"/>
      <c r="AG100" s="77"/>
      <c r="AH100" s="81"/>
      <c r="AI100" s="77"/>
      <c r="AJ100" s="82" t="str">
        <f t="shared" si="6"/>
        <v/>
      </c>
      <c r="AK100" s="83" t="str">
        <f t="shared" si="7"/>
        <v/>
      </c>
    </row>
    <row r="101" spans="2:37" ht="21" x14ac:dyDescent="0.35">
      <c r="B101" s="77"/>
      <c r="C101" s="77"/>
      <c r="D101" s="77"/>
      <c r="E101" s="77"/>
      <c r="F101" s="77"/>
      <c r="G101" s="77"/>
      <c r="H101" s="77"/>
      <c r="I101" s="78"/>
      <c r="J101" s="77"/>
      <c r="K101" s="77"/>
      <c r="L101" s="77"/>
      <c r="M101" s="78"/>
      <c r="N101" s="77"/>
      <c r="O101" s="77"/>
      <c r="P101" s="77"/>
      <c r="Q101" s="78"/>
      <c r="R101" s="77"/>
      <c r="S101" s="77"/>
      <c r="T101" s="77"/>
      <c r="U101" s="78"/>
      <c r="V101" s="77"/>
      <c r="W101" s="77"/>
      <c r="X101" s="77"/>
      <c r="Y101" s="78"/>
      <c r="Z101" s="77"/>
      <c r="AA101" s="77"/>
      <c r="AB101" s="77"/>
      <c r="AC101" s="77"/>
      <c r="AD101" s="79" t="str">
        <f t="shared" si="4"/>
        <v/>
      </c>
      <c r="AE101" s="80" t="str">
        <f t="shared" si="5"/>
        <v/>
      </c>
      <c r="AF101" s="81"/>
      <c r="AG101" s="77"/>
      <c r="AH101" s="81"/>
      <c r="AI101" s="77"/>
      <c r="AJ101" s="82" t="str">
        <f t="shared" si="6"/>
        <v/>
      </c>
      <c r="AK101" s="83" t="str">
        <f t="shared" si="7"/>
        <v/>
      </c>
    </row>
    <row r="102" spans="2:37" ht="21" x14ac:dyDescent="0.35">
      <c r="B102" s="77"/>
      <c r="C102" s="77"/>
      <c r="D102" s="77"/>
      <c r="E102" s="77"/>
      <c r="F102" s="77"/>
      <c r="G102" s="77"/>
      <c r="H102" s="77"/>
      <c r="I102" s="78"/>
      <c r="J102" s="77"/>
      <c r="K102" s="77"/>
      <c r="L102" s="77"/>
      <c r="M102" s="78"/>
      <c r="N102" s="77"/>
      <c r="O102" s="77"/>
      <c r="P102" s="77"/>
      <c r="Q102" s="78"/>
      <c r="R102" s="77"/>
      <c r="S102" s="77"/>
      <c r="T102" s="77"/>
      <c r="U102" s="78"/>
      <c r="V102" s="77"/>
      <c r="W102" s="77"/>
      <c r="X102" s="77"/>
      <c r="Y102" s="78"/>
      <c r="Z102" s="77"/>
      <c r="AA102" s="77"/>
      <c r="AB102" s="77"/>
      <c r="AC102" s="77"/>
      <c r="AD102" s="79" t="str">
        <f t="shared" si="4"/>
        <v/>
      </c>
      <c r="AE102" s="80" t="str">
        <f t="shared" si="5"/>
        <v/>
      </c>
      <c r="AF102" s="81"/>
      <c r="AG102" s="77"/>
      <c r="AH102" s="81"/>
      <c r="AI102" s="77"/>
      <c r="AJ102" s="82" t="str">
        <f t="shared" si="6"/>
        <v/>
      </c>
      <c r="AK102" s="83" t="str">
        <f t="shared" si="7"/>
        <v/>
      </c>
    </row>
    <row r="103" spans="2:37" ht="21" x14ac:dyDescent="0.35">
      <c r="B103" s="77"/>
      <c r="C103" s="77"/>
      <c r="D103" s="77"/>
      <c r="E103" s="77"/>
      <c r="F103" s="77"/>
      <c r="G103" s="77"/>
      <c r="H103" s="77"/>
      <c r="I103" s="78"/>
      <c r="J103" s="77"/>
      <c r="K103" s="77"/>
      <c r="L103" s="77"/>
      <c r="M103" s="78"/>
      <c r="N103" s="77"/>
      <c r="O103" s="77"/>
      <c r="P103" s="77"/>
      <c r="Q103" s="78"/>
      <c r="R103" s="77"/>
      <c r="S103" s="77"/>
      <c r="T103" s="77"/>
      <c r="U103" s="78"/>
      <c r="V103" s="77"/>
      <c r="W103" s="77"/>
      <c r="X103" s="77"/>
      <c r="Y103" s="78"/>
      <c r="Z103" s="77"/>
      <c r="AA103" s="77"/>
      <c r="AB103" s="77"/>
      <c r="AC103" s="77"/>
      <c r="AD103" s="79" t="str">
        <f t="shared" si="4"/>
        <v/>
      </c>
      <c r="AE103" s="80" t="str">
        <f t="shared" si="5"/>
        <v/>
      </c>
      <c r="AF103" s="81"/>
      <c r="AG103" s="77"/>
      <c r="AH103" s="81"/>
      <c r="AI103" s="77"/>
      <c r="AJ103" s="82" t="str">
        <f t="shared" si="6"/>
        <v/>
      </c>
      <c r="AK103" s="83" t="str">
        <f t="shared" si="7"/>
        <v/>
      </c>
    </row>
    <row r="104" spans="2:37" ht="21" x14ac:dyDescent="0.35">
      <c r="B104" s="77"/>
      <c r="C104" s="77"/>
      <c r="D104" s="77"/>
      <c r="E104" s="77"/>
      <c r="F104" s="77"/>
      <c r="G104" s="77"/>
      <c r="H104" s="77"/>
      <c r="I104" s="78"/>
      <c r="J104" s="77"/>
      <c r="K104" s="77"/>
      <c r="L104" s="77"/>
      <c r="M104" s="78"/>
      <c r="N104" s="77"/>
      <c r="O104" s="77"/>
      <c r="P104" s="77"/>
      <c r="Q104" s="78"/>
      <c r="R104" s="77"/>
      <c r="S104" s="77"/>
      <c r="T104" s="77"/>
      <c r="U104" s="78"/>
      <c r="V104" s="77"/>
      <c r="W104" s="77"/>
      <c r="X104" s="77"/>
      <c r="Y104" s="78"/>
      <c r="Z104" s="77"/>
      <c r="AA104" s="77"/>
      <c r="AB104" s="77"/>
      <c r="AC104" s="77"/>
      <c r="AD104" s="79" t="str">
        <f t="shared" si="4"/>
        <v/>
      </c>
      <c r="AE104" s="80" t="str">
        <f t="shared" si="5"/>
        <v/>
      </c>
      <c r="AF104" s="81"/>
      <c r="AG104" s="77"/>
      <c r="AH104" s="81"/>
      <c r="AI104" s="77"/>
      <c r="AJ104" s="82" t="str">
        <f t="shared" si="6"/>
        <v/>
      </c>
      <c r="AK104" s="83" t="str">
        <f t="shared" si="7"/>
        <v/>
      </c>
    </row>
    <row r="105" spans="2:37" ht="21" x14ac:dyDescent="0.35">
      <c r="B105" s="77"/>
      <c r="C105" s="77"/>
      <c r="D105" s="77"/>
      <c r="E105" s="77"/>
      <c r="F105" s="77"/>
      <c r="G105" s="77"/>
      <c r="H105" s="77"/>
      <c r="I105" s="78"/>
      <c r="J105" s="77"/>
      <c r="K105" s="77"/>
      <c r="L105" s="77"/>
      <c r="M105" s="78"/>
      <c r="N105" s="77"/>
      <c r="O105" s="77"/>
      <c r="P105" s="77"/>
      <c r="Q105" s="78"/>
      <c r="R105" s="77"/>
      <c r="S105" s="77"/>
      <c r="T105" s="77"/>
      <c r="U105" s="78"/>
      <c r="V105" s="77"/>
      <c r="W105" s="77"/>
      <c r="X105" s="77"/>
      <c r="Y105" s="78"/>
      <c r="Z105" s="77"/>
      <c r="AA105" s="77"/>
      <c r="AB105" s="77"/>
      <c r="AC105" s="77"/>
      <c r="AD105" s="79" t="str">
        <f t="shared" si="4"/>
        <v/>
      </c>
      <c r="AE105" s="80" t="str">
        <f t="shared" si="5"/>
        <v/>
      </c>
      <c r="AF105" s="81"/>
      <c r="AG105" s="77"/>
      <c r="AH105" s="81"/>
      <c r="AI105" s="77"/>
      <c r="AJ105" s="82" t="str">
        <f t="shared" si="6"/>
        <v/>
      </c>
      <c r="AK105" s="83" t="str">
        <f t="shared" si="7"/>
        <v/>
      </c>
    </row>
    <row r="106" spans="2:37" ht="21" x14ac:dyDescent="0.35">
      <c r="B106" s="77"/>
      <c r="C106" s="77"/>
      <c r="D106" s="77"/>
      <c r="E106" s="77"/>
      <c r="F106" s="77"/>
      <c r="G106" s="77"/>
      <c r="H106" s="77"/>
      <c r="I106" s="78"/>
      <c r="J106" s="77"/>
      <c r="K106" s="77"/>
      <c r="L106" s="77"/>
      <c r="M106" s="78"/>
      <c r="N106" s="77"/>
      <c r="O106" s="77"/>
      <c r="P106" s="77"/>
      <c r="Q106" s="78"/>
      <c r="R106" s="77"/>
      <c r="S106" s="77"/>
      <c r="T106" s="77"/>
      <c r="U106" s="78"/>
      <c r="V106" s="77"/>
      <c r="W106" s="77"/>
      <c r="X106" s="77"/>
      <c r="Y106" s="78"/>
      <c r="Z106" s="77"/>
      <c r="AA106" s="77"/>
      <c r="AB106" s="77"/>
      <c r="AC106" s="77"/>
      <c r="AD106" s="79" t="str">
        <f t="shared" si="4"/>
        <v/>
      </c>
      <c r="AE106" s="80" t="str">
        <f t="shared" si="5"/>
        <v/>
      </c>
      <c r="AF106" s="81"/>
      <c r="AG106" s="77"/>
      <c r="AH106" s="81"/>
      <c r="AI106" s="77"/>
      <c r="AJ106" s="82" t="str">
        <f t="shared" si="6"/>
        <v/>
      </c>
      <c r="AK106" s="83" t="str">
        <f t="shared" si="7"/>
        <v/>
      </c>
    </row>
    <row r="107" spans="2:37" ht="21" x14ac:dyDescent="0.35">
      <c r="B107" s="77"/>
      <c r="C107" s="77"/>
      <c r="D107" s="77"/>
      <c r="E107" s="77"/>
      <c r="F107" s="77"/>
      <c r="G107" s="77"/>
      <c r="H107" s="77"/>
      <c r="I107" s="78"/>
      <c r="J107" s="77"/>
      <c r="K107" s="77"/>
      <c r="L107" s="77"/>
      <c r="M107" s="78"/>
      <c r="N107" s="77"/>
      <c r="O107" s="77"/>
      <c r="P107" s="77"/>
      <c r="Q107" s="78"/>
      <c r="R107" s="77"/>
      <c r="S107" s="77"/>
      <c r="T107" s="77"/>
      <c r="U107" s="78"/>
      <c r="V107" s="77"/>
      <c r="W107" s="77"/>
      <c r="X107" s="77"/>
      <c r="Y107" s="78"/>
      <c r="Z107" s="77"/>
      <c r="AA107" s="77"/>
      <c r="AB107" s="77"/>
      <c r="AC107" s="77"/>
      <c r="AD107" s="79" t="str">
        <f t="shared" si="4"/>
        <v/>
      </c>
      <c r="AE107" s="80" t="str">
        <f t="shared" si="5"/>
        <v/>
      </c>
      <c r="AF107" s="81"/>
      <c r="AG107" s="77"/>
      <c r="AH107" s="81"/>
      <c r="AI107" s="77"/>
      <c r="AJ107" s="82" t="str">
        <f t="shared" si="6"/>
        <v/>
      </c>
      <c r="AK107" s="83" t="str">
        <f t="shared" si="7"/>
        <v/>
      </c>
    </row>
    <row r="108" spans="2:37" ht="21" x14ac:dyDescent="0.35">
      <c r="B108" s="77"/>
      <c r="C108" s="77"/>
      <c r="D108" s="77"/>
      <c r="E108" s="77"/>
      <c r="F108" s="77"/>
      <c r="G108" s="77"/>
      <c r="H108" s="77"/>
      <c r="I108" s="78"/>
      <c r="J108" s="77"/>
      <c r="K108" s="77"/>
      <c r="L108" s="77"/>
      <c r="M108" s="78"/>
      <c r="N108" s="77"/>
      <c r="O108" s="77"/>
      <c r="P108" s="77"/>
      <c r="Q108" s="78"/>
      <c r="R108" s="77"/>
      <c r="S108" s="77"/>
      <c r="T108" s="77"/>
      <c r="U108" s="78"/>
      <c r="V108" s="77"/>
      <c r="W108" s="77"/>
      <c r="X108" s="77"/>
      <c r="Y108" s="78"/>
      <c r="Z108" s="77"/>
      <c r="AA108" s="77"/>
      <c r="AB108" s="77"/>
      <c r="AC108" s="77"/>
      <c r="AD108" s="79" t="str">
        <f t="shared" si="4"/>
        <v/>
      </c>
      <c r="AE108" s="80" t="str">
        <f t="shared" si="5"/>
        <v/>
      </c>
      <c r="AF108" s="81"/>
      <c r="AG108" s="77"/>
      <c r="AH108" s="81"/>
      <c r="AI108" s="77"/>
      <c r="AJ108" s="82" t="str">
        <f t="shared" si="6"/>
        <v/>
      </c>
      <c r="AK108" s="83" t="str">
        <f t="shared" si="7"/>
        <v/>
      </c>
    </row>
    <row r="109" spans="2:37" ht="21" x14ac:dyDescent="0.35">
      <c r="B109" s="77"/>
      <c r="C109" s="77"/>
      <c r="D109" s="77"/>
      <c r="E109" s="77"/>
      <c r="F109" s="77"/>
      <c r="G109" s="77"/>
      <c r="H109" s="77"/>
      <c r="I109" s="78"/>
      <c r="J109" s="77"/>
      <c r="K109" s="77"/>
      <c r="L109" s="77"/>
      <c r="M109" s="78"/>
      <c r="N109" s="77"/>
      <c r="O109" s="77"/>
      <c r="P109" s="77"/>
      <c r="Q109" s="78"/>
      <c r="R109" s="77"/>
      <c r="S109" s="77"/>
      <c r="T109" s="77"/>
      <c r="U109" s="78"/>
      <c r="V109" s="77"/>
      <c r="W109" s="77"/>
      <c r="X109" s="77"/>
      <c r="Y109" s="78"/>
      <c r="Z109" s="77"/>
      <c r="AA109" s="77"/>
      <c r="AB109" s="77"/>
      <c r="AC109" s="77"/>
      <c r="AD109" s="79" t="str">
        <f t="shared" si="4"/>
        <v/>
      </c>
      <c r="AE109" s="80" t="str">
        <f t="shared" si="5"/>
        <v/>
      </c>
      <c r="AF109" s="81"/>
      <c r="AG109" s="77"/>
      <c r="AH109" s="81"/>
      <c r="AI109" s="77"/>
      <c r="AJ109" s="82" t="str">
        <f t="shared" si="6"/>
        <v/>
      </c>
      <c r="AK109" s="83" t="str">
        <f t="shared" si="7"/>
        <v/>
      </c>
    </row>
    <row r="110" spans="2:37" ht="21" x14ac:dyDescent="0.35">
      <c r="B110" s="77"/>
      <c r="C110" s="77"/>
      <c r="D110" s="77"/>
      <c r="E110" s="77"/>
      <c r="F110" s="77"/>
      <c r="G110" s="77"/>
      <c r="H110" s="77"/>
      <c r="I110" s="78"/>
      <c r="J110" s="77"/>
      <c r="K110" s="77"/>
      <c r="L110" s="77"/>
      <c r="M110" s="78"/>
      <c r="N110" s="77"/>
      <c r="O110" s="77"/>
      <c r="P110" s="77"/>
      <c r="Q110" s="78"/>
      <c r="R110" s="77"/>
      <c r="S110" s="77"/>
      <c r="T110" s="77"/>
      <c r="U110" s="78"/>
      <c r="V110" s="77"/>
      <c r="W110" s="77"/>
      <c r="X110" s="77"/>
      <c r="Y110" s="78"/>
      <c r="Z110" s="77"/>
      <c r="AA110" s="77"/>
      <c r="AB110" s="77"/>
      <c r="AC110" s="77"/>
      <c r="AD110" s="79" t="str">
        <f t="shared" si="4"/>
        <v/>
      </c>
      <c r="AE110" s="80" t="str">
        <f t="shared" si="5"/>
        <v/>
      </c>
      <c r="AF110" s="81"/>
      <c r="AG110" s="77"/>
      <c r="AH110" s="81"/>
      <c r="AI110" s="77"/>
      <c r="AJ110" s="82" t="str">
        <f t="shared" si="6"/>
        <v/>
      </c>
      <c r="AK110" s="83" t="str">
        <f t="shared" si="7"/>
        <v/>
      </c>
    </row>
    <row r="111" spans="2:37" ht="21" x14ac:dyDescent="0.35">
      <c r="B111" s="77"/>
      <c r="C111" s="77"/>
      <c r="D111" s="77"/>
      <c r="E111" s="77"/>
      <c r="F111" s="77"/>
      <c r="G111" s="77"/>
      <c r="H111" s="77"/>
      <c r="I111" s="78"/>
      <c r="J111" s="77"/>
      <c r="K111" s="77"/>
      <c r="L111" s="77"/>
      <c r="M111" s="78"/>
      <c r="N111" s="77"/>
      <c r="O111" s="77"/>
      <c r="P111" s="77"/>
      <c r="Q111" s="78"/>
      <c r="R111" s="77"/>
      <c r="S111" s="77"/>
      <c r="T111" s="77"/>
      <c r="U111" s="78"/>
      <c r="V111" s="77"/>
      <c r="W111" s="77"/>
      <c r="X111" s="77"/>
      <c r="Y111" s="78"/>
      <c r="Z111" s="77"/>
      <c r="AA111" s="77"/>
      <c r="AB111" s="77"/>
      <c r="AC111" s="77"/>
      <c r="AD111" s="79" t="str">
        <f t="shared" si="4"/>
        <v/>
      </c>
      <c r="AE111" s="80" t="str">
        <f t="shared" si="5"/>
        <v/>
      </c>
      <c r="AF111" s="81"/>
      <c r="AG111" s="77"/>
      <c r="AH111" s="81"/>
      <c r="AI111" s="77"/>
      <c r="AJ111" s="82" t="str">
        <f t="shared" si="6"/>
        <v/>
      </c>
      <c r="AK111" s="83" t="str">
        <f t="shared" si="7"/>
        <v/>
      </c>
    </row>
    <row r="112" spans="2:37" ht="21" x14ac:dyDescent="0.35">
      <c r="B112" s="77"/>
      <c r="C112" s="77"/>
      <c r="D112" s="77"/>
      <c r="E112" s="77"/>
      <c r="F112" s="77"/>
      <c r="G112" s="77"/>
      <c r="H112" s="77"/>
      <c r="I112" s="78"/>
      <c r="J112" s="77"/>
      <c r="K112" s="77"/>
      <c r="L112" s="77"/>
      <c r="M112" s="78"/>
      <c r="N112" s="77"/>
      <c r="O112" s="77"/>
      <c r="P112" s="77"/>
      <c r="Q112" s="78"/>
      <c r="R112" s="77"/>
      <c r="S112" s="77"/>
      <c r="T112" s="77"/>
      <c r="U112" s="78"/>
      <c r="V112" s="77"/>
      <c r="W112" s="77"/>
      <c r="X112" s="77"/>
      <c r="Y112" s="78"/>
      <c r="Z112" s="77"/>
      <c r="AA112" s="77"/>
      <c r="AB112" s="77"/>
      <c r="AC112" s="77"/>
      <c r="AD112" s="79" t="str">
        <f t="shared" si="4"/>
        <v/>
      </c>
      <c r="AE112" s="80" t="str">
        <f t="shared" si="5"/>
        <v/>
      </c>
      <c r="AF112" s="81"/>
      <c r="AG112" s="77"/>
      <c r="AH112" s="81"/>
      <c r="AI112" s="77"/>
      <c r="AJ112" s="82" t="str">
        <f t="shared" si="6"/>
        <v/>
      </c>
      <c r="AK112" s="83" t="str">
        <f t="shared" si="7"/>
        <v/>
      </c>
    </row>
    <row r="113" spans="2:37" ht="21" x14ac:dyDescent="0.35">
      <c r="B113" s="77"/>
      <c r="C113" s="77"/>
      <c r="D113" s="77"/>
      <c r="E113" s="77"/>
      <c r="F113" s="77"/>
      <c r="G113" s="77"/>
      <c r="H113" s="77"/>
      <c r="I113" s="78"/>
      <c r="J113" s="77"/>
      <c r="K113" s="77"/>
      <c r="L113" s="77"/>
      <c r="M113" s="78"/>
      <c r="N113" s="77"/>
      <c r="O113" s="77"/>
      <c r="P113" s="77"/>
      <c r="Q113" s="78"/>
      <c r="R113" s="77"/>
      <c r="S113" s="77"/>
      <c r="T113" s="77"/>
      <c r="U113" s="78"/>
      <c r="V113" s="77"/>
      <c r="W113" s="77"/>
      <c r="X113" s="77"/>
      <c r="Y113" s="78"/>
      <c r="Z113" s="77"/>
      <c r="AA113" s="77"/>
      <c r="AB113" s="77"/>
      <c r="AC113" s="77"/>
      <c r="AD113" s="79" t="str">
        <f t="shared" si="4"/>
        <v/>
      </c>
      <c r="AE113" s="80" t="str">
        <f t="shared" si="5"/>
        <v/>
      </c>
      <c r="AF113" s="81"/>
      <c r="AG113" s="77"/>
      <c r="AH113" s="81"/>
      <c r="AI113" s="77"/>
      <c r="AJ113" s="82" t="str">
        <f t="shared" si="6"/>
        <v/>
      </c>
      <c r="AK113" s="83" t="str">
        <f t="shared" si="7"/>
        <v/>
      </c>
    </row>
    <row r="114" spans="2:37" ht="21" x14ac:dyDescent="0.35">
      <c r="B114" s="77"/>
      <c r="C114" s="77"/>
      <c r="D114" s="77"/>
      <c r="E114" s="77"/>
      <c r="F114" s="77"/>
      <c r="G114" s="77"/>
      <c r="H114" s="77"/>
      <c r="I114" s="78"/>
      <c r="J114" s="77"/>
      <c r="K114" s="77"/>
      <c r="L114" s="77"/>
      <c r="M114" s="78"/>
      <c r="N114" s="77"/>
      <c r="O114" s="77"/>
      <c r="P114" s="77"/>
      <c r="Q114" s="78"/>
      <c r="R114" s="77"/>
      <c r="S114" s="77"/>
      <c r="T114" s="77"/>
      <c r="U114" s="78"/>
      <c r="V114" s="77"/>
      <c r="W114" s="77"/>
      <c r="X114" s="77"/>
      <c r="Y114" s="78"/>
      <c r="Z114" s="77"/>
      <c r="AA114" s="77"/>
      <c r="AB114" s="77"/>
      <c r="AC114" s="77"/>
      <c r="AD114" s="79" t="str">
        <f t="shared" si="4"/>
        <v/>
      </c>
      <c r="AE114" s="80" t="str">
        <f t="shared" si="5"/>
        <v/>
      </c>
      <c r="AF114" s="81"/>
      <c r="AG114" s="77"/>
      <c r="AH114" s="81"/>
      <c r="AI114" s="77"/>
      <c r="AJ114" s="82" t="str">
        <f t="shared" si="6"/>
        <v/>
      </c>
      <c r="AK114" s="83" t="str">
        <f t="shared" si="7"/>
        <v/>
      </c>
    </row>
    <row r="115" spans="2:37" ht="21" x14ac:dyDescent="0.35">
      <c r="B115" s="77"/>
      <c r="C115" s="77"/>
      <c r="D115" s="77"/>
      <c r="E115" s="77"/>
      <c r="F115" s="77"/>
      <c r="G115" s="77"/>
      <c r="H115" s="77"/>
      <c r="I115" s="78"/>
      <c r="J115" s="77"/>
      <c r="K115" s="77"/>
      <c r="L115" s="77"/>
      <c r="M115" s="78"/>
      <c r="N115" s="77"/>
      <c r="O115" s="77"/>
      <c r="P115" s="77"/>
      <c r="Q115" s="78"/>
      <c r="R115" s="77"/>
      <c r="S115" s="77"/>
      <c r="T115" s="77"/>
      <c r="U115" s="78"/>
      <c r="V115" s="77"/>
      <c r="W115" s="77"/>
      <c r="X115" s="77"/>
      <c r="Y115" s="78"/>
      <c r="Z115" s="77"/>
      <c r="AA115" s="77"/>
      <c r="AB115" s="77"/>
      <c r="AC115" s="77"/>
      <c r="AD115" s="79" t="str">
        <f t="shared" si="4"/>
        <v/>
      </c>
      <c r="AE115" s="80" t="str">
        <f t="shared" si="5"/>
        <v/>
      </c>
      <c r="AF115" s="81"/>
      <c r="AG115" s="77"/>
      <c r="AH115" s="81"/>
      <c r="AI115" s="77"/>
      <c r="AJ115" s="82" t="str">
        <f t="shared" si="6"/>
        <v/>
      </c>
      <c r="AK115" s="83" t="str">
        <f t="shared" si="7"/>
        <v/>
      </c>
    </row>
    <row r="116" spans="2:37" ht="21" x14ac:dyDescent="0.35">
      <c r="B116" s="77"/>
      <c r="C116" s="77"/>
      <c r="D116" s="77"/>
      <c r="E116" s="77"/>
      <c r="F116" s="77"/>
      <c r="G116" s="77"/>
      <c r="H116" s="77"/>
      <c r="I116" s="78"/>
      <c r="J116" s="77"/>
      <c r="K116" s="77"/>
      <c r="L116" s="77"/>
      <c r="M116" s="78"/>
      <c r="N116" s="77"/>
      <c r="O116" s="77"/>
      <c r="P116" s="77"/>
      <c r="Q116" s="78"/>
      <c r="R116" s="77"/>
      <c r="S116" s="77"/>
      <c r="T116" s="77"/>
      <c r="U116" s="78"/>
      <c r="V116" s="77"/>
      <c r="W116" s="77"/>
      <c r="X116" s="77"/>
      <c r="Y116" s="78"/>
      <c r="Z116" s="77"/>
      <c r="AA116" s="77"/>
      <c r="AB116" s="77"/>
      <c r="AC116" s="77"/>
      <c r="AD116" s="79" t="str">
        <f t="shared" si="4"/>
        <v/>
      </c>
      <c r="AE116" s="80" t="str">
        <f t="shared" si="5"/>
        <v/>
      </c>
      <c r="AF116" s="81"/>
      <c r="AG116" s="77"/>
      <c r="AH116" s="81"/>
      <c r="AI116" s="77"/>
      <c r="AJ116" s="82" t="str">
        <f t="shared" si="6"/>
        <v/>
      </c>
      <c r="AK116" s="83" t="str">
        <f t="shared" si="7"/>
        <v/>
      </c>
    </row>
    <row r="117" spans="2:37" ht="21" x14ac:dyDescent="0.35">
      <c r="B117" s="77"/>
      <c r="C117" s="77"/>
      <c r="D117" s="77"/>
      <c r="E117" s="77"/>
      <c r="F117" s="77"/>
      <c r="G117" s="77"/>
      <c r="H117" s="77"/>
      <c r="I117" s="78"/>
      <c r="J117" s="77"/>
      <c r="K117" s="77"/>
      <c r="L117" s="77"/>
      <c r="M117" s="78"/>
      <c r="N117" s="77"/>
      <c r="O117" s="77"/>
      <c r="P117" s="77"/>
      <c r="Q117" s="78"/>
      <c r="R117" s="77"/>
      <c r="S117" s="77"/>
      <c r="T117" s="77"/>
      <c r="U117" s="78"/>
      <c r="V117" s="77"/>
      <c r="W117" s="77"/>
      <c r="X117" s="77"/>
      <c r="Y117" s="78"/>
      <c r="Z117" s="77"/>
      <c r="AA117" s="77"/>
      <c r="AB117" s="77"/>
      <c r="AC117" s="77"/>
      <c r="AD117" s="79" t="str">
        <f t="shared" si="4"/>
        <v/>
      </c>
      <c r="AE117" s="80" t="str">
        <f t="shared" si="5"/>
        <v/>
      </c>
      <c r="AF117" s="81"/>
      <c r="AG117" s="77"/>
      <c r="AH117" s="81"/>
      <c r="AI117" s="77"/>
      <c r="AJ117" s="82" t="str">
        <f t="shared" si="6"/>
        <v/>
      </c>
      <c r="AK117" s="83" t="str">
        <f t="shared" si="7"/>
        <v/>
      </c>
    </row>
    <row r="118" spans="2:37" ht="21" x14ac:dyDescent="0.35">
      <c r="B118" s="77"/>
      <c r="C118" s="77"/>
      <c r="D118" s="77"/>
      <c r="E118" s="77"/>
      <c r="F118" s="77"/>
      <c r="G118" s="77"/>
      <c r="H118" s="77"/>
      <c r="I118" s="78"/>
      <c r="J118" s="77"/>
      <c r="K118" s="77"/>
      <c r="L118" s="77"/>
      <c r="M118" s="78"/>
      <c r="N118" s="77"/>
      <c r="O118" s="77"/>
      <c r="P118" s="77"/>
      <c r="Q118" s="78"/>
      <c r="R118" s="77"/>
      <c r="S118" s="77"/>
      <c r="T118" s="77"/>
      <c r="U118" s="78"/>
      <c r="V118" s="77"/>
      <c r="W118" s="77"/>
      <c r="X118" s="77"/>
      <c r="Y118" s="78"/>
      <c r="Z118" s="77"/>
      <c r="AA118" s="77"/>
      <c r="AB118" s="77"/>
      <c r="AC118" s="77"/>
      <c r="AD118" s="79" t="str">
        <f t="shared" si="4"/>
        <v/>
      </c>
      <c r="AE118" s="80" t="str">
        <f t="shared" si="5"/>
        <v/>
      </c>
      <c r="AF118" s="81"/>
      <c r="AG118" s="77"/>
      <c r="AH118" s="81"/>
      <c r="AI118" s="77"/>
      <c r="AJ118" s="82" t="str">
        <f t="shared" si="6"/>
        <v/>
      </c>
      <c r="AK118" s="83" t="str">
        <f t="shared" si="7"/>
        <v/>
      </c>
    </row>
    <row r="119" spans="2:37" ht="21" x14ac:dyDescent="0.35">
      <c r="B119" s="77"/>
      <c r="C119" s="77"/>
      <c r="D119" s="77"/>
      <c r="E119" s="77"/>
      <c r="F119" s="77"/>
      <c r="G119" s="77"/>
      <c r="H119" s="77"/>
      <c r="I119" s="78"/>
      <c r="J119" s="77"/>
      <c r="K119" s="77"/>
      <c r="L119" s="77"/>
      <c r="M119" s="78"/>
      <c r="N119" s="77"/>
      <c r="O119" s="77"/>
      <c r="P119" s="77"/>
      <c r="Q119" s="78"/>
      <c r="R119" s="77"/>
      <c r="S119" s="77"/>
      <c r="T119" s="77"/>
      <c r="U119" s="78"/>
      <c r="V119" s="77"/>
      <c r="W119" s="77"/>
      <c r="X119" s="77"/>
      <c r="Y119" s="78"/>
      <c r="Z119" s="77"/>
      <c r="AA119" s="77"/>
      <c r="AB119" s="77"/>
      <c r="AC119" s="77"/>
      <c r="AD119" s="79" t="str">
        <f t="shared" si="4"/>
        <v/>
      </c>
      <c r="AE119" s="80" t="str">
        <f t="shared" si="5"/>
        <v/>
      </c>
      <c r="AF119" s="81"/>
      <c r="AG119" s="77"/>
      <c r="AH119" s="81"/>
      <c r="AI119" s="77"/>
      <c r="AJ119" s="82" t="str">
        <f t="shared" si="6"/>
        <v/>
      </c>
      <c r="AK119" s="83" t="str">
        <f t="shared" si="7"/>
        <v/>
      </c>
    </row>
    <row r="120" spans="2:37" ht="21" x14ac:dyDescent="0.35">
      <c r="B120" s="77"/>
      <c r="C120" s="77"/>
      <c r="D120" s="77"/>
      <c r="E120" s="77"/>
      <c r="F120" s="77"/>
      <c r="G120" s="77"/>
      <c r="H120" s="77"/>
      <c r="I120" s="78"/>
      <c r="J120" s="77"/>
      <c r="K120" s="77"/>
      <c r="L120" s="77"/>
      <c r="M120" s="78"/>
      <c r="N120" s="77"/>
      <c r="O120" s="77"/>
      <c r="P120" s="77"/>
      <c r="Q120" s="78"/>
      <c r="R120" s="77"/>
      <c r="S120" s="77"/>
      <c r="T120" s="77"/>
      <c r="U120" s="78"/>
      <c r="V120" s="77"/>
      <c r="W120" s="77"/>
      <c r="X120" s="77"/>
      <c r="Y120" s="78"/>
      <c r="Z120" s="77"/>
      <c r="AA120" s="77"/>
      <c r="AB120" s="77"/>
      <c r="AC120" s="77"/>
      <c r="AD120" s="79" t="str">
        <f t="shared" si="4"/>
        <v/>
      </c>
      <c r="AE120" s="80" t="str">
        <f t="shared" si="5"/>
        <v/>
      </c>
      <c r="AF120" s="81"/>
      <c r="AG120" s="77"/>
      <c r="AH120" s="81"/>
      <c r="AI120" s="77"/>
      <c r="AJ120" s="82" t="str">
        <f t="shared" si="6"/>
        <v/>
      </c>
      <c r="AK120" s="83" t="str">
        <f t="shared" si="7"/>
        <v/>
      </c>
    </row>
    <row r="121" spans="2:37" ht="21" x14ac:dyDescent="0.35">
      <c r="B121" s="77"/>
      <c r="C121" s="77"/>
      <c r="D121" s="77"/>
      <c r="E121" s="77"/>
      <c r="F121" s="77"/>
      <c r="G121" s="77"/>
      <c r="H121" s="77"/>
      <c r="I121" s="78"/>
      <c r="J121" s="77"/>
      <c r="K121" s="77"/>
      <c r="L121" s="77"/>
      <c r="M121" s="78"/>
      <c r="N121" s="77"/>
      <c r="O121" s="77"/>
      <c r="P121" s="77"/>
      <c r="Q121" s="78"/>
      <c r="R121" s="77"/>
      <c r="S121" s="77"/>
      <c r="T121" s="77"/>
      <c r="U121" s="78"/>
      <c r="V121" s="77"/>
      <c r="W121" s="77"/>
      <c r="X121" s="77"/>
      <c r="Y121" s="78"/>
      <c r="Z121" s="77"/>
      <c r="AA121" s="77"/>
      <c r="AB121" s="77"/>
      <c r="AC121" s="77"/>
      <c r="AD121" s="79" t="str">
        <f t="shared" si="4"/>
        <v/>
      </c>
      <c r="AE121" s="80" t="str">
        <f t="shared" si="5"/>
        <v/>
      </c>
      <c r="AF121" s="81"/>
      <c r="AG121" s="77"/>
      <c r="AH121" s="81"/>
      <c r="AI121" s="77"/>
      <c r="AJ121" s="82" t="str">
        <f t="shared" si="6"/>
        <v/>
      </c>
      <c r="AK121" s="83" t="str">
        <f t="shared" si="7"/>
        <v/>
      </c>
    </row>
    <row r="122" spans="2:37" ht="21" x14ac:dyDescent="0.35">
      <c r="B122" s="77"/>
      <c r="C122" s="77"/>
      <c r="D122" s="77"/>
      <c r="E122" s="77"/>
      <c r="F122" s="77"/>
      <c r="G122" s="77"/>
      <c r="H122" s="77"/>
      <c r="I122" s="78"/>
      <c r="J122" s="77"/>
      <c r="K122" s="77"/>
      <c r="L122" s="77"/>
      <c r="M122" s="78"/>
      <c r="N122" s="77"/>
      <c r="O122" s="77"/>
      <c r="P122" s="77"/>
      <c r="Q122" s="78"/>
      <c r="R122" s="77"/>
      <c r="S122" s="77"/>
      <c r="T122" s="77"/>
      <c r="U122" s="78"/>
      <c r="V122" s="77"/>
      <c r="W122" s="77"/>
      <c r="X122" s="77"/>
      <c r="Y122" s="78"/>
      <c r="Z122" s="77"/>
      <c r="AA122" s="77"/>
      <c r="AB122" s="77"/>
      <c r="AC122" s="77"/>
      <c r="AD122" s="79" t="str">
        <f t="shared" si="4"/>
        <v/>
      </c>
      <c r="AE122" s="80" t="str">
        <f t="shared" si="5"/>
        <v/>
      </c>
      <c r="AF122" s="81"/>
      <c r="AG122" s="77"/>
      <c r="AH122" s="81"/>
      <c r="AI122" s="77"/>
      <c r="AJ122" s="82" t="str">
        <f t="shared" si="6"/>
        <v/>
      </c>
      <c r="AK122" s="83" t="str">
        <f t="shared" si="7"/>
        <v/>
      </c>
    </row>
    <row r="123" spans="2:37" ht="21" x14ac:dyDescent="0.35">
      <c r="B123" s="77"/>
      <c r="C123" s="77"/>
      <c r="D123" s="77"/>
      <c r="E123" s="77"/>
      <c r="F123" s="77"/>
      <c r="G123" s="77"/>
      <c r="H123" s="77"/>
      <c r="I123" s="78"/>
      <c r="J123" s="77"/>
      <c r="K123" s="77"/>
      <c r="L123" s="77"/>
      <c r="M123" s="78"/>
      <c r="N123" s="77"/>
      <c r="O123" s="77"/>
      <c r="P123" s="77"/>
      <c r="Q123" s="78"/>
      <c r="R123" s="77"/>
      <c r="S123" s="77"/>
      <c r="T123" s="77"/>
      <c r="U123" s="78"/>
      <c r="V123" s="77"/>
      <c r="W123" s="77"/>
      <c r="X123" s="77"/>
      <c r="Y123" s="78"/>
      <c r="Z123" s="77"/>
      <c r="AA123" s="77"/>
      <c r="AB123" s="77"/>
      <c r="AC123" s="77"/>
      <c r="AD123" s="79" t="str">
        <f t="shared" si="4"/>
        <v/>
      </c>
      <c r="AE123" s="80" t="str">
        <f t="shared" si="5"/>
        <v/>
      </c>
      <c r="AF123" s="81"/>
      <c r="AG123" s="77"/>
      <c r="AH123" s="81"/>
      <c r="AI123" s="77"/>
      <c r="AJ123" s="82" t="str">
        <f t="shared" si="6"/>
        <v/>
      </c>
      <c r="AK123" s="83" t="str">
        <f t="shared" si="7"/>
        <v/>
      </c>
    </row>
    <row r="124" spans="2:37" ht="21" x14ac:dyDescent="0.35">
      <c r="B124" s="77"/>
      <c r="C124" s="77"/>
      <c r="D124" s="77"/>
      <c r="E124" s="77"/>
      <c r="F124" s="77"/>
      <c r="G124" s="77"/>
      <c r="H124" s="77"/>
      <c r="I124" s="78"/>
      <c r="J124" s="77"/>
      <c r="K124" s="77"/>
      <c r="L124" s="77"/>
      <c r="M124" s="78"/>
      <c r="N124" s="77"/>
      <c r="O124" s="77"/>
      <c r="P124" s="77"/>
      <c r="Q124" s="78"/>
      <c r="R124" s="77"/>
      <c r="S124" s="77"/>
      <c r="T124" s="77"/>
      <c r="U124" s="78"/>
      <c r="V124" s="77"/>
      <c r="W124" s="77"/>
      <c r="X124" s="77"/>
      <c r="Y124" s="78"/>
      <c r="Z124" s="77"/>
      <c r="AA124" s="77"/>
      <c r="AB124" s="77"/>
      <c r="AC124" s="77"/>
      <c r="AD124" s="79" t="str">
        <f t="shared" si="4"/>
        <v/>
      </c>
      <c r="AE124" s="80" t="str">
        <f t="shared" si="5"/>
        <v/>
      </c>
      <c r="AF124" s="81"/>
      <c r="AG124" s="77"/>
      <c r="AH124" s="81"/>
      <c r="AI124" s="77"/>
      <c r="AJ124" s="82" t="str">
        <f t="shared" si="6"/>
        <v/>
      </c>
      <c r="AK124" s="83" t="str">
        <f t="shared" si="7"/>
        <v/>
      </c>
    </row>
    <row r="125" spans="2:37" ht="21" x14ac:dyDescent="0.35">
      <c r="B125" s="77"/>
      <c r="C125" s="77"/>
      <c r="D125" s="77"/>
      <c r="E125" s="77"/>
      <c r="F125" s="77"/>
      <c r="G125" s="77"/>
      <c r="H125" s="77"/>
      <c r="I125" s="78"/>
      <c r="J125" s="77"/>
      <c r="K125" s="77"/>
      <c r="L125" s="77"/>
      <c r="M125" s="78"/>
      <c r="N125" s="77"/>
      <c r="O125" s="77"/>
      <c r="P125" s="77"/>
      <c r="Q125" s="78"/>
      <c r="R125" s="77"/>
      <c r="S125" s="77"/>
      <c r="T125" s="77"/>
      <c r="U125" s="78"/>
      <c r="V125" s="77"/>
      <c r="W125" s="77"/>
      <c r="X125" s="77"/>
      <c r="Y125" s="78"/>
      <c r="Z125" s="77"/>
      <c r="AA125" s="77"/>
      <c r="AB125" s="77"/>
      <c r="AC125" s="77"/>
      <c r="AD125" s="79" t="str">
        <f t="shared" si="4"/>
        <v/>
      </c>
      <c r="AE125" s="80" t="str">
        <f t="shared" si="5"/>
        <v/>
      </c>
      <c r="AF125" s="81"/>
      <c r="AG125" s="77"/>
      <c r="AH125" s="81"/>
      <c r="AI125" s="77"/>
      <c r="AJ125" s="82" t="str">
        <f t="shared" si="6"/>
        <v/>
      </c>
      <c r="AK125" s="83" t="str">
        <f t="shared" si="7"/>
        <v/>
      </c>
    </row>
    <row r="126" spans="2:37" ht="21" x14ac:dyDescent="0.35">
      <c r="B126" s="77"/>
      <c r="C126" s="77"/>
      <c r="D126" s="77"/>
      <c r="E126" s="77"/>
      <c r="F126" s="77"/>
      <c r="G126" s="77"/>
      <c r="H126" s="77"/>
      <c r="I126" s="78"/>
      <c r="J126" s="77"/>
      <c r="K126" s="77"/>
      <c r="L126" s="77"/>
      <c r="M126" s="78"/>
      <c r="N126" s="77"/>
      <c r="O126" s="77"/>
      <c r="P126" s="77"/>
      <c r="Q126" s="78"/>
      <c r="R126" s="77"/>
      <c r="S126" s="77"/>
      <c r="T126" s="77"/>
      <c r="U126" s="78"/>
      <c r="V126" s="77"/>
      <c r="W126" s="77"/>
      <c r="X126" s="77"/>
      <c r="Y126" s="78"/>
      <c r="Z126" s="77"/>
      <c r="AA126" s="77"/>
      <c r="AB126" s="77"/>
      <c r="AC126" s="77"/>
      <c r="AD126" s="79" t="str">
        <f t="shared" si="4"/>
        <v/>
      </c>
      <c r="AE126" s="80" t="str">
        <f t="shared" si="5"/>
        <v/>
      </c>
      <c r="AF126" s="81"/>
      <c r="AG126" s="77"/>
      <c r="AH126" s="81"/>
      <c r="AI126" s="77"/>
      <c r="AJ126" s="82" t="str">
        <f t="shared" si="6"/>
        <v/>
      </c>
      <c r="AK126" s="83" t="str">
        <f t="shared" si="7"/>
        <v/>
      </c>
    </row>
    <row r="127" spans="2:37" ht="21" x14ac:dyDescent="0.35">
      <c r="B127" s="77"/>
      <c r="C127" s="77"/>
      <c r="D127" s="77"/>
      <c r="E127" s="77"/>
      <c r="F127" s="77"/>
      <c r="G127" s="77"/>
      <c r="H127" s="77"/>
      <c r="I127" s="78"/>
      <c r="J127" s="77"/>
      <c r="K127" s="77"/>
      <c r="L127" s="77"/>
      <c r="M127" s="78"/>
      <c r="N127" s="77"/>
      <c r="O127" s="77"/>
      <c r="P127" s="77"/>
      <c r="Q127" s="78"/>
      <c r="R127" s="77"/>
      <c r="S127" s="77"/>
      <c r="T127" s="77"/>
      <c r="U127" s="78"/>
      <c r="V127" s="77"/>
      <c r="W127" s="77"/>
      <c r="X127" s="77"/>
      <c r="Y127" s="78"/>
      <c r="Z127" s="77"/>
      <c r="AA127" s="77"/>
      <c r="AB127" s="77"/>
      <c r="AC127" s="77"/>
      <c r="AD127" s="79" t="str">
        <f t="shared" si="4"/>
        <v/>
      </c>
      <c r="AE127" s="80" t="str">
        <f t="shared" si="5"/>
        <v/>
      </c>
      <c r="AF127" s="81"/>
      <c r="AG127" s="77"/>
      <c r="AH127" s="81"/>
      <c r="AI127" s="77"/>
      <c r="AJ127" s="82" t="str">
        <f t="shared" si="6"/>
        <v/>
      </c>
      <c r="AK127" s="83" t="str">
        <f t="shared" si="7"/>
        <v/>
      </c>
    </row>
    <row r="128" spans="2:37" ht="21" x14ac:dyDescent="0.35">
      <c r="B128" s="77"/>
      <c r="C128" s="77"/>
      <c r="D128" s="77"/>
      <c r="E128" s="77"/>
      <c r="F128" s="77"/>
      <c r="G128" s="77"/>
      <c r="H128" s="77"/>
      <c r="I128" s="78"/>
      <c r="J128" s="77"/>
      <c r="K128" s="77"/>
      <c r="L128" s="77"/>
      <c r="M128" s="78"/>
      <c r="N128" s="77"/>
      <c r="O128" s="77"/>
      <c r="P128" s="77"/>
      <c r="Q128" s="78"/>
      <c r="R128" s="77"/>
      <c r="S128" s="77"/>
      <c r="T128" s="77"/>
      <c r="U128" s="78"/>
      <c r="V128" s="77"/>
      <c r="W128" s="77"/>
      <c r="X128" s="77"/>
      <c r="Y128" s="78"/>
      <c r="Z128" s="77"/>
      <c r="AA128" s="77"/>
      <c r="AB128" s="77"/>
      <c r="AC128" s="77"/>
      <c r="AD128" s="79" t="str">
        <f t="shared" si="4"/>
        <v/>
      </c>
      <c r="AE128" s="80" t="str">
        <f t="shared" si="5"/>
        <v/>
      </c>
      <c r="AF128" s="81"/>
      <c r="AG128" s="77"/>
      <c r="AH128" s="81"/>
      <c r="AI128" s="77"/>
      <c r="AJ128" s="82" t="str">
        <f t="shared" si="6"/>
        <v/>
      </c>
      <c r="AK128" s="83" t="str">
        <f t="shared" si="7"/>
        <v/>
      </c>
    </row>
    <row r="129" spans="2:37" ht="21" x14ac:dyDescent="0.35">
      <c r="B129" s="77"/>
      <c r="C129" s="77"/>
      <c r="D129" s="77"/>
      <c r="E129" s="77"/>
      <c r="F129" s="77"/>
      <c r="G129" s="77"/>
      <c r="H129" s="77"/>
      <c r="I129" s="78"/>
      <c r="J129" s="77"/>
      <c r="K129" s="77"/>
      <c r="L129" s="77"/>
      <c r="M129" s="78"/>
      <c r="N129" s="77"/>
      <c r="O129" s="77"/>
      <c r="P129" s="77"/>
      <c r="Q129" s="78"/>
      <c r="R129" s="77"/>
      <c r="S129" s="77"/>
      <c r="T129" s="77"/>
      <c r="U129" s="78"/>
      <c r="V129" s="77"/>
      <c r="W129" s="77"/>
      <c r="X129" s="77"/>
      <c r="Y129" s="78"/>
      <c r="Z129" s="77"/>
      <c r="AA129" s="77"/>
      <c r="AB129" s="77"/>
      <c r="AC129" s="77"/>
      <c r="AD129" s="79" t="str">
        <f t="shared" si="4"/>
        <v/>
      </c>
      <c r="AE129" s="80" t="str">
        <f t="shared" si="5"/>
        <v/>
      </c>
      <c r="AF129" s="81"/>
      <c r="AG129" s="77"/>
      <c r="AH129" s="81"/>
      <c r="AI129" s="77"/>
      <c r="AJ129" s="82" t="str">
        <f t="shared" si="6"/>
        <v/>
      </c>
      <c r="AK129" s="83" t="str">
        <f t="shared" si="7"/>
        <v/>
      </c>
    </row>
    <row r="130" spans="2:37" ht="21" x14ac:dyDescent="0.35">
      <c r="B130" s="77"/>
      <c r="C130" s="77"/>
      <c r="D130" s="77"/>
      <c r="E130" s="77"/>
      <c r="F130" s="77"/>
      <c r="G130" s="77"/>
      <c r="H130" s="77"/>
      <c r="I130" s="78"/>
      <c r="J130" s="77"/>
      <c r="K130" s="77"/>
      <c r="L130" s="77"/>
      <c r="M130" s="78"/>
      <c r="N130" s="77"/>
      <c r="O130" s="77"/>
      <c r="P130" s="77"/>
      <c r="Q130" s="78"/>
      <c r="R130" s="77"/>
      <c r="S130" s="77"/>
      <c r="T130" s="77"/>
      <c r="U130" s="78"/>
      <c r="V130" s="77"/>
      <c r="W130" s="77"/>
      <c r="X130" s="77"/>
      <c r="Y130" s="78"/>
      <c r="Z130" s="77"/>
      <c r="AA130" s="77"/>
      <c r="AB130" s="77"/>
      <c r="AC130" s="77"/>
      <c r="AD130" s="79" t="str">
        <f t="shared" si="4"/>
        <v/>
      </c>
      <c r="AE130" s="80" t="str">
        <f t="shared" si="5"/>
        <v/>
      </c>
      <c r="AF130" s="81"/>
      <c r="AG130" s="77"/>
      <c r="AH130" s="81"/>
      <c r="AI130" s="77"/>
      <c r="AJ130" s="82" t="str">
        <f t="shared" si="6"/>
        <v/>
      </c>
      <c r="AK130" s="83" t="str">
        <f t="shared" si="7"/>
        <v/>
      </c>
    </row>
    <row r="131" spans="2:37" ht="21" x14ac:dyDescent="0.35">
      <c r="B131" s="77"/>
      <c r="C131" s="77"/>
      <c r="D131" s="77"/>
      <c r="E131" s="77"/>
      <c r="F131" s="77"/>
      <c r="G131" s="77"/>
      <c r="H131" s="77"/>
      <c r="I131" s="78"/>
      <c r="J131" s="77"/>
      <c r="K131" s="77"/>
      <c r="L131" s="77"/>
      <c r="M131" s="78"/>
      <c r="N131" s="77"/>
      <c r="O131" s="77"/>
      <c r="P131" s="77"/>
      <c r="Q131" s="78"/>
      <c r="R131" s="77"/>
      <c r="S131" s="77"/>
      <c r="T131" s="77"/>
      <c r="U131" s="78"/>
      <c r="V131" s="77"/>
      <c r="W131" s="77"/>
      <c r="X131" s="77"/>
      <c r="Y131" s="78"/>
      <c r="Z131" s="77"/>
      <c r="AA131" s="77"/>
      <c r="AB131" s="77"/>
      <c r="AC131" s="77"/>
      <c r="AD131" s="79" t="str">
        <f t="shared" si="4"/>
        <v/>
      </c>
      <c r="AE131" s="80" t="str">
        <f t="shared" si="5"/>
        <v/>
      </c>
      <c r="AF131" s="81"/>
      <c r="AG131" s="77"/>
      <c r="AH131" s="81"/>
      <c r="AI131" s="77"/>
      <c r="AJ131" s="82" t="str">
        <f t="shared" si="6"/>
        <v/>
      </c>
      <c r="AK131" s="83" t="str">
        <f t="shared" si="7"/>
        <v/>
      </c>
    </row>
    <row r="132" spans="2:37" ht="21" x14ac:dyDescent="0.35">
      <c r="B132" s="77"/>
      <c r="C132" s="77"/>
      <c r="D132" s="77"/>
      <c r="E132" s="77"/>
      <c r="F132" s="77"/>
      <c r="G132" s="77"/>
      <c r="H132" s="77"/>
      <c r="I132" s="78"/>
      <c r="J132" s="77"/>
      <c r="K132" s="77"/>
      <c r="L132" s="77"/>
      <c r="M132" s="78"/>
      <c r="N132" s="77"/>
      <c r="O132" s="77"/>
      <c r="P132" s="77"/>
      <c r="Q132" s="78"/>
      <c r="R132" s="77"/>
      <c r="S132" s="77"/>
      <c r="T132" s="77"/>
      <c r="U132" s="78"/>
      <c r="V132" s="77"/>
      <c r="W132" s="77"/>
      <c r="X132" s="77"/>
      <c r="Y132" s="78"/>
      <c r="Z132" s="77"/>
      <c r="AA132" s="77"/>
      <c r="AB132" s="77"/>
      <c r="AC132" s="77"/>
      <c r="AD132" s="79" t="str">
        <f t="shared" ref="AD132:AD195" si="8">IF(MIN(F132,J132,N132,R132,V132,Z132)&lt;&gt;0,MIN(F132,J132,N132,R132,V132,Z132),"")</f>
        <v/>
      </c>
      <c r="AE132" s="80" t="str">
        <f t="shared" ref="AE132:AE195" si="9">IF(MIN(H132,L132,P132,T132,X132,AB132)&lt;&gt;0,MIN(H132,L132,P132,T132,X132,AB132),"")</f>
        <v/>
      </c>
      <c r="AF132" s="81"/>
      <c r="AG132" s="77"/>
      <c r="AH132" s="81"/>
      <c r="AI132" s="77"/>
      <c r="AJ132" s="82" t="str">
        <f t="shared" ref="AJ132:AJ195" si="10">IF(AD132="","",IF(ISBLANK(AF132),"En cours",AD132+AF132))</f>
        <v/>
      </c>
      <c r="AK132" s="83" t="str">
        <f t="shared" ref="AK132:AK195" si="11">IF(AE132="","",IF(ISBLANK(AH132),"En cours",AE132+AH132))</f>
        <v/>
      </c>
    </row>
    <row r="133" spans="2:37" ht="21" x14ac:dyDescent="0.35">
      <c r="B133" s="77"/>
      <c r="C133" s="77"/>
      <c r="D133" s="77"/>
      <c r="E133" s="77"/>
      <c r="F133" s="77"/>
      <c r="G133" s="77"/>
      <c r="H133" s="77"/>
      <c r="I133" s="78"/>
      <c r="J133" s="77"/>
      <c r="K133" s="77"/>
      <c r="L133" s="77"/>
      <c r="M133" s="78"/>
      <c r="N133" s="77"/>
      <c r="O133" s="77"/>
      <c r="P133" s="77"/>
      <c r="Q133" s="78"/>
      <c r="R133" s="77"/>
      <c r="S133" s="77"/>
      <c r="T133" s="77"/>
      <c r="U133" s="78"/>
      <c r="V133" s="77"/>
      <c r="W133" s="77"/>
      <c r="X133" s="77"/>
      <c r="Y133" s="78"/>
      <c r="Z133" s="77"/>
      <c r="AA133" s="77"/>
      <c r="AB133" s="77"/>
      <c r="AC133" s="77"/>
      <c r="AD133" s="79" t="str">
        <f t="shared" si="8"/>
        <v/>
      </c>
      <c r="AE133" s="80" t="str">
        <f t="shared" si="9"/>
        <v/>
      </c>
      <c r="AF133" s="81"/>
      <c r="AG133" s="77"/>
      <c r="AH133" s="81"/>
      <c r="AI133" s="77"/>
      <c r="AJ133" s="82" t="str">
        <f t="shared" si="10"/>
        <v/>
      </c>
      <c r="AK133" s="83" t="str">
        <f t="shared" si="11"/>
        <v/>
      </c>
    </row>
    <row r="134" spans="2:37" ht="21" x14ac:dyDescent="0.35">
      <c r="B134" s="77"/>
      <c r="C134" s="77"/>
      <c r="D134" s="77"/>
      <c r="E134" s="77"/>
      <c r="F134" s="77"/>
      <c r="G134" s="77"/>
      <c r="H134" s="77"/>
      <c r="I134" s="78"/>
      <c r="J134" s="77"/>
      <c r="K134" s="77"/>
      <c r="L134" s="77"/>
      <c r="M134" s="78"/>
      <c r="N134" s="77"/>
      <c r="O134" s="77"/>
      <c r="P134" s="77"/>
      <c r="Q134" s="78"/>
      <c r="R134" s="77"/>
      <c r="S134" s="77"/>
      <c r="T134" s="77"/>
      <c r="U134" s="78"/>
      <c r="V134" s="77"/>
      <c r="W134" s="77"/>
      <c r="X134" s="77"/>
      <c r="Y134" s="78"/>
      <c r="Z134" s="77"/>
      <c r="AA134" s="77"/>
      <c r="AB134" s="77"/>
      <c r="AC134" s="77"/>
      <c r="AD134" s="79" t="str">
        <f t="shared" si="8"/>
        <v/>
      </c>
      <c r="AE134" s="80" t="str">
        <f t="shared" si="9"/>
        <v/>
      </c>
      <c r="AF134" s="81"/>
      <c r="AG134" s="77"/>
      <c r="AH134" s="81"/>
      <c r="AI134" s="77"/>
      <c r="AJ134" s="82" t="str">
        <f t="shared" si="10"/>
        <v/>
      </c>
      <c r="AK134" s="83" t="str">
        <f t="shared" si="11"/>
        <v/>
      </c>
    </row>
    <row r="135" spans="2:37" ht="21" x14ac:dyDescent="0.35">
      <c r="B135" s="77"/>
      <c r="C135" s="77"/>
      <c r="D135" s="77"/>
      <c r="E135" s="77"/>
      <c r="F135" s="77"/>
      <c r="G135" s="77"/>
      <c r="H135" s="77"/>
      <c r="I135" s="78"/>
      <c r="J135" s="77"/>
      <c r="K135" s="77"/>
      <c r="L135" s="77"/>
      <c r="M135" s="78"/>
      <c r="N135" s="77"/>
      <c r="O135" s="77"/>
      <c r="P135" s="77"/>
      <c r="Q135" s="78"/>
      <c r="R135" s="77"/>
      <c r="S135" s="77"/>
      <c r="T135" s="77"/>
      <c r="U135" s="78"/>
      <c r="V135" s="77"/>
      <c r="W135" s="77"/>
      <c r="X135" s="77"/>
      <c r="Y135" s="78"/>
      <c r="Z135" s="77"/>
      <c r="AA135" s="77"/>
      <c r="AB135" s="77"/>
      <c r="AC135" s="77"/>
      <c r="AD135" s="79" t="str">
        <f t="shared" si="8"/>
        <v/>
      </c>
      <c r="AE135" s="80" t="str">
        <f t="shared" si="9"/>
        <v/>
      </c>
      <c r="AF135" s="81"/>
      <c r="AG135" s="77"/>
      <c r="AH135" s="81"/>
      <c r="AI135" s="77"/>
      <c r="AJ135" s="82" t="str">
        <f t="shared" si="10"/>
        <v/>
      </c>
      <c r="AK135" s="83" t="str">
        <f t="shared" si="11"/>
        <v/>
      </c>
    </row>
    <row r="136" spans="2:37" ht="21" x14ac:dyDescent="0.35">
      <c r="B136" s="77"/>
      <c r="C136" s="77"/>
      <c r="D136" s="77"/>
      <c r="E136" s="77"/>
      <c r="F136" s="77"/>
      <c r="G136" s="77"/>
      <c r="H136" s="77"/>
      <c r="I136" s="78"/>
      <c r="J136" s="77"/>
      <c r="K136" s="77"/>
      <c r="L136" s="77"/>
      <c r="M136" s="78"/>
      <c r="N136" s="77"/>
      <c r="O136" s="77"/>
      <c r="P136" s="77"/>
      <c r="Q136" s="78"/>
      <c r="R136" s="77"/>
      <c r="S136" s="77"/>
      <c r="T136" s="77"/>
      <c r="U136" s="78"/>
      <c r="V136" s="77"/>
      <c r="W136" s="77"/>
      <c r="X136" s="77"/>
      <c r="Y136" s="78"/>
      <c r="Z136" s="77"/>
      <c r="AA136" s="77"/>
      <c r="AB136" s="77"/>
      <c r="AC136" s="77"/>
      <c r="AD136" s="79" t="str">
        <f t="shared" si="8"/>
        <v/>
      </c>
      <c r="AE136" s="80" t="str">
        <f t="shared" si="9"/>
        <v/>
      </c>
      <c r="AF136" s="81"/>
      <c r="AG136" s="77"/>
      <c r="AH136" s="81"/>
      <c r="AI136" s="77"/>
      <c r="AJ136" s="82" t="str">
        <f t="shared" si="10"/>
        <v/>
      </c>
      <c r="AK136" s="83" t="str">
        <f t="shared" si="11"/>
        <v/>
      </c>
    </row>
    <row r="137" spans="2:37" ht="21" x14ac:dyDescent="0.35">
      <c r="B137" s="77"/>
      <c r="C137" s="77"/>
      <c r="D137" s="77"/>
      <c r="E137" s="77"/>
      <c r="F137" s="77"/>
      <c r="G137" s="77"/>
      <c r="H137" s="77"/>
      <c r="I137" s="78"/>
      <c r="J137" s="77"/>
      <c r="K137" s="77"/>
      <c r="L137" s="77"/>
      <c r="M137" s="78"/>
      <c r="N137" s="77"/>
      <c r="O137" s="77"/>
      <c r="P137" s="77"/>
      <c r="Q137" s="78"/>
      <c r="R137" s="77"/>
      <c r="S137" s="77"/>
      <c r="T137" s="77"/>
      <c r="U137" s="78"/>
      <c r="V137" s="77"/>
      <c r="W137" s="77"/>
      <c r="X137" s="77"/>
      <c r="Y137" s="78"/>
      <c r="Z137" s="77"/>
      <c r="AA137" s="77"/>
      <c r="AB137" s="77"/>
      <c r="AC137" s="77"/>
      <c r="AD137" s="79" t="str">
        <f t="shared" si="8"/>
        <v/>
      </c>
      <c r="AE137" s="80" t="str">
        <f t="shared" si="9"/>
        <v/>
      </c>
      <c r="AF137" s="81"/>
      <c r="AG137" s="77"/>
      <c r="AH137" s="81"/>
      <c r="AI137" s="77"/>
      <c r="AJ137" s="82" t="str">
        <f t="shared" si="10"/>
        <v/>
      </c>
      <c r="AK137" s="83" t="str">
        <f t="shared" si="11"/>
        <v/>
      </c>
    </row>
    <row r="138" spans="2:37" ht="21" x14ac:dyDescent="0.35">
      <c r="B138" s="77"/>
      <c r="C138" s="77"/>
      <c r="D138" s="77"/>
      <c r="E138" s="77"/>
      <c r="F138" s="77"/>
      <c r="G138" s="77"/>
      <c r="H138" s="77"/>
      <c r="I138" s="78"/>
      <c r="J138" s="77"/>
      <c r="K138" s="77"/>
      <c r="L138" s="77"/>
      <c r="M138" s="78"/>
      <c r="N138" s="77"/>
      <c r="O138" s="77"/>
      <c r="P138" s="77"/>
      <c r="Q138" s="78"/>
      <c r="R138" s="77"/>
      <c r="S138" s="77"/>
      <c r="T138" s="77"/>
      <c r="U138" s="78"/>
      <c r="V138" s="77"/>
      <c r="W138" s="77"/>
      <c r="X138" s="77"/>
      <c r="Y138" s="78"/>
      <c r="Z138" s="77"/>
      <c r="AA138" s="77"/>
      <c r="AB138" s="77"/>
      <c r="AC138" s="77"/>
      <c r="AD138" s="79" t="str">
        <f t="shared" si="8"/>
        <v/>
      </c>
      <c r="AE138" s="80" t="str">
        <f t="shared" si="9"/>
        <v/>
      </c>
      <c r="AF138" s="81"/>
      <c r="AG138" s="77"/>
      <c r="AH138" s="81"/>
      <c r="AI138" s="77"/>
      <c r="AJ138" s="82" t="str">
        <f t="shared" si="10"/>
        <v/>
      </c>
      <c r="AK138" s="83" t="str">
        <f t="shared" si="11"/>
        <v/>
      </c>
    </row>
    <row r="139" spans="2:37" ht="21" x14ac:dyDescent="0.35">
      <c r="B139" s="77"/>
      <c r="C139" s="77"/>
      <c r="D139" s="77"/>
      <c r="E139" s="77"/>
      <c r="F139" s="77"/>
      <c r="G139" s="77"/>
      <c r="H139" s="77"/>
      <c r="I139" s="78"/>
      <c r="J139" s="77"/>
      <c r="K139" s="77"/>
      <c r="L139" s="77"/>
      <c r="M139" s="78"/>
      <c r="N139" s="77"/>
      <c r="O139" s="77"/>
      <c r="P139" s="77"/>
      <c r="Q139" s="78"/>
      <c r="R139" s="77"/>
      <c r="S139" s="77"/>
      <c r="T139" s="77"/>
      <c r="U139" s="78"/>
      <c r="V139" s="77"/>
      <c r="W139" s="77"/>
      <c r="X139" s="77"/>
      <c r="Y139" s="78"/>
      <c r="Z139" s="77"/>
      <c r="AA139" s="77"/>
      <c r="AB139" s="77"/>
      <c r="AC139" s="77"/>
      <c r="AD139" s="79" t="str">
        <f t="shared" si="8"/>
        <v/>
      </c>
      <c r="AE139" s="80" t="str">
        <f t="shared" si="9"/>
        <v/>
      </c>
      <c r="AF139" s="81"/>
      <c r="AG139" s="77"/>
      <c r="AH139" s="81"/>
      <c r="AI139" s="77"/>
      <c r="AJ139" s="82" t="str">
        <f t="shared" si="10"/>
        <v/>
      </c>
      <c r="AK139" s="83" t="str">
        <f t="shared" si="11"/>
        <v/>
      </c>
    </row>
    <row r="140" spans="2:37" ht="21" x14ac:dyDescent="0.35">
      <c r="B140" s="77"/>
      <c r="C140" s="77"/>
      <c r="D140" s="77"/>
      <c r="E140" s="77"/>
      <c r="F140" s="77"/>
      <c r="G140" s="77"/>
      <c r="H140" s="77"/>
      <c r="I140" s="78"/>
      <c r="J140" s="77"/>
      <c r="K140" s="77"/>
      <c r="L140" s="77"/>
      <c r="M140" s="78"/>
      <c r="N140" s="77"/>
      <c r="O140" s="77"/>
      <c r="P140" s="77"/>
      <c r="Q140" s="78"/>
      <c r="R140" s="77"/>
      <c r="S140" s="77"/>
      <c r="T140" s="77"/>
      <c r="U140" s="78"/>
      <c r="V140" s="77"/>
      <c r="W140" s="77"/>
      <c r="X140" s="77"/>
      <c r="Y140" s="78"/>
      <c r="Z140" s="77"/>
      <c r="AA140" s="77"/>
      <c r="AB140" s="77"/>
      <c r="AC140" s="77"/>
      <c r="AD140" s="79" t="str">
        <f t="shared" si="8"/>
        <v/>
      </c>
      <c r="AE140" s="80" t="str">
        <f t="shared" si="9"/>
        <v/>
      </c>
      <c r="AF140" s="81"/>
      <c r="AG140" s="77"/>
      <c r="AH140" s="81"/>
      <c r="AI140" s="77"/>
      <c r="AJ140" s="82" t="str">
        <f t="shared" si="10"/>
        <v/>
      </c>
      <c r="AK140" s="83" t="str">
        <f t="shared" si="11"/>
        <v/>
      </c>
    </row>
    <row r="141" spans="2:37" ht="21" x14ac:dyDescent="0.35">
      <c r="B141" s="77"/>
      <c r="C141" s="77"/>
      <c r="D141" s="77"/>
      <c r="E141" s="77"/>
      <c r="F141" s="77"/>
      <c r="G141" s="77"/>
      <c r="H141" s="77"/>
      <c r="I141" s="78"/>
      <c r="J141" s="77"/>
      <c r="K141" s="77"/>
      <c r="L141" s="77"/>
      <c r="M141" s="78"/>
      <c r="N141" s="77"/>
      <c r="O141" s="77"/>
      <c r="P141" s="77"/>
      <c r="Q141" s="78"/>
      <c r="R141" s="77"/>
      <c r="S141" s="77"/>
      <c r="T141" s="77"/>
      <c r="U141" s="78"/>
      <c r="V141" s="77"/>
      <c r="W141" s="77"/>
      <c r="X141" s="77"/>
      <c r="Y141" s="78"/>
      <c r="Z141" s="77"/>
      <c r="AA141" s="77"/>
      <c r="AB141" s="77"/>
      <c r="AC141" s="77"/>
      <c r="AD141" s="79" t="str">
        <f t="shared" si="8"/>
        <v/>
      </c>
      <c r="AE141" s="80" t="str">
        <f t="shared" si="9"/>
        <v/>
      </c>
      <c r="AF141" s="81"/>
      <c r="AG141" s="77"/>
      <c r="AH141" s="81"/>
      <c r="AI141" s="77"/>
      <c r="AJ141" s="82" t="str">
        <f t="shared" si="10"/>
        <v/>
      </c>
      <c r="AK141" s="83" t="str">
        <f t="shared" si="11"/>
        <v/>
      </c>
    </row>
    <row r="142" spans="2:37" ht="21" x14ac:dyDescent="0.35">
      <c r="B142" s="77"/>
      <c r="C142" s="77"/>
      <c r="D142" s="77"/>
      <c r="E142" s="77"/>
      <c r="F142" s="77"/>
      <c r="G142" s="77"/>
      <c r="H142" s="77"/>
      <c r="I142" s="78"/>
      <c r="J142" s="77"/>
      <c r="K142" s="77"/>
      <c r="L142" s="77"/>
      <c r="M142" s="78"/>
      <c r="N142" s="77"/>
      <c r="O142" s="77"/>
      <c r="P142" s="77"/>
      <c r="Q142" s="78"/>
      <c r="R142" s="77"/>
      <c r="S142" s="77"/>
      <c r="T142" s="77"/>
      <c r="U142" s="78"/>
      <c r="V142" s="77"/>
      <c r="W142" s="77"/>
      <c r="X142" s="77"/>
      <c r="Y142" s="78"/>
      <c r="Z142" s="77"/>
      <c r="AA142" s="77"/>
      <c r="AB142" s="77"/>
      <c r="AC142" s="77"/>
      <c r="AD142" s="79" t="str">
        <f t="shared" si="8"/>
        <v/>
      </c>
      <c r="AE142" s="80" t="str">
        <f t="shared" si="9"/>
        <v/>
      </c>
      <c r="AF142" s="81"/>
      <c r="AG142" s="77"/>
      <c r="AH142" s="81"/>
      <c r="AI142" s="77"/>
      <c r="AJ142" s="82" t="str">
        <f t="shared" si="10"/>
        <v/>
      </c>
      <c r="AK142" s="83" t="str">
        <f t="shared" si="11"/>
        <v/>
      </c>
    </row>
    <row r="143" spans="2:37" ht="21" x14ac:dyDescent="0.35">
      <c r="B143" s="77"/>
      <c r="C143" s="77"/>
      <c r="D143" s="77"/>
      <c r="E143" s="77"/>
      <c r="F143" s="77"/>
      <c r="G143" s="77"/>
      <c r="H143" s="77"/>
      <c r="I143" s="78"/>
      <c r="J143" s="77"/>
      <c r="K143" s="77"/>
      <c r="L143" s="77"/>
      <c r="M143" s="78"/>
      <c r="N143" s="77"/>
      <c r="O143" s="77"/>
      <c r="P143" s="77"/>
      <c r="Q143" s="78"/>
      <c r="R143" s="77"/>
      <c r="S143" s="77"/>
      <c r="T143" s="77"/>
      <c r="U143" s="78"/>
      <c r="V143" s="77"/>
      <c r="W143" s="77"/>
      <c r="X143" s="77"/>
      <c r="Y143" s="78"/>
      <c r="Z143" s="77"/>
      <c r="AA143" s="77"/>
      <c r="AB143" s="77"/>
      <c r="AC143" s="77"/>
      <c r="AD143" s="79" t="str">
        <f t="shared" si="8"/>
        <v/>
      </c>
      <c r="AE143" s="80" t="str">
        <f t="shared" si="9"/>
        <v/>
      </c>
      <c r="AF143" s="81"/>
      <c r="AG143" s="77"/>
      <c r="AH143" s="81"/>
      <c r="AI143" s="77"/>
      <c r="AJ143" s="82" t="str">
        <f t="shared" si="10"/>
        <v/>
      </c>
      <c r="AK143" s="83" t="str">
        <f t="shared" si="11"/>
        <v/>
      </c>
    </row>
    <row r="144" spans="2:37" ht="21" x14ac:dyDescent="0.35">
      <c r="B144" s="77"/>
      <c r="C144" s="77"/>
      <c r="D144" s="77"/>
      <c r="E144" s="77"/>
      <c r="F144" s="77"/>
      <c r="G144" s="77"/>
      <c r="H144" s="77"/>
      <c r="I144" s="78"/>
      <c r="J144" s="77"/>
      <c r="K144" s="77"/>
      <c r="L144" s="77"/>
      <c r="M144" s="78"/>
      <c r="N144" s="77"/>
      <c r="O144" s="77"/>
      <c r="P144" s="77"/>
      <c r="Q144" s="78"/>
      <c r="R144" s="77"/>
      <c r="S144" s="77"/>
      <c r="T144" s="77"/>
      <c r="U144" s="78"/>
      <c r="V144" s="77"/>
      <c r="W144" s="77"/>
      <c r="X144" s="77"/>
      <c r="Y144" s="78"/>
      <c r="Z144" s="77"/>
      <c r="AA144" s="77"/>
      <c r="AB144" s="77"/>
      <c r="AC144" s="77"/>
      <c r="AD144" s="79" t="str">
        <f t="shared" si="8"/>
        <v/>
      </c>
      <c r="AE144" s="80" t="str">
        <f t="shared" si="9"/>
        <v/>
      </c>
      <c r="AF144" s="81"/>
      <c r="AG144" s="77"/>
      <c r="AH144" s="81"/>
      <c r="AI144" s="77"/>
      <c r="AJ144" s="82" t="str">
        <f t="shared" si="10"/>
        <v/>
      </c>
      <c r="AK144" s="83" t="str">
        <f t="shared" si="11"/>
        <v/>
      </c>
    </row>
    <row r="145" spans="2:37" ht="21" x14ac:dyDescent="0.35">
      <c r="B145" s="77"/>
      <c r="C145" s="77"/>
      <c r="D145" s="77"/>
      <c r="E145" s="77"/>
      <c r="F145" s="77"/>
      <c r="G145" s="77"/>
      <c r="H145" s="77"/>
      <c r="I145" s="78"/>
      <c r="J145" s="77"/>
      <c r="K145" s="77"/>
      <c r="L145" s="77"/>
      <c r="M145" s="78"/>
      <c r="N145" s="77"/>
      <c r="O145" s="77"/>
      <c r="P145" s="77"/>
      <c r="Q145" s="78"/>
      <c r="R145" s="77"/>
      <c r="S145" s="77"/>
      <c r="T145" s="77"/>
      <c r="U145" s="78"/>
      <c r="V145" s="77"/>
      <c r="W145" s="77"/>
      <c r="X145" s="77"/>
      <c r="Y145" s="78"/>
      <c r="Z145" s="77"/>
      <c r="AA145" s="77"/>
      <c r="AB145" s="77"/>
      <c r="AC145" s="77"/>
      <c r="AD145" s="79" t="str">
        <f t="shared" si="8"/>
        <v/>
      </c>
      <c r="AE145" s="80" t="str">
        <f t="shared" si="9"/>
        <v/>
      </c>
      <c r="AF145" s="81"/>
      <c r="AG145" s="77"/>
      <c r="AH145" s="81"/>
      <c r="AI145" s="77"/>
      <c r="AJ145" s="82" t="str">
        <f t="shared" si="10"/>
        <v/>
      </c>
      <c r="AK145" s="83" t="str">
        <f t="shared" si="11"/>
        <v/>
      </c>
    </row>
    <row r="146" spans="2:37" ht="21" x14ac:dyDescent="0.35">
      <c r="B146" s="77"/>
      <c r="C146" s="77"/>
      <c r="D146" s="77"/>
      <c r="E146" s="77"/>
      <c r="F146" s="77"/>
      <c r="G146" s="77"/>
      <c r="H146" s="77"/>
      <c r="I146" s="78"/>
      <c r="J146" s="77"/>
      <c r="K146" s="77"/>
      <c r="L146" s="77"/>
      <c r="M146" s="78"/>
      <c r="N146" s="77"/>
      <c r="O146" s="77"/>
      <c r="P146" s="77"/>
      <c r="Q146" s="78"/>
      <c r="R146" s="77"/>
      <c r="S146" s="77"/>
      <c r="T146" s="77"/>
      <c r="U146" s="78"/>
      <c r="V146" s="77"/>
      <c r="W146" s="77"/>
      <c r="X146" s="77"/>
      <c r="Y146" s="78"/>
      <c r="Z146" s="77"/>
      <c r="AA146" s="77"/>
      <c r="AB146" s="77"/>
      <c r="AC146" s="77"/>
      <c r="AD146" s="79" t="str">
        <f t="shared" si="8"/>
        <v/>
      </c>
      <c r="AE146" s="80" t="str">
        <f t="shared" si="9"/>
        <v/>
      </c>
      <c r="AF146" s="81"/>
      <c r="AG146" s="77"/>
      <c r="AH146" s="81"/>
      <c r="AI146" s="77"/>
      <c r="AJ146" s="82" t="str">
        <f t="shared" si="10"/>
        <v/>
      </c>
      <c r="AK146" s="83" t="str">
        <f t="shared" si="11"/>
        <v/>
      </c>
    </row>
    <row r="147" spans="2:37" ht="21" x14ac:dyDescent="0.35">
      <c r="B147" s="77"/>
      <c r="C147" s="77"/>
      <c r="D147" s="77"/>
      <c r="E147" s="77"/>
      <c r="F147" s="77"/>
      <c r="G147" s="77"/>
      <c r="H147" s="77"/>
      <c r="I147" s="78"/>
      <c r="J147" s="77"/>
      <c r="K147" s="77"/>
      <c r="L147" s="77"/>
      <c r="M147" s="78"/>
      <c r="N147" s="77"/>
      <c r="O147" s="77"/>
      <c r="P147" s="77"/>
      <c r="Q147" s="78"/>
      <c r="R147" s="77"/>
      <c r="S147" s="77"/>
      <c r="T147" s="77"/>
      <c r="U147" s="78"/>
      <c r="V147" s="77"/>
      <c r="W147" s="77"/>
      <c r="X147" s="77"/>
      <c r="Y147" s="78"/>
      <c r="Z147" s="77"/>
      <c r="AA147" s="77"/>
      <c r="AB147" s="77"/>
      <c r="AC147" s="77"/>
      <c r="AD147" s="79" t="str">
        <f t="shared" si="8"/>
        <v/>
      </c>
      <c r="AE147" s="80" t="str">
        <f t="shared" si="9"/>
        <v/>
      </c>
      <c r="AF147" s="81"/>
      <c r="AG147" s="77"/>
      <c r="AH147" s="81"/>
      <c r="AI147" s="77"/>
      <c r="AJ147" s="82" t="str">
        <f t="shared" si="10"/>
        <v/>
      </c>
      <c r="AK147" s="83" t="str">
        <f t="shared" si="11"/>
        <v/>
      </c>
    </row>
    <row r="148" spans="2:37" ht="21" x14ac:dyDescent="0.35">
      <c r="B148" s="77"/>
      <c r="C148" s="77"/>
      <c r="D148" s="77"/>
      <c r="E148" s="77"/>
      <c r="F148" s="77"/>
      <c r="G148" s="77"/>
      <c r="H148" s="77"/>
      <c r="I148" s="78"/>
      <c r="J148" s="77"/>
      <c r="K148" s="77"/>
      <c r="L148" s="77"/>
      <c r="M148" s="78"/>
      <c r="N148" s="77"/>
      <c r="O148" s="77"/>
      <c r="P148" s="77"/>
      <c r="Q148" s="78"/>
      <c r="R148" s="77"/>
      <c r="S148" s="77"/>
      <c r="T148" s="77"/>
      <c r="U148" s="78"/>
      <c r="V148" s="77"/>
      <c r="W148" s="77"/>
      <c r="X148" s="77"/>
      <c r="Y148" s="78"/>
      <c r="Z148" s="77"/>
      <c r="AA148" s="77"/>
      <c r="AB148" s="77"/>
      <c r="AC148" s="77"/>
      <c r="AD148" s="79" t="str">
        <f t="shared" si="8"/>
        <v/>
      </c>
      <c r="AE148" s="80" t="str">
        <f t="shared" si="9"/>
        <v/>
      </c>
      <c r="AF148" s="81"/>
      <c r="AG148" s="77"/>
      <c r="AH148" s="81"/>
      <c r="AI148" s="77"/>
      <c r="AJ148" s="82" t="str">
        <f t="shared" si="10"/>
        <v/>
      </c>
      <c r="AK148" s="83" t="str">
        <f t="shared" si="11"/>
        <v/>
      </c>
    </row>
    <row r="149" spans="2:37" ht="21" x14ac:dyDescent="0.35">
      <c r="B149" s="77"/>
      <c r="C149" s="77"/>
      <c r="D149" s="77"/>
      <c r="E149" s="77"/>
      <c r="F149" s="77"/>
      <c r="G149" s="77"/>
      <c r="H149" s="77"/>
      <c r="I149" s="78"/>
      <c r="J149" s="77"/>
      <c r="K149" s="77"/>
      <c r="L149" s="77"/>
      <c r="M149" s="78"/>
      <c r="N149" s="77"/>
      <c r="O149" s="77"/>
      <c r="P149" s="77"/>
      <c r="Q149" s="78"/>
      <c r="R149" s="77"/>
      <c r="S149" s="77"/>
      <c r="T149" s="77"/>
      <c r="U149" s="78"/>
      <c r="V149" s="77"/>
      <c r="W149" s="77"/>
      <c r="X149" s="77"/>
      <c r="Y149" s="78"/>
      <c r="Z149" s="77"/>
      <c r="AA149" s="77"/>
      <c r="AB149" s="77"/>
      <c r="AC149" s="77"/>
      <c r="AD149" s="79" t="str">
        <f t="shared" si="8"/>
        <v/>
      </c>
      <c r="AE149" s="80" t="str">
        <f t="shared" si="9"/>
        <v/>
      </c>
      <c r="AF149" s="81"/>
      <c r="AG149" s="77"/>
      <c r="AH149" s="81"/>
      <c r="AI149" s="77"/>
      <c r="AJ149" s="82" t="str">
        <f t="shared" si="10"/>
        <v/>
      </c>
      <c r="AK149" s="83" t="str">
        <f t="shared" si="11"/>
        <v/>
      </c>
    </row>
    <row r="150" spans="2:37" ht="21" x14ac:dyDescent="0.35">
      <c r="B150" s="77"/>
      <c r="C150" s="77"/>
      <c r="D150" s="77"/>
      <c r="E150" s="77"/>
      <c r="F150" s="77"/>
      <c r="G150" s="77"/>
      <c r="H150" s="77"/>
      <c r="I150" s="78"/>
      <c r="J150" s="77"/>
      <c r="K150" s="77"/>
      <c r="L150" s="77"/>
      <c r="M150" s="78"/>
      <c r="N150" s="77"/>
      <c r="O150" s="77"/>
      <c r="P150" s="77"/>
      <c r="Q150" s="78"/>
      <c r="R150" s="77"/>
      <c r="S150" s="77"/>
      <c r="T150" s="77"/>
      <c r="U150" s="78"/>
      <c r="V150" s="77"/>
      <c r="W150" s="77"/>
      <c r="X150" s="77"/>
      <c r="Y150" s="78"/>
      <c r="Z150" s="77"/>
      <c r="AA150" s="77"/>
      <c r="AB150" s="77"/>
      <c r="AC150" s="77"/>
      <c r="AD150" s="79" t="str">
        <f t="shared" si="8"/>
        <v/>
      </c>
      <c r="AE150" s="80" t="str">
        <f t="shared" si="9"/>
        <v/>
      </c>
      <c r="AF150" s="81"/>
      <c r="AG150" s="77"/>
      <c r="AH150" s="81"/>
      <c r="AI150" s="77"/>
      <c r="AJ150" s="82" t="str">
        <f t="shared" si="10"/>
        <v/>
      </c>
      <c r="AK150" s="83" t="str">
        <f t="shared" si="11"/>
        <v/>
      </c>
    </row>
    <row r="151" spans="2:37" ht="21" x14ac:dyDescent="0.35">
      <c r="B151" s="77"/>
      <c r="C151" s="77"/>
      <c r="D151" s="77"/>
      <c r="E151" s="77"/>
      <c r="F151" s="77"/>
      <c r="G151" s="77"/>
      <c r="H151" s="77"/>
      <c r="I151" s="78"/>
      <c r="J151" s="77"/>
      <c r="K151" s="77"/>
      <c r="L151" s="77"/>
      <c r="M151" s="78"/>
      <c r="N151" s="77"/>
      <c r="O151" s="77"/>
      <c r="P151" s="77"/>
      <c r="Q151" s="78"/>
      <c r="R151" s="77"/>
      <c r="S151" s="77"/>
      <c r="T151" s="77"/>
      <c r="U151" s="78"/>
      <c r="V151" s="77"/>
      <c r="W151" s="77"/>
      <c r="X151" s="77"/>
      <c r="Y151" s="78"/>
      <c r="Z151" s="77"/>
      <c r="AA151" s="77"/>
      <c r="AB151" s="77"/>
      <c r="AC151" s="77"/>
      <c r="AD151" s="79" t="str">
        <f t="shared" si="8"/>
        <v/>
      </c>
      <c r="AE151" s="80" t="str">
        <f t="shared" si="9"/>
        <v/>
      </c>
      <c r="AF151" s="81"/>
      <c r="AG151" s="77"/>
      <c r="AH151" s="81"/>
      <c r="AI151" s="77"/>
      <c r="AJ151" s="82" t="str">
        <f t="shared" si="10"/>
        <v/>
      </c>
      <c r="AK151" s="83" t="str">
        <f t="shared" si="11"/>
        <v/>
      </c>
    </row>
    <row r="152" spans="2:37" ht="21" x14ac:dyDescent="0.35">
      <c r="B152" s="77"/>
      <c r="C152" s="77"/>
      <c r="D152" s="77"/>
      <c r="E152" s="77"/>
      <c r="F152" s="77"/>
      <c r="G152" s="77"/>
      <c r="H152" s="77"/>
      <c r="I152" s="78"/>
      <c r="J152" s="77"/>
      <c r="K152" s="77"/>
      <c r="L152" s="77"/>
      <c r="M152" s="78"/>
      <c r="N152" s="77"/>
      <c r="O152" s="77"/>
      <c r="P152" s="77"/>
      <c r="Q152" s="78"/>
      <c r="R152" s="77"/>
      <c r="S152" s="77"/>
      <c r="T152" s="77"/>
      <c r="U152" s="78"/>
      <c r="V152" s="77"/>
      <c r="W152" s="77"/>
      <c r="X152" s="77"/>
      <c r="Y152" s="78"/>
      <c r="Z152" s="77"/>
      <c r="AA152" s="77"/>
      <c r="AB152" s="77"/>
      <c r="AC152" s="77"/>
      <c r="AD152" s="79" t="str">
        <f t="shared" si="8"/>
        <v/>
      </c>
      <c r="AE152" s="80" t="str">
        <f t="shared" si="9"/>
        <v/>
      </c>
      <c r="AF152" s="81"/>
      <c r="AG152" s="77"/>
      <c r="AH152" s="81"/>
      <c r="AI152" s="77"/>
      <c r="AJ152" s="82" t="str">
        <f t="shared" si="10"/>
        <v/>
      </c>
      <c r="AK152" s="83" t="str">
        <f t="shared" si="11"/>
        <v/>
      </c>
    </row>
    <row r="153" spans="2:37" ht="21" x14ac:dyDescent="0.35">
      <c r="B153" s="77"/>
      <c r="C153" s="77"/>
      <c r="D153" s="77"/>
      <c r="E153" s="77"/>
      <c r="F153" s="77"/>
      <c r="G153" s="77"/>
      <c r="H153" s="77"/>
      <c r="I153" s="78"/>
      <c r="J153" s="77"/>
      <c r="K153" s="77"/>
      <c r="L153" s="77"/>
      <c r="M153" s="78"/>
      <c r="N153" s="77"/>
      <c r="O153" s="77"/>
      <c r="P153" s="77"/>
      <c r="Q153" s="78"/>
      <c r="R153" s="77"/>
      <c r="S153" s="77"/>
      <c r="T153" s="77"/>
      <c r="U153" s="78"/>
      <c r="V153" s="77"/>
      <c r="W153" s="77"/>
      <c r="X153" s="77"/>
      <c r="Y153" s="78"/>
      <c r="Z153" s="77"/>
      <c r="AA153" s="77"/>
      <c r="AB153" s="77"/>
      <c r="AC153" s="77"/>
      <c r="AD153" s="79" t="str">
        <f t="shared" si="8"/>
        <v/>
      </c>
      <c r="AE153" s="80" t="str">
        <f t="shared" si="9"/>
        <v/>
      </c>
      <c r="AF153" s="81"/>
      <c r="AG153" s="77"/>
      <c r="AH153" s="81"/>
      <c r="AI153" s="77"/>
      <c r="AJ153" s="82" t="str">
        <f t="shared" si="10"/>
        <v/>
      </c>
      <c r="AK153" s="83" t="str">
        <f t="shared" si="11"/>
        <v/>
      </c>
    </row>
    <row r="154" spans="2:37" ht="21" x14ac:dyDescent="0.35">
      <c r="B154" s="77"/>
      <c r="C154" s="77"/>
      <c r="D154" s="77"/>
      <c r="E154" s="77"/>
      <c r="F154" s="77"/>
      <c r="G154" s="77"/>
      <c r="H154" s="77"/>
      <c r="I154" s="78"/>
      <c r="J154" s="77"/>
      <c r="K154" s="77"/>
      <c r="L154" s="77"/>
      <c r="M154" s="78"/>
      <c r="N154" s="77"/>
      <c r="O154" s="77"/>
      <c r="P154" s="77"/>
      <c r="Q154" s="78"/>
      <c r="R154" s="77"/>
      <c r="S154" s="77"/>
      <c r="T154" s="77"/>
      <c r="U154" s="78"/>
      <c r="V154" s="77"/>
      <c r="W154" s="77"/>
      <c r="X154" s="77"/>
      <c r="Y154" s="78"/>
      <c r="Z154" s="77"/>
      <c r="AA154" s="77"/>
      <c r="AB154" s="77"/>
      <c r="AC154" s="77"/>
      <c r="AD154" s="79" t="str">
        <f t="shared" si="8"/>
        <v/>
      </c>
      <c r="AE154" s="80" t="str">
        <f t="shared" si="9"/>
        <v/>
      </c>
      <c r="AF154" s="81"/>
      <c r="AG154" s="77"/>
      <c r="AH154" s="81"/>
      <c r="AI154" s="77"/>
      <c r="AJ154" s="82" t="str">
        <f t="shared" si="10"/>
        <v/>
      </c>
      <c r="AK154" s="83" t="str">
        <f t="shared" si="11"/>
        <v/>
      </c>
    </row>
    <row r="155" spans="2:37" ht="21" x14ac:dyDescent="0.35">
      <c r="B155" s="77"/>
      <c r="C155" s="77"/>
      <c r="D155" s="77"/>
      <c r="E155" s="77"/>
      <c r="F155" s="77"/>
      <c r="G155" s="77"/>
      <c r="H155" s="77"/>
      <c r="I155" s="78"/>
      <c r="J155" s="77"/>
      <c r="K155" s="77"/>
      <c r="L155" s="77"/>
      <c r="M155" s="78"/>
      <c r="N155" s="77"/>
      <c r="O155" s="77"/>
      <c r="P155" s="77"/>
      <c r="Q155" s="78"/>
      <c r="R155" s="77"/>
      <c r="S155" s="77"/>
      <c r="T155" s="77"/>
      <c r="U155" s="78"/>
      <c r="V155" s="77"/>
      <c r="W155" s="77"/>
      <c r="X155" s="77"/>
      <c r="Y155" s="78"/>
      <c r="Z155" s="77"/>
      <c r="AA155" s="77"/>
      <c r="AB155" s="77"/>
      <c r="AC155" s="77"/>
      <c r="AD155" s="79" t="str">
        <f t="shared" si="8"/>
        <v/>
      </c>
      <c r="AE155" s="80" t="str">
        <f t="shared" si="9"/>
        <v/>
      </c>
      <c r="AF155" s="81"/>
      <c r="AG155" s="77"/>
      <c r="AH155" s="81"/>
      <c r="AI155" s="77"/>
      <c r="AJ155" s="82" t="str">
        <f t="shared" si="10"/>
        <v/>
      </c>
      <c r="AK155" s="83" t="str">
        <f t="shared" si="11"/>
        <v/>
      </c>
    </row>
    <row r="156" spans="2:37" ht="21" x14ac:dyDescent="0.35">
      <c r="B156" s="77"/>
      <c r="C156" s="77"/>
      <c r="D156" s="77"/>
      <c r="E156" s="77"/>
      <c r="F156" s="77"/>
      <c r="G156" s="77"/>
      <c r="H156" s="77"/>
      <c r="I156" s="78"/>
      <c r="J156" s="77"/>
      <c r="K156" s="77"/>
      <c r="L156" s="77"/>
      <c r="M156" s="78"/>
      <c r="N156" s="77"/>
      <c r="O156" s="77"/>
      <c r="P156" s="77"/>
      <c r="Q156" s="78"/>
      <c r="R156" s="77"/>
      <c r="S156" s="77"/>
      <c r="T156" s="77"/>
      <c r="U156" s="78"/>
      <c r="V156" s="77"/>
      <c r="W156" s="77"/>
      <c r="X156" s="77"/>
      <c r="Y156" s="78"/>
      <c r="Z156" s="77"/>
      <c r="AA156" s="77"/>
      <c r="AB156" s="77"/>
      <c r="AC156" s="77"/>
      <c r="AD156" s="79" t="str">
        <f t="shared" si="8"/>
        <v/>
      </c>
      <c r="AE156" s="80" t="str">
        <f t="shared" si="9"/>
        <v/>
      </c>
      <c r="AF156" s="81"/>
      <c r="AG156" s="77"/>
      <c r="AH156" s="81"/>
      <c r="AI156" s="77"/>
      <c r="AJ156" s="82" t="str">
        <f t="shared" si="10"/>
        <v/>
      </c>
      <c r="AK156" s="83" t="str">
        <f t="shared" si="11"/>
        <v/>
      </c>
    </row>
    <row r="157" spans="2:37" ht="21" x14ac:dyDescent="0.35">
      <c r="B157" s="77"/>
      <c r="C157" s="77"/>
      <c r="D157" s="77"/>
      <c r="E157" s="77"/>
      <c r="F157" s="77"/>
      <c r="G157" s="77"/>
      <c r="H157" s="77"/>
      <c r="I157" s="78"/>
      <c r="J157" s="77"/>
      <c r="K157" s="77"/>
      <c r="L157" s="77"/>
      <c r="M157" s="78"/>
      <c r="N157" s="77"/>
      <c r="O157" s="77"/>
      <c r="P157" s="77"/>
      <c r="Q157" s="78"/>
      <c r="R157" s="77"/>
      <c r="S157" s="77"/>
      <c r="T157" s="77"/>
      <c r="U157" s="78"/>
      <c r="V157" s="77"/>
      <c r="W157" s="77"/>
      <c r="X157" s="77"/>
      <c r="Y157" s="78"/>
      <c r="Z157" s="77"/>
      <c r="AA157" s="77"/>
      <c r="AB157" s="77"/>
      <c r="AC157" s="77"/>
      <c r="AD157" s="79" t="str">
        <f t="shared" si="8"/>
        <v/>
      </c>
      <c r="AE157" s="80" t="str">
        <f t="shared" si="9"/>
        <v/>
      </c>
      <c r="AF157" s="81"/>
      <c r="AG157" s="77"/>
      <c r="AH157" s="81"/>
      <c r="AI157" s="77"/>
      <c r="AJ157" s="82" t="str">
        <f t="shared" si="10"/>
        <v/>
      </c>
      <c r="AK157" s="83" t="str">
        <f t="shared" si="11"/>
        <v/>
      </c>
    </row>
    <row r="158" spans="2:37" ht="21" x14ac:dyDescent="0.35">
      <c r="B158" s="77"/>
      <c r="C158" s="77"/>
      <c r="D158" s="77"/>
      <c r="E158" s="77"/>
      <c r="F158" s="77"/>
      <c r="G158" s="77"/>
      <c r="H158" s="77"/>
      <c r="I158" s="78"/>
      <c r="J158" s="77"/>
      <c r="K158" s="77"/>
      <c r="L158" s="77"/>
      <c r="M158" s="78"/>
      <c r="N158" s="77"/>
      <c r="O158" s="77"/>
      <c r="P158" s="77"/>
      <c r="Q158" s="78"/>
      <c r="R158" s="77"/>
      <c r="S158" s="77"/>
      <c r="T158" s="77"/>
      <c r="U158" s="78"/>
      <c r="V158" s="77"/>
      <c r="W158" s="77"/>
      <c r="X158" s="77"/>
      <c r="Y158" s="78"/>
      <c r="Z158" s="77"/>
      <c r="AA158" s="77"/>
      <c r="AB158" s="77"/>
      <c r="AC158" s="77"/>
      <c r="AD158" s="79" t="str">
        <f t="shared" si="8"/>
        <v/>
      </c>
      <c r="AE158" s="80" t="str">
        <f t="shared" si="9"/>
        <v/>
      </c>
      <c r="AF158" s="81"/>
      <c r="AG158" s="77"/>
      <c r="AH158" s="81"/>
      <c r="AI158" s="77"/>
      <c r="AJ158" s="82" t="str">
        <f t="shared" si="10"/>
        <v/>
      </c>
      <c r="AK158" s="83" t="str">
        <f t="shared" si="11"/>
        <v/>
      </c>
    </row>
    <row r="159" spans="2:37" ht="21" x14ac:dyDescent="0.35">
      <c r="B159" s="77"/>
      <c r="C159" s="77"/>
      <c r="D159" s="77"/>
      <c r="E159" s="77"/>
      <c r="F159" s="77"/>
      <c r="G159" s="77"/>
      <c r="H159" s="77"/>
      <c r="I159" s="78"/>
      <c r="J159" s="77"/>
      <c r="K159" s="77"/>
      <c r="L159" s="77"/>
      <c r="M159" s="78"/>
      <c r="N159" s="77"/>
      <c r="O159" s="77"/>
      <c r="P159" s="77"/>
      <c r="Q159" s="78"/>
      <c r="R159" s="77"/>
      <c r="S159" s="77"/>
      <c r="T159" s="77"/>
      <c r="U159" s="78"/>
      <c r="V159" s="77"/>
      <c r="W159" s="77"/>
      <c r="X159" s="77"/>
      <c r="Y159" s="78"/>
      <c r="Z159" s="77"/>
      <c r="AA159" s="77"/>
      <c r="AB159" s="77"/>
      <c r="AC159" s="77"/>
      <c r="AD159" s="79" t="str">
        <f t="shared" si="8"/>
        <v/>
      </c>
      <c r="AE159" s="80" t="str">
        <f t="shared" si="9"/>
        <v/>
      </c>
      <c r="AF159" s="81"/>
      <c r="AG159" s="77"/>
      <c r="AH159" s="81"/>
      <c r="AI159" s="77"/>
      <c r="AJ159" s="82" t="str">
        <f t="shared" si="10"/>
        <v/>
      </c>
      <c r="AK159" s="83" t="str">
        <f t="shared" si="11"/>
        <v/>
      </c>
    </row>
    <row r="160" spans="2:37" ht="21" x14ac:dyDescent="0.35">
      <c r="B160" s="77"/>
      <c r="C160" s="77"/>
      <c r="D160" s="77"/>
      <c r="E160" s="77"/>
      <c r="F160" s="77"/>
      <c r="G160" s="77"/>
      <c r="H160" s="77"/>
      <c r="I160" s="78"/>
      <c r="J160" s="77"/>
      <c r="K160" s="77"/>
      <c r="L160" s="77"/>
      <c r="M160" s="78"/>
      <c r="N160" s="77"/>
      <c r="O160" s="77"/>
      <c r="P160" s="77"/>
      <c r="Q160" s="78"/>
      <c r="R160" s="77"/>
      <c r="S160" s="77"/>
      <c r="T160" s="77"/>
      <c r="U160" s="78"/>
      <c r="V160" s="77"/>
      <c r="W160" s="77"/>
      <c r="X160" s="77"/>
      <c r="Y160" s="78"/>
      <c r="Z160" s="77"/>
      <c r="AA160" s="77"/>
      <c r="AB160" s="77"/>
      <c r="AC160" s="77"/>
      <c r="AD160" s="79" t="str">
        <f t="shared" si="8"/>
        <v/>
      </c>
      <c r="AE160" s="80" t="str">
        <f t="shared" si="9"/>
        <v/>
      </c>
      <c r="AF160" s="81"/>
      <c r="AG160" s="77"/>
      <c r="AH160" s="81"/>
      <c r="AI160" s="77"/>
      <c r="AJ160" s="82" t="str">
        <f t="shared" si="10"/>
        <v/>
      </c>
      <c r="AK160" s="83" t="str">
        <f t="shared" si="11"/>
        <v/>
      </c>
    </row>
    <row r="161" spans="2:37" ht="21" x14ac:dyDescent="0.35">
      <c r="B161" s="77"/>
      <c r="C161" s="77"/>
      <c r="D161" s="77"/>
      <c r="E161" s="77"/>
      <c r="F161" s="77"/>
      <c r="G161" s="77"/>
      <c r="H161" s="77"/>
      <c r="I161" s="78"/>
      <c r="J161" s="77"/>
      <c r="K161" s="77"/>
      <c r="L161" s="77"/>
      <c r="M161" s="78"/>
      <c r="N161" s="77"/>
      <c r="O161" s="77"/>
      <c r="P161" s="77"/>
      <c r="Q161" s="78"/>
      <c r="R161" s="77"/>
      <c r="S161" s="77"/>
      <c r="T161" s="77"/>
      <c r="U161" s="78"/>
      <c r="V161" s="77"/>
      <c r="W161" s="77"/>
      <c r="X161" s="77"/>
      <c r="Y161" s="78"/>
      <c r="Z161" s="77"/>
      <c r="AA161" s="77"/>
      <c r="AB161" s="77"/>
      <c r="AC161" s="77"/>
      <c r="AD161" s="79" t="str">
        <f t="shared" si="8"/>
        <v/>
      </c>
      <c r="AE161" s="80" t="str">
        <f t="shared" si="9"/>
        <v/>
      </c>
      <c r="AF161" s="81"/>
      <c r="AG161" s="77"/>
      <c r="AH161" s="81"/>
      <c r="AI161" s="77"/>
      <c r="AJ161" s="82" t="str">
        <f t="shared" si="10"/>
        <v/>
      </c>
      <c r="AK161" s="83" t="str">
        <f t="shared" si="11"/>
        <v/>
      </c>
    </row>
    <row r="162" spans="2:37" ht="21" x14ac:dyDescent="0.35">
      <c r="B162" s="77"/>
      <c r="C162" s="77"/>
      <c r="D162" s="77"/>
      <c r="E162" s="77"/>
      <c r="F162" s="77"/>
      <c r="G162" s="77"/>
      <c r="H162" s="77"/>
      <c r="I162" s="78"/>
      <c r="J162" s="77"/>
      <c r="K162" s="77"/>
      <c r="L162" s="77"/>
      <c r="M162" s="78"/>
      <c r="N162" s="77"/>
      <c r="O162" s="77"/>
      <c r="P162" s="77"/>
      <c r="Q162" s="78"/>
      <c r="R162" s="77"/>
      <c r="S162" s="77"/>
      <c r="T162" s="77"/>
      <c r="U162" s="78"/>
      <c r="V162" s="77"/>
      <c r="W162" s="77"/>
      <c r="X162" s="77"/>
      <c r="Y162" s="78"/>
      <c r="Z162" s="77"/>
      <c r="AA162" s="77"/>
      <c r="AB162" s="77"/>
      <c r="AC162" s="77"/>
      <c r="AD162" s="79" t="str">
        <f t="shared" si="8"/>
        <v/>
      </c>
      <c r="AE162" s="80" t="str">
        <f t="shared" si="9"/>
        <v/>
      </c>
      <c r="AF162" s="81"/>
      <c r="AG162" s="77"/>
      <c r="AH162" s="81"/>
      <c r="AI162" s="77"/>
      <c r="AJ162" s="82" t="str">
        <f t="shared" si="10"/>
        <v/>
      </c>
      <c r="AK162" s="83" t="str">
        <f t="shared" si="11"/>
        <v/>
      </c>
    </row>
    <row r="163" spans="2:37" ht="21" x14ac:dyDescent="0.35">
      <c r="B163" s="77"/>
      <c r="C163" s="77"/>
      <c r="D163" s="77"/>
      <c r="E163" s="77"/>
      <c r="F163" s="77"/>
      <c r="G163" s="77"/>
      <c r="H163" s="77"/>
      <c r="I163" s="78"/>
      <c r="J163" s="77"/>
      <c r="K163" s="77"/>
      <c r="L163" s="77"/>
      <c r="M163" s="78"/>
      <c r="N163" s="77"/>
      <c r="O163" s="77"/>
      <c r="P163" s="77"/>
      <c r="Q163" s="78"/>
      <c r="R163" s="77"/>
      <c r="S163" s="77"/>
      <c r="T163" s="77"/>
      <c r="U163" s="78"/>
      <c r="V163" s="77"/>
      <c r="W163" s="77"/>
      <c r="X163" s="77"/>
      <c r="Y163" s="78"/>
      <c r="Z163" s="77"/>
      <c r="AA163" s="77"/>
      <c r="AB163" s="77"/>
      <c r="AC163" s="77"/>
      <c r="AD163" s="79" t="str">
        <f t="shared" si="8"/>
        <v/>
      </c>
      <c r="AE163" s="80" t="str">
        <f t="shared" si="9"/>
        <v/>
      </c>
      <c r="AF163" s="81"/>
      <c r="AG163" s="77"/>
      <c r="AH163" s="81"/>
      <c r="AI163" s="77"/>
      <c r="AJ163" s="82" t="str">
        <f t="shared" si="10"/>
        <v/>
      </c>
      <c r="AK163" s="83" t="str">
        <f t="shared" si="11"/>
        <v/>
      </c>
    </row>
    <row r="164" spans="2:37" ht="21" x14ac:dyDescent="0.35">
      <c r="B164" s="77"/>
      <c r="C164" s="77"/>
      <c r="D164" s="77"/>
      <c r="E164" s="77"/>
      <c r="F164" s="77"/>
      <c r="G164" s="77"/>
      <c r="H164" s="77"/>
      <c r="I164" s="78"/>
      <c r="J164" s="77"/>
      <c r="K164" s="77"/>
      <c r="L164" s="77"/>
      <c r="M164" s="78"/>
      <c r="N164" s="77"/>
      <c r="O164" s="77"/>
      <c r="P164" s="77"/>
      <c r="Q164" s="78"/>
      <c r="R164" s="77"/>
      <c r="S164" s="77"/>
      <c r="T164" s="77"/>
      <c r="U164" s="78"/>
      <c r="V164" s="77"/>
      <c r="W164" s="77"/>
      <c r="X164" s="77"/>
      <c r="Y164" s="78"/>
      <c r="Z164" s="77"/>
      <c r="AA164" s="77"/>
      <c r="AB164" s="77"/>
      <c r="AC164" s="77"/>
      <c r="AD164" s="79" t="str">
        <f t="shared" si="8"/>
        <v/>
      </c>
      <c r="AE164" s="80" t="str">
        <f t="shared" si="9"/>
        <v/>
      </c>
      <c r="AF164" s="81"/>
      <c r="AG164" s="77"/>
      <c r="AH164" s="81"/>
      <c r="AI164" s="77"/>
      <c r="AJ164" s="82" t="str">
        <f t="shared" si="10"/>
        <v/>
      </c>
      <c r="AK164" s="83" t="str">
        <f t="shared" si="11"/>
        <v/>
      </c>
    </row>
    <row r="165" spans="2:37" ht="21" x14ac:dyDescent="0.35">
      <c r="B165" s="77"/>
      <c r="C165" s="77"/>
      <c r="D165" s="77"/>
      <c r="E165" s="77"/>
      <c r="F165" s="77"/>
      <c r="G165" s="77"/>
      <c r="H165" s="77"/>
      <c r="I165" s="78"/>
      <c r="J165" s="77"/>
      <c r="K165" s="77"/>
      <c r="L165" s="77"/>
      <c r="M165" s="78"/>
      <c r="N165" s="77"/>
      <c r="O165" s="77"/>
      <c r="P165" s="77"/>
      <c r="Q165" s="78"/>
      <c r="R165" s="77"/>
      <c r="S165" s="77"/>
      <c r="T165" s="77"/>
      <c r="U165" s="78"/>
      <c r="V165" s="77"/>
      <c r="W165" s="77"/>
      <c r="X165" s="77"/>
      <c r="Y165" s="78"/>
      <c r="Z165" s="77"/>
      <c r="AA165" s="77"/>
      <c r="AB165" s="77"/>
      <c r="AC165" s="77"/>
      <c r="AD165" s="79" t="str">
        <f t="shared" si="8"/>
        <v/>
      </c>
      <c r="AE165" s="80" t="str">
        <f t="shared" si="9"/>
        <v/>
      </c>
      <c r="AF165" s="81"/>
      <c r="AG165" s="77"/>
      <c r="AH165" s="81"/>
      <c r="AI165" s="77"/>
      <c r="AJ165" s="82" t="str">
        <f t="shared" si="10"/>
        <v/>
      </c>
      <c r="AK165" s="83" t="str">
        <f t="shared" si="11"/>
        <v/>
      </c>
    </row>
    <row r="166" spans="2:37" ht="21" x14ac:dyDescent="0.35">
      <c r="B166" s="77"/>
      <c r="C166" s="77"/>
      <c r="D166" s="77"/>
      <c r="E166" s="77"/>
      <c r="F166" s="77"/>
      <c r="G166" s="77"/>
      <c r="H166" s="77"/>
      <c r="I166" s="78"/>
      <c r="J166" s="77"/>
      <c r="K166" s="77"/>
      <c r="L166" s="77"/>
      <c r="M166" s="78"/>
      <c r="N166" s="77"/>
      <c r="O166" s="77"/>
      <c r="P166" s="77"/>
      <c r="Q166" s="78"/>
      <c r="R166" s="77"/>
      <c r="S166" s="77"/>
      <c r="T166" s="77"/>
      <c r="U166" s="78"/>
      <c r="V166" s="77"/>
      <c r="W166" s="77"/>
      <c r="X166" s="77"/>
      <c r="Y166" s="78"/>
      <c r="Z166" s="77"/>
      <c r="AA166" s="77"/>
      <c r="AB166" s="77"/>
      <c r="AC166" s="77"/>
      <c r="AD166" s="79" t="str">
        <f t="shared" si="8"/>
        <v/>
      </c>
      <c r="AE166" s="80" t="str">
        <f t="shared" si="9"/>
        <v/>
      </c>
      <c r="AF166" s="81"/>
      <c r="AG166" s="77"/>
      <c r="AH166" s="81"/>
      <c r="AI166" s="77"/>
      <c r="AJ166" s="82" t="str">
        <f t="shared" si="10"/>
        <v/>
      </c>
      <c r="AK166" s="83" t="str">
        <f t="shared" si="11"/>
        <v/>
      </c>
    </row>
    <row r="167" spans="2:37" ht="21" x14ac:dyDescent="0.35">
      <c r="B167" s="77"/>
      <c r="C167" s="77"/>
      <c r="D167" s="77"/>
      <c r="E167" s="77"/>
      <c r="F167" s="77"/>
      <c r="G167" s="77"/>
      <c r="H167" s="77"/>
      <c r="I167" s="78"/>
      <c r="J167" s="77"/>
      <c r="K167" s="77"/>
      <c r="L167" s="77"/>
      <c r="M167" s="78"/>
      <c r="N167" s="77"/>
      <c r="O167" s="77"/>
      <c r="P167" s="77"/>
      <c r="Q167" s="78"/>
      <c r="R167" s="77"/>
      <c r="S167" s="77"/>
      <c r="T167" s="77"/>
      <c r="U167" s="78"/>
      <c r="V167" s="77"/>
      <c r="W167" s="77"/>
      <c r="X167" s="77"/>
      <c r="Y167" s="78"/>
      <c r="Z167" s="77"/>
      <c r="AA167" s="77"/>
      <c r="AB167" s="77"/>
      <c r="AC167" s="77"/>
      <c r="AD167" s="79" t="str">
        <f t="shared" si="8"/>
        <v/>
      </c>
      <c r="AE167" s="80" t="str">
        <f t="shared" si="9"/>
        <v/>
      </c>
      <c r="AF167" s="81"/>
      <c r="AG167" s="77"/>
      <c r="AH167" s="81"/>
      <c r="AI167" s="77"/>
      <c r="AJ167" s="82" t="str">
        <f t="shared" si="10"/>
        <v/>
      </c>
      <c r="AK167" s="83" t="str">
        <f t="shared" si="11"/>
        <v/>
      </c>
    </row>
    <row r="168" spans="2:37" ht="21" x14ac:dyDescent="0.35">
      <c r="B168" s="77"/>
      <c r="C168" s="77"/>
      <c r="D168" s="77"/>
      <c r="E168" s="77"/>
      <c r="F168" s="77"/>
      <c r="G168" s="77"/>
      <c r="H168" s="77"/>
      <c r="I168" s="78"/>
      <c r="J168" s="77"/>
      <c r="K168" s="77"/>
      <c r="L168" s="77"/>
      <c r="M168" s="78"/>
      <c r="N168" s="77"/>
      <c r="O168" s="77"/>
      <c r="P168" s="77"/>
      <c r="Q168" s="78"/>
      <c r="R168" s="77"/>
      <c r="S168" s="77"/>
      <c r="T168" s="77"/>
      <c r="U168" s="78"/>
      <c r="V168" s="77"/>
      <c r="W168" s="77"/>
      <c r="X168" s="77"/>
      <c r="Y168" s="78"/>
      <c r="Z168" s="77"/>
      <c r="AA168" s="77"/>
      <c r="AB168" s="77"/>
      <c r="AC168" s="77"/>
      <c r="AD168" s="79" t="str">
        <f t="shared" si="8"/>
        <v/>
      </c>
      <c r="AE168" s="80" t="str">
        <f t="shared" si="9"/>
        <v/>
      </c>
      <c r="AF168" s="81"/>
      <c r="AG168" s="77"/>
      <c r="AH168" s="81"/>
      <c r="AI168" s="77"/>
      <c r="AJ168" s="82" t="str">
        <f t="shared" si="10"/>
        <v/>
      </c>
      <c r="AK168" s="83" t="str">
        <f t="shared" si="11"/>
        <v/>
      </c>
    </row>
    <row r="169" spans="2:37" ht="21" x14ac:dyDescent="0.35">
      <c r="B169" s="77"/>
      <c r="C169" s="77"/>
      <c r="D169" s="77"/>
      <c r="E169" s="77"/>
      <c r="F169" s="77"/>
      <c r="G169" s="77"/>
      <c r="H169" s="77"/>
      <c r="I169" s="78"/>
      <c r="J169" s="77"/>
      <c r="K169" s="77"/>
      <c r="L169" s="77"/>
      <c r="M169" s="78"/>
      <c r="N169" s="77"/>
      <c r="O169" s="77"/>
      <c r="P169" s="77"/>
      <c r="Q169" s="78"/>
      <c r="R169" s="77"/>
      <c r="S169" s="77"/>
      <c r="T169" s="77"/>
      <c r="U169" s="78"/>
      <c r="V169" s="77"/>
      <c r="W169" s="77"/>
      <c r="X169" s="77"/>
      <c r="Y169" s="78"/>
      <c r="Z169" s="77"/>
      <c r="AA169" s="77"/>
      <c r="AB169" s="77"/>
      <c r="AC169" s="77"/>
      <c r="AD169" s="79" t="str">
        <f t="shared" si="8"/>
        <v/>
      </c>
      <c r="AE169" s="80" t="str">
        <f t="shared" si="9"/>
        <v/>
      </c>
      <c r="AF169" s="81"/>
      <c r="AG169" s="77"/>
      <c r="AH169" s="81"/>
      <c r="AI169" s="77"/>
      <c r="AJ169" s="82" t="str">
        <f t="shared" si="10"/>
        <v/>
      </c>
      <c r="AK169" s="83" t="str">
        <f t="shared" si="11"/>
        <v/>
      </c>
    </row>
    <row r="170" spans="2:37" ht="21" x14ac:dyDescent="0.35">
      <c r="B170" s="77"/>
      <c r="C170" s="77"/>
      <c r="D170" s="77"/>
      <c r="E170" s="77"/>
      <c r="F170" s="77"/>
      <c r="G170" s="77"/>
      <c r="H170" s="77"/>
      <c r="I170" s="78"/>
      <c r="J170" s="77"/>
      <c r="K170" s="77"/>
      <c r="L170" s="77"/>
      <c r="M170" s="78"/>
      <c r="N170" s="77"/>
      <c r="O170" s="77"/>
      <c r="P170" s="77"/>
      <c r="Q170" s="78"/>
      <c r="R170" s="77"/>
      <c r="S170" s="77"/>
      <c r="T170" s="77"/>
      <c r="U170" s="78"/>
      <c r="V170" s="77"/>
      <c r="W170" s="77"/>
      <c r="X170" s="77"/>
      <c r="Y170" s="78"/>
      <c r="Z170" s="77"/>
      <c r="AA170" s="77"/>
      <c r="AB170" s="77"/>
      <c r="AC170" s="77"/>
      <c r="AD170" s="79" t="str">
        <f t="shared" si="8"/>
        <v/>
      </c>
      <c r="AE170" s="80" t="str">
        <f t="shared" si="9"/>
        <v/>
      </c>
      <c r="AF170" s="81"/>
      <c r="AG170" s="77"/>
      <c r="AH170" s="81"/>
      <c r="AI170" s="77"/>
      <c r="AJ170" s="82" t="str">
        <f t="shared" si="10"/>
        <v/>
      </c>
      <c r="AK170" s="83" t="str">
        <f t="shared" si="11"/>
        <v/>
      </c>
    </row>
    <row r="171" spans="2:37" ht="21" x14ac:dyDescent="0.35">
      <c r="B171" s="77"/>
      <c r="C171" s="77"/>
      <c r="D171" s="77"/>
      <c r="E171" s="77"/>
      <c r="F171" s="77"/>
      <c r="G171" s="77"/>
      <c r="H171" s="77"/>
      <c r="I171" s="78"/>
      <c r="J171" s="77"/>
      <c r="K171" s="77"/>
      <c r="L171" s="77"/>
      <c r="M171" s="78"/>
      <c r="N171" s="77"/>
      <c r="O171" s="77"/>
      <c r="P171" s="77"/>
      <c r="Q171" s="78"/>
      <c r="R171" s="77"/>
      <c r="S171" s="77"/>
      <c r="T171" s="77"/>
      <c r="U171" s="78"/>
      <c r="V171" s="77"/>
      <c r="W171" s="77"/>
      <c r="X171" s="77"/>
      <c r="Y171" s="78"/>
      <c r="Z171" s="77"/>
      <c r="AA171" s="77"/>
      <c r="AB171" s="77"/>
      <c r="AC171" s="77"/>
      <c r="AD171" s="79" t="str">
        <f t="shared" si="8"/>
        <v/>
      </c>
      <c r="AE171" s="80" t="str">
        <f t="shared" si="9"/>
        <v/>
      </c>
      <c r="AF171" s="81"/>
      <c r="AG171" s="77"/>
      <c r="AH171" s="81"/>
      <c r="AI171" s="77"/>
      <c r="AJ171" s="82" t="str">
        <f t="shared" si="10"/>
        <v/>
      </c>
      <c r="AK171" s="83" t="str">
        <f t="shared" si="11"/>
        <v/>
      </c>
    </row>
    <row r="172" spans="2:37" ht="21" x14ac:dyDescent="0.35">
      <c r="B172" s="77"/>
      <c r="C172" s="77"/>
      <c r="D172" s="77"/>
      <c r="E172" s="77"/>
      <c r="F172" s="77"/>
      <c r="G172" s="77"/>
      <c r="H172" s="77"/>
      <c r="I172" s="78"/>
      <c r="J172" s="77"/>
      <c r="K172" s="77"/>
      <c r="L172" s="77"/>
      <c r="M172" s="78"/>
      <c r="N172" s="77"/>
      <c r="O172" s="77"/>
      <c r="P172" s="77"/>
      <c r="Q172" s="78"/>
      <c r="R172" s="77"/>
      <c r="S172" s="77"/>
      <c r="T172" s="77"/>
      <c r="U172" s="78"/>
      <c r="V172" s="77"/>
      <c r="W172" s="77"/>
      <c r="X172" s="77"/>
      <c r="Y172" s="78"/>
      <c r="Z172" s="77"/>
      <c r="AA172" s="77"/>
      <c r="AB172" s="77"/>
      <c r="AC172" s="77"/>
      <c r="AD172" s="79" t="str">
        <f t="shared" si="8"/>
        <v/>
      </c>
      <c r="AE172" s="80" t="str">
        <f t="shared" si="9"/>
        <v/>
      </c>
      <c r="AF172" s="81"/>
      <c r="AG172" s="77"/>
      <c r="AH172" s="81"/>
      <c r="AI172" s="77"/>
      <c r="AJ172" s="82" t="str">
        <f t="shared" si="10"/>
        <v/>
      </c>
      <c r="AK172" s="83" t="str">
        <f t="shared" si="11"/>
        <v/>
      </c>
    </row>
    <row r="173" spans="2:37" ht="21" x14ac:dyDescent="0.35">
      <c r="B173" s="77"/>
      <c r="C173" s="77"/>
      <c r="D173" s="77"/>
      <c r="E173" s="77"/>
      <c r="F173" s="77"/>
      <c r="G173" s="77"/>
      <c r="H173" s="77"/>
      <c r="I173" s="78"/>
      <c r="J173" s="77"/>
      <c r="K173" s="77"/>
      <c r="L173" s="77"/>
      <c r="M173" s="78"/>
      <c r="N173" s="77"/>
      <c r="O173" s="77"/>
      <c r="P173" s="77"/>
      <c r="Q173" s="78"/>
      <c r="R173" s="77"/>
      <c r="S173" s="77"/>
      <c r="T173" s="77"/>
      <c r="U173" s="78"/>
      <c r="V173" s="77"/>
      <c r="W173" s="77"/>
      <c r="X173" s="77"/>
      <c r="Y173" s="78"/>
      <c r="Z173" s="77"/>
      <c r="AA173" s="77"/>
      <c r="AB173" s="77"/>
      <c r="AC173" s="77"/>
      <c r="AD173" s="79" t="str">
        <f t="shared" si="8"/>
        <v/>
      </c>
      <c r="AE173" s="80" t="str">
        <f t="shared" si="9"/>
        <v/>
      </c>
      <c r="AF173" s="81"/>
      <c r="AG173" s="77"/>
      <c r="AH173" s="81"/>
      <c r="AI173" s="77"/>
      <c r="AJ173" s="82" t="str">
        <f t="shared" si="10"/>
        <v/>
      </c>
      <c r="AK173" s="83" t="str">
        <f t="shared" si="11"/>
        <v/>
      </c>
    </row>
    <row r="174" spans="2:37" ht="21" x14ac:dyDescent="0.35">
      <c r="B174" s="77"/>
      <c r="C174" s="77"/>
      <c r="D174" s="77"/>
      <c r="E174" s="77"/>
      <c r="F174" s="77"/>
      <c r="G174" s="77"/>
      <c r="H174" s="77"/>
      <c r="I174" s="78"/>
      <c r="J174" s="77"/>
      <c r="K174" s="77"/>
      <c r="L174" s="77"/>
      <c r="M174" s="78"/>
      <c r="N174" s="77"/>
      <c r="O174" s="77"/>
      <c r="P174" s="77"/>
      <c r="Q174" s="78"/>
      <c r="R174" s="77"/>
      <c r="S174" s="77"/>
      <c r="T174" s="77"/>
      <c r="U174" s="78"/>
      <c r="V174" s="77"/>
      <c r="W174" s="77"/>
      <c r="X174" s="77"/>
      <c r="Y174" s="78"/>
      <c r="Z174" s="77"/>
      <c r="AA174" s="77"/>
      <c r="AB174" s="77"/>
      <c r="AC174" s="77"/>
      <c r="AD174" s="79" t="str">
        <f t="shared" si="8"/>
        <v/>
      </c>
      <c r="AE174" s="80" t="str">
        <f t="shared" si="9"/>
        <v/>
      </c>
      <c r="AF174" s="81"/>
      <c r="AG174" s="77"/>
      <c r="AH174" s="81"/>
      <c r="AI174" s="77"/>
      <c r="AJ174" s="82" t="str">
        <f t="shared" si="10"/>
        <v/>
      </c>
      <c r="AK174" s="83" t="str">
        <f t="shared" si="11"/>
        <v/>
      </c>
    </row>
    <row r="175" spans="2:37" ht="21" x14ac:dyDescent="0.35">
      <c r="B175" s="77"/>
      <c r="C175" s="77"/>
      <c r="D175" s="77"/>
      <c r="E175" s="77"/>
      <c r="F175" s="77"/>
      <c r="G175" s="77"/>
      <c r="H175" s="77"/>
      <c r="I175" s="78"/>
      <c r="J175" s="77"/>
      <c r="K175" s="77"/>
      <c r="L175" s="77"/>
      <c r="M175" s="78"/>
      <c r="N175" s="77"/>
      <c r="O175" s="77"/>
      <c r="P175" s="77"/>
      <c r="Q175" s="78"/>
      <c r="R175" s="77"/>
      <c r="S175" s="77"/>
      <c r="T175" s="77"/>
      <c r="U175" s="78"/>
      <c r="V175" s="77"/>
      <c r="W175" s="77"/>
      <c r="X175" s="77"/>
      <c r="Y175" s="78"/>
      <c r="Z175" s="77"/>
      <c r="AA175" s="77"/>
      <c r="AB175" s="77"/>
      <c r="AC175" s="77"/>
      <c r="AD175" s="79" t="str">
        <f t="shared" si="8"/>
        <v/>
      </c>
      <c r="AE175" s="80" t="str">
        <f t="shared" si="9"/>
        <v/>
      </c>
      <c r="AF175" s="81"/>
      <c r="AG175" s="77"/>
      <c r="AH175" s="81"/>
      <c r="AI175" s="77"/>
      <c r="AJ175" s="82" t="str">
        <f t="shared" si="10"/>
        <v/>
      </c>
      <c r="AK175" s="83" t="str">
        <f t="shared" si="11"/>
        <v/>
      </c>
    </row>
    <row r="176" spans="2:37" ht="21" x14ac:dyDescent="0.35">
      <c r="B176" s="77"/>
      <c r="C176" s="77"/>
      <c r="D176" s="77"/>
      <c r="E176" s="77"/>
      <c r="F176" s="77"/>
      <c r="G176" s="77"/>
      <c r="H176" s="77"/>
      <c r="I176" s="78"/>
      <c r="J176" s="77"/>
      <c r="K176" s="77"/>
      <c r="L176" s="77"/>
      <c r="M176" s="78"/>
      <c r="N176" s="77"/>
      <c r="O176" s="77"/>
      <c r="P176" s="77"/>
      <c r="Q176" s="78"/>
      <c r="R176" s="77"/>
      <c r="S176" s="77"/>
      <c r="T176" s="77"/>
      <c r="U176" s="78"/>
      <c r="V176" s="77"/>
      <c r="W176" s="77"/>
      <c r="X176" s="77"/>
      <c r="Y176" s="78"/>
      <c r="Z176" s="77"/>
      <c r="AA176" s="77"/>
      <c r="AB176" s="77"/>
      <c r="AC176" s="77"/>
      <c r="AD176" s="79" t="str">
        <f t="shared" si="8"/>
        <v/>
      </c>
      <c r="AE176" s="80" t="str">
        <f t="shared" si="9"/>
        <v/>
      </c>
      <c r="AF176" s="81"/>
      <c r="AG176" s="77"/>
      <c r="AH176" s="81"/>
      <c r="AI176" s="77"/>
      <c r="AJ176" s="82" t="str">
        <f t="shared" si="10"/>
        <v/>
      </c>
      <c r="AK176" s="83" t="str">
        <f t="shared" si="11"/>
        <v/>
      </c>
    </row>
    <row r="177" spans="2:37" ht="21" x14ac:dyDescent="0.35">
      <c r="B177" s="77"/>
      <c r="C177" s="77"/>
      <c r="D177" s="77"/>
      <c r="E177" s="77"/>
      <c r="F177" s="77"/>
      <c r="G177" s="77"/>
      <c r="H177" s="77"/>
      <c r="I177" s="78"/>
      <c r="J177" s="77"/>
      <c r="K177" s="77"/>
      <c r="L177" s="77"/>
      <c r="M177" s="78"/>
      <c r="N177" s="77"/>
      <c r="O177" s="77"/>
      <c r="P177" s="77"/>
      <c r="Q177" s="78"/>
      <c r="R177" s="77"/>
      <c r="S177" s="77"/>
      <c r="T177" s="77"/>
      <c r="U177" s="78"/>
      <c r="V177" s="77"/>
      <c r="W177" s="77"/>
      <c r="X177" s="77"/>
      <c r="Y177" s="78"/>
      <c r="Z177" s="77"/>
      <c r="AA177" s="77"/>
      <c r="AB177" s="77"/>
      <c r="AC177" s="77"/>
      <c r="AD177" s="79" t="str">
        <f t="shared" si="8"/>
        <v/>
      </c>
      <c r="AE177" s="80" t="str">
        <f t="shared" si="9"/>
        <v/>
      </c>
      <c r="AF177" s="81"/>
      <c r="AG177" s="77"/>
      <c r="AH177" s="81"/>
      <c r="AI177" s="77"/>
      <c r="AJ177" s="82" t="str">
        <f t="shared" si="10"/>
        <v/>
      </c>
      <c r="AK177" s="83" t="str">
        <f t="shared" si="11"/>
        <v/>
      </c>
    </row>
    <row r="178" spans="2:37" ht="21" x14ac:dyDescent="0.35">
      <c r="B178" s="77"/>
      <c r="C178" s="77"/>
      <c r="D178" s="77"/>
      <c r="E178" s="77"/>
      <c r="F178" s="77"/>
      <c r="G178" s="77"/>
      <c r="H178" s="77"/>
      <c r="I178" s="78"/>
      <c r="J178" s="77"/>
      <c r="K178" s="77"/>
      <c r="L178" s="77"/>
      <c r="M178" s="78"/>
      <c r="N178" s="77"/>
      <c r="O178" s="77"/>
      <c r="P178" s="77"/>
      <c r="Q178" s="78"/>
      <c r="R178" s="77"/>
      <c r="S178" s="77"/>
      <c r="T178" s="77"/>
      <c r="U178" s="78"/>
      <c r="V178" s="77"/>
      <c r="W178" s="77"/>
      <c r="X178" s="77"/>
      <c r="Y178" s="78"/>
      <c r="Z178" s="77"/>
      <c r="AA178" s="77"/>
      <c r="AB178" s="77"/>
      <c r="AC178" s="77"/>
      <c r="AD178" s="79" t="str">
        <f t="shared" si="8"/>
        <v/>
      </c>
      <c r="AE178" s="80" t="str">
        <f t="shared" si="9"/>
        <v/>
      </c>
      <c r="AF178" s="81"/>
      <c r="AG178" s="77"/>
      <c r="AH178" s="81"/>
      <c r="AI178" s="77"/>
      <c r="AJ178" s="82" t="str">
        <f t="shared" si="10"/>
        <v/>
      </c>
      <c r="AK178" s="83" t="str">
        <f t="shared" si="11"/>
        <v/>
      </c>
    </row>
    <row r="179" spans="2:37" ht="21" x14ac:dyDescent="0.35">
      <c r="B179" s="77"/>
      <c r="C179" s="77"/>
      <c r="D179" s="77"/>
      <c r="E179" s="77"/>
      <c r="F179" s="77"/>
      <c r="G179" s="77"/>
      <c r="H179" s="77"/>
      <c r="I179" s="78"/>
      <c r="J179" s="77"/>
      <c r="K179" s="77"/>
      <c r="L179" s="77"/>
      <c r="M179" s="78"/>
      <c r="N179" s="77"/>
      <c r="O179" s="77"/>
      <c r="P179" s="77"/>
      <c r="Q179" s="78"/>
      <c r="R179" s="77"/>
      <c r="S179" s="77"/>
      <c r="T179" s="77"/>
      <c r="U179" s="78"/>
      <c r="V179" s="77"/>
      <c r="W179" s="77"/>
      <c r="X179" s="77"/>
      <c r="Y179" s="78"/>
      <c r="Z179" s="77"/>
      <c r="AA179" s="77"/>
      <c r="AB179" s="77"/>
      <c r="AC179" s="77"/>
      <c r="AD179" s="79" t="str">
        <f t="shared" si="8"/>
        <v/>
      </c>
      <c r="AE179" s="80" t="str">
        <f t="shared" si="9"/>
        <v/>
      </c>
      <c r="AF179" s="81"/>
      <c r="AG179" s="77"/>
      <c r="AH179" s="81"/>
      <c r="AI179" s="77"/>
      <c r="AJ179" s="82" t="str">
        <f t="shared" si="10"/>
        <v/>
      </c>
      <c r="AK179" s="83" t="str">
        <f t="shared" si="11"/>
        <v/>
      </c>
    </row>
    <row r="180" spans="2:37" ht="21" x14ac:dyDescent="0.35">
      <c r="B180" s="77"/>
      <c r="C180" s="77"/>
      <c r="D180" s="77"/>
      <c r="E180" s="77"/>
      <c r="F180" s="77"/>
      <c r="G180" s="77"/>
      <c r="H180" s="77"/>
      <c r="I180" s="78"/>
      <c r="J180" s="77"/>
      <c r="K180" s="77"/>
      <c r="L180" s="77"/>
      <c r="M180" s="78"/>
      <c r="N180" s="77"/>
      <c r="O180" s="77"/>
      <c r="P180" s="77"/>
      <c r="Q180" s="78"/>
      <c r="R180" s="77"/>
      <c r="S180" s="77"/>
      <c r="T180" s="77"/>
      <c r="U180" s="78"/>
      <c r="V180" s="77"/>
      <c r="W180" s="77"/>
      <c r="X180" s="77"/>
      <c r="Y180" s="78"/>
      <c r="Z180" s="77"/>
      <c r="AA180" s="77"/>
      <c r="AB180" s="77"/>
      <c r="AC180" s="77"/>
      <c r="AD180" s="79" t="str">
        <f t="shared" si="8"/>
        <v/>
      </c>
      <c r="AE180" s="80" t="str">
        <f t="shared" si="9"/>
        <v/>
      </c>
      <c r="AF180" s="81"/>
      <c r="AG180" s="77"/>
      <c r="AH180" s="81"/>
      <c r="AI180" s="77"/>
      <c r="AJ180" s="82" t="str">
        <f t="shared" si="10"/>
        <v/>
      </c>
      <c r="AK180" s="83" t="str">
        <f t="shared" si="11"/>
        <v/>
      </c>
    </row>
    <row r="181" spans="2:37" ht="21" x14ac:dyDescent="0.35">
      <c r="B181" s="77"/>
      <c r="C181" s="77"/>
      <c r="D181" s="77"/>
      <c r="E181" s="77"/>
      <c r="F181" s="77"/>
      <c r="G181" s="77"/>
      <c r="H181" s="77"/>
      <c r="I181" s="78"/>
      <c r="J181" s="77"/>
      <c r="K181" s="77"/>
      <c r="L181" s="77"/>
      <c r="M181" s="78"/>
      <c r="N181" s="77"/>
      <c r="O181" s="77"/>
      <c r="P181" s="77"/>
      <c r="Q181" s="78"/>
      <c r="R181" s="77"/>
      <c r="S181" s="77"/>
      <c r="T181" s="77"/>
      <c r="U181" s="78"/>
      <c r="V181" s="77"/>
      <c r="W181" s="77"/>
      <c r="X181" s="77"/>
      <c r="Y181" s="78"/>
      <c r="Z181" s="77"/>
      <c r="AA181" s="77"/>
      <c r="AB181" s="77"/>
      <c r="AC181" s="77"/>
      <c r="AD181" s="79" t="str">
        <f t="shared" si="8"/>
        <v/>
      </c>
      <c r="AE181" s="80" t="str">
        <f t="shared" si="9"/>
        <v/>
      </c>
      <c r="AF181" s="81"/>
      <c r="AG181" s="77"/>
      <c r="AH181" s="81"/>
      <c r="AI181" s="77"/>
      <c r="AJ181" s="82" t="str">
        <f t="shared" si="10"/>
        <v/>
      </c>
      <c r="AK181" s="83" t="str">
        <f t="shared" si="11"/>
        <v/>
      </c>
    </row>
    <row r="182" spans="2:37" ht="21" x14ac:dyDescent="0.35">
      <c r="B182" s="77"/>
      <c r="C182" s="77"/>
      <c r="D182" s="77"/>
      <c r="E182" s="77"/>
      <c r="F182" s="77"/>
      <c r="G182" s="77"/>
      <c r="H182" s="77"/>
      <c r="I182" s="78"/>
      <c r="J182" s="77"/>
      <c r="K182" s="77"/>
      <c r="L182" s="77"/>
      <c r="M182" s="78"/>
      <c r="N182" s="77"/>
      <c r="O182" s="77"/>
      <c r="P182" s="77"/>
      <c r="Q182" s="78"/>
      <c r="R182" s="77"/>
      <c r="S182" s="77"/>
      <c r="T182" s="77"/>
      <c r="U182" s="78"/>
      <c r="V182" s="77"/>
      <c r="W182" s="77"/>
      <c r="X182" s="77"/>
      <c r="Y182" s="78"/>
      <c r="Z182" s="77"/>
      <c r="AA182" s="77"/>
      <c r="AB182" s="77"/>
      <c r="AC182" s="77"/>
      <c r="AD182" s="79" t="str">
        <f t="shared" si="8"/>
        <v/>
      </c>
      <c r="AE182" s="80" t="str">
        <f t="shared" si="9"/>
        <v/>
      </c>
      <c r="AF182" s="81"/>
      <c r="AG182" s="77"/>
      <c r="AH182" s="81"/>
      <c r="AI182" s="77"/>
      <c r="AJ182" s="82" t="str">
        <f t="shared" si="10"/>
        <v/>
      </c>
      <c r="AK182" s="83" t="str">
        <f t="shared" si="11"/>
        <v/>
      </c>
    </row>
    <row r="183" spans="2:37" ht="21" x14ac:dyDescent="0.35">
      <c r="B183" s="77"/>
      <c r="C183" s="77"/>
      <c r="D183" s="77"/>
      <c r="E183" s="77"/>
      <c r="F183" s="77"/>
      <c r="G183" s="77"/>
      <c r="H183" s="77"/>
      <c r="I183" s="78"/>
      <c r="J183" s="77"/>
      <c r="K183" s="77"/>
      <c r="L183" s="77"/>
      <c r="M183" s="78"/>
      <c r="N183" s="77"/>
      <c r="O183" s="77"/>
      <c r="P183" s="77"/>
      <c r="Q183" s="78"/>
      <c r="R183" s="77"/>
      <c r="S183" s="77"/>
      <c r="T183" s="77"/>
      <c r="U183" s="78"/>
      <c r="V183" s="77"/>
      <c r="W183" s="77"/>
      <c r="X183" s="77"/>
      <c r="Y183" s="78"/>
      <c r="Z183" s="77"/>
      <c r="AA183" s="77"/>
      <c r="AB183" s="77"/>
      <c r="AC183" s="77"/>
      <c r="AD183" s="79" t="str">
        <f t="shared" si="8"/>
        <v/>
      </c>
      <c r="AE183" s="80" t="str">
        <f t="shared" si="9"/>
        <v/>
      </c>
      <c r="AF183" s="81"/>
      <c r="AG183" s="77"/>
      <c r="AH183" s="81"/>
      <c r="AI183" s="77"/>
      <c r="AJ183" s="82" t="str">
        <f t="shared" si="10"/>
        <v/>
      </c>
      <c r="AK183" s="83" t="str">
        <f t="shared" si="11"/>
        <v/>
      </c>
    </row>
    <row r="184" spans="2:37" ht="21" x14ac:dyDescent="0.35">
      <c r="B184" s="77"/>
      <c r="C184" s="77"/>
      <c r="D184" s="77"/>
      <c r="E184" s="77"/>
      <c r="F184" s="77"/>
      <c r="G184" s="77"/>
      <c r="H184" s="77"/>
      <c r="I184" s="78"/>
      <c r="J184" s="77"/>
      <c r="K184" s="77"/>
      <c r="L184" s="77"/>
      <c r="M184" s="78"/>
      <c r="N184" s="77"/>
      <c r="O184" s="77"/>
      <c r="P184" s="77"/>
      <c r="Q184" s="78"/>
      <c r="R184" s="77"/>
      <c r="S184" s="77"/>
      <c r="T184" s="77"/>
      <c r="U184" s="78"/>
      <c r="V184" s="77"/>
      <c r="W184" s="77"/>
      <c r="X184" s="77"/>
      <c r="Y184" s="78"/>
      <c r="Z184" s="77"/>
      <c r="AA184" s="77"/>
      <c r="AB184" s="77"/>
      <c r="AC184" s="77"/>
      <c r="AD184" s="79" t="str">
        <f t="shared" si="8"/>
        <v/>
      </c>
      <c r="AE184" s="80" t="str">
        <f t="shared" si="9"/>
        <v/>
      </c>
      <c r="AF184" s="81"/>
      <c r="AG184" s="77"/>
      <c r="AH184" s="81"/>
      <c r="AI184" s="77"/>
      <c r="AJ184" s="82" t="str">
        <f t="shared" si="10"/>
        <v/>
      </c>
      <c r="AK184" s="83" t="str">
        <f t="shared" si="11"/>
        <v/>
      </c>
    </row>
    <row r="185" spans="2:37" ht="21" x14ac:dyDescent="0.35">
      <c r="B185" s="77"/>
      <c r="C185" s="77"/>
      <c r="D185" s="77"/>
      <c r="E185" s="77"/>
      <c r="F185" s="77"/>
      <c r="G185" s="77"/>
      <c r="H185" s="77"/>
      <c r="I185" s="78"/>
      <c r="J185" s="77"/>
      <c r="K185" s="77"/>
      <c r="L185" s="77"/>
      <c r="M185" s="78"/>
      <c r="N185" s="77"/>
      <c r="O185" s="77"/>
      <c r="P185" s="77"/>
      <c r="Q185" s="78"/>
      <c r="R185" s="77"/>
      <c r="S185" s="77"/>
      <c r="T185" s="77"/>
      <c r="U185" s="78"/>
      <c r="V185" s="77"/>
      <c r="W185" s="77"/>
      <c r="X185" s="77"/>
      <c r="Y185" s="78"/>
      <c r="Z185" s="77"/>
      <c r="AA185" s="77"/>
      <c r="AB185" s="77"/>
      <c r="AC185" s="77"/>
      <c r="AD185" s="79" t="str">
        <f t="shared" si="8"/>
        <v/>
      </c>
      <c r="AE185" s="80" t="str">
        <f t="shared" si="9"/>
        <v/>
      </c>
      <c r="AF185" s="81"/>
      <c r="AG185" s="77"/>
      <c r="AH185" s="81"/>
      <c r="AI185" s="77"/>
      <c r="AJ185" s="82" t="str">
        <f t="shared" si="10"/>
        <v/>
      </c>
      <c r="AK185" s="83" t="str">
        <f t="shared" si="11"/>
        <v/>
      </c>
    </row>
    <row r="186" spans="2:37" ht="21" x14ac:dyDescent="0.35">
      <c r="B186" s="77"/>
      <c r="C186" s="77"/>
      <c r="D186" s="77"/>
      <c r="E186" s="77"/>
      <c r="F186" s="77"/>
      <c r="G186" s="77"/>
      <c r="H186" s="77"/>
      <c r="I186" s="78"/>
      <c r="J186" s="77"/>
      <c r="K186" s="77"/>
      <c r="L186" s="77"/>
      <c r="M186" s="78"/>
      <c r="N186" s="77"/>
      <c r="O186" s="77"/>
      <c r="P186" s="77"/>
      <c r="Q186" s="78"/>
      <c r="R186" s="77"/>
      <c r="S186" s="77"/>
      <c r="T186" s="77"/>
      <c r="U186" s="78"/>
      <c r="V186" s="77"/>
      <c r="W186" s="77"/>
      <c r="X186" s="77"/>
      <c r="Y186" s="78"/>
      <c r="Z186" s="77"/>
      <c r="AA186" s="77"/>
      <c r="AB186" s="77"/>
      <c r="AC186" s="77"/>
      <c r="AD186" s="79" t="str">
        <f t="shared" si="8"/>
        <v/>
      </c>
      <c r="AE186" s="80" t="str">
        <f t="shared" si="9"/>
        <v/>
      </c>
      <c r="AF186" s="81"/>
      <c r="AG186" s="77"/>
      <c r="AH186" s="81"/>
      <c r="AI186" s="77"/>
      <c r="AJ186" s="82" t="str">
        <f t="shared" si="10"/>
        <v/>
      </c>
      <c r="AK186" s="83" t="str">
        <f t="shared" si="11"/>
        <v/>
      </c>
    </row>
    <row r="187" spans="2:37" ht="21" x14ac:dyDescent="0.35">
      <c r="B187" s="77"/>
      <c r="C187" s="77"/>
      <c r="D187" s="77"/>
      <c r="E187" s="77"/>
      <c r="F187" s="77"/>
      <c r="G187" s="77"/>
      <c r="H187" s="77"/>
      <c r="I187" s="78"/>
      <c r="J187" s="77"/>
      <c r="K187" s="77"/>
      <c r="L187" s="77"/>
      <c r="M187" s="78"/>
      <c r="N187" s="77"/>
      <c r="O187" s="77"/>
      <c r="P187" s="77"/>
      <c r="Q187" s="78"/>
      <c r="R187" s="77"/>
      <c r="S187" s="77"/>
      <c r="T187" s="77"/>
      <c r="U187" s="78"/>
      <c r="V187" s="77"/>
      <c r="W187" s="77"/>
      <c r="X187" s="77"/>
      <c r="Y187" s="78"/>
      <c r="Z187" s="77"/>
      <c r="AA187" s="77"/>
      <c r="AB187" s="77"/>
      <c r="AC187" s="77"/>
      <c r="AD187" s="79" t="str">
        <f t="shared" si="8"/>
        <v/>
      </c>
      <c r="AE187" s="80" t="str">
        <f t="shared" si="9"/>
        <v/>
      </c>
      <c r="AF187" s="81"/>
      <c r="AG187" s="77"/>
      <c r="AH187" s="81"/>
      <c r="AI187" s="77"/>
      <c r="AJ187" s="82" t="str">
        <f t="shared" si="10"/>
        <v/>
      </c>
      <c r="AK187" s="83" t="str">
        <f t="shared" si="11"/>
        <v/>
      </c>
    </row>
    <row r="188" spans="2:37" ht="21" x14ac:dyDescent="0.35">
      <c r="B188" s="77"/>
      <c r="C188" s="77"/>
      <c r="D188" s="77"/>
      <c r="E188" s="77"/>
      <c r="F188" s="77"/>
      <c r="G188" s="77"/>
      <c r="H188" s="77"/>
      <c r="I188" s="78"/>
      <c r="J188" s="77"/>
      <c r="K188" s="77"/>
      <c r="L188" s="77"/>
      <c r="M188" s="78"/>
      <c r="N188" s="77"/>
      <c r="O188" s="77"/>
      <c r="P188" s="77"/>
      <c r="Q188" s="78"/>
      <c r="R188" s="77"/>
      <c r="S188" s="77"/>
      <c r="T188" s="77"/>
      <c r="U188" s="78"/>
      <c r="V188" s="77"/>
      <c r="W188" s="77"/>
      <c r="X188" s="77"/>
      <c r="Y188" s="78"/>
      <c r="Z188" s="77"/>
      <c r="AA188" s="77"/>
      <c r="AB188" s="77"/>
      <c r="AC188" s="77"/>
      <c r="AD188" s="79" t="str">
        <f t="shared" si="8"/>
        <v/>
      </c>
      <c r="AE188" s="80" t="str">
        <f t="shared" si="9"/>
        <v/>
      </c>
      <c r="AF188" s="81"/>
      <c r="AG188" s="77"/>
      <c r="AH188" s="81"/>
      <c r="AI188" s="77"/>
      <c r="AJ188" s="82" t="str">
        <f t="shared" si="10"/>
        <v/>
      </c>
      <c r="AK188" s="83" t="str">
        <f t="shared" si="11"/>
        <v/>
      </c>
    </row>
    <row r="189" spans="2:37" ht="21" x14ac:dyDescent="0.35">
      <c r="B189" s="77"/>
      <c r="C189" s="77"/>
      <c r="D189" s="77"/>
      <c r="E189" s="77"/>
      <c r="F189" s="77"/>
      <c r="G189" s="77"/>
      <c r="H189" s="77"/>
      <c r="I189" s="78"/>
      <c r="J189" s="77"/>
      <c r="K189" s="77"/>
      <c r="L189" s="77"/>
      <c r="M189" s="78"/>
      <c r="N189" s="77"/>
      <c r="O189" s="77"/>
      <c r="P189" s="77"/>
      <c r="Q189" s="78"/>
      <c r="R189" s="77"/>
      <c r="S189" s="77"/>
      <c r="T189" s="77"/>
      <c r="U189" s="78"/>
      <c r="V189" s="77"/>
      <c r="W189" s="77"/>
      <c r="X189" s="77"/>
      <c r="Y189" s="78"/>
      <c r="Z189" s="77"/>
      <c r="AA189" s="77"/>
      <c r="AB189" s="77"/>
      <c r="AC189" s="77"/>
      <c r="AD189" s="79" t="str">
        <f t="shared" si="8"/>
        <v/>
      </c>
      <c r="AE189" s="80" t="str">
        <f t="shared" si="9"/>
        <v/>
      </c>
      <c r="AF189" s="81"/>
      <c r="AG189" s="77"/>
      <c r="AH189" s="81"/>
      <c r="AI189" s="77"/>
      <c r="AJ189" s="82" t="str">
        <f t="shared" si="10"/>
        <v/>
      </c>
      <c r="AK189" s="83" t="str">
        <f t="shared" si="11"/>
        <v/>
      </c>
    </row>
    <row r="190" spans="2:37" ht="21" x14ac:dyDescent="0.35">
      <c r="B190" s="77"/>
      <c r="C190" s="77"/>
      <c r="D190" s="77"/>
      <c r="E190" s="77"/>
      <c r="F190" s="77"/>
      <c r="G190" s="77"/>
      <c r="H190" s="77"/>
      <c r="I190" s="78"/>
      <c r="J190" s="77"/>
      <c r="K190" s="77"/>
      <c r="L190" s="77"/>
      <c r="M190" s="78"/>
      <c r="N190" s="77"/>
      <c r="O190" s="77"/>
      <c r="P190" s="77"/>
      <c r="Q190" s="78"/>
      <c r="R190" s="77"/>
      <c r="S190" s="77"/>
      <c r="T190" s="77"/>
      <c r="U190" s="78"/>
      <c r="V190" s="77"/>
      <c r="W190" s="77"/>
      <c r="X190" s="77"/>
      <c r="Y190" s="78"/>
      <c r="Z190" s="77"/>
      <c r="AA190" s="77"/>
      <c r="AB190" s="77"/>
      <c r="AC190" s="77"/>
      <c r="AD190" s="79" t="str">
        <f t="shared" si="8"/>
        <v/>
      </c>
      <c r="AE190" s="80" t="str">
        <f t="shared" si="9"/>
        <v/>
      </c>
      <c r="AF190" s="81"/>
      <c r="AG190" s="77"/>
      <c r="AH190" s="81"/>
      <c r="AI190" s="77"/>
      <c r="AJ190" s="82" t="str">
        <f t="shared" si="10"/>
        <v/>
      </c>
      <c r="AK190" s="83" t="str">
        <f t="shared" si="11"/>
        <v/>
      </c>
    </row>
    <row r="191" spans="2:37" ht="21" x14ac:dyDescent="0.35">
      <c r="B191" s="77"/>
      <c r="C191" s="77"/>
      <c r="D191" s="77"/>
      <c r="E191" s="77"/>
      <c r="F191" s="77"/>
      <c r="G191" s="77"/>
      <c r="H191" s="77"/>
      <c r="I191" s="78"/>
      <c r="J191" s="77"/>
      <c r="K191" s="77"/>
      <c r="L191" s="77"/>
      <c r="M191" s="78"/>
      <c r="N191" s="77"/>
      <c r="O191" s="77"/>
      <c r="P191" s="77"/>
      <c r="Q191" s="78"/>
      <c r="R191" s="77"/>
      <c r="S191" s="77"/>
      <c r="T191" s="77"/>
      <c r="U191" s="78"/>
      <c r="V191" s="77"/>
      <c r="W191" s="77"/>
      <c r="X191" s="77"/>
      <c r="Y191" s="78"/>
      <c r="Z191" s="77"/>
      <c r="AA191" s="77"/>
      <c r="AB191" s="77"/>
      <c r="AC191" s="77"/>
      <c r="AD191" s="79" t="str">
        <f t="shared" si="8"/>
        <v/>
      </c>
      <c r="AE191" s="80" t="str">
        <f t="shared" si="9"/>
        <v/>
      </c>
      <c r="AF191" s="81"/>
      <c r="AG191" s="77"/>
      <c r="AH191" s="81"/>
      <c r="AI191" s="77"/>
      <c r="AJ191" s="82" t="str">
        <f t="shared" si="10"/>
        <v/>
      </c>
      <c r="AK191" s="83" t="str">
        <f t="shared" si="11"/>
        <v/>
      </c>
    </row>
    <row r="192" spans="2:37" ht="21" x14ac:dyDescent="0.35">
      <c r="B192" s="77"/>
      <c r="C192" s="77"/>
      <c r="D192" s="77"/>
      <c r="E192" s="77"/>
      <c r="F192" s="77"/>
      <c r="G192" s="77"/>
      <c r="H192" s="77"/>
      <c r="I192" s="78"/>
      <c r="J192" s="77"/>
      <c r="K192" s="77"/>
      <c r="L192" s="77"/>
      <c r="M192" s="78"/>
      <c r="N192" s="77"/>
      <c r="O192" s="77"/>
      <c r="P192" s="77"/>
      <c r="Q192" s="78"/>
      <c r="R192" s="77"/>
      <c r="S192" s="77"/>
      <c r="T192" s="77"/>
      <c r="U192" s="78"/>
      <c r="V192" s="77"/>
      <c r="W192" s="77"/>
      <c r="X192" s="77"/>
      <c r="Y192" s="78"/>
      <c r="Z192" s="77"/>
      <c r="AA192" s="77"/>
      <c r="AB192" s="77"/>
      <c r="AC192" s="77"/>
      <c r="AD192" s="79" t="str">
        <f t="shared" si="8"/>
        <v/>
      </c>
      <c r="AE192" s="80" t="str">
        <f t="shared" si="9"/>
        <v/>
      </c>
      <c r="AF192" s="81"/>
      <c r="AG192" s="77"/>
      <c r="AH192" s="81"/>
      <c r="AI192" s="77"/>
      <c r="AJ192" s="82" t="str">
        <f t="shared" si="10"/>
        <v/>
      </c>
      <c r="AK192" s="83" t="str">
        <f t="shared" si="11"/>
        <v/>
      </c>
    </row>
    <row r="193" spans="2:37" ht="21" x14ac:dyDescent="0.35">
      <c r="B193" s="77"/>
      <c r="C193" s="77"/>
      <c r="D193" s="77"/>
      <c r="E193" s="77"/>
      <c r="F193" s="77"/>
      <c r="G193" s="77"/>
      <c r="H193" s="77"/>
      <c r="I193" s="78"/>
      <c r="J193" s="77"/>
      <c r="K193" s="77"/>
      <c r="L193" s="77"/>
      <c r="M193" s="78"/>
      <c r="N193" s="77"/>
      <c r="O193" s="77"/>
      <c r="P193" s="77"/>
      <c r="Q193" s="78"/>
      <c r="R193" s="77"/>
      <c r="S193" s="77"/>
      <c r="T193" s="77"/>
      <c r="U193" s="78"/>
      <c r="V193" s="77"/>
      <c r="W193" s="77"/>
      <c r="X193" s="77"/>
      <c r="Y193" s="78"/>
      <c r="Z193" s="77"/>
      <c r="AA193" s="77"/>
      <c r="AB193" s="77"/>
      <c r="AC193" s="77"/>
      <c r="AD193" s="79" t="str">
        <f t="shared" si="8"/>
        <v/>
      </c>
      <c r="AE193" s="80" t="str">
        <f t="shared" si="9"/>
        <v/>
      </c>
      <c r="AF193" s="81"/>
      <c r="AG193" s="77"/>
      <c r="AH193" s="81"/>
      <c r="AI193" s="77"/>
      <c r="AJ193" s="82" t="str">
        <f t="shared" si="10"/>
        <v/>
      </c>
      <c r="AK193" s="83" t="str">
        <f t="shared" si="11"/>
        <v/>
      </c>
    </row>
    <row r="194" spans="2:37" ht="21" x14ac:dyDescent="0.35">
      <c r="B194" s="77"/>
      <c r="C194" s="77"/>
      <c r="D194" s="77"/>
      <c r="E194" s="77"/>
      <c r="F194" s="77"/>
      <c r="G194" s="77"/>
      <c r="H194" s="77"/>
      <c r="I194" s="78"/>
      <c r="J194" s="77"/>
      <c r="K194" s="77"/>
      <c r="L194" s="77"/>
      <c r="M194" s="78"/>
      <c r="N194" s="77"/>
      <c r="O194" s="77"/>
      <c r="P194" s="77"/>
      <c r="Q194" s="78"/>
      <c r="R194" s="77"/>
      <c r="S194" s="77"/>
      <c r="T194" s="77"/>
      <c r="U194" s="78"/>
      <c r="V194" s="77"/>
      <c r="W194" s="77"/>
      <c r="X194" s="77"/>
      <c r="Y194" s="78"/>
      <c r="Z194" s="77"/>
      <c r="AA194" s="77"/>
      <c r="AB194" s="77"/>
      <c r="AC194" s="77"/>
      <c r="AD194" s="79" t="str">
        <f t="shared" si="8"/>
        <v/>
      </c>
      <c r="AE194" s="80" t="str">
        <f t="shared" si="9"/>
        <v/>
      </c>
      <c r="AF194" s="81"/>
      <c r="AG194" s="77"/>
      <c r="AH194" s="81"/>
      <c r="AI194" s="77"/>
      <c r="AJ194" s="82" t="str">
        <f t="shared" si="10"/>
        <v/>
      </c>
      <c r="AK194" s="83" t="str">
        <f t="shared" si="11"/>
        <v/>
      </c>
    </row>
    <row r="195" spans="2:37" ht="21" x14ac:dyDescent="0.35">
      <c r="B195" s="77"/>
      <c r="C195" s="77"/>
      <c r="D195" s="77"/>
      <c r="E195" s="77"/>
      <c r="F195" s="77"/>
      <c r="G195" s="77"/>
      <c r="H195" s="77"/>
      <c r="I195" s="78"/>
      <c r="J195" s="77"/>
      <c r="K195" s="77"/>
      <c r="L195" s="77"/>
      <c r="M195" s="78"/>
      <c r="N195" s="77"/>
      <c r="O195" s="77"/>
      <c r="P195" s="77"/>
      <c r="Q195" s="78"/>
      <c r="R195" s="77"/>
      <c r="S195" s="77"/>
      <c r="T195" s="77"/>
      <c r="U195" s="78"/>
      <c r="V195" s="77"/>
      <c r="W195" s="77"/>
      <c r="X195" s="77"/>
      <c r="Y195" s="78"/>
      <c r="Z195" s="77"/>
      <c r="AA195" s="77"/>
      <c r="AB195" s="77"/>
      <c r="AC195" s="77"/>
      <c r="AD195" s="79" t="str">
        <f t="shared" si="8"/>
        <v/>
      </c>
      <c r="AE195" s="80" t="str">
        <f t="shared" si="9"/>
        <v/>
      </c>
      <c r="AF195" s="81"/>
      <c r="AG195" s="77"/>
      <c r="AH195" s="81"/>
      <c r="AI195" s="77"/>
      <c r="AJ195" s="82" t="str">
        <f t="shared" si="10"/>
        <v/>
      </c>
      <c r="AK195" s="83" t="str">
        <f t="shared" si="11"/>
        <v/>
      </c>
    </row>
    <row r="196" spans="2:37" ht="21" x14ac:dyDescent="0.35">
      <c r="B196" s="77"/>
      <c r="C196" s="77"/>
      <c r="D196" s="77"/>
      <c r="E196" s="77"/>
      <c r="F196" s="77"/>
      <c r="G196" s="77"/>
      <c r="H196" s="77"/>
      <c r="I196" s="78"/>
      <c r="J196" s="77"/>
      <c r="K196" s="77"/>
      <c r="L196" s="77"/>
      <c r="M196" s="78"/>
      <c r="N196" s="77"/>
      <c r="O196" s="77"/>
      <c r="P196" s="77"/>
      <c r="Q196" s="78"/>
      <c r="R196" s="77"/>
      <c r="S196" s="77"/>
      <c r="T196" s="77"/>
      <c r="U196" s="78"/>
      <c r="V196" s="77"/>
      <c r="W196" s="77"/>
      <c r="X196" s="77"/>
      <c r="Y196" s="78"/>
      <c r="Z196" s="77"/>
      <c r="AA196" s="77"/>
      <c r="AB196" s="77"/>
      <c r="AC196" s="77"/>
      <c r="AD196" s="79" t="str">
        <f t="shared" ref="AD196:AD259" si="12">IF(MIN(F196,J196,N196,R196,V196,Z196)&lt;&gt;0,MIN(F196,J196,N196,R196,V196,Z196),"")</f>
        <v/>
      </c>
      <c r="AE196" s="80" t="str">
        <f t="shared" ref="AE196:AE259" si="13">IF(MIN(H196,L196,P196,T196,X196,AB196)&lt;&gt;0,MIN(H196,L196,P196,T196,X196,AB196),"")</f>
        <v/>
      </c>
      <c r="AF196" s="81"/>
      <c r="AG196" s="77"/>
      <c r="AH196" s="81"/>
      <c r="AI196" s="77"/>
      <c r="AJ196" s="82" t="str">
        <f t="shared" ref="AJ196:AJ259" si="14">IF(AD196="","",IF(ISBLANK(AF196),"En cours",AD196+AF196))</f>
        <v/>
      </c>
      <c r="AK196" s="83" t="str">
        <f t="shared" ref="AK196:AK259" si="15">IF(AE196="","",IF(ISBLANK(AH196),"En cours",AE196+AH196))</f>
        <v/>
      </c>
    </row>
    <row r="197" spans="2:37" ht="21" x14ac:dyDescent="0.35">
      <c r="B197" s="77"/>
      <c r="C197" s="77"/>
      <c r="D197" s="77"/>
      <c r="E197" s="77"/>
      <c r="F197" s="77"/>
      <c r="G197" s="77"/>
      <c r="H197" s="77"/>
      <c r="I197" s="78"/>
      <c r="J197" s="77"/>
      <c r="K197" s="77"/>
      <c r="L197" s="77"/>
      <c r="M197" s="78"/>
      <c r="N197" s="77"/>
      <c r="O197" s="77"/>
      <c r="P197" s="77"/>
      <c r="Q197" s="78"/>
      <c r="R197" s="77"/>
      <c r="S197" s="77"/>
      <c r="T197" s="77"/>
      <c r="U197" s="78"/>
      <c r="V197" s="77"/>
      <c r="W197" s="77"/>
      <c r="X197" s="77"/>
      <c r="Y197" s="78"/>
      <c r="Z197" s="77"/>
      <c r="AA197" s="77"/>
      <c r="AB197" s="77"/>
      <c r="AC197" s="77"/>
      <c r="AD197" s="79" t="str">
        <f t="shared" si="12"/>
        <v/>
      </c>
      <c r="AE197" s="80" t="str">
        <f t="shared" si="13"/>
        <v/>
      </c>
      <c r="AF197" s="81"/>
      <c r="AG197" s="77"/>
      <c r="AH197" s="81"/>
      <c r="AI197" s="77"/>
      <c r="AJ197" s="82" t="str">
        <f t="shared" si="14"/>
        <v/>
      </c>
      <c r="AK197" s="83" t="str">
        <f t="shared" si="15"/>
        <v/>
      </c>
    </row>
    <row r="198" spans="2:37" ht="21" x14ac:dyDescent="0.35">
      <c r="B198" s="77"/>
      <c r="C198" s="77"/>
      <c r="D198" s="77"/>
      <c r="E198" s="77"/>
      <c r="F198" s="77"/>
      <c r="G198" s="77"/>
      <c r="H198" s="77"/>
      <c r="I198" s="78"/>
      <c r="J198" s="77"/>
      <c r="K198" s="77"/>
      <c r="L198" s="77"/>
      <c r="M198" s="78"/>
      <c r="N198" s="77"/>
      <c r="O198" s="77"/>
      <c r="P198" s="77"/>
      <c r="Q198" s="78"/>
      <c r="R198" s="77"/>
      <c r="S198" s="77"/>
      <c r="T198" s="77"/>
      <c r="U198" s="78"/>
      <c r="V198" s="77"/>
      <c r="W198" s="77"/>
      <c r="X198" s="77"/>
      <c r="Y198" s="78"/>
      <c r="Z198" s="77"/>
      <c r="AA198" s="77"/>
      <c r="AB198" s="77"/>
      <c r="AC198" s="77"/>
      <c r="AD198" s="79" t="str">
        <f t="shared" si="12"/>
        <v/>
      </c>
      <c r="AE198" s="80" t="str">
        <f t="shared" si="13"/>
        <v/>
      </c>
      <c r="AF198" s="81"/>
      <c r="AG198" s="77"/>
      <c r="AH198" s="81"/>
      <c r="AI198" s="77"/>
      <c r="AJ198" s="82" t="str">
        <f t="shared" si="14"/>
        <v/>
      </c>
      <c r="AK198" s="83" t="str">
        <f t="shared" si="15"/>
        <v/>
      </c>
    </row>
    <row r="199" spans="2:37" ht="21" x14ac:dyDescent="0.35">
      <c r="B199" s="77"/>
      <c r="C199" s="77"/>
      <c r="D199" s="77"/>
      <c r="E199" s="77"/>
      <c r="F199" s="77"/>
      <c r="G199" s="77"/>
      <c r="H199" s="77"/>
      <c r="I199" s="78"/>
      <c r="J199" s="77"/>
      <c r="K199" s="77"/>
      <c r="L199" s="77"/>
      <c r="M199" s="78"/>
      <c r="N199" s="77"/>
      <c r="O199" s="77"/>
      <c r="P199" s="77"/>
      <c r="Q199" s="78"/>
      <c r="R199" s="77"/>
      <c r="S199" s="77"/>
      <c r="T199" s="77"/>
      <c r="U199" s="78"/>
      <c r="V199" s="77"/>
      <c r="W199" s="77"/>
      <c r="X199" s="77"/>
      <c r="Y199" s="78"/>
      <c r="Z199" s="77"/>
      <c r="AA199" s="77"/>
      <c r="AB199" s="77"/>
      <c r="AC199" s="77"/>
      <c r="AD199" s="79" t="str">
        <f t="shared" si="12"/>
        <v/>
      </c>
      <c r="AE199" s="80" t="str">
        <f t="shared" si="13"/>
        <v/>
      </c>
      <c r="AF199" s="81"/>
      <c r="AG199" s="77"/>
      <c r="AH199" s="81"/>
      <c r="AI199" s="77"/>
      <c r="AJ199" s="82" t="str">
        <f t="shared" si="14"/>
        <v/>
      </c>
      <c r="AK199" s="83" t="str">
        <f t="shared" si="15"/>
        <v/>
      </c>
    </row>
    <row r="200" spans="2:37" ht="21" x14ac:dyDescent="0.35">
      <c r="B200" s="77"/>
      <c r="C200" s="77"/>
      <c r="D200" s="77"/>
      <c r="E200" s="77"/>
      <c r="F200" s="77"/>
      <c r="G200" s="77"/>
      <c r="H200" s="77"/>
      <c r="I200" s="78"/>
      <c r="J200" s="77"/>
      <c r="K200" s="77"/>
      <c r="L200" s="77"/>
      <c r="M200" s="78"/>
      <c r="N200" s="77"/>
      <c r="O200" s="77"/>
      <c r="P200" s="77"/>
      <c r="Q200" s="78"/>
      <c r="R200" s="77"/>
      <c r="S200" s="77"/>
      <c r="T200" s="77"/>
      <c r="U200" s="78"/>
      <c r="V200" s="77"/>
      <c r="W200" s="77"/>
      <c r="X200" s="77"/>
      <c r="Y200" s="78"/>
      <c r="Z200" s="77"/>
      <c r="AA200" s="77"/>
      <c r="AB200" s="77"/>
      <c r="AC200" s="77"/>
      <c r="AD200" s="79" t="str">
        <f t="shared" si="12"/>
        <v/>
      </c>
      <c r="AE200" s="80" t="str">
        <f t="shared" si="13"/>
        <v/>
      </c>
      <c r="AF200" s="81"/>
      <c r="AG200" s="77"/>
      <c r="AH200" s="81"/>
      <c r="AI200" s="77"/>
      <c r="AJ200" s="82" t="str">
        <f t="shared" si="14"/>
        <v/>
      </c>
      <c r="AK200" s="83" t="str">
        <f t="shared" si="15"/>
        <v/>
      </c>
    </row>
    <row r="201" spans="2:37" ht="21" x14ac:dyDescent="0.35">
      <c r="B201" s="77"/>
      <c r="C201" s="77"/>
      <c r="D201" s="77"/>
      <c r="E201" s="77"/>
      <c r="F201" s="77"/>
      <c r="G201" s="77"/>
      <c r="H201" s="77"/>
      <c r="I201" s="78"/>
      <c r="J201" s="77"/>
      <c r="K201" s="77"/>
      <c r="L201" s="77"/>
      <c r="M201" s="78"/>
      <c r="N201" s="77"/>
      <c r="O201" s="77"/>
      <c r="P201" s="77"/>
      <c r="Q201" s="78"/>
      <c r="R201" s="77"/>
      <c r="S201" s="77"/>
      <c r="T201" s="77"/>
      <c r="U201" s="78"/>
      <c r="V201" s="77"/>
      <c r="W201" s="77"/>
      <c r="X201" s="77"/>
      <c r="Y201" s="78"/>
      <c r="Z201" s="77"/>
      <c r="AA201" s="77"/>
      <c r="AB201" s="77"/>
      <c r="AC201" s="77"/>
      <c r="AD201" s="79" t="str">
        <f t="shared" si="12"/>
        <v/>
      </c>
      <c r="AE201" s="80" t="str">
        <f t="shared" si="13"/>
        <v/>
      </c>
      <c r="AF201" s="81"/>
      <c r="AG201" s="77"/>
      <c r="AH201" s="81"/>
      <c r="AI201" s="77"/>
      <c r="AJ201" s="82" t="str">
        <f t="shared" si="14"/>
        <v/>
      </c>
      <c r="AK201" s="83" t="str">
        <f t="shared" si="15"/>
        <v/>
      </c>
    </row>
    <row r="202" spans="2:37" ht="21" x14ac:dyDescent="0.35">
      <c r="B202" s="77"/>
      <c r="C202" s="77"/>
      <c r="D202" s="77"/>
      <c r="E202" s="77"/>
      <c r="F202" s="77"/>
      <c r="G202" s="77"/>
      <c r="H202" s="77"/>
      <c r="I202" s="78"/>
      <c r="J202" s="77"/>
      <c r="K202" s="77"/>
      <c r="L202" s="77"/>
      <c r="M202" s="78"/>
      <c r="N202" s="77"/>
      <c r="O202" s="77"/>
      <c r="P202" s="77"/>
      <c r="Q202" s="78"/>
      <c r="R202" s="77"/>
      <c r="S202" s="77"/>
      <c r="T202" s="77"/>
      <c r="U202" s="78"/>
      <c r="V202" s="77"/>
      <c r="W202" s="77"/>
      <c r="X202" s="77"/>
      <c r="Y202" s="78"/>
      <c r="Z202" s="77"/>
      <c r="AA202" s="77"/>
      <c r="AB202" s="77"/>
      <c r="AC202" s="77"/>
      <c r="AD202" s="79" t="str">
        <f t="shared" si="12"/>
        <v/>
      </c>
      <c r="AE202" s="80" t="str">
        <f t="shared" si="13"/>
        <v/>
      </c>
      <c r="AF202" s="81"/>
      <c r="AG202" s="77"/>
      <c r="AH202" s="81"/>
      <c r="AI202" s="77"/>
      <c r="AJ202" s="82" t="str">
        <f t="shared" si="14"/>
        <v/>
      </c>
      <c r="AK202" s="83" t="str">
        <f t="shared" si="15"/>
        <v/>
      </c>
    </row>
    <row r="203" spans="2:37" ht="21" x14ac:dyDescent="0.35">
      <c r="B203" s="77"/>
      <c r="C203" s="77"/>
      <c r="D203" s="77"/>
      <c r="E203" s="77"/>
      <c r="F203" s="77"/>
      <c r="G203" s="77"/>
      <c r="H203" s="77"/>
      <c r="I203" s="78"/>
      <c r="J203" s="77"/>
      <c r="K203" s="77"/>
      <c r="L203" s="77"/>
      <c r="M203" s="78"/>
      <c r="N203" s="77"/>
      <c r="O203" s="77"/>
      <c r="P203" s="77"/>
      <c r="Q203" s="78"/>
      <c r="R203" s="77"/>
      <c r="S203" s="77"/>
      <c r="T203" s="77"/>
      <c r="U203" s="78"/>
      <c r="V203" s="77"/>
      <c r="W203" s="77"/>
      <c r="X203" s="77"/>
      <c r="Y203" s="78"/>
      <c r="Z203" s="77"/>
      <c r="AA203" s="77"/>
      <c r="AB203" s="77"/>
      <c r="AC203" s="77"/>
      <c r="AD203" s="79" t="str">
        <f t="shared" si="12"/>
        <v/>
      </c>
      <c r="AE203" s="80" t="str">
        <f t="shared" si="13"/>
        <v/>
      </c>
      <c r="AF203" s="81"/>
      <c r="AG203" s="77"/>
      <c r="AH203" s="81"/>
      <c r="AI203" s="77"/>
      <c r="AJ203" s="82" t="str">
        <f t="shared" si="14"/>
        <v/>
      </c>
      <c r="AK203" s="83" t="str">
        <f t="shared" si="15"/>
        <v/>
      </c>
    </row>
    <row r="204" spans="2:37" ht="21" x14ac:dyDescent="0.35">
      <c r="B204" s="77"/>
      <c r="C204" s="77"/>
      <c r="D204" s="77"/>
      <c r="E204" s="77"/>
      <c r="F204" s="77"/>
      <c r="G204" s="77"/>
      <c r="H204" s="77"/>
      <c r="I204" s="78"/>
      <c r="J204" s="77"/>
      <c r="K204" s="77"/>
      <c r="L204" s="77"/>
      <c r="M204" s="78"/>
      <c r="N204" s="77"/>
      <c r="O204" s="77"/>
      <c r="P204" s="77"/>
      <c r="Q204" s="78"/>
      <c r="R204" s="77"/>
      <c r="S204" s="77"/>
      <c r="T204" s="77"/>
      <c r="U204" s="78"/>
      <c r="V204" s="77"/>
      <c r="W204" s="77"/>
      <c r="X204" s="77"/>
      <c r="Y204" s="78"/>
      <c r="Z204" s="77"/>
      <c r="AA204" s="77"/>
      <c r="AB204" s="77"/>
      <c r="AC204" s="77"/>
      <c r="AD204" s="79" t="str">
        <f t="shared" si="12"/>
        <v/>
      </c>
      <c r="AE204" s="80" t="str">
        <f t="shared" si="13"/>
        <v/>
      </c>
      <c r="AF204" s="81"/>
      <c r="AG204" s="77"/>
      <c r="AH204" s="81"/>
      <c r="AI204" s="77"/>
      <c r="AJ204" s="82" t="str">
        <f t="shared" si="14"/>
        <v/>
      </c>
      <c r="AK204" s="83" t="str">
        <f t="shared" si="15"/>
        <v/>
      </c>
    </row>
    <row r="205" spans="2:37" ht="21" x14ac:dyDescent="0.35">
      <c r="B205" s="77"/>
      <c r="C205" s="77"/>
      <c r="D205" s="77"/>
      <c r="E205" s="77"/>
      <c r="F205" s="77"/>
      <c r="G205" s="77"/>
      <c r="H205" s="77"/>
      <c r="I205" s="78"/>
      <c r="J205" s="77"/>
      <c r="K205" s="77"/>
      <c r="L205" s="77"/>
      <c r="M205" s="78"/>
      <c r="N205" s="77"/>
      <c r="O205" s="77"/>
      <c r="P205" s="77"/>
      <c r="Q205" s="78"/>
      <c r="R205" s="77"/>
      <c r="S205" s="77"/>
      <c r="T205" s="77"/>
      <c r="U205" s="78"/>
      <c r="V205" s="77"/>
      <c r="W205" s="77"/>
      <c r="X205" s="77"/>
      <c r="Y205" s="78"/>
      <c r="Z205" s="77"/>
      <c r="AA205" s="77"/>
      <c r="AB205" s="77"/>
      <c r="AC205" s="77"/>
      <c r="AD205" s="79" t="str">
        <f t="shared" si="12"/>
        <v/>
      </c>
      <c r="AE205" s="80" t="str">
        <f t="shared" si="13"/>
        <v/>
      </c>
      <c r="AF205" s="81"/>
      <c r="AG205" s="77"/>
      <c r="AH205" s="81"/>
      <c r="AI205" s="77"/>
      <c r="AJ205" s="82" t="str">
        <f t="shared" si="14"/>
        <v/>
      </c>
      <c r="AK205" s="83" t="str">
        <f t="shared" si="15"/>
        <v/>
      </c>
    </row>
    <row r="206" spans="2:37" ht="21" x14ac:dyDescent="0.35">
      <c r="B206" s="77"/>
      <c r="C206" s="77"/>
      <c r="D206" s="77"/>
      <c r="E206" s="77"/>
      <c r="F206" s="77"/>
      <c r="G206" s="77"/>
      <c r="H206" s="77"/>
      <c r="I206" s="78"/>
      <c r="J206" s="77"/>
      <c r="K206" s="77"/>
      <c r="L206" s="77"/>
      <c r="M206" s="78"/>
      <c r="N206" s="77"/>
      <c r="O206" s="77"/>
      <c r="P206" s="77"/>
      <c r="Q206" s="78"/>
      <c r="R206" s="77"/>
      <c r="S206" s="77"/>
      <c r="T206" s="77"/>
      <c r="U206" s="78"/>
      <c r="V206" s="77"/>
      <c r="W206" s="77"/>
      <c r="X206" s="77"/>
      <c r="Y206" s="78"/>
      <c r="Z206" s="77"/>
      <c r="AA206" s="77"/>
      <c r="AB206" s="77"/>
      <c r="AC206" s="77"/>
      <c r="AD206" s="79" t="str">
        <f t="shared" si="12"/>
        <v/>
      </c>
      <c r="AE206" s="80" t="str">
        <f t="shared" si="13"/>
        <v/>
      </c>
      <c r="AF206" s="81"/>
      <c r="AG206" s="77"/>
      <c r="AH206" s="81"/>
      <c r="AI206" s="77"/>
      <c r="AJ206" s="82" t="str">
        <f t="shared" si="14"/>
        <v/>
      </c>
      <c r="AK206" s="83" t="str">
        <f t="shared" si="15"/>
        <v/>
      </c>
    </row>
    <row r="207" spans="2:37" ht="21" x14ac:dyDescent="0.35">
      <c r="B207" s="77"/>
      <c r="C207" s="77"/>
      <c r="D207" s="77"/>
      <c r="E207" s="77"/>
      <c r="F207" s="77"/>
      <c r="G207" s="77"/>
      <c r="H207" s="77"/>
      <c r="I207" s="78"/>
      <c r="J207" s="77"/>
      <c r="K207" s="77"/>
      <c r="L207" s="77"/>
      <c r="M207" s="78"/>
      <c r="N207" s="77"/>
      <c r="O207" s="77"/>
      <c r="P207" s="77"/>
      <c r="Q207" s="78"/>
      <c r="R207" s="77"/>
      <c r="S207" s="77"/>
      <c r="T207" s="77"/>
      <c r="U207" s="78"/>
      <c r="V207" s="77"/>
      <c r="W207" s="77"/>
      <c r="X207" s="77"/>
      <c r="Y207" s="78"/>
      <c r="Z207" s="77"/>
      <c r="AA207" s="77"/>
      <c r="AB207" s="77"/>
      <c r="AC207" s="77"/>
      <c r="AD207" s="79" t="str">
        <f t="shared" si="12"/>
        <v/>
      </c>
      <c r="AE207" s="80" t="str">
        <f t="shared" si="13"/>
        <v/>
      </c>
      <c r="AF207" s="81"/>
      <c r="AG207" s="77"/>
      <c r="AH207" s="81"/>
      <c r="AI207" s="77"/>
      <c r="AJ207" s="82" t="str">
        <f t="shared" si="14"/>
        <v/>
      </c>
      <c r="AK207" s="83" t="str">
        <f t="shared" si="15"/>
        <v/>
      </c>
    </row>
    <row r="208" spans="2:37" ht="21" x14ac:dyDescent="0.35">
      <c r="B208" s="77"/>
      <c r="C208" s="77"/>
      <c r="D208" s="77"/>
      <c r="E208" s="77"/>
      <c r="F208" s="77"/>
      <c r="G208" s="77"/>
      <c r="H208" s="77"/>
      <c r="I208" s="78"/>
      <c r="J208" s="77"/>
      <c r="K208" s="77"/>
      <c r="L208" s="77"/>
      <c r="M208" s="78"/>
      <c r="N208" s="77"/>
      <c r="O208" s="77"/>
      <c r="P208" s="77"/>
      <c r="Q208" s="78"/>
      <c r="R208" s="77"/>
      <c r="S208" s="77"/>
      <c r="T208" s="77"/>
      <c r="U208" s="78"/>
      <c r="V208" s="77"/>
      <c r="W208" s="77"/>
      <c r="X208" s="77"/>
      <c r="Y208" s="78"/>
      <c r="Z208" s="77"/>
      <c r="AA208" s="77"/>
      <c r="AB208" s="77"/>
      <c r="AC208" s="77"/>
      <c r="AD208" s="79" t="str">
        <f t="shared" si="12"/>
        <v/>
      </c>
      <c r="AE208" s="80" t="str">
        <f t="shared" si="13"/>
        <v/>
      </c>
      <c r="AF208" s="81"/>
      <c r="AG208" s="77"/>
      <c r="AH208" s="81"/>
      <c r="AI208" s="77"/>
      <c r="AJ208" s="82" t="str">
        <f t="shared" si="14"/>
        <v/>
      </c>
      <c r="AK208" s="83" t="str">
        <f t="shared" si="15"/>
        <v/>
      </c>
    </row>
    <row r="209" spans="2:37" ht="21" x14ac:dyDescent="0.35">
      <c r="B209" s="77"/>
      <c r="C209" s="77"/>
      <c r="D209" s="77"/>
      <c r="E209" s="77"/>
      <c r="F209" s="77"/>
      <c r="G209" s="77"/>
      <c r="H209" s="77"/>
      <c r="I209" s="78"/>
      <c r="J209" s="77"/>
      <c r="K209" s="77"/>
      <c r="L209" s="77"/>
      <c r="M209" s="78"/>
      <c r="N209" s="77"/>
      <c r="O209" s="77"/>
      <c r="P209" s="77"/>
      <c r="Q209" s="78"/>
      <c r="R209" s="77"/>
      <c r="S209" s="77"/>
      <c r="T209" s="77"/>
      <c r="U209" s="78"/>
      <c r="V209" s="77"/>
      <c r="W209" s="77"/>
      <c r="X209" s="77"/>
      <c r="Y209" s="78"/>
      <c r="Z209" s="77"/>
      <c r="AA209" s="77"/>
      <c r="AB209" s="77"/>
      <c r="AC209" s="77"/>
      <c r="AD209" s="79" t="str">
        <f t="shared" si="12"/>
        <v/>
      </c>
      <c r="AE209" s="80" t="str">
        <f t="shared" si="13"/>
        <v/>
      </c>
      <c r="AF209" s="81"/>
      <c r="AG209" s="77"/>
      <c r="AH209" s="81"/>
      <c r="AI209" s="77"/>
      <c r="AJ209" s="82" t="str">
        <f t="shared" si="14"/>
        <v/>
      </c>
      <c r="AK209" s="83" t="str">
        <f t="shared" si="15"/>
        <v/>
      </c>
    </row>
    <row r="210" spans="2:37" ht="21" x14ac:dyDescent="0.35">
      <c r="B210" s="77"/>
      <c r="C210" s="77"/>
      <c r="D210" s="77"/>
      <c r="E210" s="77"/>
      <c r="F210" s="77"/>
      <c r="G210" s="77"/>
      <c r="H210" s="77"/>
      <c r="I210" s="78"/>
      <c r="J210" s="77"/>
      <c r="K210" s="77"/>
      <c r="L210" s="77"/>
      <c r="M210" s="78"/>
      <c r="N210" s="77"/>
      <c r="O210" s="77"/>
      <c r="P210" s="77"/>
      <c r="Q210" s="78"/>
      <c r="R210" s="77"/>
      <c r="S210" s="77"/>
      <c r="T210" s="77"/>
      <c r="U210" s="78"/>
      <c r="V210" s="77"/>
      <c r="W210" s="77"/>
      <c r="X210" s="77"/>
      <c r="Y210" s="78"/>
      <c r="Z210" s="77"/>
      <c r="AA210" s="77"/>
      <c r="AB210" s="77"/>
      <c r="AC210" s="77"/>
      <c r="AD210" s="79" t="str">
        <f t="shared" si="12"/>
        <v/>
      </c>
      <c r="AE210" s="80" t="str">
        <f t="shared" si="13"/>
        <v/>
      </c>
      <c r="AF210" s="81"/>
      <c r="AG210" s="77"/>
      <c r="AH210" s="81"/>
      <c r="AI210" s="77"/>
      <c r="AJ210" s="82" t="str">
        <f t="shared" si="14"/>
        <v/>
      </c>
      <c r="AK210" s="83" t="str">
        <f t="shared" si="15"/>
        <v/>
      </c>
    </row>
    <row r="211" spans="2:37" ht="21" x14ac:dyDescent="0.35">
      <c r="B211" s="77"/>
      <c r="C211" s="77"/>
      <c r="D211" s="77"/>
      <c r="E211" s="77"/>
      <c r="F211" s="77"/>
      <c r="G211" s="77"/>
      <c r="H211" s="77"/>
      <c r="I211" s="78"/>
      <c r="J211" s="77"/>
      <c r="K211" s="77"/>
      <c r="L211" s="77"/>
      <c r="M211" s="78"/>
      <c r="N211" s="77"/>
      <c r="O211" s="77"/>
      <c r="P211" s="77"/>
      <c r="Q211" s="78"/>
      <c r="R211" s="77"/>
      <c r="S211" s="77"/>
      <c r="T211" s="77"/>
      <c r="U211" s="78"/>
      <c r="V211" s="77"/>
      <c r="W211" s="77"/>
      <c r="X211" s="77"/>
      <c r="Y211" s="78"/>
      <c r="Z211" s="77"/>
      <c r="AA211" s="77"/>
      <c r="AB211" s="77"/>
      <c r="AC211" s="77"/>
      <c r="AD211" s="79" t="str">
        <f t="shared" si="12"/>
        <v/>
      </c>
      <c r="AE211" s="80" t="str">
        <f t="shared" si="13"/>
        <v/>
      </c>
      <c r="AF211" s="81"/>
      <c r="AG211" s="77"/>
      <c r="AH211" s="81"/>
      <c r="AI211" s="77"/>
      <c r="AJ211" s="82" t="str">
        <f t="shared" si="14"/>
        <v/>
      </c>
      <c r="AK211" s="83" t="str">
        <f t="shared" si="15"/>
        <v/>
      </c>
    </row>
    <row r="212" spans="2:37" ht="21" x14ac:dyDescent="0.35">
      <c r="B212" s="77"/>
      <c r="C212" s="77"/>
      <c r="D212" s="77"/>
      <c r="E212" s="77"/>
      <c r="F212" s="77"/>
      <c r="G212" s="77"/>
      <c r="H212" s="77"/>
      <c r="I212" s="78"/>
      <c r="J212" s="77"/>
      <c r="K212" s="77"/>
      <c r="L212" s="77"/>
      <c r="M212" s="78"/>
      <c r="N212" s="77"/>
      <c r="O212" s="77"/>
      <c r="P212" s="77"/>
      <c r="Q212" s="78"/>
      <c r="R212" s="77"/>
      <c r="S212" s="77"/>
      <c r="T212" s="77"/>
      <c r="U212" s="78"/>
      <c r="V212" s="77"/>
      <c r="W212" s="77"/>
      <c r="X212" s="77"/>
      <c r="Y212" s="78"/>
      <c r="Z212" s="77"/>
      <c r="AA212" s="77"/>
      <c r="AB212" s="77"/>
      <c r="AC212" s="77"/>
      <c r="AD212" s="79" t="str">
        <f t="shared" si="12"/>
        <v/>
      </c>
      <c r="AE212" s="80" t="str">
        <f t="shared" si="13"/>
        <v/>
      </c>
      <c r="AF212" s="81"/>
      <c r="AG212" s="77"/>
      <c r="AH212" s="81"/>
      <c r="AI212" s="77"/>
      <c r="AJ212" s="82" t="str">
        <f t="shared" si="14"/>
        <v/>
      </c>
      <c r="AK212" s="83" t="str">
        <f t="shared" si="15"/>
        <v/>
      </c>
    </row>
    <row r="213" spans="2:37" ht="21" x14ac:dyDescent="0.35">
      <c r="B213" s="77"/>
      <c r="C213" s="77"/>
      <c r="D213" s="77"/>
      <c r="E213" s="77"/>
      <c r="F213" s="77"/>
      <c r="G213" s="77"/>
      <c r="H213" s="77"/>
      <c r="I213" s="78"/>
      <c r="J213" s="77"/>
      <c r="K213" s="77"/>
      <c r="L213" s="77"/>
      <c r="M213" s="78"/>
      <c r="N213" s="77"/>
      <c r="O213" s="77"/>
      <c r="P213" s="77"/>
      <c r="Q213" s="78"/>
      <c r="R213" s="77"/>
      <c r="S213" s="77"/>
      <c r="T213" s="77"/>
      <c r="U213" s="78"/>
      <c r="V213" s="77"/>
      <c r="W213" s="77"/>
      <c r="X213" s="77"/>
      <c r="Y213" s="78"/>
      <c r="Z213" s="77"/>
      <c r="AA213" s="77"/>
      <c r="AB213" s="77"/>
      <c r="AC213" s="77"/>
      <c r="AD213" s="79" t="str">
        <f t="shared" si="12"/>
        <v/>
      </c>
      <c r="AE213" s="80" t="str">
        <f t="shared" si="13"/>
        <v/>
      </c>
      <c r="AF213" s="81"/>
      <c r="AG213" s="77"/>
      <c r="AH213" s="81"/>
      <c r="AI213" s="77"/>
      <c r="AJ213" s="82" t="str">
        <f t="shared" si="14"/>
        <v/>
      </c>
      <c r="AK213" s="83" t="str">
        <f t="shared" si="15"/>
        <v/>
      </c>
    </row>
    <row r="214" spans="2:37" ht="21" x14ac:dyDescent="0.35">
      <c r="B214" s="77"/>
      <c r="C214" s="77"/>
      <c r="D214" s="77"/>
      <c r="E214" s="77"/>
      <c r="F214" s="77"/>
      <c r="G214" s="77"/>
      <c r="H214" s="77"/>
      <c r="I214" s="78"/>
      <c r="J214" s="77"/>
      <c r="K214" s="77"/>
      <c r="L214" s="77"/>
      <c r="M214" s="78"/>
      <c r="N214" s="77"/>
      <c r="O214" s="77"/>
      <c r="P214" s="77"/>
      <c r="Q214" s="78"/>
      <c r="R214" s="77"/>
      <c r="S214" s="77"/>
      <c r="T214" s="77"/>
      <c r="U214" s="78"/>
      <c r="V214" s="77"/>
      <c r="W214" s="77"/>
      <c r="X214" s="77"/>
      <c r="Y214" s="78"/>
      <c r="Z214" s="77"/>
      <c r="AA214" s="77"/>
      <c r="AB214" s="77"/>
      <c r="AC214" s="77"/>
      <c r="AD214" s="79" t="str">
        <f t="shared" si="12"/>
        <v/>
      </c>
      <c r="AE214" s="80" t="str">
        <f t="shared" si="13"/>
        <v/>
      </c>
      <c r="AF214" s="81"/>
      <c r="AG214" s="77"/>
      <c r="AH214" s="81"/>
      <c r="AI214" s="77"/>
      <c r="AJ214" s="82" t="str">
        <f t="shared" si="14"/>
        <v/>
      </c>
      <c r="AK214" s="83" t="str">
        <f t="shared" si="15"/>
        <v/>
      </c>
    </row>
    <row r="215" spans="2:37" ht="21" x14ac:dyDescent="0.35">
      <c r="B215" s="77"/>
      <c r="C215" s="77"/>
      <c r="D215" s="77"/>
      <c r="E215" s="77"/>
      <c r="F215" s="77"/>
      <c r="G215" s="77"/>
      <c r="H215" s="77"/>
      <c r="I215" s="78"/>
      <c r="J215" s="77"/>
      <c r="K215" s="77"/>
      <c r="L215" s="77"/>
      <c r="M215" s="78"/>
      <c r="N215" s="77"/>
      <c r="O215" s="77"/>
      <c r="P215" s="77"/>
      <c r="Q215" s="78"/>
      <c r="R215" s="77"/>
      <c r="S215" s="77"/>
      <c r="T215" s="77"/>
      <c r="U215" s="78"/>
      <c r="V215" s="77"/>
      <c r="W215" s="77"/>
      <c r="X215" s="77"/>
      <c r="Y215" s="78"/>
      <c r="Z215" s="77"/>
      <c r="AA215" s="77"/>
      <c r="AB215" s="77"/>
      <c r="AC215" s="77"/>
      <c r="AD215" s="79" t="str">
        <f t="shared" si="12"/>
        <v/>
      </c>
      <c r="AE215" s="80" t="str">
        <f t="shared" si="13"/>
        <v/>
      </c>
      <c r="AF215" s="81"/>
      <c r="AG215" s="77"/>
      <c r="AH215" s="81"/>
      <c r="AI215" s="77"/>
      <c r="AJ215" s="82" t="str">
        <f t="shared" si="14"/>
        <v/>
      </c>
      <c r="AK215" s="83" t="str">
        <f t="shared" si="15"/>
        <v/>
      </c>
    </row>
    <row r="216" spans="2:37" ht="21" x14ac:dyDescent="0.35">
      <c r="B216" s="77"/>
      <c r="C216" s="77"/>
      <c r="D216" s="77"/>
      <c r="E216" s="77"/>
      <c r="F216" s="77"/>
      <c r="G216" s="77"/>
      <c r="H216" s="77"/>
      <c r="I216" s="78"/>
      <c r="J216" s="77"/>
      <c r="K216" s="77"/>
      <c r="L216" s="77"/>
      <c r="M216" s="78"/>
      <c r="N216" s="77"/>
      <c r="O216" s="77"/>
      <c r="P216" s="77"/>
      <c r="Q216" s="78"/>
      <c r="R216" s="77"/>
      <c r="S216" s="77"/>
      <c r="T216" s="77"/>
      <c r="U216" s="78"/>
      <c r="V216" s="77"/>
      <c r="W216" s="77"/>
      <c r="X216" s="77"/>
      <c r="Y216" s="78"/>
      <c r="Z216" s="77"/>
      <c r="AA216" s="77"/>
      <c r="AB216" s="77"/>
      <c r="AC216" s="77"/>
      <c r="AD216" s="79" t="str">
        <f t="shared" si="12"/>
        <v/>
      </c>
      <c r="AE216" s="80" t="str">
        <f t="shared" si="13"/>
        <v/>
      </c>
      <c r="AF216" s="81"/>
      <c r="AG216" s="77"/>
      <c r="AH216" s="81"/>
      <c r="AI216" s="77"/>
      <c r="AJ216" s="82" t="str">
        <f t="shared" si="14"/>
        <v/>
      </c>
      <c r="AK216" s="83" t="str">
        <f t="shared" si="15"/>
        <v/>
      </c>
    </row>
    <row r="217" spans="2:37" ht="21" x14ac:dyDescent="0.35">
      <c r="B217" s="77"/>
      <c r="C217" s="77"/>
      <c r="D217" s="77"/>
      <c r="E217" s="77"/>
      <c r="F217" s="77"/>
      <c r="G217" s="77"/>
      <c r="H217" s="77"/>
      <c r="I217" s="78"/>
      <c r="J217" s="77"/>
      <c r="K217" s="77"/>
      <c r="L217" s="77"/>
      <c r="M217" s="78"/>
      <c r="N217" s="77"/>
      <c r="O217" s="77"/>
      <c r="P217" s="77"/>
      <c r="Q217" s="78"/>
      <c r="R217" s="77"/>
      <c r="S217" s="77"/>
      <c r="T217" s="77"/>
      <c r="U217" s="78"/>
      <c r="V217" s="77"/>
      <c r="W217" s="77"/>
      <c r="X217" s="77"/>
      <c r="Y217" s="78"/>
      <c r="Z217" s="77"/>
      <c r="AA217" s="77"/>
      <c r="AB217" s="77"/>
      <c r="AC217" s="77"/>
      <c r="AD217" s="79" t="str">
        <f t="shared" si="12"/>
        <v/>
      </c>
      <c r="AE217" s="80" t="str">
        <f t="shared" si="13"/>
        <v/>
      </c>
      <c r="AF217" s="81"/>
      <c r="AG217" s="77"/>
      <c r="AH217" s="81"/>
      <c r="AI217" s="77"/>
      <c r="AJ217" s="82" t="str">
        <f t="shared" si="14"/>
        <v/>
      </c>
      <c r="AK217" s="83" t="str">
        <f t="shared" si="15"/>
        <v/>
      </c>
    </row>
    <row r="218" spans="2:37" ht="21" x14ac:dyDescent="0.35">
      <c r="B218" s="77"/>
      <c r="C218" s="77"/>
      <c r="D218" s="77"/>
      <c r="E218" s="77"/>
      <c r="F218" s="77"/>
      <c r="G218" s="77"/>
      <c r="H218" s="77"/>
      <c r="I218" s="78"/>
      <c r="J218" s="77"/>
      <c r="K218" s="77"/>
      <c r="L218" s="77"/>
      <c r="M218" s="78"/>
      <c r="N218" s="77"/>
      <c r="O218" s="77"/>
      <c r="P218" s="77"/>
      <c r="Q218" s="78"/>
      <c r="R218" s="77"/>
      <c r="S218" s="77"/>
      <c r="T218" s="77"/>
      <c r="U218" s="78"/>
      <c r="V218" s="77"/>
      <c r="W218" s="77"/>
      <c r="X218" s="77"/>
      <c r="Y218" s="78"/>
      <c r="Z218" s="77"/>
      <c r="AA218" s="77"/>
      <c r="AB218" s="77"/>
      <c r="AC218" s="77"/>
      <c r="AD218" s="79" t="str">
        <f t="shared" si="12"/>
        <v/>
      </c>
      <c r="AE218" s="80" t="str">
        <f t="shared" si="13"/>
        <v/>
      </c>
      <c r="AF218" s="81"/>
      <c r="AG218" s="77"/>
      <c r="AH218" s="81"/>
      <c r="AI218" s="77"/>
      <c r="AJ218" s="82" t="str">
        <f t="shared" si="14"/>
        <v/>
      </c>
      <c r="AK218" s="83" t="str">
        <f t="shared" si="15"/>
        <v/>
      </c>
    </row>
    <row r="219" spans="2:37" ht="21" x14ac:dyDescent="0.35">
      <c r="B219" s="77"/>
      <c r="C219" s="77"/>
      <c r="D219" s="77"/>
      <c r="E219" s="77"/>
      <c r="F219" s="77"/>
      <c r="G219" s="77"/>
      <c r="H219" s="77"/>
      <c r="I219" s="78"/>
      <c r="J219" s="77"/>
      <c r="K219" s="77"/>
      <c r="L219" s="77"/>
      <c r="M219" s="78"/>
      <c r="N219" s="77"/>
      <c r="O219" s="77"/>
      <c r="P219" s="77"/>
      <c r="Q219" s="78"/>
      <c r="R219" s="77"/>
      <c r="S219" s="77"/>
      <c r="T219" s="77"/>
      <c r="U219" s="78"/>
      <c r="V219" s="77"/>
      <c r="W219" s="77"/>
      <c r="X219" s="77"/>
      <c r="Y219" s="78"/>
      <c r="Z219" s="77"/>
      <c r="AA219" s="77"/>
      <c r="AB219" s="77"/>
      <c r="AC219" s="77"/>
      <c r="AD219" s="79" t="str">
        <f t="shared" si="12"/>
        <v/>
      </c>
      <c r="AE219" s="80" t="str">
        <f t="shared" si="13"/>
        <v/>
      </c>
      <c r="AF219" s="81"/>
      <c r="AG219" s="77"/>
      <c r="AH219" s="81"/>
      <c r="AI219" s="77"/>
      <c r="AJ219" s="82" t="str">
        <f t="shared" si="14"/>
        <v/>
      </c>
      <c r="AK219" s="83" t="str">
        <f t="shared" si="15"/>
        <v/>
      </c>
    </row>
    <row r="220" spans="2:37" ht="21" x14ac:dyDescent="0.35">
      <c r="B220" s="77"/>
      <c r="C220" s="77"/>
      <c r="D220" s="77"/>
      <c r="E220" s="77"/>
      <c r="F220" s="77"/>
      <c r="G220" s="77"/>
      <c r="H220" s="77"/>
      <c r="I220" s="78"/>
      <c r="J220" s="77"/>
      <c r="K220" s="77"/>
      <c r="L220" s="77"/>
      <c r="M220" s="78"/>
      <c r="N220" s="77"/>
      <c r="O220" s="77"/>
      <c r="P220" s="77"/>
      <c r="Q220" s="78"/>
      <c r="R220" s="77"/>
      <c r="S220" s="77"/>
      <c r="T220" s="77"/>
      <c r="U220" s="78"/>
      <c r="V220" s="77"/>
      <c r="W220" s="77"/>
      <c r="X220" s="77"/>
      <c r="Y220" s="78"/>
      <c r="Z220" s="77"/>
      <c r="AA220" s="77"/>
      <c r="AB220" s="77"/>
      <c r="AC220" s="77"/>
      <c r="AD220" s="79" t="str">
        <f t="shared" si="12"/>
        <v/>
      </c>
      <c r="AE220" s="80" t="str">
        <f t="shared" si="13"/>
        <v/>
      </c>
      <c r="AF220" s="81"/>
      <c r="AG220" s="77"/>
      <c r="AH220" s="81"/>
      <c r="AI220" s="77"/>
      <c r="AJ220" s="82" t="str">
        <f t="shared" si="14"/>
        <v/>
      </c>
      <c r="AK220" s="83" t="str">
        <f t="shared" si="15"/>
        <v/>
      </c>
    </row>
    <row r="221" spans="2:37" ht="21" x14ac:dyDescent="0.35">
      <c r="B221" s="77"/>
      <c r="C221" s="77"/>
      <c r="D221" s="77"/>
      <c r="E221" s="77"/>
      <c r="F221" s="77"/>
      <c r="G221" s="77"/>
      <c r="H221" s="77"/>
      <c r="I221" s="78"/>
      <c r="J221" s="77"/>
      <c r="K221" s="77"/>
      <c r="L221" s="77"/>
      <c r="M221" s="78"/>
      <c r="N221" s="77"/>
      <c r="O221" s="77"/>
      <c r="P221" s="77"/>
      <c r="Q221" s="78"/>
      <c r="R221" s="77"/>
      <c r="S221" s="77"/>
      <c r="T221" s="77"/>
      <c r="U221" s="78"/>
      <c r="V221" s="77"/>
      <c r="W221" s="77"/>
      <c r="X221" s="77"/>
      <c r="Y221" s="78"/>
      <c r="Z221" s="77"/>
      <c r="AA221" s="77"/>
      <c r="AB221" s="77"/>
      <c r="AC221" s="77"/>
      <c r="AD221" s="79" t="str">
        <f t="shared" si="12"/>
        <v/>
      </c>
      <c r="AE221" s="80" t="str">
        <f t="shared" si="13"/>
        <v/>
      </c>
      <c r="AF221" s="81"/>
      <c r="AG221" s="77"/>
      <c r="AH221" s="81"/>
      <c r="AI221" s="77"/>
      <c r="AJ221" s="82" t="str">
        <f t="shared" si="14"/>
        <v/>
      </c>
      <c r="AK221" s="83" t="str">
        <f t="shared" si="15"/>
        <v/>
      </c>
    </row>
    <row r="222" spans="2:37" ht="21" x14ac:dyDescent="0.35">
      <c r="B222" s="77"/>
      <c r="C222" s="77"/>
      <c r="D222" s="77"/>
      <c r="E222" s="77"/>
      <c r="F222" s="77"/>
      <c r="G222" s="77"/>
      <c r="H222" s="77"/>
      <c r="I222" s="78"/>
      <c r="J222" s="77"/>
      <c r="K222" s="77"/>
      <c r="L222" s="77"/>
      <c r="M222" s="78"/>
      <c r="N222" s="77"/>
      <c r="O222" s="77"/>
      <c r="P222" s="77"/>
      <c r="Q222" s="78"/>
      <c r="R222" s="77"/>
      <c r="S222" s="77"/>
      <c r="T222" s="77"/>
      <c r="U222" s="78"/>
      <c r="V222" s="77"/>
      <c r="W222" s="77"/>
      <c r="X222" s="77"/>
      <c r="Y222" s="78"/>
      <c r="Z222" s="77"/>
      <c r="AA222" s="77"/>
      <c r="AB222" s="77"/>
      <c r="AC222" s="77"/>
      <c r="AD222" s="79" t="str">
        <f t="shared" si="12"/>
        <v/>
      </c>
      <c r="AE222" s="80" t="str">
        <f t="shared" si="13"/>
        <v/>
      </c>
      <c r="AF222" s="81"/>
      <c r="AG222" s="77"/>
      <c r="AH222" s="81"/>
      <c r="AI222" s="77"/>
      <c r="AJ222" s="82" t="str">
        <f t="shared" si="14"/>
        <v/>
      </c>
      <c r="AK222" s="83" t="str">
        <f t="shared" si="15"/>
        <v/>
      </c>
    </row>
    <row r="223" spans="2:37" ht="21" x14ac:dyDescent="0.35">
      <c r="B223" s="77"/>
      <c r="C223" s="77"/>
      <c r="D223" s="77"/>
      <c r="E223" s="77"/>
      <c r="F223" s="77"/>
      <c r="G223" s="77"/>
      <c r="H223" s="77"/>
      <c r="I223" s="78"/>
      <c r="J223" s="77"/>
      <c r="K223" s="77"/>
      <c r="L223" s="77"/>
      <c r="M223" s="78"/>
      <c r="N223" s="77"/>
      <c r="O223" s="77"/>
      <c r="P223" s="77"/>
      <c r="Q223" s="78"/>
      <c r="R223" s="77"/>
      <c r="S223" s="77"/>
      <c r="T223" s="77"/>
      <c r="U223" s="78"/>
      <c r="V223" s="77"/>
      <c r="W223" s="77"/>
      <c r="X223" s="77"/>
      <c r="Y223" s="78"/>
      <c r="Z223" s="77"/>
      <c r="AA223" s="77"/>
      <c r="AB223" s="77"/>
      <c r="AC223" s="77"/>
      <c r="AD223" s="79" t="str">
        <f t="shared" si="12"/>
        <v/>
      </c>
      <c r="AE223" s="80" t="str">
        <f t="shared" si="13"/>
        <v/>
      </c>
      <c r="AF223" s="81"/>
      <c r="AG223" s="77"/>
      <c r="AH223" s="81"/>
      <c r="AI223" s="77"/>
      <c r="AJ223" s="82" t="str">
        <f t="shared" si="14"/>
        <v/>
      </c>
      <c r="AK223" s="83" t="str">
        <f t="shared" si="15"/>
        <v/>
      </c>
    </row>
    <row r="224" spans="2:37" ht="21" x14ac:dyDescent="0.35">
      <c r="B224" s="77"/>
      <c r="C224" s="77"/>
      <c r="D224" s="77"/>
      <c r="E224" s="77"/>
      <c r="F224" s="77"/>
      <c r="G224" s="77"/>
      <c r="H224" s="77"/>
      <c r="I224" s="78"/>
      <c r="J224" s="77"/>
      <c r="K224" s="77"/>
      <c r="L224" s="77"/>
      <c r="M224" s="78"/>
      <c r="N224" s="77"/>
      <c r="O224" s="77"/>
      <c r="P224" s="77"/>
      <c r="Q224" s="78"/>
      <c r="R224" s="77"/>
      <c r="S224" s="77"/>
      <c r="T224" s="77"/>
      <c r="U224" s="78"/>
      <c r="V224" s="77"/>
      <c r="W224" s="77"/>
      <c r="X224" s="77"/>
      <c r="Y224" s="78"/>
      <c r="Z224" s="77"/>
      <c r="AA224" s="77"/>
      <c r="AB224" s="77"/>
      <c r="AC224" s="77"/>
      <c r="AD224" s="79" t="str">
        <f t="shared" si="12"/>
        <v/>
      </c>
      <c r="AE224" s="80" t="str">
        <f t="shared" si="13"/>
        <v/>
      </c>
      <c r="AF224" s="81"/>
      <c r="AG224" s="77"/>
      <c r="AH224" s="81"/>
      <c r="AI224" s="77"/>
      <c r="AJ224" s="82" t="str">
        <f t="shared" si="14"/>
        <v/>
      </c>
      <c r="AK224" s="83" t="str">
        <f t="shared" si="15"/>
        <v/>
      </c>
    </row>
    <row r="225" spans="2:37" ht="21" x14ac:dyDescent="0.35">
      <c r="B225" s="77"/>
      <c r="C225" s="77"/>
      <c r="D225" s="77"/>
      <c r="E225" s="77"/>
      <c r="F225" s="77"/>
      <c r="G225" s="77"/>
      <c r="H225" s="77"/>
      <c r="I225" s="78"/>
      <c r="J225" s="77"/>
      <c r="K225" s="77"/>
      <c r="L225" s="77"/>
      <c r="M225" s="78"/>
      <c r="N225" s="77"/>
      <c r="O225" s="77"/>
      <c r="P225" s="77"/>
      <c r="Q225" s="78"/>
      <c r="R225" s="77"/>
      <c r="S225" s="77"/>
      <c r="T225" s="77"/>
      <c r="U225" s="78"/>
      <c r="V225" s="77"/>
      <c r="W225" s="77"/>
      <c r="X225" s="77"/>
      <c r="Y225" s="78"/>
      <c r="Z225" s="77"/>
      <c r="AA225" s="77"/>
      <c r="AB225" s="77"/>
      <c r="AC225" s="77"/>
      <c r="AD225" s="79" t="str">
        <f t="shared" si="12"/>
        <v/>
      </c>
      <c r="AE225" s="80" t="str">
        <f t="shared" si="13"/>
        <v/>
      </c>
      <c r="AF225" s="81"/>
      <c r="AG225" s="77"/>
      <c r="AH225" s="81"/>
      <c r="AI225" s="77"/>
      <c r="AJ225" s="82" t="str">
        <f t="shared" si="14"/>
        <v/>
      </c>
      <c r="AK225" s="83" t="str">
        <f t="shared" si="15"/>
        <v/>
      </c>
    </row>
    <row r="226" spans="2:37" ht="21" x14ac:dyDescent="0.35">
      <c r="B226" s="77"/>
      <c r="C226" s="77"/>
      <c r="D226" s="77"/>
      <c r="E226" s="77"/>
      <c r="F226" s="77"/>
      <c r="G226" s="77"/>
      <c r="H226" s="77"/>
      <c r="I226" s="78"/>
      <c r="J226" s="77"/>
      <c r="K226" s="77"/>
      <c r="L226" s="77"/>
      <c r="M226" s="78"/>
      <c r="N226" s="77"/>
      <c r="O226" s="77"/>
      <c r="P226" s="77"/>
      <c r="Q226" s="78"/>
      <c r="R226" s="77"/>
      <c r="S226" s="77"/>
      <c r="T226" s="77"/>
      <c r="U226" s="78"/>
      <c r="V226" s="77"/>
      <c r="W226" s="77"/>
      <c r="X226" s="77"/>
      <c r="Y226" s="78"/>
      <c r="Z226" s="77"/>
      <c r="AA226" s="77"/>
      <c r="AB226" s="77"/>
      <c r="AC226" s="77"/>
      <c r="AD226" s="79" t="str">
        <f t="shared" si="12"/>
        <v/>
      </c>
      <c r="AE226" s="80" t="str">
        <f t="shared" si="13"/>
        <v/>
      </c>
      <c r="AF226" s="81"/>
      <c r="AG226" s="77"/>
      <c r="AH226" s="81"/>
      <c r="AI226" s="77"/>
      <c r="AJ226" s="82" t="str">
        <f t="shared" si="14"/>
        <v/>
      </c>
      <c r="AK226" s="83" t="str">
        <f t="shared" si="15"/>
        <v/>
      </c>
    </row>
    <row r="227" spans="2:37" ht="21" x14ac:dyDescent="0.35">
      <c r="B227" s="77"/>
      <c r="C227" s="77"/>
      <c r="D227" s="77"/>
      <c r="E227" s="77"/>
      <c r="F227" s="77"/>
      <c r="G227" s="77"/>
      <c r="H227" s="77"/>
      <c r="I227" s="78"/>
      <c r="J227" s="77"/>
      <c r="K227" s="77"/>
      <c r="L227" s="77"/>
      <c r="M227" s="78"/>
      <c r="N227" s="77"/>
      <c r="O227" s="77"/>
      <c r="P227" s="77"/>
      <c r="Q227" s="78"/>
      <c r="R227" s="77"/>
      <c r="S227" s="77"/>
      <c r="T227" s="77"/>
      <c r="U227" s="78"/>
      <c r="V227" s="77"/>
      <c r="W227" s="77"/>
      <c r="X227" s="77"/>
      <c r="Y227" s="78"/>
      <c r="Z227" s="77"/>
      <c r="AA227" s="77"/>
      <c r="AB227" s="77"/>
      <c r="AC227" s="77"/>
      <c r="AD227" s="79" t="str">
        <f t="shared" si="12"/>
        <v/>
      </c>
      <c r="AE227" s="80" t="str">
        <f t="shared" si="13"/>
        <v/>
      </c>
      <c r="AF227" s="81"/>
      <c r="AG227" s="77"/>
      <c r="AH227" s="81"/>
      <c r="AI227" s="77"/>
      <c r="AJ227" s="82" t="str">
        <f t="shared" si="14"/>
        <v/>
      </c>
      <c r="AK227" s="83" t="str">
        <f t="shared" si="15"/>
        <v/>
      </c>
    </row>
    <row r="228" spans="2:37" ht="21" x14ac:dyDescent="0.35">
      <c r="B228" s="77"/>
      <c r="C228" s="77"/>
      <c r="D228" s="77"/>
      <c r="E228" s="77"/>
      <c r="F228" s="77"/>
      <c r="G228" s="77"/>
      <c r="H228" s="77"/>
      <c r="I228" s="78"/>
      <c r="J228" s="77"/>
      <c r="K228" s="77"/>
      <c r="L228" s="77"/>
      <c r="M228" s="78"/>
      <c r="N228" s="77"/>
      <c r="O228" s="77"/>
      <c r="P228" s="77"/>
      <c r="Q228" s="78"/>
      <c r="R228" s="77"/>
      <c r="S228" s="77"/>
      <c r="T228" s="77"/>
      <c r="U228" s="78"/>
      <c r="V228" s="77"/>
      <c r="W228" s="77"/>
      <c r="X228" s="77"/>
      <c r="Y228" s="78"/>
      <c r="Z228" s="77"/>
      <c r="AA228" s="77"/>
      <c r="AB228" s="77"/>
      <c r="AC228" s="77"/>
      <c r="AD228" s="79" t="str">
        <f t="shared" si="12"/>
        <v/>
      </c>
      <c r="AE228" s="80" t="str">
        <f t="shared" si="13"/>
        <v/>
      </c>
      <c r="AF228" s="81"/>
      <c r="AG228" s="77"/>
      <c r="AH228" s="81"/>
      <c r="AI228" s="77"/>
      <c r="AJ228" s="82" t="str">
        <f t="shared" si="14"/>
        <v/>
      </c>
      <c r="AK228" s="83" t="str">
        <f t="shared" si="15"/>
        <v/>
      </c>
    </row>
    <row r="229" spans="2:37" ht="21" x14ac:dyDescent="0.35">
      <c r="B229" s="77"/>
      <c r="C229" s="77"/>
      <c r="D229" s="77"/>
      <c r="E229" s="77"/>
      <c r="F229" s="77"/>
      <c r="G229" s="77"/>
      <c r="H229" s="77"/>
      <c r="I229" s="78"/>
      <c r="J229" s="77"/>
      <c r="K229" s="77"/>
      <c r="L229" s="77"/>
      <c r="M229" s="78"/>
      <c r="N229" s="77"/>
      <c r="O229" s="77"/>
      <c r="P229" s="77"/>
      <c r="Q229" s="78"/>
      <c r="R229" s="77"/>
      <c r="S229" s="77"/>
      <c r="T229" s="77"/>
      <c r="U229" s="78"/>
      <c r="V229" s="77"/>
      <c r="W229" s="77"/>
      <c r="X229" s="77"/>
      <c r="Y229" s="78"/>
      <c r="Z229" s="77"/>
      <c r="AA229" s="77"/>
      <c r="AB229" s="77"/>
      <c r="AC229" s="77"/>
      <c r="AD229" s="79" t="str">
        <f t="shared" si="12"/>
        <v/>
      </c>
      <c r="AE229" s="80" t="str">
        <f t="shared" si="13"/>
        <v/>
      </c>
      <c r="AF229" s="81"/>
      <c r="AG229" s="77"/>
      <c r="AH229" s="81"/>
      <c r="AI229" s="77"/>
      <c r="AJ229" s="82" t="str">
        <f t="shared" si="14"/>
        <v/>
      </c>
      <c r="AK229" s="83" t="str">
        <f t="shared" si="15"/>
        <v/>
      </c>
    </row>
    <row r="230" spans="2:37" ht="21" x14ac:dyDescent="0.35">
      <c r="B230" s="77"/>
      <c r="C230" s="77"/>
      <c r="D230" s="77"/>
      <c r="E230" s="77"/>
      <c r="F230" s="77"/>
      <c r="G230" s="77"/>
      <c r="H230" s="77"/>
      <c r="I230" s="78"/>
      <c r="J230" s="77"/>
      <c r="K230" s="77"/>
      <c r="L230" s="77"/>
      <c r="M230" s="78"/>
      <c r="N230" s="77"/>
      <c r="O230" s="77"/>
      <c r="P230" s="77"/>
      <c r="Q230" s="78"/>
      <c r="R230" s="77"/>
      <c r="S230" s="77"/>
      <c r="T230" s="77"/>
      <c r="U230" s="78"/>
      <c r="V230" s="77"/>
      <c r="W230" s="77"/>
      <c r="X230" s="77"/>
      <c r="Y230" s="78"/>
      <c r="Z230" s="77"/>
      <c r="AA230" s="77"/>
      <c r="AB230" s="77"/>
      <c r="AC230" s="77"/>
      <c r="AD230" s="79" t="str">
        <f t="shared" si="12"/>
        <v/>
      </c>
      <c r="AE230" s="80" t="str">
        <f t="shared" si="13"/>
        <v/>
      </c>
      <c r="AF230" s="81"/>
      <c r="AG230" s="77"/>
      <c r="AH230" s="81"/>
      <c r="AI230" s="77"/>
      <c r="AJ230" s="82" t="str">
        <f t="shared" si="14"/>
        <v/>
      </c>
      <c r="AK230" s="83" t="str">
        <f t="shared" si="15"/>
        <v/>
      </c>
    </row>
    <row r="231" spans="2:37" ht="21" x14ac:dyDescent="0.35">
      <c r="B231" s="77"/>
      <c r="C231" s="77"/>
      <c r="D231" s="77"/>
      <c r="E231" s="77"/>
      <c r="F231" s="77"/>
      <c r="G231" s="77"/>
      <c r="H231" s="77"/>
      <c r="I231" s="78"/>
      <c r="J231" s="77"/>
      <c r="K231" s="77"/>
      <c r="L231" s="77"/>
      <c r="M231" s="78"/>
      <c r="N231" s="77"/>
      <c r="O231" s="77"/>
      <c r="P231" s="77"/>
      <c r="Q231" s="78"/>
      <c r="R231" s="77"/>
      <c r="S231" s="77"/>
      <c r="T231" s="77"/>
      <c r="U231" s="78"/>
      <c r="V231" s="77"/>
      <c r="W231" s="77"/>
      <c r="X231" s="77"/>
      <c r="Y231" s="78"/>
      <c r="Z231" s="77"/>
      <c r="AA231" s="77"/>
      <c r="AB231" s="77"/>
      <c r="AC231" s="77"/>
      <c r="AD231" s="79" t="str">
        <f t="shared" si="12"/>
        <v/>
      </c>
      <c r="AE231" s="80" t="str">
        <f t="shared" si="13"/>
        <v/>
      </c>
      <c r="AF231" s="81"/>
      <c r="AG231" s="77"/>
      <c r="AH231" s="81"/>
      <c r="AI231" s="77"/>
      <c r="AJ231" s="82" t="str">
        <f t="shared" si="14"/>
        <v/>
      </c>
      <c r="AK231" s="83" t="str">
        <f t="shared" si="15"/>
        <v/>
      </c>
    </row>
    <row r="232" spans="2:37" ht="21" x14ac:dyDescent="0.35">
      <c r="B232" s="77"/>
      <c r="C232" s="77"/>
      <c r="D232" s="77"/>
      <c r="E232" s="77"/>
      <c r="F232" s="77"/>
      <c r="G232" s="77"/>
      <c r="H232" s="77"/>
      <c r="I232" s="78"/>
      <c r="J232" s="77"/>
      <c r="K232" s="77"/>
      <c r="L232" s="77"/>
      <c r="M232" s="78"/>
      <c r="N232" s="77"/>
      <c r="O232" s="77"/>
      <c r="P232" s="77"/>
      <c r="Q232" s="78"/>
      <c r="R232" s="77"/>
      <c r="S232" s="77"/>
      <c r="T232" s="77"/>
      <c r="U232" s="78"/>
      <c r="V232" s="77"/>
      <c r="W232" s="77"/>
      <c r="X232" s="77"/>
      <c r="Y232" s="78"/>
      <c r="Z232" s="77"/>
      <c r="AA232" s="77"/>
      <c r="AB232" s="77"/>
      <c r="AC232" s="77"/>
      <c r="AD232" s="79" t="str">
        <f t="shared" si="12"/>
        <v/>
      </c>
      <c r="AE232" s="80" t="str">
        <f t="shared" si="13"/>
        <v/>
      </c>
      <c r="AF232" s="81"/>
      <c r="AG232" s="77"/>
      <c r="AH232" s="81"/>
      <c r="AI232" s="77"/>
      <c r="AJ232" s="82" t="str">
        <f t="shared" si="14"/>
        <v/>
      </c>
      <c r="AK232" s="83" t="str">
        <f t="shared" si="15"/>
        <v/>
      </c>
    </row>
    <row r="233" spans="2:37" ht="21" x14ac:dyDescent="0.35">
      <c r="B233" s="77"/>
      <c r="C233" s="77"/>
      <c r="D233" s="77"/>
      <c r="E233" s="77"/>
      <c r="F233" s="77"/>
      <c r="G233" s="77"/>
      <c r="H233" s="77"/>
      <c r="I233" s="78"/>
      <c r="J233" s="77"/>
      <c r="K233" s="77"/>
      <c r="L233" s="77"/>
      <c r="M233" s="78"/>
      <c r="N233" s="77"/>
      <c r="O233" s="77"/>
      <c r="P233" s="77"/>
      <c r="Q233" s="78"/>
      <c r="R233" s="77"/>
      <c r="S233" s="77"/>
      <c r="T233" s="77"/>
      <c r="U233" s="78"/>
      <c r="V233" s="77"/>
      <c r="W233" s="77"/>
      <c r="X233" s="77"/>
      <c r="Y233" s="78"/>
      <c r="Z233" s="77"/>
      <c r="AA233" s="77"/>
      <c r="AB233" s="77"/>
      <c r="AC233" s="77"/>
      <c r="AD233" s="79" t="str">
        <f t="shared" si="12"/>
        <v/>
      </c>
      <c r="AE233" s="80" t="str">
        <f t="shared" si="13"/>
        <v/>
      </c>
      <c r="AF233" s="81"/>
      <c r="AG233" s="77"/>
      <c r="AH233" s="81"/>
      <c r="AI233" s="77"/>
      <c r="AJ233" s="82" t="str">
        <f t="shared" si="14"/>
        <v/>
      </c>
      <c r="AK233" s="83" t="str">
        <f t="shared" si="15"/>
        <v/>
      </c>
    </row>
    <row r="234" spans="2:37" ht="21" x14ac:dyDescent="0.35">
      <c r="B234" s="77"/>
      <c r="C234" s="77"/>
      <c r="D234" s="77"/>
      <c r="E234" s="77"/>
      <c r="F234" s="77"/>
      <c r="G234" s="77"/>
      <c r="H234" s="77"/>
      <c r="I234" s="78"/>
      <c r="J234" s="77"/>
      <c r="K234" s="77"/>
      <c r="L234" s="77"/>
      <c r="M234" s="78"/>
      <c r="N234" s="77"/>
      <c r="O234" s="77"/>
      <c r="P234" s="77"/>
      <c r="Q234" s="78"/>
      <c r="R234" s="77"/>
      <c r="S234" s="77"/>
      <c r="T234" s="77"/>
      <c r="U234" s="78"/>
      <c r="V234" s="77"/>
      <c r="W234" s="77"/>
      <c r="X234" s="77"/>
      <c r="Y234" s="78"/>
      <c r="Z234" s="77"/>
      <c r="AA234" s="77"/>
      <c r="AB234" s="77"/>
      <c r="AC234" s="77"/>
      <c r="AD234" s="79" t="str">
        <f t="shared" si="12"/>
        <v/>
      </c>
      <c r="AE234" s="80" t="str">
        <f t="shared" si="13"/>
        <v/>
      </c>
      <c r="AF234" s="81"/>
      <c r="AG234" s="77"/>
      <c r="AH234" s="81"/>
      <c r="AI234" s="77"/>
      <c r="AJ234" s="82" t="str">
        <f t="shared" si="14"/>
        <v/>
      </c>
      <c r="AK234" s="83" t="str">
        <f t="shared" si="15"/>
        <v/>
      </c>
    </row>
    <row r="235" spans="2:37" ht="21" x14ac:dyDescent="0.35">
      <c r="B235" s="77"/>
      <c r="C235" s="77"/>
      <c r="D235" s="77"/>
      <c r="E235" s="77"/>
      <c r="F235" s="77"/>
      <c r="G235" s="77"/>
      <c r="H235" s="77"/>
      <c r="I235" s="78"/>
      <c r="J235" s="77"/>
      <c r="K235" s="77"/>
      <c r="L235" s="77"/>
      <c r="M235" s="78"/>
      <c r="N235" s="77"/>
      <c r="O235" s="77"/>
      <c r="P235" s="77"/>
      <c r="Q235" s="78"/>
      <c r="R235" s="77"/>
      <c r="S235" s="77"/>
      <c r="T235" s="77"/>
      <c r="U235" s="78"/>
      <c r="V235" s="77"/>
      <c r="W235" s="77"/>
      <c r="X235" s="77"/>
      <c r="Y235" s="78"/>
      <c r="Z235" s="77"/>
      <c r="AA235" s="77"/>
      <c r="AB235" s="77"/>
      <c r="AC235" s="77"/>
      <c r="AD235" s="79" t="str">
        <f t="shared" si="12"/>
        <v/>
      </c>
      <c r="AE235" s="80" t="str">
        <f t="shared" si="13"/>
        <v/>
      </c>
      <c r="AF235" s="81"/>
      <c r="AG235" s="77"/>
      <c r="AH235" s="81"/>
      <c r="AI235" s="77"/>
      <c r="AJ235" s="82" t="str">
        <f t="shared" si="14"/>
        <v/>
      </c>
      <c r="AK235" s="83" t="str">
        <f t="shared" si="15"/>
        <v/>
      </c>
    </row>
    <row r="236" spans="2:37" ht="21" x14ac:dyDescent="0.35">
      <c r="B236" s="77"/>
      <c r="C236" s="77"/>
      <c r="D236" s="77"/>
      <c r="E236" s="77"/>
      <c r="F236" s="77"/>
      <c r="G236" s="77"/>
      <c r="H236" s="77"/>
      <c r="I236" s="78"/>
      <c r="J236" s="77"/>
      <c r="K236" s="77"/>
      <c r="L236" s="77"/>
      <c r="M236" s="78"/>
      <c r="N236" s="77"/>
      <c r="O236" s="77"/>
      <c r="P236" s="77"/>
      <c r="Q236" s="78"/>
      <c r="R236" s="77"/>
      <c r="S236" s="77"/>
      <c r="T236" s="77"/>
      <c r="U236" s="78"/>
      <c r="V236" s="77"/>
      <c r="W236" s="77"/>
      <c r="X236" s="77"/>
      <c r="Y236" s="78"/>
      <c r="Z236" s="77"/>
      <c r="AA236" s="77"/>
      <c r="AB236" s="77"/>
      <c r="AC236" s="77"/>
      <c r="AD236" s="79" t="str">
        <f t="shared" si="12"/>
        <v/>
      </c>
      <c r="AE236" s="80" t="str">
        <f t="shared" si="13"/>
        <v/>
      </c>
      <c r="AF236" s="81"/>
      <c r="AG236" s="77"/>
      <c r="AH236" s="81"/>
      <c r="AI236" s="77"/>
      <c r="AJ236" s="82" t="str">
        <f t="shared" si="14"/>
        <v/>
      </c>
      <c r="AK236" s="83" t="str">
        <f t="shared" si="15"/>
        <v/>
      </c>
    </row>
    <row r="237" spans="2:37" ht="21" x14ac:dyDescent="0.35">
      <c r="B237" s="77"/>
      <c r="C237" s="77"/>
      <c r="D237" s="77"/>
      <c r="E237" s="77"/>
      <c r="F237" s="77"/>
      <c r="G237" s="77"/>
      <c r="H237" s="77"/>
      <c r="I237" s="78"/>
      <c r="J237" s="77"/>
      <c r="K237" s="77"/>
      <c r="L237" s="77"/>
      <c r="M237" s="78"/>
      <c r="N237" s="77"/>
      <c r="O237" s="77"/>
      <c r="P237" s="77"/>
      <c r="Q237" s="78"/>
      <c r="R237" s="77"/>
      <c r="S237" s="77"/>
      <c r="T237" s="77"/>
      <c r="U237" s="78"/>
      <c r="V237" s="77"/>
      <c r="W237" s="77"/>
      <c r="X237" s="77"/>
      <c r="Y237" s="78"/>
      <c r="Z237" s="77"/>
      <c r="AA237" s="77"/>
      <c r="AB237" s="77"/>
      <c r="AC237" s="77"/>
      <c r="AD237" s="79" t="str">
        <f t="shared" si="12"/>
        <v/>
      </c>
      <c r="AE237" s="80" t="str">
        <f t="shared" si="13"/>
        <v/>
      </c>
      <c r="AF237" s="81"/>
      <c r="AG237" s="77"/>
      <c r="AH237" s="81"/>
      <c r="AI237" s="77"/>
      <c r="AJ237" s="82" t="str">
        <f t="shared" si="14"/>
        <v/>
      </c>
      <c r="AK237" s="83" t="str">
        <f t="shared" si="15"/>
        <v/>
      </c>
    </row>
    <row r="238" spans="2:37" ht="21" x14ac:dyDescent="0.35">
      <c r="B238" s="77"/>
      <c r="C238" s="77"/>
      <c r="D238" s="77"/>
      <c r="E238" s="77"/>
      <c r="F238" s="77"/>
      <c r="G238" s="77"/>
      <c r="H238" s="77"/>
      <c r="I238" s="78"/>
      <c r="J238" s="77"/>
      <c r="K238" s="77"/>
      <c r="L238" s="77"/>
      <c r="M238" s="78"/>
      <c r="N238" s="77"/>
      <c r="O238" s="77"/>
      <c r="P238" s="77"/>
      <c r="Q238" s="78"/>
      <c r="R238" s="77"/>
      <c r="S238" s="77"/>
      <c r="T238" s="77"/>
      <c r="U238" s="78"/>
      <c r="V238" s="77"/>
      <c r="W238" s="77"/>
      <c r="X238" s="77"/>
      <c r="Y238" s="78"/>
      <c r="Z238" s="77"/>
      <c r="AA238" s="77"/>
      <c r="AB238" s="77"/>
      <c r="AC238" s="77"/>
      <c r="AD238" s="79" t="str">
        <f t="shared" si="12"/>
        <v/>
      </c>
      <c r="AE238" s="80" t="str">
        <f t="shared" si="13"/>
        <v/>
      </c>
      <c r="AF238" s="81"/>
      <c r="AG238" s="77"/>
      <c r="AH238" s="81"/>
      <c r="AI238" s="77"/>
      <c r="AJ238" s="82" t="str">
        <f t="shared" si="14"/>
        <v/>
      </c>
      <c r="AK238" s="83" t="str">
        <f t="shared" si="15"/>
        <v/>
      </c>
    </row>
    <row r="239" spans="2:37" ht="21" x14ac:dyDescent="0.35">
      <c r="B239" s="77"/>
      <c r="C239" s="77"/>
      <c r="D239" s="77"/>
      <c r="E239" s="77"/>
      <c r="F239" s="77"/>
      <c r="G239" s="77"/>
      <c r="H239" s="77"/>
      <c r="I239" s="78"/>
      <c r="J239" s="77"/>
      <c r="K239" s="77"/>
      <c r="L239" s="77"/>
      <c r="M239" s="78"/>
      <c r="N239" s="77"/>
      <c r="O239" s="77"/>
      <c r="P239" s="77"/>
      <c r="Q239" s="78"/>
      <c r="R239" s="77"/>
      <c r="S239" s="77"/>
      <c r="T239" s="77"/>
      <c r="U239" s="78"/>
      <c r="V239" s="77"/>
      <c r="W239" s="77"/>
      <c r="X239" s="77"/>
      <c r="Y239" s="78"/>
      <c r="Z239" s="77"/>
      <c r="AA239" s="77"/>
      <c r="AB239" s="77"/>
      <c r="AC239" s="77"/>
      <c r="AD239" s="79" t="str">
        <f t="shared" si="12"/>
        <v/>
      </c>
      <c r="AE239" s="80" t="str">
        <f t="shared" si="13"/>
        <v/>
      </c>
      <c r="AF239" s="81"/>
      <c r="AG239" s="77"/>
      <c r="AH239" s="81"/>
      <c r="AI239" s="77"/>
      <c r="AJ239" s="82" t="str">
        <f t="shared" si="14"/>
        <v/>
      </c>
      <c r="AK239" s="83" t="str">
        <f t="shared" si="15"/>
        <v/>
      </c>
    </row>
    <row r="240" spans="2:37" ht="21" x14ac:dyDescent="0.35">
      <c r="B240" s="77"/>
      <c r="C240" s="77"/>
      <c r="D240" s="77"/>
      <c r="E240" s="77"/>
      <c r="F240" s="77"/>
      <c r="G240" s="77"/>
      <c r="H240" s="77"/>
      <c r="I240" s="78"/>
      <c r="J240" s="77"/>
      <c r="K240" s="77"/>
      <c r="L240" s="77"/>
      <c r="M240" s="78"/>
      <c r="N240" s="77"/>
      <c r="O240" s="77"/>
      <c r="P240" s="77"/>
      <c r="Q240" s="78"/>
      <c r="R240" s="77"/>
      <c r="S240" s="77"/>
      <c r="T240" s="77"/>
      <c r="U240" s="78"/>
      <c r="V240" s="77"/>
      <c r="W240" s="77"/>
      <c r="X240" s="77"/>
      <c r="Y240" s="78"/>
      <c r="Z240" s="77"/>
      <c r="AA240" s="77"/>
      <c r="AB240" s="77"/>
      <c r="AC240" s="77"/>
      <c r="AD240" s="79" t="str">
        <f t="shared" si="12"/>
        <v/>
      </c>
      <c r="AE240" s="80" t="str">
        <f t="shared" si="13"/>
        <v/>
      </c>
      <c r="AF240" s="81"/>
      <c r="AG240" s="77"/>
      <c r="AH240" s="81"/>
      <c r="AI240" s="77"/>
      <c r="AJ240" s="82" t="str">
        <f t="shared" si="14"/>
        <v/>
      </c>
      <c r="AK240" s="83" t="str">
        <f t="shared" si="15"/>
        <v/>
      </c>
    </row>
    <row r="241" spans="2:37" ht="21" x14ac:dyDescent="0.35">
      <c r="B241" s="77"/>
      <c r="C241" s="77"/>
      <c r="D241" s="77"/>
      <c r="E241" s="77"/>
      <c r="F241" s="77"/>
      <c r="G241" s="77"/>
      <c r="H241" s="77"/>
      <c r="I241" s="78"/>
      <c r="J241" s="77"/>
      <c r="K241" s="77"/>
      <c r="L241" s="77"/>
      <c r="M241" s="78"/>
      <c r="N241" s="77"/>
      <c r="O241" s="77"/>
      <c r="P241" s="77"/>
      <c r="Q241" s="78"/>
      <c r="R241" s="77"/>
      <c r="S241" s="77"/>
      <c r="T241" s="77"/>
      <c r="U241" s="78"/>
      <c r="V241" s="77"/>
      <c r="W241" s="77"/>
      <c r="X241" s="77"/>
      <c r="Y241" s="78"/>
      <c r="Z241" s="77"/>
      <c r="AA241" s="77"/>
      <c r="AB241" s="77"/>
      <c r="AC241" s="77"/>
      <c r="AD241" s="79" t="str">
        <f t="shared" si="12"/>
        <v/>
      </c>
      <c r="AE241" s="80" t="str">
        <f t="shared" si="13"/>
        <v/>
      </c>
      <c r="AF241" s="81"/>
      <c r="AG241" s="77"/>
      <c r="AH241" s="81"/>
      <c r="AI241" s="77"/>
      <c r="AJ241" s="82" t="str">
        <f t="shared" si="14"/>
        <v/>
      </c>
      <c r="AK241" s="83" t="str">
        <f t="shared" si="15"/>
        <v/>
      </c>
    </row>
    <row r="242" spans="2:37" ht="21" x14ac:dyDescent="0.35">
      <c r="B242" s="77"/>
      <c r="C242" s="77"/>
      <c r="D242" s="77"/>
      <c r="E242" s="77"/>
      <c r="F242" s="77"/>
      <c r="G242" s="77"/>
      <c r="H242" s="77"/>
      <c r="I242" s="78"/>
      <c r="J242" s="77"/>
      <c r="K242" s="77"/>
      <c r="L242" s="77"/>
      <c r="M242" s="78"/>
      <c r="N242" s="77"/>
      <c r="O242" s="77"/>
      <c r="P242" s="77"/>
      <c r="Q242" s="78"/>
      <c r="R242" s="77"/>
      <c r="S242" s="77"/>
      <c r="T242" s="77"/>
      <c r="U242" s="78"/>
      <c r="V242" s="77"/>
      <c r="W242" s="77"/>
      <c r="X242" s="77"/>
      <c r="Y242" s="78"/>
      <c r="Z242" s="77"/>
      <c r="AA242" s="77"/>
      <c r="AB242" s="77"/>
      <c r="AC242" s="77"/>
      <c r="AD242" s="79" t="str">
        <f t="shared" si="12"/>
        <v/>
      </c>
      <c r="AE242" s="80" t="str">
        <f t="shared" si="13"/>
        <v/>
      </c>
      <c r="AF242" s="81"/>
      <c r="AG242" s="77"/>
      <c r="AH242" s="81"/>
      <c r="AI242" s="77"/>
      <c r="AJ242" s="82" t="str">
        <f t="shared" si="14"/>
        <v/>
      </c>
      <c r="AK242" s="83" t="str">
        <f t="shared" si="15"/>
        <v/>
      </c>
    </row>
    <row r="243" spans="2:37" ht="21" x14ac:dyDescent="0.35">
      <c r="B243" s="77"/>
      <c r="C243" s="77"/>
      <c r="D243" s="77"/>
      <c r="E243" s="77"/>
      <c r="F243" s="77"/>
      <c r="G243" s="77"/>
      <c r="H243" s="77"/>
      <c r="I243" s="78"/>
      <c r="J243" s="77"/>
      <c r="K243" s="77"/>
      <c r="L243" s="77"/>
      <c r="M243" s="78"/>
      <c r="N243" s="77"/>
      <c r="O243" s="77"/>
      <c r="P243" s="77"/>
      <c r="Q243" s="78"/>
      <c r="R243" s="77"/>
      <c r="S243" s="77"/>
      <c r="T243" s="77"/>
      <c r="U243" s="78"/>
      <c r="V243" s="77"/>
      <c r="W243" s="77"/>
      <c r="X243" s="77"/>
      <c r="Y243" s="78"/>
      <c r="Z243" s="77"/>
      <c r="AA243" s="77"/>
      <c r="AB243" s="77"/>
      <c r="AC243" s="77"/>
      <c r="AD243" s="79" t="str">
        <f t="shared" si="12"/>
        <v/>
      </c>
      <c r="AE243" s="80" t="str">
        <f t="shared" si="13"/>
        <v/>
      </c>
      <c r="AF243" s="81"/>
      <c r="AG243" s="77"/>
      <c r="AH243" s="81"/>
      <c r="AI243" s="77"/>
      <c r="AJ243" s="82" t="str">
        <f t="shared" si="14"/>
        <v/>
      </c>
      <c r="AK243" s="83" t="str">
        <f t="shared" si="15"/>
        <v/>
      </c>
    </row>
    <row r="244" spans="2:37" ht="21" x14ac:dyDescent="0.35">
      <c r="B244" s="77"/>
      <c r="C244" s="77"/>
      <c r="D244" s="77"/>
      <c r="E244" s="77"/>
      <c r="F244" s="77"/>
      <c r="G244" s="77"/>
      <c r="H244" s="77"/>
      <c r="I244" s="78"/>
      <c r="J244" s="77"/>
      <c r="K244" s="77"/>
      <c r="L244" s="77"/>
      <c r="M244" s="78"/>
      <c r="N244" s="77"/>
      <c r="O244" s="77"/>
      <c r="P244" s="77"/>
      <c r="Q244" s="78"/>
      <c r="R244" s="77"/>
      <c r="S244" s="77"/>
      <c r="T244" s="77"/>
      <c r="U244" s="78"/>
      <c r="V244" s="77"/>
      <c r="W244" s="77"/>
      <c r="X244" s="77"/>
      <c r="Y244" s="78"/>
      <c r="Z244" s="77"/>
      <c r="AA244" s="77"/>
      <c r="AB244" s="77"/>
      <c r="AC244" s="77"/>
      <c r="AD244" s="79" t="str">
        <f t="shared" si="12"/>
        <v/>
      </c>
      <c r="AE244" s="80" t="str">
        <f t="shared" si="13"/>
        <v/>
      </c>
      <c r="AF244" s="81"/>
      <c r="AG244" s="77"/>
      <c r="AH244" s="81"/>
      <c r="AI244" s="77"/>
      <c r="AJ244" s="82" t="str">
        <f t="shared" si="14"/>
        <v/>
      </c>
      <c r="AK244" s="83" t="str">
        <f t="shared" si="15"/>
        <v/>
      </c>
    </row>
    <row r="245" spans="2:37" ht="21" x14ac:dyDescent="0.35">
      <c r="B245" s="77"/>
      <c r="C245" s="77"/>
      <c r="D245" s="77"/>
      <c r="E245" s="77"/>
      <c r="F245" s="77"/>
      <c r="G245" s="77"/>
      <c r="H245" s="77"/>
      <c r="I245" s="78"/>
      <c r="J245" s="77"/>
      <c r="K245" s="77"/>
      <c r="L245" s="77"/>
      <c r="M245" s="78"/>
      <c r="N245" s="77"/>
      <c r="O245" s="77"/>
      <c r="P245" s="77"/>
      <c r="Q245" s="78"/>
      <c r="R245" s="77"/>
      <c r="S245" s="77"/>
      <c r="T245" s="77"/>
      <c r="U245" s="78"/>
      <c r="V245" s="77"/>
      <c r="W245" s="77"/>
      <c r="X245" s="77"/>
      <c r="Y245" s="78"/>
      <c r="Z245" s="77"/>
      <c r="AA245" s="77"/>
      <c r="AB245" s="77"/>
      <c r="AC245" s="77"/>
      <c r="AD245" s="79" t="str">
        <f t="shared" si="12"/>
        <v/>
      </c>
      <c r="AE245" s="80" t="str">
        <f t="shared" si="13"/>
        <v/>
      </c>
      <c r="AF245" s="81"/>
      <c r="AG245" s="77"/>
      <c r="AH245" s="81"/>
      <c r="AI245" s="77"/>
      <c r="AJ245" s="82" t="str">
        <f t="shared" si="14"/>
        <v/>
      </c>
      <c r="AK245" s="83" t="str">
        <f t="shared" si="15"/>
        <v/>
      </c>
    </row>
    <row r="246" spans="2:37" ht="21" x14ac:dyDescent="0.35">
      <c r="B246" s="77"/>
      <c r="C246" s="77"/>
      <c r="D246" s="77"/>
      <c r="E246" s="77"/>
      <c r="F246" s="77"/>
      <c r="G246" s="77"/>
      <c r="H246" s="77"/>
      <c r="I246" s="78"/>
      <c r="J246" s="77"/>
      <c r="K246" s="77"/>
      <c r="L246" s="77"/>
      <c r="M246" s="78"/>
      <c r="N246" s="77"/>
      <c r="O246" s="77"/>
      <c r="P246" s="77"/>
      <c r="Q246" s="78"/>
      <c r="R246" s="77"/>
      <c r="S246" s="77"/>
      <c r="T246" s="77"/>
      <c r="U246" s="78"/>
      <c r="V246" s="77"/>
      <c r="W246" s="77"/>
      <c r="X246" s="77"/>
      <c r="Y246" s="78"/>
      <c r="Z246" s="77"/>
      <c r="AA246" s="77"/>
      <c r="AB246" s="77"/>
      <c r="AC246" s="77"/>
      <c r="AD246" s="79" t="str">
        <f t="shared" si="12"/>
        <v/>
      </c>
      <c r="AE246" s="80" t="str">
        <f t="shared" si="13"/>
        <v/>
      </c>
      <c r="AF246" s="81"/>
      <c r="AG246" s="77"/>
      <c r="AH246" s="81"/>
      <c r="AI246" s="77"/>
      <c r="AJ246" s="82" t="str">
        <f t="shared" si="14"/>
        <v/>
      </c>
      <c r="AK246" s="83" t="str">
        <f t="shared" si="15"/>
        <v/>
      </c>
    </row>
    <row r="247" spans="2:37" ht="21" x14ac:dyDescent="0.35">
      <c r="B247" s="77"/>
      <c r="C247" s="77"/>
      <c r="D247" s="77"/>
      <c r="E247" s="77"/>
      <c r="F247" s="77"/>
      <c r="G247" s="77"/>
      <c r="H247" s="77"/>
      <c r="I247" s="78"/>
      <c r="J247" s="77"/>
      <c r="K247" s="77"/>
      <c r="L247" s="77"/>
      <c r="M247" s="78"/>
      <c r="N247" s="77"/>
      <c r="O247" s="77"/>
      <c r="P247" s="77"/>
      <c r="Q247" s="78"/>
      <c r="R247" s="77"/>
      <c r="S247" s="77"/>
      <c r="T247" s="77"/>
      <c r="U247" s="78"/>
      <c r="V247" s="77"/>
      <c r="W247" s="77"/>
      <c r="X247" s="77"/>
      <c r="Y247" s="78"/>
      <c r="Z247" s="77"/>
      <c r="AA247" s="77"/>
      <c r="AB247" s="77"/>
      <c r="AC247" s="77"/>
      <c r="AD247" s="79" t="str">
        <f t="shared" si="12"/>
        <v/>
      </c>
      <c r="AE247" s="80" t="str">
        <f t="shared" si="13"/>
        <v/>
      </c>
      <c r="AF247" s="81"/>
      <c r="AG247" s="77"/>
      <c r="AH247" s="81"/>
      <c r="AI247" s="77"/>
      <c r="AJ247" s="82" t="str">
        <f t="shared" si="14"/>
        <v/>
      </c>
      <c r="AK247" s="83" t="str">
        <f t="shared" si="15"/>
        <v/>
      </c>
    </row>
    <row r="248" spans="2:37" ht="21" x14ac:dyDescent="0.35">
      <c r="B248" s="77"/>
      <c r="C248" s="77"/>
      <c r="D248" s="77"/>
      <c r="E248" s="77"/>
      <c r="F248" s="77"/>
      <c r="G248" s="77"/>
      <c r="H248" s="77"/>
      <c r="I248" s="78"/>
      <c r="J248" s="77"/>
      <c r="K248" s="77"/>
      <c r="L248" s="77"/>
      <c r="M248" s="78"/>
      <c r="N248" s="77"/>
      <c r="O248" s="77"/>
      <c r="P248" s="77"/>
      <c r="Q248" s="78"/>
      <c r="R248" s="77"/>
      <c r="S248" s="77"/>
      <c r="T248" s="77"/>
      <c r="U248" s="78"/>
      <c r="V248" s="77"/>
      <c r="W248" s="77"/>
      <c r="X248" s="77"/>
      <c r="Y248" s="78"/>
      <c r="Z248" s="77"/>
      <c r="AA248" s="77"/>
      <c r="AB248" s="77"/>
      <c r="AC248" s="77"/>
      <c r="AD248" s="79" t="str">
        <f t="shared" si="12"/>
        <v/>
      </c>
      <c r="AE248" s="80" t="str">
        <f t="shared" si="13"/>
        <v/>
      </c>
      <c r="AF248" s="81"/>
      <c r="AG248" s="77"/>
      <c r="AH248" s="81"/>
      <c r="AI248" s="77"/>
      <c r="AJ248" s="82" t="str">
        <f t="shared" si="14"/>
        <v/>
      </c>
      <c r="AK248" s="83" t="str">
        <f t="shared" si="15"/>
        <v/>
      </c>
    </row>
    <row r="249" spans="2:37" ht="21" x14ac:dyDescent="0.35">
      <c r="B249" s="77"/>
      <c r="C249" s="77"/>
      <c r="D249" s="77"/>
      <c r="E249" s="77"/>
      <c r="F249" s="77"/>
      <c r="G249" s="77"/>
      <c r="H249" s="77"/>
      <c r="I249" s="78"/>
      <c r="J249" s="77"/>
      <c r="K249" s="77"/>
      <c r="L249" s="77"/>
      <c r="M249" s="78"/>
      <c r="N249" s="77"/>
      <c r="O249" s="77"/>
      <c r="P249" s="77"/>
      <c r="Q249" s="78"/>
      <c r="R249" s="77"/>
      <c r="S249" s="77"/>
      <c r="T249" s="77"/>
      <c r="U249" s="78"/>
      <c r="V249" s="77"/>
      <c r="W249" s="77"/>
      <c r="X249" s="77"/>
      <c r="Y249" s="78"/>
      <c r="Z249" s="77"/>
      <c r="AA249" s="77"/>
      <c r="AB249" s="77"/>
      <c r="AC249" s="77"/>
      <c r="AD249" s="79" t="str">
        <f t="shared" si="12"/>
        <v/>
      </c>
      <c r="AE249" s="80" t="str">
        <f t="shared" si="13"/>
        <v/>
      </c>
      <c r="AF249" s="81"/>
      <c r="AG249" s="77"/>
      <c r="AH249" s="81"/>
      <c r="AI249" s="77"/>
      <c r="AJ249" s="82" t="str">
        <f t="shared" si="14"/>
        <v/>
      </c>
      <c r="AK249" s="83" t="str">
        <f t="shared" si="15"/>
        <v/>
      </c>
    </row>
    <row r="250" spans="2:37" ht="21" x14ac:dyDescent="0.35">
      <c r="B250" s="77"/>
      <c r="C250" s="77"/>
      <c r="D250" s="77"/>
      <c r="E250" s="77"/>
      <c r="F250" s="77"/>
      <c r="G250" s="77"/>
      <c r="H250" s="77"/>
      <c r="I250" s="78"/>
      <c r="J250" s="77"/>
      <c r="K250" s="77"/>
      <c r="L250" s="77"/>
      <c r="M250" s="78"/>
      <c r="N250" s="77"/>
      <c r="O250" s="77"/>
      <c r="P250" s="77"/>
      <c r="Q250" s="78"/>
      <c r="R250" s="77"/>
      <c r="S250" s="77"/>
      <c r="T250" s="77"/>
      <c r="U250" s="78"/>
      <c r="V250" s="77"/>
      <c r="W250" s="77"/>
      <c r="X250" s="77"/>
      <c r="Y250" s="78"/>
      <c r="Z250" s="77"/>
      <c r="AA250" s="77"/>
      <c r="AB250" s="77"/>
      <c r="AC250" s="77"/>
      <c r="AD250" s="79" t="str">
        <f t="shared" si="12"/>
        <v/>
      </c>
      <c r="AE250" s="80" t="str">
        <f t="shared" si="13"/>
        <v/>
      </c>
      <c r="AF250" s="81"/>
      <c r="AG250" s="77"/>
      <c r="AH250" s="81"/>
      <c r="AI250" s="77"/>
      <c r="AJ250" s="82" t="str">
        <f t="shared" si="14"/>
        <v/>
      </c>
      <c r="AK250" s="83" t="str">
        <f t="shared" si="15"/>
        <v/>
      </c>
    </row>
    <row r="251" spans="2:37" ht="21" x14ac:dyDescent="0.35">
      <c r="B251" s="77"/>
      <c r="C251" s="77"/>
      <c r="D251" s="77"/>
      <c r="E251" s="77"/>
      <c r="F251" s="77"/>
      <c r="G251" s="77"/>
      <c r="H251" s="77"/>
      <c r="I251" s="78"/>
      <c r="J251" s="77"/>
      <c r="K251" s="77"/>
      <c r="L251" s="77"/>
      <c r="M251" s="78"/>
      <c r="N251" s="77"/>
      <c r="O251" s="77"/>
      <c r="P251" s="77"/>
      <c r="Q251" s="78"/>
      <c r="R251" s="77"/>
      <c r="S251" s="77"/>
      <c r="T251" s="77"/>
      <c r="U251" s="78"/>
      <c r="V251" s="77"/>
      <c r="W251" s="77"/>
      <c r="X251" s="77"/>
      <c r="Y251" s="78"/>
      <c r="Z251" s="77"/>
      <c r="AA251" s="77"/>
      <c r="AB251" s="77"/>
      <c r="AC251" s="77"/>
      <c r="AD251" s="79" t="str">
        <f t="shared" si="12"/>
        <v/>
      </c>
      <c r="AE251" s="80" t="str">
        <f t="shared" si="13"/>
        <v/>
      </c>
      <c r="AF251" s="81"/>
      <c r="AG251" s="77"/>
      <c r="AH251" s="81"/>
      <c r="AI251" s="77"/>
      <c r="AJ251" s="82" t="str">
        <f t="shared" si="14"/>
        <v/>
      </c>
      <c r="AK251" s="83" t="str">
        <f t="shared" si="15"/>
        <v/>
      </c>
    </row>
    <row r="252" spans="2:37" ht="21" x14ac:dyDescent="0.35">
      <c r="B252" s="77"/>
      <c r="C252" s="77"/>
      <c r="D252" s="77"/>
      <c r="E252" s="77"/>
      <c r="F252" s="77"/>
      <c r="G252" s="77"/>
      <c r="H252" s="77"/>
      <c r="I252" s="78"/>
      <c r="J252" s="77"/>
      <c r="K252" s="77"/>
      <c r="L252" s="77"/>
      <c r="M252" s="78"/>
      <c r="N252" s="77"/>
      <c r="O252" s="77"/>
      <c r="P252" s="77"/>
      <c r="Q252" s="78"/>
      <c r="R252" s="77"/>
      <c r="S252" s="77"/>
      <c r="T252" s="77"/>
      <c r="U252" s="78"/>
      <c r="V252" s="77"/>
      <c r="W252" s="77"/>
      <c r="X252" s="77"/>
      <c r="Y252" s="78"/>
      <c r="Z252" s="77"/>
      <c r="AA252" s="77"/>
      <c r="AB252" s="77"/>
      <c r="AC252" s="77"/>
      <c r="AD252" s="79" t="str">
        <f t="shared" si="12"/>
        <v/>
      </c>
      <c r="AE252" s="80" t="str">
        <f t="shared" si="13"/>
        <v/>
      </c>
      <c r="AF252" s="81"/>
      <c r="AG252" s="77"/>
      <c r="AH252" s="81"/>
      <c r="AI252" s="77"/>
      <c r="AJ252" s="82" t="str">
        <f t="shared" si="14"/>
        <v/>
      </c>
      <c r="AK252" s="83" t="str">
        <f t="shared" si="15"/>
        <v/>
      </c>
    </row>
    <row r="253" spans="2:37" ht="21" x14ac:dyDescent="0.35">
      <c r="B253" s="77"/>
      <c r="C253" s="77"/>
      <c r="D253" s="77"/>
      <c r="E253" s="77"/>
      <c r="F253" s="77"/>
      <c r="G253" s="77"/>
      <c r="H253" s="77"/>
      <c r="I253" s="78"/>
      <c r="J253" s="77"/>
      <c r="K253" s="77"/>
      <c r="L253" s="77"/>
      <c r="M253" s="78"/>
      <c r="N253" s="77"/>
      <c r="O253" s="77"/>
      <c r="P253" s="77"/>
      <c r="Q253" s="78"/>
      <c r="R253" s="77"/>
      <c r="S253" s="77"/>
      <c r="T253" s="77"/>
      <c r="U253" s="78"/>
      <c r="V253" s="77"/>
      <c r="W253" s="77"/>
      <c r="X253" s="77"/>
      <c r="Y253" s="78"/>
      <c r="Z253" s="77"/>
      <c r="AA253" s="77"/>
      <c r="AB253" s="77"/>
      <c r="AC253" s="77"/>
      <c r="AD253" s="79" t="str">
        <f t="shared" si="12"/>
        <v/>
      </c>
      <c r="AE253" s="80" t="str">
        <f t="shared" si="13"/>
        <v/>
      </c>
      <c r="AF253" s="81"/>
      <c r="AG253" s="77"/>
      <c r="AH253" s="81"/>
      <c r="AI253" s="77"/>
      <c r="AJ253" s="82" t="str">
        <f t="shared" si="14"/>
        <v/>
      </c>
      <c r="AK253" s="83" t="str">
        <f t="shared" si="15"/>
        <v/>
      </c>
    </row>
    <row r="254" spans="2:37" ht="21" x14ac:dyDescent="0.35">
      <c r="B254" s="77"/>
      <c r="C254" s="77"/>
      <c r="D254" s="77"/>
      <c r="E254" s="77"/>
      <c r="F254" s="77"/>
      <c r="G254" s="77"/>
      <c r="H254" s="77"/>
      <c r="I254" s="78"/>
      <c r="J254" s="77"/>
      <c r="K254" s="77"/>
      <c r="L254" s="77"/>
      <c r="M254" s="78"/>
      <c r="N254" s="77"/>
      <c r="O254" s="77"/>
      <c r="P254" s="77"/>
      <c r="Q254" s="78"/>
      <c r="R254" s="77"/>
      <c r="S254" s="77"/>
      <c r="T254" s="77"/>
      <c r="U254" s="78"/>
      <c r="V254" s="77"/>
      <c r="W254" s="77"/>
      <c r="X254" s="77"/>
      <c r="Y254" s="78"/>
      <c r="Z254" s="77"/>
      <c r="AA254" s="77"/>
      <c r="AB254" s="77"/>
      <c r="AC254" s="77"/>
      <c r="AD254" s="79" t="str">
        <f t="shared" si="12"/>
        <v/>
      </c>
      <c r="AE254" s="80" t="str">
        <f t="shared" si="13"/>
        <v/>
      </c>
      <c r="AF254" s="81"/>
      <c r="AG254" s="77"/>
      <c r="AH254" s="81"/>
      <c r="AI254" s="77"/>
      <c r="AJ254" s="82" t="str">
        <f t="shared" si="14"/>
        <v/>
      </c>
      <c r="AK254" s="83" t="str">
        <f t="shared" si="15"/>
        <v/>
      </c>
    </row>
    <row r="255" spans="2:37" ht="21" x14ac:dyDescent="0.35">
      <c r="B255" s="77"/>
      <c r="C255" s="77"/>
      <c r="D255" s="77"/>
      <c r="E255" s="77"/>
      <c r="F255" s="77"/>
      <c r="G255" s="77"/>
      <c r="H255" s="77"/>
      <c r="I255" s="78"/>
      <c r="J255" s="77"/>
      <c r="K255" s="77"/>
      <c r="L255" s="77"/>
      <c r="M255" s="78"/>
      <c r="N255" s="77"/>
      <c r="O255" s="77"/>
      <c r="P255" s="77"/>
      <c r="Q255" s="78"/>
      <c r="R255" s="77"/>
      <c r="S255" s="77"/>
      <c r="T255" s="77"/>
      <c r="U255" s="78"/>
      <c r="V255" s="77"/>
      <c r="W255" s="77"/>
      <c r="X255" s="77"/>
      <c r="Y255" s="78"/>
      <c r="Z255" s="77"/>
      <c r="AA255" s="77"/>
      <c r="AB255" s="77"/>
      <c r="AC255" s="77"/>
      <c r="AD255" s="79" t="str">
        <f t="shared" si="12"/>
        <v/>
      </c>
      <c r="AE255" s="80" t="str">
        <f t="shared" si="13"/>
        <v/>
      </c>
      <c r="AF255" s="81"/>
      <c r="AG255" s="77"/>
      <c r="AH255" s="81"/>
      <c r="AI255" s="77"/>
      <c r="AJ255" s="82" t="str">
        <f t="shared" si="14"/>
        <v/>
      </c>
      <c r="AK255" s="83" t="str">
        <f t="shared" si="15"/>
        <v/>
      </c>
    </row>
    <row r="256" spans="2:37" ht="21" x14ac:dyDescent="0.35">
      <c r="B256" s="77"/>
      <c r="C256" s="77"/>
      <c r="D256" s="77"/>
      <c r="E256" s="77"/>
      <c r="F256" s="77"/>
      <c r="G256" s="77"/>
      <c r="H256" s="77"/>
      <c r="I256" s="78"/>
      <c r="J256" s="77"/>
      <c r="K256" s="77"/>
      <c r="L256" s="77"/>
      <c r="M256" s="78"/>
      <c r="N256" s="77"/>
      <c r="O256" s="77"/>
      <c r="P256" s="77"/>
      <c r="Q256" s="78"/>
      <c r="R256" s="77"/>
      <c r="S256" s="77"/>
      <c r="T256" s="77"/>
      <c r="U256" s="78"/>
      <c r="V256" s="77"/>
      <c r="W256" s="77"/>
      <c r="X256" s="77"/>
      <c r="Y256" s="78"/>
      <c r="Z256" s="77"/>
      <c r="AA256" s="77"/>
      <c r="AB256" s="77"/>
      <c r="AC256" s="77"/>
      <c r="AD256" s="79" t="str">
        <f t="shared" si="12"/>
        <v/>
      </c>
      <c r="AE256" s="80" t="str">
        <f t="shared" si="13"/>
        <v/>
      </c>
      <c r="AF256" s="81"/>
      <c r="AG256" s="77"/>
      <c r="AH256" s="81"/>
      <c r="AI256" s="77"/>
      <c r="AJ256" s="82" t="str">
        <f t="shared" si="14"/>
        <v/>
      </c>
      <c r="AK256" s="83" t="str">
        <f t="shared" si="15"/>
        <v/>
      </c>
    </row>
    <row r="257" spans="2:37" ht="21" x14ac:dyDescent="0.35">
      <c r="B257" s="77"/>
      <c r="C257" s="77"/>
      <c r="D257" s="77"/>
      <c r="E257" s="77"/>
      <c r="F257" s="77"/>
      <c r="G257" s="77"/>
      <c r="H257" s="77"/>
      <c r="I257" s="78"/>
      <c r="J257" s="77"/>
      <c r="K257" s="77"/>
      <c r="L257" s="77"/>
      <c r="M257" s="78"/>
      <c r="N257" s="77"/>
      <c r="O257" s="77"/>
      <c r="P257" s="77"/>
      <c r="Q257" s="78"/>
      <c r="R257" s="77"/>
      <c r="S257" s="77"/>
      <c r="T257" s="77"/>
      <c r="U257" s="78"/>
      <c r="V257" s="77"/>
      <c r="W257" s="77"/>
      <c r="X257" s="77"/>
      <c r="Y257" s="78"/>
      <c r="Z257" s="77"/>
      <c r="AA257" s="77"/>
      <c r="AB257" s="77"/>
      <c r="AC257" s="77"/>
      <c r="AD257" s="79" t="str">
        <f t="shared" si="12"/>
        <v/>
      </c>
      <c r="AE257" s="80" t="str">
        <f t="shared" si="13"/>
        <v/>
      </c>
      <c r="AF257" s="81"/>
      <c r="AG257" s="77"/>
      <c r="AH257" s="81"/>
      <c r="AI257" s="77"/>
      <c r="AJ257" s="82" t="str">
        <f t="shared" si="14"/>
        <v/>
      </c>
      <c r="AK257" s="83" t="str">
        <f t="shared" si="15"/>
        <v/>
      </c>
    </row>
    <row r="258" spans="2:37" ht="21" x14ac:dyDescent="0.35">
      <c r="B258" s="77"/>
      <c r="C258" s="77"/>
      <c r="D258" s="77"/>
      <c r="E258" s="77"/>
      <c r="F258" s="77"/>
      <c r="G258" s="77"/>
      <c r="H258" s="77"/>
      <c r="I258" s="78"/>
      <c r="J258" s="77"/>
      <c r="K258" s="77"/>
      <c r="L258" s="77"/>
      <c r="M258" s="78"/>
      <c r="N258" s="77"/>
      <c r="O258" s="77"/>
      <c r="P258" s="77"/>
      <c r="Q258" s="78"/>
      <c r="R258" s="77"/>
      <c r="S258" s="77"/>
      <c r="T258" s="77"/>
      <c r="U258" s="78"/>
      <c r="V258" s="77"/>
      <c r="W258" s="77"/>
      <c r="X258" s="77"/>
      <c r="Y258" s="78"/>
      <c r="Z258" s="77"/>
      <c r="AA258" s="77"/>
      <c r="AB258" s="77"/>
      <c r="AC258" s="77"/>
      <c r="AD258" s="79" t="str">
        <f t="shared" si="12"/>
        <v/>
      </c>
      <c r="AE258" s="80" t="str">
        <f t="shared" si="13"/>
        <v/>
      </c>
      <c r="AF258" s="81"/>
      <c r="AG258" s="77"/>
      <c r="AH258" s="81"/>
      <c r="AI258" s="77"/>
      <c r="AJ258" s="82" t="str">
        <f t="shared" si="14"/>
        <v/>
      </c>
      <c r="AK258" s="83" t="str">
        <f t="shared" si="15"/>
        <v/>
      </c>
    </row>
    <row r="259" spans="2:37" ht="21" x14ac:dyDescent="0.35">
      <c r="B259" s="77"/>
      <c r="C259" s="77"/>
      <c r="D259" s="77"/>
      <c r="E259" s="77"/>
      <c r="F259" s="77"/>
      <c r="G259" s="77"/>
      <c r="H259" s="77"/>
      <c r="I259" s="78"/>
      <c r="J259" s="77"/>
      <c r="K259" s="77"/>
      <c r="L259" s="77"/>
      <c r="M259" s="78"/>
      <c r="N259" s="77"/>
      <c r="O259" s="77"/>
      <c r="P259" s="77"/>
      <c r="Q259" s="78"/>
      <c r="R259" s="77"/>
      <c r="S259" s="77"/>
      <c r="T259" s="77"/>
      <c r="U259" s="78"/>
      <c r="V259" s="77"/>
      <c r="W259" s="77"/>
      <c r="X259" s="77"/>
      <c r="Y259" s="78"/>
      <c r="Z259" s="77"/>
      <c r="AA259" s="77"/>
      <c r="AB259" s="77"/>
      <c r="AC259" s="77"/>
      <c r="AD259" s="79" t="str">
        <f t="shared" si="12"/>
        <v/>
      </c>
      <c r="AE259" s="80" t="str">
        <f t="shared" si="13"/>
        <v/>
      </c>
      <c r="AF259" s="81"/>
      <c r="AG259" s="77"/>
      <c r="AH259" s="81"/>
      <c r="AI259" s="77"/>
      <c r="AJ259" s="82" t="str">
        <f t="shared" si="14"/>
        <v/>
      </c>
      <c r="AK259" s="83" t="str">
        <f t="shared" si="15"/>
        <v/>
      </c>
    </row>
    <row r="260" spans="2:37" ht="21" x14ac:dyDescent="0.35">
      <c r="B260" s="77"/>
      <c r="C260" s="77"/>
      <c r="D260" s="77"/>
      <c r="E260" s="77"/>
      <c r="F260" s="77"/>
      <c r="G260" s="77"/>
      <c r="H260" s="77"/>
      <c r="I260" s="78"/>
      <c r="J260" s="77"/>
      <c r="K260" s="77"/>
      <c r="L260" s="77"/>
      <c r="M260" s="78"/>
      <c r="N260" s="77"/>
      <c r="O260" s="77"/>
      <c r="P260" s="77"/>
      <c r="Q260" s="78"/>
      <c r="R260" s="77"/>
      <c r="S260" s="77"/>
      <c r="T260" s="77"/>
      <c r="U260" s="78"/>
      <c r="V260" s="77"/>
      <c r="W260" s="77"/>
      <c r="X260" s="77"/>
      <c r="Y260" s="78"/>
      <c r="Z260" s="77"/>
      <c r="AA260" s="77"/>
      <c r="AB260" s="77"/>
      <c r="AC260" s="77"/>
      <c r="AD260" s="79" t="str">
        <f t="shared" ref="AD260:AD323" si="16">IF(MIN(F260,J260,N260,R260,V260,Z260)&lt;&gt;0,MIN(F260,J260,N260,R260,V260,Z260),"")</f>
        <v/>
      </c>
      <c r="AE260" s="80" t="str">
        <f t="shared" ref="AE260:AE323" si="17">IF(MIN(H260,L260,P260,T260,X260,AB260)&lt;&gt;0,MIN(H260,L260,P260,T260,X260,AB260),"")</f>
        <v/>
      </c>
      <c r="AF260" s="81"/>
      <c r="AG260" s="77"/>
      <c r="AH260" s="81"/>
      <c r="AI260" s="77"/>
      <c r="AJ260" s="82" t="str">
        <f t="shared" ref="AJ260:AJ323" si="18">IF(AD260="","",IF(ISBLANK(AF260),"En cours",AD260+AF260))</f>
        <v/>
      </c>
      <c r="AK260" s="83" t="str">
        <f t="shared" ref="AK260:AK323" si="19">IF(AE260="","",IF(ISBLANK(AH260),"En cours",AE260+AH260))</f>
        <v/>
      </c>
    </row>
    <row r="261" spans="2:37" ht="21" x14ac:dyDescent="0.35">
      <c r="B261" s="77"/>
      <c r="C261" s="77"/>
      <c r="D261" s="77"/>
      <c r="E261" s="77"/>
      <c r="F261" s="77"/>
      <c r="G261" s="77"/>
      <c r="H261" s="77"/>
      <c r="I261" s="78"/>
      <c r="J261" s="77"/>
      <c r="K261" s="77"/>
      <c r="L261" s="77"/>
      <c r="M261" s="78"/>
      <c r="N261" s="77"/>
      <c r="O261" s="77"/>
      <c r="P261" s="77"/>
      <c r="Q261" s="78"/>
      <c r="R261" s="77"/>
      <c r="S261" s="77"/>
      <c r="T261" s="77"/>
      <c r="U261" s="78"/>
      <c r="V261" s="77"/>
      <c r="W261" s="77"/>
      <c r="X261" s="77"/>
      <c r="Y261" s="78"/>
      <c r="Z261" s="77"/>
      <c r="AA261" s="77"/>
      <c r="AB261" s="77"/>
      <c r="AC261" s="77"/>
      <c r="AD261" s="79" t="str">
        <f t="shared" si="16"/>
        <v/>
      </c>
      <c r="AE261" s="80" t="str">
        <f t="shared" si="17"/>
        <v/>
      </c>
      <c r="AF261" s="81"/>
      <c r="AG261" s="77"/>
      <c r="AH261" s="81"/>
      <c r="AI261" s="77"/>
      <c r="AJ261" s="82" t="str">
        <f t="shared" si="18"/>
        <v/>
      </c>
      <c r="AK261" s="83" t="str">
        <f t="shared" si="19"/>
        <v/>
      </c>
    </row>
    <row r="262" spans="2:37" ht="21" x14ac:dyDescent="0.35">
      <c r="B262" s="77"/>
      <c r="C262" s="77"/>
      <c r="D262" s="77"/>
      <c r="E262" s="77"/>
      <c r="F262" s="77"/>
      <c r="G262" s="77"/>
      <c r="H262" s="77"/>
      <c r="I262" s="78"/>
      <c r="J262" s="77"/>
      <c r="K262" s="77"/>
      <c r="L262" s="77"/>
      <c r="M262" s="78"/>
      <c r="N262" s="77"/>
      <c r="O262" s="77"/>
      <c r="P262" s="77"/>
      <c r="Q262" s="78"/>
      <c r="R262" s="77"/>
      <c r="S262" s="77"/>
      <c r="T262" s="77"/>
      <c r="U262" s="78"/>
      <c r="V262" s="77"/>
      <c r="W262" s="77"/>
      <c r="X262" s="77"/>
      <c r="Y262" s="78"/>
      <c r="Z262" s="77"/>
      <c r="AA262" s="77"/>
      <c r="AB262" s="77"/>
      <c r="AC262" s="77"/>
      <c r="AD262" s="79" t="str">
        <f t="shared" si="16"/>
        <v/>
      </c>
      <c r="AE262" s="80" t="str">
        <f t="shared" si="17"/>
        <v/>
      </c>
      <c r="AF262" s="81"/>
      <c r="AG262" s="77"/>
      <c r="AH262" s="81"/>
      <c r="AI262" s="77"/>
      <c r="AJ262" s="82" t="str">
        <f t="shared" si="18"/>
        <v/>
      </c>
      <c r="AK262" s="83" t="str">
        <f t="shared" si="19"/>
        <v/>
      </c>
    </row>
    <row r="263" spans="2:37" ht="21" x14ac:dyDescent="0.35">
      <c r="B263" s="77"/>
      <c r="C263" s="77"/>
      <c r="D263" s="77"/>
      <c r="E263" s="77"/>
      <c r="F263" s="77"/>
      <c r="G263" s="77"/>
      <c r="H263" s="77"/>
      <c r="I263" s="78"/>
      <c r="J263" s="77"/>
      <c r="K263" s="77"/>
      <c r="L263" s="77"/>
      <c r="M263" s="78"/>
      <c r="N263" s="77"/>
      <c r="O263" s="77"/>
      <c r="P263" s="77"/>
      <c r="Q263" s="78"/>
      <c r="R263" s="77"/>
      <c r="S263" s="77"/>
      <c r="T263" s="77"/>
      <c r="U263" s="78"/>
      <c r="V263" s="77"/>
      <c r="W263" s="77"/>
      <c r="X263" s="77"/>
      <c r="Y263" s="78"/>
      <c r="Z263" s="77"/>
      <c r="AA263" s="77"/>
      <c r="AB263" s="77"/>
      <c r="AC263" s="77"/>
      <c r="AD263" s="79" t="str">
        <f t="shared" si="16"/>
        <v/>
      </c>
      <c r="AE263" s="80" t="str">
        <f t="shared" si="17"/>
        <v/>
      </c>
      <c r="AF263" s="81"/>
      <c r="AG263" s="77"/>
      <c r="AH263" s="81"/>
      <c r="AI263" s="77"/>
      <c r="AJ263" s="82" t="str">
        <f t="shared" si="18"/>
        <v/>
      </c>
      <c r="AK263" s="83" t="str">
        <f t="shared" si="19"/>
        <v/>
      </c>
    </row>
    <row r="264" spans="2:37" ht="21" x14ac:dyDescent="0.35">
      <c r="B264" s="77"/>
      <c r="C264" s="77"/>
      <c r="D264" s="77"/>
      <c r="E264" s="77"/>
      <c r="F264" s="77"/>
      <c r="G264" s="77"/>
      <c r="H264" s="77"/>
      <c r="I264" s="78"/>
      <c r="J264" s="77"/>
      <c r="K264" s="77"/>
      <c r="L264" s="77"/>
      <c r="M264" s="78"/>
      <c r="N264" s="77"/>
      <c r="O264" s="77"/>
      <c r="P264" s="77"/>
      <c r="Q264" s="78"/>
      <c r="R264" s="77"/>
      <c r="S264" s="77"/>
      <c r="T264" s="77"/>
      <c r="U264" s="78"/>
      <c r="V264" s="77"/>
      <c r="W264" s="77"/>
      <c r="X264" s="77"/>
      <c r="Y264" s="78"/>
      <c r="Z264" s="77"/>
      <c r="AA264" s="77"/>
      <c r="AB264" s="77"/>
      <c r="AC264" s="77"/>
      <c r="AD264" s="79" t="str">
        <f t="shared" si="16"/>
        <v/>
      </c>
      <c r="AE264" s="80" t="str">
        <f t="shared" si="17"/>
        <v/>
      </c>
      <c r="AF264" s="81"/>
      <c r="AG264" s="77"/>
      <c r="AH264" s="81"/>
      <c r="AI264" s="77"/>
      <c r="AJ264" s="82" t="str">
        <f t="shared" si="18"/>
        <v/>
      </c>
      <c r="AK264" s="83" t="str">
        <f t="shared" si="19"/>
        <v/>
      </c>
    </row>
    <row r="265" spans="2:37" ht="21" x14ac:dyDescent="0.35">
      <c r="B265" s="77"/>
      <c r="C265" s="77"/>
      <c r="D265" s="77"/>
      <c r="E265" s="77"/>
      <c r="F265" s="77"/>
      <c r="G265" s="77"/>
      <c r="H265" s="77"/>
      <c r="I265" s="78"/>
      <c r="J265" s="77"/>
      <c r="K265" s="77"/>
      <c r="L265" s="77"/>
      <c r="M265" s="78"/>
      <c r="N265" s="77"/>
      <c r="O265" s="77"/>
      <c r="P265" s="77"/>
      <c r="Q265" s="78"/>
      <c r="R265" s="77"/>
      <c r="S265" s="77"/>
      <c r="T265" s="77"/>
      <c r="U265" s="78"/>
      <c r="V265" s="77"/>
      <c r="W265" s="77"/>
      <c r="X265" s="77"/>
      <c r="Y265" s="78"/>
      <c r="Z265" s="77"/>
      <c r="AA265" s="77"/>
      <c r="AB265" s="77"/>
      <c r="AC265" s="77"/>
      <c r="AD265" s="79" t="str">
        <f t="shared" si="16"/>
        <v/>
      </c>
      <c r="AE265" s="80" t="str">
        <f t="shared" si="17"/>
        <v/>
      </c>
      <c r="AF265" s="81"/>
      <c r="AG265" s="77"/>
      <c r="AH265" s="81"/>
      <c r="AI265" s="77"/>
      <c r="AJ265" s="82" t="str">
        <f t="shared" si="18"/>
        <v/>
      </c>
      <c r="AK265" s="83" t="str">
        <f t="shared" si="19"/>
        <v/>
      </c>
    </row>
    <row r="266" spans="2:37" ht="21" x14ac:dyDescent="0.35">
      <c r="B266" s="77"/>
      <c r="C266" s="77"/>
      <c r="D266" s="77"/>
      <c r="E266" s="77"/>
      <c r="F266" s="77"/>
      <c r="G266" s="77"/>
      <c r="H266" s="77"/>
      <c r="I266" s="78"/>
      <c r="J266" s="77"/>
      <c r="K266" s="77"/>
      <c r="L266" s="77"/>
      <c r="M266" s="78"/>
      <c r="N266" s="77"/>
      <c r="O266" s="77"/>
      <c r="P266" s="77"/>
      <c r="Q266" s="78"/>
      <c r="R266" s="77"/>
      <c r="S266" s="77"/>
      <c r="T266" s="77"/>
      <c r="U266" s="78"/>
      <c r="V266" s="77"/>
      <c r="W266" s="77"/>
      <c r="X266" s="77"/>
      <c r="Y266" s="78"/>
      <c r="Z266" s="77"/>
      <c r="AA266" s="77"/>
      <c r="AB266" s="77"/>
      <c r="AC266" s="77"/>
      <c r="AD266" s="79" t="str">
        <f t="shared" si="16"/>
        <v/>
      </c>
      <c r="AE266" s="80" t="str">
        <f t="shared" si="17"/>
        <v/>
      </c>
      <c r="AF266" s="81"/>
      <c r="AG266" s="77"/>
      <c r="AH266" s="81"/>
      <c r="AI266" s="77"/>
      <c r="AJ266" s="82" t="str">
        <f t="shared" si="18"/>
        <v/>
      </c>
      <c r="AK266" s="83" t="str">
        <f t="shared" si="19"/>
        <v/>
      </c>
    </row>
    <row r="267" spans="2:37" ht="21" x14ac:dyDescent="0.35">
      <c r="B267" s="77"/>
      <c r="C267" s="77"/>
      <c r="D267" s="77"/>
      <c r="E267" s="77"/>
      <c r="F267" s="77"/>
      <c r="G267" s="77"/>
      <c r="H267" s="77"/>
      <c r="I267" s="78"/>
      <c r="J267" s="77"/>
      <c r="K267" s="77"/>
      <c r="L267" s="77"/>
      <c r="M267" s="78"/>
      <c r="N267" s="77"/>
      <c r="O267" s="77"/>
      <c r="P267" s="77"/>
      <c r="Q267" s="78"/>
      <c r="R267" s="77"/>
      <c r="S267" s="77"/>
      <c r="T267" s="77"/>
      <c r="U267" s="78"/>
      <c r="V267" s="77"/>
      <c r="W267" s="77"/>
      <c r="X267" s="77"/>
      <c r="Y267" s="78"/>
      <c r="Z267" s="77"/>
      <c r="AA267" s="77"/>
      <c r="AB267" s="77"/>
      <c r="AC267" s="77"/>
      <c r="AD267" s="79" t="str">
        <f t="shared" si="16"/>
        <v/>
      </c>
      <c r="AE267" s="80" t="str">
        <f t="shared" si="17"/>
        <v/>
      </c>
      <c r="AF267" s="81"/>
      <c r="AG267" s="77"/>
      <c r="AH267" s="81"/>
      <c r="AI267" s="77"/>
      <c r="AJ267" s="82" t="str">
        <f t="shared" si="18"/>
        <v/>
      </c>
      <c r="AK267" s="83" t="str">
        <f t="shared" si="19"/>
        <v/>
      </c>
    </row>
    <row r="268" spans="2:37" ht="21" x14ac:dyDescent="0.35">
      <c r="B268" s="77"/>
      <c r="C268" s="77"/>
      <c r="D268" s="77"/>
      <c r="E268" s="77"/>
      <c r="F268" s="77"/>
      <c r="G268" s="77"/>
      <c r="H268" s="77"/>
      <c r="I268" s="78"/>
      <c r="J268" s="77"/>
      <c r="K268" s="77"/>
      <c r="L268" s="77"/>
      <c r="M268" s="78"/>
      <c r="N268" s="77"/>
      <c r="O268" s="77"/>
      <c r="P268" s="77"/>
      <c r="Q268" s="78"/>
      <c r="R268" s="77"/>
      <c r="S268" s="77"/>
      <c r="T268" s="77"/>
      <c r="U268" s="78"/>
      <c r="V268" s="77"/>
      <c r="W268" s="77"/>
      <c r="X268" s="77"/>
      <c r="Y268" s="78"/>
      <c r="Z268" s="77"/>
      <c r="AA268" s="77"/>
      <c r="AB268" s="77"/>
      <c r="AC268" s="77"/>
      <c r="AD268" s="79" t="str">
        <f t="shared" si="16"/>
        <v/>
      </c>
      <c r="AE268" s="80" t="str">
        <f t="shared" si="17"/>
        <v/>
      </c>
      <c r="AF268" s="81"/>
      <c r="AG268" s="77"/>
      <c r="AH268" s="81"/>
      <c r="AI268" s="77"/>
      <c r="AJ268" s="82" t="str">
        <f t="shared" si="18"/>
        <v/>
      </c>
      <c r="AK268" s="83" t="str">
        <f t="shared" si="19"/>
        <v/>
      </c>
    </row>
    <row r="269" spans="2:37" ht="21" x14ac:dyDescent="0.35">
      <c r="B269" s="77"/>
      <c r="C269" s="77"/>
      <c r="D269" s="77"/>
      <c r="E269" s="77"/>
      <c r="F269" s="77"/>
      <c r="G269" s="77"/>
      <c r="H269" s="77"/>
      <c r="I269" s="78"/>
      <c r="J269" s="77"/>
      <c r="K269" s="77"/>
      <c r="L269" s="77"/>
      <c r="M269" s="78"/>
      <c r="N269" s="77"/>
      <c r="O269" s="77"/>
      <c r="P269" s="77"/>
      <c r="Q269" s="78"/>
      <c r="R269" s="77"/>
      <c r="S269" s="77"/>
      <c r="T269" s="77"/>
      <c r="U269" s="78"/>
      <c r="V269" s="77"/>
      <c r="W269" s="77"/>
      <c r="X269" s="77"/>
      <c r="Y269" s="78"/>
      <c r="Z269" s="77"/>
      <c r="AA269" s="77"/>
      <c r="AB269" s="77"/>
      <c r="AC269" s="77"/>
      <c r="AD269" s="79" t="str">
        <f t="shared" si="16"/>
        <v/>
      </c>
      <c r="AE269" s="80" t="str">
        <f t="shared" si="17"/>
        <v/>
      </c>
      <c r="AF269" s="81"/>
      <c r="AG269" s="77"/>
      <c r="AH269" s="81"/>
      <c r="AI269" s="77"/>
      <c r="AJ269" s="82" t="str">
        <f t="shared" si="18"/>
        <v/>
      </c>
      <c r="AK269" s="83" t="str">
        <f t="shared" si="19"/>
        <v/>
      </c>
    </row>
    <row r="270" spans="2:37" ht="21" x14ac:dyDescent="0.35">
      <c r="B270" s="77"/>
      <c r="C270" s="77"/>
      <c r="D270" s="77"/>
      <c r="E270" s="77"/>
      <c r="F270" s="77"/>
      <c r="G270" s="77"/>
      <c r="H270" s="77"/>
      <c r="I270" s="78"/>
      <c r="J270" s="77"/>
      <c r="K270" s="77"/>
      <c r="L270" s="77"/>
      <c r="M270" s="78"/>
      <c r="N270" s="77"/>
      <c r="O270" s="77"/>
      <c r="P270" s="77"/>
      <c r="Q270" s="78"/>
      <c r="R270" s="77"/>
      <c r="S270" s="77"/>
      <c r="T270" s="77"/>
      <c r="U270" s="78"/>
      <c r="V270" s="77"/>
      <c r="W270" s="77"/>
      <c r="X270" s="77"/>
      <c r="Y270" s="78"/>
      <c r="Z270" s="77"/>
      <c r="AA270" s="77"/>
      <c r="AB270" s="77"/>
      <c r="AC270" s="77"/>
      <c r="AD270" s="79" t="str">
        <f t="shared" si="16"/>
        <v/>
      </c>
      <c r="AE270" s="80" t="str">
        <f t="shared" si="17"/>
        <v/>
      </c>
      <c r="AF270" s="81"/>
      <c r="AG270" s="77"/>
      <c r="AH270" s="81"/>
      <c r="AI270" s="77"/>
      <c r="AJ270" s="82" t="str">
        <f t="shared" si="18"/>
        <v/>
      </c>
      <c r="AK270" s="83" t="str">
        <f t="shared" si="19"/>
        <v/>
      </c>
    </row>
    <row r="271" spans="2:37" ht="21" x14ac:dyDescent="0.35">
      <c r="B271" s="77"/>
      <c r="C271" s="77"/>
      <c r="D271" s="77"/>
      <c r="E271" s="77"/>
      <c r="F271" s="77"/>
      <c r="G271" s="77"/>
      <c r="H271" s="77"/>
      <c r="I271" s="78"/>
      <c r="J271" s="77"/>
      <c r="K271" s="77"/>
      <c r="L271" s="77"/>
      <c r="M271" s="78"/>
      <c r="N271" s="77"/>
      <c r="O271" s="77"/>
      <c r="P271" s="77"/>
      <c r="Q271" s="78"/>
      <c r="R271" s="77"/>
      <c r="S271" s="77"/>
      <c r="T271" s="77"/>
      <c r="U271" s="78"/>
      <c r="V271" s="77"/>
      <c r="W271" s="77"/>
      <c r="X271" s="77"/>
      <c r="Y271" s="78"/>
      <c r="Z271" s="77"/>
      <c r="AA271" s="77"/>
      <c r="AB271" s="77"/>
      <c r="AC271" s="77"/>
      <c r="AD271" s="79" t="str">
        <f t="shared" si="16"/>
        <v/>
      </c>
      <c r="AE271" s="80" t="str">
        <f t="shared" si="17"/>
        <v/>
      </c>
      <c r="AF271" s="81"/>
      <c r="AG271" s="77"/>
      <c r="AH271" s="81"/>
      <c r="AI271" s="77"/>
      <c r="AJ271" s="82" t="str">
        <f t="shared" si="18"/>
        <v/>
      </c>
      <c r="AK271" s="83" t="str">
        <f t="shared" si="19"/>
        <v/>
      </c>
    </row>
    <row r="272" spans="2:37" ht="21" x14ac:dyDescent="0.35">
      <c r="B272" s="77"/>
      <c r="C272" s="77"/>
      <c r="D272" s="77"/>
      <c r="E272" s="77"/>
      <c r="F272" s="77"/>
      <c r="G272" s="77"/>
      <c r="H272" s="77"/>
      <c r="I272" s="78"/>
      <c r="J272" s="77"/>
      <c r="K272" s="77"/>
      <c r="L272" s="77"/>
      <c r="M272" s="78"/>
      <c r="N272" s="77"/>
      <c r="O272" s="77"/>
      <c r="P272" s="77"/>
      <c r="Q272" s="78"/>
      <c r="R272" s="77"/>
      <c r="S272" s="77"/>
      <c r="T272" s="77"/>
      <c r="U272" s="78"/>
      <c r="V272" s="77"/>
      <c r="W272" s="77"/>
      <c r="X272" s="77"/>
      <c r="Y272" s="78"/>
      <c r="Z272" s="77"/>
      <c r="AA272" s="77"/>
      <c r="AB272" s="77"/>
      <c r="AC272" s="77"/>
      <c r="AD272" s="79" t="str">
        <f t="shared" si="16"/>
        <v/>
      </c>
      <c r="AE272" s="80" t="str">
        <f t="shared" si="17"/>
        <v/>
      </c>
      <c r="AF272" s="81"/>
      <c r="AG272" s="77"/>
      <c r="AH272" s="81"/>
      <c r="AI272" s="77"/>
      <c r="AJ272" s="82" t="str">
        <f t="shared" si="18"/>
        <v/>
      </c>
      <c r="AK272" s="83" t="str">
        <f t="shared" si="19"/>
        <v/>
      </c>
    </row>
    <row r="273" spans="2:37" ht="21" x14ac:dyDescent="0.35">
      <c r="B273" s="77"/>
      <c r="C273" s="77"/>
      <c r="D273" s="77"/>
      <c r="E273" s="77"/>
      <c r="F273" s="77"/>
      <c r="G273" s="77"/>
      <c r="H273" s="77"/>
      <c r="I273" s="78"/>
      <c r="J273" s="77"/>
      <c r="K273" s="77"/>
      <c r="L273" s="77"/>
      <c r="M273" s="78"/>
      <c r="N273" s="77"/>
      <c r="O273" s="77"/>
      <c r="P273" s="77"/>
      <c r="Q273" s="78"/>
      <c r="R273" s="77"/>
      <c r="S273" s="77"/>
      <c r="T273" s="77"/>
      <c r="U273" s="78"/>
      <c r="V273" s="77"/>
      <c r="W273" s="77"/>
      <c r="X273" s="77"/>
      <c r="Y273" s="78"/>
      <c r="Z273" s="77"/>
      <c r="AA273" s="77"/>
      <c r="AB273" s="77"/>
      <c r="AC273" s="77"/>
      <c r="AD273" s="79" t="str">
        <f t="shared" si="16"/>
        <v/>
      </c>
      <c r="AE273" s="80" t="str">
        <f t="shared" si="17"/>
        <v/>
      </c>
      <c r="AF273" s="81"/>
      <c r="AG273" s="77"/>
      <c r="AH273" s="81"/>
      <c r="AI273" s="77"/>
      <c r="AJ273" s="82" t="str">
        <f t="shared" si="18"/>
        <v/>
      </c>
      <c r="AK273" s="83" t="str">
        <f t="shared" si="19"/>
        <v/>
      </c>
    </row>
    <row r="274" spans="2:37" ht="21" x14ac:dyDescent="0.35">
      <c r="B274" s="77"/>
      <c r="C274" s="77"/>
      <c r="D274" s="77"/>
      <c r="E274" s="77"/>
      <c r="F274" s="77"/>
      <c r="G274" s="77"/>
      <c r="H274" s="77"/>
      <c r="I274" s="78"/>
      <c r="J274" s="77"/>
      <c r="K274" s="77"/>
      <c r="L274" s="77"/>
      <c r="M274" s="78"/>
      <c r="N274" s="77"/>
      <c r="O274" s="77"/>
      <c r="P274" s="77"/>
      <c r="Q274" s="78"/>
      <c r="R274" s="77"/>
      <c r="S274" s="77"/>
      <c r="T274" s="77"/>
      <c r="U274" s="78"/>
      <c r="V274" s="77"/>
      <c r="W274" s="77"/>
      <c r="X274" s="77"/>
      <c r="Y274" s="78"/>
      <c r="Z274" s="77"/>
      <c r="AA274" s="77"/>
      <c r="AB274" s="77"/>
      <c r="AC274" s="77"/>
      <c r="AD274" s="79" t="str">
        <f t="shared" si="16"/>
        <v/>
      </c>
      <c r="AE274" s="80" t="str">
        <f t="shared" si="17"/>
        <v/>
      </c>
      <c r="AF274" s="81"/>
      <c r="AG274" s="77"/>
      <c r="AH274" s="81"/>
      <c r="AI274" s="77"/>
      <c r="AJ274" s="82" t="str">
        <f t="shared" si="18"/>
        <v/>
      </c>
      <c r="AK274" s="83" t="str">
        <f t="shared" si="19"/>
        <v/>
      </c>
    </row>
    <row r="275" spans="2:37" ht="21" x14ac:dyDescent="0.35">
      <c r="B275" s="77"/>
      <c r="C275" s="77"/>
      <c r="D275" s="77"/>
      <c r="E275" s="77"/>
      <c r="F275" s="77"/>
      <c r="G275" s="77"/>
      <c r="H275" s="77"/>
      <c r="I275" s="78"/>
      <c r="J275" s="77"/>
      <c r="K275" s="77"/>
      <c r="L275" s="77"/>
      <c r="M275" s="78"/>
      <c r="N275" s="77"/>
      <c r="O275" s="77"/>
      <c r="P275" s="77"/>
      <c r="Q275" s="78"/>
      <c r="R275" s="77"/>
      <c r="S275" s="77"/>
      <c r="T275" s="77"/>
      <c r="U275" s="78"/>
      <c r="V275" s="77"/>
      <c r="W275" s="77"/>
      <c r="X275" s="77"/>
      <c r="Y275" s="78"/>
      <c r="Z275" s="77"/>
      <c r="AA275" s="77"/>
      <c r="AB275" s="77"/>
      <c r="AC275" s="77"/>
      <c r="AD275" s="79" t="str">
        <f t="shared" si="16"/>
        <v/>
      </c>
      <c r="AE275" s="80" t="str">
        <f t="shared" si="17"/>
        <v/>
      </c>
      <c r="AF275" s="81"/>
      <c r="AG275" s="77"/>
      <c r="AH275" s="81"/>
      <c r="AI275" s="77"/>
      <c r="AJ275" s="82" t="str">
        <f t="shared" si="18"/>
        <v/>
      </c>
      <c r="AK275" s="83" t="str">
        <f t="shared" si="19"/>
        <v/>
      </c>
    </row>
    <row r="276" spans="2:37" ht="21" x14ac:dyDescent="0.35">
      <c r="B276" s="77"/>
      <c r="C276" s="77"/>
      <c r="D276" s="77"/>
      <c r="E276" s="77"/>
      <c r="F276" s="77"/>
      <c r="G276" s="77"/>
      <c r="H276" s="77"/>
      <c r="I276" s="78"/>
      <c r="J276" s="77"/>
      <c r="K276" s="77"/>
      <c r="L276" s="77"/>
      <c r="M276" s="78"/>
      <c r="N276" s="77"/>
      <c r="O276" s="77"/>
      <c r="P276" s="77"/>
      <c r="Q276" s="78"/>
      <c r="R276" s="77"/>
      <c r="S276" s="77"/>
      <c r="T276" s="77"/>
      <c r="U276" s="78"/>
      <c r="V276" s="77"/>
      <c r="W276" s="77"/>
      <c r="X276" s="77"/>
      <c r="Y276" s="78"/>
      <c r="Z276" s="77"/>
      <c r="AA276" s="77"/>
      <c r="AB276" s="77"/>
      <c r="AC276" s="77"/>
      <c r="AD276" s="79" t="str">
        <f t="shared" si="16"/>
        <v/>
      </c>
      <c r="AE276" s="80" t="str">
        <f t="shared" si="17"/>
        <v/>
      </c>
      <c r="AF276" s="81"/>
      <c r="AG276" s="77"/>
      <c r="AH276" s="81"/>
      <c r="AI276" s="77"/>
      <c r="AJ276" s="82" t="str">
        <f t="shared" si="18"/>
        <v/>
      </c>
      <c r="AK276" s="83" t="str">
        <f t="shared" si="19"/>
        <v/>
      </c>
    </row>
    <row r="277" spans="2:37" ht="21" x14ac:dyDescent="0.35">
      <c r="B277" s="77"/>
      <c r="C277" s="77"/>
      <c r="D277" s="77"/>
      <c r="E277" s="77"/>
      <c r="F277" s="77"/>
      <c r="G277" s="77"/>
      <c r="H277" s="77"/>
      <c r="I277" s="78"/>
      <c r="J277" s="77"/>
      <c r="K277" s="77"/>
      <c r="L277" s="77"/>
      <c r="M277" s="78"/>
      <c r="N277" s="77"/>
      <c r="O277" s="77"/>
      <c r="P277" s="77"/>
      <c r="Q277" s="78"/>
      <c r="R277" s="77"/>
      <c r="S277" s="77"/>
      <c r="T277" s="77"/>
      <c r="U277" s="78"/>
      <c r="V277" s="77"/>
      <c r="W277" s="77"/>
      <c r="X277" s="77"/>
      <c r="Y277" s="78"/>
      <c r="Z277" s="77"/>
      <c r="AA277" s="77"/>
      <c r="AB277" s="77"/>
      <c r="AC277" s="77"/>
      <c r="AD277" s="79" t="str">
        <f t="shared" si="16"/>
        <v/>
      </c>
      <c r="AE277" s="80" t="str">
        <f t="shared" si="17"/>
        <v/>
      </c>
      <c r="AF277" s="81"/>
      <c r="AG277" s="77"/>
      <c r="AH277" s="81"/>
      <c r="AI277" s="77"/>
      <c r="AJ277" s="82" t="str">
        <f t="shared" si="18"/>
        <v/>
      </c>
      <c r="AK277" s="83" t="str">
        <f t="shared" si="19"/>
        <v/>
      </c>
    </row>
    <row r="278" spans="2:37" ht="21" x14ac:dyDescent="0.35">
      <c r="B278" s="77"/>
      <c r="C278" s="77"/>
      <c r="D278" s="77"/>
      <c r="E278" s="77"/>
      <c r="F278" s="77"/>
      <c r="G278" s="77"/>
      <c r="H278" s="77"/>
      <c r="I278" s="78"/>
      <c r="J278" s="77"/>
      <c r="K278" s="77"/>
      <c r="L278" s="77"/>
      <c r="M278" s="78"/>
      <c r="N278" s="77"/>
      <c r="O278" s="77"/>
      <c r="P278" s="77"/>
      <c r="Q278" s="78"/>
      <c r="R278" s="77"/>
      <c r="S278" s="77"/>
      <c r="T278" s="77"/>
      <c r="U278" s="78"/>
      <c r="V278" s="77"/>
      <c r="W278" s="77"/>
      <c r="X278" s="77"/>
      <c r="Y278" s="78"/>
      <c r="Z278" s="77"/>
      <c r="AA278" s="77"/>
      <c r="AB278" s="77"/>
      <c r="AC278" s="77"/>
      <c r="AD278" s="79" t="str">
        <f t="shared" si="16"/>
        <v/>
      </c>
      <c r="AE278" s="80" t="str">
        <f t="shared" si="17"/>
        <v/>
      </c>
      <c r="AF278" s="81"/>
      <c r="AG278" s="77"/>
      <c r="AH278" s="81"/>
      <c r="AI278" s="77"/>
      <c r="AJ278" s="82" t="str">
        <f t="shared" si="18"/>
        <v/>
      </c>
      <c r="AK278" s="83" t="str">
        <f t="shared" si="19"/>
        <v/>
      </c>
    </row>
    <row r="279" spans="2:37" ht="21" x14ac:dyDescent="0.35">
      <c r="B279" s="77"/>
      <c r="C279" s="77"/>
      <c r="D279" s="77"/>
      <c r="E279" s="77"/>
      <c r="F279" s="77"/>
      <c r="G279" s="77"/>
      <c r="H279" s="77"/>
      <c r="I279" s="78"/>
      <c r="J279" s="77"/>
      <c r="K279" s="77"/>
      <c r="L279" s="77"/>
      <c r="M279" s="78"/>
      <c r="N279" s="77"/>
      <c r="O279" s="77"/>
      <c r="P279" s="77"/>
      <c r="Q279" s="78"/>
      <c r="R279" s="77"/>
      <c r="S279" s="77"/>
      <c r="T279" s="77"/>
      <c r="U279" s="78"/>
      <c r="V279" s="77"/>
      <c r="W279" s="77"/>
      <c r="X279" s="77"/>
      <c r="Y279" s="78"/>
      <c r="Z279" s="77"/>
      <c r="AA279" s="77"/>
      <c r="AB279" s="77"/>
      <c r="AC279" s="77"/>
      <c r="AD279" s="79" t="str">
        <f t="shared" si="16"/>
        <v/>
      </c>
      <c r="AE279" s="80" t="str">
        <f t="shared" si="17"/>
        <v/>
      </c>
      <c r="AF279" s="81"/>
      <c r="AG279" s="77"/>
      <c r="AH279" s="81"/>
      <c r="AI279" s="77"/>
      <c r="AJ279" s="82" t="str">
        <f t="shared" si="18"/>
        <v/>
      </c>
      <c r="AK279" s="83" t="str">
        <f t="shared" si="19"/>
        <v/>
      </c>
    </row>
    <row r="280" spans="2:37" ht="21" x14ac:dyDescent="0.35">
      <c r="B280" s="77"/>
      <c r="C280" s="77"/>
      <c r="D280" s="77"/>
      <c r="E280" s="77"/>
      <c r="F280" s="77"/>
      <c r="G280" s="77"/>
      <c r="H280" s="77"/>
      <c r="I280" s="78"/>
      <c r="J280" s="77"/>
      <c r="K280" s="77"/>
      <c r="L280" s="77"/>
      <c r="M280" s="78"/>
      <c r="N280" s="77"/>
      <c r="O280" s="77"/>
      <c r="P280" s="77"/>
      <c r="Q280" s="78"/>
      <c r="R280" s="77"/>
      <c r="S280" s="77"/>
      <c r="T280" s="77"/>
      <c r="U280" s="78"/>
      <c r="V280" s="77"/>
      <c r="W280" s="77"/>
      <c r="X280" s="77"/>
      <c r="Y280" s="78"/>
      <c r="Z280" s="77"/>
      <c r="AA280" s="77"/>
      <c r="AB280" s="77"/>
      <c r="AC280" s="77"/>
      <c r="AD280" s="79" t="str">
        <f t="shared" si="16"/>
        <v/>
      </c>
      <c r="AE280" s="80" t="str">
        <f t="shared" si="17"/>
        <v/>
      </c>
      <c r="AF280" s="81"/>
      <c r="AG280" s="77"/>
      <c r="AH280" s="81"/>
      <c r="AI280" s="77"/>
      <c r="AJ280" s="82" t="str">
        <f t="shared" si="18"/>
        <v/>
      </c>
      <c r="AK280" s="83" t="str">
        <f t="shared" si="19"/>
        <v/>
      </c>
    </row>
    <row r="281" spans="2:37" ht="21" x14ac:dyDescent="0.35">
      <c r="B281" s="77"/>
      <c r="C281" s="77"/>
      <c r="D281" s="77"/>
      <c r="E281" s="77"/>
      <c r="F281" s="77"/>
      <c r="G281" s="77"/>
      <c r="H281" s="77"/>
      <c r="I281" s="78"/>
      <c r="J281" s="77"/>
      <c r="K281" s="77"/>
      <c r="L281" s="77"/>
      <c r="M281" s="78"/>
      <c r="N281" s="77"/>
      <c r="O281" s="77"/>
      <c r="P281" s="77"/>
      <c r="Q281" s="78"/>
      <c r="R281" s="77"/>
      <c r="S281" s="77"/>
      <c r="T281" s="77"/>
      <c r="U281" s="78"/>
      <c r="V281" s="77"/>
      <c r="W281" s="77"/>
      <c r="X281" s="77"/>
      <c r="Y281" s="78"/>
      <c r="Z281" s="77"/>
      <c r="AA281" s="77"/>
      <c r="AB281" s="77"/>
      <c r="AC281" s="77"/>
      <c r="AD281" s="79" t="str">
        <f t="shared" si="16"/>
        <v/>
      </c>
      <c r="AE281" s="80" t="str">
        <f t="shared" si="17"/>
        <v/>
      </c>
      <c r="AF281" s="81"/>
      <c r="AG281" s="77"/>
      <c r="AH281" s="81"/>
      <c r="AI281" s="77"/>
      <c r="AJ281" s="82" t="str">
        <f t="shared" si="18"/>
        <v/>
      </c>
      <c r="AK281" s="83" t="str">
        <f t="shared" si="19"/>
        <v/>
      </c>
    </row>
    <row r="282" spans="2:37" ht="21" x14ac:dyDescent="0.35">
      <c r="B282" s="77"/>
      <c r="C282" s="77"/>
      <c r="D282" s="77"/>
      <c r="E282" s="77"/>
      <c r="F282" s="77"/>
      <c r="G282" s="77"/>
      <c r="H282" s="77"/>
      <c r="I282" s="78"/>
      <c r="J282" s="77"/>
      <c r="K282" s="77"/>
      <c r="L282" s="77"/>
      <c r="M282" s="78"/>
      <c r="N282" s="77"/>
      <c r="O282" s="77"/>
      <c r="P282" s="77"/>
      <c r="Q282" s="78"/>
      <c r="R282" s="77"/>
      <c r="S282" s="77"/>
      <c r="T282" s="77"/>
      <c r="U282" s="78"/>
      <c r="V282" s="77"/>
      <c r="W282" s="77"/>
      <c r="X282" s="77"/>
      <c r="Y282" s="78"/>
      <c r="Z282" s="77"/>
      <c r="AA282" s="77"/>
      <c r="AB282" s="77"/>
      <c r="AC282" s="77"/>
      <c r="AD282" s="79" t="str">
        <f t="shared" si="16"/>
        <v/>
      </c>
      <c r="AE282" s="80" t="str">
        <f t="shared" si="17"/>
        <v/>
      </c>
      <c r="AF282" s="81"/>
      <c r="AG282" s="77"/>
      <c r="AH282" s="81"/>
      <c r="AI282" s="77"/>
      <c r="AJ282" s="82" t="str">
        <f t="shared" si="18"/>
        <v/>
      </c>
      <c r="AK282" s="83" t="str">
        <f t="shared" si="19"/>
        <v/>
      </c>
    </row>
    <row r="283" spans="2:37" ht="21" x14ac:dyDescent="0.35">
      <c r="B283" s="77"/>
      <c r="C283" s="77"/>
      <c r="D283" s="77"/>
      <c r="E283" s="77"/>
      <c r="F283" s="77"/>
      <c r="G283" s="77"/>
      <c r="H283" s="77"/>
      <c r="I283" s="78"/>
      <c r="J283" s="77"/>
      <c r="K283" s="77"/>
      <c r="L283" s="77"/>
      <c r="M283" s="78"/>
      <c r="N283" s="77"/>
      <c r="O283" s="77"/>
      <c r="P283" s="77"/>
      <c r="Q283" s="78"/>
      <c r="R283" s="77"/>
      <c r="S283" s="77"/>
      <c r="T283" s="77"/>
      <c r="U283" s="78"/>
      <c r="V283" s="77"/>
      <c r="W283" s="77"/>
      <c r="X283" s="77"/>
      <c r="Y283" s="78"/>
      <c r="Z283" s="77"/>
      <c r="AA283" s="77"/>
      <c r="AB283" s="77"/>
      <c r="AC283" s="77"/>
      <c r="AD283" s="79" t="str">
        <f t="shared" si="16"/>
        <v/>
      </c>
      <c r="AE283" s="80" t="str">
        <f t="shared" si="17"/>
        <v/>
      </c>
      <c r="AF283" s="81"/>
      <c r="AG283" s="77"/>
      <c r="AH283" s="81"/>
      <c r="AI283" s="77"/>
      <c r="AJ283" s="82" t="str">
        <f t="shared" si="18"/>
        <v/>
      </c>
      <c r="AK283" s="83" t="str">
        <f t="shared" si="19"/>
        <v/>
      </c>
    </row>
    <row r="284" spans="2:37" ht="21" x14ac:dyDescent="0.35">
      <c r="B284" s="77"/>
      <c r="C284" s="77"/>
      <c r="D284" s="77"/>
      <c r="E284" s="77"/>
      <c r="F284" s="77"/>
      <c r="G284" s="77"/>
      <c r="H284" s="77"/>
      <c r="I284" s="78"/>
      <c r="J284" s="77"/>
      <c r="K284" s="77"/>
      <c r="L284" s="77"/>
      <c r="M284" s="78"/>
      <c r="N284" s="77"/>
      <c r="O284" s="77"/>
      <c r="P284" s="77"/>
      <c r="Q284" s="78"/>
      <c r="R284" s="77"/>
      <c r="S284" s="77"/>
      <c r="T284" s="77"/>
      <c r="U284" s="78"/>
      <c r="V284" s="77"/>
      <c r="W284" s="77"/>
      <c r="X284" s="77"/>
      <c r="Y284" s="78"/>
      <c r="Z284" s="77"/>
      <c r="AA284" s="77"/>
      <c r="AB284" s="77"/>
      <c r="AC284" s="77"/>
      <c r="AD284" s="79" t="str">
        <f t="shared" si="16"/>
        <v/>
      </c>
      <c r="AE284" s="80" t="str">
        <f t="shared" si="17"/>
        <v/>
      </c>
      <c r="AF284" s="81"/>
      <c r="AG284" s="77"/>
      <c r="AH284" s="81"/>
      <c r="AI284" s="77"/>
      <c r="AJ284" s="82" t="str">
        <f t="shared" si="18"/>
        <v/>
      </c>
      <c r="AK284" s="83" t="str">
        <f t="shared" si="19"/>
        <v/>
      </c>
    </row>
    <row r="285" spans="2:37" ht="21" x14ac:dyDescent="0.35">
      <c r="B285" s="77"/>
      <c r="C285" s="77"/>
      <c r="D285" s="77"/>
      <c r="E285" s="77"/>
      <c r="F285" s="77"/>
      <c r="G285" s="77"/>
      <c r="H285" s="77"/>
      <c r="I285" s="78"/>
      <c r="J285" s="77"/>
      <c r="K285" s="77"/>
      <c r="L285" s="77"/>
      <c r="M285" s="78"/>
      <c r="N285" s="77"/>
      <c r="O285" s="77"/>
      <c r="P285" s="77"/>
      <c r="Q285" s="78"/>
      <c r="R285" s="77"/>
      <c r="S285" s="77"/>
      <c r="T285" s="77"/>
      <c r="U285" s="78"/>
      <c r="V285" s="77"/>
      <c r="W285" s="77"/>
      <c r="X285" s="77"/>
      <c r="Y285" s="78"/>
      <c r="Z285" s="77"/>
      <c r="AA285" s="77"/>
      <c r="AB285" s="77"/>
      <c r="AC285" s="77"/>
      <c r="AD285" s="79" t="str">
        <f t="shared" si="16"/>
        <v/>
      </c>
      <c r="AE285" s="80" t="str">
        <f t="shared" si="17"/>
        <v/>
      </c>
      <c r="AF285" s="81"/>
      <c r="AG285" s="77"/>
      <c r="AH285" s="81"/>
      <c r="AI285" s="77"/>
      <c r="AJ285" s="82" t="str">
        <f t="shared" si="18"/>
        <v/>
      </c>
      <c r="AK285" s="83" t="str">
        <f t="shared" si="19"/>
        <v/>
      </c>
    </row>
    <row r="286" spans="2:37" ht="21" x14ac:dyDescent="0.35">
      <c r="B286" s="77"/>
      <c r="C286" s="77"/>
      <c r="D286" s="77"/>
      <c r="E286" s="77"/>
      <c r="F286" s="77"/>
      <c r="G286" s="77"/>
      <c r="H286" s="77"/>
      <c r="I286" s="78"/>
      <c r="J286" s="77"/>
      <c r="K286" s="77"/>
      <c r="L286" s="77"/>
      <c r="M286" s="78"/>
      <c r="N286" s="77"/>
      <c r="O286" s="77"/>
      <c r="P286" s="77"/>
      <c r="Q286" s="78"/>
      <c r="R286" s="77"/>
      <c r="S286" s="77"/>
      <c r="T286" s="77"/>
      <c r="U286" s="78"/>
      <c r="V286" s="77"/>
      <c r="W286" s="77"/>
      <c r="X286" s="77"/>
      <c r="Y286" s="78"/>
      <c r="Z286" s="77"/>
      <c r="AA286" s="77"/>
      <c r="AB286" s="77"/>
      <c r="AC286" s="77"/>
      <c r="AD286" s="79" t="str">
        <f t="shared" si="16"/>
        <v/>
      </c>
      <c r="AE286" s="80" t="str">
        <f t="shared" si="17"/>
        <v/>
      </c>
      <c r="AF286" s="81"/>
      <c r="AG286" s="77"/>
      <c r="AH286" s="81"/>
      <c r="AI286" s="77"/>
      <c r="AJ286" s="82" t="str">
        <f t="shared" si="18"/>
        <v/>
      </c>
      <c r="AK286" s="83" t="str">
        <f t="shared" si="19"/>
        <v/>
      </c>
    </row>
    <row r="287" spans="2:37" ht="21" x14ac:dyDescent="0.35">
      <c r="B287" s="77"/>
      <c r="C287" s="77"/>
      <c r="D287" s="77"/>
      <c r="E287" s="77"/>
      <c r="F287" s="77"/>
      <c r="G287" s="77"/>
      <c r="H287" s="77"/>
      <c r="I287" s="78"/>
      <c r="J287" s="77"/>
      <c r="K287" s="77"/>
      <c r="L287" s="77"/>
      <c r="M287" s="78"/>
      <c r="N287" s="77"/>
      <c r="O287" s="77"/>
      <c r="P287" s="77"/>
      <c r="Q287" s="78"/>
      <c r="R287" s="77"/>
      <c r="S287" s="77"/>
      <c r="T287" s="77"/>
      <c r="U287" s="78"/>
      <c r="V287" s="77"/>
      <c r="W287" s="77"/>
      <c r="X287" s="77"/>
      <c r="Y287" s="78"/>
      <c r="Z287" s="77"/>
      <c r="AA287" s="77"/>
      <c r="AB287" s="77"/>
      <c r="AC287" s="77"/>
      <c r="AD287" s="79" t="str">
        <f t="shared" si="16"/>
        <v/>
      </c>
      <c r="AE287" s="80" t="str">
        <f t="shared" si="17"/>
        <v/>
      </c>
      <c r="AF287" s="81"/>
      <c r="AG287" s="77"/>
      <c r="AH287" s="81"/>
      <c r="AI287" s="77"/>
      <c r="AJ287" s="82" t="str">
        <f t="shared" si="18"/>
        <v/>
      </c>
      <c r="AK287" s="83" t="str">
        <f t="shared" si="19"/>
        <v/>
      </c>
    </row>
    <row r="288" spans="2:37" ht="21" x14ac:dyDescent="0.35">
      <c r="B288" s="77"/>
      <c r="C288" s="77"/>
      <c r="D288" s="77"/>
      <c r="E288" s="77"/>
      <c r="F288" s="77"/>
      <c r="G288" s="77"/>
      <c r="H288" s="77"/>
      <c r="I288" s="78"/>
      <c r="J288" s="77"/>
      <c r="K288" s="77"/>
      <c r="L288" s="77"/>
      <c r="M288" s="78"/>
      <c r="N288" s="77"/>
      <c r="O288" s="77"/>
      <c r="P288" s="77"/>
      <c r="Q288" s="78"/>
      <c r="R288" s="77"/>
      <c r="S288" s="77"/>
      <c r="T288" s="77"/>
      <c r="U288" s="78"/>
      <c r="V288" s="77"/>
      <c r="W288" s="77"/>
      <c r="X288" s="77"/>
      <c r="Y288" s="78"/>
      <c r="Z288" s="77"/>
      <c r="AA288" s="77"/>
      <c r="AB288" s="77"/>
      <c r="AC288" s="77"/>
      <c r="AD288" s="79" t="str">
        <f t="shared" si="16"/>
        <v/>
      </c>
      <c r="AE288" s="80" t="str">
        <f t="shared" si="17"/>
        <v/>
      </c>
      <c r="AF288" s="81"/>
      <c r="AG288" s="77"/>
      <c r="AH288" s="81"/>
      <c r="AI288" s="77"/>
      <c r="AJ288" s="82" t="str">
        <f t="shared" si="18"/>
        <v/>
      </c>
      <c r="AK288" s="83" t="str">
        <f t="shared" si="19"/>
        <v/>
      </c>
    </row>
    <row r="289" spans="2:37" ht="21" x14ac:dyDescent="0.35">
      <c r="B289" s="77"/>
      <c r="C289" s="77"/>
      <c r="D289" s="77"/>
      <c r="E289" s="77"/>
      <c r="F289" s="77"/>
      <c r="G289" s="77"/>
      <c r="H289" s="77"/>
      <c r="I289" s="78"/>
      <c r="J289" s="77"/>
      <c r="K289" s="77"/>
      <c r="L289" s="77"/>
      <c r="M289" s="78"/>
      <c r="N289" s="77"/>
      <c r="O289" s="77"/>
      <c r="P289" s="77"/>
      <c r="Q289" s="78"/>
      <c r="R289" s="77"/>
      <c r="S289" s="77"/>
      <c r="T289" s="77"/>
      <c r="U289" s="78"/>
      <c r="V289" s="77"/>
      <c r="W289" s="77"/>
      <c r="X289" s="77"/>
      <c r="Y289" s="78"/>
      <c r="Z289" s="77"/>
      <c r="AA289" s="77"/>
      <c r="AB289" s="77"/>
      <c r="AC289" s="77"/>
      <c r="AD289" s="79" t="str">
        <f t="shared" si="16"/>
        <v/>
      </c>
      <c r="AE289" s="80" t="str">
        <f t="shared" si="17"/>
        <v/>
      </c>
      <c r="AF289" s="81"/>
      <c r="AG289" s="77"/>
      <c r="AH289" s="81"/>
      <c r="AI289" s="77"/>
      <c r="AJ289" s="82" t="str">
        <f t="shared" si="18"/>
        <v/>
      </c>
      <c r="AK289" s="83" t="str">
        <f t="shared" si="19"/>
        <v/>
      </c>
    </row>
    <row r="290" spans="2:37" ht="21" x14ac:dyDescent="0.35">
      <c r="B290" s="77"/>
      <c r="C290" s="77"/>
      <c r="D290" s="77"/>
      <c r="E290" s="77"/>
      <c r="F290" s="77"/>
      <c r="G290" s="77"/>
      <c r="H290" s="77"/>
      <c r="I290" s="78"/>
      <c r="J290" s="77"/>
      <c r="K290" s="77"/>
      <c r="L290" s="77"/>
      <c r="M290" s="78"/>
      <c r="N290" s="77"/>
      <c r="O290" s="77"/>
      <c r="P290" s="77"/>
      <c r="Q290" s="78"/>
      <c r="R290" s="77"/>
      <c r="S290" s="77"/>
      <c r="T290" s="77"/>
      <c r="U290" s="78"/>
      <c r="V290" s="77"/>
      <c r="W290" s="77"/>
      <c r="X290" s="77"/>
      <c r="Y290" s="78"/>
      <c r="Z290" s="77"/>
      <c r="AA290" s="77"/>
      <c r="AB290" s="77"/>
      <c r="AC290" s="77"/>
      <c r="AD290" s="79" t="str">
        <f t="shared" si="16"/>
        <v/>
      </c>
      <c r="AE290" s="80" t="str">
        <f t="shared" si="17"/>
        <v/>
      </c>
      <c r="AF290" s="81"/>
      <c r="AG290" s="77"/>
      <c r="AH290" s="81"/>
      <c r="AI290" s="77"/>
      <c r="AJ290" s="82" t="str">
        <f t="shared" si="18"/>
        <v/>
      </c>
      <c r="AK290" s="83" t="str">
        <f t="shared" si="19"/>
        <v/>
      </c>
    </row>
    <row r="291" spans="2:37" ht="21" x14ac:dyDescent="0.35">
      <c r="B291" s="77"/>
      <c r="C291" s="77"/>
      <c r="D291" s="77"/>
      <c r="E291" s="77"/>
      <c r="F291" s="77"/>
      <c r="G291" s="77"/>
      <c r="H291" s="77"/>
      <c r="I291" s="78"/>
      <c r="J291" s="77"/>
      <c r="K291" s="77"/>
      <c r="L291" s="77"/>
      <c r="M291" s="78"/>
      <c r="N291" s="77"/>
      <c r="O291" s="77"/>
      <c r="P291" s="77"/>
      <c r="Q291" s="78"/>
      <c r="R291" s="77"/>
      <c r="S291" s="77"/>
      <c r="T291" s="77"/>
      <c r="U291" s="78"/>
      <c r="V291" s="77"/>
      <c r="W291" s="77"/>
      <c r="X291" s="77"/>
      <c r="Y291" s="78"/>
      <c r="Z291" s="77"/>
      <c r="AA291" s="77"/>
      <c r="AB291" s="77"/>
      <c r="AC291" s="77"/>
      <c r="AD291" s="79" t="str">
        <f t="shared" si="16"/>
        <v/>
      </c>
      <c r="AE291" s="80" t="str">
        <f t="shared" si="17"/>
        <v/>
      </c>
      <c r="AF291" s="81"/>
      <c r="AG291" s="77"/>
      <c r="AH291" s="81"/>
      <c r="AI291" s="77"/>
      <c r="AJ291" s="82" t="str">
        <f t="shared" si="18"/>
        <v/>
      </c>
      <c r="AK291" s="83" t="str">
        <f t="shared" si="19"/>
        <v/>
      </c>
    </row>
    <row r="292" spans="2:37" ht="21" x14ac:dyDescent="0.35">
      <c r="B292" s="77"/>
      <c r="C292" s="77"/>
      <c r="D292" s="77"/>
      <c r="E292" s="77"/>
      <c r="F292" s="77"/>
      <c r="G292" s="77"/>
      <c r="H292" s="77"/>
      <c r="I292" s="78"/>
      <c r="J292" s="77"/>
      <c r="K292" s="77"/>
      <c r="L292" s="77"/>
      <c r="M292" s="78"/>
      <c r="N292" s="77"/>
      <c r="O292" s="77"/>
      <c r="P292" s="77"/>
      <c r="Q292" s="78"/>
      <c r="R292" s="77"/>
      <c r="S292" s="77"/>
      <c r="T292" s="77"/>
      <c r="U292" s="78"/>
      <c r="V292" s="77"/>
      <c r="W292" s="77"/>
      <c r="X292" s="77"/>
      <c r="Y292" s="78"/>
      <c r="Z292" s="77"/>
      <c r="AA292" s="77"/>
      <c r="AB292" s="77"/>
      <c r="AC292" s="77"/>
      <c r="AD292" s="79" t="str">
        <f t="shared" si="16"/>
        <v/>
      </c>
      <c r="AE292" s="80" t="str">
        <f t="shared" si="17"/>
        <v/>
      </c>
      <c r="AF292" s="81"/>
      <c r="AG292" s="77"/>
      <c r="AH292" s="81"/>
      <c r="AI292" s="77"/>
      <c r="AJ292" s="82" t="str">
        <f t="shared" si="18"/>
        <v/>
      </c>
      <c r="AK292" s="83" t="str">
        <f t="shared" si="19"/>
        <v/>
      </c>
    </row>
    <row r="293" spans="2:37" ht="21" x14ac:dyDescent="0.35">
      <c r="B293" s="77"/>
      <c r="C293" s="77"/>
      <c r="D293" s="77"/>
      <c r="E293" s="77"/>
      <c r="F293" s="77"/>
      <c r="G293" s="77"/>
      <c r="H293" s="77"/>
      <c r="I293" s="78"/>
      <c r="J293" s="77"/>
      <c r="K293" s="77"/>
      <c r="L293" s="77"/>
      <c r="M293" s="78"/>
      <c r="N293" s="77"/>
      <c r="O293" s="77"/>
      <c r="P293" s="77"/>
      <c r="Q293" s="78"/>
      <c r="R293" s="77"/>
      <c r="S293" s="77"/>
      <c r="T293" s="77"/>
      <c r="U293" s="78"/>
      <c r="V293" s="77"/>
      <c r="W293" s="77"/>
      <c r="X293" s="77"/>
      <c r="Y293" s="78"/>
      <c r="Z293" s="77"/>
      <c r="AA293" s="77"/>
      <c r="AB293" s="77"/>
      <c r="AC293" s="77"/>
      <c r="AD293" s="79" t="str">
        <f t="shared" si="16"/>
        <v/>
      </c>
      <c r="AE293" s="80" t="str">
        <f t="shared" si="17"/>
        <v/>
      </c>
      <c r="AF293" s="81"/>
      <c r="AG293" s="77"/>
      <c r="AH293" s="81"/>
      <c r="AI293" s="77"/>
      <c r="AJ293" s="82" t="str">
        <f t="shared" si="18"/>
        <v/>
      </c>
      <c r="AK293" s="83" t="str">
        <f t="shared" si="19"/>
        <v/>
      </c>
    </row>
    <row r="294" spans="2:37" ht="21" x14ac:dyDescent="0.35">
      <c r="B294" s="77"/>
      <c r="C294" s="77"/>
      <c r="D294" s="77"/>
      <c r="E294" s="77"/>
      <c r="F294" s="77"/>
      <c r="G294" s="77"/>
      <c r="H294" s="77"/>
      <c r="I294" s="78"/>
      <c r="J294" s="77"/>
      <c r="K294" s="77"/>
      <c r="L294" s="77"/>
      <c r="M294" s="78"/>
      <c r="N294" s="77"/>
      <c r="O294" s="77"/>
      <c r="P294" s="77"/>
      <c r="Q294" s="78"/>
      <c r="R294" s="77"/>
      <c r="S294" s="77"/>
      <c r="T294" s="77"/>
      <c r="U294" s="78"/>
      <c r="V294" s="77"/>
      <c r="W294" s="77"/>
      <c r="X294" s="77"/>
      <c r="Y294" s="78"/>
      <c r="Z294" s="77"/>
      <c r="AA294" s="77"/>
      <c r="AB294" s="77"/>
      <c r="AC294" s="77"/>
      <c r="AD294" s="79" t="str">
        <f t="shared" si="16"/>
        <v/>
      </c>
      <c r="AE294" s="80" t="str">
        <f t="shared" si="17"/>
        <v/>
      </c>
      <c r="AF294" s="81"/>
      <c r="AG294" s="77"/>
      <c r="AH294" s="81"/>
      <c r="AI294" s="77"/>
      <c r="AJ294" s="82" t="str">
        <f t="shared" si="18"/>
        <v/>
      </c>
      <c r="AK294" s="83" t="str">
        <f t="shared" si="19"/>
        <v/>
      </c>
    </row>
    <row r="295" spans="2:37" ht="21" x14ac:dyDescent="0.35">
      <c r="B295" s="77"/>
      <c r="C295" s="77"/>
      <c r="D295" s="77"/>
      <c r="E295" s="77"/>
      <c r="F295" s="77"/>
      <c r="G295" s="77"/>
      <c r="H295" s="77"/>
      <c r="I295" s="78"/>
      <c r="J295" s="77"/>
      <c r="K295" s="77"/>
      <c r="L295" s="77"/>
      <c r="M295" s="78"/>
      <c r="N295" s="77"/>
      <c r="O295" s="77"/>
      <c r="P295" s="77"/>
      <c r="Q295" s="78"/>
      <c r="R295" s="77"/>
      <c r="S295" s="77"/>
      <c r="T295" s="77"/>
      <c r="U295" s="78"/>
      <c r="V295" s="77"/>
      <c r="W295" s="77"/>
      <c r="X295" s="77"/>
      <c r="Y295" s="78"/>
      <c r="Z295" s="77"/>
      <c r="AA295" s="77"/>
      <c r="AB295" s="77"/>
      <c r="AC295" s="77"/>
      <c r="AD295" s="79" t="str">
        <f t="shared" si="16"/>
        <v/>
      </c>
      <c r="AE295" s="80" t="str">
        <f t="shared" si="17"/>
        <v/>
      </c>
      <c r="AF295" s="81"/>
      <c r="AG295" s="77"/>
      <c r="AH295" s="81"/>
      <c r="AI295" s="77"/>
      <c r="AJ295" s="82" t="str">
        <f t="shared" si="18"/>
        <v/>
      </c>
      <c r="AK295" s="83" t="str">
        <f t="shared" si="19"/>
        <v/>
      </c>
    </row>
    <row r="296" spans="2:37" ht="21" x14ac:dyDescent="0.35">
      <c r="B296" s="77"/>
      <c r="C296" s="77"/>
      <c r="D296" s="77"/>
      <c r="E296" s="77"/>
      <c r="F296" s="77"/>
      <c r="G296" s="77"/>
      <c r="H296" s="77"/>
      <c r="I296" s="78"/>
      <c r="J296" s="77"/>
      <c r="K296" s="77"/>
      <c r="L296" s="77"/>
      <c r="M296" s="78"/>
      <c r="N296" s="77"/>
      <c r="O296" s="77"/>
      <c r="P296" s="77"/>
      <c r="Q296" s="78"/>
      <c r="R296" s="77"/>
      <c r="S296" s="77"/>
      <c r="T296" s="77"/>
      <c r="U296" s="78"/>
      <c r="V296" s="77"/>
      <c r="W296" s="77"/>
      <c r="X296" s="77"/>
      <c r="Y296" s="78"/>
      <c r="Z296" s="77"/>
      <c r="AA296" s="77"/>
      <c r="AB296" s="77"/>
      <c r="AC296" s="77"/>
      <c r="AD296" s="79" t="str">
        <f t="shared" si="16"/>
        <v/>
      </c>
      <c r="AE296" s="80" t="str">
        <f t="shared" si="17"/>
        <v/>
      </c>
      <c r="AF296" s="81"/>
      <c r="AG296" s="77"/>
      <c r="AH296" s="81"/>
      <c r="AI296" s="77"/>
      <c r="AJ296" s="82" t="str">
        <f t="shared" si="18"/>
        <v/>
      </c>
      <c r="AK296" s="83" t="str">
        <f t="shared" si="19"/>
        <v/>
      </c>
    </row>
    <row r="297" spans="2:37" ht="21" x14ac:dyDescent="0.35">
      <c r="B297" s="77"/>
      <c r="C297" s="77"/>
      <c r="D297" s="77"/>
      <c r="E297" s="77"/>
      <c r="F297" s="77"/>
      <c r="G297" s="77"/>
      <c r="H297" s="77"/>
      <c r="I297" s="78"/>
      <c r="J297" s="77"/>
      <c r="K297" s="77"/>
      <c r="L297" s="77"/>
      <c r="M297" s="78"/>
      <c r="N297" s="77"/>
      <c r="O297" s="77"/>
      <c r="P297" s="77"/>
      <c r="Q297" s="78"/>
      <c r="R297" s="77"/>
      <c r="S297" s="77"/>
      <c r="T297" s="77"/>
      <c r="U297" s="78"/>
      <c r="V297" s="77"/>
      <c r="W297" s="77"/>
      <c r="X297" s="77"/>
      <c r="Y297" s="78"/>
      <c r="Z297" s="77"/>
      <c r="AA297" s="77"/>
      <c r="AB297" s="77"/>
      <c r="AC297" s="77"/>
      <c r="AD297" s="79" t="str">
        <f t="shared" si="16"/>
        <v/>
      </c>
      <c r="AE297" s="80" t="str">
        <f t="shared" si="17"/>
        <v/>
      </c>
      <c r="AF297" s="81"/>
      <c r="AG297" s="77"/>
      <c r="AH297" s="81"/>
      <c r="AI297" s="77"/>
      <c r="AJ297" s="82" t="str">
        <f t="shared" si="18"/>
        <v/>
      </c>
      <c r="AK297" s="83" t="str">
        <f t="shared" si="19"/>
        <v/>
      </c>
    </row>
    <row r="298" spans="2:37" ht="21" x14ac:dyDescent="0.35">
      <c r="B298" s="77"/>
      <c r="C298" s="77"/>
      <c r="D298" s="77"/>
      <c r="E298" s="77"/>
      <c r="F298" s="77"/>
      <c r="G298" s="77"/>
      <c r="H298" s="77"/>
      <c r="I298" s="78"/>
      <c r="J298" s="77"/>
      <c r="K298" s="77"/>
      <c r="L298" s="77"/>
      <c r="M298" s="78"/>
      <c r="N298" s="77"/>
      <c r="O298" s="77"/>
      <c r="P298" s="77"/>
      <c r="Q298" s="78"/>
      <c r="R298" s="77"/>
      <c r="S298" s="77"/>
      <c r="T298" s="77"/>
      <c r="U298" s="78"/>
      <c r="V298" s="77"/>
      <c r="W298" s="77"/>
      <c r="X298" s="77"/>
      <c r="Y298" s="78"/>
      <c r="Z298" s="77"/>
      <c r="AA298" s="77"/>
      <c r="AB298" s="77"/>
      <c r="AC298" s="77"/>
      <c r="AD298" s="79" t="str">
        <f t="shared" si="16"/>
        <v/>
      </c>
      <c r="AE298" s="80" t="str">
        <f t="shared" si="17"/>
        <v/>
      </c>
      <c r="AF298" s="81"/>
      <c r="AG298" s="77"/>
      <c r="AH298" s="81"/>
      <c r="AI298" s="77"/>
      <c r="AJ298" s="82" t="str">
        <f t="shared" si="18"/>
        <v/>
      </c>
      <c r="AK298" s="83" t="str">
        <f t="shared" si="19"/>
        <v/>
      </c>
    </row>
    <row r="299" spans="2:37" ht="21" x14ac:dyDescent="0.35">
      <c r="B299" s="77"/>
      <c r="C299" s="77"/>
      <c r="D299" s="77"/>
      <c r="E299" s="77"/>
      <c r="F299" s="77"/>
      <c r="G299" s="77"/>
      <c r="H299" s="77"/>
      <c r="I299" s="78"/>
      <c r="J299" s="77"/>
      <c r="K299" s="77"/>
      <c r="L299" s="77"/>
      <c r="M299" s="78"/>
      <c r="N299" s="77"/>
      <c r="O299" s="77"/>
      <c r="P299" s="77"/>
      <c r="Q299" s="78"/>
      <c r="R299" s="77"/>
      <c r="S299" s="77"/>
      <c r="T299" s="77"/>
      <c r="U299" s="78"/>
      <c r="V299" s="77"/>
      <c r="W299" s="77"/>
      <c r="X299" s="77"/>
      <c r="Y299" s="78"/>
      <c r="Z299" s="77"/>
      <c r="AA299" s="77"/>
      <c r="AB299" s="77"/>
      <c r="AC299" s="77"/>
      <c r="AD299" s="79" t="str">
        <f t="shared" si="16"/>
        <v/>
      </c>
      <c r="AE299" s="80" t="str">
        <f t="shared" si="17"/>
        <v/>
      </c>
      <c r="AF299" s="81"/>
      <c r="AG299" s="77"/>
      <c r="AH299" s="81"/>
      <c r="AI299" s="77"/>
      <c r="AJ299" s="82" t="str">
        <f t="shared" si="18"/>
        <v/>
      </c>
      <c r="AK299" s="83" t="str">
        <f t="shared" si="19"/>
        <v/>
      </c>
    </row>
    <row r="300" spans="2:37" ht="21" x14ac:dyDescent="0.35">
      <c r="B300" s="77"/>
      <c r="C300" s="77"/>
      <c r="D300" s="77"/>
      <c r="E300" s="77"/>
      <c r="F300" s="77"/>
      <c r="G300" s="77"/>
      <c r="H300" s="77"/>
      <c r="I300" s="78"/>
      <c r="J300" s="77"/>
      <c r="K300" s="77"/>
      <c r="L300" s="77"/>
      <c r="M300" s="78"/>
      <c r="N300" s="77"/>
      <c r="O300" s="77"/>
      <c r="P300" s="77"/>
      <c r="Q300" s="78"/>
      <c r="R300" s="77"/>
      <c r="S300" s="77"/>
      <c r="T300" s="77"/>
      <c r="U300" s="78"/>
      <c r="V300" s="77"/>
      <c r="W300" s="77"/>
      <c r="X300" s="77"/>
      <c r="Y300" s="78"/>
      <c r="Z300" s="77"/>
      <c r="AA300" s="77"/>
      <c r="AB300" s="77"/>
      <c r="AC300" s="77"/>
      <c r="AD300" s="79" t="str">
        <f t="shared" si="16"/>
        <v/>
      </c>
      <c r="AE300" s="80" t="str">
        <f t="shared" si="17"/>
        <v/>
      </c>
      <c r="AF300" s="81"/>
      <c r="AG300" s="77"/>
      <c r="AH300" s="81"/>
      <c r="AI300" s="77"/>
      <c r="AJ300" s="82" t="str">
        <f t="shared" si="18"/>
        <v/>
      </c>
      <c r="AK300" s="83" t="str">
        <f t="shared" si="19"/>
        <v/>
      </c>
    </row>
    <row r="301" spans="2:37" ht="21" x14ac:dyDescent="0.35">
      <c r="B301" s="77"/>
      <c r="C301" s="77"/>
      <c r="D301" s="77"/>
      <c r="E301" s="77"/>
      <c r="F301" s="77"/>
      <c r="G301" s="77"/>
      <c r="H301" s="77"/>
      <c r="I301" s="78"/>
      <c r="J301" s="77"/>
      <c r="K301" s="77"/>
      <c r="L301" s="77"/>
      <c r="M301" s="78"/>
      <c r="N301" s="77"/>
      <c r="O301" s="77"/>
      <c r="P301" s="77"/>
      <c r="Q301" s="78"/>
      <c r="R301" s="77"/>
      <c r="S301" s="77"/>
      <c r="T301" s="77"/>
      <c r="U301" s="78"/>
      <c r="V301" s="77"/>
      <c r="W301" s="77"/>
      <c r="X301" s="77"/>
      <c r="Y301" s="78"/>
      <c r="Z301" s="77"/>
      <c r="AA301" s="77"/>
      <c r="AB301" s="77"/>
      <c r="AC301" s="77"/>
      <c r="AD301" s="79" t="str">
        <f t="shared" si="16"/>
        <v/>
      </c>
      <c r="AE301" s="80" t="str">
        <f t="shared" si="17"/>
        <v/>
      </c>
      <c r="AF301" s="81"/>
      <c r="AG301" s="77"/>
      <c r="AH301" s="81"/>
      <c r="AI301" s="77"/>
      <c r="AJ301" s="82" t="str">
        <f t="shared" si="18"/>
        <v/>
      </c>
      <c r="AK301" s="83" t="str">
        <f t="shared" si="19"/>
        <v/>
      </c>
    </row>
    <row r="302" spans="2:37" ht="21" x14ac:dyDescent="0.35">
      <c r="B302" s="77"/>
      <c r="C302" s="77"/>
      <c r="D302" s="77"/>
      <c r="E302" s="77"/>
      <c r="F302" s="77"/>
      <c r="G302" s="77"/>
      <c r="H302" s="77"/>
      <c r="I302" s="78"/>
      <c r="J302" s="77"/>
      <c r="K302" s="77"/>
      <c r="L302" s="77"/>
      <c r="M302" s="78"/>
      <c r="N302" s="77"/>
      <c r="O302" s="77"/>
      <c r="P302" s="77"/>
      <c r="Q302" s="78"/>
      <c r="R302" s="77"/>
      <c r="S302" s="77"/>
      <c r="T302" s="77"/>
      <c r="U302" s="78"/>
      <c r="V302" s="77"/>
      <c r="W302" s="77"/>
      <c r="X302" s="77"/>
      <c r="Y302" s="78"/>
      <c r="Z302" s="77"/>
      <c r="AA302" s="77"/>
      <c r="AB302" s="77"/>
      <c r="AC302" s="77"/>
      <c r="AD302" s="79" t="str">
        <f t="shared" si="16"/>
        <v/>
      </c>
      <c r="AE302" s="80" t="str">
        <f t="shared" si="17"/>
        <v/>
      </c>
      <c r="AF302" s="81"/>
      <c r="AG302" s="77"/>
      <c r="AH302" s="81"/>
      <c r="AI302" s="77"/>
      <c r="AJ302" s="82" t="str">
        <f t="shared" si="18"/>
        <v/>
      </c>
      <c r="AK302" s="83" t="str">
        <f t="shared" si="19"/>
        <v/>
      </c>
    </row>
    <row r="303" spans="2:37" ht="21" x14ac:dyDescent="0.35">
      <c r="B303" s="77"/>
      <c r="C303" s="77"/>
      <c r="D303" s="77"/>
      <c r="E303" s="77"/>
      <c r="F303" s="77"/>
      <c r="G303" s="77"/>
      <c r="H303" s="77"/>
      <c r="I303" s="78"/>
      <c r="J303" s="77"/>
      <c r="K303" s="77"/>
      <c r="L303" s="77"/>
      <c r="M303" s="78"/>
      <c r="N303" s="77"/>
      <c r="O303" s="77"/>
      <c r="P303" s="77"/>
      <c r="Q303" s="78"/>
      <c r="R303" s="77"/>
      <c r="S303" s="77"/>
      <c r="T303" s="77"/>
      <c r="U303" s="78"/>
      <c r="V303" s="77"/>
      <c r="W303" s="77"/>
      <c r="X303" s="77"/>
      <c r="Y303" s="78"/>
      <c r="Z303" s="77"/>
      <c r="AA303" s="77"/>
      <c r="AB303" s="77"/>
      <c r="AC303" s="77"/>
      <c r="AD303" s="79" t="str">
        <f t="shared" si="16"/>
        <v/>
      </c>
      <c r="AE303" s="80" t="str">
        <f t="shared" si="17"/>
        <v/>
      </c>
      <c r="AF303" s="81"/>
      <c r="AG303" s="77"/>
      <c r="AH303" s="81"/>
      <c r="AI303" s="77"/>
      <c r="AJ303" s="82" t="str">
        <f t="shared" si="18"/>
        <v/>
      </c>
      <c r="AK303" s="83" t="str">
        <f t="shared" si="19"/>
        <v/>
      </c>
    </row>
    <row r="304" spans="2:37" ht="21" x14ac:dyDescent="0.35">
      <c r="B304" s="77"/>
      <c r="C304" s="77"/>
      <c r="D304" s="77"/>
      <c r="E304" s="77"/>
      <c r="F304" s="77"/>
      <c r="G304" s="77"/>
      <c r="H304" s="77"/>
      <c r="I304" s="78"/>
      <c r="J304" s="77"/>
      <c r="K304" s="77"/>
      <c r="L304" s="77"/>
      <c r="M304" s="78"/>
      <c r="N304" s="77"/>
      <c r="O304" s="77"/>
      <c r="P304" s="77"/>
      <c r="Q304" s="78"/>
      <c r="R304" s="77"/>
      <c r="S304" s="77"/>
      <c r="T304" s="77"/>
      <c r="U304" s="78"/>
      <c r="V304" s="77"/>
      <c r="W304" s="77"/>
      <c r="X304" s="77"/>
      <c r="Y304" s="78"/>
      <c r="Z304" s="77"/>
      <c r="AA304" s="77"/>
      <c r="AB304" s="77"/>
      <c r="AC304" s="77"/>
      <c r="AD304" s="79" t="str">
        <f t="shared" si="16"/>
        <v/>
      </c>
      <c r="AE304" s="80" t="str">
        <f t="shared" si="17"/>
        <v/>
      </c>
      <c r="AF304" s="81"/>
      <c r="AG304" s="77"/>
      <c r="AH304" s="81"/>
      <c r="AI304" s="77"/>
      <c r="AJ304" s="82" t="str">
        <f t="shared" si="18"/>
        <v/>
      </c>
      <c r="AK304" s="83" t="str">
        <f t="shared" si="19"/>
        <v/>
      </c>
    </row>
    <row r="305" spans="2:37" ht="21" x14ac:dyDescent="0.35">
      <c r="B305" s="77"/>
      <c r="C305" s="77"/>
      <c r="D305" s="77"/>
      <c r="E305" s="77"/>
      <c r="F305" s="77"/>
      <c r="G305" s="77"/>
      <c r="H305" s="77"/>
      <c r="I305" s="78"/>
      <c r="J305" s="77"/>
      <c r="K305" s="77"/>
      <c r="L305" s="77"/>
      <c r="M305" s="78"/>
      <c r="N305" s="77"/>
      <c r="O305" s="77"/>
      <c r="P305" s="77"/>
      <c r="Q305" s="78"/>
      <c r="R305" s="77"/>
      <c r="S305" s="77"/>
      <c r="T305" s="77"/>
      <c r="U305" s="78"/>
      <c r="V305" s="77"/>
      <c r="W305" s="77"/>
      <c r="X305" s="77"/>
      <c r="Y305" s="78"/>
      <c r="Z305" s="77"/>
      <c r="AA305" s="77"/>
      <c r="AB305" s="77"/>
      <c r="AC305" s="77"/>
      <c r="AD305" s="79" t="str">
        <f t="shared" si="16"/>
        <v/>
      </c>
      <c r="AE305" s="80" t="str">
        <f t="shared" si="17"/>
        <v/>
      </c>
      <c r="AF305" s="81"/>
      <c r="AG305" s="77"/>
      <c r="AH305" s="81"/>
      <c r="AI305" s="77"/>
      <c r="AJ305" s="82" t="str">
        <f t="shared" si="18"/>
        <v/>
      </c>
      <c r="AK305" s="83" t="str">
        <f t="shared" si="19"/>
        <v/>
      </c>
    </row>
    <row r="306" spans="2:37" ht="21" x14ac:dyDescent="0.35">
      <c r="B306" s="77"/>
      <c r="C306" s="77"/>
      <c r="D306" s="77"/>
      <c r="E306" s="77"/>
      <c r="F306" s="77"/>
      <c r="G306" s="77"/>
      <c r="H306" s="77"/>
      <c r="I306" s="78"/>
      <c r="J306" s="77"/>
      <c r="K306" s="77"/>
      <c r="L306" s="77"/>
      <c r="M306" s="78"/>
      <c r="N306" s="77"/>
      <c r="O306" s="77"/>
      <c r="P306" s="77"/>
      <c r="Q306" s="78"/>
      <c r="R306" s="77"/>
      <c r="S306" s="77"/>
      <c r="T306" s="77"/>
      <c r="U306" s="78"/>
      <c r="V306" s="77"/>
      <c r="W306" s="77"/>
      <c r="X306" s="77"/>
      <c r="Y306" s="78"/>
      <c r="Z306" s="77"/>
      <c r="AA306" s="77"/>
      <c r="AB306" s="77"/>
      <c r="AC306" s="77"/>
      <c r="AD306" s="79" t="str">
        <f t="shared" si="16"/>
        <v/>
      </c>
      <c r="AE306" s="80" t="str">
        <f t="shared" si="17"/>
        <v/>
      </c>
      <c r="AF306" s="81"/>
      <c r="AG306" s="77"/>
      <c r="AH306" s="81"/>
      <c r="AI306" s="77"/>
      <c r="AJ306" s="82" t="str">
        <f t="shared" si="18"/>
        <v/>
      </c>
      <c r="AK306" s="83" t="str">
        <f t="shared" si="19"/>
        <v/>
      </c>
    </row>
    <row r="307" spans="2:37" ht="21" x14ac:dyDescent="0.35">
      <c r="B307" s="77"/>
      <c r="C307" s="77"/>
      <c r="D307" s="77"/>
      <c r="E307" s="77"/>
      <c r="F307" s="77"/>
      <c r="G307" s="77"/>
      <c r="H307" s="77"/>
      <c r="I307" s="78"/>
      <c r="J307" s="77"/>
      <c r="K307" s="77"/>
      <c r="L307" s="77"/>
      <c r="M307" s="78"/>
      <c r="N307" s="77"/>
      <c r="O307" s="77"/>
      <c r="P307" s="77"/>
      <c r="Q307" s="78"/>
      <c r="R307" s="77"/>
      <c r="S307" s="77"/>
      <c r="T307" s="77"/>
      <c r="U307" s="78"/>
      <c r="V307" s="77"/>
      <c r="W307" s="77"/>
      <c r="X307" s="77"/>
      <c r="Y307" s="78"/>
      <c r="Z307" s="77"/>
      <c r="AA307" s="77"/>
      <c r="AB307" s="77"/>
      <c r="AC307" s="77"/>
      <c r="AD307" s="79" t="str">
        <f t="shared" si="16"/>
        <v/>
      </c>
      <c r="AE307" s="80" t="str">
        <f t="shared" si="17"/>
        <v/>
      </c>
      <c r="AF307" s="81"/>
      <c r="AG307" s="77"/>
      <c r="AH307" s="81"/>
      <c r="AI307" s="77"/>
      <c r="AJ307" s="82" t="str">
        <f t="shared" si="18"/>
        <v/>
      </c>
      <c r="AK307" s="83" t="str">
        <f t="shared" si="19"/>
        <v/>
      </c>
    </row>
    <row r="308" spans="2:37" ht="21" x14ac:dyDescent="0.35">
      <c r="B308" s="77"/>
      <c r="C308" s="77"/>
      <c r="D308" s="77"/>
      <c r="E308" s="77"/>
      <c r="F308" s="77"/>
      <c r="G308" s="77"/>
      <c r="H308" s="77"/>
      <c r="I308" s="78"/>
      <c r="J308" s="77"/>
      <c r="K308" s="77"/>
      <c r="L308" s="77"/>
      <c r="M308" s="78"/>
      <c r="N308" s="77"/>
      <c r="O308" s="77"/>
      <c r="P308" s="77"/>
      <c r="Q308" s="78"/>
      <c r="R308" s="77"/>
      <c r="S308" s="77"/>
      <c r="T308" s="77"/>
      <c r="U308" s="78"/>
      <c r="V308" s="77"/>
      <c r="W308" s="77"/>
      <c r="X308" s="77"/>
      <c r="Y308" s="78"/>
      <c r="Z308" s="77"/>
      <c r="AA308" s="77"/>
      <c r="AB308" s="77"/>
      <c r="AC308" s="77"/>
      <c r="AD308" s="79" t="str">
        <f t="shared" si="16"/>
        <v/>
      </c>
      <c r="AE308" s="80" t="str">
        <f t="shared" si="17"/>
        <v/>
      </c>
      <c r="AF308" s="81"/>
      <c r="AG308" s="77"/>
      <c r="AH308" s="81"/>
      <c r="AI308" s="77"/>
      <c r="AJ308" s="82" t="str">
        <f t="shared" si="18"/>
        <v/>
      </c>
      <c r="AK308" s="83" t="str">
        <f t="shared" si="19"/>
        <v/>
      </c>
    </row>
    <row r="309" spans="2:37" ht="21" x14ac:dyDescent="0.35">
      <c r="B309" s="77"/>
      <c r="C309" s="77"/>
      <c r="D309" s="77"/>
      <c r="E309" s="77"/>
      <c r="F309" s="77"/>
      <c r="G309" s="77"/>
      <c r="H309" s="77"/>
      <c r="I309" s="78"/>
      <c r="J309" s="77"/>
      <c r="K309" s="77"/>
      <c r="L309" s="77"/>
      <c r="M309" s="78"/>
      <c r="N309" s="77"/>
      <c r="O309" s="77"/>
      <c r="P309" s="77"/>
      <c r="Q309" s="78"/>
      <c r="R309" s="77"/>
      <c r="S309" s="77"/>
      <c r="T309" s="77"/>
      <c r="U309" s="78"/>
      <c r="V309" s="77"/>
      <c r="W309" s="77"/>
      <c r="X309" s="77"/>
      <c r="Y309" s="78"/>
      <c r="Z309" s="77"/>
      <c r="AA309" s="77"/>
      <c r="AB309" s="77"/>
      <c r="AC309" s="77"/>
      <c r="AD309" s="79" t="str">
        <f t="shared" si="16"/>
        <v/>
      </c>
      <c r="AE309" s="80" t="str">
        <f t="shared" si="17"/>
        <v/>
      </c>
      <c r="AF309" s="81"/>
      <c r="AG309" s="77"/>
      <c r="AH309" s="81"/>
      <c r="AI309" s="77"/>
      <c r="AJ309" s="82" t="str">
        <f t="shared" si="18"/>
        <v/>
      </c>
      <c r="AK309" s="83" t="str">
        <f t="shared" si="19"/>
        <v/>
      </c>
    </row>
    <row r="310" spans="2:37" ht="21" x14ac:dyDescent="0.35">
      <c r="B310" s="77"/>
      <c r="C310" s="77"/>
      <c r="D310" s="77"/>
      <c r="E310" s="77"/>
      <c r="F310" s="77"/>
      <c r="G310" s="77"/>
      <c r="H310" s="77"/>
      <c r="I310" s="78"/>
      <c r="J310" s="77"/>
      <c r="K310" s="77"/>
      <c r="L310" s="77"/>
      <c r="M310" s="78"/>
      <c r="N310" s="77"/>
      <c r="O310" s="77"/>
      <c r="P310" s="77"/>
      <c r="Q310" s="78"/>
      <c r="R310" s="77"/>
      <c r="S310" s="77"/>
      <c r="T310" s="77"/>
      <c r="U310" s="78"/>
      <c r="V310" s="77"/>
      <c r="W310" s="77"/>
      <c r="X310" s="77"/>
      <c r="Y310" s="78"/>
      <c r="Z310" s="77"/>
      <c r="AA310" s="77"/>
      <c r="AB310" s="77"/>
      <c r="AC310" s="77"/>
      <c r="AD310" s="79" t="str">
        <f t="shared" si="16"/>
        <v/>
      </c>
      <c r="AE310" s="80" t="str">
        <f t="shared" si="17"/>
        <v/>
      </c>
      <c r="AF310" s="81"/>
      <c r="AG310" s="77"/>
      <c r="AH310" s="81"/>
      <c r="AI310" s="77"/>
      <c r="AJ310" s="82" t="str">
        <f t="shared" si="18"/>
        <v/>
      </c>
      <c r="AK310" s="83" t="str">
        <f t="shared" si="19"/>
        <v/>
      </c>
    </row>
    <row r="311" spans="2:37" ht="21" x14ac:dyDescent="0.35">
      <c r="B311" s="77"/>
      <c r="C311" s="77"/>
      <c r="D311" s="77"/>
      <c r="E311" s="77"/>
      <c r="F311" s="77"/>
      <c r="G311" s="77"/>
      <c r="H311" s="77"/>
      <c r="I311" s="78"/>
      <c r="J311" s="77"/>
      <c r="K311" s="77"/>
      <c r="L311" s="77"/>
      <c r="M311" s="78"/>
      <c r="N311" s="77"/>
      <c r="O311" s="77"/>
      <c r="P311" s="77"/>
      <c r="Q311" s="78"/>
      <c r="R311" s="77"/>
      <c r="S311" s="77"/>
      <c r="T311" s="77"/>
      <c r="U311" s="78"/>
      <c r="V311" s="77"/>
      <c r="W311" s="77"/>
      <c r="X311" s="77"/>
      <c r="Y311" s="78"/>
      <c r="Z311" s="77"/>
      <c r="AA311" s="77"/>
      <c r="AB311" s="77"/>
      <c r="AC311" s="77"/>
      <c r="AD311" s="79" t="str">
        <f t="shared" si="16"/>
        <v/>
      </c>
      <c r="AE311" s="80" t="str">
        <f t="shared" si="17"/>
        <v/>
      </c>
      <c r="AF311" s="81"/>
      <c r="AG311" s="77"/>
      <c r="AH311" s="81"/>
      <c r="AI311" s="77"/>
      <c r="AJ311" s="82" t="str">
        <f t="shared" si="18"/>
        <v/>
      </c>
      <c r="AK311" s="83" t="str">
        <f t="shared" si="19"/>
        <v/>
      </c>
    </row>
    <row r="312" spans="2:37" ht="21" x14ac:dyDescent="0.35">
      <c r="B312" s="77"/>
      <c r="C312" s="77"/>
      <c r="D312" s="77"/>
      <c r="E312" s="77"/>
      <c r="F312" s="77"/>
      <c r="G312" s="77"/>
      <c r="H312" s="77"/>
      <c r="I312" s="78"/>
      <c r="J312" s="77"/>
      <c r="K312" s="77"/>
      <c r="L312" s="77"/>
      <c r="M312" s="78"/>
      <c r="N312" s="77"/>
      <c r="O312" s="77"/>
      <c r="P312" s="77"/>
      <c r="Q312" s="78"/>
      <c r="R312" s="77"/>
      <c r="S312" s="77"/>
      <c r="T312" s="77"/>
      <c r="U312" s="78"/>
      <c r="V312" s="77"/>
      <c r="W312" s="77"/>
      <c r="X312" s="77"/>
      <c r="Y312" s="78"/>
      <c r="Z312" s="77"/>
      <c r="AA312" s="77"/>
      <c r="AB312" s="77"/>
      <c r="AC312" s="77"/>
      <c r="AD312" s="79" t="str">
        <f t="shared" si="16"/>
        <v/>
      </c>
      <c r="AE312" s="80" t="str">
        <f t="shared" si="17"/>
        <v/>
      </c>
      <c r="AF312" s="81"/>
      <c r="AG312" s="77"/>
      <c r="AH312" s="81"/>
      <c r="AI312" s="77"/>
      <c r="AJ312" s="82" t="str">
        <f t="shared" si="18"/>
        <v/>
      </c>
      <c r="AK312" s="83" t="str">
        <f t="shared" si="19"/>
        <v/>
      </c>
    </row>
    <row r="313" spans="2:37" ht="21" x14ac:dyDescent="0.35">
      <c r="B313" s="77"/>
      <c r="C313" s="77"/>
      <c r="D313" s="77"/>
      <c r="E313" s="77"/>
      <c r="F313" s="77"/>
      <c r="G313" s="77"/>
      <c r="H313" s="77"/>
      <c r="I313" s="78"/>
      <c r="J313" s="77"/>
      <c r="K313" s="77"/>
      <c r="L313" s="77"/>
      <c r="M313" s="78"/>
      <c r="N313" s="77"/>
      <c r="O313" s="77"/>
      <c r="P313" s="77"/>
      <c r="Q313" s="78"/>
      <c r="R313" s="77"/>
      <c r="S313" s="77"/>
      <c r="T313" s="77"/>
      <c r="U313" s="78"/>
      <c r="V313" s="77"/>
      <c r="W313" s="77"/>
      <c r="X313" s="77"/>
      <c r="Y313" s="78"/>
      <c r="Z313" s="77"/>
      <c r="AA313" s="77"/>
      <c r="AB313" s="77"/>
      <c r="AC313" s="77"/>
      <c r="AD313" s="79" t="str">
        <f t="shared" si="16"/>
        <v/>
      </c>
      <c r="AE313" s="80" t="str">
        <f t="shared" si="17"/>
        <v/>
      </c>
      <c r="AF313" s="81"/>
      <c r="AG313" s="77"/>
      <c r="AH313" s="81"/>
      <c r="AI313" s="77"/>
      <c r="AJ313" s="82" t="str">
        <f t="shared" si="18"/>
        <v/>
      </c>
      <c r="AK313" s="83" t="str">
        <f t="shared" si="19"/>
        <v/>
      </c>
    </row>
    <row r="314" spans="2:37" ht="21" x14ac:dyDescent="0.35">
      <c r="B314" s="77"/>
      <c r="C314" s="77"/>
      <c r="D314" s="77"/>
      <c r="E314" s="77"/>
      <c r="F314" s="77"/>
      <c r="G314" s="77"/>
      <c r="H314" s="77"/>
      <c r="I314" s="78"/>
      <c r="J314" s="77"/>
      <c r="K314" s="77"/>
      <c r="L314" s="77"/>
      <c r="M314" s="78"/>
      <c r="N314" s="77"/>
      <c r="O314" s="77"/>
      <c r="P314" s="77"/>
      <c r="Q314" s="78"/>
      <c r="R314" s="77"/>
      <c r="S314" s="77"/>
      <c r="T314" s="77"/>
      <c r="U314" s="78"/>
      <c r="V314" s="77"/>
      <c r="W314" s="77"/>
      <c r="X314" s="77"/>
      <c r="Y314" s="78"/>
      <c r="Z314" s="77"/>
      <c r="AA314" s="77"/>
      <c r="AB314" s="77"/>
      <c r="AC314" s="77"/>
      <c r="AD314" s="79" t="str">
        <f t="shared" si="16"/>
        <v/>
      </c>
      <c r="AE314" s="80" t="str">
        <f t="shared" si="17"/>
        <v/>
      </c>
      <c r="AF314" s="81"/>
      <c r="AG314" s="77"/>
      <c r="AH314" s="81"/>
      <c r="AI314" s="77"/>
      <c r="AJ314" s="82" t="str">
        <f t="shared" si="18"/>
        <v/>
      </c>
      <c r="AK314" s="83" t="str">
        <f t="shared" si="19"/>
        <v/>
      </c>
    </row>
    <row r="315" spans="2:37" ht="21" x14ac:dyDescent="0.35">
      <c r="B315" s="77"/>
      <c r="C315" s="77"/>
      <c r="D315" s="77"/>
      <c r="E315" s="77"/>
      <c r="F315" s="77"/>
      <c r="G315" s="77"/>
      <c r="H315" s="77"/>
      <c r="I315" s="78"/>
      <c r="J315" s="77"/>
      <c r="K315" s="77"/>
      <c r="L315" s="77"/>
      <c r="M315" s="78"/>
      <c r="N315" s="77"/>
      <c r="O315" s="77"/>
      <c r="P315" s="77"/>
      <c r="Q315" s="78"/>
      <c r="R315" s="77"/>
      <c r="S315" s="77"/>
      <c r="T315" s="77"/>
      <c r="U315" s="78"/>
      <c r="V315" s="77"/>
      <c r="W315" s="77"/>
      <c r="X315" s="77"/>
      <c r="Y315" s="78"/>
      <c r="Z315" s="77"/>
      <c r="AA315" s="77"/>
      <c r="AB315" s="77"/>
      <c r="AC315" s="77"/>
      <c r="AD315" s="79" t="str">
        <f t="shared" si="16"/>
        <v/>
      </c>
      <c r="AE315" s="80" t="str">
        <f t="shared" si="17"/>
        <v/>
      </c>
      <c r="AF315" s="81"/>
      <c r="AG315" s="77"/>
      <c r="AH315" s="81"/>
      <c r="AI315" s="77"/>
      <c r="AJ315" s="82" t="str">
        <f t="shared" si="18"/>
        <v/>
      </c>
      <c r="AK315" s="83" t="str">
        <f t="shared" si="19"/>
        <v/>
      </c>
    </row>
    <row r="316" spans="2:37" ht="21" x14ac:dyDescent="0.35">
      <c r="B316" s="77"/>
      <c r="C316" s="77"/>
      <c r="D316" s="77"/>
      <c r="E316" s="77"/>
      <c r="F316" s="77"/>
      <c r="G316" s="77"/>
      <c r="H316" s="77"/>
      <c r="I316" s="78"/>
      <c r="J316" s="77"/>
      <c r="K316" s="77"/>
      <c r="L316" s="77"/>
      <c r="M316" s="78"/>
      <c r="N316" s="77"/>
      <c r="O316" s="77"/>
      <c r="P316" s="77"/>
      <c r="Q316" s="78"/>
      <c r="R316" s="77"/>
      <c r="S316" s="77"/>
      <c r="T316" s="77"/>
      <c r="U316" s="78"/>
      <c r="V316" s="77"/>
      <c r="W316" s="77"/>
      <c r="X316" s="77"/>
      <c r="Y316" s="78"/>
      <c r="Z316" s="77"/>
      <c r="AA316" s="77"/>
      <c r="AB316" s="77"/>
      <c r="AC316" s="77"/>
      <c r="AD316" s="79" t="str">
        <f t="shared" si="16"/>
        <v/>
      </c>
      <c r="AE316" s="80" t="str">
        <f t="shared" si="17"/>
        <v/>
      </c>
      <c r="AF316" s="81"/>
      <c r="AG316" s="77"/>
      <c r="AH316" s="81"/>
      <c r="AI316" s="77"/>
      <c r="AJ316" s="82" t="str">
        <f t="shared" si="18"/>
        <v/>
      </c>
      <c r="AK316" s="83" t="str">
        <f t="shared" si="19"/>
        <v/>
      </c>
    </row>
    <row r="317" spans="2:37" ht="21" x14ac:dyDescent="0.35">
      <c r="B317" s="77"/>
      <c r="C317" s="77"/>
      <c r="D317" s="77"/>
      <c r="E317" s="77"/>
      <c r="F317" s="77"/>
      <c r="G317" s="77"/>
      <c r="H317" s="77"/>
      <c r="I317" s="78"/>
      <c r="J317" s="77"/>
      <c r="K317" s="77"/>
      <c r="L317" s="77"/>
      <c r="M317" s="78"/>
      <c r="N317" s="77"/>
      <c r="O317" s="77"/>
      <c r="P317" s="77"/>
      <c r="Q317" s="78"/>
      <c r="R317" s="77"/>
      <c r="S317" s="77"/>
      <c r="T317" s="77"/>
      <c r="U317" s="78"/>
      <c r="V317" s="77"/>
      <c r="W317" s="77"/>
      <c r="X317" s="77"/>
      <c r="Y317" s="78"/>
      <c r="Z317" s="77"/>
      <c r="AA317" s="77"/>
      <c r="AB317" s="77"/>
      <c r="AC317" s="77"/>
      <c r="AD317" s="79" t="str">
        <f t="shared" si="16"/>
        <v/>
      </c>
      <c r="AE317" s="80" t="str">
        <f t="shared" si="17"/>
        <v/>
      </c>
      <c r="AF317" s="81"/>
      <c r="AG317" s="77"/>
      <c r="AH317" s="81"/>
      <c r="AI317" s="77"/>
      <c r="AJ317" s="82" t="str">
        <f t="shared" si="18"/>
        <v/>
      </c>
      <c r="AK317" s="83" t="str">
        <f t="shared" si="19"/>
        <v/>
      </c>
    </row>
    <row r="318" spans="2:37" ht="21" x14ac:dyDescent="0.35">
      <c r="B318" s="77"/>
      <c r="C318" s="77"/>
      <c r="D318" s="77"/>
      <c r="E318" s="77"/>
      <c r="F318" s="77"/>
      <c r="G318" s="77"/>
      <c r="H318" s="77"/>
      <c r="I318" s="78"/>
      <c r="J318" s="77"/>
      <c r="K318" s="77"/>
      <c r="L318" s="77"/>
      <c r="M318" s="78"/>
      <c r="N318" s="77"/>
      <c r="O318" s="77"/>
      <c r="P318" s="77"/>
      <c r="Q318" s="78"/>
      <c r="R318" s="77"/>
      <c r="S318" s="77"/>
      <c r="T318" s="77"/>
      <c r="U318" s="78"/>
      <c r="V318" s="77"/>
      <c r="W318" s="77"/>
      <c r="X318" s="77"/>
      <c r="Y318" s="78"/>
      <c r="Z318" s="77"/>
      <c r="AA318" s="77"/>
      <c r="AB318" s="77"/>
      <c r="AC318" s="77"/>
      <c r="AD318" s="79" t="str">
        <f t="shared" si="16"/>
        <v/>
      </c>
      <c r="AE318" s="80" t="str">
        <f t="shared" si="17"/>
        <v/>
      </c>
      <c r="AF318" s="81"/>
      <c r="AG318" s="77"/>
      <c r="AH318" s="81"/>
      <c r="AI318" s="77"/>
      <c r="AJ318" s="82" t="str">
        <f t="shared" si="18"/>
        <v/>
      </c>
      <c r="AK318" s="83" t="str">
        <f t="shared" si="19"/>
        <v/>
      </c>
    </row>
    <row r="319" spans="2:37" ht="21" x14ac:dyDescent="0.35">
      <c r="B319" s="77"/>
      <c r="C319" s="77"/>
      <c r="D319" s="77"/>
      <c r="E319" s="77"/>
      <c r="F319" s="77"/>
      <c r="G319" s="77"/>
      <c r="H319" s="77"/>
      <c r="I319" s="78"/>
      <c r="J319" s="77"/>
      <c r="K319" s="77"/>
      <c r="L319" s="77"/>
      <c r="M319" s="78"/>
      <c r="N319" s="77"/>
      <c r="O319" s="77"/>
      <c r="P319" s="77"/>
      <c r="Q319" s="78"/>
      <c r="R319" s="77"/>
      <c r="S319" s="77"/>
      <c r="T319" s="77"/>
      <c r="U319" s="78"/>
      <c r="V319" s="77"/>
      <c r="W319" s="77"/>
      <c r="X319" s="77"/>
      <c r="Y319" s="78"/>
      <c r="Z319" s="77"/>
      <c r="AA319" s="77"/>
      <c r="AB319" s="77"/>
      <c r="AC319" s="77"/>
      <c r="AD319" s="79" t="str">
        <f t="shared" si="16"/>
        <v/>
      </c>
      <c r="AE319" s="80" t="str">
        <f t="shared" si="17"/>
        <v/>
      </c>
      <c r="AF319" s="81"/>
      <c r="AG319" s="77"/>
      <c r="AH319" s="81"/>
      <c r="AI319" s="77"/>
      <c r="AJ319" s="82" t="str">
        <f t="shared" si="18"/>
        <v/>
      </c>
      <c r="AK319" s="83" t="str">
        <f t="shared" si="19"/>
        <v/>
      </c>
    </row>
    <row r="320" spans="2:37" ht="21" x14ac:dyDescent="0.35">
      <c r="B320" s="77"/>
      <c r="C320" s="77"/>
      <c r="D320" s="77"/>
      <c r="E320" s="77"/>
      <c r="F320" s="77"/>
      <c r="G320" s="77"/>
      <c r="H320" s="77"/>
      <c r="I320" s="78"/>
      <c r="J320" s="77"/>
      <c r="K320" s="77"/>
      <c r="L320" s="77"/>
      <c r="M320" s="78"/>
      <c r="N320" s="77"/>
      <c r="O320" s="77"/>
      <c r="P320" s="77"/>
      <c r="Q320" s="78"/>
      <c r="R320" s="77"/>
      <c r="S320" s="77"/>
      <c r="T320" s="77"/>
      <c r="U320" s="78"/>
      <c r="V320" s="77"/>
      <c r="W320" s="77"/>
      <c r="X320" s="77"/>
      <c r="Y320" s="78"/>
      <c r="Z320" s="77"/>
      <c r="AA320" s="77"/>
      <c r="AB320" s="77"/>
      <c r="AC320" s="77"/>
      <c r="AD320" s="79" t="str">
        <f t="shared" si="16"/>
        <v/>
      </c>
      <c r="AE320" s="80" t="str">
        <f t="shared" si="17"/>
        <v/>
      </c>
      <c r="AF320" s="81"/>
      <c r="AG320" s="77"/>
      <c r="AH320" s="81"/>
      <c r="AI320" s="77"/>
      <c r="AJ320" s="82" t="str">
        <f t="shared" si="18"/>
        <v/>
      </c>
      <c r="AK320" s="83" t="str">
        <f t="shared" si="19"/>
        <v/>
      </c>
    </row>
    <row r="321" spans="2:37" ht="21" x14ac:dyDescent="0.35">
      <c r="B321" s="77"/>
      <c r="C321" s="77"/>
      <c r="D321" s="77"/>
      <c r="E321" s="77"/>
      <c r="F321" s="77"/>
      <c r="G321" s="77"/>
      <c r="H321" s="77"/>
      <c r="I321" s="78"/>
      <c r="J321" s="77"/>
      <c r="K321" s="77"/>
      <c r="L321" s="77"/>
      <c r="M321" s="78"/>
      <c r="N321" s="77"/>
      <c r="O321" s="77"/>
      <c r="P321" s="77"/>
      <c r="Q321" s="78"/>
      <c r="R321" s="77"/>
      <c r="S321" s="77"/>
      <c r="T321" s="77"/>
      <c r="U321" s="78"/>
      <c r="V321" s="77"/>
      <c r="W321" s="77"/>
      <c r="X321" s="77"/>
      <c r="Y321" s="78"/>
      <c r="Z321" s="77"/>
      <c r="AA321" s="77"/>
      <c r="AB321" s="77"/>
      <c r="AC321" s="77"/>
      <c r="AD321" s="79" t="str">
        <f t="shared" si="16"/>
        <v/>
      </c>
      <c r="AE321" s="80" t="str">
        <f t="shared" si="17"/>
        <v/>
      </c>
      <c r="AF321" s="81"/>
      <c r="AG321" s="77"/>
      <c r="AH321" s="81"/>
      <c r="AI321" s="77"/>
      <c r="AJ321" s="82" t="str">
        <f t="shared" si="18"/>
        <v/>
      </c>
      <c r="AK321" s="83" t="str">
        <f t="shared" si="19"/>
        <v/>
      </c>
    </row>
    <row r="322" spans="2:37" ht="21" x14ac:dyDescent="0.35">
      <c r="B322" s="77"/>
      <c r="C322" s="77"/>
      <c r="D322" s="77"/>
      <c r="E322" s="77"/>
      <c r="F322" s="77"/>
      <c r="G322" s="77"/>
      <c r="H322" s="77"/>
      <c r="I322" s="78"/>
      <c r="J322" s="77"/>
      <c r="K322" s="77"/>
      <c r="L322" s="77"/>
      <c r="M322" s="78"/>
      <c r="N322" s="77"/>
      <c r="O322" s="77"/>
      <c r="P322" s="77"/>
      <c r="Q322" s="78"/>
      <c r="R322" s="77"/>
      <c r="S322" s="77"/>
      <c r="T322" s="77"/>
      <c r="U322" s="78"/>
      <c r="V322" s="77"/>
      <c r="W322" s="77"/>
      <c r="X322" s="77"/>
      <c r="Y322" s="78"/>
      <c r="Z322" s="77"/>
      <c r="AA322" s="77"/>
      <c r="AB322" s="77"/>
      <c r="AC322" s="77"/>
      <c r="AD322" s="79" t="str">
        <f t="shared" si="16"/>
        <v/>
      </c>
      <c r="AE322" s="80" t="str">
        <f t="shared" si="17"/>
        <v/>
      </c>
      <c r="AF322" s="81"/>
      <c r="AG322" s="77"/>
      <c r="AH322" s="81"/>
      <c r="AI322" s="77"/>
      <c r="AJ322" s="82" t="str">
        <f t="shared" si="18"/>
        <v/>
      </c>
      <c r="AK322" s="83" t="str">
        <f t="shared" si="19"/>
        <v/>
      </c>
    </row>
    <row r="323" spans="2:37" ht="21" x14ac:dyDescent="0.35">
      <c r="B323" s="77"/>
      <c r="C323" s="77"/>
      <c r="D323" s="77"/>
      <c r="E323" s="77"/>
      <c r="F323" s="77"/>
      <c r="G323" s="77"/>
      <c r="H323" s="77"/>
      <c r="I323" s="78"/>
      <c r="J323" s="77"/>
      <c r="K323" s="77"/>
      <c r="L323" s="77"/>
      <c r="M323" s="78"/>
      <c r="N323" s="77"/>
      <c r="O323" s="77"/>
      <c r="P323" s="77"/>
      <c r="Q323" s="78"/>
      <c r="R323" s="77"/>
      <c r="S323" s="77"/>
      <c r="T323" s="77"/>
      <c r="U323" s="78"/>
      <c r="V323" s="77"/>
      <c r="W323" s="77"/>
      <c r="X323" s="77"/>
      <c r="Y323" s="78"/>
      <c r="Z323" s="77"/>
      <c r="AA323" s="77"/>
      <c r="AB323" s="77"/>
      <c r="AC323" s="77"/>
      <c r="AD323" s="79" t="str">
        <f t="shared" si="16"/>
        <v/>
      </c>
      <c r="AE323" s="80" t="str">
        <f t="shared" si="17"/>
        <v/>
      </c>
      <c r="AF323" s="81"/>
      <c r="AG323" s="77"/>
      <c r="AH323" s="81"/>
      <c r="AI323" s="77"/>
      <c r="AJ323" s="82" t="str">
        <f t="shared" si="18"/>
        <v/>
      </c>
      <c r="AK323" s="83" t="str">
        <f t="shared" si="19"/>
        <v/>
      </c>
    </row>
    <row r="324" spans="2:37" ht="21" x14ac:dyDescent="0.35">
      <c r="B324" s="77"/>
      <c r="C324" s="77"/>
      <c r="D324" s="77"/>
      <c r="E324" s="77"/>
      <c r="F324" s="77"/>
      <c r="G324" s="77"/>
      <c r="H324" s="77"/>
      <c r="I324" s="78"/>
      <c r="J324" s="77"/>
      <c r="K324" s="77"/>
      <c r="L324" s="77"/>
      <c r="M324" s="78"/>
      <c r="N324" s="77"/>
      <c r="O324" s="77"/>
      <c r="P324" s="77"/>
      <c r="Q324" s="78"/>
      <c r="R324" s="77"/>
      <c r="S324" s="77"/>
      <c r="T324" s="77"/>
      <c r="U324" s="78"/>
      <c r="V324" s="77"/>
      <c r="W324" s="77"/>
      <c r="X324" s="77"/>
      <c r="Y324" s="78"/>
      <c r="Z324" s="77"/>
      <c r="AA324" s="77"/>
      <c r="AB324" s="77"/>
      <c r="AC324" s="77"/>
      <c r="AD324" s="79" t="str">
        <f t="shared" ref="AD324:AD350" si="20">IF(MIN(F324,J324,N324,R324,V324,Z324)&lt;&gt;0,MIN(F324,J324,N324,R324,V324,Z324),"")</f>
        <v/>
      </c>
      <c r="AE324" s="80" t="str">
        <f t="shared" ref="AE324:AE350" si="21">IF(MIN(H324,L324,P324,T324,X324,AB324)&lt;&gt;0,MIN(H324,L324,P324,T324,X324,AB324),"")</f>
        <v/>
      </c>
      <c r="AF324" s="81"/>
      <c r="AG324" s="77"/>
      <c r="AH324" s="81"/>
      <c r="AI324" s="77"/>
      <c r="AJ324" s="82" t="str">
        <f t="shared" ref="AJ324:AJ350" si="22">IF(AD324="","",IF(ISBLANK(AF324),"En cours",AD324+AF324))</f>
        <v/>
      </c>
      <c r="AK324" s="83" t="str">
        <f t="shared" ref="AK324:AK350" si="23">IF(AE324="","",IF(ISBLANK(AH324),"En cours",AE324+AH324))</f>
        <v/>
      </c>
    </row>
    <row r="325" spans="2:37" ht="21" x14ac:dyDescent="0.35">
      <c r="B325" s="77"/>
      <c r="C325" s="77"/>
      <c r="D325" s="77"/>
      <c r="E325" s="77"/>
      <c r="F325" s="77"/>
      <c r="G325" s="77"/>
      <c r="H325" s="77"/>
      <c r="I325" s="78"/>
      <c r="J325" s="77"/>
      <c r="K325" s="77"/>
      <c r="L325" s="77"/>
      <c r="M325" s="78"/>
      <c r="N325" s="77"/>
      <c r="O325" s="77"/>
      <c r="P325" s="77"/>
      <c r="Q325" s="78"/>
      <c r="R325" s="77"/>
      <c r="S325" s="77"/>
      <c r="T325" s="77"/>
      <c r="U325" s="78"/>
      <c r="V325" s="77"/>
      <c r="W325" s="77"/>
      <c r="X325" s="77"/>
      <c r="Y325" s="78"/>
      <c r="Z325" s="77"/>
      <c r="AA325" s="77"/>
      <c r="AB325" s="77"/>
      <c r="AC325" s="77"/>
      <c r="AD325" s="79" t="str">
        <f t="shared" si="20"/>
        <v/>
      </c>
      <c r="AE325" s="80" t="str">
        <f t="shared" si="21"/>
        <v/>
      </c>
      <c r="AF325" s="81"/>
      <c r="AG325" s="77"/>
      <c r="AH325" s="81"/>
      <c r="AI325" s="77"/>
      <c r="AJ325" s="82" t="str">
        <f t="shared" si="22"/>
        <v/>
      </c>
      <c r="AK325" s="83" t="str">
        <f t="shared" si="23"/>
        <v/>
      </c>
    </row>
    <row r="326" spans="2:37" ht="21" x14ac:dyDescent="0.35">
      <c r="B326" s="77"/>
      <c r="C326" s="77"/>
      <c r="D326" s="77"/>
      <c r="E326" s="77"/>
      <c r="F326" s="77"/>
      <c r="G326" s="77"/>
      <c r="H326" s="77"/>
      <c r="I326" s="78"/>
      <c r="J326" s="77"/>
      <c r="K326" s="77"/>
      <c r="L326" s="77"/>
      <c r="M326" s="78"/>
      <c r="N326" s="77"/>
      <c r="O326" s="77"/>
      <c r="P326" s="77"/>
      <c r="Q326" s="78"/>
      <c r="R326" s="77"/>
      <c r="S326" s="77"/>
      <c r="T326" s="77"/>
      <c r="U326" s="78"/>
      <c r="V326" s="77"/>
      <c r="W326" s="77"/>
      <c r="X326" s="77"/>
      <c r="Y326" s="78"/>
      <c r="Z326" s="77"/>
      <c r="AA326" s="77"/>
      <c r="AB326" s="77"/>
      <c r="AC326" s="77"/>
      <c r="AD326" s="79" t="str">
        <f t="shared" si="20"/>
        <v/>
      </c>
      <c r="AE326" s="80" t="str">
        <f t="shared" si="21"/>
        <v/>
      </c>
      <c r="AF326" s="81"/>
      <c r="AG326" s="77"/>
      <c r="AH326" s="81"/>
      <c r="AI326" s="77"/>
      <c r="AJ326" s="82" t="str">
        <f t="shared" si="22"/>
        <v/>
      </c>
      <c r="AK326" s="83" t="str">
        <f t="shared" si="23"/>
        <v/>
      </c>
    </row>
    <row r="327" spans="2:37" ht="21" x14ac:dyDescent="0.35">
      <c r="B327" s="77"/>
      <c r="C327" s="77"/>
      <c r="D327" s="77"/>
      <c r="E327" s="77"/>
      <c r="F327" s="77"/>
      <c r="G327" s="77"/>
      <c r="H327" s="77"/>
      <c r="I327" s="78"/>
      <c r="J327" s="77"/>
      <c r="K327" s="77"/>
      <c r="L327" s="77"/>
      <c r="M327" s="78"/>
      <c r="N327" s="77"/>
      <c r="O327" s="77"/>
      <c r="P327" s="77"/>
      <c r="Q327" s="78"/>
      <c r="R327" s="77"/>
      <c r="S327" s="77"/>
      <c r="T327" s="77"/>
      <c r="U327" s="78"/>
      <c r="V327" s="77"/>
      <c r="W327" s="77"/>
      <c r="X327" s="77"/>
      <c r="Y327" s="78"/>
      <c r="Z327" s="77"/>
      <c r="AA327" s="77"/>
      <c r="AB327" s="77"/>
      <c r="AC327" s="77"/>
      <c r="AD327" s="79" t="str">
        <f t="shared" si="20"/>
        <v/>
      </c>
      <c r="AE327" s="80" t="str">
        <f t="shared" si="21"/>
        <v/>
      </c>
      <c r="AF327" s="81"/>
      <c r="AG327" s="77"/>
      <c r="AH327" s="81"/>
      <c r="AI327" s="77"/>
      <c r="AJ327" s="82" t="str">
        <f t="shared" si="22"/>
        <v/>
      </c>
      <c r="AK327" s="83" t="str">
        <f t="shared" si="23"/>
        <v/>
      </c>
    </row>
    <row r="328" spans="2:37" ht="21" x14ac:dyDescent="0.35">
      <c r="B328" s="77"/>
      <c r="C328" s="77"/>
      <c r="D328" s="77"/>
      <c r="E328" s="77"/>
      <c r="F328" s="77"/>
      <c r="G328" s="77"/>
      <c r="H328" s="77"/>
      <c r="I328" s="78"/>
      <c r="J328" s="77"/>
      <c r="K328" s="77"/>
      <c r="L328" s="77"/>
      <c r="M328" s="78"/>
      <c r="N328" s="77"/>
      <c r="O328" s="77"/>
      <c r="P328" s="77"/>
      <c r="Q328" s="78"/>
      <c r="R328" s="77"/>
      <c r="S328" s="77"/>
      <c r="T328" s="77"/>
      <c r="U328" s="78"/>
      <c r="V328" s="77"/>
      <c r="W328" s="77"/>
      <c r="X328" s="77"/>
      <c r="Y328" s="78"/>
      <c r="Z328" s="77"/>
      <c r="AA328" s="77"/>
      <c r="AB328" s="77"/>
      <c r="AC328" s="77"/>
      <c r="AD328" s="79" t="str">
        <f t="shared" si="20"/>
        <v/>
      </c>
      <c r="AE328" s="80" t="str">
        <f t="shared" si="21"/>
        <v/>
      </c>
      <c r="AF328" s="81"/>
      <c r="AG328" s="77"/>
      <c r="AH328" s="81"/>
      <c r="AI328" s="77"/>
      <c r="AJ328" s="82" t="str">
        <f t="shared" si="22"/>
        <v/>
      </c>
      <c r="AK328" s="83" t="str">
        <f t="shared" si="23"/>
        <v/>
      </c>
    </row>
    <row r="329" spans="2:37" ht="21" x14ac:dyDescent="0.35">
      <c r="B329" s="77"/>
      <c r="C329" s="77"/>
      <c r="D329" s="77"/>
      <c r="E329" s="77"/>
      <c r="F329" s="77"/>
      <c r="G329" s="77"/>
      <c r="H329" s="77"/>
      <c r="I329" s="78"/>
      <c r="J329" s="77"/>
      <c r="K329" s="77"/>
      <c r="L329" s="77"/>
      <c r="M329" s="78"/>
      <c r="N329" s="77"/>
      <c r="O329" s="77"/>
      <c r="P329" s="77"/>
      <c r="Q329" s="78"/>
      <c r="R329" s="77"/>
      <c r="S329" s="77"/>
      <c r="T329" s="77"/>
      <c r="U329" s="78"/>
      <c r="V329" s="77"/>
      <c r="W329" s="77"/>
      <c r="X329" s="77"/>
      <c r="Y329" s="78"/>
      <c r="Z329" s="77"/>
      <c r="AA329" s="77"/>
      <c r="AB329" s="77"/>
      <c r="AC329" s="77"/>
      <c r="AD329" s="79" t="str">
        <f t="shared" si="20"/>
        <v/>
      </c>
      <c r="AE329" s="80" t="str">
        <f t="shared" si="21"/>
        <v/>
      </c>
      <c r="AF329" s="81"/>
      <c r="AG329" s="77"/>
      <c r="AH329" s="81"/>
      <c r="AI329" s="77"/>
      <c r="AJ329" s="82" t="str">
        <f t="shared" si="22"/>
        <v/>
      </c>
      <c r="AK329" s="83" t="str">
        <f t="shared" si="23"/>
        <v/>
      </c>
    </row>
    <row r="330" spans="2:37" ht="21" x14ac:dyDescent="0.35">
      <c r="B330" s="77"/>
      <c r="C330" s="77"/>
      <c r="D330" s="77"/>
      <c r="E330" s="77"/>
      <c r="F330" s="77"/>
      <c r="G330" s="77"/>
      <c r="H330" s="77"/>
      <c r="I330" s="78"/>
      <c r="J330" s="77"/>
      <c r="K330" s="77"/>
      <c r="L330" s="77"/>
      <c r="M330" s="78"/>
      <c r="N330" s="77"/>
      <c r="O330" s="77"/>
      <c r="P330" s="77"/>
      <c r="Q330" s="78"/>
      <c r="R330" s="77"/>
      <c r="S330" s="77"/>
      <c r="T330" s="77"/>
      <c r="U330" s="78"/>
      <c r="V330" s="77"/>
      <c r="W330" s="77"/>
      <c r="X330" s="77"/>
      <c r="Y330" s="78"/>
      <c r="Z330" s="77"/>
      <c r="AA330" s="77"/>
      <c r="AB330" s="77"/>
      <c r="AC330" s="77"/>
      <c r="AD330" s="79" t="str">
        <f t="shared" si="20"/>
        <v/>
      </c>
      <c r="AE330" s="80" t="str">
        <f t="shared" si="21"/>
        <v/>
      </c>
      <c r="AF330" s="81"/>
      <c r="AG330" s="77"/>
      <c r="AH330" s="81"/>
      <c r="AI330" s="77"/>
      <c r="AJ330" s="82" t="str">
        <f t="shared" si="22"/>
        <v/>
      </c>
      <c r="AK330" s="83" t="str">
        <f t="shared" si="23"/>
        <v/>
      </c>
    </row>
    <row r="331" spans="2:37" ht="21" x14ac:dyDescent="0.35">
      <c r="B331" s="77"/>
      <c r="C331" s="77"/>
      <c r="D331" s="77"/>
      <c r="E331" s="77"/>
      <c r="F331" s="77"/>
      <c r="G331" s="77"/>
      <c r="H331" s="77"/>
      <c r="I331" s="78"/>
      <c r="J331" s="77"/>
      <c r="K331" s="77"/>
      <c r="L331" s="77"/>
      <c r="M331" s="78"/>
      <c r="N331" s="77"/>
      <c r="O331" s="77"/>
      <c r="P331" s="77"/>
      <c r="Q331" s="78"/>
      <c r="R331" s="77"/>
      <c r="S331" s="77"/>
      <c r="T331" s="77"/>
      <c r="U331" s="78"/>
      <c r="V331" s="77"/>
      <c r="W331" s="77"/>
      <c r="X331" s="77"/>
      <c r="Y331" s="78"/>
      <c r="Z331" s="77"/>
      <c r="AA331" s="77"/>
      <c r="AB331" s="77"/>
      <c r="AC331" s="77"/>
      <c r="AD331" s="79" t="str">
        <f t="shared" si="20"/>
        <v/>
      </c>
      <c r="AE331" s="80" t="str">
        <f t="shared" si="21"/>
        <v/>
      </c>
      <c r="AF331" s="81"/>
      <c r="AG331" s="77"/>
      <c r="AH331" s="81"/>
      <c r="AI331" s="77"/>
      <c r="AJ331" s="82" t="str">
        <f t="shared" si="22"/>
        <v/>
      </c>
      <c r="AK331" s="83" t="str">
        <f t="shared" si="23"/>
        <v/>
      </c>
    </row>
    <row r="332" spans="2:37" ht="21" x14ac:dyDescent="0.35">
      <c r="B332" s="77"/>
      <c r="C332" s="77"/>
      <c r="D332" s="77"/>
      <c r="E332" s="77"/>
      <c r="F332" s="77"/>
      <c r="G332" s="77"/>
      <c r="H332" s="77"/>
      <c r="I332" s="78"/>
      <c r="J332" s="77"/>
      <c r="K332" s="77"/>
      <c r="L332" s="77"/>
      <c r="M332" s="78"/>
      <c r="N332" s="77"/>
      <c r="O332" s="77"/>
      <c r="P332" s="77"/>
      <c r="Q332" s="78"/>
      <c r="R332" s="77"/>
      <c r="S332" s="77"/>
      <c r="T332" s="77"/>
      <c r="U332" s="78"/>
      <c r="V332" s="77"/>
      <c r="W332" s="77"/>
      <c r="X332" s="77"/>
      <c r="Y332" s="78"/>
      <c r="Z332" s="77"/>
      <c r="AA332" s="77"/>
      <c r="AB332" s="77"/>
      <c r="AC332" s="77"/>
      <c r="AD332" s="79" t="str">
        <f t="shared" si="20"/>
        <v/>
      </c>
      <c r="AE332" s="80" t="str">
        <f t="shared" si="21"/>
        <v/>
      </c>
      <c r="AF332" s="81"/>
      <c r="AG332" s="77"/>
      <c r="AH332" s="81"/>
      <c r="AI332" s="77"/>
      <c r="AJ332" s="82" t="str">
        <f t="shared" si="22"/>
        <v/>
      </c>
      <c r="AK332" s="83" t="str">
        <f t="shared" si="23"/>
        <v/>
      </c>
    </row>
    <row r="333" spans="2:37" ht="21" x14ac:dyDescent="0.35">
      <c r="B333" s="77"/>
      <c r="C333" s="77"/>
      <c r="D333" s="77"/>
      <c r="E333" s="77"/>
      <c r="F333" s="77"/>
      <c r="G333" s="77"/>
      <c r="H333" s="77"/>
      <c r="I333" s="78"/>
      <c r="J333" s="77"/>
      <c r="K333" s="77"/>
      <c r="L333" s="77"/>
      <c r="M333" s="78"/>
      <c r="N333" s="77"/>
      <c r="O333" s="77"/>
      <c r="P333" s="77"/>
      <c r="Q333" s="78"/>
      <c r="R333" s="77"/>
      <c r="S333" s="77"/>
      <c r="T333" s="77"/>
      <c r="U333" s="78"/>
      <c r="V333" s="77"/>
      <c r="W333" s="77"/>
      <c r="X333" s="77"/>
      <c r="Y333" s="78"/>
      <c r="Z333" s="77"/>
      <c r="AA333" s="77"/>
      <c r="AB333" s="77"/>
      <c r="AC333" s="77"/>
      <c r="AD333" s="79" t="str">
        <f t="shared" si="20"/>
        <v/>
      </c>
      <c r="AE333" s="80" t="str">
        <f t="shared" si="21"/>
        <v/>
      </c>
      <c r="AF333" s="81"/>
      <c r="AG333" s="77"/>
      <c r="AH333" s="81"/>
      <c r="AI333" s="77"/>
      <c r="AJ333" s="82" t="str">
        <f t="shared" si="22"/>
        <v/>
      </c>
      <c r="AK333" s="83" t="str">
        <f t="shared" si="23"/>
        <v/>
      </c>
    </row>
    <row r="334" spans="2:37" ht="21" x14ac:dyDescent="0.35">
      <c r="B334" s="77"/>
      <c r="C334" s="77"/>
      <c r="D334" s="77"/>
      <c r="E334" s="77"/>
      <c r="F334" s="77"/>
      <c r="G334" s="77"/>
      <c r="H334" s="77"/>
      <c r="I334" s="78"/>
      <c r="J334" s="77"/>
      <c r="K334" s="77"/>
      <c r="L334" s="77"/>
      <c r="M334" s="78"/>
      <c r="N334" s="77"/>
      <c r="O334" s="77"/>
      <c r="P334" s="77"/>
      <c r="Q334" s="78"/>
      <c r="R334" s="77"/>
      <c r="S334" s="77"/>
      <c r="T334" s="77"/>
      <c r="U334" s="78"/>
      <c r="V334" s="77"/>
      <c r="W334" s="77"/>
      <c r="X334" s="77"/>
      <c r="Y334" s="78"/>
      <c r="Z334" s="77"/>
      <c r="AA334" s="77"/>
      <c r="AB334" s="77"/>
      <c r="AC334" s="77"/>
      <c r="AD334" s="79" t="str">
        <f t="shared" si="20"/>
        <v/>
      </c>
      <c r="AE334" s="80" t="str">
        <f t="shared" si="21"/>
        <v/>
      </c>
      <c r="AF334" s="81"/>
      <c r="AG334" s="77"/>
      <c r="AH334" s="81"/>
      <c r="AI334" s="77"/>
      <c r="AJ334" s="82" t="str">
        <f t="shared" si="22"/>
        <v/>
      </c>
      <c r="AK334" s="83" t="str">
        <f t="shared" si="23"/>
        <v/>
      </c>
    </row>
    <row r="335" spans="2:37" ht="21" x14ac:dyDescent="0.35">
      <c r="B335" s="77"/>
      <c r="C335" s="77"/>
      <c r="D335" s="77"/>
      <c r="E335" s="77"/>
      <c r="F335" s="77"/>
      <c r="G335" s="77"/>
      <c r="H335" s="77"/>
      <c r="I335" s="78"/>
      <c r="J335" s="77"/>
      <c r="K335" s="77"/>
      <c r="L335" s="77"/>
      <c r="M335" s="78"/>
      <c r="N335" s="77"/>
      <c r="O335" s="77"/>
      <c r="P335" s="77"/>
      <c r="Q335" s="78"/>
      <c r="R335" s="77"/>
      <c r="S335" s="77"/>
      <c r="T335" s="77"/>
      <c r="U335" s="78"/>
      <c r="V335" s="77"/>
      <c r="W335" s="77"/>
      <c r="X335" s="77"/>
      <c r="Y335" s="78"/>
      <c r="Z335" s="77"/>
      <c r="AA335" s="77"/>
      <c r="AB335" s="77"/>
      <c r="AC335" s="77"/>
      <c r="AD335" s="79" t="str">
        <f t="shared" si="20"/>
        <v/>
      </c>
      <c r="AE335" s="80" t="str">
        <f t="shared" si="21"/>
        <v/>
      </c>
      <c r="AF335" s="81"/>
      <c r="AG335" s="77"/>
      <c r="AH335" s="81"/>
      <c r="AI335" s="77"/>
      <c r="AJ335" s="82" t="str">
        <f t="shared" si="22"/>
        <v/>
      </c>
      <c r="AK335" s="83" t="str">
        <f t="shared" si="23"/>
        <v/>
      </c>
    </row>
    <row r="336" spans="2:37" ht="21" x14ac:dyDescent="0.35">
      <c r="B336" s="77"/>
      <c r="C336" s="77"/>
      <c r="D336" s="77"/>
      <c r="E336" s="77"/>
      <c r="F336" s="77"/>
      <c r="G336" s="77"/>
      <c r="H336" s="77"/>
      <c r="I336" s="78"/>
      <c r="J336" s="77"/>
      <c r="K336" s="77"/>
      <c r="L336" s="77"/>
      <c r="M336" s="78"/>
      <c r="N336" s="77"/>
      <c r="O336" s="77"/>
      <c r="P336" s="77"/>
      <c r="Q336" s="78"/>
      <c r="R336" s="77"/>
      <c r="S336" s="77"/>
      <c r="T336" s="77"/>
      <c r="U336" s="78"/>
      <c r="V336" s="77"/>
      <c r="W336" s="77"/>
      <c r="X336" s="77"/>
      <c r="Y336" s="78"/>
      <c r="Z336" s="77"/>
      <c r="AA336" s="77"/>
      <c r="AB336" s="77"/>
      <c r="AC336" s="77"/>
      <c r="AD336" s="79" t="str">
        <f t="shared" si="20"/>
        <v/>
      </c>
      <c r="AE336" s="80" t="str">
        <f t="shared" si="21"/>
        <v/>
      </c>
      <c r="AF336" s="81"/>
      <c r="AG336" s="77"/>
      <c r="AH336" s="81"/>
      <c r="AI336" s="77"/>
      <c r="AJ336" s="82" t="str">
        <f t="shared" si="22"/>
        <v/>
      </c>
      <c r="AK336" s="83" t="str">
        <f t="shared" si="23"/>
        <v/>
      </c>
    </row>
    <row r="337" spans="2:37" ht="21" x14ac:dyDescent="0.35">
      <c r="B337" s="77"/>
      <c r="C337" s="77"/>
      <c r="D337" s="77"/>
      <c r="E337" s="77"/>
      <c r="F337" s="77"/>
      <c r="G337" s="77"/>
      <c r="H337" s="77"/>
      <c r="I337" s="78"/>
      <c r="J337" s="77"/>
      <c r="K337" s="77"/>
      <c r="L337" s="77"/>
      <c r="M337" s="78"/>
      <c r="N337" s="77"/>
      <c r="O337" s="77"/>
      <c r="P337" s="77"/>
      <c r="Q337" s="78"/>
      <c r="R337" s="77"/>
      <c r="S337" s="77"/>
      <c r="T337" s="77"/>
      <c r="U337" s="78"/>
      <c r="V337" s="77"/>
      <c r="W337" s="77"/>
      <c r="X337" s="77"/>
      <c r="Y337" s="78"/>
      <c r="Z337" s="77"/>
      <c r="AA337" s="77"/>
      <c r="AB337" s="77"/>
      <c r="AC337" s="77"/>
      <c r="AD337" s="79" t="str">
        <f t="shared" si="20"/>
        <v/>
      </c>
      <c r="AE337" s="80" t="str">
        <f t="shared" si="21"/>
        <v/>
      </c>
      <c r="AF337" s="81"/>
      <c r="AG337" s="77"/>
      <c r="AH337" s="81"/>
      <c r="AI337" s="77"/>
      <c r="AJ337" s="82" t="str">
        <f t="shared" si="22"/>
        <v/>
      </c>
      <c r="AK337" s="83" t="str">
        <f t="shared" si="23"/>
        <v/>
      </c>
    </row>
    <row r="338" spans="2:37" ht="21" x14ac:dyDescent="0.35">
      <c r="B338" s="77"/>
      <c r="C338" s="77"/>
      <c r="D338" s="77"/>
      <c r="E338" s="77"/>
      <c r="F338" s="77"/>
      <c r="G338" s="77"/>
      <c r="H338" s="77"/>
      <c r="I338" s="78"/>
      <c r="J338" s="77"/>
      <c r="K338" s="77"/>
      <c r="L338" s="77"/>
      <c r="M338" s="78"/>
      <c r="N338" s="77"/>
      <c r="O338" s="77"/>
      <c r="P338" s="77"/>
      <c r="Q338" s="78"/>
      <c r="R338" s="77"/>
      <c r="S338" s="77"/>
      <c r="T338" s="77"/>
      <c r="U338" s="78"/>
      <c r="V338" s="77"/>
      <c r="W338" s="77"/>
      <c r="X338" s="77"/>
      <c r="Y338" s="78"/>
      <c r="Z338" s="77"/>
      <c r="AA338" s="77"/>
      <c r="AB338" s="77"/>
      <c r="AC338" s="77"/>
      <c r="AD338" s="79" t="str">
        <f t="shared" si="20"/>
        <v/>
      </c>
      <c r="AE338" s="80" t="str">
        <f t="shared" si="21"/>
        <v/>
      </c>
      <c r="AF338" s="81"/>
      <c r="AG338" s="77"/>
      <c r="AH338" s="81"/>
      <c r="AI338" s="77"/>
      <c r="AJ338" s="82" t="str">
        <f t="shared" si="22"/>
        <v/>
      </c>
      <c r="AK338" s="83" t="str">
        <f t="shared" si="23"/>
        <v/>
      </c>
    </row>
    <row r="339" spans="2:37" ht="21" x14ac:dyDescent="0.35">
      <c r="B339" s="77"/>
      <c r="C339" s="77"/>
      <c r="D339" s="77"/>
      <c r="E339" s="77"/>
      <c r="F339" s="77"/>
      <c r="G339" s="77"/>
      <c r="H339" s="77"/>
      <c r="I339" s="78"/>
      <c r="J339" s="77"/>
      <c r="K339" s="77"/>
      <c r="L339" s="77"/>
      <c r="M339" s="78"/>
      <c r="N339" s="77"/>
      <c r="O339" s="77"/>
      <c r="P339" s="77"/>
      <c r="Q339" s="78"/>
      <c r="R339" s="77"/>
      <c r="S339" s="77"/>
      <c r="T339" s="77"/>
      <c r="U339" s="78"/>
      <c r="V339" s="77"/>
      <c r="W339" s="77"/>
      <c r="X339" s="77"/>
      <c r="Y339" s="78"/>
      <c r="Z339" s="77"/>
      <c r="AA339" s="77"/>
      <c r="AB339" s="77"/>
      <c r="AC339" s="77"/>
      <c r="AD339" s="79" t="str">
        <f t="shared" si="20"/>
        <v/>
      </c>
      <c r="AE339" s="80" t="str">
        <f t="shared" si="21"/>
        <v/>
      </c>
      <c r="AF339" s="81"/>
      <c r="AG339" s="77"/>
      <c r="AH339" s="81"/>
      <c r="AI339" s="77"/>
      <c r="AJ339" s="82" t="str">
        <f t="shared" si="22"/>
        <v/>
      </c>
      <c r="AK339" s="83" t="str">
        <f t="shared" si="23"/>
        <v/>
      </c>
    </row>
    <row r="340" spans="2:37" ht="21" x14ac:dyDescent="0.35">
      <c r="B340" s="77"/>
      <c r="C340" s="77"/>
      <c r="D340" s="77"/>
      <c r="E340" s="77"/>
      <c r="F340" s="77"/>
      <c r="G340" s="77"/>
      <c r="H340" s="77"/>
      <c r="I340" s="78"/>
      <c r="J340" s="77"/>
      <c r="K340" s="77"/>
      <c r="L340" s="77"/>
      <c r="M340" s="78"/>
      <c r="N340" s="77"/>
      <c r="O340" s="77"/>
      <c r="P340" s="77"/>
      <c r="Q340" s="78"/>
      <c r="R340" s="77"/>
      <c r="S340" s="77"/>
      <c r="T340" s="77"/>
      <c r="U340" s="78"/>
      <c r="V340" s="77"/>
      <c r="W340" s="77"/>
      <c r="X340" s="77"/>
      <c r="Y340" s="78"/>
      <c r="Z340" s="77"/>
      <c r="AA340" s="77"/>
      <c r="AB340" s="77"/>
      <c r="AC340" s="77"/>
      <c r="AD340" s="79" t="str">
        <f t="shared" si="20"/>
        <v/>
      </c>
      <c r="AE340" s="80" t="str">
        <f t="shared" si="21"/>
        <v/>
      </c>
      <c r="AF340" s="81"/>
      <c r="AG340" s="77"/>
      <c r="AH340" s="81"/>
      <c r="AI340" s="77"/>
      <c r="AJ340" s="82" t="str">
        <f t="shared" si="22"/>
        <v/>
      </c>
      <c r="AK340" s="83" t="str">
        <f t="shared" si="23"/>
        <v/>
      </c>
    </row>
    <row r="341" spans="2:37" ht="21" x14ac:dyDescent="0.35">
      <c r="B341" s="77"/>
      <c r="C341" s="77"/>
      <c r="D341" s="77"/>
      <c r="E341" s="77"/>
      <c r="F341" s="77"/>
      <c r="G341" s="77"/>
      <c r="H341" s="77"/>
      <c r="I341" s="78"/>
      <c r="J341" s="77"/>
      <c r="K341" s="77"/>
      <c r="L341" s="77"/>
      <c r="M341" s="78"/>
      <c r="N341" s="77"/>
      <c r="O341" s="77"/>
      <c r="P341" s="77"/>
      <c r="Q341" s="78"/>
      <c r="R341" s="77"/>
      <c r="S341" s="77"/>
      <c r="T341" s="77"/>
      <c r="U341" s="78"/>
      <c r="V341" s="77"/>
      <c r="W341" s="77"/>
      <c r="X341" s="77"/>
      <c r="Y341" s="78"/>
      <c r="Z341" s="77"/>
      <c r="AA341" s="77"/>
      <c r="AB341" s="77"/>
      <c r="AC341" s="77"/>
      <c r="AD341" s="79" t="str">
        <f t="shared" si="20"/>
        <v/>
      </c>
      <c r="AE341" s="80" t="str">
        <f t="shared" si="21"/>
        <v/>
      </c>
      <c r="AF341" s="81"/>
      <c r="AG341" s="77"/>
      <c r="AH341" s="81"/>
      <c r="AI341" s="77"/>
      <c r="AJ341" s="82" t="str">
        <f t="shared" si="22"/>
        <v/>
      </c>
      <c r="AK341" s="83" t="str">
        <f t="shared" si="23"/>
        <v/>
      </c>
    </row>
    <row r="342" spans="2:37" ht="21" x14ac:dyDescent="0.35">
      <c r="B342" s="77"/>
      <c r="C342" s="77"/>
      <c r="D342" s="77"/>
      <c r="E342" s="77"/>
      <c r="F342" s="77"/>
      <c r="G342" s="77"/>
      <c r="H342" s="77"/>
      <c r="I342" s="78"/>
      <c r="J342" s="77"/>
      <c r="K342" s="77"/>
      <c r="L342" s="77"/>
      <c r="M342" s="78"/>
      <c r="N342" s="77"/>
      <c r="O342" s="77"/>
      <c r="P342" s="77"/>
      <c r="Q342" s="78"/>
      <c r="R342" s="77"/>
      <c r="S342" s="77"/>
      <c r="T342" s="77"/>
      <c r="U342" s="78"/>
      <c r="V342" s="77"/>
      <c r="W342" s="77"/>
      <c r="X342" s="77"/>
      <c r="Y342" s="78"/>
      <c r="Z342" s="77"/>
      <c r="AA342" s="77"/>
      <c r="AB342" s="77"/>
      <c r="AC342" s="77"/>
      <c r="AD342" s="79" t="str">
        <f t="shared" si="20"/>
        <v/>
      </c>
      <c r="AE342" s="80" t="str">
        <f t="shared" si="21"/>
        <v/>
      </c>
      <c r="AF342" s="81"/>
      <c r="AG342" s="77"/>
      <c r="AH342" s="81"/>
      <c r="AI342" s="77"/>
      <c r="AJ342" s="82" t="str">
        <f t="shared" si="22"/>
        <v/>
      </c>
      <c r="AK342" s="83" t="str">
        <f t="shared" si="23"/>
        <v/>
      </c>
    </row>
    <row r="343" spans="2:37" ht="21" x14ac:dyDescent="0.35">
      <c r="B343" s="77"/>
      <c r="C343" s="77"/>
      <c r="D343" s="77"/>
      <c r="E343" s="77"/>
      <c r="F343" s="77"/>
      <c r="G343" s="77"/>
      <c r="H343" s="77"/>
      <c r="I343" s="78"/>
      <c r="J343" s="77"/>
      <c r="K343" s="77"/>
      <c r="L343" s="77"/>
      <c r="M343" s="78"/>
      <c r="N343" s="77"/>
      <c r="O343" s="77"/>
      <c r="P343" s="77"/>
      <c r="Q343" s="78"/>
      <c r="R343" s="77"/>
      <c r="S343" s="77"/>
      <c r="T343" s="77"/>
      <c r="U343" s="78"/>
      <c r="V343" s="77"/>
      <c r="W343" s="77"/>
      <c r="X343" s="77"/>
      <c r="Y343" s="78"/>
      <c r="Z343" s="77"/>
      <c r="AA343" s="77"/>
      <c r="AB343" s="77"/>
      <c r="AC343" s="77"/>
      <c r="AD343" s="79" t="str">
        <f t="shared" si="20"/>
        <v/>
      </c>
      <c r="AE343" s="80" t="str">
        <f t="shared" si="21"/>
        <v/>
      </c>
      <c r="AF343" s="81"/>
      <c r="AG343" s="77"/>
      <c r="AH343" s="81"/>
      <c r="AI343" s="77"/>
      <c r="AJ343" s="82" t="str">
        <f t="shared" si="22"/>
        <v/>
      </c>
      <c r="AK343" s="83" t="str">
        <f t="shared" si="23"/>
        <v/>
      </c>
    </row>
    <row r="344" spans="2:37" ht="21" x14ac:dyDescent="0.35">
      <c r="B344" s="77"/>
      <c r="C344" s="77"/>
      <c r="D344" s="77"/>
      <c r="E344" s="77"/>
      <c r="F344" s="77"/>
      <c r="G344" s="77"/>
      <c r="H344" s="77"/>
      <c r="I344" s="78"/>
      <c r="J344" s="77"/>
      <c r="K344" s="77"/>
      <c r="L344" s="77"/>
      <c r="M344" s="78"/>
      <c r="N344" s="77"/>
      <c r="O344" s="77"/>
      <c r="P344" s="77"/>
      <c r="Q344" s="78"/>
      <c r="R344" s="77"/>
      <c r="S344" s="77"/>
      <c r="T344" s="77"/>
      <c r="U344" s="78"/>
      <c r="V344" s="77"/>
      <c r="W344" s="77"/>
      <c r="X344" s="77"/>
      <c r="Y344" s="78"/>
      <c r="Z344" s="77"/>
      <c r="AA344" s="77"/>
      <c r="AB344" s="77"/>
      <c r="AC344" s="77"/>
      <c r="AD344" s="79" t="str">
        <f t="shared" si="20"/>
        <v/>
      </c>
      <c r="AE344" s="80" t="str">
        <f t="shared" si="21"/>
        <v/>
      </c>
      <c r="AF344" s="81"/>
      <c r="AG344" s="77"/>
      <c r="AH344" s="81"/>
      <c r="AI344" s="77"/>
      <c r="AJ344" s="82" t="str">
        <f t="shared" si="22"/>
        <v/>
      </c>
      <c r="AK344" s="83" t="str">
        <f t="shared" si="23"/>
        <v/>
      </c>
    </row>
    <row r="345" spans="2:37" ht="21" x14ac:dyDescent="0.35">
      <c r="B345" s="77"/>
      <c r="C345" s="77"/>
      <c r="D345" s="77"/>
      <c r="E345" s="77"/>
      <c r="F345" s="77"/>
      <c r="G345" s="77"/>
      <c r="H345" s="77"/>
      <c r="I345" s="78"/>
      <c r="J345" s="77"/>
      <c r="K345" s="77"/>
      <c r="L345" s="77"/>
      <c r="M345" s="78"/>
      <c r="N345" s="77"/>
      <c r="O345" s="77"/>
      <c r="P345" s="77"/>
      <c r="Q345" s="78"/>
      <c r="R345" s="77"/>
      <c r="S345" s="77"/>
      <c r="T345" s="77"/>
      <c r="U345" s="78"/>
      <c r="V345" s="77"/>
      <c r="W345" s="77"/>
      <c r="X345" s="77"/>
      <c r="Y345" s="78"/>
      <c r="Z345" s="77"/>
      <c r="AA345" s="77"/>
      <c r="AB345" s="77"/>
      <c r="AC345" s="77"/>
      <c r="AD345" s="79" t="str">
        <f t="shared" si="20"/>
        <v/>
      </c>
      <c r="AE345" s="80" t="str">
        <f t="shared" si="21"/>
        <v/>
      </c>
      <c r="AF345" s="81"/>
      <c r="AG345" s="77"/>
      <c r="AH345" s="81"/>
      <c r="AI345" s="77"/>
      <c r="AJ345" s="82" t="str">
        <f t="shared" si="22"/>
        <v/>
      </c>
      <c r="AK345" s="83" t="str">
        <f t="shared" si="23"/>
        <v/>
      </c>
    </row>
    <row r="346" spans="2:37" ht="21" x14ac:dyDescent="0.35">
      <c r="B346" s="77"/>
      <c r="C346" s="77"/>
      <c r="D346" s="77"/>
      <c r="E346" s="77"/>
      <c r="F346" s="77"/>
      <c r="G346" s="77"/>
      <c r="H346" s="77"/>
      <c r="I346" s="78"/>
      <c r="J346" s="77"/>
      <c r="K346" s="77"/>
      <c r="L346" s="77"/>
      <c r="M346" s="78"/>
      <c r="N346" s="77"/>
      <c r="O346" s="77"/>
      <c r="P346" s="77"/>
      <c r="Q346" s="78"/>
      <c r="R346" s="77"/>
      <c r="S346" s="77"/>
      <c r="T346" s="77"/>
      <c r="U346" s="78"/>
      <c r="V346" s="77"/>
      <c r="W346" s="77"/>
      <c r="X346" s="77"/>
      <c r="Y346" s="78"/>
      <c r="Z346" s="77"/>
      <c r="AA346" s="77"/>
      <c r="AB346" s="77"/>
      <c r="AC346" s="77"/>
      <c r="AD346" s="79" t="str">
        <f t="shared" si="20"/>
        <v/>
      </c>
      <c r="AE346" s="80" t="str">
        <f t="shared" si="21"/>
        <v/>
      </c>
      <c r="AF346" s="81"/>
      <c r="AG346" s="77"/>
      <c r="AH346" s="81"/>
      <c r="AI346" s="77"/>
      <c r="AJ346" s="82" t="str">
        <f t="shared" si="22"/>
        <v/>
      </c>
      <c r="AK346" s="83" t="str">
        <f t="shared" si="23"/>
        <v/>
      </c>
    </row>
    <row r="347" spans="2:37" ht="21" x14ac:dyDescent="0.35">
      <c r="B347" s="77"/>
      <c r="C347" s="77"/>
      <c r="D347" s="77"/>
      <c r="E347" s="77"/>
      <c r="F347" s="77"/>
      <c r="G347" s="77"/>
      <c r="H347" s="77"/>
      <c r="I347" s="78"/>
      <c r="J347" s="77"/>
      <c r="K347" s="77"/>
      <c r="L347" s="77"/>
      <c r="M347" s="78"/>
      <c r="N347" s="77"/>
      <c r="O347" s="77"/>
      <c r="P347" s="77"/>
      <c r="Q347" s="78"/>
      <c r="R347" s="77"/>
      <c r="S347" s="77"/>
      <c r="T347" s="77"/>
      <c r="U347" s="78"/>
      <c r="V347" s="77"/>
      <c r="W347" s="77"/>
      <c r="X347" s="77"/>
      <c r="Y347" s="78"/>
      <c r="Z347" s="77"/>
      <c r="AA347" s="77"/>
      <c r="AB347" s="77"/>
      <c r="AC347" s="77"/>
      <c r="AD347" s="79" t="str">
        <f t="shared" si="20"/>
        <v/>
      </c>
      <c r="AE347" s="80" t="str">
        <f t="shared" si="21"/>
        <v/>
      </c>
      <c r="AF347" s="81"/>
      <c r="AG347" s="77"/>
      <c r="AH347" s="81"/>
      <c r="AI347" s="77"/>
      <c r="AJ347" s="82" t="str">
        <f t="shared" si="22"/>
        <v/>
      </c>
      <c r="AK347" s="83" t="str">
        <f t="shared" si="23"/>
        <v/>
      </c>
    </row>
    <row r="348" spans="2:37" ht="21" x14ac:dyDescent="0.35">
      <c r="B348" s="77"/>
      <c r="C348" s="77"/>
      <c r="D348" s="77"/>
      <c r="E348" s="77"/>
      <c r="F348" s="77"/>
      <c r="G348" s="77"/>
      <c r="H348" s="77"/>
      <c r="I348" s="78"/>
      <c r="J348" s="77"/>
      <c r="K348" s="77"/>
      <c r="L348" s="77"/>
      <c r="M348" s="78"/>
      <c r="N348" s="77"/>
      <c r="O348" s="77"/>
      <c r="P348" s="77"/>
      <c r="Q348" s="78"/>
      <c r="R348" s="77"/>
      <c r="S348" s="77"/>
      <c r="T348" s="77"/>
      <c r="U348" s="78"/>
      <c r="V348" s="77"/>
      <c r="W348" s="77"/>
      <c r="X348" s="77"/>
      <c r="Y348" s="78"/>
      <c r="Z348" s="77"/>
      <c r="AA348" s="77"/>
      <c r="AB348" s="77"/>
      <c r="AC348" s="77"/>
      <c r="AD348" s="79" t="str">
        <f t="shared" si="20"/>
        <v/>
      </c>
      <c r="AE348" s="80" t="str">
        <f t="shared" si="21"/>
        <v/>
      </c>
      <c r="AF348" s="81"/>
      <c r="AG348" s="77"/>
      <c r="AH348" s="81"/>
      <c r="AI348" s="77"/>
      <c r="AJ348" s="82" t="str">
        <f t="shared" si="22"/>
        <v/>
      </c>
      <c r="AK348" s="83" t="str">
        <f t="shared" si="23"/>
        <v/>
      </c>
    </row>
    <row r="349" spans="2:37" ht="21" x14ac:dyDescent="0.35">
      <c r="B349" s="77"/>
      <c r="C349" s="77"/>
      <c r="D349" s="77"/>
      <c r="E349" s="77"/>
      <c r="F349" s="77"/>
      <c r="G349" s="77"/>
      <c r="H349" s="77"/>
      <c r="I349" s="78"/>
      <c r="J349" s="77"/>
      <c r="K349" s="77"/>
      <c r="L349" s="77"/>
      <c r="M349" s="78"/>
      <c r="N349" s="77"/>
      <c r="O349" s="77"/>
      <c r="P349" s="77"/>
      <c r="Q349" s="78"/>
      <c r="R349" s="77"/>
      <c r="S349" s="77"/>
      <c r="T349" s="77"/>
      <c r="U349" s="78"/>
      <c r="V349" s="77"/>
      <c r="W349" s="77"/>
      <c r="X349" s="77"/>
      <c r="Y349" s="78"/>
      <c r="Z349" s="77"/>
      <c r="AA349" s="77"/>
      <c r="AB349" s="77"/>
      <c r="AC349" s="77"/>
      <c r="AD349" s="79" t="str">
        <f t="shared" si="20"/>
        <v/>
      </c>
      <c r="AE349" s="80" t="str">
        <f t="shared" si="21"/>
        <v/>
      </c>
      <c r="AF349" s="81"/>
      <c r="AG349" s="77"/>
      <c r="AH349" s="81"/>
      <c r="AI349" s="77"/>
      <c r="AJ349" s="82" t="str">
        <f t="shared" si="22"/>
        <v/>
      </c>
      <c r="AK349" s="83" t="str">
        <f t="shared" si="23"/>
        <v/>
      </c>
    </row>
    <row r="350" spans="2:37" ht="21" x14ac:dyDescent="0.35">
      <c r="B350" s="77"/>
      <c r="C350" s="77"/>
      <c r="D350" s="77"/>
      <c r="E350" s="77"/>
      <c r="F350" s="77"/>
      <c r="G350" s="77"/>
      <c r="H350" s="77"/>
      <c r="I350" s="78"/>
      <c r="J350" s="77"/>
      <c r="K350" s="77"/>
      <c r="L350" s="77"/>
      <c r="M350" s="78"/>
      <c r="N350" s="77"/>
      <c r="O350" s="77"/>
      <c r="P350" s="77"/>
      <c r="Q350" s="78"/>
      <c r="R350" s="77"/>
      <c r="S350" s="77"/>
      <c r="T350" s="77"/>
      <c r="U350" s="78"/>
      <c r="V350" s="77"/>
      <c r="W350" s="77"/>
      <c r="X350" s="77"/>
      <c r="Y350" s="78"/>
      <c r="Z350" s="77"/>
      <c r="AA350" s="77"/>
      <c r="AB350" s="77"/>
      <c r="AC350" s="77"/>
      <c r="AD350" s="79" t="str">
        <f t="shared" si="20"/>
        <v/>
      </c>
      <c r="AE350" s="80" t="str">
        <f t="shared" si="21"/>
        <v/>
      </c>
      <c r="AF350" s="81"/>
      <c r="AG350" s="77"/>
      <c r="AH350" s="81"/>
      <c r="AI350" s="77"/>
      <c r="AJ350" s="82" t="str">
        <f t="shared" si="22"/>
        <v/>
      </c>
      <c r="AK350" s="83" t="str">
        <f t="shared" si="23"/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conditionalFormatting sqref="AJ36">
    <cfRule type="cellIs" dxfId="4039" priority="8633" stopIfTrue="1" operator="equal">
      <formula>"En cours"</formula>
    </cfRule>
    <cfRule type="cellIs" dxfId="4038" priority="8634" stopIfTrue="1" operator="notEqual">
      <formula>"En cours"</formula>
    </cfRule>
  </conditionalFormatting>
  <conditionalFormatting sqref="AK36">
    <cfRule type="cellIs" dxfId="4037" priority="8635" stopIfTrue="1" operator="equal">
      <formula>"En cours"</formula>
    </cfRule>
    <cfRule type="cellIs" dxfId="4036" priority="8636" stopIfTrue="1" operator="notEqual">
      <formula>"En cours"</formula>
    </cfRule>
  </conditionalFormatting>
  <conditionalFormatting sqref="AJ35">
    <cfRule type="cellIs" dxfId="4035" priority="8637" stopIfTrue="1" operator="equal">
      <formula>"En cours"</formula>
    </cfRule>
  </conditionalFormatting>
  <conditionalFormatting sqref="AJ35">
    <cfRule type="cellIs" dxfId="4034" priority="8638" stopIfTrue="1" operator="notEqual">
      <formula>"En cours"</formula>
    </cfRule>
  </conditionalFormatting>
  <conditionalFormatting sqref="AK35">
    <cfRule type="cellIs" dxfId="4033" priority="8639" stopIfTrue="1" operator="equal">
      <formula>"En cours"</formula>
    </cfRule>
  </conditionalFormatting>
  <conditionalFormatting sqref="AK35">
    <cfRule type="cellIs" dxfId="4032" priority="8640" stopIfTrue="1" operator="notEqual">
      <formula>"En cours"</formula>
    </cfRule>
  </conditionalFormatting>
  <conditionalFormatting sqref="AJ33">
    <cfRule type="cellIs" dxfId="4031" priority="8641" stopIfTrue="1" operator="equal">
      <formula>"En cours"</formula>
    </cfRule>
  </conditionalFormatting>
  <conditionalFormatting sqref="AJ33">
    <cfRule type="cellIs" dxfId="4030" priority="8642" stopIfTrue="1" operator="notEqual">
      <formula>"En cours"</formula>
    </cfRule>
  </conditionalFormatting>
  <conditionalFormatting sqref="AK33">
    <cfRule type="cellIs" dxfId="4029" priority="8643" stopIfTrue="1" operator="equal">
      <formula>"En cours"</formula>
    </cfRule>
  </conditionalFormatting>
  <conditionalFormatting sqref="AK33">
    <cfRule type="cellIs" dxfId="4028" priority="8644" stopIfTrue="1" operator="notEqual">
      <formula>"En cours"</formula>
    </cfRule>
  </conditionalFormatting>
  <conditionalFormatting sqref="AJ34">
    <cfRule type="cellIs" dxfId="4011" priority="8717" stopIfTrue="1" operator="equal">
      <formula>"En cours"</formula>
    </cfRule>
  </conditionalFormatting>
  <conditionalFormatting sqref="AJ34">
    <cfRule type="cellIs" dxfId="4010" priority="8718" stopIfTrue="1" operator="notEqual">
      <formula>"En cours"</formula>
    </cfRule>
  </conditionalFormatting>
  <conditionalFormatting sqref="AK34">
    <cfRule type="cellIs" dxfId="4009" priority="8719" stopIfTrue="1" operator="equal">
      <formula>"En cours"</formula>
    </cfRule>
  </conditionalFormatting>
  <conditionalFormatting sqref="AK34">
    <cfRule type="cellIs" dxfId="4008" priority="8720" stopIfTrue="1" operator="notEqual">
      <formula>"En cours"</formula>
    </cfRule>
  </conditionalFormatting>
  <conditionalFormatting sqref="AJ9">
    <cfRule type="cellIs" dxfId="455" priority="29565" stopIfTrue="1" operator="equal">
      <formula>"En cours"</formula>
    </cfRule>
  </conditionalFormatting>
  <conditionalFormatting sqref="AJ9">
    <cfRule type="cellIs" dxfId="454" priority="29566" stopIfTrue="1" operator="notEqual">
      <formula>"En cours"</formula>
    </cfRule>
  </conditionalFormatting>
  <conditionalFormatting sqref="AK9">
    <cfRule type="cellIs" dxfId="453" priority="29567" stopIfTrue="1" operator="equal">
      <formula>"En cours"</formula>
    </cfRule>
  </conditionalFormatting>
  <conditionalFormatting sqref="AK9">
    <cfRule type="cellIs" dxfId="452" priority="29568" stopIfTrue="1" operator="notEqual">
      <formula>"En cours"</formula>
    </cfRule>
  </conditionalFormatting>
  <conditionalFormatting sqref="AJ14">
    <cfRule type="cellIs" dxfId="439" priority="29581" stopIfTrue="1" operator="equal">
      <formula>"En cours"</formula>
    </cfRule>
  </conditionalFormatting>
  <conditionalFormatting sqref="AJ14">
    <cfRule type="cellIs" dxfId="438" priority="29582" stopIfTrue="1" operator="notEqual">
      <formula>"En cours"</formula>
    </cfRule>
  </conditionalFormatting>
  <conditionalFormatting sqref="AK14">
    <cfRule type="cellIs" dxfId="437" priority="29583" stopIfTrue="1" operator="equal">
      <formula>"En cours"</formula>
    </cfRule>
  </conditionalFormatting>
  <conditionalFormatting sqref="AK14">
    <cfRule type="cellIs" dxfId="436" priority="29584" stopIfTrue="1" operator="notEqual">
      <formula>"En cours"</formula>
    </cfRule>
  </conditionalFormatting>
  <conditionalFormatting sqref="AJ5">
    <cfRule type="cellIs" dxfId="375" priority="29645" stopIfTrue="1" operator="equal">
      <formula>"En cours"</formula>
    </cfRule>
  </conditionalFormatting>
  <conditionalFormatting sqref="AJ5">
    <cfRule type="cellIs" dxfId="374" priority="29646" stopIfTrue="1" operator="notEqual">
      <formula>"En cours"</formula>
    </cfRule>
  </conditionalFormatting>
  <conditionalFormatting sqref="AK5">
    <cfRule type="cellIs" dxfId="373" priority="29647" stopIfTrue="1" operator="equal">
      <formula>"En cours"</formula>
    </cfRule>
  </conditionalFormatting>
  <conditionalFormatting sqref="AK5">
    <cfRule type="cellIs" dxfId="372" priority="29648" stopIfTrue="1" operator="notEqual">
      <formula>"En cours"</formula>
    </cfRule>
  </conditionalFormatting>
  <conditionalFormatting sqref="AJ22">
    <cfRule type="cellIs" dxfId="359" priority="29661" stopIfTrue="1" operator="equal">
      <formula>"En cours"</formula>
    </cfRule>
  </conditionalFormatting>
  <conditionalFormatting sqref="AJ22">
    <cfRule type="cellIs" dxfId="358" priority="29662" stopIfTrue="1" operator="notEqual">
      <formula>"En cours"</formula>
    </cfRule>
  </conditionalFormatting>
  <conditionalFormatting sqref="AK22">
    <cfRule type="cellIs" dxfId="357" priority="29663" stopIfTrue="1" operator="equal">
      <formula>"En cours"</formula>
    </cfRule>
  </conditionalFormatting>
  <conditionalFormatting sqref="AK22">
    <cfRule type="cellIs" dxfId="356" priority="29664" stopIfTrue="1" operator="notEqual">
      <formula>"En cours"</formula>
    </cfRule>
  </conditionalFormatting>
  <conditionalFormatting sqref="AJ23">
    <cfRule type="cellIs" dxfId="351" priority="29669" stopIfTrue="1" operator="equal">
      <formula>"En cours"</formula>
    </cfRule>
  </conditionalFormatting>
  <conditionalFormatting sqref="AJ23">
    <cfRule type="cellIs" dxfId="350" priority="29670" stopIfTrue="1" operator="notEqual">
      <formula>"En cours"</formula>
    </cfRule>
  </conditionalFormatting>
  <conditionalFormatting sqref="AK23">
    <cfRule type="cellIs" dxfId="349" priority="29671" stopIfTrue="1" operator="equal">
      <formula>"En cours"</formula>
    </cfRule>
  </conditionalFormatting>
  <conditionalFormatting sqref="AK23">
    <cfRule type="cellIs" dxfId="348" priority="29672" stopIfTrue="1" operator="notEqual">
      <formula>"En cours"</formula>
    </cfRule>
  </conditionalFormatting>
  <conditionalFormatting sqref="AJ8">
    <cfRule type="cellIs" dxfId="271" priority="29749" stopIfTrue="1" operator="equal">
      <formula>"En cours"</formula>
    </cfRule>
  </conditionalFormatting>
  <conditionalFormatting sqref="AJ8">
    <cfRule type="cellIs" dxfId="270" priority="29750" stopIfTrue="1" operator="notEqual">
      <formula>"En cours"</formula>
    </cfRule>
  </conditionalFormatting>
  <conditionalFormatting sqref="AK8">
    <cfRule type="cellIs" dxfId="269" priority="29751" stopIfTrue="1" operator="equal">
      <formula>"En cours"</formula>
    </cfRule>
  </conditionalFormatting>
  <conditionalFormatting sqref="AK8">
    <cfRule type="cellIs" dxfId="268" priority="29752" stopIfTrue="1" operator="notEqual">
      <formula>"En cours"</formula>
    </cfRule>
  </conditionalFormatting>
  <conditionalFormatting sqref="AJ26">
    <cfRule type="cellIs" dxfId="263" priority="29757" stopIfTrue="1" operator="equal">
      <formula>"En cours"</formula>
    </cfRule>
    <cfRule type="cellIs" dxfId="262" priority="29758" stopIfTrue="1" operator="notEqual">
      <formula>"En cours"</formula>
    </cfRule>
  </conditionalFormatting>
  <conditionalFormatting sqref="AK26">
    <cfRule type="cellIs" dxfId="261" priority="29759" stopIfTrue="1" operator="equal">
      <formula>"En cours"</formula>
    </cfRule>
    <cfRule type="cellIs" dxfId="260" priority="29760" stopIfTrue="1" operator="notEqual">
      <formula>"En cours"</formula>
    </cfRule>
  </conditionalFormatting>
  <conditionalFormatting sqref="AJ7">
    <cfRule type="cellIs" dxfId="251" priority="29769" stopIfTrue="1" operator="equal">
      <formula>"En cours"</formula>
    </cfRule>
  </conditionalFormatting>
  <conditionalFormatting sqref="AJ7">
    <cfRule type="cellIs" dxfId="250" priority="29770" stopIfTrue="1" operator="notEqual">
      <formula>"En cours"</formula>
    </cfRule>
  </conditionalFormatting>
  <conditionalFormatting sqref="AK7">
    <cfRule type="cellIs" dxfId="249" priority="29771" stopIfTrue="1" operator="equal">
      <formula>"En cours"</formula>
    </cfRule>
  </conditionalFormatting>
  <conditionalFormatting sqref="AK7">
    <cfRule type="cellIs" dxfId="248" priority="29772" stopIfTrue="1" operator="notEqual">
      <formula>"En cours"</formula>
    </cfRule>
  </conditionalFormatting>
  <conditionalFormatting sqref="AJ27">
    <cfRule type="cellIs" dxfId="247" priority="29773" stopIfTrue="1" operator="equal">
      <formula>"En cours"</formula>
    </cfRule>
    <cfRule type="cellIs" dxfId="246" priority="29774" stopIfTrue="1" operator="notEqual">
      <formula>"En cours"</formula>
    </cfRule>
  </conditionalFormatting>
  <conditionalFormatting sqref="AK27">
    <cfRule type="cellIs" dxfId="245" priority="29775" stopIfTrue="1" operator="equal">
      <formula>"En cours"</formula>
    </cfRule>
  </conditionalFormatting>
  <conditionalFormatting sqref="AK27">
    <cfRule type="cellIs" dxfId="244" priority="29776" stopIfTrue="1" operator="notEqual">
      <formula>"En cours"</formula>
    </cfRule>
  </conditionalFormatting>
  <conditionalFormatting sqref="AJ16">
    <cfRule type="cellIs" dxfId="243" priority="29777" stopIfTrue="1" operator="equal">
      <formula>"En cours"</formula>
    </cfRule>
  </conditionalFormatting>
  <conditionalFormatting sqref="AJ16">
    <cfRule type="cellIs" dxfId="242" priority="29778" stopIfTrue="1" operator="notEqual">
      <formula>"En cours"</formula>
    </cfRule>
  </conditionalFormatting>
  <conditionalFormatting sqref="AK16">
    <cfRule type="cellIs" dxfId="241" priority="29779" stopIfTrue="1" operator="equal">
      <formula>"En cours"</formula>
    </cfRule>
  </conditionalFormatting>
  <conditionalFormatting sqref="AK16">
    <cfRule type="cellIs" dxfId="240" priority="29780" stopIfTrue="1" operator="notEqual">
      <formula>"En cours"</formula>
    </cfRule>
  </conditionalFormatting>
  <conditionalFormatting sqref="AJ20">
    <cfRule type="cellIs" dxfId="239" priority="29781" stopIfTrue="1" operator="equal">
      <formula>"En cours"</formula>
    </cfRule>
  </conditionalFormatting>
  <conditionalFormatting sqref="AJ20">
    <cfRule type="cellIs" dxfId="238" priority="29782" stopIfTrue="1" operator="notEqual">
      <formula>"En cours"</formula>
    </cfRule>
  </conditionalFormatting>
  <conditionalFormatting sqref="AK20">
    <cfRule type="cellIs" dxfId="237" priority="29783" stopIfTrue="1" operator="equal">
      <formula>"En cours"</formula>
    </cfRule>
  </conditionalFormatting>
  <conditionalFormatting sqref="AK20">
    <cfRule type="cellIs" dxfId="236" priority="29784" stopIfTrue="1" operator="notEqual">
      <formula>"En cours"</formula>
    </cfRule>
  </conditionalFormatting>
  <conditionalFormatting sqref="AJ17">
    <cfRule type="cellIs" dxfId="223" priority="29797" stopIfTrue="1" operator="equal">
      <formula>"En cours"</formula>
    </cfRule>
  </conditionalFormatting>
  <conditionalFormatting sqref="AJ17">
    <cfRule type="cellIs" dxfId="222" priority="29798" stopIfTrue="1" operator="notEqual">
      <formula>"En cours"</formula>
    </cfRule>
  </conditionalFormatting>
  <conditionalFormatting sqref="AK17">
    <cfRule type="cellIs" dxfId="221" priority="29799" stopIfTrue="1" operator="equal">
      <formula>"En cours"</formula>
    </cfRule>
  </conditionalFormatting>
  <conditionalFormatting sqref="AK17">
    <cfRule type="cellIs" dxfId="220" priority="29800" stopIfTrue="1" operator="notEqual">
      <formula>"En cours"</formula>
    </cfRule>
  </conditionalFormatting>
  <conditionalFormatting sqref="AJ19">
    <cfRule type="cellIs" dxfId="219" priority="29801" stopIfTrue="1" operator="equal">
      <formula>"En cours"</formula>
    </cfRule>
  </conditionalFormatting>
  <conditionalFormatting sqref="AJ19">
    <cfRule type="cellIs" dxfId="218" priority="29802" stopIfTrue="1" operator="notEqual">
      <formula>"En cours"</formula>
    </cfRule>
  </conditionalFormatting>
  <conditionalFormatting sqref="AK19">
    <cfRule type="cellIs" dxfId="217" priority="29803" stopIfTrue="1" operator="equal">
      <formula>"En cours"</formula>
    </cfRule>
  </conditionalFormatting>
  <conditionalFormatting sqref="AK19">
    <cfRule type="cellIs" dxfId="216" priority="29804" stopIfTrue="1" operator="notEqual">
      <formula>"En cours"</formula>
    </cfRule>
  </conditionalFormatting>
  <conditionalFormatting sqref="AJ18">
    <cfRule type="cellIs" dxfId="203" priority="29817" stopIfTrue="1" operator="equal">
      <formula>"En cours"</formula>
    </cfRule>
  </conditionalFormatting>
  <conditionalFormatting sqref="AJ18">
    <cfRule type="cellIs" dxfId="202" priority="29818" stopIfTrue="1" operator="notEqual">
      <formula>"En cours"</formula>
    </cfRule>
  </conditionalFormatting>
  <conditionalFormatting sqref="AK18">
    <cfRule type="cellIs" dxfId="201" priority="29819" stopIfTrue="1" operator="equal">
      <formula>"En cours"</formula>
    </cfRule>
  </conditionalFormatting>
  <conditionalFormatting sqref="AK18">
    <cfRule type="cellIs" dxfId="200" priority="29820" stopIfTrue="1" operator="notEqual">
      <formula>"En cours"</formula>
    </cfRule>
  </conditionalFormatting>
  <conditionalFormatting sqref="AJ32">
    <cfRule type="cellIs" dxfId="171" priority="29849" stopIfTrue="1" operator="equal">
      <formula>"En cours"</formula>
    </cfRule>
  </conditionalFormatting>
  <conditionalFormatting sqref="AJ32">
    <cfRule type="cellIs" dxfId="170" priority="29850" stopIfTrue="1" operator="notEqual">
      <formula>"En cours"</formula>
    </cfRule>
  </conditionalFormatting>
  <conditionalFormatting sqref="AK32">
    <cfRule type="cellIs" dxfId="169" priority="29851" stopIfTrue="1" operator="equal">
      <formula>"En cours"</formula>
    </cfRule>
  </conditionalFormatting>
  <conditionalFormatting sqref="AK32">
    <cfRule type="cellIs" dxfId="168" priority="29852" stopIfTrue="1" operator="notEqual">
      <formula>"En cours"</formula>
    </cfRule>
  </conditionalFormatting>
  <conditionalFormatting sqref="AJ29">
    <cfRule type="cellIs" dxfId="167" priority="29853" stopIfTrue="1" operator="equal">
      <formula>"En cours"</formula>
    </cfRule>
  </conditionalFormatting>
  <conditionalFormatting sqref="AJ29">
    <cfRule type="cellIs" dxfId="166" priority="29854" stopIfTrue="1" operator="notEqual">
      <formula>"En cours"</formula>
    </cfRule>
  </conditionalFormatting>
  <conditionalFormatting sqref="AK29">
    <cfRule type="cellIs" dxfId="165" priority="29855" stopIfTrue="1" operator="equal">
      <formula>"En cours"</formula>
    </cfRule>
  </conditionalFormatting>
  <conditionalFormatting sqref="AK29">
    <cfRule type="cellIs" dxfId="164" priority="29856" stopIfTrue="1" operator="notEqual">
      <formula>"En cours"</formula>
    </cfRule>
  </conditionalFormatting>
  <conditionalFormatting sqref="AJ4">
    <cfRule type="cellIs" dxfId="107" priority="29913" stopIfTrue="1" operator="equal">
      <formula>"En cours"</formula>
    </cfRule>
  </conditionalFormatting>
  <conditionalFormatting sqref="AJ4">
    <cfRule type="cellIs" dxfId="106" priority="29914" stopIfTrue="1" operator="notEqual">
      <formula>"En cours"</formula>
    </cfRule>
  </conditionalFormatting>
  <conditionalFormatting sqref="AK4">
    <cfRule type="cellIs" dxfId="105" priority="29915" stopIfTrue="1" operator="equal">
      <formula>"En cours"</formula>
    </cfRule>
  </conditionalFormatting>
  <conditionalFormatting sqref="AK4">
    <cfRule type="cellIs" dxfId="104" priority="29916" stopIfTrue="1" operator="notEqual">
      <formula>"En cours"</formula>
    </cfRule>
  </conditionalFormatting>
  <conditionalFormatting sqref="AJ25">
    <cfRule type="cellIs" dxfId="103" priority="29917" stopIfTrue="1" operator="equal">
      <formula>"En cours"</formula>
    </cfRule>
  </conditionalFormatting>
  <conditionalFormatting sqref="AJ25">
    <cfRule type="cellIs" dxfId="102" priority="29918" stopIfTrue="1" operator="notEqual">
      <formula>"En cours"</formula>
    </cfRule>
  </conditionalFormatting>
  <conditionalFormatting sqref="AK25">
    <cfRule type="cellIs" dxfId="101" priority="29919" stopIfTrue="1" operator="equal">
      <formula>"En cours"</formula>
    </cfRule>
  </conditionalFormatting>
  <conditionalFormatting sqref="AK25">
    <cfRule type="cellIs" dxfId="100" priority="29920" stopIfTrue="1" operator="notEqual">
      <formula>"En cours"</formula>
    </cfRule>
  </conditionalFormatting>
  <conditionalFormatting sqref="AJ6">
    <cfRule type="cellIs" dxfId="99" priority="29921" stopIfTrue="1" operator="equal">
      <formula>"En cours"</formula>
    </cfRule>
  </conditionalFormatting>
  <conditionalFormatting sqref="AJ6">
    <cfRule type="cellIs" dxfId="98" priority="29922" stopIfTrue="1" operator="notEqual">
      <formula>"En cours"</formula>
    </cfRule>
  </conditionalFormatting>
  <conditionalFormatting sqref="AK6">
    <cfRule type="cellIs" dxfId="97" priority="29923" stopIfTrue="1" operator="equal">
      <formula>"En cours"</formula>
    </cfRule>
  </conditionalFormatting>
  <conditionalFormatting sqref="AK6">
    <cfRule type="cellIs" dxfId="96" priority="29924" stopIfTrue="1" operator="notEqual">
      <formula>"En cours"</formula>
    </cfRule>
  </conditionalFormatting>
  <conditionalFormatting sqref="AJ11">
    <cfRule type="cellIs" dxfId="91" priority="29929" stopIfTrue="1" operator="equal">
      <formula>"En cours"</formula>
    </cfRule>
  </conditionalFormatting>
  <conditionalFormatting sqref="AJ11">
    <cfRule type="cellIs" dxfId="90" priority="29930" stopIfTrue="1" operator="notEqual">
      <formula>"En cours"</formula>
    </cfRule>
  </conditionalFormatting>
  <conditionalFormatting sqref="AK11">
    <cfRule type="cellIs" dxfId="89" priority="29931" stopIfTrue="1" operator="equal">
      <formula>"En cours"</formula>
    </cfRule>
  </conditionalFormatting>
  <conditionalFormatting sqref="AK11">
    <cfRule type="cellIs" dxfId="88" priority="29932" stopIfTrue="1" operator="notEqual">
      <formula>"En cours"</formula>
    </cfRule>
  </conditionalFormatting>
  <conditionalFormatting sqref="AJ15">
    <cfRule type="cellIs" dxfId="87" priority="29933" stopIfTrue="1" operator="equal">
      <formula>"En cours"</formula>
    </cfRule>
  </conditionalFormatting>
  <conditionalFormatting sqref="AJ15">
    <cfRule type="cellIs" dxfId="86" priority="29934" stopIfTrue="1" operator="notEqual">
      <formula>"En cours"</formula>
    </cfRule>
  </conditionalFormatting>
  <conditionalFormatting sqref="AK15">
    <cfRule type="cellIs" dxfId="85" priority="29935" stopIfTrue="1" operator="equal">
      <formula>"En cours"</formula>
    </cfRule>
  </conditionalFormatting>
  <conditionalFormatting sqref="AK15">
    <cfRule type="cellIs" dxfId="84" priority="29936" stopIfTrue="1" operator="notEqual">
      <formula>"En cours"</formula>
    </cfRule>
  </conditionalFormatting>
  <conditionalFormatting sqref="AJ30">
    <cfRule type="cellIs" dxfId="79" priority="29941" stopIfTrue="1" operator="equal">
      <formula>"En cours"</formula>
    </cfRule>
  </conditionalFormatting>
  <conditionalFormatting sqref="AJ30">
    <cfRule type="cellIs" dxfId="78" priority="29942" stopIfTrue="1" operator="notEqual">
      <formula>"En cours"</formula>
    </cfRule>
  </conditionalFormatting>
  <conditionalFormatting sqref="AK30">
    <cfRule type="cellIs" dxfId="77" priority="29943" stopIfTrue="1" operator="equal">
      <formula>"En cours"</formula>
    </cfRule>
  </conditionalFormatting>
  <conditionalFormatting sqref="AK30">
    <cfRule type="cellIs" dxfId="76" priority="29944" stopIfTrue="1" operator="notEqual">
      <formula>"En cours"</formula>
    </cfRule>
  </conditionalFormatting>
  <conditionalFormatting sqref="AJ13">
    <cfRule type="cellIs" dxfId="75" priority="29945" stopIfTrue="1" operator="equal">
      <formula>"En cours"</formula>
    </cfRule>
  </conditionalFormatting>
  <conditionalFormatting sqref="AJ13">
    <cfRule type="cellIs" dxfId="74" priority="29946" stopIfTrue="1" operator="notEqual">
      <formula>"En cours"</formula>
    </cfRule>
  </conditionalFormatting>
  <conditionalFormatting sqref="AK13">
    <cfRule type="cellIs" dxfId="73" priority="29947" stopIfTrue="1" operator="equal">
      <formula>"En cours"</formula>
    </cfRule>
  </conditionalFormatting>
  <conditionalFormatting sqref="AK13">
    <cfRule type="cellIs" dxfId="72" priority="29948" stopIfTrue="1" operator="notEqual">
      <formula>"En cours"</formula>
    </cfRule>
  </conditionalFormatting>
  <conditionalFormatting sqref="AJ28">
    <cfRule type="cellIs" dxfId="71" priority="29949" stopIfTrue="1" operator="equal">
      <formula>"En cours"</formula>
    </cfRule>
  </conditionalFormatting>
  <conditionalFormatting sqref="AJ28">
    <cfRule type="cellIs" dxfId="70" priority="29950" stopIfTrue="1" operator="notEqual">
      <formula>"En cours"</formula>
    </cfRule>
  </conditionalFormatting>
  <conditionalFormatting sqref="AK28">
    <cfRule type="cellIs" dxfId="69" priority="29951" stopIfTrue="1" operator="equal">
      <formula>"En cours"</formula>
    </cfRule>
  </conditionalFormatting>
  <conditionalFormatting sqref="AK28">
    <cfRule type="cellIs" dxfId="68" priority="29952" stopIfTrue="1" operator="notEqual">
      <formula>"En cours"</formula>
    </cfRule>
  </conditionalFormatting>
  <conditionalFormatting sqref="AJ24">
    <cfRule type="cellIs" dxfId="67" priority="29953" stopIfTrue="1" operator="equal">
      <formula>"En cours"</formula>
    </cfRule>
    <cfRule type="cellIs" dxfId="66" priority="29954" stopIfTrue="1" operator="notEqual">
      <formula>"En cours"</formula>
    </cfRule>
  </conditionalFormatting>
  <conditionalFormatting sqref="AK24">
    <cfRule type="cellIs" dxfId="65" priority="29955" stopIfTrue="1" operator="equal">
      <formula>"En cours"</formula>
    </cfRule>
    <cfRule type="cellIs" dxfId="64" priority="29956" stopIfTrue="1" operator="notEqual">
      <formula>"En cours"</formula>
    </cfRule>
  </conditionalFormatting>
  <conditionalFormatting sqref="AJ31">
    <cfRule type="cellIs" dxfId="15" priority="30005" stopIfTrue="1" operator="equal">
      <formula>"En cours"</formula>
    </cfRule>
  </conditionalFormatting>
  <conditionalFormatting sqref="AJ31">
    <cfRule type="cellIs" dxfId="14" priority="30006" stopIfTrue="1" operator="notEqual">
      <formula>"En cours"</formula>
    </cfRule>
  </conditionalFormatting>
  <conditionalFormatting sqref="AK31">
    <cfRule type="cellIs" dxfId="13" priority="30007" stopIfTrue="1" operator="equal">
      <formula>"En cours"</formula>
    </cfRule>
  </conditionalFormatting>
  <conditionalFormatting sqref="AK31">
    <cfRule type="cellIs" dxfId="12" priority="30008" stopIfTrue="1" operator="notEqual">
      <formula>"En cours"</formula>
    </cfRule>
  </conditionalFormatting>
  <conditionalFormatting sqref="AJ10">
    <cfRule type="cellIs" dxfId="11" priority="30009" stopIfTrue="1" operator="equal">
      <formula>"En cours"</formula>
    </cfRule>
  </conditionalFormatting>
  <conditionalFormatting sqref="AJ10">
    <cfRule type="cellIs" dxfId="10" priority="30010" stopIfTrue="1" operator="notEqual">
      <formula>"En cours"</formula>
    </cfRule>
  </conditionalFormatting>
  <conditionalFormatting sqref="AK10">
    <cfRule type="cellIs" dxfId="9" priority="30011" stopIfTrue="1" operator="equal">
      <formula>"En cours"</formula>
    </cfRule>
  </conditionalFormatting>
  <conditionalFormatting sqref="AK10">
    <cfRule type="cellIs" dxfId="8" priority="30012" stopIfTrue="1" operator="notEqual">
      <formula>"En cours"</formula>
    </cfRule>
  </conditionalFormatting>
  <conditionalFormatting sqref="AJ21">
    <cfRule type="cellIs" dxfId="7" priority="30013" stopIfTrue="1" operator="equal">
      <formula>"En cours"</formula>
    </cfRule>
  </conditionalFormatting>
  <conditionalFormatting sqref="AJ21">
    <cfRule type="cellIs" dxfId="6" priority="30014" stopIfTrue="1" operator="notEqual">
      <formula>"En cours"</formula>
    </cfRule>
  </conditionalFormatting>
  <conditionalFormatting sqref="AK21">
    <cfRule type="cellIs" dxfId="5" priority="30015" stopIfTrue="1" operator="equal">
      <formula>"En cours"</formula>
    </cfRule>
  </conditionalFormatting>
  <conditionalFormatting sqref="AK21">
    <cfRule type="cellIs" dxfId="4" priority="30016" stopIfTrue="1" operator="notEqual">
      <formula>"En cours"</formula>
    </cfRule>
  </conditionalFormatting>
  <conditionalFormatting sqref="AJ12">
    <cfRule type="cellIs" dxfId="3" priority="30017" stopIfTrue="1" operator="equal">
      <formula>"En cours"</formula>
    </cfRule>
    <cfRule type="cellIs" dxfId="2" priority="30018" stopIfTrue="1" operator="notEqual">
      <formula>"En cours"</formula>
    </cfRule>
  </conditionalFormatting>
  <conditionalFormatting sqref="AK12">
    <cfRule type="cellIs" dxfId="1" priority="30019" stopIfTrue="1" operator="equal">
      <formula>"En cours"</formula>
    </cfRule>
    <cfRule type="cellIs" dxfId="0" priority="30020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304DF-8745-403C-9C75-C7315C704060}">
  <sheetPr codeName="Feuil3"/>
  <dimension ref="B4:F42"/>
  <sheetViews>
    <sheetView workbookViewId="0">
      <pane ySplit="4" topLeftCell="A78" activePane="bottomLeft" state="frozen"/>
      <selection pane="bottomLeft" activeCell="E38" sqref="E38"/>
    </sheetView>
  </sheetViews>
  <sheetFormatPr baseColWidth="10" defaultRowHeight="15" x14ac:dyDescent="0.25"/>
  <cols>
    <col min="1" max="1" width="2.85546875" customWidth="1"/>
    <col min="2" max="2" width="84.5703125" bestFit="1" customWidth="1"/>
    <col min="3" max="3" width="25" customWidth="1"/>
    <col min="4" max="4" width="29.85546875" customWidth="1"/>
    <col min="5" max="5" width="99" bestFit="1" customWidth="1"/>
    <col min="6" max="6" width="22.5703125" customWidth="1"/>
  </cols>
  <sheetData>
    <row r="4" spans="2:6" ht="31.5" customHeight="1" x14ac:dyDescent="0.5">
      <c r="B4" s="104" t="s">
        <v>70</v>
      </c>
      <c r="C4" s="104" t="s">
        <v>78</v>
      </c>
      <c r="D4" s="104" t="s">
        <v>79</v>
      </c>
      <c r="E4" s="104" t="s">
        <v>71</v>
      </c>
      <c r="F4" s="104" t="s">
        <v>72</v>
      </c>
    </row>
    <row r="5" spans="2:6" x14ac:dyDescent="0.25">
      <c r="B5" s="208" t="s">
        <v>102</v>
      </c>
      <c r="C5" s="208" t="s">
        <v>103</v>
      </c>
      <c r="D5" s="208" t="s">
        <v>103</v>
      </c>
      <c r="E5" s="208" t="s">
        <v>104</v>
      </c>
      <c r="F5" s="209">
        <v>45510.111770833333</v>
      </c>
    </row>
    <row r="6" spans="2:6" x14ac:dyDescent="0.25">
      <c r="B6" s="208" t="s">
        <v>105</v>
      </c>
      <c r="C6" s="208" t="s">
        <v>103</v>
      </c>
      <c r="D6" s="208" t="s">
        <v>103</v>
      </c>
      <c r="E6" s="208" t="s">
        <v>103</v>
      </c>
      <c r="F6" s="209">
        <v>45510.111770833333</v>
      </c>
    </row>
    <row r="7" spans="2:6" x14ac:dyDescent="0.25">
      <c r="B7" s="208" t="s">
        <v>106</v>
      </c>
      <c r="C7" s="208" t="s">
        <v>101</v>
      </c>
      <c r="D7" s="208" t="s">
        <v>101</v>
      </c>
      <c r="E7" s="208" t="s">
        <v>140</v>
      </c>
      <c r="F7" s="209">
        <v>45510.11178240741</v>
      </c>
    </row>
    <row r="8" spans="2:6" x14ac:dyDescent="0.25">
      <c r="B8" s="208" t="s">
        <v>102</v>
      </c>
      <c r="C8" s="208" t="s">
        <v>103</v>
      </c>
      <c r="D8" s="208" t="s">
        <v>103</v>
      </c>
      <c r="E8" s="208" t="s">
        <v>104</v>
      </c>
      <c r="F8" s="209">
        <v>45510.112337962964</v>
      </c>
    </row>
    <row r="9" spans="2:6" x14ac:dyDescent="0.25">
      <c r="B9" s="208" t="s">
        <v>105</v>
      </c>
      <c r="C9" s="208" t="s">
        <v>103</v>
      </c>
      <c r="D9" s="208" t="s">
        <v>103</v>
      </c>
      <c r="E9" s="208" t="s">
        <v>103</v>
      </c>
      <c r="F9" s="209">
        <v>45510.112337962964</v>
      </c>
    </row>
    <row r="10" spans="2:6" x14ac:dyDescent="0.25">
      <c r="B10" s="208" t="s">
        <v>106</v>
      </c>
      <c r="C10" s="208" t="s">
        <v>101</v>
      </c>
      <c r="D10" s="208" t="s">
        <v>101</v>
      </c>
      <c r="E10" s="208" t="s">
        <v>140</v>
      </c>
      <c r="F10" s="209">
        <v>45510.112337962964</v>
      </c>
    </row>
    <row r="11" spans="2:6" x14ac:dyDescent="0.25">
      <c r="B11" s="208" t="s">
        <v>102</v>
      </c>
      <c r="C11" s="208" t="s">
        <v>103</v>
      </c>
      <c r="D11" s="208" t="s">
        <v>103</v>
      </c>
      <c r="E11" s="208" t="s">
        <v>104</v>
      </c>
      <c r="F11" s="209">
        <v>45510.113206018519</v>
      </c>
    </row>
    <row r="12" spans="2:6" x14ac:dyDescent="0.25">
      <c r="B12" s="208" t="s">
        <v>105</v>
      </c>
      <c r="C12" s="208" t="s">
        <v>103</v>
      </c>
      <c r="D12" s="208" t="s">
        <v>103</v>
      </c>
      <c r="E12" s="208" t="s">
        <v>103</v>
      </c>
      <c r="F12" s="209">
        <v>45510.113206018519</v>
      </c>
    </row>
    <row r="13" spans="2:6" x14ac:dyDescent="0.25">
      <c r="B13" s="208" t="s">
        <v>106</v>
      </c>
      <c r="C13" s="208" t="s">
        <v>101</v>
      </c>
      <c r="D13" s="208" t="s">
        <v>101</v>
      </c>
      <c r="E13" s="208" t="s">
        <v>140</v>
      </c>
      <c r="F13" s="209">
        <v>45510.113206018519</v>
      </c>
    </row>
    <row r="14" spans="2:6" x14ac:dyDescent="0.25">
      <c r="B14" s="208" t="s">
        <v>128</v>
      </c>
      <c r="C14" s="208" t="s">
        <v>101</v>
      </c>
      <c r="D14" s="208" t="s">
        <v>91</v>
      </c>
      <c r="E14" s="208" t="s">
        <v>103</v>
      </c>
      <c r="F14" s="209">
        <v>45510.113240740742</v>
      </c>
    </row>
    <row r="15" spans="2:6" x14ac:dyDescent="0.25">
      <c r="B15" s="208" t="s">
        <v>128</v>
      </c>
      <c r="C15" s="208" t="s">
        <v>101</v>
      </c>
      <c r="D15" s="208" t="s">
        <v>92</v>
      </c>
      <c r="E15" s="208" t="s">
        <v>103</v>
      </c>
      <c r="F15" s="209">
        <v>45510.113240740742</v>
      </c>
    </row>
    <row r="16" spans="2:6" x14ac:dyDescent="0.25">
      <c r="B16" s="208" t="s">
        <v>105</v>
      </c>
      <c r="C16" s="208" t="s">
        <v>103</v>
      </c>
      <c r="D16" s="208" t="s">
        <v>103</v>
      </c>
      <c r="E16" s="208" t="s">
        <v>103</v>
      </c>
      <c r="F16" s="209">
        <v>45510.113287037035</v>
      </c>
    </row>
    <row r="17" spans="2:6" x14ac:dyDescent="0.25">
      <c r="B17" s="208" t="s">
        <v>129</v>
      </c>
      <c r="C17" s="208" t="s">
        <v>101</v>
      </c>
      <c r="D17" s="208" t="s">
        <v>101</v>
      </c>
      <c r="E17" s="208" t="s">
        <v>218</v>
      </c>
      <c r="F17" s="209">
        <v>45510.113287037035</v>
      </c>
    </row>
    <row r="18" spans="2:6" x14ac:dyDescent="0.25">
      <c r="B18" s="208" t="s">
        <v>130</v>
      </c>
      <c r="C18" s="208" t="s">
        <v>101</v>
      </c>
      <c r="D18" s="208" t="s">
        <v>91</v>
      </c>
      <c r="E18" s="208" t="s">
        <v>103</v>
      </c>
      <c r="F18" s="209">
        <v>45510.113310185188</v>
      </c>
    </row>
    <row r="19" spans="2:6" x14ac:dyDescent="0.25">
      <c r="B19" s="208" t="s">
        <v>130</v>
      </c>
      <c r="C19" s="208" t="s">
        <v>101</v>
      </c>
      <c r="D19" s="208" t="s">
        <v>92</v>
      </c>
      <c r="E19" s="208" t="s">
        <v>103</v>
      </c>
      <c r="F19" s="209">
        <v>45510.113310185188</v>
      </c>
    </row>
    <row r="20" spans="2:6" x14ac:dyDescent="0.25">
      <c r="B20" s="208" t="s">
        <v>105</v>
      </c>
      <c r="C20" s="208" t="s">
        <v>103</v>
      </c>
      <c r="D20" s="208" t="s">
        <v>103</v>
      </c>
      <c r="E20" s="208" t="s">
        <v>103</v>
      </c>
      <c r="F20" s="209">
        <v>45510.113344907404</v>
      </c>
    </row>
    <row r="21" spans="2:6" x14ac:dyDescent="0.25">
      <c r="B21" s="208" t="s">
        <v>131</v>
      </c>
      <c r="C21" s="208" t="s">
        <v>101</v>
      </c>
      <c r="D21" s="208" t="s">
        <v>101</v>
      </c>
      <c r="E21" s="208" t="s">
        <v>265</v>
      </c>
      <c r="F21" s="209">
        <v>45510.113356481481</v>
      </c>
    </row>
    <row r="22" spans="2:6" x14ac:dyDescent="0.25">
      <c r="B22" s="208" t="s">
        <v>132</v>
      </c>
      <c r="C22" s="208" t="s">
        <v>101</v>
      </c>
      <c r="D22" s="208" t="s">
        <v>91</v>
      </c>
      <c r="E22" s="208" t="s">
        <v>103</v>
      </c>
      <c r="F22" s="209">
        <v>45510.113379629627</v>
      </c>
    </row>
    <row r="23" spans="2:6" x14ac:dyDescent="0.25">
      <c r="B23" s="208" t="s">
        <v>132</v>
      </c>
      <c r="C23" s="208" t="s">
        <v>101</v>
      </c>
      <c r="D23" s="208" t="s">
        <v>92</v>
      </c>
      <c r="E23" s="208" t="s">
        <v>103</v>
      </c>
      <c r="F23" s="209">
        <v>45510.113391203704</v>
      </c>
    </row>
    <row r="24" spans="2:6" x14ac:dyDescent="0.25">
      <c r="B24" s="208" t="s">
        <v>105</v>
      </c>
      <c r="C24" s="208" t="s">
        <v>103</v>
      </c>
      <c r="D24" s="208" t="s">
        <v>103</v>
      </c>
      <c r="E24" s="208" t="s">
        <v>103</v>
      </c>
      <c r="F24" s="209">
        <v>45510.11341435185</v>
      </c>
    </row>
    <row r="25" spans="2:6" x14ac:dyDescent="0.25">
      <c r="B25" s="208" t="s">
        <v>133</v>
      </c>
      <c r="C25" s="208" t="s">
        <v>101</v>
      </c>
      <c r="D25" s="208" t="s">
        <v>101</v>
      </c>
      <c r="E25" s="208" t="s">
        <v>289</v>
      </c>
      <c r="F25" s="209">
        <v>45510.11341435185</v>
      </c>
    </row>
    <row r="26" spans="2:6" x14ac:dyDescent="0.25">
      <c r="B26" s="208" t="s">
        <v>134</v>
      </c>
      <c r="C26" s="208" t="s">
        <v>101</v>
      </c>
      <c r="D26" s="208" t="s">
        <v>91</v>
      </c>
      <c r="E26" s="208" t="s">
        <v>103</v>
      </c>
      <c r="F26" s="209">
        <v>45510.113437499997</v>
      </c>
    </row>
    <row r="27" spans="2:6" x14ac:dyDescent="0.25">
      <c r="B27" s="208" t="s">
        <v>134</v>
      </c>
      <c r="C27" s="208" t="s">
        <v>101</v>
      </c>
      <c r="D27" s="208" t="s">
        <v>92</v>
      </c>
      <c r="E27" s="208" t="s">
        <v>103</v>
      </c>
      <c r="F27" s="209">
        <v>45510.113449074073</v>
      </c>
    </row>
    <row r="28" spans="2:6" x14ac:dyDescent="0.25">
      <c r="B28" s="208" t="s">
        <v>105</v>
      </c>
      <c r="C28" s="208" t="s">
        <v>103</v>
      </c>
      <c r="D28" s="208" t="s">
        <v>103</v>
      </c>
      <c r="E28" s="208" t="s">
        <v>103</v>
      </c>
      <c r="F28" s="209">
        <v>45510.113483796296</v>
      </c>
    </row>
    <row r="29" spans="2:6" x14ac:dyDescent="0.25">
      <c r="B29" s="208" t="s">
        <v>135</v>
      </c>
      <c r="C29" s="208" t="s">
        <v>101</v>
      </c>
      <c r="D29" s="208" t="s">
        <v>101</v>
      </c>
      <c r="E29" s="208" t="s">
        <v>323</v>
      </c>
      <c r="F29" s="209">
        <v>45510.113483796296</v>
      </c>
    </row>
    <row r="30" spans="2:6" x14ac:dyDescent="0.25">
      <c r="B30" s="208" t="s">
        <v>136</v>
      </c>
      <c r="C30" s="208" t="s">
        <v>101</v>
      </c>
      <c r="D30" s="208" t="s">
        <v>91</v>
      </c>
      <c r="E30" s="208" t="s">
        <v>103</v>
      </c>
      <c r="F30" s="209">
        <v>45510.113506944443</v>
      </c>
    </row>
    <row r="31" spans="2:6" x14ac:dyDescent="0.25">
      <c r="B31" s="208" t="s">
        <v>136</v>
      </c>
      <c r="C31" s="208" t="s">
        <v>101</v>
      </c>
      <c r="D31" s="208" t="s">
        <v>92</v>
      </c>
      <c r="E31" s="208" t="s">
        <v>103</v>
      </c>
      <c r="F31" s="209">
        <v>45510.113506944443</v>
      </c>
    </row>
    <row r="32" spans="2:6" x14ac:dyDescent="0.25">
      <c r="B32" s="208" t="s">
        <v>105</v>
      </c>
      <c r="C32" s="208" t="s">
        <v>103</v>
      </c>
      <c r="D32" s="208" t="s">
        <v>103</v>
      </c>
      <c r="E32" s="208" t="s">
        <v>103</v>
      </c>
      <c r="F32" s="209">
        <v>45510.113530092596</v>
      </c>
    </row>
    <row r="33" spans="2:6" x14ac:dyDescent="0.25">
      <c r="B33" s="208" t="s">
        <v>137</v>
      </c>
      <c r="C33" s="208" t="s">
        <v>101</v>
      </c>
      <c r="D33" s="208" t="s">
        <v>101</v>
      </c>
      <c r="E33" s="208" t="s">
        <v>331</v>
      </c>
      <c r="F33" s="209">
        <v>45510.113541666666</v>
      </c>
    </row>
    <row r="34" spans="2:6" x14ac:dyDescent="0.25">
      <c r="B34" s="208" t="s">
        <v>138</v>
      </c>
      <c r="C34" s="208" t="s">
        <v>101</v>
      </c>
      <c r="D34" s="208" t="s">
        <v>91</v>
      </c>
      <c r="E34" s="208" t="s">
        <v>103</v>
      </c>
      <c r="F34" s="209">
        <v>45510.113553240742</v>
      </c>
    </row>
    <row r="35" spans="2:6" x14ac:dyDescent="0.25">
      <c r="B35" s="208" t="s">
        <v>138</v>
      </c>
      <c r="C35" s="208" t="s">
        <v>101</v>
      </c>
      <c r="D35" s="208" t="s">
        <v>92</v>
      </c>
      <c r="E35" s="208" t="s">
        <v>103</v>
      </c>
      <c r="F35" s="209">
        <v>45510.113564814812</v>
      </c>
    </row>
    <row r="36" spans="2:6" x14ac:dyDescent="0.25">
      <c r="B36" s="208" t="s">
        <v>105</v>
      </c>
      <c r="C36" s="208" t="s">
        <v>103</v>
      </c>
      <c r="D36" s="208" t="s">
        <v>103</v>
      </c>
      <c r="E36" s="208" t="s">
        <v>103</v>
      </c>
      <c r="F36" s="209">
        <v>45510.113587962966</v>
      </c>
    </row>
    <row r="37" spans="2:6" x14ac:dyDescent="0.25">
      <c r="B37" s="208" t="s">
        <v>139</v>
      </c>
      <c r="C37" s="208" t="s">
        <v>101</v>
      </c>
      <c r="D37" s="208" t="s">
        <v>101</v>
      </c>
      <c r="E37" s="208" t="s">
        <v>337</v>
      </c>
      <c r="F37" s="209">
        <v>45510.113587962966</v>
      </c>
    </row>
    <row r="38" spans="2:6" x14ac:dyDescent="0.25">
      <c r="B38" s="208" t="s">
        <v>338</v>
      </c>
      <c r="C38" s="208" t="s">
        <v>101</v>
      </c>
      <c r="D38" s="208" t="s">
        <v>101</v>
      </c>
      <c r="E38" s="208" t="s">
        <v>331</v>
      </c>
      <c r="F38" s="209">
        <v>45510.114652777775</v>
      </c>
    </row>
    <row r="39" spans="2:6" x14ac:dyDescent="0.25">
      <c r="B39" s="208" t="s">
        <v>128</v>
      </c>
      <c r="C39" s="208" t="s">
        <v>101</v>
      </c>
      <c r="D39" s="208" t="s">
        <v>91</v>
      </c>
      <c r="E39" s="208" t="s">
        <v>103</v>
      </c>
      <c r="F39" s="209">
        <v>45510.114675925928</v>
      </c>
    </row>
    <row r="40" spans="2:6" x14ac:dyDescent="0.25">
      <c r="B40" s="208" t="s">
        <v>128</v>
      </c>
      <c r="C40" s="208" t="s">
        <v>101</v>
      </c>
      <c r="D40" s="208" t="s">
        <v>92</v>
      </c>
      <c r="E40" s="208" t="s">
        <v>103</v>
      </c>
      <c r="F40" s="209">
        <v>45510.114687499998</v>
      </c>
    </row>
    <row r="41" spans="2:6" x14ac:dyDescent="0.25">
      <c r="B41" s="208" t="s">
        <v>339</v>
      </c>
      <c r="C41" s="208" t="s">
        <v>101</v>
      </c>
      <c r="D41" s="208" t="s">
        <v>101</v>
      </c>
      <c r="E41" s="208" t="s">
        <v>337</v>
      </c>
      <c r="F41" s="209">
        <v>45510.115046296298</v>
      </c>
    </row>
    <row r="42" spans="2:6" x14ac:dyDescent="0.25">
      <c r="B42" s="208" t="s">
        <v>339</v>
      </c>
      <c r="C42" s="208" t="s">
        <v>101</v>
      </c>
      <c r="D42" s="208" t="s">
        <v>101</v>
      </c>
      <c r="E42" s="208" t="s">
        <v>337</v>
      </c>
      <c r="F42" s="209">
        <v>45510.115428240744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History">
                <anchor moveWithCells="1" sizeWithCells="1">
                  <from>
                    <xdr:col>1</xdr:col>
                    <xdr:colOff>171450</xdr:colOff>
                    <xdr:row>0</xdr:row>
                    <xdr:rowOff>123825</xdr:rowOff>
                  </from>
                  <to>
                    <xdr:col>1</xdr:col>
                    <xdr:colOff>933450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D1AADD-15B1-4452-99CB-BC87FA0BAE7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73</vt:i4>
      </vt:variant>
    </vt:vector>
  </HeadingPairs>
  <TitlesOfParts>
    <vt:vector size="77" baseType="lpstr">
      <vt:lpstr>Import Resultats Tour</vt:lpstr>
      <vt:lpstr>Resultat LGS (HOMME)</vt:lpstr>
      <vt:lpstr>Resultat LGS (DAME)</vt:lpstr>
      <vt:lpstr>Historique Import</vt:lpstr>
      <vt:lpstr>cleanResult</vt:lpstr>
      <vt:lpstr>ClubBrut</vt:lpstr>
      <vt:lpstr>ClubNet</vt:lpstr>
      <vt:lpstr>colIndexBrut</vt:lpstr>
      <vt:lpstr>colIndexNet</vt:lpstr>
      <vt:lpstr>DateImport</vt:lpstr>
      <vt:lpstr>DateRencontre</vt:lpstr>
      <vt:lpstr>DebutTableauGeneralBrut</vt:lpstr>
      <vt:lpstr>DebutTableauGeneralNet</vt:lpstr>
      <vt:lpstr>export_Brut_Stabelford_filename</vt:lpstr>
      <vt:lpstr>export_Brut_Strokeplay_filename</vt:lpstr>
      <vt:lpstr>export_Net_Stabelford_filename</vt:lpstr>
      <vt:lpstr>export_Net_Strokeplay_filename</vt:lpstr>
      <vt:lpstr>GenreBrut</vt:lpstr>
      <vt:lpstr>GenreNet</vt:lpstr>
      <vt:lpstr>IndexBrut</vt:lpstr>
      <vt:lpstr>IndexNet</vt:lpstr>
      <vt:lpstr>'Resultat LGS (HOMME)'!indexType</vt:lpstr>
      <vt:lpstr>indexType</vt:lpstr>
      <vt:lpstr>'Import Resultats Tour'!ListTours</vt:lpstr>
      <vt:lpstr>'Resultat LGS (DAME)'!ListTours</vt:lpstr>
      <vt:lpstr>'Resultat LGS (HOMME)'!ListTours</vt:lpstr>
      <vt:lpstr>ListTours</vt:lpstr>
      <vt:lpstr>'Resultat LGS (DAME)'!ListType</vt:lpstr>
      <vt:lpstr>'Resultat LGS (HOMME)'!ListType</vt:lpstr>
      <vt:lpstr>ListType</vt:lpstr>
      <vt:lpstr>NbLignesBrut</vt:lpstr>
      <vt:lpstr>NbLignesNet</vt:lpstr>
      <vt:lpstr>NomBrut</vt:lpstr>
      <vt:lpstr>NomFeuilleCumuljoueur</vt:lpstr>
      <vt:lpstr>NomFeuilleResultatTour</vt:lpstr>
      <vt:lpstr>NomNet</vt:lpstr>
      <vt:lpstr>'Resultat LGS (DAME)'!PlayerType</vt:lpstr>
      <vt:lpstr>'Resultat LGS (HOMME)'!PlayerType</vt:lpstr>
      <vt:lpstr>PlayerType</vt:lpstr>
      <vt:lpstr>RangBrut</vt:lpstr>
      <vt:lpstr>RangNet</vt:lpstr>
      <vt:lpstr>ScoreBrut</vt:lpstr>
      <vt:lpstr>ScoreNet</vt:lpstr>
      <vt:lpstr>serie_1</vt:lpstr>
      <vt:lpstr>serie_2</vt:lpstr>
      <vt:lpstr>serie_3</vt:lpstr>
      <vt:lpstr>serie_4</vt:lpstr>
      <vt:lpstr>serie_5</vt:lpstr>
      <vt:lpstr>serie1IndexMax</vt:lpstr>
      <vt:lpstr>serie1IndexMin</vt:lpstr>
      <vt:lpstr>serie2IndexMax</vt:lpstr>
      <vt:lpstr>serie2IndexMin</vt:lpstr>
      <vt:lpstr>serie3IndexMax</vt:lpstr>
      <vt:lpstr>serie3IndexMin</vt:lpstr>
      <vt:lpstr>serie4IndexMax</vt:lpstr>
      <vt:lpstr>serie4IndexMin</vt:lpstr>
      <vt:lpstr>serie5IndexMax</vt:lpstr>
      <vt:lpstr>serie5IndexMin</vt:lpstr>
      <vt:lpstr>SerieBrut</vt:lpstr>
      <vt:lpstr>SerieNet</vt:lpstr>
      <vt:lpstr>'Resultat LGS (DAME)'!TableauResultat</vt:lpstr>
      <vt:lpstr>'Resultat LGS (HOMME)'!TableauResultat</vt:lpstr>
      <vt:lpstr>'Resultat LGS (DAME)'!TableauResultatEnd</vt:lpstr>
      <vt:lpstr>'Resultat LGS (HOMME)'!TableauResultatEnd</vt:lpstr>
      <vt:lpstr>'Resultat LGS (DAME)'!TableauResultatMaxBrut</vt:lpstr>
      <vt:lpstr>'Resultat LGS (HOMME)'!TableauResultatMaxBrut</vt:lpstr>
      <vt:lpstr>'Resultat LGS (DAME)'!TableauResultatMaxNet</vt:lpstr>
      <vt:lpstr>'Resultat LGS (HOMME)'!TableauResultatMaxNet</vt:lpstr>
      <vt:lpstr>'Resultat LGS (DAME)'!TableauResultatTotalBrut</vt:lpstr>
      <vt:lpstr>'Resultat LGS (HOMME)'!TableauResultatTotalBrut</vt:lpstr>
      <vt:lpstr>'Resultat LGS (DAME)'!TableauResultatTotalNet</vt:lpstr>
      <vt:lpstr>'Resultat LGS (HOMME)'!TableauResultatTotalNet</vt:lpstr>
      <vt:lpstr>Tour</vt:lpstr>
      <vt:lpstr>'Resultat LGS (DAME)'!TourSelected</vt:lpstr>
      <vt:lpstr>'Resultat LGS (HOMME)'!TourSelected</vt:lpstr>
      <vt:lpstr>TourSelected</vt:lpstr>
      <vt:lpstr>TypeIndex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jerome Offroy</dc:creator>
  <cp:lastModifiedBy>Jérôme Offroy</cp:lastModifiedBy>
  <dcterms:created xsi:type="dcterms:W3CDTF">2019-08-29T19:08:22Z</dcterms:created>
  <dcterms:modified xsi:type="dcterms:W3CDTF">2024-08-06T00:52:50Z</dcterms:modified>
</cp:coreProperties>
</file>