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0FE92930-2933-4F22-9F84-BE40A3CA0F9B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5" i="4" l="1"/>
  <c r="AK5" i="4" s="1"/>
  <c r="AD5" i="4"/>
  <c r="AJ5" i="4" s="1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E15" i="5"/>
  <c r="AK15" i="5" s="1"/>
  <c r="AD15" i="5"/>
  <c r="AJ15" i="5" s="1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E10" i="5"/>
  <c r="AK10" i="5" s="1"/>
  <c r="AD10" i="5"/>
  <c r="AJ10" i="5" s="1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E5" i="5"/>
  <c r="AK5" i="5" s="1"/>
  <c r="AD5" i="5"/>
  <c r="AJ5" i="5" s="1"/>
  <c r="AE18" i="4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6" i="4"/>
  <c r="AK6" i="4" s="1"/>
  <c r="AD6" i="4"/>
  <c r="AJ6" i="4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<sst xmlns="http://schemas.openxmlformats.org/spreadsheetml/2006/main" count="159" uniqueCount="101">
  <si>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</si>
  <si>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</si>
  <si>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</si>
  <si>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</si>
  <si>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</si>
  <si>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</si>
  <si>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</si>
  <si>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</si>
  <si>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</si>
  <si>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</si>
  <si>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</si>
  <si>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</si>
  <si>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</si>
  <si>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</si>
  <si>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</si>
  <si>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</si>
  <si>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</si>
  <si>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</si>
  <si>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</si>
  <si>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</si>
  <si>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</si>
  <si>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</si>
  <si>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</si>
  <si>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</si>
  <si>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</si>
  <si>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</si>
  <si>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</si>
  <si>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</si>
  <si>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</si>
  <si>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</si>
  <si>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</si>
  <si>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</si>
  <si>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</si>
  <si>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</si>
  <si>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</si>
  <si>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</si>
  <si>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</si>
  <si>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</si>
  <si>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</si>
  <si>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</si>
  <si>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</si>
  <si>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</si>
  <si>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</si>
  <si>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</si>
  <si>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</si>
  <si>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</si>
  <si>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</si>
  <si>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</si>
  <si>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</si>
  <si>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</si>
  <si>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</si>
  <si>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</si>
  <si>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</si>
  <si>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</si>
  <si>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</si>
  <si>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</si>
  <si>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</si>
  <si>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</si>
  <si>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</si>
  <si>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</si>
  <si>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</si>
  <si>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</si>
  <si>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</si>
  <si>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</si>
  <si>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</si>
  <si>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</si>
  <si>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</si>
  <si>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</si>
  <si>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</si>
  <si>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</si>
  <si>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</si>
  <si>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</si>
  <si>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</si>
  <si>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</si>
  <si>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</si>
  <si>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</si>
  <si>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</si>
  <si>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</si>
  <si>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</si>
  <si>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</si>
  <si>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</si>
  <si>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</si>
  <si>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</si>
  <si>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</si>
  <si>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</si>
  <si>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</si>
  <si>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</si>
  <si>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</si>
  <si>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</si>
  <si>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</si>
  <si>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</si>
  <si>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</si>
  <si>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</si>
  <si>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</si>
  <si>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</si>
  <si>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</si>
  <si>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</si>
  <si>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</si>
  <si>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</si>
  <si>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</si>
  <si>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C:\dev-data\golf\ASGLM LGS\LGS_Application\exrtractCsv\DIMANCHE 13, 18 TROUS GRANDE SEMAINE\2d. Extraction XLS globale_light_all.xlsx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</si>
</sst>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48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9" y="1238571"/>
          <a:ext cx="4139596" cy="1213005"/>
          <a:chOff x="8439150" y="1257300"/>
          <a:chExt cx="4581524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13"/>
            <a:ext cx="4533903" cy="1200138"/>
            <a:chOff x="7698064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1" cy="342898"/>
              <a:chOff x="7724775" y="1535062"/>
              <a:chExt cx="3871271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12" cy="333376"/>
                <a:chOff x="7724775" y="1544583"/>
                <a:chExt cx="1790712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12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1" y="1535062"/>
                <a:ext cx="1596265" cy="342898"/>
                <a:chOff x="9999781" y="1535062"/>
                <a:chExt cx="1596265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1" y="1535062"/>
                      <a:ext cx="1596265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855819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9</xdr:row>
          <xdr:rowOff>38100</xdr:rowOff>
        </xdr:from>
        <xdr:to>
          <xdr:col>9</xdr:col>
          <xdr:colOff>133350</xdr:colOff>
          <xdr:row>9</xdr:row>
          <xdr:rowOff>342900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11</xdr:row>
          <xdr:rowOff>85725</xdr:rowOff>
        </xdr:from>
        <xdr:to>
          <xdr:col>13</xdr:col>
          <xdr:colOff>638175</xdr:colOff>
          <xdr:row>12</xdr:row>
          <xdr:rowOff>171450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WIP extract from xls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47" tableBorderDxfId="946">
  <tableColumns count="4">
    <tableColumn id="1" xr3:uid="{86185E31-EC52-4ECC-BC3E-33C26B14F7C2}" name="Series" dataDxfId="945">
      <calculatedColumnFormula>_xlfn.CONCAT($V$7," ",V8)</calculatedColumnFormula>
    </tableColumn>
    <tableColumn id="2" xr3:uid="{788D8AF7-A2FF-4152-9FEC-3D734C94A926}" name="Serie" dataDxfId="944"/>
    <tableColumn id="3" xr3:uid="{98F42830-BCA0-414B-9FEF-78FCD5DB348B}" name="indexMin" dataDxfId="943"/>
    <tableColumn id="4" xr3:uid="{E4B94243-8BBE-45E2-AAC0-0D18C5A6695E}" name="indexMax" dataDxfId="9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1" dataDxfId="939" headerRowBorderDxfId="940" tableBorderDxfId="938">
  <tableColumns count="1">
    <tableColumn id="1" xr3:uid="{8473C081-0E42-4FA9-8C99-E5B7E8CD3209}" name="Tours" dataDxfId="937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36" headerRowBorderDxfId="935" tableBorderDxfId="934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33" dataDxfId="932" tableBorderDxfId="931">
  <autoFilter ref="D12:F13" xr:uid="{FCA0E9AA-8BD9-46EB-B07B-67F06EACCB48}"/>
  <tableColumns count="3">
    <tableColumn id="1" xr3:uid="{47561816-2B53-47F6-822E-269C476F3FFD}" name="Tour importé" dataDxfId="930"/>
    <tableColumn id="2" xr3:uid="{E2C3F515-D8A3-4FC2-B632-32DB6D91A198}" name="Type" dataDxfId="929">
      <calculatedColumnFormula>INDEX(TableauType[TYPE],Tableau6[[#This Row],[TypeIndex]])</calculatedColumnFormula>
    </tableColumn>
    <tableColumn id="3" xr3:uid="{617E6B65-5E58-4C9B-9DC4-488608A74753}" name="TypeIndex" dataDxfId="928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27" dataDxfId="926">
  <autoFilter ref="AD7:AD15" xr:uid="{9029752C-EFC9-4C60-BDF1-B009EF2F440D}"/>
  <tableColumns count="1">
    <tableColumn id="1" xr3:uid="{47EFDC89-116E-4E91-94A2-C4CDC0579100}" name="Fichiers" dataDxfId="9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24" headerRowBorderDxfId="923" tableBorderDxfId="922" totalsRowBorderDxfId="921">
  <autoFilter ref="U18:V22" xr:uid="{BBFFD128-4797-4BD5-B581-AA8D8277F8F3}"/>
  <tableColumns count="2">
    <tableColumn id="1" xr3:uid="{903026A3-43DC-4900-8F6E-2271BCA97B81}" name="Colonne1" dataDxfId="920"/>
    <tableColumn id="2" xr3:uid="{C9FC1671-8A12-4C52-9797-E5DB3A7B67E7}" name="Colonne2" dataDxfId="919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E21" sqref="E21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COUNTA(B17:B7704)</f>
        <v>0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0</v>
      </c>
      <c r="L3" s="60"/>
      <c r="M3" s="60" t="str">
        <f>_xlfn.CONCAT("Resultat LGS (",Tableau6[Type],")")</f>
        <v>Resultat LGS (DAME)</v>
      </c>
      <c r="N3" s="66"/>
      <c r="O3" s="67">
        <v>45509</v>
      </c>
      <c r="T3" t="s">
        <v>100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61" t="s">
        <v>81</v>
      </c>
      <c r="Q5" s="162"/>
      <c r="R5" s="16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4">
        <f>IF(Tableau6[Type]=INDEX(TableauType[],1),U19,V19)</f>
        <v>0</v>
      </c>
      <c r="Q6" s="165"/>
      <c r="R6" s="16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7" t="str">
        <f>IF(Tableau6[Type]=INDEX(TableauType[],1),U20,V20)</f>
        <v>export_DAME_Net_12.xlsx</v>
      </c>
      <c r="Q7" s="168"/>
      <c r="R7" s="169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70" t="str">
        <f>IF(Tableau6[Type]=INDEX(TableauType[],1),U21,V21)</f>
        <v>export_DAME_Brut_34.xlsx</v>
      </c>
      <c r="Q8" s="171"/>
      <c r="R8" s="172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3" t="str">
        <f>IF(Tableau6[Type]=INDEX(TableauType[],1),U22,V22)</f>
        <v>export_DAME_Net_34.xlsx</v>
      </c>
      <c r="Q9" s="174"/>
      <c r="R9" s="175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59" t="s">
        <v>1</v>
      </c>
      <c r="C15" s="159"/>
      <c r="D15" s="159"/>
      <c r="E15" s="159"/>
      <c r="F15" s="159"/>
      <c r="G15" s="159"/>
      <c r="H15" s="159"/>
      <c r="I15" s="159"/>
      <c r="K15" s="160" t="s">
        <v>2</v>
      </c>
      <c r="L15" s="160"/>
      <c r="M15" s="160"/>
      <c r="N15" s="160"/>
      <c r="O15" s="160"/>
      <c r="P15" s="160"/>
      <c r="Q15" s="160"/>
      <c r="R15" s="16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22" t="s">
        <v>89</v>
      </c>
      <c r="V18" s="123" t="s">
        <v>90</v>
      </c>
      <c r="W18" s="25"/>
      <c r="X18" s="156" t="s">
        <v>98</v>
      </c>
      <c r="Y18" s="157"/>
      <c r="Z18" s="157"/>
      <c r="AA18" s="157"/>
      <c r="AB18" s="158"/>
      <c r="AC18" s="25"/>
      <c r="AD18" s="25"/>
      <c r="AE18" s="28"/>
    </row>
    <row r="19" spans="6:31" x14ac:dyDescent="0.25">
      <c r="F19"/>
      <c r="O19"/>
      <c r="T19" s="23"/>
      <c r="U19" s="5"/>
      <c r="V19" s="124"/>
      <c r="W19" s="25"/>
      <c r="X19" s="152" t="s">
        <v>94</v>
      </c>
      <c r="Y19" s="150"/>
      <c r="Z19" s="150" t="s">
        <v>92</v>
      </c>
      <c r="AA19" s="150"/>
      <c r="AB19" s="151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5" t="s">
        <v>84</v>
      </c>
      <c r="W20" s="25"/>
      <c r="X20" s="153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6" t="s">
        <v>87</v>
      </c>
      <c r="V22" s="127" t="s">
        <v>88</v>
      </c>
      <c r="W22" s="25"/>
      <c r="X22" s="156" t="s">
        <v>99</v>
      </c>
      <c r="Y22" s="157"/>
      <c r="Z22" s="157"/>
      <c r="AA22" s="157"/>
      <c r="AB22" s="15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54" t="s">
        <v>96</v>
      </c>
      <c r="Y23" s="148"/>
      <c r="Z23" s="148" t="s">
        <v>97</v>
      </c>
      <c r="AA23" s="148"/>
      <c r="AB23" s="149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x14ac:dyDescent="0.25">
      <c r="F27"/>
      <c r="O27"/>
    </row>
    <row r="28" spans="6:31" x14ac:dyDescent="0.25">
      <c r="F28"/>
      <c r="O28"/>
    </row>
    <row r="29" spans="6:31" x14ac:dyDescent="0.25">
      <c r="F29"/>
      <c r="O29"/>
      <c r="W29">
        <v>0</v>
      </c>
    </row>
    <row r="30" spans="6:31" x14ac:dyDescent="0.25">
      <c r="F30"/>
      <c r="O30"/>
    </row>
    <row r="31" spans="6:31" x14ac:dyDescent="0.25">
      <c r="F31"/>
      <c r="O31"/>
    </row>
    <row r="32" spans="6:31" x14ac:dyDescent="0.25">
      <c r="F32"/>
      <c r="O32"/>
    </row>
    <row r="33" spans="6:15" x14ac:dyDescent="0.25">
      <c r="F33"/>
      <c r="O33"/>
    </row>
    <row r="34" spans="6:15" x14ac:dyDescent="0.25">
      <c r="F34"/>
      <c r="O34"/>
    </row>
    <row r="35" spans="6:15" x14ac:dyDescent="0.25">
      <c r="F35"/>
      <c r="O35"/>
    </row>
    <row r="36" spans="6:15" x14ac:dyDescent="0.25">
      <c r="F36"/>
      <c r="O36"/>
    </row>
    <row r="37" spans="6:15" x14ac:dyDescent="0.25">
      <c r="F37"/>
      <c r="O37"/>
    </row>
    <row r="38" spans="6:15" x14ac:dyDescent="0.25">
      <c r="F38"/>
      <c r="O38"/>
    </row>
    <row r="39" spans="6:15" x14ac:dyDescent="0.25">
      <c r="F39"/>
      <c r="O39"/>
    </row>
    <row r="40" spans="6:15" x14ac:dyDescent="0.25">
      <c r="F40"/>
      <c r="O40"/>
    </row>
    <row r="41" spans="6:15" x14ac:dyDescent="0.25">
      <c r="F41"/>
      <c r="O41"/>
    </row>
    <row r="42" spans="6:15" x14ac:dyDescent="0.25">
      <c r="F42"/>
      <c r="O42"/>
    </row>
    <row r="43" spans="6:15" x14ac:dyDescent="0.25">
      <c r="F43"/>
      <c r="O43"/>
    </row>
    <row r="44" spans="6:15" x14ac:dyDescent="0.25">
      <c r="F44"/>
      <c r="O44"/>
    </row>
    <row r="45" spans="6:15" x14ac:dyDescent="0.25">
      <c r="F45"/>
      <c r="O45"/>
    </row>
    <row r="46" spans="6:15" x14ac:dyDescent="0.25">
      <c r="F46"/>
      <c r="O46"/>
    </row>
    <row r="47" spans="6:15" x14ac:dyDescent="0.25">
      <c r="F47"/>
      <c r="O47"/>
    </row>
    <row r="48" spans="6:15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142875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6</xdr:col>
                    <xdr:colOff>257175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381000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autoFill="0" autoPict="0" macro="[0]!_xludf.extract">
                <anchor moveWithCells="1" sizeWithCells="1">
                  <from>
                    <xdr:col>12</xdr:col>
                    <xdr:colOff>571500</xdr:colOff>
                    <xdr:row>11</xdr:row>
                    <xdr:rowOff>85725</xdr:rowOff>
                  </from>
                  <to>
                    <xdr:col>13</xdr:col>
                    <xdr:colOff>638175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3" t="s">
        <v>18</v>
      </c>
      <c r="G2" s="184"/>
      <c r="H2" s="184"/>
      <c r="I2" s="185"/>
      <c r="J2" s="186" t="s">
        <v>19</v>
      </c>
      <c r="K2" s="187"/>
      <c r="L2" s="187"/>
      <c r="M2" s="188"/>
      <c r="N2" s="189" t="s">
        <v>20</v>
      </c>
      <c r="O2" s="184"/>
      <c r="P2" s="184"/>
      <c r="Q2" s="185"/>
      <c r="R2" s="186" t="s">
        <v>21</v>
      </c>
      <c r="S2" s="187"/>
      <c r="T2" s="187"/>
      <c r="U2" s="188"/>
      <c r="V2" s="189" t="s">
        <v>22</v>
      </c>
      <c r="W2" s="184"/>
      <c r="X2" s="184"/>
      <c r="Y2" s="185"/>
      <c r="Z2" s="186" t="s">
        <v>23</v>
      </c>
      <c r="AA2" s="187"/>
      <c r="AB2" s="187"/>
      <c r="AC2" s="190"/>
      <c r="AD2" s="176" t="s">
        <v>82</v>
      </c>
      <c r="AE2" s="177"/>
      <c r="AF2" s="178" t="s">
        <v>17</v>
      </c>
      <c r="AG2" s="179"/>
      <c r="AH2" s="179"/>
      <c r="AI2" s="180"/>
      <c r="AJ2" s="181" t="s">
        <v>25</v>
      </c>
      <c r="AK2" s="18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ref="AD6:AD20" si="0">IF(MIN(F6,J6,N6,R6,V6,Z6)&lt;&gt;0,MIN(F6,J6,N6,R6,V6,Z6),"")</f>
        <v/>
      </c>
      <c r="AE6" s="147" t="str">
        <f t="shared" ref="AE6:AE20" si="1">IF(MIN(H6,L6,P6,T6,X6,AB6)&lt;&gt;0,MIN(H6,L6,P6,T6,X6,AB6),"")</f>
        <v/>
      </c>
      <c r="AF6" s="147"/>
      <c r="AG6" s="146"/>
      <c r="AH6" s="147"/>
      <c r="AI6" s="146"/>
      <c r="AJ6" s="145" t="str">
        <f t="shared" ref="AJ6:AJ20" si="2">IF(AD6="","",IF(ISBLANK(AF6),"En cours",AD6+AF6))</f>
        <v/>
      </c>
      <c r="AK6" s="145" t="str">
        <f t="shared" ref="AK6:AK20" si="3"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918" priority="19757" stopIfTrue="1" operator="equal">
      <formula>"En cours"</formula>
    </cfRule>
  </conditionalFormatting>
  <conditionalFormatting sqref="AJ178">
    <cfRule type="cellIs" dxfId="917" priority="19758" stopIfTrue="1" operator="notEqual">
      <formula>"En cours"</formula>
    </cfRule>
  </conditionalFormatting>
  <conditionalFormatting sqref="AK178">
    <cfRule type="cellIs" dxfId="916" priority="19759" stopIfTrue="1" operator="equal">
      <formula>"En cours"</formula>
    </cfRule>
  </conditionalFormatting>
  <conditionalFormatting sqref="AK178">
    <cfRule type="cellIs" dxfId="915" priority="19760" stopIfTrue="1" operator="notEqual">
      <formula>"En cours"</formula>
    </cfRule>
  </conditionalFormatting>
  <conditionalFormatting sqref="AJ177">
    <cfRule type="cellIs" dxfId="914" priority="20525" stopIfTrue="1" operator="equal">
      <formula>"En cours"</formula>
    </cfRule>
  </conditionalFormatting>
  <conditionalFormatting sqref="AJ177">
    <cfRule type="cellIs" dxfId="913" priority="20526" stopIfTrue="1" operator="notEqual">
      <formula>"En cours"</formula>
    </cfRule>
  </conditionalFormatting>
  <conditionalFormatting sqref="AK177">
    <cfRule type="cellIs" dxfId="912" priority="20527" stopIfTrue="1" operator="equal">
      <formula>"En cours"</formula>
    </cfRule>
  </conditionalFormatting>
  <conditionalFormatting sqref="AK177">
    <cfRule type="cellIs" dxfId="911" priority="20528" stopIfTrue="1" operator="notEqual">
      <formula>"En cours"</formula>
    </cfRule>
  </conditionalFormatting>
  <conditionalFormatting sqref="AJ176">
    <cfRule type="cellIs" dxfId="910" priority="20733" stopIfTrue="1" operator="equal">
      <formula>"En cours"</formula>
    </cfRule>
  </conditionalFormatting>
  <conditionalFormatting sqref="AJ176">
    <cfRule type="cellIs" dxfId="909" priority="20734" stopIfTrue="1" operator="notEqual">
      <formula>"En cours"</formula>
    </cfRule>
  </conditionalFormatting>
  <conditionalFormatting sqref="AK176">
    <cfRule type="cellIs" dxfId="908" priority="20735" stopIfTrue="1" operator="equal">
      <formula>"En cours"</formula>
    </cfRule>
  </conditionalFormatting>
  <conditionalFormatting sqref="AK176">
    <cfRule type="cellIs" dxfId="907" priority="20736" stopIfTrue="1" operator="notEqual">
      <formula>"En cours"</formula>
    </cfRule>
  </conditionalFormatting>
  <conditionalFormatting sqref="AJ179">
    <cfRule type="cellIs" dxfId="906" priority="20981" stopIfTrue="1" operator="equal">
      <formula>"En cours"</formula>
    </cfRule>
  </conditionalFormatting>
  <conditionalFormatting sqref="AJ179">
    <cfRule type="cellIs" dxfId="905" priority="20982" stopIfTrue="1" operator="notEqual">
      <formula>"En cours"</formula>
    </cfRule>
  </conditionalFormatting>
  <conditionalFormatting sqref="AK179">
    <cfRule type="cellIs" dxfId="904" priority="20983" stopIfTrue="1" operator="equal">
      <formula>"En cours"</formula>
    </cfRule>
  </conditionalFormatting>
  <conditionalFormatting sqref="AK179">
    <cfRule type="cellIs" dxfId="903" priority="20984" stopIfTrue="1" operator="notEqual">
      <formula>"En cours"</formula>
    </cfRule>
  </conditionalFormatting>
  <conditionalFormatting sqref="AJ139">
    <cfRule type="cellIs" dxfId="902" priority="46473" stopIfTrue="1" operator="equal">
      <formula>"En cours"</formula>
    </cfRule>
  </conditionalFormatting>
  <conditionalFormatting sqref="AJ139">
    <cfRule type="cellIs" dxfId="901" priority="46474" stopIfTrue="1" operator="notEqual">
      <formula>"En cours"</formula>
    </cfRule>
  </conditionalFormatting>
  <conditionalFormatting sqref="AK139">
    <cfRule type="cellIs" dxfId="900" priority="46475" stopIfTrue="1" operator="equal">
      <formula>"En cours"</formula>
    </cfRule>
  </conditionalFormatting>
  <conditionalFormatting sqref="AK139">
    <cfRule type="cellIs" dxfId="899" priority="46476" stopIfTrue="1" operator="notEqual">
      <formula>"En cours"</formula>
    </cfRule>
  </conditionalFormatting>
  <conditionalFormatting sqref="AJ134">
    <cfRule type="cellIs" dxfId="898" priority="46573" stopIfTrue="1" operator="equal">
      <formula>"En cours"</formula>
    </cfRule>
  </conditionalFormatting>
  <conditionalFormatting sqref="AJ134">
    <cfRule type="cellIs" dxfId="897" priority="46574" stopIfTrue="1" operator="notEqual">
      <formula>"En cours"</formula>
    </cfRule>
  </conditionalFormatting>
  <conditionalFormatting sqref="AK134">
    <cfRule type="cellIs" dxfId="896" priority="46575" stopIfTrue="1" operator="equal">
      <formula>"En cours"</formula>
    </cfRule>
  </conditionalFormatting>
  <conditionalFormatting sqref="AK134">
    <cfRule type="cellIs" dxfId="895" priority="46576" stopIfTrue="1" operator="notEqual">
      <formula>"En cours"</formula>
    </cfRule>
  </conditionalFormatting>
  <conditionalFormatting sqref="AJ162">
    <cfRule type="cellIs" dxfId="894" priority="47081" stopIfTrue="1" operator="equal">
      <formula>"En cours"</formula>
    </cfRule>
  </conditionalFormatting>
  <conditionalFormatting sqref="AJ162">
    <cfRule type="cellIs" dxfId="893" priority="47082" stopIfTrue="1" operator="notEqual">
      <formula>"En cours"</formula>
    </cfRule>
  </conditionalFormatting>
  <conditionalFormatting sqref="AK162">
    <cfRule type="cellIs" dxfId="892" priority="47083" stopIfTrue="1" operator="equal">
      <formula>"En cours"</formula>
    </cfRule>
  </conditionalFormatting>
  <conditionalFormatting sqref="AK162">
    <cfRule type="cellIs" dxfId="891" priority="47084" stopIfTrue="1" operator="notEqual">
      <formula>"En cours"</formula>
    </cfRule>
  </conditionalFormatting>
  <conditionalFormatting sqref="AJ126">
    <cfRule type="cellIs" dxfId="890" priority="47129" stopIfTrue="1" operator="equal">
      <formula>"En cours"</formula>
    </cfRule>
  </conditionalFormatting>
  <conditionalFormatting sqref="AJ126">
    <cfRule type="cellIs" dxfId="889" priority="47130" stopIfTrue="1" operator="notEqual">
      <formula>"En cours"</formula>
    </cfRule>
  </conditionalFormatting>
  <conditionalFormatting sqref="AK126">
    <cfRule type="cellIs" dxfId="888" priority="47131" stopIfTrue="1" operator="equal">
      <formula>"En cours"</formula>
    </cfRule>
  </conditionalFormatting>
  <conditionalFormatting sqref="AK126">
    <cfRule type="cellIs" dxfId="887" priority="47132" stopIfTrue="1" operator="notEqual">
      <formula>"En cours"</formula>
    </cfRule>
  </conditionalFormatting>
  <conditionalFormatting sqref="AJ148">
    <cfRule type="cellIs" dxfId="886" priority="47169" stopIfTrue="1" operator="equal">
      <formula>"En cours"</formula>
    </cfRule>
  </conditionalFormatting>
  <conditionalFormatting sqref="AJ148">
    <cfRule type="cellIs" dxfId="885" priority="47170" stopIfTrue="1" operator="notEqual">
      <formula>"En cours"</formula>
    </cfRule>
  </conditionalFormatting>
  <conditionalFormatting sqref="AK148">
    <cfRule type="cellIs" dxfId="884" priority="47171" stopIfTrue="1" operator="equal">
      <formula>"En cours"</formula>
    </cfRule>
  </conditionalFormatting>
  <conditionalFormatting sqref="AK148">
    <cfRule type="cellIs" dxfId="883" priority="47172" stopIfTrue="1" operator="notEqual">
      <formula>"En cours"</formula>
    </cfRule>
  </conditionalFormatting>
  <conditionalFormatting sqref="AJ154">
    <cfRule type="cellIs" dxfId="882" priority="47221" stopIfTrue="1" operator="equal">
      <formula>"En cours"</formula>
    </cfRule>
  </conditionalFormatting>
  <conditionalFormatting sqref="AJ154">
    <cfRule type="cellIs" dxfId="881" priority="47222" stopIfTrue="1" operator="notEqual">
      <formula>"En cours"</formula>
    </cfRule>
  </conditionalFormatting>
  <conditionalFormatting sqref="AK154">
    <cfRule type="cellIs" dxfId="880" priority="47223" stopIfTrue="1" operator="equal">
      <formula>"En cours"</formula>
    </cfRule>
  </conditionalFormatting>
  <conditionalFormatting sqref="AK154">
    <cfRule type="cellIs" dxfId="879" priority="47224" stopIfTrue="1" operator="notEqual">
      <formula>"En cours"</formula>
    </cfRule>
  </conditionalFormatting>
  <conditionalFormatting sqref="AJ116">
    <cfRule type="cellIs" dxfId="878" priority="47237" stopIfTrue="1" operator="equal">
      <formula>"En cours"</formula>
    </cfRule>
  </conditionalFormatting>
  <conditionalFormatting sqref="AJ116">
    <cfRule type="cellIs" dxfId="877" priority="47238" stopIfTrue="1" operator="notEqual">
      <formula>"En cours"</formula>
    </cfRule>
  </conditionalFormatting>
  <conditionalFormatting sqref="AK116">
    <cfRule type="cellIs" dxfId="876" priority="47239" stopIfTrue="1" operator="equal">
      <formula>"En cours"</formula>
    </cfRule>
  </conditionalFormatting>
  <conditionalFormatting sqref="AK116">
    <cfRule type="cellIs" dxfId="875" priority="47240" stopIfTrue="1" operator="notEqual">
      <formula>"En cours"</formula>
    </cfRule>
  </conditionalFormatting>
  <conditionalFormatting sqref="AJ106">
    <cfRule type="cellIs" dxfId="874" priority="47249" stopIfTrue="1" operator="equal">
      <formula>"En cours"</formula>
    </cfRule>
  </conditionalFormatting>
  <conditionalFormatting sqref="AJ106">
    <cfRule type="cellIs" dxfId="873" priority="47250" stopIfTrue="1" operator="notEqual">
      <formula>"En cours"</formula>
    </cfRule>
  </conditionalFormatting>
  <conditionalFormatting sqref="AK106">
    <cfRule type="cellIs" dxfId="872" priority="47251" stopIfTrue="1" operator="equal">
      <formula>"En cours"</formula>
    </cfRule>
  </conditionalFormatting>
  <conditionalFormatting sqref="AK106">
    <cfRule type="cellIs" dxfId="871" priority="47252" stopIfTrue="1" operator="notEqual">
      <formula>"En cours"</formula>
    </cfRule>
  </conditionalFormatting>
  <conditionalFormatting sqref="AJ133">
    <cfRule type="cellIs" dxfId="870" priority="47253" stopIfTrue="1" operator="equal">
      <formula>"En cours"</formula>
    </cfRule>
  </conditionalFormatting>
  <conditionalFormatting sqref="AJ133">
    <cfRule type="cellIs" dxfId="869" priority="47254" stopIfTrue="1" operator="notEqual">
      <formula>"En cours"</formula>
    </cfRule>
  </conditionalFormatting>
  <conditionalFormatting sqref="AK133">
    <cfRule type="cellIs" dxfId="868" priority="47255" stopIfTrue="1" operator="equal">
      <formula>"En cours"</formula>
    </cfRule>
  </conditionalFormatting>
  <conditionalFormatting sqref="AK133">
    <cfRule type="cellIs" dxfId="867" priority="47256" stopIfTrue="1" operator="notEqual">
      <formula>"En cours"</formula>
    </cfRule>
  </conditionalFormatting>
  <conditionalFormatting sqref="AJ107">
    <cfRule type="cellIs" dxfId="866" priority="47273" stopIfTrue="1" operator="equal">
      <formula>"En cours"</formula>
    </cfRule>
  </conditionalFormatting>
  <conditionalFormatting sqref="AJ107">
    <cfRule type="cellIs" dxfId="865" priority="47274" stopIfTrue="1" operator="notEqual">
      <formula>"En cours"</formula>
    </cfRule>
  </conditionalFormatting>
  <conditionalFormatting sqref="AK107">
    <cfRule type="cellIs" dxfId="864" priority="47275" stopIfTrue="1" operator="equal">
      <formula>"En cours"</formula>
    </cfRule>
  </conditionalFormatting>
  <conditionalFormatting sqref="AK107">
    <cfRule type="cellIs" dxfId="863" priority="47276" stopIfTrue="1" operator="notEqual">
      <formula>"En cours"</formula>
    </cfRule>
  </conditionalFormatting>
  <conditionalFormatting sqref="AJ125">
    <cfRule type="cellIs" dxfId="862" priority="47285" stopIfTrue="1" operator="equal">
      <formula>"En cours"</formula>
    </cfRule>
  </conditionalFormatting>
  <conditionalFormatting sqref="AJ125">
    <cfRule type="cellIs" dxfId="861" priority="47286" stopIfTrue="1" operator="notEqual">
      <formula>"En cours"</formula>
    </cfRule>
  </conditionalFormatting>
  <conditionalFormatting sqref="AK125">
    <cfRule type="cellIs" dxfId="860" priority="47287" stopIfTrue="1" operator="equal">
      <formula>"En cours"</formula>
    </cfRule>
  </conditionalFormatting>
  <conditionalFormatting sqref="AK125">
    <cfRule type="cellIs" dxfId="859" priority="47288" stopIfTrue="1" operator="notEqual">
      <formula>"En cours"</formula>
    </cfRule>
  </conditionalFormatting>
  <conditionalFormatting sqref="AJ112">
    <cfRule type="cellIs" dxfId="858" priority="47301" stopIfTrue="1" operator="equal">
      <formula>"En cours"</formula>
    </cfRule>
  </conditionalFormatting>
  <conditionalFormatting sqref="AJ112">
    <cfRule type="cellIs" dxfId="857" priority="47302" stopIfTrue="1" operator="notEqual">
      <formula>"En cours"</formula>
    </cfRule>
  </conditionalFormatting>
  <conditionalFormatting sqref="AK112">
    <cfRule type="cellIs" dxfId="856" priority="47303" stopIfTrue="1" operator="equal">
      <formula>"En cours"</formula>
    </cfRule>
  </conditionalFormatting>
  <conditionalFormatting sqref="AK112">
    <cfRule type="cellIs" dxfId="855" priority="47304" stopIfTrue="1" operator="notEqual">
      <formula>"En cours"</formula>
    </cfRule>
  </conditionalFormatting>
  <conditionalFormatting sqref="AJ172">
    <cfRule type="cellIs" dxfId="854" priority="47313" stopIfTrue="1" operator="equal">
      <formula>"En cours"</formula>
    </cfRule>
  </conditionalFormatting>
  <conditionalFormatting sqref="AJ172">
    <cfRule type="cellIs" dxfId="853" priority="47314" stopIfTrue="1" operator="notEqual">
      <formula>"En cours"</formula>
    </cfRule>
  </conditionalFormatting>
  <conditionalFormatting sqref="AK172">
    <cfRule type="cellIs" dxfId="852" priority="47315" stopIfTrue="1" operator="equal">
      <formula>"En cours"</formula>
    </cfRule>
  </conditionalFormatting>
  <conditionalFormatting sqref="AK172">
    <cfRule type="cellIs" dxfId="851" priority="47316" stopIfTrue="1" operator="notEqual">
      <formula>"En cours"</formula>
    </cfRule>
  </conditionalFormatting>
  <conditionalFormatting sqref="AJ118">
    <cfRule type="cellIs" dxfId="850" priority="47673" stopIfTrue="1" operator="equal">
      <formula>"En cours"</formula>
    </cfRule>
  </conditionalFormatting>
  <conditionalFormatting sqref="AJ118">
    <cfRule type="cellIs" dxfId="849" priority="47674" stopIfTrue="1" operator="notEqual">
      <formula>"En cours"</formula>
    </cfRule>
  </conditionalFormatting>
  <conditionalFormatting sqref="AK118">
    <cfRule type="cellIs" dxfId="848" priority="47675" stopIfTrue="1" operator="equal">
      <formula>"En cours"</formula>
    </cfRule>
  </conditionalFormatting>
  <conditionalFormatting sqref="AK118">
    <cfRule type="cellIs" dxfId="847" priority="47676" stopIfTrue="1" operator="notEqual">
      <formula>"En cours"</formula>
    </cfRule>
  </conditionalFormatting>
  <conditionalFormatting sqref="AJ165">
    <cfRule type="cellIs" dxfId="846" priority="47705" stopIfTrue="1" operator="equal">
      <formula>"En cours"</formula>
    </cfRule>
  </conditionalFormatting>
  <conditionalFormatting sqref="AJ165">
    <cfRule type="cellIs" dxfId="845" priority="47706" stopIfTrue="1" operator="notEqual">
      <formula>"En cours"</formula>
    </cfRule>
  </conditionalFormatting>
  <conditionalFormatting sqref="AK165">
    <cfRule type="cellIs" dxfId="844" priority="47707" stopIfTrue="1" operator="equal">
      <formula>"En cours"</formula>
    </cfRule>
  </conditionalFormatting>
  <conditionalFormatting sqref="AK165">
    <cfRule type="cellIs" dxfId="843" priority="47708" stopIfTrue="1" operator="notEqual">
      <formula>"En cours"</formula>
    </cfRule>
  </conditionalFormatting>
  <conditionalFormatting sqref="AJ164">
    <cfRule type="cellIs" dxfId="842" priority="47733" stopIfTrue="1" operator="equal">
      <formula>"En cours"</formula>
    </cfRule>
  </conditionalFormatting>
  <conditionalFormatting sqref="AJ164">
    <cfRule type="cellIs" dxfId="841" priority="47734" stopIfTrue="1" operator="notEqual">
      <formula>"En cours"</formula>
    </cfRule>
  </conditionalFormatting>
  <conditionalFormatting sqref="AK164">
    <cfRule type="cellIs" dxfId="840" priority="47735" stopIfTrue="1" operator="equal">
      <formula>"En cours"</formula>
    </cfRule>
  </conditionalFormatting>
  <conditionalFormatting sqref="AK164">
    <cfRule type="cellIs" dxfId="839" priority="47736" stopIfTrue="1" operator="notEqual">
      <formula>"En cours"</formula>
    </cfRule>
  </conditionalFormatting>
  <conditionalFormatting sqref="AJ150">
    <cfRule type="cellIs" dxfId="838" priority="47745" stopIfTrue="1" operator="equal">
      <formula>"En cours"</formula>
    </cfRule>
  </conditionalFormatting>
  <conditionalFormatting sqref="AJ150">
    <cfRule type="cellIs" dxfId="837" priority="47746" stopIfTrue="1" operator="notEqual">
      <formula>"En cours"</formula>
    </cfRule>
  </conditionalFormatting>
  <conditionalFormatting sqref="AK150">
    <cfRule type="cellIs" dxfId="836" priority="47747" stopIfTrue="1" operator="equal">
      <formula>"En cours"</formula>
    </cfRule>
  </conditionalFormatting>
  <conditionalFormatting sqref="AK150">
    <cfRule type="cellIs" dxfId="835" priority="47748" stopIfTrue="1" operator="notEqual">
      <formula>"En cours"</formula>
    </cfRule>
  </conditionalFormatting>
  <conditionalFormatting sqref="AJ173">
    <cfRule type="cellIs" dxfId="834" priority="47805" stopIfTrue="1" operator="equal">
      <formula>"En cours"</formula>
    </cfRule>
  </conditionalFormatting>
  <conditionalFormatting sqref="AJ173">
    <cfRule type="cellIs" dxfId="833" priority="47806" stopIfTrue="1" operator="notEqual">
      <formula>"En cours"</formula>
    </cfRule>
  </conditionalFormatting>
  <conditionalFormatting sqref="AK173">
    <cfRule type="cellIs" dxfId="832" priority="47807" stopIfTrue="1" operator="equal">
      <formula>"En cours"</formula>
    </cfRule>
  </conditionalFormatting>
  <conditionalFormatting sqref="AK173">
    <cfRule type="cellIs" dxfId="831" priority="47808" stopIfTrue="1" operator="notEqual">
      <formula>"En cours"</formula>
    </cfRule>
  </conditionalFormatting>
  <conditionalFormatting sqref="AJ168">
    <cfRule type="cellIs" dxfId="830" priority="48149" stopIfTrue="1" operator="equal">
      <formula>"En cours"</formula>
    </cfRule>
  </conditionalFormatting>
  <conditionalFormatting sqref="AJ168">
    <cfRule type="cellIs" dxfId="829" priority="48150" stopIfTrue="1" operator="notEqual">
      <formula>"En cours"</formula>
    </cfRule>
  </conditionalFormatting>
  <conditionalFormatting sqref="AK168">
    <cfRule type="cellIs" dxfId="828" priority="48151" stopIfTrue="1" operator="equal">
      <formula>"En cours"</formula>
    </cfRule>
  </conditionalFormatting>
  <conditionalFormatting sqref="AK168">
    <cfRule type="cellIs" dxfId="827" priority="48152" stopIfTrue="1" operator="notEqual">
      <formula>"En cours"</formula>
    </cfRule>
  </conditionalFormatting>
  <conditionalFormatting sqref="AJ145">
    <cfRule type="cellIs" dxfId="826" priority="48253" stopIfTrue="1" operator="equal">
      <formula>"En cours"</formula>
    </cfRule>
  </conditionalFormatting>
  <conditionalFormatting sqref="AJ145">
    <cfRule type="cellIs" dxfId="825" priority="48254" stopIfTrue="1" operator="notEqual">
      <formula>"En cours"</formula>
    </cfRule>
  </conditionalFormatting>
  <conditionalFormatting sqref="AK145">
    <cfRule type="cellIs" dxfId="824" priority="48255" stopIfTrue="1" operator="equal">
      <formula>"En cours"</formula>
    </cfRule>
  </conditionalFormatting>
  <conditionalFormatting sqref="AK145">
    <cfRule type="cellIs" dxfId="823" priority="48256" stopIfTrue="1" operator="notEqual">
      <formula>"En cours"</formula>
    </cfRule>
  </conditionalFormatting>
  <conditionalFormatting sqref="AJ149">
    <cfRule type="cellIs" dxfId="822" priority="48689" stopIfTrue="1" operator="equal">
      <formula>"En cours"</formula>
    </cfRule>
  </conditionalFormatting>
  <conditionalFormatting sqref="AJ149">
    <cfRule type="cellIs" dxfId="821" priority="48690" stopIfTrue="1" operator="notEqual">
      <formula>"En cours"</formula>
    </cfRule>
  </conditionalFormatting>
  <conditionalFormatting sqref="AK149">
    <cfRule type="cellIs" dxfId="820" priority="48691" stopIfTrue="1" operator="equal">
      <formula>"En cours"</formula>
    </cfRule>
  </conditionalFormatting>
  <conditionalFormatting sqref="AK149">
    <cfRule type="cellIs" dxfId="819" priority="48692" stopIfTrue="1" operator="notEqual">
      <formula>"En cours"</formula>
    </cfRule>
  </conditionalFormatting>
  <conditionalFormatting sqref="AJ127">
    <cfRule type="cellIs" dxfId="818" priority="48757" stopIfTrue="1" operator="equal">
      <formula>"En cours"</formula>
    </cfRule>
  </conditionalFormatting>
  <conditionalFormatting sqref="AJ127">
    <cfRule type="cellIs" dxfId="817" priority="48758" stopIfTrue="1" operator="notEqual">
      <formula>"En cours"</formula>
    </cfRule>
  </conditionalFormatting>
  <conditionalFormatting sqref="AK127">
    <cfRule type="cellIs" dxfId="816" priority="48759" stopIfTrue="1" operator="equal">
      <formula>"En cours"</formula>
    </cfRule>
  </conditionalFormatting>
  <conditionalFormatting sqref="AK127">
    <cfRule type="cellIs" dxfId="815" priority="48760" stopIfTrue="1" operator="notEqual">
      <formula>"En cours"</formula>
    </cfRule>
  </conditionalFormatting>
  <conditionalFormatting sqref="AJ122">
    <cfRule type="cellIs" dxfId="814" priority="48765" stopIfTrue="1" operator="equal">
      <formula>"En cours"</formula>
    </cfRule>
  </conditionalFormatting>
  <conditionalFormatting sqref="AJ122">
    <cfRule type="cellIs" dxfId="813" priority="48766" stopIfTrue="1" operator="notEqual">
      <formula>"En cours"</formula>
    </cfRule>
  </conditionalFormatting>
  <conditionalFormatting sqref="AK122">
    <cfRule type="cellIs" dxfId="812" priority="48767" stopIfTrue="1" operator="equal">
      <formula>"En cours"</formula>
    </cfRule>
  </conditionalFormatting>
  <conditionalFormatting sqref="AK122">
    <cfRule type="cellIs" dxfId="811" priority="48768" stopIfTrue="1" operator="notEqual">
      <formula>"En cours"</formula>
    </cfRule>
  </conditionalFormatting>
  <conditionalFormatting sqref="AJ123">
    <cfRule type="cellIs" dxfId="810" priority="48769" stopIfTrue="1" operator="equal">
      <formula>"En cours"</formula>
    </cfRule>
  </conditionalFormatting>
  <conditionalFormatting sqref="AJ123">
    <cfRule type="cellIs" dxfId="809" priority="48770" stopIfTrue="1" operator="notEqual">
      <formula>"En cours"</formula>
    </cfRule>
  </conditionalFormatting>
  <conditionalFormatting sqref="AK123">
    <cfRule type="cellIs" dxfId="808" priority="48771" stopIfTrue="1" operator="equal">
      <formula>"En cours"</formula>
    </cfRule>
  </conditionalFormatting>
  <conditionalFormatting sqref="AK123">
    <cfRule type="cellIs" dxfId="807" priority="48772" stopIfTrue="1" operator="notEqual">
      <formula>"En cours"</formula>
    </cfRule>
  </conditionalFormatting>
  <conditionalFormatting sqref="AJ132">
    <cfRule type="cellIs" dxfId="806" priority="48777" stopIfTrue="1" operator="equal">
      <formula>"En cours"</formula>
    </cfRule>
  </conditionalFormatting>
  <conditionalFormatting sqref="AJ132">
    <cfRule type="cellIs" dxfId="805" priority="48778" stopIfTrue="1" operator="notEqual">
      <formula>"En cours"</formula>
    </cfRule>
  </conditionalFormatting>
  <conditionalFormatting sqref="AK132">
    <cfRule type="cellIs" dxfId="804" priority="48779" stopIfTrue="1" operator="equal">
      <formula>"En cours"</formula>
    </cfRule>
  </conditionalFormatting>
  <conditionalFormatting sqref="AK132">
    <cfRule type="cellIs" dxfId="803" priority="48780" stopIfTrue="1" operator="notEqual">
      <formula>"En cours"</formula>
    </cfRule>
  </conditionalFormatting>
  <conditionalFormatting sqref="AJ159">
    <cfRule type="cellIs" dxfId="802" priority="48789" stopIfTrue="1" operator="equal">
      <formula>"En cours"</formula>
    </cfRule>
  </conditionalFormatting>
  <conditionalFormatting sqref="AJ159">
    <cfRule type="cellIs" dxfId="801" priority="48790" stopIfTrue="1" operator="notEqual">
      <formula>"En cours"</formula>
    </cfRule>
  </conditionalFormatting>
  <conditionalFormatting sqref="AK159">
    <cfRule type="cellIs" dxfId="800" priority="48791" stopIfTrue="1" operator="equal">
      <formula>"En cours"</formula>
    </cfRule>
  </conditionalFormatting>
  <conditionalFormatting sqref="AK159">
    <cfRule type="cellIs" dxfId="799" priority="48792" stopIfTrue="1" operator="notEqual">
      <formula>"En cours"</formula>
    </cfRule>
  </conditionalFormatting>
  <conditionalFormatting sqref="AJ136">
    <cfRule type="cellIs" dxfId="798" priority="48825" stopIfTrue="1" operator="equal">
      <formula>"En cours"</formula>
    </cfRule>
  </conditionalFormatting>
  <conditionalFormatting sqref="AJ136">
    <cfRule type="cellIs" dxfId="797" priority="48826" stopIfTrue="1" operator="notEqual">
      <formula>"En cours"</formula>
    </cfRule>
  </conditionalFormatting>
  <conditionalFormatting sqref="AK136">
    <cfRule type="cellIs" dxfId="796" priority="48827" stopIfTrue="1" operator="equal">
      <formula>"En cours"</formula>
    </cfRule>
  </conditionalFormatting>
  <conditionalFormatting sqref="AK136">
    <cfRule type="cellIs" dxfId="795" priority="48828" stopIfTrue="1" operator="notEqual">
      <formula>"En cours"</formula>
    </cfRule>
  </conditionalFormatting>
  <conditionalFormatting sqref="AJ120">
    <cfRule type="cellIs" dxfId="794" priority="48829" stopIfTrue="1" operator="equal">
      <formula>"En cours"</formula>
    </cfRule>
  </conditionalFormatting>
  <conditionalFormatting sqref="AJ120">
    <cfRule type="cellIs" dxfId="793" priority="48830" stopIfTrue="1" operator="notEqual">
      <formula>"En cours"</formula>
    </cfRule>
  </conditionalFormatting>
  <conditionalFormatting sqref="AK120">
    <cfRule type="cellIs" dxfId="792" priority="48831" stopIfTrue="1" operator="equal">
      <formula>"En cours"</formula>
    </cfRule>
  </conditionalFormatting>
  <conditionalFormatting sqref="AK120">
    <cfRule type="cellIs" dxfId="791" priority="48832" stopIfTrue="1" operator="notEqual">
      <formula>"En cours"</formula>
    </cfRule>
  </conditionalFormatting>
  <conditionalFormatting sqref="AJ157">
    <cfRule type="cellIs" dxfId="790" priority="48845" stopIfTrue="1" operator="equal">
      <formula>"En cours"</formula>
    </cfRule>
  </conditionalFormatting>
  <conditionalFormatting sqref="AJ157">
    <cfRule type="cellIs" dxfId="789" priority="48846" stopIfTrue="1" operator="notEqual">
      <formula>"En cours"</formula>
    </cfRule>
  </conditionalFormatting>
  <conditionalFormatting sqref="AK157">
    <cfRule type="cellIs" dxfId="788" priority="48847" stopIfTrue="1" operator="equal">
      <formula>"En cours"</formula>
    </cfRule>
  </conditionalFormatting>
  <conditionalFormatting sqref="AK157">
    <cfRule type="cellIs" dxfId="787" priority="48848" stopIfTrue="1" operator="notEqual">
      <formula>"En cours"</formula>
    </cfRule>
  </conditionalFormatting>
  <conditionalFormatting sqref="AJ144">
    <cfRule type="cellIs" dxfId="786" priority="48865" stopIfTrue="1" operator="equal">
      <formula>"En cours"</formula>
    </cfRule>
  </conditionalFormatting>
  <conditionalFormatting sqref="AJ144">
    <cfRule type="cellIs" dxfId="785" priority="48866" stopIfTrue="1" operator="notEqual">
      <formula>"En cours"</formula>
    </cfRule>
  </conditionalFormatting>
  <conditionalFormatting sqref="AK144">
    <cfRule type="cellIs" dxfId="784" priority="48867" stopIfTrue="1" operator="equal">
      <formula>"En cours"</formula>
    </cfRule>
  </conditionalFormatting>
  <conditionalFormatting sqref="AK144">
    <cfRule type="cellIs" dxfId="783" priority="48868" stopIfTrue="1" operator="notEqual">
      <formula>"En cours"</formula>
    </cfRule>
  </conditionalFormatting>
  <conditionalFormatting sqref="AJ174">
    <cfRule type="cellIs" dxfId="782" priority="48877" stopIfTrue="1" operator="equal">
      <formula>"En cours"</formula>
    </cfRule>
  </conditionalFormatting>
  <conditionalFormatting sqref="AJ174">
    <cfRule type="cellIs" dxfId="781" priority="48878" stopIfTrue="1" operator="notEqual">
      <formula>"En cours"</formula>
    </cfRule>
  </conditionalFormatting>
  <conditionalFormatting sqref="AK174">
    <cfRule type="cellIs" dxfId="780" priority="48879" stopIfTrue="1" operator="equal">
      <formula>"En cours"</formula>
    </cfRule>
  </conditionalFormatting>
  <conditionalFormatting sqref="AK174">
    <cfRule type="cellIs" dxfId="779" priority="48880" stopIfTrue="1" operator="notEqual">
      <formula>"En cours"</formula>
    </cfRule>
  </conditionalFormatting>
  <conditionalFormatting sqref="AJ119">
    <cfRule type="cellIs" dxfId="778" priority="48901" stopIfTrue="1" operator="equal">
      <formula>"En cours"</formula>
    </cfRule>
  </conditionalFormatting>
  <conditionalFormatting sqref="AJ119">
    <cfRule type="cellIs" dxfId="777" priority="48902" stopIfTrue="1" operator="notEqual">
      <formula>"En cours"</formula>
    </cfRule>
  </conditionalFormatting>
  <conditionalFormatting sqref="AK119">
    <cfRule type="cellIs" dxfId="776" priority="48903" stopIfTrue="1" operator="equal">
      <formula>"En cours"</formula>
    </cfRule>
  </conditionalFormatting>
  <conditionalFormatting sqref="AK119">
    <cfRule type="cellIs" dxfId="775" priority="48904" stopIfTrue="1" operator="notEqual">
      <formula>"En cours"</formula>
    </cfRule>
  </conditionalFormatting>
  <conditionalFormatting sqref="AJ169">
    <cfRule type="cellIs" dxfId="774" priority="48933" stopIfTrue="1" operator="equal">
      <formula>"En cours"</formula>
    </cfRule>
  </conditionalFormatting>
  <conditionalFormatting sqref="AJ169">
    <cfRule type="cellIs" dxfId="773" priority="48934" stopIfTrue="1" operator="notEqual">
      <formula>"En cours"</formula>
    </cfRule>
  </conditionalFormatting>
  <conditionalFormatting sqref="AK169">
    <cfRule type="cellIs" dxfId="772" priority="48935" stopIfTrue="1" operator="equal">
      <formula>"En cours"</formula>
    </cfRule>
  </conditionalFormatting>
  <conditionalFormatting sqref="AK169">
    <cfRule type="cellIs" dxfId="771" priority="48936" stopIfTrue="1" operator="notEqual">
      <formula>"En cours"</formula>
    </cfRule>
  </conditionalFormatting>
  <conditionalFormatting sqref="AJ170">
    <cfRule type="cellIs" dxfId="770" priority="48937" stopIfTrue="1" operator="equal">
      <formula>"En cours"</formula>
    </cfRule>
  </conditionalFormatting>
  <conditionalFormatting sqref="AJ170">
    <cfRule type="cellIs" dxfId="769" priority="48938" stopIfTrue="1" operator="notEqual">
      <formula>"En cours"</formula>
    </cfRule>
  </conditionalFormatting>
  <conditionalFormatting sqref="AK170">
    <cfRule type="cellIs" dxfId="768" priority="48939" stopIfTrue="1" operator="equal">
      <formula>"En cours"</formula>
    </cfRule>
  </conditionalFormatting>
  <conditionalFormatting sqref="AK170">
    <cfRule type="cellIs" dxfId="767" priority="48940" stopIfTrue="1" operator="notEqual">
      <formula>"En cours"</formula>
    </cfRule>
  </conditionalFormatting>
  <conditionalFormatting sqref="AJ156">
    <cfRule type="cellIs" dxfId="766" priority="49401" stopIfTrue="1" operator="equal">
      <formula>"En cours"</formula>
    </cfRule>
  </conditionalFormatting>
  <conditionalFormatting sqref="AJ156">
    <cfRule type="cellIs" dxfId="765" priority="49402" stopIfTrue="1" operator="notEqual">
      <formula>"En cours"</formula>
    </cfRule>
  </conditionalFormatting>
  <conditionalFormatting sqref="AK156">
    <cfRule type="cellIs" dxfId="764" priority="49403" stopIfTrue="1" operator="equal">
      <formula>"En cours"</formula>
    </cfRule>
  </conditionalFormatting>
  <conditionalFormatting sqref="AK156">
    <cfRule type="cellIs" dxfId="763" priority="49404" stopIfTrue="1" operator="notEqual">
      <formula>"En cours"</formula>
    </cfRule>
  </conditionalFormatting>
  <conditionalFormatting sqref="AJ147">
    <cfRule type="cellIs" dxfId="762" priority="49405" stopIfTrue="1" operator="equal">
      <formula>"En cours"</formula>
    </cfRule>
  </conditionalFormatting>
  <conditionalFormatting sqref="AJ147">
    <cfRule type="cellIs" dxfId="761" priority="49406" stopIfTrue="1" operator="notEqual">
      <formula>"En cours"</formula>
    </cfRule>
  </conditionalFormatting>
  <conditionalFormatting sqref="AK147">
    <cfRule type="cellIs" dxfId="760" priority="49407" stopIfTrue="1" operator="equal">
      <formula>"En cours"</formula>
    </cfRule>
  </conditionalFormatting>
  <conditionalFormatting sqref="AK147">
    <cfRule type="cellIs" dxfId="759" priority="49408" stopIfTrue="1" operator="notEqual">
      <formula>"En cours"</formula>
    </cfRule>
  </conditionalFormatting>
  <conditionalFormatting sqref="AJ108">
    <cfRule type="cellIs" dxfId="758" priority="49409" stopIfTrue="1" operator="equal">
      <formula>"En cours"</formula>
    </cfRule>
  </conditionalFormatting>
  <conditionalFormatting sqref="AJ108">
    <cfRule type="cellIs" dxfId="757" priority="49410" stopIfTrue="1" operator="notEqual">
      <formula>"En cours"</formula>
    </cfRule>
  </conditionalFormatting>
  <conditionalFormatting sqref="AK108">
    <cfRule type="cellIs" dxfId="756" priority="49411" stopIfTrue="1" operator="equal">
      <formula>"En cours"</formula>
    </cfRule>
  </conditionalFormatting>
  <conditionalFormatting sqref="AK108">
    <cfRule type="cellIs" dxfId="755" priority="49412" stopIfTrue="1" operator="notEqual">
      <formula>"En cours"</formula>
    </cfRule>
  </conditionalFormatting>
  <conditionalFormatting sqref="AJ153">
    <cfRule type="cellIs" dxfId="754" priority="49421" stopIfTrue="1" operator="equal">
      <formula>"En cours"</formula>
    </cfRule>
  </conditionalFormatting>
  <conditionalFormatting sqref="AJ153">
    <cfRule type="cellIs" dxfId="753" priority="49422" stopIfTrue="1" operator="notEqual">
      <formula>"En cours"</formula>
    </cfRule>
  </conditionalFormatting>
  <conditionalFormatting sqref="AK153">
    <cfRule type="cellIs" dxfId="752" priority="49423" stopIfTrue="1" operator="equal">
      <formula>"En cours"</formula>
    </cfRule>
  </conditionalFormatting>
  <conditionalFormatting sqref="AK153">
    <cfRule type="cellIs" dxfId="751" priority="49424" stopIfTrue="1" operator="notEqual">
      <formula>"En cours"</formula>
    </cfRule>
  </conditionalFormatting>
  <conditionalFormatting sqref="AJ130">
    <cfRule type="cellIs" dxfId="750" priority="49437" stopIfTrue="1" operator="equal">
      <formula>"En cours"</formula>
    </cfRule>
  </conditionalFormatting>
  <conditionalFormatting sqref="AJ130">
    <cfRule type="cellIs" dxfId="749" priority="49438" stopIfTrue="1" operator="notEqual">
      <formula>"En cours"</formula>
    </cfRule>
  </conditionalFormatting>
  <conditionalFormatting sqref="AK130">
    <cfRule type="cellIs" dxfId="748" priority="49439" stopIfTrue="1" operator="equal">
      <formula>"En cours"</formula>
    </cfRule>
  </conditionalFormatting>
  <conditionalFormatting sqref="AK130">
    <cfRule type="cellIs" dxfId="747" priority="49440" stopIfTrue="1" operator="notEqual">
      <formula>"En cours"</formula>
    </cfRule>
  </conditionalFormatting>
  <conditionalFormatting sqref="AJ115">
    <cfRule type="cellIs" dxfId="746" priority="49441" stopIfTrue="1" operator="equal">
      <formula>"En cours"</formula>
    </cfRule>
  </conditionalFormatting>
  <conditionalFormatting sqref="AJ115">
    <cfRule type="cellIs" dxfId="745" priority="49442" stopIfTrue="1" operator="notEqual">
      <formula>"En cours"</formula>
    </cfRule>
  </conditionalFormatting>
  <conditionalFormatting sqref="AK115">
    <cfRule type="cellIs" dxfId="744" priority="49443" stopIfTrue="1" operator="equal">
      <formula>"En cours"</formula>
    </cfRule>
  </conditionalFormatting>
  <conditionalFormatting sqref="AK115">
    <cfRule type="cellIs" dxfId="743" priority="49444" stopIfTrue="1" operator="notEqual">
      <formula>"En cours"</formula>
    </cfRule>
  </conditionalFormatting>
  <conditionalFormatting sqref="AJ111">
    <cfRule type="cellIs" dxfId="742" priority="49445" stopIfTrue="1" operator="equal">
      <formula>"En cours"</formula>
    </cfRule>
  </conditionalFormatting>
  <conditionalFormatting sqref="AJ111">
    <cfRule type="cellIs" dxfId="741" priority="49446" stopIfTrue="1" operator="notEqual">
      <formula>"En cours"</formula>
    </cfRule>
  </conditionalFormatting>
  <conditionalFormatting sqref="AK111">
    <cfRule type="cellIs" dxfId="740" priority="49447" stopIfTrue="1" operator="equal">
      <formula>"En cours"</formula>
    </cfRule>
  </conditionalFormatting>
  <conditionalFormatting sqref="AK111">
    <cfRule type="cellIs" dxfId="739" priority="49448" stopIfTrue="1" operator="notEqual">
      <formula>"En cours"</formula>
    </cfRule>
  </conditionalFormatting>
  <conditionalFormatting sqref="AJ138">
    <cfRule type="cellIs" dxfId="738" priority="49449" stopIfTrue="1" operator="equal">
      <formula>"En cours"</formula>
    </cfRule>
  </conditionalFormatting>
  <conditionalFormatting sqref="AJ138">
    <cfRule type="cellIs" dxfId="737" priority="49450" stopIfTrue="1" operator="notEqual">
      <formula>"En cours"</formula>
    </cfRule>
  </conditionalFormatting>
  <conditionalFormatting sqref="AK138">
    <cfRule type="cellIs" dxfId="736" priority="49451" stopIfTrue="1" operator="equal">
      <formula>"En cours"</formula>
    </cfRule>
  </conditionalFormatting>
  <conditionalFormatting sqref="AK138">
    <cfRule type="cellIs" dxfId="735" priority="49452" stopIfTrue="1" operator="notEqual">
      <formula>"En cours"</formula>
    </cfRule>
  </conditionalFormatting>
  <conditionalFormatting sqref="AJ142">
    <cfRule type="cellIs" dxfId="734" priority="49461" stopIfTrue="1" operator="equal">
      <formula>"En cours"</formula>
    </cfRule>
  </conditionalFormatting>
  <conditionalFormatting sqref="AJ142">
    <cfRule type="cellIs" dxfId="733" priority="49462" stopIfTrue="1" operator="notEqual">
      <formula>"En cours"</formula>
    </cfRule>
  </conditionalFormatting>
  <conditionalFormatting sqref="AK142">
    <cfRule type="cellIs" dxfId="732" priority="49463" stopIfTrue="1" operator="equal">
      <formula>"En cours"</formula>
    </cfRule>
  </conditionalFormatting>
  <conditionalFormatting sqref="AK142">
    <cfRule type="cellIs" dxfId="731" priority="49464" stopIfTrue="1" operator="notEqual">
      <formula>"En cours"</formula>
    </cfRule>
  </conditionalFormatting>
  <conditionalFormatting sqref="AJ129">
    <cfRule type="cellIs" dxfId="730" priority="49465" stopIfTrue="1" operator="equal">
      <formula>"En cours"</formula>
    </cfRule>
  </conditionalFormatting>
  <conditionalFormatting sqref="AJ129">
    <cfRule type="cellIs" dxfId="729" priority="49466" stopIfTrue="1" operator="notEqual">
      <formula>"En cours"</formula>
    </cfRule>
  </conditionalFormatting>
  <conditionalFormatting sqref="AK129">
    <cfRule type="cellIs" dxfId="728" priority="49467" stopIfTrue="1" operator="equal">
      <formula>"En cours"</formula>
    </cfRule>
  </conditionalFormatting>
  <conditionalFormatting sqref="AK129">
    <cfRule type="cellIs" dxfId="727" priority="49468" stopIfTrue="1" operator="notEqual">
      <formula>"En cours"</formula>
    </cfRule>
  </conditionalFormatting>
  <conditionalFormatting sqref="AJ167">
    <cfRule type="cellIs" dxfId="726" priority="49477" stopIfTrue="1" operator="equal">
      <formula>"En cours"</formula>
    </cfRule>
  </conditionalFormatting>
  <conditionalFormatting sqref="AJ167">
    <cfRule type="cellIs" dxfId="725" priority="49478" stopIfTrue="1" operator="notEqual">
      <formula>"En cours"</formula>
    </cfRule>
  </conditionalFormatting>
  <conditionalFormatting sqref="AK167">
    <cfRule type="cellIs" dxfId="724" priority="49479" stopIfTrue="1" operator="equal">
      <formula>"En cours"</formula>
    </cfRule>
  </conditionalFormatting>
  <conditionalFormatting sqref="AK167">
    <cfRule type="cellIs" dxfId="723" priority="49480" stopIfTrue="1" operator="notEqual">
      <formula>"En cours"</formula>
    </cfRule>
  </conditionalFormatting>
  <conditionalFormatting sqref="AJ146">
    <cfRule type="cellIs" dxfId="722" priority="49481" stopIfTrue="1" operator="equal">
      <formula>"En cours"</formula>
    </cfRule>
  </conditionalFormatting>
  <conditionalFormatting sqref="AJ146">
    <cfRule type="cellIs" dxfId="721" priority="49482" stopIfTrue="1" operator="notEqual">
      <formula>"En cours"</formula>
    </cfRule>
  </conditionalFormatting>
  <conditionalFormatting sqref="AK146">
    <cfRule type="cellIs" dxfId="720" priority="49483" stopIfTrue="1" operator="equal">
      <formula>"En cours"</formula>
    </cfRule>
  </conditionalFormatting>
  <conditionalFormatting sqref="AK146">
    <cfRule type="cellIs" dxfId="719" priority="49484" stopIfTrue="1" operator="notEqual">
      <formula>"En cours"</formula>
    </cfRule>
  </conditionalFormatting>
  <conditionalFormatting sqref="AJ151">
    <cfRule type="cellIs" dxfId="718" priority="49489" stopIfTrue="1" operator="equal">
      <formula>"En cours"</formula>
    </cfRule>
  </conditionalFormatting>
  <conditionalFormatting sqref="AJ151">
    <cfRule type="cellIs" dxfId="717" priority="49490" stopIfTrue="1" operator="notEqual">
      <formula>"En cours"</formula>
    </cfRule>
  </conditionalFormatting>
  <conditionalFormatting sqref="AK151">
    <cfRule type="cellIs" dxfId="716" priority="49491" stopIfTrue="1" operator="equal">
      <formula>"En cours"</formula>
    </cfRule>
  </conditionalFormatting>
  <conditionalFormatting sqref="AK151">
    <cfRule type="cellIs" dxfId="715" priority="49492" stopIfTrue="1" operator="notEqual">
      <formula>"En cours"</formula>
    </cfRule>
  </conditionalFormatting>
  <conditionalFormatting sqref="AJ163">
    <cfRule type="cellIs" dxfId="714" priority="49493" stopIfTrue="1" operator="equal">
      <formula>"En cours"</formula>
    </cfRule>
  </conditionalFormatting>
  <conditionalFormatting sqref="AJ163">
    <cfRule type="cellIs" dxfId="713" priority="49494" stopIfTrue="1" operator="notEqual">
      <formula>"En cours"</formula>
    </cfRule>
  </conditionalFormatting>
  <conditionalFormatting sqref="AK163">
    <cfRule type="cellIs" dxfId="712" priority="49495" stopIfTrue="1" operator="equal">
      <formula>"En cours"</formula>
    </cfRule>
  </conditionalFormatting>
  <conditionalFormatting sqref="AK163">
    <cfRule type="cellIs" dxfId="711" priority="49496" stopIfTrue="1" operator="notEqual">
      <formula>"En cours"</formula>
    </cfRule>
  </conditionalFormatting>
  <conditionalFormatting sqref="AJ124">
    <cfRule type="cellIs" dxfId="710" priority="49501" stopIfTrue="1" operator="equal">
      <formula>"En cours"</formula>
    </cfRule>
  </conditionalFormatting>
  <conditionalFormatting sqref="AJ124">
    <cfRule type="cellIs" dxfId="709" priority="49502" stopIfTrue="1" operator="notEqual">
      <formula>"En cours"</formula>
    </cfRule>
  </conditionalFormatting>
  <conditionalFormatting sqref="AK124">
    <cfRule type="cellIs" dxfId="708" priority="49503" stopIfTrue="1" operator="equal">
      <formula>"En cours"</formula>
    </cfRule>
  </conditionalFormatting>
  <conditionalFormatting sqref="AK124">
    <cfRule type="cellIs" dxfId="707" priority="49504" stopIfTrue="1" operator="notEqual">
      <formula>"En cours"</formula>
    </cfRule>
  </conditionalFormatting>
  <conditionalFormatting sqref="AJ161">
    <cfRule type="cellIs" dxfId="706" priority="49505" stopIfTrue="1" operator="equal">
      <formula>"En cours"</formula>
    </cfRule>
  </conditionalFormatting>
  <conditionalFormatting sqref="AJ161">
    <cfRule type="cellIs" dxfId="705" priority="49506" stopIfTrue="1" operator="notEqual">
      <formula>"En cours"</formula>
    </cfRule>
  </conditionalFormatting>
  <conditionalFormatting sqref="AK161">
    <cfRule type="cellIs" dxfId="704" priority="49507" stopIfTrue="1" operator="equal">
      <formula>"En cours"</formula>
    </cfRule>
  </conditionalFormatting>
  <conditionalFormatting sqref="AK161">
    <cfRule type="cellIs" dxfId="703" priority="49508" stopIfTrue="1" operator="notEqual">
      <formula>"En cours"</formula>
    </cfRule>
  </conditionalFormatting>
  <conditionalFormatting sqref="AJ110">
    <cfRule type="cellIs" dxfId="702" priority="49521" stopIfTrue="1" operator="equal">
      <formula>"En cours"</formula>
    </cfRule>
  </conditionalFormatting>
  <conditionalFormatting sqref="AJ110">
    <cfRule type="cellIs" dxfId="701" priority="49522" stopIfTrue="1" operator="notEqual">
      <formula>"En cours"</formula>
    </cfRule>
  </conditionalFormatting>
  <conditionalFormatting sqref="AK110">
    <cfRule type="cellIs" dxfId="700" priority="49523" stopIfTrue="1" operator="equal">
      <formula>"En cours"</formula>
    </cfRule>
  </conditionalFormatting>
  <conditionalFormatting sqref="AK110">
    <cfRule type="cellIs" dxfId="699" priority="49524" stopIfTrue="1" operator="notEqual">
      <formula>"En cours"</formula>
    </cfRule>
  </conditionalFormatting>
  <conditionalFormatting sqref="AJ158">
    <cfRule type="cellIs" dxfId="698" priority="49529" stopIfTrue="1" operator="equal">
      <formula>"En cours"</formula>
    </cfRule>
  </conditionalFormatting>
  <conditionalFormatting sqref="AJ158">
    <cfRule type="cellIs" dxfId="697" priority="49530" stopIfTrue="1" operator="notEqual">
      <formula>"En cours"</formula>
    </cfRule>
  </conditionalFormatting>
  <conditionalFormatting sqref="AK158">
    <cfRule type="cellIs" dxfId="696" priority="49531" stopIfTrue="1" operator="equal">
      <formula>"En cours"</formula>
    </cfRule>
  </conditionalFormatting>
  <conditionalFormatting sqref="AK158">
    <cfRule type="cellIs" dxfId="695" priority="49532" stopIfTrue="1" operator="notEqual">
      <formula>"En cours"</formula>
    </cfRule>
  </conditionalFormatting>
  <conditionalFormatting sqref="AJ140">
    <cfRule type="cellIs" dxfId="694" priority="49533" stopIfTrue="1" operator="equal">
      <formula>"En cours"</formula>
    </cfRule>
  </conditionalFormatting>
  <conditionalFormatting sqref="AJ140">
    <cfRule type="cellIs" dxfId="693" priority="49534" stopIfTrue="1" operator="notEqual">
      <formula>"En cours"</formula>
    </cfRule>
  </conditionalFormatting>
  <conditionalFormatting sqref="AK140">
    <cfRule type="cellIs" dxfId="692" priority="49535" stopIfTrue="1" operator="equal">
      <formula>"En cours"</formula>
    </cfRule>
  </conditionalFormatting>
  <conditionalFormatting sqref="AK140">
    <cfRule type="cellIs" dxfId="691" priority="49536" stopIfTrue="1" operator="notEqual">
      <formula>"En cours"</formula>
    </cfRule>
  </conditionalFormatting>
  <conditionalFormatting sqref="AJ171">
    <cfRule type="cellIs" dxfId="690" priority="49569" stopIfTrue="1" operator="equal">
      <formula>"En cours"</formula>
    </cfRule>
  </conditionalFormatting>
  <conditionalFormatting sqref="AJ171">
    <cfRule type="cellIs" dxfId="689" priority="49570" stopIfTrue="1" operator="notEqual">
      <formula>"En cours"</formula>
    </cfRule>
  </conditionalFormatting>
  <conditionalFormatting sqref="AK171">
    <cfRule type="cellIs" dxfId="688" priority="49571" stopIfTrue="1" operator="equal">
      <formula>"En cours"</formula>
    </cfRule>
  </conditionalFormatting>
  <conditionalFormatting sqref="AK171">
    <cfRule type="cellIs" dxfId="687" priority="49572" stopIfTrue="1" operator="notEqual">
      <formula>"En cours"</formula>
    </cfRule>
  </conditionalFormatting>
  <conditionalFormatting sqref="AJ152">
    <cfRule type="cellIs" dxfId="686" priority="49573" stopIfTrue="1" operator="equal">
      <formula>"En cours"</formula>
    </cfRule>
  </conditionalFormatting>
  <conditionalFormatting sqref="AJ152">
    <cfRule type="cellIs" dxfId="685" priority="49574" stopIfTrue="1" operator="notEqual">
      <formula>"En cours"</formula>
    </cfRule>
  </conditionalFormatting>
  <conditionalFormatting sqref="AK152">
    <cfRule type="cellIs" dxfId="684" priority="49575" stopIfTrue="1" operator="equal">
      <formula>"En cours"</formula>
    </cfRule>
  </conditionalFormatting>
  <conditionalFormatting sqref="AK152">
    <cfRule type="cellIs" dxfId="683" priority="49576" stopIfTrue="1" operator="notEqual">
      <formula>"En cours"</formula>
    </cfRule>
  </conditionalFormatting>
  <conditionalFormatting sqref="AJ114">
    <cfRule type="cellIs" dxfId="682" priority="49581" stopIfTrue="1" operator="equal">
      <formula>"En cours"</formula>
    </cfRule>
  </conditionalFormatting>
  <conditionalFormatting sqref="AJ114">
    <cfRule type="cellIs" dxfId="681" priority="49582" stopIfTrue="1" operator="notEqual">
      <formula>"En cours"</formula>
    </cfRule>
  </conditionalFormatting>
  <conditionalFormatting sqref="AK114">
    <cfRule type="cellIs" dxfId="680" priority="49583" stopIfTrue="1" operator="equal">
      <formula>"En cours"</formula>
    </cfRule>
  </conditionalFormatting>
  <conditionalFormatting sqref="AK114">
    <cfRule type="cellIs" dxfId="679" priority="49584" stopIfTrue="1" operator="notEqual">
      <formula>"En cours"</formula>
    </cfRule>
  </conditionalFormatting>
  <conditionalFormatting sqref="AJ141">
    <cfRule type="cellIs" dxfId="678" priority="49589" stopIfTrue="1" operator="equal">
      <formula>"En cours"</formula>
    </cfRule>
  </conditionalFormatting>
  <conditionalFormatting sqref="AJ141">
    <cfRule type="cellIs" dxfId="677" priority="49590" stopIfTrue="1" operator="notEqual">
      <formula>"En cours"</formula>
    </cfRule>
  </conditionalFormatting>
  <conditionalFormatting sqref="AK141">
    <cfRule type="cellIs" dxfId="676" priority="49591" stopIfTrue="1" operator="equal">
      <formula>"En cours"</formula>
    </cfRule>
  </conditionalFormatting>
  <conditionalFormatting sqref="AK141">
    <cfRule type="cellIs" dxfId="675" priority="49592" stopIfTrue="1" operator="notEqual">
      <formula>"En cours"</formula>
    </cfRule>
  </conditionalFormatting>
  <conditionalFormatting sqref="AJ135">
    <cfRule type="cellIs" dxfId="674" priority="49593" stopIfTrue="1" operator="equal">
      <formula>"En cours"</formula>
    </cfRule>
  </conditionalFormatting>
  <conditionalFormatting sqref="AJ135">
    <cfRule type="cellIs" dxfId="673" priority="49594" stopIfTrue="1" operator="notEqual">
      <formula>"En cours"</formula>
    </cfRule>
  </conditionalFormatting>
  <conditionalFormatting sqref="AK135">
    <cfRule type="cellIs" dxfId="672" priority="49595" stopIfTrue="1" operator="equal">
      <formula>"En cours"</formula>
    </cfRule>
  </conditionalFormatting>
  <conditionalFormatting sqref="AK135">
    <cfRule type="cellIs" dxfId="671" priority="49596" stopIfTrue="1" operator="notEqual">
      <formula>"En cours"</formula>
    </cfRule>
  </conditionalFormatting>
  <conditionalFormatting sqref="AJ128">
    <cfRule type="cellIs" dxfId="670" priority="49609" stopIfTrue="1" operator="equal">
      <formula>"En cours"</formula>
    </cfRule>
  </conditionalFormatting>
  <conditionalFormatting sqref="AJ128">
    <cfRule type="cellIs" dxfId="669" priority="49610" stopIfTrue="1" operator="notEqual">
      <formula>"En cours"</formula>
    </cfRule>
  </conditionalFormatting>
  <conditionalFormatting sqref="AK128">
    <cfRule type="cellIs" dxfId="668" priority="49611" stopIfTrue="1" operator="equal">
      <formula>"En cours"</formula>
    </cfRule>
  </conditionalFormatting>
  <conditionalFormatting sqref="AK128">
    <cfRule type="cellIs" dxfId="667" priority="49612" stopIfTrue="1" operator="notEqual">
      <formula>"En cours"</formula>
    </cfRule>
  </conditionalFormatting>
  <conditionalFormatting sqref="AJ143">
    <cfRule type="cellIs" dxfId="666" priority="49857" stopIfTrue="1" operator="equal">
      <formula>"En cours"</formula>
    </cfRule>
  </conditionalFormatting>
  <conditionalFormatting sqref="AJ143">
    <cfRule type="cellIs" dxfId="665" priority="49858" stopIfTrue="1" operator="notEqual">
      <formula>"En cours"</formula>
    </cfRule>
  </conditionalFormatting>
  <conditionalFormatting sqref="AK143">
    <cfRule type="cellIs" dxfId="664" priority="49859" stopIfTrue="1" operator="equal">
      <formula>"En cours"</formula>
    </cfRule>
  </conditionalFormatting>
  <conditionalFormatting sqref="AK143">
    <cfRule type="cellIs" dxfId="663" priority="49860" stopIfTrue="1" operator="notEqual">
      <formula>"En cours"</formula>
    </cfRule>
  </conditionalFormatting>
  <conditionalFormatting sqref="AJ166">
    <cfRule type="cellIs" dxfId="662" priority="49861" stopIfTrue="1" operator="equal">
      <formula>"En cours"</formula>
    </cfRule>
  </conditionalFormatting>
  <conditionalFormatting sqref="AJ166">
    <cfRule type="cellIs" dxfId="661" priority="49862" stopIfTrue="1" operator="notEqual">
      <formula>"En cours"</formula>
    </cfRule>
  </conditionalFormatting>
  <conditionalFormatting sqref="AK166">
    <cfRule type="cellIs" dxfId="660" priority="49863" stopIfTrue="1" operator="equal">
      <formula>"En cours"</formula>
    </cfRule>
  </conditionalFormatting>
  <conditionalFormatting sqref="AK166">
    <cfRule type="cellIs" dxfId="659" priority="49864" stopIfTrue="1" operator="notEqual">
      <formula>"En cours"</formula>
    </cfRule>
  </conditionalFormatting>
  <conditionalFormatting sqref="AJ104">
    <cfRule type="cellIs" dxfId="658" priority="49865" stopIfTrue="1" operator="equal">
      <formula>"En cours"</formula>
    </cfRule>
  </conditionalFormatting>
  <conditionalFormatting sqref="AJ104">
    <cfRule type="cellIs" dxfId="657" priority="49866" stopIfTrue="1" operator="notEqual">
      <formula>"En cours"</formula>
    </cfRule>
  </conditionalFormatting>
  <conditionalFormatting sqref="AK104">
    <cfRule type="cellIs" dxfId="656" priority="49867" stopIfTrue="1" operator="equal">
      <formula>"En cours"</formula>
    </cfRule>
  </conditionalFormatting>
  <conditionalFormatting sqref="AK104">
    <cfRule type="cellIs" dxfId="655" priority="49868" stopIfTrue="1" operator="notEqual">
      <formula>"En cours"</formula>
    </cfRule>
  </conditionalFormatting>
  <conditionalFormatting sqref="AJ109">
    <cfRule type="cellIs" dxfId="654" priority="49873" stopIfTrue="1" operator="equal">
      <formula>"En cours"</formula>
    </cfRule>
  </conditionalFormatting>
  <conditionalFormatting sqref="AJ109">
    <cfRule type="cellIs" dxfId="653" priority="49874" stopIfTrue="1" operator="notEqual">
      <formula>"En cours"</formula>
    </cfRule>
  </conditionalFormatting>
  <conditionalFormatting sqref="AK109">
    <cfRule type="cellIs" dxfId="652" priority="49875" stopIfTrue="1" operator="equal">
      <formula>"En cours"</formula>
    </cfRule>
  </conditionalFormatting>
  <conditionalFormatting sqref="AK109">
    <cfRule type="cellIs" dxfId="651" priority="49876" stopIfTrue="1" operator="notEqual">
      <formula>"En cours"</formula>
    </cfRule>
  </conditionalFormatting>
  <conditionalFormatting sqref="AJ175">
    <cfRule type="cellIs" dxfId="650" priority="49881" stopIfTrue="1" operator="equal">
      <formula>"En cours"</formula>
    </cfRule>
  </conditionalFormatting>
  <conditionalFormatting sqref="AJ175">
    <cfRule type="cellIs" dxfId="649" priority="49882" stopIfTrue="1" operator="notEqual">
      <formula>"En cours"</formula>
    </cfRule>
  </conditionalFormatting>
  <conditionalFormatting sqref="AK175">
    <cfRule type="cellIs" dxfId="648" priority="49883" stopIfTrue="1" operator="equal">
      <formula>"En cours"</formula>
    </cfRule>
  </conditionalFormatting>
  <conditionalFormatting sqref="AK175">
    <cfRule type="cellIs" dxfId="647" priority="49884" stopIfTrue="1" operator="notEqual">
      <formula>"En cours"</formula>
    </cfRule>
  </conditionalFormatting>
  <conditionalFormatting sqref="AJ121">
    <cfRule type="cellIs" dxfId="646" priority="49885" stopIfTrue="1" operator="equal">
      <formula>"En cours"</formula>
    </cfRule>
  </conditionalFormatting>
  <conditionalFormatting sqref="AJ121">
    <cfRule type="cellIs" dxfId="645" priority="49886" stopIfTrue="1" operator="notEqual">
      <formula>"En cours"</formula>
    </cfRule>
  </conditionalFormatting>
  <conditionalFormatting sqref="AK121">
    <cfRule type="cellIs" dxfId="644" priority="49887" stopIfTrue="1" operator="equal">
      <formula>"En cours"</formula>
    </cfRule>
  </conditionalFormatting>
  <conditionalFormatting sqref="AK121">
    <cfRule type="cellIs" dxfId="643" priority="49888" stopIfTrue="1" operator="notEqual">
      <formula>"En cours"</formula>
    </cfRule>
  </conditionalFormatting>
  <conditionalFormatting sqref="AJ117">
    <cfRule type="cellIs" dxfId="642" priority="49889" stopIfTrue="1" operator="equal">
      <formula>"En cours"</formula>
    </cfRule>
  </conditionalFormatting>
  <conditionalFormatting sqref="AJ117">
    <cfRule type="cellIs" dxfId="641" priority="49890" stopIfTrue="1" operator="notEqual">
      <formula>"En cours"</formula>
    </cfRule>
  </conditionalFormatting>
  <conditionalFormatting sqref="AK117">
    <cfRule type="cellIs" dxfId="640" priority="49891" stopIfTrue="1" operator="equal">
      <formula>"En cours"</formula>
    </cfRule>
  </conditionalFormatting>
  <conditionalFormatting sqref="AK117">
    <cfRule type="cellIs" dxfId="639" priority="49892" stopIfTrue="1" operator="notEqual">
      <formula>"En cours"</formula>
    </cfRule>
  </conditionalFormatting>
  <conditionalFormatting sqref="AJ113">
    <cfRule type="cellIs" dxfId="638" priority="49893" stopIfTrue="1" operator="equal">
      <formula>"En cours"</formula>
    </cfRule>
  </conditionalFormatting>
  <conditionalFormatting sqref="AJ113">
    <cfRule type="cellIs" dxfId="637" priority="49894" stopIfTrue="1" operator="notEqual">
      <formula>"En cours"</formula>
    </cfRule>
  </conditionalFormatting>
  <conditionalFormatting sqref="AK113">
    <cfRule type="cellIs" dxfId="636" priority="49895" stopIfTrue="1" operator="equal">
      <formula>"En cours"</formula>
    </cfRule>
  </conditionalFormatting>
  <conditionalFormatting sqref="AK113">
    <cfRule type="cellIs" dxfId="635" priority="49896" stopIfTrue="1" operator="notEqual">
      <formula>"En cours"</formula>
    </cfRule>
  </conditionalFormatting>
  <conditionalFormatting sqref="AJ155">
    <cfRule type="cellIs" dxfId="634" priority="49909" stopIfTrue="1" operator="equal">
      <formula>"En cours"</formula>
    </cfRule>
  </conditionalFormatting>
  <conditionalFormatting sqref="AJ155">
    <cfRule type="cellIs" dxfId="633" priority="49910" stopIfTrue="1" operator="notEqual">
      <formula>"En cours"</formula>
    </cfRule>
  </conditionalFormatting>
  <conditionalFormatting sqref="AK155">
    <cfRule type="cellIs" dxfId="632" priority="49911" stopIfTrue="1" operator="equal">
      <formula>"En cours"</formula>
    </cfRule>
  </conditionalFormatting>
  <conditionalFormatting sqref="AK155">
    <cfRule type="cellIs" dxfId="631" priority="49912" stopIfTrue="1" operator="notEqual">
      <formula>"En cours"</formula>
    </cfRule>
  </conditionalFormatting>
  <conditionalFormatting sqref="AJ137">
    <cfRule type="cellIs" dxfId="630" priority="49913" stopIfTrue="1" operator="equal">
      <formula>"En cours"</formula>
    </cfRule>
  </conditionalFormatting>
  <conditionalFormatting sqref="AJ137">
    <cfRule type="cellIs" dxfId="629" priority="49914" stopIfTrue="1" operator="notEqual">
      <formula>"En cours"</formula>
    </cfRule>
  </conditionalFormatting>
  <conditionalFormatting sqref="AK137">
    <cfRule type="cellIs" dxfId="628" priority="49915" stopIfTrue="1" operator="equal">
      <formula>"En cours"</formula>
    </cfRule>
  </conditionalFormatting>
  <conditionalFormatting sqref="AK137">
    <cfRule type="cellIs" dxfId="627" priority="49916" stopIfTrue="1" operator="notEqual">
      <formula>"En cours"</formula>
    </cfRule>
  </conditionalFormatting>
  <conditionalFormatting sqref="AJ131">
    <cfRule type="cellIs" dxfId="626" priority="49921" stopIfTrue="1" operator="equal">
      <formula>"En cours"</formula>
    </cfRule>
  </conditionalFormatting>
  <conditionalFormatting sqref="AJ131">
    <cfRule type="cellIs" dxfId="625" priority="49922" stopIfTrue="1" operator="notEqual">
      <formula>"En cours"</formula>
    </cfRule>
  </conditionalFormatting>
  <conditionalFormatting sqref="AK131">
    <cfRule type="cellIs" dxfId="624" priority="49923" stopIfTrue="1" operator="equal">
      <formula>"En cours"</formula>
    </cfRule>
  </conditionalFormatting>
  <conditionalFormatting sqref="AK131">
    <cfRule type="cellIs" dxfId="623" priority="49924" stopIfTrue="1" operator="notEqual">
      <formula>"En cours"</formula>
    </cfRule>
  </conditionalFormatting>
  <conditionalFormatting sqref="AJ105">
    <cfRule type="cellIs" dxfId="622" priority="49925" stopIfTrue="1" operator="equal">
      <formula>"En cours"</formula>
    </cfRule>
  </conditionalFormatting>
  <conditionalFormatting sqref="AJ105">
    <cfRule type="cellIs" dxfId="621" priority="49926" stopIfTrue="1" operator="notEqual">
      <formula>"En cours"</formula>
    </cfRule>
  </conditionalFormatting>
  <conditionalFormatting sqref="AK105">
    <cfRule type="cellIs" dxfId="620" priority="49927" stopIfTrue="1" operator="equal">
      <formula>"En cours"</formula>
    </cfRule>
  </conditionalFormatting>
  <conditionalFormatting sqref="AK105">
    <cfRule type="cellIs" dxfId="619" priority="49928" stopIfTrue="1" operator="notEqual">
      <formula>"En cours"</formula>
    </cfRule>
  </conditionalFormatting>
  <conditionalFormatting sqref="AJ160">
    <cfRule type="cellIs" dxfId="618" priority="49929" stopIfTrue="1" operator="equal">
      <formula>"En cours"</formula>
    </cfRule>
  </conditionalFormatting>
  <conditionalFormatting sqref="AJ160">
    <cfRule type="cellIs" dxfId="617" priority="49930" stopIfTrue="1" operator="notEqual">
      <formula>"En cours"</formula>
    </cfRule>
  </conditionalFormatting>
  <conditionalFormatting sqref="AK160">
    <cfRule type="cellIs" dxfId="616" priority="49931" stopIfTrue="1" operator="equal">
      <formula>"En cours"</formula>
    </cfRule>
  </conditionalFormatting>
  <conditionalFormatting sqref="AK160">
    <cfRule type="cellIs" dxfId="615" priority="49932" stopIfTrue="1" operator="notEqual">
      <formula>"En cours"</formula>
    </cfRule>
  </conditionalFormatting>
  <conditionalFormatting sqref="AJ69">
    <cfRule type="cellIs" dxfId="614" priority="52585" stopIfTrue="1" operator="equal">
      <formula>"En cours"</formula>
    </cfRule>
  </conditionalFormatting>
  <conditionalFormatting sqref="AJ69">
    <cfRule type="cellIs" dxfId="613" priority="52586" stopIfTrue="1" operator="notEqual">
      <formula>"En cours"</formula>
    </cfRule>
  </conditionalFormatting>
  <conditionalFormatting sqref="AK69">
    <cfRule type="cellIs" dxfId="612" priority="52587" stopIfTrue="1" operator="equal">
      <formula>"En cours"</formula>
    </cfRule>
  </conditionalFormatting>
  <conditionalFormatting sqref="AK69">
    <cfRule type="cellIs" dxfId="611" priority="52588" stopIfTrue="1" operator="notEqual">
      <formula>"En cours"</formula>
    </cfRule>
  </conditionalFormatting>
  <conditionalFormatting sqref="AJ71">
    <cfRule type="cellIs" dxfId="610" priority="52593" stopIfTrue="1" operator="equal">
      <formula>"En cours"</formula>
    </cfRule>
  </conditionalFormatting>
  <conditionalFormatting sqref="AJ71">
    <cfRule type="cellIs" dxfId="609" priority="52594" stopIfTrue="1" operator="notEqual">
      <formula>"En cours"</formula>
    </cfRule>
  </conditionalFormatting>
  <conditionalFormatting sqref="AK71">
    <cfRule type="cellIs" dxfId="608" priority="52595" stopIfTrue="1" operator="equal">
      <formula>"En cours"</formula>
    </cfRule>
  </conditionalFormatting>
  <conditionalFormatting sqref="AK71">
    <cfRule type="cellIs" dxfId="607" priority="52596" stopIfTrue="1" operator="notEqual">
      <formula>"En cours"</formula>
    </cfRule>
  </conditionalFormatting>
  <conditionalFormatting sqref="AJ73">
    <cfRule type="cellIs" dxfId="606" priority="52601" stopIfTrue="1" operator="equal">
      <formula>"En cours"</formula>
    </cfRule>
  </conditionalFormatting>
  <conditionalFormatting sqref="AJ73">
    <cfRule type="cellIs" dxfId="605" priority="52602" stopIfTrue="1" operator="notEqual">
      <formula>"En cours"</formula>
    </cfRule>
  </conditionalFormatting>
  <conditionalFormatting sqref="AK73">
    <cfRule type="cellIs" dxfId="604" priority="52603" stopIfTrue="1" operator="equal">
      <formula>"En cours"</formula>
    </cfRule>
  </conditionalFormatting>
  <conditionalFormatting sqref="AK73">
    <cfRule type="cellIs" dxfId="603" priority="52604" stopIfTrue="1" operator="notEqual">
      <formula>"En cours"</formula>
    </cfRule>
  </conditionalFormatting>
  <conditionalFormatting sqref="AJ74">
    <cfRule type="cellIs" dxfId="602" priority="52605" stopIfTrue="1" operator="equal">
      <formula>"En cours"</formula>
    </cfRule>
  </conditionalFormatting>
  <conditionalFormatting sqref="AJ74">
    <cfRule type="cellIs" dxfId="601" priority="52606" stopIfTrue="1" operator="notEqual">
      <formula>"En cours"</formula>
    </cfRule>
  </conditionalFormatting>
  <conditionalFormatting sqref="AK74">
    <cfRule type="cellIs" dxfId="600" priority="52607" stopIfTrue="1" operator="equal">
      <formula>"En cours"</formula>
    </cfRule>
  </conditionalFormatting>
  <conditionalFormatting sqref="AK74">
    <cfRule type="cellIs" dxfId="599" priority="52608" stopIfTrue="1" operator="notEqual">
      <formula>"En cours"</formula>
    </cfRule>
  </conditionalFormatting>
  <conditionalFormatting sqref="AJ76">
    <cfRule type="cellIs" dxfId="598" priority="52609" stopIfTrue="1" operator="equal">
      <formula>"En cours"</formula>
    </cfRule>
  </conditionalFormatting>
  <conditionalFormatting sqref="AJ76">
    <cfRule type="cellIs" dxfId="597" priority="52610" stopIfTrue="1" operator="notEqual">
      <formula>"En cours"</formula>
    </cfRule>
  </conditionalFormatting>
  <conditionalFormatting sqref="AK76">
    <cfRule type="cellIs" dxfId="596" priority="52611" stopIfTrue="1" operator="equal">
      <formula>"En cours"</formula>
    </cfRule>
  </conditionalFormatting>
  <conditionalFormatting sqref="AK76">
    <cfRule type="cellIs" dxfId="595" priority="52612" stopIfTrue="1" operator="notEqual">
      <formula>"En cours"</formula>
    </cfRule>
  </conditionalFormatting>
  <conditionalFormatting sqref="AJ68">
    <cfRule type="cellIs" dxfId="594" priority="52621" stopIfTrue="1" operator="equal">
      <formula>"En cours"</formula>
    </cfRule>
  </conditionalFormatting>
  <conditionalFormatting sqref="AJ68">
    <cfRule type="cellIs" dxfId="593" priority="52622" stopIfTrue="1" operator="notEqual">
      <formula>"En cours"</formula>
    </cfRule>
  </conditionalFormatting>
  <conditionalFormatting sqref="AK68">
    <cfRule type="cellIs" dxfId="592" priority="52623" stopIfTrue="1" operator="equal">
      <formula>"En cours"</formula>
    </cfRule>
  </conditionalFormatting>
  <conditionalFormatting sqref="AK68">
    <cfRule type="cellIs" dxfId="591" priority="52624" stopIfTrue="1" operator="notEqual">
      <formula>"En cours"</formula>
    </cfRule>
  </conditionalFormatting>
  <conditionalFormatting sqref="AJ77">
    <cfRule type="cellIs" dxfId="590" priority="52625" stopIfTrue="1" operator="equal">
      <formula>"En cours"</formula>
    </cfRule>
  </conditionalFormatting>
  <conditionalFormatting sqref="AJ77">
    <cfRule type="cellIs" dxfId="589" priority="52626" stopIfTrue="1" operator="notEqual">
      <formula>"En cours"</formula>
    </cfRule>
  </conditionalFormatting>
  <conditionalFormatting sqref="AK77">
    <cfRule type="cellIs" dxfId="588" priority="52627" stopIfTrue="1" operator="equal">
      <formula>"En cours"</formula>
    </cfRule>
  </conditionalFormatting>
  <conditionalFormatting sqref="AK77">
    <cfRule type="cellIs" dxfId="587" priority="52628" stopIfTrue="1" operator="notEqual">
      <formula>"En cours"</formula>
    </cfRule>
  </conditionalFormatting>
  <conditionalFormatting sqref="AJ78">
    <cfRule type="cellIs" dxfId="586" priority="52629" stopIfTrue="1" operator="equal">
      <formula>"En cours"</formula>
    </cfRule>
  </conditionalFormatting>
  <conditionalFormatting sqref="AJ78">
    <cfRule type="cellIs" dxfId="585" priority="52630" stopIfTrue="1" operator="notEqual">
      <formula>"En cours"</formula>
    </cfRule>
  </conditionalFormatting>
  <conditionalFormatting sqref="AK78">
    <cfRule type="cellIs" dxfId="584" priority="52631" stopIfTrue="1" operator="equal">
      <formula>"En cours"</formula>
    </cfRule>
  </conditionalFormatting>
  <conditionalFormatting sqref="AK78">
    <cfRule type="cellIs" dxfId="583" priority="52632" stopIfTrue="1" operator="notEqual">
      <formula>"En cours"</formula>
    </cfRule>
  </conditionalFormatting>
  <conditionalFormatting sqref="AJ79">
    <cfRule type="cellIs" dxfId="582" priority="52633" stopIfTrue="1" operator="equal">
      <formula>"En cours"</formula>
    </cfRule>
  </conditionalFormatting>
  <conditionalFormatting sqref="AJ79">
    <cfRule type="cellIs" dxfId="581" priority="52634" stopIfTrue="1" operator="notEqual">
      <formula>"En cours"</formula>
    </cfRule>
  </conditionalFormatting>
  <conditionalFormatting sqref="AK79">
    <cfRule type="cellIs" dxfId="580" priority="52635" stopIfTrue="1" operator="equal">
      <formula>"En cours"</formula>
    </cfRule>
  </conditionalFormatting>
  <conditionalFormatting sqref="AK79">
    <cfRule type="cellIs" dxfId="579" priority="52636" stopIfTrue="1" operator="notEqual">
      <formula>"En cours"</formula>
    </cfRule>
  </conditionalFormatting>
  <conditionalFormatting sqref="AJ82">
    <cfRule type="cellIs" dxfId="578" priority="52637" stopIfTrue="1" operator="equal">
      <formula>"En cours"</formula>
    </cfRule>
  </conditionalFormatting>
  <conditionalFormatting sqref="AJ82">
    <cfRule type="cellIs" dxfId="577" priority="52638" stopIfTrue="1" operator="notEqual">
      <formula>"En cours"</formula>
    </cfRule>
  </conditionalFormatting>
  <conditionalFormatting sqref="AK82">
    <cfRule type="cellIs" dxfId="576" priority="52639" stopIfTrue="1" operator="equal">
      <formula>"En cours"</formula>
    </cfRule>
  </conditionalFormatting>
  <conditionalFormatting sqref="AK82">
    <cfRule type="cellIs" dxfId="575" priority="52640" stopIfTrue="1" operator="notEqual">
      <formula>"En cours"</formula>
    </cfRule>
  </conditionalFormatting>
  <conditionalFormatting sqref="AJ86">
    <cfRule type="cellIs" dxfId="574" priority="52641" stopIfTrue="1" operator="equal">
      <formula>"En cours"</formula>
    </cfRule>
  </conditionalFormatting>
  <conditionalFormatting sqref="AJ86">
    <cfRule type="cellIs" dxfId="573" priority="52642" stopIfTrue="1" operator="notEqual">
      <formula>"En cours"</formula>
    </cfRule>
  </conditionalFormatting>
  <conditionalFormatting sqref="AK86">
    <cfRule type="cellIs" dxfId="572" priority="52643" stopIfTrue="1" operator="equal">
      <formula>"En cours"</formula>
    </cfRule>
  </conditionalFormatting>
  <conditionalFormatting sqref="AK86">
    <cfRule type="cellIs" dxfId="571" priority="52644" stopIfTrue="1" operator="notEqual">
      <formula>"En cours"</formula>
    </cfRule>
  </conditionalFormatting>
  <conditionalFormatting sqref="AJ81">
    <cfRule type="cellIs" dxfId="570" priority="52649" stopIfTrue="1" operator="equal">
      <formula>"En cours"</formula>
    </cfRule>
  </conditionalFormatting>
  <conditionalFormatting sqref="AJ81">
    <cfRule type="cellIs" dxfId="569" priority="52650" stopIfTrue="1" operator="notEqual">
      <formula>"En cours"</formula>
    </cfRule>
  </conditionalFormatting>
  <conditionalFormatting sqref="AK81">
    <cfRule type="cellIs" dxfId="568" priority="52651" stopIfTrue="1" operator="equal">
      <formula>"En cours"</formula>
    </cfRule>
  </conditionalFormatting>
  <conditionalFormatting sqref="AK81">
    <cfRule type="cellIs" dxfId="567" priority="52652" stopIfTrue="1" operator="notEqual">
      <formula>"En cours"</formula>
    </cfRule>
  </conditionalFormatting>
  <conditionalFormatting sqref="AJ75">
    <cfRule type="cellIs" dxfId="566" priority="52653" stopIfTrue="1" operator="equal">
      <formula>"En cours"</formula>
    </cfRule>
  </conditionalFormatting>
  <conditionalFormatting sqref="AJ75">
    <cfRule type="cellIs" dxfId="565" priority="52654" stopIfTrue="1" operator="notEqual">
      <formula>"En cours"</formula>
    </cfRule>
  </conditionalFormatting>
  <conditionalFormatting sqref="AK75">
    <cfRule type="cellIs" dxfId="564" priority="52655" stopIfTrue="1" operator="equal">
      <formula>"En cours"</formula>
    </cfRule>
  </conditionalFormatting>
  <conditionalFormatting sqref="AK75">
    <cfRule type="cellIs" dxfId="563" priority="52656" stopIfTrue="1" operator="notEqual">
      <formula>"En cours"</formula>
    </cfRule>
  </conditionalFormatting>
  <conditionalFormatting sqref="AJ90">
    <cfRule type="cellIs" dxfId="562" priority="52657" stopIfTrue="1" operator="equal">
      <formula>"En cours"</formula>
    </cfRule>
  </conditionalFormatting>
  <conditionalFormatting sqref="AJ90">
    <cfRule type="cellIs" dxfId="561" priority="52658" stopIfTrue="1" operator="notEqual">
      <formula>"En cours"</formula>
    </cfRule>
  </conditionalFormatting>
  <conditionalFormatting sqref="AK90">
    <cfRule type="cellIs" dxfId="560" priority="52659" stopIfTrue="1" operator="equal">
      <formula>"En cours"</formula>
    </cfRule>
  </conditionalFormatting>
  <conditionalFormatting sqref="AK90">
    <cfRule type="cellIs" dxfId="559" priority="52660" stopIfTrue="1" operator="notEqual">
      <formula>"En cours"</formula>
    </cfRule>
  </conditionalFormatting>
  <conditionalFormatting sqref="AJ70">
    <cfRule type="cellIs" dxfId="558" priority="52661" stopIfTrue="1" operator="equal">
      <formula>"En cours"</formula>
    </cfRule>
  </conditionalFormatting>
  <conditionalFormatting sqref="AJ70">
    <cfRule type="cellIs" dxfId="557" priority="52662" stopIfTrue="1" operator="notEqual">
      <formula>"En cours"</formula>
    </cfRule>
  </conditionalFormatting>
  <conditionalFormatting sqref="AK70">
    <cfRule type="cellIs" dxfId="556" priority="52663" stopIfTrue="1" operator="equal">
      <formula>"En cours"</formula>
    </cfRule>
  </conditionalFormatting>
  <conditionalFormatting sqref="AK70">
    <cfRule type="cellIs" dxfId="555" priority="52664" stopIfTrue="1" operator="notEqual">
      <formula>"En cours"</formula>
    </cfRule>
  </conditionalFormatting>
  <conditionalFormatting sqref="AJ93">
    <cfRule type="cellIs" dxfId="554" priority="52665" stopIfTrue="1" operator="equal">
      <formula>"En cours"</formula>
    </cfRule>
    <cfRule type="cellIs" dxfId="553" priority="52666" stopIfTrue="1" operator="notEqual">
      <formula>"En cours"</formula>
    </cfRule>
  </conditionalFormatting>
  <conditionalFormatting sqref="AK93">
    <cfRule type="cellIs" dxfId="552" priority="52667" stopIfTrue="1" operator="equal">
      <formula>"En cours"</formula>
    </cfRule>
    <cfRule type="cellIs" dxfId="551" priority="52668" stopIfTrue="1" operator="notEqual">
      <formula>"En cours"</formula>
    </cfRule>
  </conditionalFormatting>
  <conditionalFormatting sqref="AJ96">
    <cfRule type="cellIs" dxfId="550" priority="52669" stopIfTrue="1" operator="equal">
      <formula>"En cours"</formula>
    </cfRule>
    <cfRule type="cellIs" dxfId="549" priority="52670" stopIfTrue="1" operator="notEqual">
      <formula>"En cours"</formula>
    </cfRule>
  </conditionalFormatting>
  <conditionalFormatting sqref="AK96">
    <cfRule type="cellIs" dxfId="548" priority="52671" stopIfTrue="1" operator="equal">
      <formula>"En cours"</formula>
    </cfRule>
    <cfRule type="cellIs" dxfId="547" priority="52672" stopIfTrue="1" operator="notEqual">
      <formula>"En cours"</formula>
    </cfRule>
  </conditionalFormatting>
  <conditionalFormatting sqref="AJ80">
    <cfRule type="cellIs" dxfId="546" priority="52673" stopIfTrue="1" operator="equal">
      <formula>"En cours"</formula>
    </cfRule>
  </conditionalFormatting>
  <conditionalFormatting sqref="AJ80">
    <cfRule type="cellIs" dxfId="545" priority="52674" stopIfTrue="1" operator="notEqual">
      <formula>"En cours"</formula>
    </cfRule>
  </conditionalFormatting>
  <conditionalFormatting sqref="AK80">
    <cfRule type="cellIs" dxfId="544" priority="52675" stopIfTrue="1" operator="equal">
      <formula>"En cours"</formula>
    </cfRule>
  </conditionalFormatting>
  <conditionalFormatting sqref="AK80">
    <cfRule type="cellIs" dxfId="543" priority="52676" stopIfTrue="1" operator="notEqual">
      <formula>"En cours"</formula>
    </cfRule>
  </conditionalFormatting>
  <conditionalFormatting sqref="AJ97">
    <cfRule type="cellIs" dxfId="542" priority="52677" stopIfTrue="1" operator="equal">
      <formula>"En cours"</formula>
    </cfRule>
  </conditionalFormatting>
  <conditionalFormatting sqref="AJ97">
    <cfRule type="cellIs" dxfId="541" priority="52678" stopIfTrue="1" operator="notEqual">
      <formula>"En cours"</formula>
    </cfRule>
  </conditionalFormatting>
  <conditionalFormatting sqref="AK97">
    <cfRule type="cellIs" dxfId="540" priority="52679" stopIfTrue="1" operator="equal">
      <formula>"En cours"</formula>
    </cfRule>
  </conditionalFormatting>
  <conditionalFormatting sqref="AK97">
    <cfRule type="cellIs" dxfId="539" priority="52680" stopIfTrue="1" operator="notEqual">
      <formula>"En cours"</formula>
    </cfRule>
  </conditionalFormatting>
  <conditionalFormatting sqref="AJ83">
    <cfRule type="cellIs" dxfId="538" priority="52681" stopIfTrue="1" operator="equal">
      <formula>"En cours"</formula>
    </cfRule>
  </conditionalFormatting>
  <conditionalFormatting sqref="AJ83">
    <cfRule type="cellIs" dxfId="537" priority="52682" stopIfTrue="1" operator="notEqual">
      <formula>"En cours"</formula>
    </cfRule>
  </conditionalFormatting>
  <conditionalFormatting sqref="AK83">
    <cfRule type="cellIs" dxfId="536" priority="52683" stopIfTrue="1" operator="equal">
      <formula>"En cours"</formula>
    </cfRule>
  </conditionalFormatting>
  <conditionalFormatting sqref="AK83">
    <cfRule type="cellIs" dxfId="535" priority="52684" stopIfTrue="1" operator="notEqual">
      <formula>"En cours"</formula>
    </cfRule>
  </conditionalFormatting>
  <conditionalFormatting sqref="AJ100">
    <cfRule type="cellIs" dxfId="534" priority="52685" stopIfTrue="1" operator="equal">
      <formula>"En cours"</formula>
    </cfRule>
  </conditionalFormatting>
  <conditionalFormatting sqref="AJ100">
    <cfRule type="cellIs" dxfId="533" priority="52686" stopIfTrue="1" operator="notEqual">
      <formula>"En cours"</formula>
    </cfRule>
  </conditionalFormatting>
  <conditionalFormatting sqref="AK100">
    <cfRule type="cellIs" dxfId="532" priority="52687" stopIfTrue="1" operator="equal">
      <formula>"En cours"</formula>
    </cfRule>
  </conditionalFormatting>
  <conditionalFormatting sqref="AK100">
    <cfRule type="cellIs" dxfId="531" priority="52688" stopIfTrue="1" operator="notEqual">
      <formula>"En cours"</formula>
    </cfRule>
  </conditionalFormatting>
  <conditionalFormatting sqref="AJ72">
    <cfRule type="cellIs" dxfId="530" priority="52689" stopIfTrue="1" operator="equal">
      <formula>"En cours"</formula>
    </cfRule>
  </conditionalFormatting>
  <conditionalFormatting sqref="AJ72">
    <cfRule type="cellIs" dxfId="529" priority="52690" stopIfTrue="1" operator="notEqual">
      <formula>"En cours"</formula>
    </cfRule>
  </conditionalFormatting>
  <conditionalFormatting sqref="AK72">
    <cfRule type="cellIs" dxfId="528" priority="52691" stopIfTrue="1" operator="equal">
      <formula>"En cours"</formula>
    </cfRule>
  </conditionalFormatting>
  <conditionalFormatting sqref="AK72">
    <cfRule type="cellIs" dxfId="527" priority="52692" stopIfTrue="1" operator="notEqual">
      <formula>"En cours"</formula>
    </cfRule>
  </conditionalFormatting>
  <conditionalFormatting sqref="AJ87">
    <cfRule type="cellIs" dxfId="526" priority="52693" stopIfTrue="1" operator="equal">
      <formula>"En cours"</formula>
    </cfRule>
  </conditionalFormatting>
  <conditionalFormatting sqref="AJ87">
    <cfRule type="cellIs" dxfId="525" priority="52694" stopIfTrue="1" operator="notEqual">
      <formula>"En cours"</formula>
    </cfRule>
  </conditionalFormatting>
  <conditionalFormatting sqref="AK87">
    <cfRule type="cellIs" dxfId="524" priority="52695" stopIfTrue="1" operator="equal">
      <formula>"En cours"</formula>
    </cfRule>
  </conditionalFormatting>
  <conditionalFormatting sqref="AK87">
    <cfRule type="cellIs" dxfId="523" priority="52696" stopIfTrue="1" operator="notEqual">
      <formula>"En cours"</formula>
    </cfRule>
  </conditionalFormatting>
  <conditionalFormatting sqref="AJ101">
    <cfRule type="cellIs" dxfId="522" priority="52697" stopIfTrue="1" operator="equal">
      <formula>"En cours"</formula>
    </cfRule>
  </conditionalFormatting>
  <conditionalFormatting sqref="AJ101">
    <cfRule type="cellIs" dxfId="521" priority="52698" stopIfTrue="1" operator="notEqual">
      <formula>"En cours"</formula>
    </cfRule>
  </conditionalFormatting>
  <conditionalFormatting sqref="AK101">
    <cfRule type="cellIs" dxfId="520" priority="52699" stopIfTrue="1" operator="equal">
      <formula>"En cours"</formula>
    </cfRule>
  </conditionalFormatting>
  <conditionalFormatting sqref="AK101">
    <cfRule type="cellIs" dxfId="519" priority="52700" stopIfTrue="1" operator="notEqual">
      <formula>"En cours"</formula>
    </cfRule>
  </conditionalFormatting>
  <conditionalFormatting sqref="AJ89">
    <cfRule type="cellIs" dxfId="518" priority="52701" stopIfTrue="1" operator="equal">
      <formula>"En cours"</formula>
    </cfRule>
  </conditionalFormatting>
  <conditionalFormatting sqref="AJ89">
    <cfRule type="cellIs" dxfId="517" priority="52702" stopIfTrue="1" operator="notEqual">
      <formula>"En cours"</formula>
    </cfRule>
  </conditionalFormatting>
  <conditionalFormatting sqref="AK89">
    <cfRule type="cellIs" dxfId="516" priority="52703" stopIfTrue="1" operator="equal">
      <formula>"En cours"</formula>
    </cfRule>
  </conditionalFormatting>
  <conditionalFormatting sqref="AK89">
    <cfRule type="cellIs" dxfId="515" priority="52704" stopIfTrue="1" operator="notEqual">
      <formula>"En cours"</formula>
    </cfRule>
  </conditionalFormatting>
  <conditionalFormatting sqref="AJ98">
    <cfRule type="cellIs" dxfId="514" priority="52705" stopIfTrue="1" operator="equal">
      <formula>"En cours"</formula>
    </cfRule>
  </conditionalFormatting>
  <conditionalFormatting sqref="AJ98">
    <cfRule type="cellIs" dxfId="513" priority="52706" stopIfTrue="1" operator="notEqual">
      <formula>"En cours"</formula>
    </cfRule>
  </conditionalFormatting>
  <conditionalFormatting sqref="AK98">
    <cfRule type="cellIs" dxfId="512" priority="52707" stopIfTrue="1" operator="equal">
      <formula>"En cours"</formula>
    </cfRule>
  </conditionalFormatting>
  <conditionalFormatting sqref="AK98">
    <cfRule type="cellIs" dxfId="511" priority="52708" stopIfTrue="1" operator="notEqual">
      <formula>"En cours"</formula>
    </cfRule>
  </conditionalFormatting>
  <conditionalFormatting sqref="AJ91">
    <cfRule type="cellIs" dxfId="510" priority="52709" stopIfTrue="1" operator="equal">
      <formula>"En cours"</formula>
    </cfRule>
  </conditionalFormatting>
  <conditionalFormatting sqref="AJ91">
    <cfRule type="cellIs" dxfId="509" priority="52710" stopIfTrue="1" operator="notEqual">
      <formula>"En cours"</formula>
    </cfRule>
  </conditionalFormatting>
  <conditionalFormatting sqref="AK91">
    <cfRule type="cellIs" dxfId="508" priority="52711" stopIfTrue="1" operator="equal">
      <formula>"En cours"</formula>
    </cfRule>
  </conditionalFormatting>
  <conditionalFormatting sqref="AK91">
    <cfRule type="cellIs" dxfId="507" priority="52712" stopIfTrue="1" operator="notEqual">
      <formula>"En cours"</formula>
    </cfRule>
  </conditionalFormatting>
  <conditionalFormatting sqref="AJ92">
    <cfRule type="cellIs" dxfId="506" priority="52713" stopIfTrue="1" operator="equal">
      <formula>"En cours"</formula>
    </cfRule>
  </conditionalFormatting>
  <conditionalFormatting sqref="AJ92">
    <cfRule type="cellIs" dxfId="505" priority="52714" stopIfTrue="1" operator="notEqual">
      <formula>"En cours"</formula>
    </cfRule>
  </conditionalFormatting>
  <conditionalFormatting sqref="AK92">
    <cfRule type="cellIs" dxfId="504" priority="52715" stopIfTrue="1" operator="equal">
      <formula>"En cours"</formula>
    </cfRule>
  </conditionalFormatting>
  <conditionalFormatting sqref="AK92">
    <cfRule type="cellIs" dxfId="503" priority="52716" stopIfTrue="1" operator="notEqual">
      <formula>"En cours"</formula>
    </cfRule>
  </conditionalFormatting>
  <conditionalFormatting sqref="AJ84">
    <cfRule type="cellIs" dxfId="502" priority="52717" stopIfTrue="1" operator="equal">
      <formula>"En cours"</formula>
    </cfRule>
  </conditionalFormatting>
  <conditionalFormatting sqref="AJ84">
    <cfRule type="cellIs" dxfId="501" priority="52718" stopIfTrue="1" operator="notEqual">
      <formula>"En cours"</formula>
    </cfRule>
  </conditionalFormatting>
  <conditionalFormatting sqref="AK84">
    <cfRule type="cellIs" dxfId="500" priority="52719" stopIfTrue="1" operator="equal">
      <formula>"En cours"</formula>
    </cfRule>
  </conditionalFormatting>
  <conditionalFormatting sqref="AK84">
    <cfRule type="cellIs" dxfId="499" priority="52720" stopIfTrue="1" operator="notEqual">
      <formula>"En cours"</formula>
    </cfRule>
  </conditionalFormatting>
  <conditionalFormatting sqref="AJ99">
    <cfRule type="cellIs" dxfId="498" priority="52721" stopIfTrue="1" operator="equal">
      <formula>"En cours"</formula>
    </cfRule>
  </conditionalFormatting>
  <conditionalFormatting sqref="AJ99">
    <cfRule type="cellIs" dxfId="497" priority="52722" stopIfTrue="1" operator="notEqual">
      <formula>"En cours"</formula>
    </cfRule>
  </conditionalFormatting>
  <conditionalFormatting sqref="AK99">
    <cfRule type="cellIs" dxfId="496" priority="52723" stopIfTrue="1" operator="equal">
      <formula>"En cours"</formula>
    </cfRule>
  </conditionalFormatting>
  <conditionalFormatting sqref="AK99">
    <cfRule type="cellIs" dxfId="495" priority="52724" stopIfTrue="1" operator="notEqual">
      <formula>"En cours"</formula>
    </cfRule>
  </conditionalFormatting>
  <conditionalFormatting sqref="AJ95">
    <cfRule type="cellIs" dxfId="494" priority="52725" stopIfTrue="1" operator="equal">
      <formula>"En cours"</formula>
    </cfRule>
    <cfRule type="cellIs" dxfId="493" priority="52726" stopIfTrue="1" operator="notEqual">
      <formula>"En cours"</formula>
    </cfRule>
  </conditionalFormatting>
  <conditionalFormatting sqref="AK95">
    <cfRule type="cellIs" dxfId="492" priority="52727" stopIfTrue="1" operator="equal">
      <formula>"En cours"</formula>
    </cfRule>
    <cfRule type="cellIs" dxfId="491" priority="52728" stopIfTrue="1" operator="notEqual">
      <formula>"En cours"</formula>
    </cfRule>
  </conditionalFormatting>
  <conditionalFormatting sqref="AJ102">
    <cfRule type="cellIs" dxfId="490" priority="52729" stopIfTrue="1" operator="equal">
      <formula>"En cours"</formula>
    </cfRule>
  </conditionalFormatting>
  <conditionalFormatting sqref="AJ102">
    <cfRule type="cellIs" dxfId="489" priority="52730" stopIfTrue="1" operator="notEqual">
      <formula>"En cours"</formula>
    </cfRule>
  </conditionalFormatting>
  <conditionalFormatting sqref="AK102">
    <cfRule type="cellIs" dxfId="488" priority="52731" stopIfTrue="1" operator="equal">
      <formula>"En cours"</formula>
    </cfRule>
  </conditionalFormatting>
  <conditionalFormatting sqref="AK102">
    <cfRule type="cellIs" dxfId="487" priority="52732" stopIfTrue="1" operator="notEqual">
      <formula>"En cours"</formula>
    </cfRule>
  </conditionalFormatting>
  <conditionalFormatting sqref="AJ103">
    <cfRule type="cellIs" dxfId="486" priority="52733" stopIfTrue="1" operator="equal">
      <formula>"En cours"</formula>
    </cfRule>
  </conditionalFormatting>
  <conditionalFormatting sqref="AJ103">
    <cfRule type="cellIs" dxfId="485" priority="52734" stopIfTrue="1" operator="notEqual">
      <formula>"En cours"</formula>
    </cfRule>
  </conditionalFormatting>
  <conditionalFormatting sqref="AK103">
    <cfRule type="cellIs" dxfId="484" priority="52735" stopIfTrue="1" operator="equal">
      <formula>"En cours"</formula>
    </cfRule>
  </conditionalFormatting>
  <conditionalFormatting sqref="AK103">
    <cfRule type="cellIs" dxfId="483" priority="52736" stopIfTrue="1" operator="notEqual">
      <formula>"En cours"</formula>
    </cfRule>
  </conditionalFormatting>
  <conditionalFormatting sqref="AJ85">
    <cfRule type="cellIs" dxfId="482" priority="52737" stopIfTrue="1" operator="equal">
      <formula>"En cours"</formula>
    </cfRule>
  </conditionalFormatting>
  <conditionalFormatting sqref="AJ85">
    <cfRule type="cellIs" dxfId="481" priority="52738" stopIfTrue="1" operator="notEqual">
      <formula>"En cours"</formula>
    </cfRule>
  </conditionalFormatting>
  <conditionalFormatting sqref="AK85">
    <cfRule type="cellIs" dxfId="480" priority="52739" stopIfTrue="1" operator="equal">
      <formula>"En cours"</formula>
    </cfRule>
  </conditionalFormatting>
  <conditionalFormatting sqref="AK85">
    <cfRule type="cellIs" dxfId="479" priority="52740" stopIfTrue="1" operator="notEqual">
      <formula>"En cours"</formula>
    </cfRule>
  </conditionalFormatting>
  <conditionalFormatting sqref="AJ94">
    <cfRule type="cellIs" dxfId="478" priority="52741" stopIfTrue="1" operator="equal">
      <formula>"En cours"</formula>
    </cfRule>
    <cfRule type="cellIs" dxfId="477" priority="52742" stopIfTrue="1" operator="notEqual">
      <formula>"En cours"</formula>
    </cfRule>
  </conditionalFormatting>
  <conditionalFormatting sqref="AK94">
    <cfRule type="cellIs" dxfId="476" priority="52743" stopIfTrue="1" operator="equal">
      <formula>"En cours"</formula>
    </cfRule>
    <cfRule type="cellIs" dxfId="475" priority="52744" stopIfTrue="1" operator="notEqual">
      <formula>"En cours"</formula>
    </cfRule>
  </conditionalFormatting>
  <conditionalFormatting sqref="AJ88">
    <cfRule type="cellIs" dxfId="474" priority="52745" stopIfTrue="1" operator="equal">
      <formula>"En cours"</formula>
    </cfRule>
  </conditionalFormatting>
  <conditionalFormatting sqref="AJ88">
    <cfRule type="cellIs" dxfId="473" priority="52746" stopIfTrue="1" operator="notEqual">
      <formula>"En cours"</formula>
    </cfRule>
  </conditionalFormatting>
  <conditionalFormatting sqref="AK88">
    <cfRule type="cellIs" dxfId="472" priority="52747" stopIfTrue="1" operator="equal">
      <formula>"En cours"</formula>
    </cfRule>
  </conditionalFormatting>
  <conditionalFormatting sqref="AK88">
    <cfRule type="cellIs" dxfId="471" priority="52748" stopIfTrue="1" operator="notEqual">
      <formula>"En cours"</formula>
    </cfRule>
  </conditionalFormatting>
  <conditionalFormatting sqref="AJ43">
    <cfRule type="cellIs" dxfId="470" priority="52905" stopIfTrue="1" operator="equal">
      <formula>"En cours"</formula>
    </cfRule>
  </conditionalFormatting>
  <conditionalFormatting sqref="AJ43">
    <cfRule type="cellIs" dxfId="469" priority="52906" stopIfTrue="1" operator="notEqual">
      <formula>"En cours"</formula>
    </cfRule>
  </conditionalFormatting>
  <conditionalFormatting sqref="AK43">
    <cfRule type="cellIs" dxfId="468" priority="52907" stopIfTrue="1" operator="equal">
      <formula>"En cours"</formula>
    </cfRule>
  </conditionalFormatting>
  <conditionalFormatting sqref="AK43">
    <cfRule type="cellIs" dxfId="467" priority="52908" stopIfTrue="1" operator="notEqual">
      <formula>"En cours"</formula>
    </cfRule>
  </conditionalFormatting>
  <conditionalFormatting sqref="AJ44">
    <cfRule type="cellIs" dxfId="466" priority="52909" stopIfTrue="1" operator="equal">
      <formula>"En cours"</formula>
    </cfRule>
  </conditionalFormatting>
  <conditionalFormatting sqref="AJ44">
    <cfRule type="cellIs" dxfId="465" priority="52910" stopIfTrue="1" operator="notEqual">
      <formula>"En cours"</formula>
    </cfRule>
  </conditionalFormatting>
  <conditionalFormatting sqref="AK44">
    <cfRule type="cellIs" dxfId="464" priority="52911" stopIfTrue="1" operator="equal">
      <formula>"En cours"</formula>
    </cfRule>
  </conditionalFormatting>
  <conditionalFormatting sqref="AK44">
    <cfRule type="cellIs" dxfId="463" priority="52912" stopIfTrue="1" operator="notEqual">
      <formula>"En cours"</formula>
    </cfRule>
  </conditionalFormatting>
  <conditionalFormatting sqref="AJ45">
    <cfRule type="cellIs" dxfId="462" priority="52913" stopIfTrue="1" operator="equal">
      <formula>"En cours"</formula>
    </cfRule>
  </conditionalFormatting>
  <conditionalFormatting sqref="AJ45">
    <cfRule type="cellIs" dxfId="461" priority="52914" stopIfTrue="1" operator="notEqual">
      <formula>"En cours"</formula>
    </cfRule>
  </conditionalFormatting>
  <conditionalFormatting sqref="AK45">
    <cfRule type="cellIs" dxfId="460" priority="52915" stopIfTrue="1" operator="equal">
      <formula>"En cours"</formula>
    </cfRule>
  </conditionalFormatting>
  <conditionalFormatting sqref="AK45">
    <cfRule type="cellIs" dxfId="459" priority="52916" stopIfTrue="1" operator="notEqual">
      <formula>"En cours"</formula>
    </cfRule>
  </conditionalFormatting>
  <conditionalFormatting sqref="AJ46">
    <cfRule type="cellIs" dxfId="458" priority="52917" stopIfTrue="1" operator="equal">
      <formula>"En cours"</formula>
    </cfRule>
  </conditionalFormatting>
  <conditionalFormatting sqref="AJ46">
    <cfRule type="cellIs" dxfId="457" priority="52918" stopIfTrue="1" operator="notEqual">
      <formula>"En cours"</formula>
    </cfRule>
  </conditionalFormatting>
  <conditionalFormatting sqref="AK46">
    <cfRule type="cellIs" dxfId="456" priority="52919" stopIfTrue="1" operator="equal">
      <formula>"En cours"</formula>
    </cfRule>
  </conditionalFormatting>
  <conditionalFormatting sqref="AK46">
    <cfRule type="cellIs" dxfId="455" priority="52920" stopIfTrue="1" operator="notEqual">
      <formula>"En cours"</formula>
    </cfRule>
  </conditionalFormatting>
  <conditionalFormatting sqref="AJ47">
    <cfRule type="cellIs" dxfId="454" priority="52921" stopIfTrue="1" operator="equal">
      <formula>"En cours"</formula>
    </cfRule>
  </conditionalFormatting>
  <conditionalFormatting sqref="AJ47">
    <cfRule type="cellIs" dxfId="453" priority="52922" stopIfTrue="1" operator="notEqual">
      <formula>"En cours"</formula>
    </cfRule>
  </conditionalFormatting>
  <conditionalFormatting sqref="AK47">
    <cfRule type="cellIs" dxfId="452" priority="52923" stopIfTrue="1" operator="equal">
      <formula>"En cours"</formula>
    </cfRule>
  </conditionalFormatting>
  <conditionalFormatting sqref="AK47">
    <cfRule type="cellIs" dxfId="451" priority="52924" stopIfTrue="1" operator="notEqual">
      <formula>"En cours"</formula>
    </cfRule>
  </conditionalFormatting>
  <conditionalFormatting sqref="AJ48">
    <cfRule type="cellIs" dxfId="450" priority="52925" stopIfTrue="1" operator="equal">
      <formula>"En cours"</formula>
    </cfRule>
  </conditionalFormatting>
  <conditionalFormatting sqref="AJ48">
    <cfRule type="cellIs" dxfId="449" priority="52926" stopIfTrue="1" operator="notEqual">
      <formula>"En cours"</formula>
    </cfRule>
  </conditionalFormatting>
  <conditionalFormatting sqref="AK48">
    <cfRule type="cellIs" dxfId="448" priority="52927" stopIfTrue="1" operator="equal">
      <formula>"En cours"</formula>
    </cfRule>
  </conditionalFormatting>
  <conditionalFormatting sqref="AK48">
    <cfRule type="cellIs" dxfId="447" priority="52928" stopIfTrue="1" operator="notEqual">
      <formula>"En cours"</formula>
    </cfRule>
  </conditionalFormatting>
  <conditionalFormatting sqref="AJ49">
    <cfRule type="cellIs" dxfId="446" priority="52929" stopIfTrue="1" operator="equal">
      <formula>"En cours"</formula>
    </cfRule>
  </conditionalFormatting>
  <conditionalFormatting sqref="AJ49">
    <cfRule type="cellIs" dxfId="445" priority="52930" stopIfTrue="1" operator="notEqual">
      <formula>"En cours"</formula>
    </cfRule>
  </conditionalFormatting>
  <conditionalFormatting sqref="AK49">
    <cfRule type="cellIs" dxfId="444" priority="52931" stopIfTrue="1" operator="equal">
      <formula>"En cours"</formula>
    </cfRule>
  </conditionalFormatting>
  <conditionalFormatting sqref="AK49">
    <cfRule type="cellIs" dxfId="443" priority="52932" stopIfTrue="1" operator="notEqual">
      <formula>"En cours"</formula>
    </cfRule>
  </conditionalFormatting>
  <conditionalFormatting sqref="AJ50">
    <cfRule type="cellIs" dxfId="442" priority="52933" stopIfTrue="1" operator="equal">
      <formula>"En cours"</formula>
    </cfRule>
  </conditionalFormatting>
  <conditionalFormatting sqref="AJ50">
    <cfRule type="cellIs" dxfId="441" priority="52934" stopIfTrue="1" operator="notEqual">
      <formula>"En cours"</formula>
    </cfRule>
  </conditionalFormatting>
  <conditionalFormatting sqref="AK50">
    <cfRule type="cellIs" dxfId="440" priority="52935" stopIfTrue="1" operator="equal">
      <formula>"En cours"</formula>
    </cfRule>
  </conditionalFormatting>
  <conditionalFormatting sqref="AK50">
    <cfRule type="cellIs" dxfId="439" priority="52936" stopIfTrue="1" operator="notEqual">
      <formula>"En cours"</formula>
    </cfRule>
  </conditionalFormatting>
  <conditionalFormatting sqref="AJ51">
    <cfRule type="cellIs" dxfId="438" priority="52937" stopIfTrue="1" operator="equal">
      <formula>"En cours"</formula>
    </cfRule>
  </conditionalFormatting>
  <conditionalFormatting sqref="AJ51">
    <cfRule type="cellIs" dxfId="437" priority="52938" stopIfTrue="1" operator="notEqual">
      <formula>"En cours"</formula>
    </cfRule>
  </conditionalFormatting>
  <conditionalFormatting sqref="AK51">
    <cfRule type="cellIs" dxfId="436" priority="52939" stopIfTrue="1" operator="equal">
      <formula>"En cours"</formula>
    </cfRule>
  </conditionalFormatting>
  <conditionalFormatting sqref="AK51">
    <cfRule type="cellIs" dxfId="435" priority="52940" stopIfTrue="1" operator="notEqual">
      <formula>"En cours"</formula>
    </cfRule>
  </conditionalFormatting>
  <conditionalFormatting sqref="AJ52">
    <cfRule type="cellIs" dxfId="434" priority="52941" stopIfTrue="1" operator="equal">
      <formula>"En cours"</formula>
    </cfRule>
  </conditionalFormatting>
  <conditionalFormatting sqref="AJ52">
    <cfRule type="cellIs" dxfId="433" priority="52942" stopIfTrue="1" operator="notEqual">
      <formula>"En cours"</formula>
    </cfRule>
  </conditionalFormatting>
  <conditionalFormatting sqref="AK52">
    <cfRule type="cellIs" dxfId="432" priority="52943" stopIfTrue="1" operator="equal">
      <formula>"En cours"</formula>
    </cfRule>
  </conditionalFormatting>
  <conditionalFormatting sqref="AK52">
    <cfRule type="cellIs" dxfId="431" priority="52944" stopIfTrue="1" operator="notEqual">
      <formula>"En cours"</formula>
    </cfRule>
  </conditionalFormatting>
  <conditionalFormatting sqref="AJ53">
    <cfRule type="cellIs" dxfId="430" priority="52945" stopIfTrue="1" operator="equal">
      <formula>"En cours"</formula>
    </cfRule>
  </conditionalFormatting>
  <conditionalFormatting sqref="AJ53">
    <cfRule type="cellIs" dxfId="429" priority="52946" stopIfTrue="1" operator="notEqual">
      <formula>"En cours"</formula>
    </cfRule>
  </conditionalFormatting>
  <conditionalFormatting sqref="AK53">
    <cfRule type="cellIs" dxfId="428" priority="52947" stopIfTrue="1" operator="equal">
      <formula>"En cours"</formula>
    </cfRule>
  </conditionalFormatting>
  <conditionalFormatting sqref="AK53">
    <cfRule type="cellIs" dxfId="427" priority="52948" stopIfTrue="1" operator="notEqual">
      <formula>"En cours"</formula>
    </cfRule>
  </conditionalFormatting>
  <conditionalFormatting sqref="AJ54">
    <cfRule type="cellIs" dxfId="426" priority="52949" stopIfTrue="1" operator="equal">
      <formula>"En cours"</formula>
    </cfRule>
  </conditionalFormatting>
  <conditionalFormatting sqref="AJ54">
    <cfRule type="cellIs" dxfId="425" priority="52950" stopIfTrue="1" operator="notEqual">
      <formula>"En cours"</formula>
    </cfRule>
  </conditionalFormatting>
  <conditionalFormatting sqref="AK54">
    <cfRule type="cellIs" dxfId="424" priority="52951" stopIfTrue="1" operator="equal">
      <formula>"En cours"</formula>
    </cfRule>
  </conditionalFormatting>
  <conditionalFormatting sqref="AK54">
    <cfRule type="cellIs" dxfId="423" priority="52952" stopIfTrue="1" operator="notEqual">
      <formula>"En cours"</formula>
    </cfRule>
  </conditionalFormatting>
  <conditionalFormatting sqref="AJ55">
    <cfRule type="cellIs" dxfId="422" priority="52953" stopIfTrue="1" operator="equal">
      <formula>"En cours"</formula>
    </cfRule>
  </conditionalFormatting>
  <conditionalFormatting sqref="AJ55">
    <cfRule type="cellIs" dxfId="421" priority="52954" stopIfTrue="1" operator="notEqual">
      <formula>"En cours"</formula>
    </cfRule>
  </conditionalFormatting>
  <conditionalFormatting sqref="AK55">
    <cfRule type="cellIs" dxfId="420" priority="52955" stopIfTrue="1" operator="equal">
      <formula>"En cours"</formula>
    </cfRule>
  </conditionalFormatting>
  <conditionalFormatting sqref="AK55">
    <cfRule type="cellIs" dxfId="419" priority="52956" stopIfTrue="1" operator="notEqual">
      <formula>"En cours"</formula>
    </cfRule>
  </conditionalFormatting>
  <conditionalFormatting sqref="AJ56">
    <cfRule type="cellIs" dxfId="418" priority="52957" stopIfTrue="1" operator="equal">
      <formula>"En cours"</formula>
    </cfRule>
  </conditionalFormatting>
  <conditionalFormatting sqref="AJ56">
    <cfRule type="cellIs" dxfId="417" priority="52958" stopIfTrue="1" operator="notEqual">
      <formula>"En cours"</formula>
    </cfRule>
  </conditionalFormatting>
  <conditionalFormatting sqref="AK56">
    <cfRule type="cellIs" dxfId="416" priority="52959" stopIfTrue="1" operator="equal">
      <formula>"En cours"</formula>
    </cfRule>
  </conditionalFormatting>
  <conditionalFormatting sqref="AK56">
    <cfRule type="cellIs" dxfId="415" priority="52960" stopIfTrue="1" operator="notEqual">
      <formula>"En cours"</formula>
    </cfRule>
  </conditionalFormatting>
  <conditionalFormatting sqref="AJ57">
    <cfRule type="cellIs" dxfId="414" priority="52961" stopIfTrue="1" operator="equal">
      <formula>"En cours"</formula>
    </cfRule>
  </conditionalFormatting>
  <conditionalFormatting sqref="AJ57">
    <cfRule type="cellIs" dxfId="413" priority="52962" stopIfTrue="1" operator="notEqual">
      <formula>"En cours"</formula>
    </cfRule>
  </conditionalFormatting>
  <conditionalFormatting sqref="AK57">
    <cfRule type="cellIs" dxfId="412" priority="52963" stopIfTrue="1" operator="equal">
      <formula>"En cours"</formula>
    </cfRule>
  </conditionalFormatting>
  <conditionalFormatting sqref="AK57">
    <cfRule type="cellIs" dxfId="411" priority="52964" stopIfTrue="1" operator="notEqual">
      <formula>"En cours"</formula>
    </cfRule>
  </conditionalFormatting>
  <conditionalFormatting sqref="AJ58">
    <cfRule type="cellIs" dxfId="410" priority="52965" stopIfTrue="1" operator="equal">
      <formula>"En cours"</formula>
    </cfRule>
  </conditionalFormatting>
  <conditionalFormatting sqref="AJ58">
    <cfRule type="cellIs" dxfId="409" priority="52966" stopIfTrue="1" operator="notEqual">
      <formula>"En cours"</formula>
    </cfRule>
  </conditionalFormatting>
  <conditionalFormatting sqref="AK58">
    <cfRule type="cellIs" dxfId="408" priority="52967" stopIfTrue="1" operator="equal">
      <formula>"En cours"</formula>
    </cfRule>
  </conditionalFormatting>
  <conditionalFormatting sqref="AK58">
    <cfRule type="cellIs" dxfId="407" priority="52968" stopIfTrue="1" operator="notEqual">
      <formula>"En cours"</formula>
    </cfRule>
  </conditionalFormatting>
  <conditionalFormatting sqref="AJ59">
    <cfRule type="cellIs" dxfId="406" priority="52969" stopIfTrue="1" operator="equal">
      <formula>"En cours"</formula>
    </cfRule>
  </conditionalFormatting>
  <conditionalFormatting sqref="AJ59">
    <cfRule type="cellIs" dxfId="405" priority="52970" stopIfTrue="1" operator="notEqual">
      <formula>"En cours"</formula>
    </cfRule>
  </conditionalFormatting>
  <conditionalFormatting sqref="AK59">
    <cfRule type="cellIs" dxfId="404" priority="52971" stopIfTrue="1" operator="equal">
      <formula>"En cours"</formula>
    </cfRule>
  </conditionalFormatting>
  <conditionalFormatting sqref="AK59">
    <cfRule type="cellIs" dxfId="403" priority="52972" stopIfTrue="1" operator="notEqual">
      <formula>"En cours"</formula>
    </cfRule>
  </conditionalFormatting>
  <conditionalFormatting sqref="AJ60">
    <cfRule type="cellIs" dxfId="402" priority="52973" stopIfTrue="1" operator="equal">
      <formula>"En cours"</formula>
    </cfRule>
  </conditionalFormatting>
  <conditionalFormatting sqref="AJ60">
    <cfRule type="cellIs" dxfId="401" priority="52974" stopIfTrue="1" operator="notEqual">
      <formula>"En cours"</formula>
    </cfRule>
  </conditionalFormatting>
  <conditionalFormatting sqref="AK60">
    <cfRule type="cellIs" dxfId="400" priority="52975" stopIfTrue="1" operator="equal">
      <formula>"En cours"</formula>
    </cfRule>
  </conditionalFormatting>
  <conditionalFormatting sqref="AK60">
    <cfRule type="cellIs" dxfId="399" priority="52976" stopIfTrue="1" operator="notEqual">
      <formula>"En cours"</formula>
    </cfRule>
  </conditionalFormatting>
  <conditionalFormatting sqref="AJ61">
    <cfRule type="cellIs" dxfId="398" priority="52977" stopIfTrue="1" operator="equal">
      <formula>"En cours"</formula>
    </cfRule>
  </conditionalFormatting>
  <conditionalFormatting sqref="AJ61">
    <cfRule type="cellIs" dxfId="397" priority="52978" stopIfTrue="1" operator="notEqual">
      <formula>"En cours"</formula>
    </cfRule>
  </conditionalFormatting>
  <conditionalFormatting sqref="AK61">
    <cfRule type="cellIs" dxfId="396" priority="52979" stopIfTrue="1" operator="equal">
      <formula>"En cours"</formula>
    </cfRule>
  </conditionalFormatting>
  <conditionalFormatting sqref="AK61">
    <cfRule type="cellIs" dxfId="395" priority="52980" stopIfTrue="1" operator="notEqual">
      <formula>"En cours"</formula>
    </cfRule>
  </conditionalFormatting>
  <conditionalFormatting sqref="AJ62">
    <cfRule type="cellIs" dxfId="394" priority="52981" stopIfTrue="1" operator="equal">
      <formula>"En cours"</formula>
    </cfRule>
  </conditionalFormatting>
  <conditionalFormatting sqref="AJ62">
    <cfRule type="cellIs" dxfId="393" priority="52982" stopIfTrue="1" operator="notEqual">
      <formula>"En cours"</formula>
    </cfRule>
  </conditionalFormatting>
  <conditionalFormatting sqref="AK62">
    <cfRule type="cellIs" dxfId="392" priority="52983" stopIfTrue="1" operator="equal">
      <formula>"En cours"</formula>
    </cfRule>
  </conditionalFormatting>
  <conditionalFormatting sqref="AK62">
    <cfRule type="cellIs" dxfId="391" priority="52984" stopIfTrue="1" operator="notEqual">
      <formula>"En cours"</formula>
    </cfRule>
  </conditionalFormatting>
  <conditionalFormatting sqref="AJ63">
    <cfRule type="cellIs" dxfId="390" priority="52985" stopIfTrue="1" operator="equal">
      <formula>"En cours"</formula>
    </cfRule>
  </conditionalFormatting>
  <conditionalFormatting sqref="AJ63">
    <cfRule type="cellIs" dxfId="389" priority="52986" stopIfTrue="1" operator="notEqual">
      <formula>"En cours"</formula>
    </cfRule>
  </conditionalFormatting>
  <conditionalFormatting sqref="AK63">
    <cfRule type="cellIs" dxfId="388" priority="52987" stopIfTrue="1" operator="equal">
      <formula>"En cours"</formula>
    </cfRule>
  </conditionalFormatting>
  <conditionalFormatting sqref="AK63">
    <cfRule type="cellIs" dxfId="387" priority="52988" stopIfTrue="1" operator="notEqual">
      <formula>"En cours"</formula>
    </cfRule>
  </conditionalFormatting>
  <conditionalFormatting sqref="AJ64">
    <cfRule type="cellIs" dxfId="386" priority="52989" stopIfTrue="1" operator="equal">
      <formula>"En cours"</formula>
    </cfRule>
  </conditionalFormatting>
  <conditionalFormatting sqref="AJ64">
    <cfRule type="cellIs" dxfId="385" priority="52990" stopIfTrue="1" operator="notEqual">
      <formula>"En cours"</formula>
    </cfRule>
  </conditionalFormatting>
  <conditionalFormatting sqref="AK64">
    <cfRule type="cellIs" dxfId="384" priority="52991" stopIfTrue="1" operator="equal">
      <formula>"En cours"</formula>
    </cfRule>
  </conditionalFormatting>
  <conditionalFormatting sqref="AK64">
    <cfRule type="cellIs" dxfId="383" priority="52992" stopIfTrue="1" operator="notEqual">
      <formula>"En cours"</formula>
    </cfRule>
  </conditionalFormatting>
  <conditionalFormatting sqref="AJ65">
    <cfRule type="cellIs" dxfId="382" priority="52993" stopIfTrue="1" operator="equal">
      <formula>"En cours"</formula>
    </cfRule>
  </conditionalFormatting>
  <conditionalFormatting sqref="AJ65">
    <cfRule type="cellIs" dxfId="381" priority="52994" stopIfTrue="1" operator="notEqual">
      <formula>"En cours"</formula>
    </cfRule>
  </conditionalFormatting>
  <conditionalFormatting sqref="AK65">
    <cfRule type="cellIs" dxfId="380" priority="52995" stopIfTrue="1" operator="equal">
      <formula>"En cours"</formula>
    </cfRule>
  </conditionalFormatting>
  <conditionalFormatting sqref="AK65">
    <cfRule type="cellIs" dxfId="379" priority="52996" stopIfTrue="1" operator="notEqual">
      <formula>"En cours"</formula>
    </cfRule>
  </conditionalFormatting>
  <conditionalFormatting sqref="AJ66">
    <cfRule type="cellIs" dxfId="378" priority="52997" stopIfTrue="1" operator="equal">
      <formula>"En cours"</formula>
    </cfRule>
  </conditionalFormatting>
  <conditionalFormatting sqref="AJ66">
    <cfRule type="cellIs" dxfId="377" priority="52998" stopIfTrue="1" operator="notEqual">
      <formula>"En cours"</formula>
    </cfRule>
  </conditionalFormatting>
  <conditionalFormatting sqref="AK66">
    <cfRule type="cellIs" dxfId="376" priority="52999" stopIfTrue="1" operator="equal">
      <formula>"En cours"</formula>
    </cfRule>
  </conditionalFormatting>
  <conditionalFormatting sqref="AK66">
    <cfRule type="cellIs" dxfId="375" priority="53000" stopIfTrue="1" operator="notEqual">
      <formula>"En cours"</formula>
    </cfRule>
  </conditionalFormatting>
  <conditionalFormatting sqref="AJ67">
    <cfRule type="cellIs" dxfId="374" priority="53001" stopIfTrue="1" operator="equal">
      <formula>"En cours"</formula>
    </cfRule>
  </conditionalFormatting>
  <conditionalFormatting sqref="AJ67">
    <cfRule type="cellIs" dxfId="373" priority="53002" stopIfTrue="1" operator="notEqual">
      <formula>"En cours"</formula>
    </cfRule>
  </conditionalFormatting>
  <conditionalFormatting sqref="AK67">
    <cfRule type="cellIs" dxfId="372" priority="53003" stopIfTrue="1" operator="equal">
      <formula>"En cours"</formula>
    </cfRule>
  </conditionalFormatting>
  <conditionalFormatting sqref="AK67">
    <cfRule type="cellIs" dxfId="371" priority="53004" stopIfTrue="1" operator="notEqual">
      <formula>"En cours"</formula>
    </cfRule>
  </conditionalFormatting>
  <conditionalFormatting sqref="AJ22">
    <cfRule type="cellIs" dxfId="370" priority="55145" stopIfTrue="1" operator="equal">
      <formula>"En cours"</formula>
    </cfRule>
  </conditionalFormatting>
  <conditionalFormatting sqref="AJ22">
    <cfRule type="cellIs" dxfId="369" priority="55146" stopIfTrue="1" operator="notEqual">
      <formula>"En cours"</formula>
    </cfRule>
  </conditionalFormatting>
  <conditionalFormatting sqref="AK22">
    <cfRule type="cellIs" dxfId="368" priority="55147" stopIfTrue="1" operator="equal">
      <formula>"En cours"</formula>
    </cfRule>
  </conditionalFormatting>
  <conditionalFormatting sqref="AK22">
    <cfRule type="cellIs" dxfId="367" priority="55148" stopIfTrue="1" operator="notEqual">
      <formula>"En cours"</formula>
    </cfRule>
  </conditionalFormatting>
  <conditionalFormatting sqref="AJ23">
    <cfRule type="cellIs" dxfId="366" priority="55153" stopIfTrue="1" operator="equal">
      <formula>"En cours"</formula>
    </cfRule>
  </conditionalFormatting>
  <conditionalFormatting sqref="AJ23">
    <cfRule type="cellIs" dxfId="365" priority="55154" stopIfTrue="1" operator="notEqual">
      <formula>"En cours"</formula>
    </cfRule>
  </conditionalFormatting>
  <conditionalFormatting sqref="AK23">
    <cfRule type="cellIs" dxfId="364" priority="55155" stopIfTrue="1" operator="equal">
      <formula>"En cours"</formula>
    </cfRule>
  </conditionalFormatting>
  <conditionalFormatting sqref="AK23">
    <cfRule type="cellIs" dxfId="363" priority="55156" stopIfTrue="1" operator="notEqual">
      <formula>"En cours"</formula>
    </cfRule>
  </conditionalFormatting>
  <conditionalFormatting sqref="AJ21">
    <cfRule type="cellIs" dxfId="362" priority="55157" stopIfTrue="1" operator="equal">
      <formula>"En cours"</formula>
    </cfRule>
  </conditionalFormatting>
  <conditionalFormatting sqref="AJ21">
    <cfRule type="cellIs" dxfId="361" priority="55158" stopIfTrue="1" operator="notEqual">
      <formula>"En cours"</formula>
    </cfRule>
  </conditionalFormatting>
  <conditionalFormatting sqref="AK21">
    <cfRule type="cellIs" dxfId="360" priority="55159" stopIfTrue="1" operator="equal">
      <formula>"En cours"</formula>
    </cfRule>
  </conditionalFormatting>
  <conditionalFormatting sqref="AK21">
    <cfRule type="cellIs" dxfId="359" priority="55160" stopIfTrue="1" operator="notEqual">
      <formula>"En cours"</formula>
    </cfRule>
  </conditionalFormatting>
  <conditionalFormatting sqref="AJ27">
    <cfRule type="cellIs" dxfId="358" priority="55161" stopIfTrue="1" operator="equal">
      <formula>"En cours"</formula>
    </cfRule>
  </conditionalFormatting>
  <conditionalFormatting sqref="AJ27">
    <cfRule type="cellIs" dxfId="357" priority="55162" stopIfTrue="1" operator="notEqual">
      <formula>"En cours"</formula>
    </cfRule>
  </conditionalFormatting>
  <conditionalFormatting sqref="AK27">
    <cfRule type="cellIs" dxfId="356" priority="55163" stopIfTrue="1" operator="equal">
      <formula>"En cours"</formula>
    </cfRule>
  </conditionalFormatting>
  <conditionalFormatting sqref="AK27">
    <cfRule type="cellIs" dxfId="355" priority="55164" stopIfTrue="1" operator="notEqual">
      <formula>"En cours"</formula>
    </cfRule>
  </conditionalFormatting>
  <conditionalFormatting sqref="AJ26">
    <cfRule type="cellIs" dxfId="354" priority="55165" stopIfTrue="1" operator="equal">
      <formula>"En cours"</formula>
    </cfRule>
  </conditionalFormatting>
  <conditionalFormatting sqref="AJ26">
    <cfRule type="cellIs" dxfId="353" priority="55166" stopIfTrue="1" operator="notEqual">
      <formula>"En cours"</formula>
    </cfRule>
  </conditionalFormatting>
  <conditionalFormatting sqref="AK26">
    <cfRule type="cellIs" dxfId="352" priority="55167" stopIfTrue="1" operator="equal">
      <formula>"En cours"</formula>
    </cfRule>
  </conditionalFormatting>
  <conditionalFormatting sqref="AK26">
    <cfRule type="cellIs" dxfId="351" priority="55168" stopIfTrue="1" operator="notEqual">
      <formula>"En cours"</formula>
    </cfRule>
  </conditionalFormatting>
  <conditionalFormatting sqref="AJ24">
    <cfRule type="cellIs" dxfId="350" priority="55169" stopIfTrue="1" operator="equal">
      <formula>"En cours"</formula>
    </cfRule>
  </conditionalFormatting>
  <conditionalFormatting sqref="AJ24">
    <cfRule type="cellIs" dxfId="349" priority="55170" stopIfTrue="1" operator="notEqual">
      <formula>"En cours"</formula>
    </cfRule>
  </conditionalFormatting>
  <conditionalFormatting sqref="AK24">
    <cfRule type="cellIs" dxfId="348" priority="55171" stopIfTrue="1" operator="equal">
      <formula>"En cours"</formula>
    </cfRule>
  </conditionalFormatting>
  <conditionalFormatting sqref="AK24">
    <cfRule type="cellIs" dxfId="347" priority="55172" stopIfTrue="1" operator="notEqual">
      <formula>"En cours"</formula>
    </cfRule>
  </conditionalFormatting>
  <conditionalFormatting sqref="AJ28">
    <cfRule type="cellIs" dxfId="346" priority="55173" stopIfTrue="1" operator="equal">
      <formula>"En cours"</formula>
    </cfRule>
  </conditionalFormatting>
  <conditionalFormatting sqref="AJ28">
    <cfRule type="cellIs" dxfId="345" priority="55174" stopIfTrue="1" operator="notEqual">
      <formula>"En cours"</formula>
    </cfRule>
  </conditionalFormatting>
  <conditionalFormatting sqref="AK28">
    <cfRule type="cellIs" dxfId="344" priority="55175" stopIfTrue="1" operator="equal">
      <formula>"En cours"</formula>
    </cfRule>
  </conditionalFormatting>
  <conditionalFormatting sqref="AK28">
    <cfRule type="cellIs" dxfId="343" priority="55176" stopIfTrue="1" operator="notEqual">
      <formula>"En cours"</formula>
    </cfRule>
  </conditionalFormatting>
  <conditionalFormatting sqref="AJ25">
    <cfRule type="cellIs" dxfId="342" priority="55177" stopIfTrue="1" operator="equal">
      <formula>"En cours"</formula>
    </cfRule>
  </conditionalFormatting>
  <conditionalFormatting sqref="AJ25">
    <cfRule type="cellIs" dxfId="341" priority="55178" stopIfTrue="1" operator="notEqual">
      <formula>"En cours"</formula>
    </cfRule>
  </conditionalFormatting>
  <conditionalFormatting sqref="AK25">
    <cfRule type="cellIs" dxfId="340" priority="55179" stopIfTrue="1" operator="equal">
      <formula>"En cours"</formula>
    </cfRule>
  </conditionalFormatting>
  <conditionalFormatting sqref="AK25">
    <cfRule type="cellIs" dxfId="339" priority="55180" stopIfTrue="1" operator="notEqual">
      <formula>"En cours"</formula>
    </cfRule>
  </conditionalFormatting>
  <conditionalFormatting sqref="AJ29">
    <cfRule type="cellIs" dxfId="338" priority="55181" stopIfTrue="1" operator="equal">
      <formula>"En cours"</formula>
    </cfRule>
  </conditionalFormatting>
  <conditionalFormatting sqref="AJ29">
    <cfRule type="cellIs" dxfId="337" priority="55182" stopIfTrue="1" operator="notEqual">
      <formula>"En cours"</formula>
    </cfRule>
  </conditionalFormatting>
  <conditionalFormatting sqref="AK29">
    <cfRule type="cellIs" dxfId="336" priority="55183" stopIfTrue="1" operator="equal">
      <formula>"En cours"</formula>
    </cfRule>
  </conditionalFormatting>
  <conditionalFormatting sqref="AK29">
    <cfRule type="cellIs" dxfId="335" priority="55184" stopIfTrue="1" operator="notEqual">
      <formula>"En cours"</formula>
    </cfRule>
  </conditionalFormatting>
  <conditionalFormatting sqref="AJ30">
    <cfRule type="cellIs" dxfId="334" priority="55185" stopIfTrue="1" operator="equal">
      <formula>"En cours"</formula>
    </cfRule>
  </conditionalFormatting>
  <conditionalFormatting sqref="AJ30">
    <cfRule type="cellIs" dxfId="333" priority="55186" stopIfTrue="1" operator="notEqual">
      <formula>"En cours"</formula>
    </cfRule>
  </conditionalFormatting>
  <conditionalFormatting sqref="AK30">
    <cfRule type="cellIs" dxfId="332" priority="55187" stopIfTrue="1" operator="equal">
      <formula>"En cours"</formula>
    </cfRule>
  </conditionalFormatting>
  <conditionalFormatting sqref="AK30">
    <cfRule type="cellIs" dxfId="331" priority="55188" stopIfTrue="1" operator="notEqual">
      <formula>"En cours"</formula>
    </cfRule>
  </conditionalFormatting>
  <conditionalFormatting sqref="AJ31">
    <cfRule type="cellIs" dxfId="330" priority="55189" stopIfTrue="1" operator="equal">
      <formula>"En cours"</formula>
    </cfRule>
  </conditionalFormatting>
  <conditionalFormatting sqref="AJ31">
    <cfRule type="cellIs" dxfId="329" priority="55190" stopIfTrue="1" operator="notEqual">
      <formula>"En cours"</formula>
    </cfRule>
  </conditionalFormatting>
  <conditionalFormatting sqref="AK31">
    <cfRule type="cellIs" dxfId="328" priority="55191" stopIfTrue="1" operator="equal">
      <formula>"En cours"</formula>
    </cfRule>
  </conditionalFormatting>
  <conditionalFormatting sqref="AK31">
    <cfRule type="cellIs" dxfId="327" priority="55192" stopIfTrue="1" operator="notEqual">
      <formula>"En cours"</formula>
    </cfRule>
  </conditionalFormatting>
  <conditionalFormatting sqref="AJ32">
    <cfRule type="cellIs" dxfId="326" priority="55193" stopIfTrue="1" operator="equal">
      <formula>"En cours"</formula>
    </cfRule>
  </conditionalFormatting>
  <conditionalFormatting sqref="AJ32">
    <cfRule type="cellIs" dxfId="325" priority="55194" stopIfTrue="1" operator="notEqual">
      <formula>"En cours"</formula>
    </cfRule>
  </conditionalFormatting>
  <conditionalFormatting sqref="AK32">
    <cfRule type="cellIs" dxfId="324" priority="55195" stopIfTrue="1" operator="equal">
      <formula>"En cours"</formula>
    </cfRule>
  </conditionalFormatting>
  <conditionalFormatting sqref="AK32">
    <cfRule type="cellIs" dxfId="323" priority="55196" stopIfTrue="1" operator="notEqual">
      <formula>"En cours"</formula>
    </cfRule>
  </conditionalFormatting>
  <conditionalFormatting sqref="AJ33">
    <cfRule type="cellIs" dxfId="322" priority="55197" stopIfTrue="1" operator="equal">
      <formula>"En cours"</formula>
    </cfRule>
  </conditionalFormatting>
  <conditionalFormatting sqref="AJ33">
    <cfRule type="cellIs" dxfId="321" priority="55198" stopIfTrue="1" operator="notEqual">
      <formula>"En cours"</formula>
    </cfRule>
  </conditionalFormatting>
  <conditionalFormatting sqref="AK33">
    <cfRule type="cellIs" dxfId="320" priority="55199" stopIfTrue="1" operator="equal">
      <formula>"En cours"</formula>
    </cfRule>
  </conditionalFormatting>
  <conditionalFormatting sqref="AK33">
    <cfRule type="cellIs" dxfId="319" priority="55200" stopIfTrue="1" operator="notEqual">
      <formula>"En cours"</formula>
    </cfRule>
  </conditionalFormatting>
  <conditionalFormatting sqref="AJ35">
    <cfRule type="cellIs" dxfId="318" priority="55201" stopIfTrue="1" operator="equal">
      <formula>"En cours"</formula>
    </cfRule>
  </conditionalFormatting>
  <conditionalFormatting sqref="AJ35">
    <cfRule type="cellIs" dxfId="317" priority="55202" stopIfTrue="1" operator="notEqual">
      <formula>"En cours"</formula>
    </cfRule>
  </conditionalFormatting>
  <conditionalFormatting sqref="AK35">
    <cfRule type="cellIs" dxfId="316" priority="55203" stopIfTrue="1" operator="equal">
      <formula>"En cours"</formula>
    </cfRule>
  </conditionalFormatting>
  <conditionalFormatting sqref="AK35">
    <cfRule type="cellIs" dxfId="315" priority="55204" stopIfTrue="1" operator="notEqual">
      <formula>"En cours"</formula>
    </cfRule>
  </conditionalFormatting>
  <conditionalFormatting sqref="AJ36">
    <cfRule type="cellIs" dxfId="314" priority="55205" stopIfTrue="1" operator="equal">
      <formula>"En cours"</formula>
    </cfRule>
  </conditionalFormatting>
  <conditionalFormatting sqref="AJ36">
    <cfRule type="cellIs" dxfId="313" priority="55206" stopIfTrue="1" operator="notEqual">
      <formula>"En cours"</formula>
    </cfRule>
  </conditionalFormatting>
  <conditionalFormatting sqref="AK36">
    <cfRule type="cellIs" dxfId="312" priority="55207" stopIfTrue="1" operator="equal">
      <formula>"En cours"</formula>
    </cfRule>
  </conditionalFormatting>
  <conditionalFormatting sqref="AK36">
    <cfRule type="cellIs" dxfId="311" priority="55208" stopIfTrue="1" operator="notEqual">
      <formula>"En cours"</formula>
    </cfRule>
  </conditionalFormatting>
  <conditionalFormatting sqref="AJ38">
    <cfRule type="cellIs" dxfId="310" priority="55209" stopIfTrue="1" operator="equal">
      <formula>"En cours"</formula>
    </cfRule>
  </conditionalFormatting>
  <conditionalFormatting sqref="AJ38">
    <cfRule type="cellIs" dxfId="309" priority="55210" stopIfTrue="1" operator="notEqual">
      <formula>"En cours"</formula>
    </cfRule>
  </conditionalFormatting>
  <conditionalFormatting sqref="AK38">
    <cfRule type="cellIs" dxfId="308" priority="55211" stopIfTrue="1" operator="equal">
      <formula>"En cours"</formula>
    </cfRule>
  </conditionalFormatting>
  <conditionalFormatting sqref="AK38">
    <cfRule type="cellIs" dxfId="307" priority="55212" stopIfTrue="1" operator="notEqual">
      <formula>"En cours"</formula>
    </cfRule>
  </conditionalFormatting>
  <conditionalFormatting sqref="AJ34">
    <cfRule type="cellIs" dxfId="306" priority="55213" stopIfTrue="1" operator="equal">
      <formula>"En cours"</formula>
    </cfRule>
  </conditionalFormatting>
  <conditionalFormatting sqref="AJ34">
    <cfRule type="cellIs" dxfId="305" priority="55214" stopIfTrue="1" operator="notEqual">
      <formula>"En cours"</formula>
    </cfRule>
  </conditionalFormatting>
  <conditionalFormatting sqref="AK34">
    <cfRule type="cellIs" dxfId="304" priority="55215" stopIfTrue="1" operator="equal">
      <formula>"En cours"</formula>
    </cfRule>
  </conditionalFormatting>
  <conditionalFormatting sqref="AK34">
    <cfRule type="cellIs" dxfId="303" priority="55216" stopIfTrue="1" operator="notEqual">
      <formula>"En cours"</formula>
    </cfRule>
  </conditionalFormatting>
  <conditionalFormatting sqref="AJ37">
    <cfRule type="cellIs" dxfId="302" priority="55217" stopIfTrue="1" operator="equal">
      <formula>"En cours"</formula>
    </cfRule>
  </conditionalFormatting>
  <conditionalFormatting sqref="AJ37">
    <cfRule type="cellIs" dxfId="301" priority="55218" stopIfTrue="1" operator="notEqual">
      <formula>"En cours"</formula>
    </cfRule>
  </conditionalFormatting>
  <conditionalFormatting sqref="AK37">
    <cfRule type="cellIs" dxfId="300" priority="55219" stopIfTrue="1" operator="equal">
      <formula>"En cours"</formula>
    </cfRule>
  </conditionalFormatting>
  <conditionalFormatting sqref="AK37">
    <cfRule type="cellIs" dxfId="299" priority="55220" stopIfTrue="1" operator="notEqual">
      <formula>"En cours"</formula>
    </cfRule>
  </conditionalFormatting>
  <conditionalFormatting sqref="AJ39">
    <cfRule type="cellIs" dxfId="298" priority="55221" stopIfTrue="1" operator="equal">
      <formula>"En cours"</formula>
    </cfRule>
  </conditionalFormatting>
  <conditionalFormatting sqref="AJ39">
    <cfRule type="cellIs" dxfId="297" priority="55222" stopIfTrue="1" operator="notEqual">
      <formula>"En cours"</formula>
    </cfRule>
  </conditionalFormatting>
  <conditionalFormatting sqref="AK39">
    <cfRule type="cellIs" dxfId="296" priority="55223" stopIfTrue="1" operator="equal">
      <formula>"En cours"</formula>
    </cfRule>
  </conditionalFormatting>
  <conditionalFormatting sqref="AK39">
    <cfRule type="cellIs" dxfId="295" priority="55224" stopIfTrue="1" operator="notEqual">
      <formula>"En cours"</formula>
    </cfRule>
  </conditionalFormatting>
  <conditionalFormatting sqref="AJ40">
    <cfRule type="cellIs" dxfId="294" priority="55225" stopIfTrue="1" operator="equal">
      <formula>"En cours"</formula>
    </cfRule>
  </conditionalFormatting>
  <conditionalFormatting sqref="AJ40">
    <cfRule type="cellIs" dxfId="293" priority="55226" stopIfTrue="1" operator="notEqual">
      <formula>"En cours"</formula>
    </cfRule>
  </conditionalFormatting>
  <conditionalFormatting sqref="AK40">
    <cfRule type="cellIs" dxfId="292" priority="55227" stopIfTrue="1" operator="equal">
      <formula>"En cours"</formula>
    </cfRule>
  </conditionalFormatting>
  <conditionalFormatting sqref="AK40">
    <cfRule type="cellIs" dxfId="291" priority="55228" stopIfTrue="1" operator="notEqual">
      <formula>"En cours"</formula>
    </cfRule>
  </conditionalFormatting>
  <conditionalFormatting sqref="AJ41">
    <cfRule type="cellIs" dxfId="290" priority="55229" stopIfTrue="1" operator="equal">
      <formula>"En cours"</formula>
    </cfRule>
  </conditionalFormatting>
  <conditionalFormatting sqref="AJ41">
    <cfRule type="cellIs" dxfId="289" priority="55230" stopIfTrue="1" operator="notEqual">
      <formula>"En cours"</formula>
    </cfRule>
  </conditionalFormatting>
  <conditionalFormatting sqref="AK41">
    <cfRule type="cellIs" dxfId="288" priority="55231" stopIfTrue="1" operator="equal">
      <formula>"En cours"</formula>
    </cfRule>
  </conditionalFormatting>
  <conditionalFormatting sqref="AK41">
    <cfRule type="cellIs" dxfId="287" priority="55232" stopIfTrue="1" operator="notEqual">
      <formula>"En cours"</formula>
    </cfRule>
  </conditionalFormatting>
  <conditionalFormatting sqref="AJ42">
    <cfRule type="cellIs" dxfId="286" priority="55233" stopIfTrue="1" operator="equal">
      <formula>"En cours"</formula>
    </cfRule>
  </conditionalFormatting>
  <conditionalFormatting sqref="AJ42">
    <cfRule type="cellIs" dxfId="285" priority="55234" stopIfTrue="1" operator="notEqual">
      <formula>"En cours"</formula>
    </cfRule>
  </conditionalFormatting>
  <conditionalFormatting sqref="AK42">
    <cfRule type="cellIs" dxfId="284" priority="55235" stopIfTrue="1" operator="equal">
      <formula>"En cours"</formula>
    </cfRule>
  </conditionalFormatting>
  <conditionalFormatting sqref="AK42">
    <cfRule type="cellIs" dxfId="283" priority="55236" stopIfTrue="1" operator="notEqual">
      <formula>"En cours"</formula>
    </cfRule>
  </conditionalFormatting>
  <conditionalFormatting sqref="AJ6">
    <cfRule type="cellIs" dxfId="282" priority="56037" stopIfTrue="1" operator="equal">
      <formula>"En cours"</formula>
    </cfRule>
  </conditionalFormatting>
  <conditionalFormatting sqref="AJ6">
    <cfRule type="cellIs" dxfId="281" priority="56038" stopIfTrue="1" operator="notEqual">
      <formula>"En cours"</formula>
    </cfRule>
  </conditionalFormatting>
  <conditionalFormatting sqref="AK6">
    <cfRule type="cellIs" dxfId="280" priority="56039" stopIfTrue="1" operator="equal">
      <formula>"En cours"</formula>
    </cfRule>
  </conditionalFormatting>
  <conditionalFormatting sqref="AK6">
    <cfRule type="cellIs" dxfId="279" priority="56040" stopIfTrue="1" operator="notEqual">
      <formula>"En cours"</formula>
    </cfRule>
  </conditionalFormatting>
  <conditionalFormatting sqref="AJ7">
    <cfRule type="cellIs" dxfId="278" priority="56045" stopIfTrue="1" operator="equal">
      <formula>"En cours"</formula>
    </cfRule>
  </conditionalFormatting>
  <conditionalFormatting sqref="AJ7">
    <cfRule type="cellIs" dxfId="277" priority="56046" stopIfTrue="1" operator="notEqual">
      <formula>"En cours"</formula>
    </cfRule>
  </conditionalFormatting>
  <conditionalFormatting sqref="AK7">
    <cfRule type="cellIs" dxfId="276" priority="56047" stopIfTrue="1" operator="equal">
      <formula>"En cours"</formula>
    </cfRule>
  </conditionalFormatting>
  <conditionalFormatting sqref="AK7">
    <cfRule type="cellIs" dxfId="275" priority="56048" stopIfTrue="1" operator="notEqual">
      <formula>"En cours"</formula>
    </cfRule>
  </conditionalFormatting>
  <conditionalFormatting sqref="AJ8">
    <cfRule type="cellIs" dxfId="274" priority="56049" stopIfTrue="1" operator="equal">
      <formula>"En cours"</formula>
    </cfRule>
  </conditionalFormatting>
  <conditionalFormatting sqref="AJ8">
    <cfRule type="cellIs" dxfId="273" priority="56050" stopIfTrue="1" operator="notEqual">
      <formula>"En cours"</formula>
    </cfRule>
  </conditionalFormatting>
  <conditionalFormatting sqref="AK8">
    <cfRule type="cellIs" dxfId="272" priority="56051" stopIfTrue="1" operator="equal">
      <formula>"En cours"</formula>
    </cfRule>
  </conditionalFormatting>
  <conditionalFormatting sqref="AK8">
    <cfRule type="cellIs" dxfId="271" priority="56052" stopIfTrue="1" operator="notEqual">
      <formula>"En cours"</formula>
    </cfRule>
  </conditionalFormatting>
  <conditionalFormatting sqref="AJ9">
    <cfRule type="cellIs" dxfId="270" priority="56053" stopIfTrue="1" operator="equal">
      <formula>"En cours"</formula>
    </cfRule>
  </conditionalFormatting>
  <conditionalFormatting sqref="AJ9">
    <cfRule type="cellIs" dxfId="269" priority="56054" stopIfTrue="1" operator="notEqual">
      <formula>"En cours"</formula>
    </cfRule>
  </conditionalFormatting>
  <conditionalFormatting sqref="AK9">
    <cfRule type="cellIs" dxfId="268" priority="56055" stopIfTrue="1" operator="equal">
      <formula>"En cours"</formula>
    </cfRule>
  </conditionalFormatting>
  <conditionalFormatting sqref="AK9">
    <cfRule type="cellIs" dxfId="267" priority="56056" stopIfTrue="1" operator="notEqual">
      <formula>"En cours"</formula>
    </cfRule>
  </conditionalFormatting>
  <conditionalFormatting sqref="AJ10">
    <cfRule type="cellIs" dxfId="266" priority="56057" stopIfTrue="1" operator="equal">
      <formula>"En cours"</formula>
    </cfRule>
  </conditionalFormatting>
  <conditionalFormatting sqref="AJ10">
    <cfRule type="cellIs" dxfId="265" priority="56058" stopIfTrue="1" operator="notEqual">
      <formula>"En cours"</formula>
    </cfRule>
  </conditionalFormatting>
  <conditionalFormatting sqref="AK10">
    <cfRule type="cellIs" dxfId="264" priority="56059" stopIfTrue="1" operator="equal">
      <formula>"En cours"</formula>
    </cfRule>
  </conditionalFormatting>
  <conditionalFormatting sqref="AK10">
    <cfRule type="cellIs" dxfId="263" priority="56060" stopIfTrue="1" operator="notEqual">
      <formula>"En cours"</formula>
    </cfRule>
  </conditionalFormatting>
  <conditionalFormatting sqref="AJ11">
    <cfRule type="cellIs" dxfId="262" priority="56061" stopIfTrue="1" operator="equal">
      <formula>"En cours"</formula>
    </cfRule>
  </conditionalFormatting>
  <conditionalFormatting sqref="AJ11">
    <cfRule type="cellIs" dxfId="261" priority="56062" stopIfTrue="1" operator="notEqual">
      <formula>"En cours"</formula>
    </cfRule>
  </conditionalFormatting>
  <conditionalFormatting sqref="AK11">
    <cfRule type="cellIs" dxfId="260" priority="56063" stopIfTrue="1" operator="equal">
      <formula>"En cours"</formula>
    </cfRule>
  </conditionalFormatting>
  <conditionalFormatting sqref="AK11">
    <cfRule type="cellIs" dxfId="259" priority="56064" stopIfTrue="1" operator="notEqual">
      <formula>"En cours"</formula>
    </cfRule>
  </conditionalFormatting>
  <conditionalFormatting sqref="AJ12">
    <cfRule type="cellIs" dxfId="258" priority="56065" stopIfTrue="1" operator="equal">
      <formula>"En cours"</formula>
    </cfRule>
  </conditionalFormatting>
  <conditionalFormatting sqref="AJ12">
    <cfRule type="cellIs" dxfId="257" priority="56066" stopIfTrue="1" operator="notEqual">
      <formula>"En cours"</formula>
    </cfRule>
  </conditionalFormatting>
  <conditionalFormatting sqref="AK12">
    <cfRule type="cellIs" dxfId="256" priority="56067" stopIfTrue="1" operator="equal">
      <formula>"En cours"</formula>
    </cfRule>
  </conditionalFormatting>
  <conditionalFormatting sqref="AK12">
    <cfRule type="cellIs" dxfId="255" priority="56068" stopIfTrue="1" operator="notEqual">
      <formula>"En cours"</formula>
    </cfRule>
  </conditionalFormatting>
  <conditionalFormatting sqref="AJ14">
    <cfRule type="cellIs" dxfId="254" priority="56069" stopIfTrue="1" operator="equal">
      <formula>"En cours"</formula>
    </cfRule>
  </conditionalFormatting>
  <conditionalFormatting sqref="AJ14">
    <cfRule type="cellIs" dxfId="253" priority="56070" stopIfTrue="1" operator="notEqual">
      <formula>"En cours"</formula>
    </cfRule>
  </conditionalFormatting>
  <conditionalFormatting sqref="AK14">
    <cfRule type="cellIs" dxfId="252" priority="56071" stopIfTrue="1" operator="equal">
      <formula>"En cours"</formula>
    </cfRule>
  </conditionalFormatting>
  <conditionalFormatting sqref="AK14">
    <cfRule type="cellIs" dxfId="251" priority="56072" stopIfTrue="1" operator="notEqual">
      <formula>"En cours"</formula>
    </cfRule>
  </conditionalFormatting>
  <conditionalFormatting sqref="AJ13">
    <cfRule type="cellIs" dxfId="250" priority="56073" stopIfTrue="1" operator="equal">
      <formula>"En cours"</formula>
    </cfRule>
  </conditionalFormatting>
  <conditionalFormatting sqref="AJ13">
    <cfRule type="cellIs" dxfId="249" priority="56074" stopIfTrue="1" operator="notEqual">
      <formula>"En cours"</formula>
    </cfRule>
  </conditionalFormatting>
  <conditionalFormatting sqref="AK13">
    <cfRule type="cellIs" dxfId="248" priority="56075" stopIfTrue="1" operator="equal">
      <formula>"En cours"</formula>
    </cfRule>
  </conditionalFormatting>
  <conditionalFormatting sqref="AK13">
    <cfRule type="cellIs" dxfId="247" priority="56076" stopIfTrue="1" operator="notEqual">
      <formula>"En cours"</formula>
    </cfRule>
  </conditionalFormatting>
  <conditionalFormatting sqref="AJ16">
    <cfRule type="cellIs" dxfId="246" priority="56077" stopIfTrue="1" operator="equal">
      <formula>"En cours"</formula>
    </cfRule>
  </conditionalFormatting>
  <conditionalFormatting sqref="AJ16">
    <cfRule type="cellIs" dxfId="245" priority="56078" stopIfTrue="1" operator="notEqual">
      <formula>"En cours"</formula>
    </cfRule>
  </conditionalFormatting>
  <conditionalFormatting sqref="AK16">
    <cfRule type="cellIs" dxfId="244" priority="56079" stopIfTrue="1" operator="equal">
      <formula>"En cours"</formula>
    </cfRule>
  </conditionalFormatting>
  <conditionalFormatting sqref="AK16">
    <cfRule type="cellIs" dxfId="243" priority="56080" stopIfTrue="1" operator="notEqual">
      <formula>"En cours"</formula>
    </cfRule>
  </conditionalFormatting>
  <conditionalFormatting sqref="AJ15">
    <cfRule type="cellIs" dxfId="242" priority="56081" stopIfTrue="1" operator="equal">
      <formula>"En cours"</formula>
    </cfRule>
  </conditionalFormatting>
  <conditionalFormatting sqref="AJ15">
    <cfRule type="cellIs" dxfId="241" priority="56082" stopIfTrue="1" operator="notEqual">
      <formula>"En cours"</formula>
    </cfRule>
  </conditionalFormatting>
  <conditionalFormatting sqref="AK15">
    <cfRule type="cellIs" dxfId="240" priority="56083" stopIfTrue="1" operator="equal">
      <formula>"En cours"</formula>
    </cfRule>
  </conditionalFormatting>
  <conditionalFormatting sqref="AK15">
    <cfRule type="cellIs" dxfId="239" priority="56084" stopIfTrue="1" operator="notEqual">
      <formula>"En cours"</formula>
    </cfRule>
  </conditionalFormatting>
  <conditionalFormatting sqref="AJ19">
    <cfRule type="cellIs" dxfId="238" priority="56085" stopIfTrue="1" operator="equal">
      <formula>"En cours"</formula>
    </cfRule>
  </conditionalFormatting>
  <conditionalFormatting sqref="AJ19">
    <cfRule type="cellIs" dxfId="237" priority="56086" stopIfTrue="1" operator="notEqual">
      <formula>"En cours"</formula>
    </cfRule>
  </conditionalFormatting>
  <conditionalFormatting sqref="AK19">
    <cfRule type="cellIs" dxfId="236" priority="56087" stopIfTrue="1" operator="equal">
      <formula>"En cours"</formula>
    </cfRule>
  </conditionalFormatting>
  <conditionalFormatting sqref="AK19">
    <cfRule type="cellIs" dxfId="235" priority="56088" stopIfTrue="1" operator="notEqual">
      <formula>"En cours"</formula>
    </cfRule>
  </conditionalFormatting>
  <conditionalFormatting sqref="AJ17">
    <cfRule type="cellIs" dxfId="234" priority="56089" stopIfTrue="1" operator="equal">
      <formula>"En cours"</formula>
    </cfRule>
  </conditionalFormatting>
  <conditionalFormatting sqref="AJ17">
    <cfRule type="cellIs" dxfId="233" priority="56090" stopIfTrue="1" operator="notEqual">
      <formula>"En cours"</formula>
    </cfRule>
  </conditionalFormatting>
  <conditionalFormatting sqref="AK17">
    <cfRule type="cellIs" dxfId="232" priority="56091" stopIfTrue="1" operator="equal">
      <formula>"En cours"</formula>
    </cfRule>
  </conditionalFormatting>
  <conditionalFormatting sqref="AK17">
    <cfRule type="cellIs" dxfId="231" priority="56092" stopIfTrue="1" operator="notEqual">
      <formula>"En cours"</formula>
    </cfRule>
  </conditionalFormatting>
  <conditionalFormatting sqref="AJ20">
    <cfRule type="cellIs" dxfId="230" priority="56093" stopIfTrue="1" operator="equal">
      <formula>"En cours"</formula>
    </cfRule>
  </conditionalFormatting>
  <conditionalFormatting sqref="AJ20">
    <cfRule type="cellIs" dxfId="229" priority="56094" stopIfTrue="1" operator="notEqual">
      <formula>"En cours"</formula>
    </cfRule>
  </conditionalFormatting>
  <conditionalFormatting sqref="AK20">
    <cfRule type="cellIs" dxfId="228" priority="56095" stopIfTrue="1" operator="equal">
      <formula>"En cours"</formula>
    </cfRule>
  </conditionalFormatting>
  <conditionalFormatting sqref="AK20">
    <cfRule type="cellIs" dxfId="227" priority="56096" stopIfTrue="1" operator="notEqual">
      <formula>"En cours"</formula>
    </cfRule>
  </conditionalFormatting>
  <conditionalFormatting sqref="AJ18">
    <cfRule type="cellIs" dxfId="226" priority="56097" stopIfTrue="1" operator="equal">
      <formula>"En cours"</formula>
    </cfRule>
  </conditionalFormatting>
  <conditionalFormatting sqref="AJ18">
    <cfRule type="cellIs" dxfId="225" priority="56098" stopIfTrue="1" operator="notEqual">
      <formula>"En cours"</formula>
    </cfRule>
  </conditionalFormatting>
  <conditionalFormatting sqref="AK18">
    <cfRule type="cellIs" dxfId="224" priority="56099" stopIfTrue="1" operator="equal">
      <formula>"En cours"</formula>
    </cfRule>
  </conditionalFormatting>
  <conditionalFormatting sqref="AK18">
    <cfRule type="cellIs" dxfId="223" priority="56100" stopIfTrue="1" operator="notEqual">
      <formula>"En cours"</formula>
    </cfRule>
  </conditionalFormatting>
  <conditionalFormatting sqref="AJ4">
    <cfRule type="cellIs" dxfId="222" priority="56333" stopIfTrue="1" operator="equal">
      <formula>"En cours"</formula>
    </cfRule>
  </conditionalFormatting>
  <conditionalFormatting sqref="AJ4">
    <cfRule type="cellIs" dxfId="221" priority="56334" stopIfTrue="1" operator="notEqual">
      <formula>"En cours"</formula>
    </cfRule>
  </conditionalFormatting>
  <conditionalFormatting sqref="AK4">
    <cfRule type="cellIs" dxfId="220" priority="56335" stopIfTrue="1" operator="equal">
      <formula>"En cours"</formula>
    </cfRule>
  </conditionalFormatting>
  <conditionalFormatting sqref="AK4">
    <cfRule type="cellIs" dxfId="219" priority="56336" stopIfTrue="1" operator="notEqual">
      <formula>"En cours"</formula>
    </cfRule>
  </conditionalFormatting>
  <conditionalFormatting sqref="AJ5">
    <cfRule type="cellIs" dxfId="218" priority="56337" stopIfTrue="1" operator="equal">
      <formula>"En cours"</formula>
    </cfRule>
  </conditionalFormatting>
  <conditionalFormatting sqref="AJ5">
    <cfRule type="cellIs" dxfId="217" priority="56338" stopIfTrue="1" operator="notEqual">
      <formula>"En cours"</formula>
    </cfRule>
  </conditionalFormatting>
  <conditionalFormatting sqref="AK5">
    <cfRule type="cellIs" dxfId="216" priority="56339" stopIfTrue="1" operator="equal">
      <formula>"En cours"</formula>
    </cfRule>
  </conditionalFormatting>
  <conditionalFormatting sqref="AK5">
    <cfRule type="cellIs" dxfId="215" priority="563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3" t="s">
        <v>18</v>
      </c>
      <c r="G2" s="184"/>
      <c r="H2" s="184"/>
      <c r="I2" s="185"/>
      <c r="J2" s="186" t="s">
        <v>19</v>
      </c>
      <c r="K2" s="187"/>
      <c r="L2" s="187"/>
      <c r="M2" s="188"/>
      <c r="N2" s="189" t="s">
        <v>20</v>
      </c>
      <c r="O2" s="184"/>
      <c r="P2" s="184"/>
      <c r="Q2" s="185"/>
      <c r="R2" s="186" t="s">
        <v>21</v>
      </c>
      <c r="S2" s="187"/>
      <c r="T2" s="187"/>
      <c r="U2" s="188"/>
      <c r="V2" s="189" t="s">
        <v>22</v>
      </c>
      <c r="W2" s="184"/>
      <c r="X2" s="184"/>
      <c r="Y2" s="185"/>
      <c r="Z2" s="186" t="s">
        <v>23</v>
      </c>
      <c r="AA2" s="187"/>
      <c r="AB2" s="187"/>
      <c r="AC2" s="190"/>
      <c r="AD2" s="176" t="s">
        <v>24</v>
      </c>
      <c r="AE2" s="177"/>
      <c r="AF2" s="178" t="s">
        <v>17</v>
      </c>
      <c r="AG2" s="179"/>
      <c r="AH2" s="179"/>
      <c r="AI2" s="180"/>
      <c r="AJ2" s="181" t="s">
        <v>25</v>
      </c>
      <c r="AK2" s="182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 t="shared" ref="AD4:AD20" si="0">IF(MIN(F4,J4,N4,R4,V4,Z4)&lt;&gt;0,MIN(F4,J4,N4,R4,V4,Z4),"")</f>
        <v/>
      </c>
      <c r="AE4" s="147" t="str">
        <f t="shared" ref="AE4:AE20" si="1">IF(MIN(H4,L4,P4,T4,X4,AB4)&lt;&gt;0,MIN(H4,L4,P4,T4,X4,AB4),"")</f>
        <v/>
      </c>
      <c r="AF4" s="147"/>
      <c r="AG4" s="146"/>
      <c r="AH4" s="147"/>
      <c r="AI4" s="146"/>
      <c r="AJ4" s="145" t="str">
        <f t="shared" ref="AJ4:AJ20" si="2">IF(AD4="","",IF(ISBLANK(AF4),"En cours",AD4+AF4))</f>
        <v/>
      </c>
      <c r="AK4" s="145" t="str">
        <f t="shared" ref="AK4:AK20" si="3"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 t="shared" si="0"/>
        <v/>
      </c>
      <c r="AE5" s="147" t="str">
        <f t="shared" si="1"/>
        <v/>
      </c>
      <c r="AF5" s="147"/>
      <c r="AG5" s="146"/>
      <c r="AH5" s="147"/>
      <c r="AI5" s="146"/>
      <c r="AJ5" s="145" t="str">
        <f t="shared" si="2"/>
        <v/>
      </c>
      <c r="AK5" s="145" t="str">
        <f t="shared" si="3"/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si="0"/>
        <v/>
      </c>
      <c r="AE6" s="147" t="str">
        <f t="shared" si="1"/>
        <v/>
      </c>
      <c r="AF6" s="147"/>
      <c r="AG6" s="146"/>
      <c r="AH6" s="147"/>
      <c r="AI6" s="146"/>
      <c r="AJ6" s="145" t="str">
        <f t="shared" si="2"/>
        <v/>
      </c>
      <c r="AK6" s="145" t="str">
        <f t="shared" si="3"/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22" si="4">IF(MIN(F21,J21,N21,R21,V21,Z21)&lt;&gt;0,MIN(F21,J21,N21,R21,V21,Z21),"")</f>
        <v/>
      </c>
      <c r="AE21" s="147" t="str">
        <f t="shared" ref="AE21:AE2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22" si="6">IF(AD21="","",IF(ISBLANK(AF21),"En cours",AD21+AF21))</f>
        <v/>
      </c>
      <c r="AK21" s="145" t="str">
        <f t="shared" ref="AK21:AK2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8">IF(MIN(F23,J23,N23,R23,V23,Z23)&lt;&gt;0,MIN(F23,J23,N23,R23,V23,Z23),"")</f>
        <v/>
      </c>
      <c r="AE23" s="147" t="str">
        <f t="shared" ref="AE23:AE67" si="9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10">IF(AD23="","",IF(ISBLANK(AF23),"En cours",AD23+AF23))</f>
        <v/>
      </c>
      <c r="AK23" s="145" t="str">
        <f t="shared" ref="AK23:AK67" si="11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8"/>
        <v/>
      </c>
      <c r="AE24" s="147" t="str">
        <f t="shared" si="9"/>
        <v/>
      </c>
      <c r="AF24" s="147"/>
      <c r="AG24" s="146"/>
      <c r="AH24" s="147"/>
      <c r="AI24" s="146"/>
      <c r="AJ24" s="145" t="str">
        <f t="shared" si="10"/>
        <v/>
      </c>
      <c r="AK24" s="145" t="str">
        <f t="shared" si="11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8"/>
        <v/>
      </c>
      <c r="AE25" s="147" t="str">
        <f t="shared" si="9"/>
        <v/>
      </c>
      <c r="AF25" s="147"/>
      <c r="AG25" s="146"/>
      <c r="AH25" s="147"/>
      <c r="AI25" s="146"/>
      <c r="AJ25" s="145" t="str">
        <f t="shared" si="10"/>
        <v/>
      </c>
      <c r="AK25" s="145" t="str">
        <f t="shared" si="11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8"/>
        <v/>
      </c>
      <c r="AE26" s="147" t="str">
        <f t="shared" si="9"/>
        <v/>
      </c>
      <c r="AF26" s="147"/>
      <c r="AG26" s="146"/>
      <c r="AH26" s="147"/>
      <c r="AI26" s="146"/>
      <c r="AJ26" s="145" t="str">
        <f t="shared" si="10"/>
        <v/>
      </c>
      <c r="AK26" s="145" t="str">
        <f t="shared" si="11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8"/>
        <v/>
      </c>
      <c r="AE27" s="130" t="str">
        <f t="shared" si="9"/>
        <v/>
      </c>
      <c r="AF27" s="130"/>
      <c r="AG27" s="129"/>
      <c r="AH27" s="130"/>
      <c r="AI27" s="129"/>
      <c r="AJ27" s="128" t="str">
        <f t="shared" si="10"/>
        <v/>
      </c>
      <c r="AK27" s="128" t="str">
        <f t="shared" si="11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8"/>
        <v/>
      </c>
      <c r="AE28" s="130" t="str">
        <f t="shared" si="9"/>
        <v/>
      </c>
      <c r="AF28" s="130"/>
      <c r="AG28" s="129"/>
      <c r="AH28" s="130"/>
      <c r="AI28" s="129"/>
      <c r="AJ28" s="128" t="str">
        <f t="shared" si="10"/>
        <v/>
      </c>
      <c r="AK28" s="128" t="str">
        <f t="shared" si="11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8"/>
        <v/>
      </c>
      <c r="AE29" s="130" t="str">
        <f t="shared" si="9"/>
        <v/>
      </c>
      <c r="AF29" s="130"/>
      <c r="AG29" s="129"/>
      <c r="AH29" s="130"/>
      <c r="AI29" s="129"/>
      <c r="AJ29" s="128" t="str">
        <f t="shared" si="10"/>
        <v/>
      </c>
      <c r="AK29" s="128" t="str">
        <f t="shared" si="11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8"/>
        <v/>
      </c>
      <c r="AE30" s="130" t="str">
        <f t="shared" si="9"/>
        <v/>
      </c>
      <c r="AF30" s="130"/>
      <c r="AG30" s="129"/>
      <c r="AH30" s="130"/>
      <c r="AI30" s="129"/>
      <c r="AJ30" s="128" t="str">
        <f t="shared" si="10"/>
        <v/>
      </c>
      <c r="AK30" s="128" t="str">
        <f t="shared" si="11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8"/>
        <v/>
      </c>
      <c r="AE31" s="130" t="str">
        <f t="shared" si="9"/>
        <v/>
      </c>
      <c r="AF31" s="130"/>
      <c r="AG31" s="129"/>
      <c r="AH31" s="130"/>
      <c r="AI31" s="129"/>
      <c r="AJ31" s="128" t="str">
        <f t="shared" si="10"/>
        <v/>
      </c>
      <c r="AK31" s="128" t="str">
        <f t="shared" si="11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8"/>
        <v/>
      </c>
      <c r="AE32" s="130" t="str">
        <f t="shared" si="9"/>
        <v/>
      </c>
      <c r="AF32" s="130"/>
      <c r="AG32" s="129"/>
      <c r="AH32" s="130"/>
      <c r="AI32" s="129"/>
      <c r="AJ32" s="128" t="str">
        <f t="shared" si="10"/>
        <v/>
      </c>
      <c r="AK32" s="128" t="str">
        <f t="shared" si="11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8"/>
        <v/>
      </c>
      <c r="AE33" s="133" t="str">
        <f t="shared" si="9"/>
        <v/>
      </c>
      <c r="AF33" s="133"/>
      <c r="AG33" s="132"/>
      <c r="AH33" s="133"/>
      <c r="AI33" s="132"/>
      <c r="AJ33" s="131" t="str">
        <f t="shared" si="10"/>
        <v/>
      </c>
      <c r="AK33" s="131" t="str">
        <f t="shared" si="11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8"/>
        <v/>
      </c>
      <c r="AE34" s="133" t="str">
        <f t="shared" si="9"/>
        <v/>
      </c>
      <c r="AF34" s="133"/>
      <c r="AG34" s="132"/>
      <c r="AH34" s="133"/>
      <c r="AI34" s="132"/>
      <c r="AJ34" s="131" t="str">
        <f t="shared" si="10"/>
        <v/>
      </c>
      <c r="AK34" s="131" t="str">
        <f t="shared" si="11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8"/>
        <v/>
      </c>
      <c r="AE35" s="140" t="str">
        <f t="shared" si="9"/>
        <v/>
      </c>
      <c r="AF35" s="140"/>
      <c r="AG35" s="139"/>
      <c r="AH35" s="140"/>
      <c r="AI35" s="139"/>
      <c r="AJ35" s="138" t="str">
        <f t="shared" si="10"/>
        <v/>
      </c>
      <c r="AK35" s="138" t="str">
        <f t="shared" si="11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8"/>
        <v/>
      </c>
      <c r="AE36" s="140" t="str">
        <f t="shared" si="9"/>
        <v/>
      </c>
      <c r="AF36" s="140"/>
      <c r="AG36" s="139"/>
      <c r="AH36" s="140"/>
      <c r="AI36" s="139"/>
      <c r="AJ36" s="138" t="str">
        <f t="shared" si="10"/>
        <v/>
      </c>
      <c r="AK36" s="138" t="str">
        <f t="shared" si="11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8"/>
        <v/>
      </c>
      <c r="AE37" s="101" t="str">
        <f t="shared" si="9"/>
        <v/>
      </c>
      <c r="AF37" s="101"/>
      <c r="AG37" s="100"/>
      <c r="AH37" s="101"/>
      <c r="AI37" s="100"/>
      <c r="AJ37" s="102" t="str">
        <f t="shared" si="10"/>
        <v/>
      </c>
      <c r="AK37" s="103" t="str">
        <f t="shared" si="11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8"/>
        <v/>
      </c>
      <c r="AE38" s="101" t="str">
        <f t="shared" si="9"/>
        <v/>
      </c>
      <c r="AF38" s="101"/>
      <c r="AG38" s="100"/>
      <c r="AH38" s="101"/>
      <c r="AI38" s="100"/>
      <c r="AJ38" s="102" t="str">
        <f t="shared" si="10"/>
        <v/>
      </c>
      <c r="AK38" s="103" t="str">
        <f t="shared" si="11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8"/>
        <v/>
      </c>
      <c r="AE39" s="101" t="str">
        <f t="shared" si="9"/>
        <v/>
      </c>
      <c r="AF39" s="101"/>
      <c r="AG39" s="100"/>
      <c r="AH39" s="101"/>
      <c r="AI39" s="100"/>
      <c r="AJ39" s="102" t="str">
        <f t="shared" si="10"/>
        <v/>
      </c>
      <c r="AK39" s="103" t="str">
        <f t="shared" si="11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8"/>
        <v/>
      </c>
      <c r="AE40" s="101" t="str">
        <f t="shared" si="9"/>
        <v/>
      </c>
      <c r="AF40" s="101"/>
      <c r="AG40" s="100"/>
      <c r="AH40" s="101"/>
      <c r="AI40" s="100"/>
      <c r="AJ40" s="102" t="str">
        <f t="shared" si="10"/>
        <v/>
      </c>
      <c r="AK40" s="103" t="str">
        <f t="shared" si="11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8"/>
        <v/>
      </c>
      <c r="AE41" s="101" t="str">
        <f t="shared" si="9"/>
        <v/>
      </c>
      <c r="AF41" s="101"/>
      <c r="AG41" s="100"/>
      <c r="AH41" s="101"/>
      <c r="AI41" s="100"/>
      <c r="AJ41" s="102" t="str">
        <f t="shared" si="10"/>
        <v/>
      </c>
      <c r="AK41" s="103" t="str">
        <f t="shared" si="11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8"/>
        <v/>
      </c>
      <c r="AE42" s="101" t="str">
        <f t="shared" si="9"/>
        <v/>
      </c>
      <c r="AF42" s="101"/>
      <c r="AG42" s="100"/>
      <c r="AH42" s="101"/>
      <c r="AI42" s="100"/>
      <c r="AJ42" s="102" t="str">
        <f t="shared" si="10"/>
        <v/>
      </c>
      <c r="AK42" s="103" t="str">
        <f t="shared" si="11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8"/>
        <v/>
      </c>
      <c r="AE43" s="101" t="str">
        <f t="shared" si="9"/>
        <v/>
      </c>
      <c r="AF43" s="101"/>
      <c r="AG43" s="100"/>
      <c r="AH43" s="101"/>
      <c r="AI43" s="100"/>
      <c r="AJ43" s="102" t="str">
        <f t="shared" si="10"/>
        <v/>
      </c>
      <c r="AK43" s="103" t="str">
        <f t="shared" si="11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8"/>
        <v/>
      </c>
      <c r="AE44" s="101" t="str">
        <f t="shared" si="9"/>
        <v/>
      </c>
      <c r="AF44" s="101"/>
      <c r="AG44" s="100"/>
      <c r="AH44" s="101"/>
      <c r="AI44" s="100"/>
      <c r="AJ44" s="102" t="str">
        <f t="shared" si="10"/>
        <v/>
      </c>
      <c r="AK44" s="103" t="str">
        <f t="shared" si="11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8"/>
        <v/>
      </c>
      <c r="AE45" s="101" t="str">
        <f t="shared" si="9"/>
        <v/>
      </c>
      <c r="AF45" s="101"/>
      <c r="AG45" s="100"/>
      <c r="AH45" s="101"/>
      <c r="AI45" s="100"/>
      <c r="AJ45" s="102" t="str">
        <f t="shared" si="10"/>
        <v/>
      </c>
      <c r="AK45" s="103" t="str">
        <f t="shared" si="11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8"/>
        <v/>
      </c>
      <c r="AE46" s="101" t="str">
        <f t="shared" si="9"/>
        <v/>
      </c>
      <c r="AF46" s="101"/>
      <c r="AG46" s="100"/>
      <c r="AH46" s="101"/>
      <c r="AI46" s="100"/>
      <c r="AJ46" s="102" t="str">
        <f t="shared" si="10"/>
        <v/>
      </c>
      <c r="AK46" s="103" t="str">
        <f t="shared" si="11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8"/>
        <v/>
      </c>
      <c r="AE47" s="101" t="str">
        <f t="shared" si="9"/>
        <v/>
      </c>
      <c r="AF47" s="101"/>
      <c r="AG47" s="100"/>
      <c r="AH47" s="101"/>
      <c r="AI47" s="100"/>
      <c r="AJ47" s="102" t="str">
        <f t="shared" si="10"/>
        <v/>
      </c>
      <c r="AK47" s="103" t="str">
        <f t="shared" si="11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8"/>
        <v/>
      </c>
      <c r="AE48" s="80" t="str">
        <f t="shared" si="9"/>
        <v/>
      </c>
      <c r="AF48" s="81"/>
      <c r="AG48" s="77"/>
      <c r="AH48" s="81"/>
      <c r="AI48" s="77"/>
      <c r="AJ48" s="82" t="str">
        <f t="shared" si="10"/>
        <v/>
      </c>
      <c r="AK48" s="83" t="str">
        <f t="shared" si="11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8"/>
        <v/>
      </c>
      <c r="AE49" s="80" t="str">
        <f t="shared" si="9"/>
        <v/>
      </c>
      <c r="AF49" s="81"/>
      <c r="AG49" s="77"/>
      <c r="AH49" s="81"/>
      <c r="AI49" s="77"/>
      <c r="AJ49" s="82" t="str">
        <f t="shared" si="10"/>
        <v/>
      </c>
      <c r="AK49" s="83" t="str">
        <f t="shared" si="11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8"/>
        <v/>
      </c>
      <c r="AE50" s="80" t="str">
        <f t="shared" si="9"/>
        <v/>
      </c>
      <c r="AF50" s="81"/>
      <c r="AG50" s="77"/>
      <c r="AH50" s="81"/>
      <c r="AI50" s="77"/>
      <c r="AJ50" s="82" t="str">
        <f t="shared" si="10"/>
        <v/>
      </c>
      <c r="AK50" s="83" t="str">
        <f t="shared" si="11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8"/>
        <v/>
      </c>
      <c r="AE51" s="80" t="str">
        <f t="shared" si="9"/>
        <v/>
      </c>
      <c r="AF51" s="81"/>
      <c r="AG51" s="77"/>
      <c r="AH51" s="81"/>
      <c r="AI51" s="77"/>
      <c r="AJ51" s="82" t="str">
        <f t="shared" si="10"/>
        <v/>
      </c>
      <c r="AK51" s="83" t="str">
        <f t="shared" si="11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8"/>
        <v/>
      </c>
      <c r="AE52" s="80" t="str">
        <f t="shared" si="9"/>
        <v/>
      </c>
      <c r="AF52" s="81"/>
      <c r="AG52" s="77"/>
      <c r="AH52" s="81"/>
      <c r="AI52" s="77"/>
      <c r="AJ52" s="82" t="str">
        <f t="shared" si="10"/>
        <v/>
      </c>
      <c r="AK52" s="83" t="str">
        <f t="shared" si="11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8"/>
        <v/>
      </c>
      <c r="AE53" s="80" t="str">
        <f t="shared" si="9"/>
        <v/>
      </c>
      <c r="AF53" s="81"/>
      <c r="AG53" s="77"/>
      <c r="AH53" s="81"/>
      <c r="AI53" s="77"/>
      <c r="AJ53" s="82" t="str">
        <f t="shared" si="10"/>
        <v/>
      </c>
      <c r="AK53" s="83" t="str">
        <f t="shared" si="11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8"/>
        <v/>
      </c>
      <c r="AE54" s="80" t="str">
        <f t="shared" si="9"/>
        <v/>
      </c>
      <c r="AF54" s="81"/>
      <c r="AG54" s="77"/>
      <c r="AH54" s="81"/>
      <c r="AI54" s="77"/>
      <c r="AJ54" s="82" t="str">
        <f t="shared" si="10"/>
        <v/>
      </c>
      <c r="AK54" s="83" t="str">
        <f t="shared" si="11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8"/>
        <v/>
      </c>
      <c r="AE55" s="80" t="str">
        <f t="shared" si="9"/>
        <v/>
      </c>
      <c r="AF55" s="81"/>
      <c r="AG55" s="77"/>
      <c r="AH55" s="81"/>
      <c r="AI55" s="77"/>
      <c r="AJ55" s="82" t="str">
        <f t="shared" si="10"/>
        <v/>
      </c>
      <c r="AK55" s="83" t="str">
        <f t="shared" si="11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8"/>
        <v/>
      </c>
      <c r="AE56" s="80" t="str">
        <f t="shared" si="9"/>
        <v/>
      </c>
      <c r="AF56" s="81"/>
      <c r="AG56" s="77"/>
      <c r="AH56" s="81"/>
      <c r="AI56" s="77"/>
      <c r="AJ56" s="82" t="str">
        <f t="shared" si="10"/>
        <v/>
      </c>
      <c r="AK56" s="83" t="str">
        <f t="shared" si="11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8"/>
        <v/>
      </c>
      <c r="AE57" s="80" t="str">
        <f t="shared" si="9"/>
        <v/>
      </c>
      <c r="AF57" s="81"/>
      <c r="AG57" s="77"/>
      <c r="AH57" s="81"/>
      <c r="AI57" s="77"/>
      <c r="AJ57" s="82" t="str">
        <f t="shared" si="10"/>
        <v/>
      </c>
      <c r="AK57" s="83" t="str">
        <f t="shared" si="11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8"/>
        <v/>
      </c>
      <c r="AE58" s="80" t="str">
        <f t="shared" si="9"/>
        <v/>
      </c>
      <c r="AF58" s="81"/>
      <c r="AG58" s="77"/>
      <c r="AH58" s="81"/>
      <c r="AI58" s="77"/>
      <c r="AJ58" s="82" t="str">
        <f t="shared" si="10"/>
        <v/>
      </c>
      <c r="AK58" s="83" t="str">
        <f t="shared" si="11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8"/>
        <v/>
      </c>
      <c r="AE59" s="80" t="str">
        <f t="shared" si="9"/>
        <v/>
      </c>
      <c r="AF59" s="81"/>
      <c r="AG59" s="77"/>
      <c r="AH59" s="81"/>
      <c r="AI59" s="77"/>
      <c r="AJ59" s="82" t="str">
        <f t="shared" si="10"/>
        <v/>
      </c>
      <c r="AK59" s="83" t="str">
        <f t="shared" si="11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8"/>
        <v/>
      </c>
      <c r="AE60" s="80" t="str">
        <f t="shared" si="9"/>
        <v/>
      </c>
      <c r="AF60" s="81"/>
      <c r="AG60" s="77"/>
      <c r="AH60" s="81"/>
      <c r="AI60" s="77"/>
      <c r="AJ60" s="82" t="str">
        <f t="shared" si="10"/>
        <v/>
      </c>
      <c r="AK60" s="83" t="str">
        <f t="shared" si="11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8"/>
        <v/>
      </c>
      <c r="AE61" s="80" t="str">
        <f t="shared" si="9"/>
        <v/>
      </c>
      <c r="AF61" s="81"/>
      <c r="AG61" s="77"/>
      <c r="AH61" s="81"/>
      <c r="AI61" s="77"/>
      <c r="AJ61" s="82" t="str">
        <f t="shared" si="10"/>
        <v/>
      </c>
      <c r="AK61" s="83" t="str">
        <f t="shared" si="11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8"/>
        <v/>
      </c>
      <c r="AE62" s="80" t="str">
        <f t="shared" si="9"/>
        <v/>
      </c>
      <c r="AF62" s="81"/>
      <c r="AG62" s="77"/>
      <c r="AH62" s="81"/>
      <c r="AI62" s="77"/>
      <c r="AJ62" s="82" t="str">
        <f t="shared" si="10"/>
        <v/>
      </c>
      <c r="AK62" s="83" t="str">
        <f t="shared" si="11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8"/>
        <v/>
      </c>
      <c r="AE63" s="80" t="str">
        <f t="shared" si="9"/>
        <v/>
      </c>
      <c r="AF63" s="81"/>
      <c r="AG63" s="77"/>
      <c r="AH63" s="81"/>
      <c r="AI63" s="77"/>
      <c r="AJ63" s="82" t="str">
        <f t="shared" si="10"/>
        <v/>
      </c>
      <c r="AK63" s="83" t="str">
        <f t="shared" si="11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8"/>
        <v/>
      </c>
      <c r="AE64" s="80" t="str">
        <f t="shared" si="9"/>
        <v/>
      </c>
      <c r="AF64" s="81"/>
      <c r="AG64" s="77"/>
      <c r="AH64" s="81"/>
      <c r="AI64" s="77"/>
      <c r="AJ64" s="82" t="str">
        <f t="shared" si="10"/>
        <v/>
      </c>
      <c r="AK64" s="83" t="str">
        <f t="shared" si="11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8"/>
        <v/>
      </c>
      <c r="AE65" s="80" t="str">
        <f t="shared" si="9"/>
        <v/>
      </c>
      <c r="AF65" s="81"/>
      <c r="AG65" s="77"/>
      <c r="AH65" s="81"/>
      <c r="AI65" s="77"/>
      <c r="AJ65" s="82" t="str">
        <f t="shared" si="10"/>
        <v/>
      </c>
      <c r="AK65" s="83" t="str">
        <f t="shared" si="11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8"/>
        <v/>
      </c>
      <c r="AE66" s="80" t="str">
        <f t="shared" si="9"/>
        <v/>
      </c>
      <c r="AF66" s="81"/>
      <c r="AG66" s="77"/>
      <c r="AH66" s="81"/>
      <c r="AI66" s="77"/>
      <c r="AJ66" s="82" t="str">
        <f t="shared" si="10"/>
        <v/>
      </c>
      <c r="AK66" s="83" t="str">
        <f t="shared" si="11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8"/>
        <v/>
      </c>
      <c r="AE67" s="80" t="str">
        <f t="shared" si="9"/>
        <v/>
      </c>
      <c r="AF67" s="81"/>
      <c r="AG67" s="77"/>
      <c r="AH67" s="81"/>
      <c r="AI67" s="77"/>
      <c r="AJ67" s="82" t="str">
        <f t="shared" si="10"/>
        <v/>
      </c>
      <c r="AK67" s="83" t="str">
        <f t="shared" si="11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12">IF(MIN(F68,J68,N68,R68,V68,Z68)&lt;&gt;0,MIN(F68,J68,N68,R68,V68,Z68),"")</f>
        <v/>
      </c>
      <c r="AE68" s="80" t="str">
        <f t="shared" ref="AE68:AE131" si="13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4">IF(AD68="","",IF(ISBLANK(AF68),"En cours",AD68+AF68))</f>
        <v/>
      </c>
      <c r="AK68" s="83" t="str">
        <f t="shared" ref="AK68:AK131" si="15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12"/>
        <v/>
      </c>
      <c r="AE69" s="80" t="str">
        <f t="shared" si="13"/>
        <v/>
      </c>
      <c r="AF69" s="81"/>
      <c r="AG69" s="77"/>
      <c r="AH69" s="81"/>
      <c r="AI69" s="77"/>
      <c r="AJ69" s="82" t="str">
        <f t="shared" si="14"/>
        <v/>
      </c>
      <c r="AK69" s="83" t="str">
        <f t="shared" si="15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12"/>
        <v/>
      </c>
      <c r="AE70" s="80" t="str">
        <f t="shared" si="13"/>
        <v/>
      </c>
      <c r="AF70" s="81"/>
      <c r="AG70" s="77"/>
      <c r="AH70" s="81"/>
      <c r="AI70" s="77"/>
      <c r="AJ70" s="82" t="str">
        <f t="shared" si="14"/>
        <v/>
      </c>
      <c r="AK70" s="83" t="str">
        <f t="shared" si="15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12"/>
        <v/>
      </c>
      <c r="AE71" s="80" t="str">
        <f t="shared" si="13"/>
        <v/>
      </c>
      <c r="AF71" s="81"/>
      <c r="AG71" s="77"/>
      <c r="AH71" s="81"/>
      <c r="AI71" s="77"/>
      <c r="AJ71" s="82" t="str">
        <f t="shared" si="14"/>
        <v/>
      </c>
      <c r="AK71" s="83" t="str">
        <f t="shared" si="15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12"/>
        <v/>
      </c>
      <c r="AE72" s="80" t="str">
        <f t="shared" si="13"/>
        <v/>
      </c>
      <c r="AF72" s="81"/>
      <c r="AG72" s="77"/>
      <c r="AH72" s="81"/>
      <c r="AI72" s="77"/>
      <c r="AJ72" s="82" t="str">
        <f t="shared" si="14"/>
        <v/>
      </c>
      <c r="AK72" s="83" t="str">
        <f t="shared" si="15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12"/>
        <v/>
      </c>
      <c r="AE73" s="80" t="str">
        <f t="shared" si="13"/>
        <v/>
      </c>
      <c r="AF73" s="81"/>
      <c r="AG73" s="77"/>
      <c r="AH73" s="81"/>
      <c r="AI73" s="77"/>
      <c r="AJ73" s="82" t="str">
        <f t="shared" si="14"/>
        <v/>
      </c>
      <c r="AK73" s="83" t="str">
        <f t="shared" si="15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12"/>
        <v/>
      </c>
      <c r="AE74" s="80" t="str">
        <f t="shared" si="13"/>
        <v/>
      </c>
      <c r="AF74" s="81"/>
      <c r="AG74" s="77"/>
      <c r="AH74" s="81"/>
      <c r="AI74" s="77"/>
      <c r="AJ74" s="82" t="str">
        <f t="shared" si="14"/>
        <v/>
      </c>
      <c r="AK74" s="83" t="str">
        <f t="shared" si="15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12"/>
        <v/>
      </c>
      <c r="AE75" s="80" t="str">
        <f t="shared" si="13"/>
        <v/>
      </c>
      <c r="AF75" s="81"/>
      <c r="AG75" s="77"/>
      <c r="AH75" s="81"/>
      <c r="AI75" s="77"/>
      <c r="AJ75" s="82" t="str">
        <f t="shared" si="14"/>
        <v/>
      </c>
      <c r="AK75" s="83" t="str">
        <f t="shared" si="15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12"/>
        <v/>
      </c>
      <c r="AE76" s="80" t="str">
        <f t="shared" si="13"/>
        <v/>
      </c>
      <c r="AF76" s="81"/>
      <c r="AG76" s="77"/>
      <c r="AH76" s="81"/>
      <c r="AI76" s="77"/>
      <c r="AJ76" s="82" t="str">
        <f t="shared" si="14"/>
        <v/>
      </c>
      <c r="AK76" s="83" t="str">
        <f t="shared" si="15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12"/>
        <v/>
      </c>
      <c r="AE77" s="80" t="str">
        <f t="shared" si="13"/>
        <v/>
      </c>
      <c r="AF77" s="81"/>
      <c r="AG77" s="77"/>
      <c r="AH77" s="81"/>
      <c r="AI77" s="77"/>
      <c r="AJ77" s="82" t="str">
        <f t="shared" si="14"/>
        <v/>
      </c>
      <c r="AK77" s="83" t="str">
        <f t="shared" si="15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12"/>
        <v/>
      </c>
      <c r="AE78" s="80" t="str">
        <f t="shared" si="13"/>
        <v/>
      </c>
      <c r="AF78" s="81"/>
      <c r="AG78" s="77"/>
      <c r="AH78" s="81"/>
      <c r="AI78" s="77"/>
      <c r="AJ78" s="82" t="str">
        <f t="shared" si="14"/>
        <v/>
      </c>
      <c r="AK78" s="83" t="str">
        <f t="shared" si="15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12"/>
        <v/>
      </c>
      <c r="AE79" s="80" t="str">
        <f t="shared" si="13"/>
        <v/>
      </c>
      <c r="AF79" s="81"/>
      <c r="AG79" s="77"/>
      <c r="AH79" s="81"/>
      <c r="AI79" s="77"/>
      <c r="AJ79" s="82" t="str">
        <f t="shared" si="14"/>
        <v/>
      </c>
      <c r="AK79" s="83" t="str">
        <f t="shared" si="15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12"/>
        <v/>
      </c>
      <c r="AE80" s="80" t="str">
        <f t="shared" si="13"/>
        <v/>
      </c>
      <c r="AF80" s="81"/>
      <c r="AG80" s="77"/>
      <c r="AH80" s="81"/>
      <c r="AI80" s="77"/>
      <c r="AJ80" s="82" t="str">
        <f t="shared" si="14"/>
        <v/>
      </c>
      <c r="AK80" s="83" t="str">
        <f t="shared" si="15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12"/>
        <v/>
      </c>
      <c r="AE81" s="80" t="str">
        <f t="shared" si="13"/>
        <v/>
      </c>
      <c r="AF81" s="81"/>
      <c r="AG81" s="77"/>
      <c r="AH81" s="81"/>
      <c r="AI81" s="77"/>
      <c r="AJ81" s="82" t="str">
        <f t="shared" si="14"/>
        <v/>
      </c>
      <c r="AK81" s="83" t="str">
        <f t="shared" si="15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12"/>
        <v/>
      </c>
      <c r="AE82" s="80" t="str">
        <f t="shared" si="13"/>
        <v/>
      </c>
      <c r="AF82" s="81"/>
      <c r="AG82" s="77"/>
      <c r="AH82" s="81"/>
      <c r="AI82" s="77"/>
      <c r="AJ82" s="82" t="str">
        <f t="shared" si="14"/>
        <v/>
      </c>
      <c r="AK82" s="83" t="str">
        <f t="shared" si="15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12"/>
        <v/>
      </c>
      <c r="AE83" s="80" t="str">
        <f t="shared" si="13"/>
        <v/>
      </c>
      <c r="AF83" s="81"/>
      <c r="AG83" s="77"/>
      <c r="AH83" s="81"/>
      <c r="AI83" s="77"/>
      <c r="AJ83" s="82" t="str">
        <f t="shared" si="14"/>
        <v/>
      </c>
      <c r="AK83" s="83" t="str">
        <f t="shared" si="15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12"/>
        <v/>
      </c>
      <c r="AE84" s="80" t="str">
        <f t="shared" si="13"/>
        <v/>
      </c>
      <c r="AF84" s="81"/>
      <c r="AG84" s="77"/>
      <c r="AH84" s="81"/>
      <c r="AI84" s="77"/>
      <c r="AJ84" s="82" t="str">
        <f t="shared" si="14"/>
        <v/>
      </c>
      <c r="AK84" s="83" t="str">
        <f t="shared" si="15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12"/>
        <v/>
      </c>
      <c r="AE85" s="80" t="str">
        <f t="shared" si="13"/>
        <v/>
      </c>
      <c r="AF85" s="81"/>
      <c r="AG85" s="77"/>
      <c r="AH85" s="81"/>
      <c r="AI85" s="77"/>
      <c r="AJ85" s="82" t="str">
        <f t="shared" si="14"/>
        <v/>
      </c>
      <c r="AK85" s="83" t="str">
        <f t="shared" si="15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12"/>
        <v/>
      </c>
      <c r="AE86" s="80" t="str">
        <f t="shared" si="13"/>
        <v/>
      </c>
      <c r="AF86" s="81"/>
      <c r="AG86" s="77"/>
      <c r="AH86" s="81"/>
      <c r="AI86" s="77"/>
      <c r="AJ86" s="82" t="str">
        <f t="shared" si="14"/>
        <v/>
      </c>
      <c r="AK86" s="83" t="str">
        <f t="shared" si="15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12"/>
        <v/>
      </c>
      <c r="AE87" s="80" t="str">
        <f t="shared" si="13"/>
        <v/>
      </c>
      <c r="AF87" s="81"/>
      <c r="AG87" s="77"/>
      <c r="AH87" s="81"/>
      <c r="AI87" s="77"/>
      <c r="AJ87" s="82" t="str">
        <f t="shared" si="14"/>
        <v/>
      </c>
      <c r="AK87" s="83" t="str">
        <f t="shared" si="15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12"/>
        <v/>
      </c>
      <c r="AE88" s="80" t="str">
        <f t="shared" si="13"/>
        <v/>
      </c>
      <c r="AF88" s="81"/>
      <c r="AG88" s="77"/>
      <c r="AH88" s="81"/>
      <c r="AI88" s="77"/>
      <c r="AJ88" s="82" t="str">
        <f t="shared" si="14"/>
        <v/>
      </c>
      <c r="AK88" s="83" t="str">
        <f t="shared" si="15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12"/>
        <v/>
      </c>
      <c r="AE89" s="80" t="str">
        <f t="shared" si="13"/>
        <v/>
      </c>
      <c r="AF89" s="81"/>
      <c r="AG89" s="77"/>
      <c r="AH89" s="81"/>
      <c r="AI89" s="77"/>
      <c r="AJ89" s="82" t="str">
        <f t="shared" si="14"/>
        <v/>
      </c>
      <c r="AK89" s="83" t="str">
        <f t="shared" si="15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12"/>
        <v/>
      </c>
      <c r="AE90" s="80" t="str">
        <f t="shared" si="13"/>
        <v/>
      </c>
      <c r="AF90" s="81"/>
      <c r="AG90" s="77"/>
      <c r="AH90" s="81"/>
      <c r="AI90" s="77"/>
      <c r="AJ90" s="82" t="str">
        <f t="shared" si="14"/>
        <v/>
      </c>
      <c r="AK90" s="83" t="str">
        <f t="shared" si="15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12"/>
        <v/>
      </c>
      <c r="AE91" s="80" t="str">
        <f t="shared" si="13"/>
        <v/>
      </c>
      <c r="AF91" s="81"/>
      <c r="AG91" s="77"/>
      <c r="AH91" s="81"/>
      <c r="AI91" s="77"/>
      <c r="AJ91" s="82" t="str">
        <f t="shared" si="14"/>
        <v/>
      </c>
      <c r="AK91" s="83" t="str">
        <f t="shared" si="15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12"/>
        <v/>
      </c>
      <c r="AE92" s="80" t="str">
        <f t="shared" si="13"/>
        <v/>
      </c>
      <c r="AF92" s="81"/>
      <c r="AG92" s="77"/>
      <c r="AH92" s="81"/>
      <c r="AI92" s="77"/>
      <c r="AJ92" s="82" t="str">
        <f t="shared" si="14"/>
        <v/>
      </c>
      <c r="AK92" s="83" t="str">
        <f t="shared" si="15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12"/>
        <v/>
      </c>
      <c r="AE93" s="80" t="str">
        <f t="shared" si="13"/>
        <v/>
      </c>
      <c r="AF93" s="81"/>
      <c r="AG93" s="77"/>
      <c r="AH93" s="81"/>
      <c r="AI93" s="77"/>
      <c r="AJ93" s="82" t="str">
        <f t="shared" si="14"/>
        <v/>
      </c>
      <c r="AK93" s="83" t="str">
        <f t="shared" si="15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12"/>
        <v/>
      </c>
      <c r="AE94" s="80" t="str">
        <f t="shared" si="13"/>
        <v/>
      </c>
      <c r="AF94" s="81"/>
      <c r="AG94" s="77"/>
      <c r="AH94" s="81"/>
      <c r="AI94" s="77"/>
      <c r="AJ94" s="82" t="str">
        <f t="shared" si="14"/>
        <v/>
      </c>
      <c r="AK94" s="83" t="str">
        <f t="shared" si="15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12"/>
        <v/>
      </c>
      <c r="AE95" s="80" t="str">
        <f t="shared" si="13"/>
        <v/>
      </c>
      <c r="AF95" s="81"/>
      <c r="AG95" s="77"/>
      <c r="AH95" s="81"/>
      <c r="AI95" s="77"/>
      <c r="AJ95" s="82" t="str">
        <f t="shared" si="14"/>
        <v/>
      </c>
      <c r="AK95" s="83" t="str">
        <f t="shared" si="15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12"/>
        <v/>
      </c>
      <c r="AE96" s="80" t="str">
        <f t="shared" si="13"/>
        <v/>
      </c>
      <c r="AF96" s="81"/>
      <c r="AG96" s="77"/>
      <c r="AH96" s="81"/>
      <c r="AI96" s="77"/>
      <c r="AJ96" s="82" t="str">
        <f t="shared" si="14"/>
        <v/>
      </c>
      <c r="AK96" s="83" t="str">
        <f t="shared" si="15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12"/>
        <v/>
      </c>
      <c r="AE97" s="80" t="str">
        <f t="shared" si="13"/>
        <v/>
      </c>
      <c r="AF97" s="81"/>
      <c r="AG97" s="77"/>
      <c r="AH97" s="81"/>
      <c r="AI97" s="77"/>
      <c r="AJ97" s="82" t="str">
        <f t="shared" si="14"/>
        <v/>
      </c>
      <c r="AK97" s="83" t="str">
        <f t="shared" si="15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12"/>
        <v/>
      </c>
      <c r="AE98" s="80" t="str">
        <f t="shared" si="13"/>
        <v/>
      </c>
      <c r="AF98" s="81"/>
      <c r="AG98" s="77"/>
      <c r="AH98" s="81"/>
      <c r="AI98" s="77"/>
      <c r="AJ98" s="82" t="str">
        <f t="shared" si="14"/>
        <v/>
      </c>
      <c r="AK98" s="83" t="str">
        <f t="shared" si="15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12"/>
        <v/>
      </c>
      <c r="AE99" s="80" t="str">
        <f t="shared" si="13"/>
        <v/>
      </c>
      <c r="AF99" s="81"/>
      <c r="AG99" s="77"/>
      <c r="AH99" s="81"/>
      <c r="AI99" s="77"/>
      <c r="AJ99" s="82" t="str">
        <f t="shared" si="14"/>
        <v/>
      </c>
      <c r="AK99" s="83" t="str">
        <f t="shared" si="15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12"/>
        <v/>
      </c>
      <c r="AE100" s="80" t="str">
        <f t="shared" si="13"/>
        <v/>
      </c>
      <c r="AF100" s="81"/>
      <c r="AG100" s="77"/>
      <c r="AH100" s="81"/>
      <c r="AI100" s="77"/>
      <c r="AJ100" s="82" t="str">
        <f t="shared" si="14"/>
        <v/>
      </c>
      <c r="AK100" s="83" t="str">
        <f t="shared" si="15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12"/>
        <v/>
      </c>
      <c r="AE101" s="80" t="str">
        <f t="shared" si="13"/>
        <v/>
      </c>
      <c r="AF101" s="81"/>
      <c r="AG101" s="77"/>
      <c r="AH101" s="81"/>
      <c r="AI101" s="77"/>
      <c r="AJ101" s="82" t="str">
        <f t="shared" si="14"/>
        <v/>
      </c>
      <c r="AK101" s="83" t="str">
        <f t="shared" si="15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12"/>
        <v/>
      </c>
      <c r="AE102" s="80" t="str">
        <f t="shared" si="13"/>
        <v/>
      </c>
      <c r="AF102" s="81"/>
      <c r="AG102" s="77"/>
      <c r="AH102" s="81"/>
      <c r="AI102" s="77"/>
      <c r="AJ102" s="82" t="str">
        <f t="shared" si="14"/>
        <v/>
      </c>
      <c r="AK102" s="83" t="str">
        <f t="shared" si="15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12"/>
        <v/>
      </c>
      <c r="AE103" s="80" t="str">
        <f t="shared" si="13"/>
        <v/>
      </c>
      <c r="AF103" s="81"/>
      <c r="AG103" s="77"/>
      <c r="AH103" s="81"/>
      <c r="AI103" s="77"/>
      <c r="AJ103" s="82" t="str">
        <f t="shared" si="14"/>
        <v/>
      </c>
      <c r="AK103" s="83" t="str">
        <f t="shared" si="15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12"/>
        <v/>
      </c>
      <c r="AE104" s="80" t="str">
        <f t="shared" si="13"/>
        <v/>
      </c>
      <c r="AF104" s="81"/>
      <c r="AG104" s="77"/>
      <c r="AH104" s="81"/>
      <c r="AI104" s="77"/>
      <c r="AJ104" s="82" t="str">
        <f t="shared" si="14"/>
        <v/>
      </c>
      <c r="AK104" s="83" t="str">
        <f t="shared" si="15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12"/>
        <v/>
      </c>
      <c r="AE105" s="80" t="str">
        <f t="shared" si="13"/>
        <v/>
      </c>
      <c r="AF105" s="81"/>
      <c r="AG105" s="77"/>
      <c r="AH105" s="81"/>
      <c r="AI105" s="77"/>
      <c r="AJ105" s="82" t="str">
        <f t="shared" si="14"/>
        <v/>
      </c>
      <c r="AK105" s="83" t="str">
        <f t="shared" si="15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12"/>
        <v/>
      </c>
      <c r="AE106" s="80" t="str">
        <f t="shared" si="13"/>
        <v/>
      </c>
      <c r="AF106" s="81"/>
      <c r="AG106" s="77"/>
      <c r="AH106" s="81"/>
      <c r="AI106" s="77"/>
      <c r="AJ106" s="82" t="str">
        <f t="shared" si="14"/>
        <v/>
      </c>
      <c r="AK106" s="83" t="str">
        <f t="shared" si="15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12"/>
        <v/>
      </c>
      <c r="AE107" s="80" t="str">
        <f t="shared" si="13"/>
        <v/>
      </c>
      <c r="AF107" s="81"/>
      <c r="AG107" s="77"/>
      <c r="AH107" s="81"/>
      <c r="AI107" s="77"/>
      <c r="AJ107" s="82" t="str">
        <f t="shared" si="14"/>
        <v/>
      </c>
      <c r="AK107" s="83" t="str">
        <f t="shared" si="15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12"/>
        <v/>
      </c>
      <c r="AE108" s="80" t="str">
        <f t="shared" si="13"/>
        <v/>
      </c>
      <c r="AF108" s="81"/>
      <c r="AG108" s="77"/>
      <c r="AH108" s="81"/>
      <c r="AI108" s="77"/>
      <c r="AJ108" s="82" t="str">
        <f t="shared" si="14"/>
        <v/>
      </c>
      <c r="AK108" s="83" t="str">
        <f t="shared" si="15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12"/>
        <v/>
      </c>
      <c r="AE109" s="80" t="str">
        <f t="shared" si="13"/>
        <v/>
      </c>
      <c r="AF109" s="81"/>
      <c r="AG109" s="77"/>
      <c r="AH109" s="81"/>
      <c r="AI109" s="77"/>
      <c r="AJ109" s="82" t="str">
        <f t="shared" si="14"/>
        <v/>
      </c>
      <c r="AK109" s="83" t="str">
        <f t="shared" si="15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12"/>
        <v/>
      </c>
      <c r="AE110" s="80" t="str">
        <f t="shared" si="13"/>
        <v/>
      </c>
      <c r="AF110" s="81"/>
      <c r="AG110" s="77"/>
      <c r="AH110" s="81"/>
      <c r="AI110" s="77"/>
      <c r="AJ110" s="82" t="str">
        <f t="shared" si="14"/>
        <v/>
      </c>
      <c r="AK110" s="83" t="str">
        <f t="shared" si="15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12"/>
        <v/>
      </c>
      <c r="AE111" s="80" t="str">
        <f t="shared" si="13"/>
        <v/>
      </c>
      <c r="AF111" s="81"/>
      <c r="AG111" s="77"/>
      <c r="AH111" s="81"/>
      <c r="AI111" s="77"/>
      <c r="AJ111" s="82" t="str">
        <f t="shared" si="14"/>
        <v/>
      </c>
      <c r="AK111" s="83" t="str">
        <f t="shared" si="15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12"/>
        <v/>
      </c>
      <c r="AE112" s="80" t="str">
        <f t="shared" si="13"/>
        <v/>
      </c>
      <c r="AF112" s="81"/>
      <c r="AG112" s="77"/>
      <c r="AH112" s="81"/>
      <c r="AI112" s="77"/>
      <c r="AJ112" s="82" t="str">
        <f t="shared" si="14"/>
        <v/>
      </c>
      <c r="AK112" s="83" t="str">
        <f t="shared" si="15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12"/>
        <v/>
      </c>
      <c r="AE113" s="80" t="str">
        <f t="shared" si="13"/>
        <v/>
      </c>
      <c r="AF113" s="81"/>
      <c r="AG113" s="77"/>
      <c r="AH113" s="81"/>
      <c r="AI113" s="77"/>
      <c r="AJ113" s="82" t="str">
        <f t="shared" si="14"/>
        <v/>
      </c>
      <c r="AK113" s="83" t="str">
        <f t="shared" si="15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12"/>
        <v/>
      </c>
      <c r="AE114" s="80" t="str">
        <f t="shared" si="13"/>
        <v/>
      </c>
      <c r="AF114" s="81"/>
      <c r="AG114" s="77"/>
      <c r="AH114" s="81"/>
      <c r="AI114" s="77"/>
      <c r="AJ114" s="82" t="str">
        <f t="shared" si="14"/>
        <v/>
      </c>
      <c r="AK114" s="83" t="str">
        <f t="shared" si="15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12"/>
        <v/>
      </c>
      <c r="AE115" s="80" t="str">
        <f t="shared" si="13"/>
        <v/>
      </c>
      <c r="AF115" s="81"/>
      <c r="AG115" s="77"/>
      <c r="AH115" s="81"/>
      <c r="AI115" s="77"/>
      <c r="AJ115" s="82" t="str">
        <f t="shared" si="14"/>
        <v/>
      </c>
      <c r="AK115" s="83" t="str">
        <f t="shared" si="15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12"/>
        <v/>
      </c>
      <c r="AE116" s="80" t="str">
        <f t="shared" si="13"/>
        <v/>
      </c>
      <c r="AF116" s="81"/>
      <c r="AG116" s="77"/>
      <c r="AH116" s="81"/>
      <c r="AI116" s="77"/>
      <c r="AJ116" s="82" t="str">
        <f t="shared" si="14"/>
        <v/>
      </c>
      <c r="AK116" s="83" t="str">
        <f t="shared" si="15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12"/>
        <v/>
      </c>
      <c r="AE117" s="80" t="str">
        <f t="shared" si="13"/>
        <v/>
      </c>
      <c r="AF117" s="81"/>
      <c r="AG117" s="77"/>
      <c r="AH117" s="81"/>
      <c r="AI117" s="77"/>
      <c r="AJ117" s="82" t="str">
        <f t="shared" si="14"/>
        <v/>
      </c>
      <c r="AK117" s="83" t="str">
        <f t="shared" si="15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12"/>
        <v/>
      </c>
      <c r="AE118" s="80" t="str">
        <f t="shared" si="13"/>
        <v/>
      </c>
      <c r="AF118" s="81"/>
      <c r="AG118" s="77"/>
      <c r="AH118" s="81"/>
      <c r="AI118" s="77"/>
      <c r="AJ118" s="82" t="str">
        <f t="shared" si="14"/>
        <v/>
      </c>
      <c r="AK118" s="83" t="str">
        <f t="shared" si="15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12"/>
        <v/>
      </c>
      <c r="AE119" s="80" t="str">
        <f t="shared" si="13"/>
        <v/>
      </c>
      <c r="AF119" s="81"/>
      <c r="AG119" s="77"/>
      <c r="AH119" s="81"/>
      <c r="AI119" s="77"/>
      <c r="AJ119" s="82" t="str">
        <f t="shared" si="14"/>
        <v/>
      </c>
      <c r="AK119" s="83" t="str">
        <f t="shared" si="15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12"/>
        <v/>
      </c>
      <c r="AE120" s="80" t="str">
        <f t="shared" si="13"/>
        <v/>
      </c>
      <c r="AF120" s="81"/>
      <c r="AG120" s="77"/>
      <c r="AH120" s="81"/>
      <c r="AI120" s="77"/>
      <c r="AJ120" s="82" t="str">
        <f t="shared" si="14"/>
        <v/>
      </c>
      <c r="AK120" s="83" t="str">
        <f t="shared" si="15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12"/>
        <v/>
      </c>
      <c r="AE121" s="80" t="str">
        <f t="shared" si="13"/>
        <v/>
      </c>
      <c r="AF121" s="81"/>
      <c r="AG121" s="77"/>
      <c r="AH121" s="81"/>
      <c r="AI121" s="77"/>
      <c r="AJ121" s="82" t="str">
        <f t="shared" si="14"/>
        <v/>
      </c>
      <c r="AK121" s="83" t="str">
        <f t="shared" si="15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12"/>
        <v/>
      </c>
      <c r="AE122" s="80" t="str">
        <f t="shared" si="13"/>
        <v/>
      </c>
      <c r="AF122" s="81"/>
      <c r="AG122" s="77"/>
      <c r="AH122" s="81"/>
      <c r="AI122" s="77"/>
      <c r="AJ122" s="82" t="str">
        <f t="shared" si="14"/>
        <v/>
      </c>
      <c r="AK122" s="83" t="str">
        <f t="shared" si="15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12"/>
        <v/>
      </c>
      <c r="AE123" s="80" t="str">
        <f t="shared" si="13"/>
        <v/>
      </c>
      <c r="AF123" s="81"/>
      <c r="AG123" s="77"/>
      <c r="AH123" s="81"/>
      <c r="AI123" s="77"/>
      <c r="AJ123" s="82" t="str">
        <f t="shared" si="14"/>
        <v/>
      </c>
      <c r="AK123" s="83" t="str">
        <f t="shared" si="15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12"/>
        <v/>
      </c>
      <c r="AE124" s="80" t="str">
        <f t="shared" si="13"/>
        <v/>
      </c>
      <c r="AF124" s="81"/>
      <c r="AG124" s="77"/>
      <c r="AH124" s="81"/>
      <c r="AI124" s="77"/>
      <c r="AJ124" s="82" t="str">
        <f t="shared" si="14"/>
        <v/>
      </c>
      <c r="AK124" s="83" t="str">
        <f t="shared" si="15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12"/>
        <v/>
      </c>
      <c r="AE125" s="80" t="str">
        <f t="shared" si="13"/>
        <v/>
      </c>
      <c r="AF125" s="81"/>
      <c r="AG125" s="77"/>
      <c r="AH125" s="81"/>
      <c r="AI125" s="77"/>
      <c r="AJ125" s="82" t="str">
        <f t="shared" si="14"/>
        <v/>
      </c>
      <c r="AK125" s="83" t="str">
        <f t="shared" si="15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12"/>
        <v/>
      </c>
      <c r="AE126" s="80" t="str">
        <f t="shared" si="13"/>
        <v/>
      </c>
      <c r="AF126" s="81"/>
      <c r="AG126" s="77"/>
      <c r="AH126" s="81"/>
      <c r="AI126" s="77"/>
      <c r="AJ126" s="82" t="str">
        <f t="shared" si="14"/>
        <v/>
      </c>
      <c r="AK126" s="83" t="str">
        <f t="shared" si="15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12"/>
        <v/>
      </c>
      <c r="AE127" s="80" t="str">
        <f t="shared" si="13"/>
        <v/>
      </c>
      <c r="AF127" s="81"/>
      <c r="AG127" s="77"/>
      <c r="AH127" s="81"/>
      <c r="AI127" s="77"/>
      <c r="AJ127" s="82" t="str">
        <f t="shared" si="14"/>
        <v/>
      </c>
      <c r="AK127" s="83" t="str">
        <f t="shared" si="15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12"/>
        <v/>
      </c>
      <c r="AE128" s="80" t="str">
        <f t="shared" si="13"/>
        <v/>
      </c>
      <c r="AF128" s="81"/>
      <c r="AG128" s="77"/>
      <c r="AH128" s="81"/>
      <c r="AI128" s="77"/>
      <c r="AJ128" s="82" t="str">
        <f t="shared" si="14"/>
        <v/>
      </c>
      <c r="AK128" s="83" t="str">
        <f t="shared" si="15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12"/>
        <v/>
      </c>
      <c r="AE129" s="80" t="str">
        <f t="shared" si="13"/>
        <v/>
      </c>
      <c r="AF129" s="81"/>
      <c r="AG129" s="77"/>
      <c r="AH129" s="81"/>
      <c r="AI129" s="77"/>
      <c r="AJ129" s="82" t="str">
        <f t="shared" si="14"/>
        <v/>
      </c>
      <c r="AK129" s="83" t="str">
        <f t="shared" si="15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12"/>
        <v/>
      </c>
      <c r="AE130" s="80" t="str">
        <f t="shared" si="13"/>
        <v/>
      </c>
      <c r="AF130" s="81"/>
      <c r="AG130" s="77"/>
      <c r="AH130" s="81"/>
      <c r="AI130" s="77"/>
      <c r="AJ130" s="82" t="str">
        <f t="shared" si="14"/>
        <v/>
      </c>
      <c r="AK130" s="83" t="str">
        <f t="shared" si="15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12"/>
        <v/>
      </c>
      <c r="AE131" s="80" t="str">
        <f t="shared" si="13"/>
        <v/>
      </c>
      <c r="AF131" s="81"/>
      <c r="AG131" s="77"/>
      <c r="AH131" s="81"/>
      <c r="AI131" s="77"/>
      <c r="AJ131" s="82" t="str">
        <f t="shared" si="14"/>
        <v/>
      </c>
      <c r="AK131" s="83" t="str">
        <f t="shared" si="15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6">IF(MIN(F132,J132,N132,R132,V132,Z132)&lt;&gt;0,MIN(F132,J132,N132,R132,V132,Z132),"")</f>
        <v/>
      </c>
      <c r="AE132" s="80" t="str">
        <f t="shared" ref="AE132:AE195" si="17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8">IF(AD132="","",IF(ISBLANK(AF132),"En cours",AD132+AF132))</f>
        <v/>
      </c>
      <c r="AK132" s="83" t="str">
        <f t="shared" ref="AK132:AK195" si="19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6"/>
        <v/>
      </c>
      <c r="AE133" s="80" t="str">
        <f t="shared" si="17"/>
        <v/>
      </c>
      <c r="AF133" s="81"/>
      <c r="AG133" s="77"/>
      <c r="AH133" s="81"/>
      <c r="AI133" s="77"/>
      <c r="AJ133" s="82" t="str">
        <f t="shared" si="18"/>
        <v/>
      </c>
      <c r="AK133" s="83" t="str">
        <f t="shared" si="19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6"/>
        <v/>
      </c>
      <c r="AE134" s="80" t="str">
        <f t="shared" si="17"/>
        <v/>
      </c>
      <c r="AF134" s="81"/>
      <c r="AG134" s="77"/>
      <c r="AH134" s="81"/>
      <c r="AI134" s="77"/>
      <c r="AJ134" s="82" t="str">
        <f t="shared" si="18"/>
        <v/>
      </c>
      <c r="AK134" s="83" t="str">
        <f t="shared" si="19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6"/>
        <v/>
      </c>
      <c r="AE135" s="80" t="str">
        <f t="shared" si="17"/>
        <v/>
      </c>
      <c r="AF135" s="81"/>
      <c r="AG135" s="77"/>
      <c r="AH135" s="81"/>
      <c r="AI135" s="77"/>
      <c r="AJ135" s="82" t="str">
        <f t="shared" si="18"/>
        <v/>
      </c>
      <c r="AK135" s="83" t="str">
        <f t="shared" si="19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6"/>
        <v/>
      </c>
      <c r="AE136" s="80" t="str">
        <f t="shared" si="17"/>
        <v/>
      </c>
      <c r="AF136" s="81"/>
      <c r="AG136" s="77"/>
      <c r="AH136" s="81"/>
      <c r="AI136" s="77"/>
      <c r="AJ136" s="82" t="str">
        <f t="shared" si="18"/>
        <v/>
      </c>
      <c r="AK136" s="83" t="str">
        <f t="shared" si="19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6"/>
        <v/>
      </c>
      <c r="AE137" s="80" t="str">
        <f t="shared" si="17"/>
        <v/>
      </c>
      <c r="AF137" s="81"/>
      <c r="AG137" s="77"/>
      <c r="AH137" s="81"/>
      <c r="AI137" s="77"/>
      <c r="AJ137" s="82" t="str">
        <f t="shared" si="18"/>
        <v/>
      </c>
      <c r="AK137" s="83" t="str">
        <f t="shared" si="19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6"/>
        <v/>
      </c>
      <c r="AE138" s="80" t="str">
        <f t="shared" si="17"/>
        <v/>
      </c>
      <c r="AF138" s="81"/>
      <c r="AG138" s="77"/>
      <c r="AH138" s="81"/>
      <c r="AI138" s="77"/>
      <c r="AJ138" s="82" t="str">
        <f t="shared" si="18"/>
        <v/>
      </c>
      <c r="AK138" s="83" t="str">
        <f t="shared" si="19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6"/>
        <v/>
      </c>
      <c r="AE139" s="80" t="str">
        <f t="shared" si="17"/>
        <v/>
      </c>
      <c r="AF139" s="81"/>
      <c r="AG139" s="77"/>
      <c r="AH139" s="81"/>
      <c r="AI139" s="77"/>
      <c r="AJ139" s="82" t="str">
        <f t="shared" si="18"/>
        <v/>
      </c>
      <c r="AK139" s="83" t="str">
        <f t="shared" si="19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6"/>
        <v/>
      </c>
      <c r="AE140" s="80" t="str">
        <f t="shared" si="17"/>
        <v/>
      </c>
      <c r="AF140" s="81"/>
      <c r="AG140" s="77"/>
      <c r="AH140" s="81"/>
      <c r="AI140" s="77"/>
      <c r="AJ140" s="82" t="str">
        <f t="shared" si="18"/>
        <v/>
      </c>
      <c r="AK140" s="83" t="str">
        <f t="shared" si="19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6"/>
        <v/>
      </c>
      <c r="AE141" s="80" t="str">
        <f t="shared" si="17"/>
        <v/>
      </c>
      <c r="AF141" s="81"/>
      <c r="AG141" s="77"/>
      <c r="AH141" s="81"/>
      <c r="AI141" s="77"/>
      <c r="AJ141" s="82" t="str">
        <f t="shared" si="18"/>
        <v/>
      </c>
      <c r="AK141" s="83" t="str">
        <f t="shared" si="19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6"/>
        <v/>
      </c>
      <c r="AE142" s="80" t="str">
        <f t="shared" si="17"/>
        <v/>
      </c>
      <c r="AF142" s="81"/>
      <c r="AG142" s="77"/>
      <c r="AH142" s="81"/>
      <c r="AI142" s="77"/>
      <c r="AJ142" s="82" t="str">
        <f t="shared" si="18"/>
        <v/>
      </c>
      <c r="AK142" s="83" t="str">
        <f t="shared" si="19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6"/>
        <v/>
      </c>
      <c r="AE143" s="80" t="str">
        <f t="shared" si="17"/>
        <v/>
      </c>
      <c r="AF143" s="81"/>
      <c r="AG143" s="77"/>
      <c r="AH143" s="81"/>
      <c r="AI143" s="77"/>
      <c r="AJ143" s="82" t="str">
        <f t="shared" si="18"/>
        <v/>
      </c>
      <c r="AK143" s="83" t="str">
        <f t="shared" si="19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6"/>
        <v/>
      </c>
      <c r="AE144" s="80" t="str">
        <f t="shared" si="17"/>
        <v/>
      </c>
      <c r="AF144" s="81"/>
      <c r="AG144" s="77"/>
      <c r="AH144" s="81"/>
      <c r="AI144" s="77"/>
      <c r="AJ144" s="82" t="str">
        <f t="shared" si="18"/>
        <v/>
      </c>
      <c r="AK144" s="83" t="str">
        <f t="shared" si="19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6"/>
        <v/>
      </c>
      <c r="AE145" s="80" t="str">
        <f t="shared" si="17"/>
        <v/>
      </c>
      <c r="AF145" s="81"/>
      <c r="AG145" s="77"/>
      <c r="AH145" s="81"/>
      <c r="AI145" s="77"/>
      <c r="AJ145" s="82" t="str">
        <f t="shared" si="18"/>
        <v/>
      </c>
      <c r="AK145" s="83" t="str">
        <f t="shared" si="19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6"/>
        <v/>
      </c>
      <c r="AE146" s="80" t="str">
        <f t="shared" si="17"/>
        <v/>
      </c>
      <c r="AF146" s="81"/>
      <c r="AG146" s="77"/>
      <c r="AH146" s="81"/>
      <c r="AI146" s="77"/>
      <c r="AJ146" s="82" t="str">
        <f t="shared" si="18"/>
        <v/>
      </c>
      <c r="AK146" s="83" t="str">
        <f t="shared" si="19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6"/>
        <v/>
      </c>
      <c r="AE147" s="80" t="str">
        <f t="shared" si="17"/>
        <v/>
      </c>
      <c r="AF147" s="81"/>
      <c r="AG147" s="77"/>
      <c r="AH147" s="81"/>
      <c r="AI147" s="77"/>
      <c r="AJ147" s="82" t="str">
        <f t="shared" si="18"/>
        <v/>
      </c>
      <c r="AK147" s="83" t="str">
        <f t="shared" si="19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6"/>
        <v/>
      </c>
      <c r="AE148" s="80" t="str">
        <f t="shared" si="17"/>
        <v/>
      </c>
      <c r="AF148" s="81"/>
      <c r="AG148" s="77"/>
      <c r="AH148" s="81"/>
      <c r="AI148" s="77"/>
      <c r="AJ148" s="82" t="str">
        <f t="shared" si="18"/>
        <v/>
      </c>
      <c r="AK148" s="83" t="str">
        <f t="shared" si="19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6"/>
        <v/>
      </c>
      <c r="AE149" s="80" t="str">
        <f t="shared" si="17"/>
        <v/>
      </c>
      <c r="AF149" s="81"/>
      <c r="AG149" s="77"/>
      <c r="AH149" s="81"/>
      <c r="AI149" s="77"/>
      <c r="AJ149" s="82" t="str">
        <f t="shared" si="18"/>
        <v/>
      </c>
      <c r="AK149" s="83" t="str">
        <f t="shared" si="19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6"/>
        <v/>
      </c>
      <c r="AE150" s="80" t="str">
        <f t="shared" si="17"/>
        <v/>
      </c>
      <c r="AF150" s="81"/>
      <c r="AG150" s="77"/>
      <c r="AH150" s="81"/>
      <c r="AI150" s="77"/>
      <c r="AJ150" s="82" t="str">
        <f t="shared" si="18"/>
        <v/>
      </c>
      <c r="AK150" s="83" t="str">
        <f t="shared" si="19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6"/>
        <v/>
      </c>
      <c r="AE151" s="80" t="str">
        <f t="shared" si="17"/>
        <v/>
      </c>
      <c r="AF151" s="81"/>
      <c r="AG151" s="77"/>
      <c r="AH151" s="81"/>
      <c r="AI151" s="77"/>
      <c r="AJ151" s="82" t="str">
        <f t="shared" si="18"/>
        <v/>
      </c>
      <c r="AK151" s="83" t="str">
        <f t="shared" si="19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6"/>
        <v/>
      </c>
      <c r="AE152" s="80" t="str">
        <f t="shared" si="17"/>
        <v/>
      </c>
      <c r="AF152" s="81"/>
      <c r="AG152" s="77"/>
      <c r="AH152" s="81"/>
      <c r="AI152" s="77"/>
      <c r="AJ152" s="82" t="str">
        <f t="shared" si="18"/>
        <v/>
      </c>
      <c r="AK152" s="83" t="str">
        <f t="shared" si="19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6"/>
        <v/>
      </c>
      <c r="AE153" s="80" t="str">
        <f t="shared" si="17"/>
        <v/>
      </c>
      <c r="AF153" s="81"/>
      <c r="AG153" s="77"/>
      <c r="AH153" s="81"/>
      <c r="AI153" s="77"/>
      <c r="AJ153" s="82" t="str">
        <f t="shared" si="18"/>
        <v/>
      </c>
      <c r="AK153" s="83" t="str">
        <f t="shared" si="19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6"/>
        <v/>
      </c>
      <c r="AE154" s="80" t="str">
        <f t="shared" si="17"/>
        <v/>
      </c>
      <c r="AF154" s="81"/>
      <c r="AG154" s="77"/>
      <c r="AH154" s="81"/>
      <c r="AI154" s="77"/>
      <c r="AJ154" s="82" t="str">
        <f t="shared" si="18"/>
        <v/>
      </c>
      <c r="AK154" s="83" t="str">
        <f t="shared" si="19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6"/>
        <v/>
      </c>
      <c r="AE155" s="80" t="str">
        <f t="shared" si="17"/>
        <v/>
      </c>
      <c r="AF155" s="81"/>
      <c r="AG155" s="77"/>
      <c r="AH155" s="81"/>
      <c r="AI155" s="77"/>
      <c r="AJ155" s="82" t="str">
        <f t="shared" si="18"/>
        <v/>
      </c>
      <c r="AK155" s="83" t="str">
        <f t="shared" si="19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6"/>
        <v/>
      </c>
      <c r="AE156" s="80" t="str">
        <f t="shared" si="17"/>
        <v/>
      </c>
      <c r="AF156" s="81"/>
      <c r="AG156" s="77"/>
      <c r="AH156" s="81"/>
      <c r="AI156" s="77"/>
      <c r="AJ156" s="82" t="str">
        <f t="shared" si="18"/>
        <v/>
      </c>
      <c r="AK156" s="83" t="str">
        <f t="shared" si="19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6"/>
        <v/>
      </c>
      <c r="AE157" s="80" t="str">
        <f t="shared" si="17"/>
        <v/>
      </c>
      <c r="AF157" s="81"/>
      <c r="AG157" s="77"/>
      <c r="AH157" s="81"/>
      <c r="AI157" s="77"/>
      <c r="AJ157" s="82" t="str">
        <f t="shared" si="18"/>
        <v/>
      </c>
      <c r="AK157" s="83" t="str">
        <f t="shared" si="19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6"/>
        <v/>
      </c>
      <c r="AE158" s="80" t="str">
        <f t="shared" si="17"/>
        <v/>
      </c>
      <c r="AF158" s="81"/>
      <c r="AG158" s="77"/>
      <c r="AH158" s="81"/>
      <c r="AI158" s="77"/>
      <c r="AJ158" s="82" t="str">
        <f t="shared" si="18"/>
        <v/>
      </c>
      <c r="AK158" s="83" t="str">
        <f t="shared" si="19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6"/>
        <v/>
      </c>
      <c r="AE159" s="80" t="str">
        <f t="shared" si="17"/>
        <v/>
      </c>
      <c r="AF159" s="81"/>
      <c r="AG159" s="77"/>
      <c r="AH159" s="81"/>
      <c r="AI159" s="77"/>
      <c r="AJ159" s="82" t="str">
        <f t="shared" si="18"/>
        <v/>
      </c>
      <c r="AK159" s="83" t="str">
        <f t="shared" si="19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6"/>
        <v/>
      </c>
      <c r="AE160" s="80" t="str">
        <f t="shared" si="17"/>
        <v/>
      </c>
      <c r="AF160" s="81"/>
      <c r="AG160" s="77"/>
      <c r="AH160" s="81"/>
      <c r="AI160" s="77"/>
      <c r="AJ160" s="82" t="str">
        <f t="shared" si="18"/>
        <v/>
      </c>
      <c r="AK160" s="83" t="str">
        <f t="shared" si="19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6"/>
        <v/>
      </c>
      <c r="AE161" s="80" t="str">
        <f t="shared" si="17"/>
        <v/>
      </c>
      <c r="AF161" s="81"/>
      <c r="AG161" s="77"/>
      <c r="AH161" s="81"/>
      <c r="AI161" s="77"/>
      <c r="AJ161" s="82" t="str">
        <f t="shared" si="18"/>
        <v/>
      </c>
      <c r="AK161" s="83" t="str">
        <f t="shared" si="19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6"/>
        <v/>
      </c>
      <c r="AE162" s="80" t="str">
        <f t="shared" si="17"/>
        <v/>
      </c>
      <c r="AF162" s="81"/>
      <c r="AG162" s="77"/>
      <c r="AH162" s="81"/>
      <c r="AI162" s="77"/>
      <c r="AJ162" s="82" t="str">
        <f t="shared" si="18"/>
        <v/>
      </c>
      <c r="AK162" s="83" t="str">
        <f t="shared" si="19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6"/>
        <v/>
      </c>
      <c r="AE163" s="80" t="str">
        <f t="shared" si="17"/>
        <v/>
      </c>
      <c r="AF163" s="81"/>
      <c r="AG163" s="77"/>
      <c r="AH163" s="81"/>
      <c r="AI163" s="77"/>
      <c r="AJ163" s="82" t="str">
        <f t="shared" si="18"/>
        <v/>
      </c>
      <c r="AK163" s="83" t="str">
        <f t="shared" si="19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6"/>
        <v/>
      </c>
      <c r="AE164" s="80" t="str">
        <f t="shared" si="17"/>
        <v/>
      </c>
      <c r="AF164" s="81"/>
      <c r="AG164" s="77"/>
      <c r="AH164" s="81"/>
      <c r="AI164" s="77"/>
      <c r="AJ164" s="82" t="str">
        <f t="shared" si="18"/>
        <v/>
      </c>
      <c r="AK164" s="83" t="str">
        <f t="shared" si="19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6"/>
        <v/>
      </c>
      <c r="AE165" s="80" t="str">
        <f t="shared" si="17"/>
        <v/>
      </c>
      <c r="AF165" s="81"/>
      <c r="AG165" s="77"/>
      <c r="AH165" s="81"/>
      <c r="AI165" s="77"/>
      <c r="AJ165" s="82" t="str">
        <f t="shared" si="18"/>
        <v/>
      </c>
      <c r="AK165" s="83" t="str">
        <f t="shared" si="19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6"/>
        <v/>
      </c>
      <c r="AE166" s="80" t="str">
        <f t="shared" si="17"/>
        <v/>
      </c>
      <c r="AF166" s="81"/>
      <c r="AG166" s="77"/>
      <c r="AH166" s="81"/>
      <c r="AI166" s="77"/>
      <c r="AJ166" s="82" t="str">
        <f t="shared" si="18"/>
        <v/>
      </c>
      <c r="AK166" s="83" t="str">
        <f t="shared" si="19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6"/>
        <v/>
      </c>
      <c r="AE167" s="80" t="str">
        <f t="shared" si="17"/>
        <v/>
      </c>
      <c r="AF167" s="81"/>
      <c r="AG167" s="77"/>
      <c r="AH167" s="81"/>
      <c r="AI167" s="77"/>
      <c r="AJ167" s="82" t="str">
        <f t="shared" si="18"/>
        <v/>
      </c>
      <c r="AK167" s="83" t="str">
        <f t="shared" si="19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6"/>
        <v/>
      </c>
      <c r="AE168" s="80" t="str">
        <f t="shared" si="17"/>
        <v/>
      </c>
      <c r="AF168" s="81"/>
      <c r="AG168" s="77"/>
      <c r="AH168" s="81"/>
      <c r="AI168" s="77"/>
      <c r="AJ168" s="82" t="str">
        <f t="shared" si="18"/>
        <v/>
      </c>
      <c r="AK168" s="83" t="str">
        <f t="shared" si="19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6"/>
        <v/>
      </c>
      <c r="AE169" s="80" t="str">
        <f t="shared" si="17"/>
        <v/>
      </c>
      <c r="AF169" s="81"/>
      <c r="AG169" s="77"/>
      <c r="AH169" s="81"/>
      <c r="AI169" s="77"/>
      <c r="AJ169" s="82" t="str">
        <f t="shared" si="18"/>
        <v/>
      </c>
      <c r="AK169" s="83" t="str">
        <f t="shared" si="19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6"/>
        <v/>
      </c>
      <c r="AE170" s="80" t="str">
        <f t="shared" si="17"/>
        <v/>
      </c>
      <c r="AF170" s="81"/>
      <c r="AG170" s="77"/>
      <c r="AH170" s="81"/>
      <c r="AI170" s="77"/>
      <c r="AJ170" s="82" t="str">
        <f t="shared" si="18"/>
        <v/>
      </c>
      <c r="AK170" s="83" t="str">
        <f t="shared" si="19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6"/>
        <v/>
      </c>
      <c r="AE171" s="80" t="str">
        <f t="shared" si="17"/>
        <v/>
      </c>
      <c r="AF171" s="81"/>
      <c r="AG171" s="77"/>
      <c r="AH171" s="81"/>
      <c r="AI171" s="77"/>
      <c r="AJ171" s="82" t="str">
        <f t="shared" si="18"/>
        <v/>
      </c>
      <c r="AK171" s="83" t="str">
        <f t="shared" si="19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6"/>
        <v/>
      </c>
      <c r="AE172" s="80" t="str">
        <f t="shared" si="17"/>
        <v/>
      </c>
      <c r="AF172" s="81"/>
      <c r="AG172" s="77"/>
      <c r="AH172" s="81"/>
      <c r="AI172" s="77"/>
      <c r="AJ172" s="82" t="str">
        <f t="shared" si="18"/>
        <v/>
      </c>
      <c r="AK172" s="83" t="str">
        <f t="shared" si="19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6"/>
        <v/>
      </c>
      <c r="AE173" s="80" t="str">
        <f t="shared" si="17"/>
        <v/>
      </c>
      <c r="AF173" s="81"/>
      <c r="AG173" s="77"/>
      <c r="AH173" s="81"/>
      <c r="AI173" s="77"/>
      <c r="AJ173" s="82" t="str">
        <f t="shared" si="18"/>
        <v/>
      </c>
      <c r="AK173" s="83" t="str">
        <f t="shared" si="19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6"/>
        <v/>
      </c>
      <c r="AE174" s="80" t="str">
        <f t="shared" si="17"/>
        <v/>
      </c>
      <c r="AF174" s="81"/>
      <c r="AG174" s="77"/>
      <c r="AH174" s="81"/>
      <c r="AI174" s="77"/>
      <c r="AJ174" s="82" t="str">
        <f t="shared" si="18"/>
        <v/>
      </c>
      <c r="AK174" s="83" t="str">
        <f t="shared" si="19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6"/>
        <v/>
      </c>
      <c r="AE175" s="80" t="str">
        <f t="shared" si="17"/>
        <v/>
      </c>
      <c r="AF175" s="81"/>
      <c r="AG175" s="77"/>
      <c r="AH175" s="81"/>
      <c r="AI175" s="77"/>
      <c r="AJ175" s="82" t="str">
        <f t="shared" si="18"/>
        <v/>
      </c>
      <c r="AK175" s="83" t="str">
        <f t="shared" si="19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6"/>
        <v/>
      </c>
      <c r="AE176" s="80" t="str">
        <f t="shared" si="17"/>
        <v/>
      </c>
      <c r="AF176" s="81"/>
      <c r="AG176" s="77"/>
      <c r="AH176" s="81"/>
      <c r="AI176" s="77"/>
      <c r="AJ176" s="82" t="str">
        <f t="shared" si="18"/>
        <v/>
      </c>
      <c r="AK176" s="83" t="str">
        <f t="shared" si="19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6"/>
        <v/>
      </c>
      <c r="AE177" s="80" t="str">
        <f t="shared" si="17"/>
        <v/>
      </c>
      <c r="AF177" s="81"/>
      <c r="AG177" s="77"/>
      <c r="AH177" s="81"/>
      <c r="AI177" s="77"/>
      <c r="AJ177" s="82" t="str">
        <f t="shared" si="18"/>
        <v/>
      </c>
      <c r="AK177" s="83" t="str">
        <f t="shared" si="19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6"/>
        <v/>
      </c>
      <c r="AE178" s="80" t="str">
        <f t="shared" si="17"/>
        <v/>
      </c>
      <c r="AF178" s="81"/>
      <c r="AG178" s="77"/>
      <c r="AH178" s="81"/>
      <c r="AI178" s="77"/>
      <c r="AJ178" s="82" t="str">
        <f t="shared" si="18"/>
        <v/>
      </c>
      <c r="AK178" s="83" t="str">
        <f t="shared" si="19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6"/>
        <v/>
      </c>
      <c r="AE179" s="80" t="str">
        <f t="shared" si="17"/>
        <v/>
      </c>
      <c r="AF179" s="81"/>
      <c r="AG179" s="77"/>
      <c r="AH179" s="81"/>
      <c r="AI179" s="77"/>
      <c r="AJ179" s="82" t="str">
        <f t="shared" si="18"/>
        <v/>
      </c>
      <c r="AK179" s="83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176" priority="8497" stopIfTrue="1" operator="equal">
      <formula>"En cours"</formula>
    </cfRule>
  </conditionalFormatting>
  <conditionalFormatting sqref="AJ30">
    <cfRule type="cellIs" dxfId="175" priority="8498" stopIfTrue="1" operator="notEqual">
      <formula>"En cours"</formula>
    </cfRule>
  </conditionalFormatting>
  <conditionalFormatting sqref="AK30">
    <cfRule type="cellIs" dxfId="174" priority="8499" stopIfTrue="1" operator="equal">
      <formula>"En cours"</formula>
    </cfRule>
  </conditionalFormatting>
  <conditionalFormatting sqref="AK30">
    <cfRule type="cellIs" dxfId="173" priority="8500" stopIfTrue="1" operator="notEqual">
      <formula>"En cours"</formula>
    </cfRule>
  </conditionalFormatting>
  <conditionalFormatting sqref="AJ36">
    <cfRule type="cellIs" dxfId="172" priority="8633" stopIfTrue="1" operator="equal">
      <formula>"En cours"</formula>
    </cfRule>
    <cfRule type="cellIs" dxfId="171" priority="8634" stopIfTrue="1" operator="notEqual">
      <formula>"En cours"</formula>
    </cfRule>
  </conditionalFormatting>
  <conditionalFormatting sqref="AK36">
    <cfRule type="cellIs" dxfId="170" priority="8635" stopIfTrue="1" operator="equal">
      <formula>"En cours"</formula>
    </cfRule>
    <cfRule type="cellIs" dxfId="169" priority="8636" stopIfTrue="1" operator="notEqual">
      <formula>"En cours"</formula>
    </cfRule>
  </conditionalFormatting>
  <conditionalFormatting sqref="AJ35">
    <cfRule type="cellIs" dxfId="168" priority="8637" stopIfTrue="1" operator="equal">
      <formula>"En cours"</formula>
    </cfRule>
  </conditionalFormatting>
  <conditionalFormatting sqref="AJ35">
    <cfRule type="cellIs" dxfId="167" priority="8638" stopIfTrue="1" operator="notEqual">
      <formula>"En cours"</formula>
    </cfRule>
  </conditionalFormatting>
  <conditionalFormatting sqref="AK35">
    <cfRule type="cellIs" dxfId="166" priority="8639" stopIfTrue="1" operator="equal">
      <formula>"En cours"</formula>
    </cfRule>
  </conditionalFormatting>
  <conditionalFormatting sqref="AK35">
    <cfRule type="cellIs" dxfId="165" priority="8640" stopIfTrue="1" operator="notEqual">
      <formula>"En cours"</formula>
    </cfRule>
  </conditionalFormatting>
  <conditionalFormatting sqref="AJ33">
    <cfRule type="cellIs" dxfId="164" priority="8641" stopIfTrue="1" operator="equal">
      <formula>"En cours"</formula>
    </cfRule>
  </conditionalFormatting>
  <conditionalFormatting sqref="AJ33">
    <cfRule type="cellIs" dxfId="163" priority="8642" stopIfTrue="1" operator="notEqual">
      <formula>"En cours"</formula>
    </cfRule>
  </conditionalFormatting>
  <conditionalFormatting sqref="AK33">
    <cfRule type="cellIs" dxfId="162" priority="8643" stopIfTrue="1" operator="equal">
      <formula>"En cours"</formula>
    </cfRule>
  </conditionalFormatting>
  <conditionalFormatting sqref="AK33">
    <cfRule type="cellIs" dxfId="161" priority="8644" stopIfTrue="1" operator="notEqual">
      <formula>"En cours"</formula>
    </cfRule>
  </conditionalFormatting>
  <conditionalFormatting sqref="AJ29">
    <cfRule type="cellIs" dxfId="160" priority="8693" stopIfTrue="1" operator="equal">
      <formula>"En cours"</formula>
    </cfRule>
  </conditionalFormatting>
  <conditionalFormatting sqref="AJ29">
    <cfRule type="cellIs" dxfId="159" priority="8694" stopIfTrue="1" operator="notEqual">
      <formula>"En cours"</formula>
    </cfRule>
  </conditionalFormatting>
  <conditionalFormatting sqref="AK29">
    <cfRule type="cellIs" dxfId="158" priority="8695" stopIfTrue="1" operator="equal">
      <formula>"En cours"</formula>
    </cfRule>
  </conditionalFormatting>
  <conditionalFormatting sqref="AK29">
    <cfRule type="cellIs" dxfId="157" priority="8696" stopIfTrue="1" operator="notEqual">
      <formula>"En cours"</formula>
    </cfRule>
  </conditionalFormatting>
  <conditionalFormatting sqref="AJ32">
    <cfRule type="cellIs" dxfId="156" priority="8697" stopIfTrue="1" operator="equal">
      <formula>"En cours"</formula>
    </cfRule>
  </conditionalFormatting>
  <conditionalFormatting sqref="AJ32">
    <cfRule type="cellIs" dxfId="155" priority="8698" stopIfTrue="1" operator="notEqual">
      <formula>"En cours"</formula>
    </cfRule>
  </conditionalFormatting>
  <conditionalFormatting sqref="AK32">
    <cfRule type="cellIs" dxfId="154" priority="8699" stopIfTrue="1" operator="equal">
      <formula>"En cours"</formula>
    </cfRule>
  </conditionalFormatting>
  <conditionalFormatting sqref="AK32">
    <cfRule type="cellIs" dxfId="153" priority="8700" stopIfTrue="1" operator="notEqual">
      <formula>"En cours"</formula>
    </cfRule>
  </conditionalFormatting>
  <conditionalFormatting sqref="AJ31">
    <cfRule type="cellIs" dxfId="152" priority="8701" stopIfTrue="1" operator="equal">
      <formula>"En cours"</formula>
    </cfRule>
  </conditionalFormatting>
  <conditionalFormatting sqref="AJ31">
    <cfRule type="cellIs" dxfId="151" priority="8702" stopIfTrue="1" operator="notEqual">
      <formula>"En cours"</formula>
    </cfRule>
  </conditionalFormatting>
  <conditionalFormatting sqref="AK31">
    <cfRule type="cellIs" dxfId="150" priority="8703" stopIfTrue="1" operator="equal">
      <formula>"En cours"</formula>
    </cfRule>
  </conditionalFormatting>
  <conditionalFormatting sqref="AK31">
    <cfRule type="cellIs" dxfId="149" priority="8704" stopIfTrue="1" operator="notEqual">
      <formula>"En cours"</formula>
    </cfRule>
  </conditionalFormatting>
  <conditionalFormatting sqref="AJ27">
    <cfRule type="cellIs" dxfId="148" priority="8705" stopIfTrue="1" operator="equal">
      <formula>"En cours"</formula>
    </cfRule>
  </conditionalFormatting>
  <conditionalFormatting sqref="AJ27">
    <cfRule type="cellIs" dxfId="147" priority="8706" stopIfTrue="1" operator="notEqual">
      <formula>"En cours"</formula>
    </cfRule>
  </conditionalFormatting>
  <conditionalFormatting sqref="AK27">
    <cfRule type="cellIs" dxfId="146" priority="8707" stopIfTrue="1" operator="equal">
      <formula>"En cours"</formula>
    </cfRule>
  </conditionalFormatting>
  <conditionalFormatting sqref="AK27">
    <cfRule type="cellIs" dxfId="145" priority="8708" stopIfTrue="1" operator="notEqual">
      <formula>"En cours"</formula>
    </cfRule>
  </conditionalFormatting>
  <conditionalFormatting sqref="AJ34">
    <cfRule type="cellIs" dxfId="144" priority="8717" stopIfTrue="1" operator="equal">
      <formula>"En cours"</formula>
    </cfRule>
  </conditionalFormatting>
  <conditionalFormatting sqref="AJ34">
    <cfRule type="cellIs" dxfId="143" priority="8718" stopIfTrue="1" operator="notEqual">
      <formula>"En cours"</formula>
    </cfRule>
  </conditionalFormatting>
  <conditionalFormatting sqref="AK34">
    <cfRule type="cellIs" dxfId="142" priority="8719" stopIfTrue="1" operator="equal">
      <formula>"En cours"</formula>
    </cfRule>
  </conditionalFormatting>
  <conditionalFormatting sqref="AK34">
    <cfRule type="cellIs" dxfId="141" priority="8720" stopIfTrue="1" operator="notEqual">
      <formula>"En cours"</formula>
    </cfRule>
  </conditionalFormatting>
  <conditionalFormatting sqref="AJ28">
    <cfRule type="cellIs" dxfId="140" priority="8725" stopIfTrue="1" operator="equal">
      <formula>"En cours"</formula>
    </cfRule>
  </conditionalFormatting>
  <conditionalFormatting sqref="AJ28">
    <cfRule type="cellIs" dxfId="139" priority="8726" stopIfTrue="1" operator="notEqual">
      <formula>"En cours"</formula>
    </cfRule>
  </conditionalFormatting>
  <conditionalFormatting sqref="AK28">
    <cfRule type="cellIs" dxfId="138" priority="8727" stopIfTrue="1" operator="equal">
      <formula>"En cours"</formula>
    </cfRule>
  </conditionalFormatting>
  <conditionalFormatting sqref="AK28">
    <cfRule type="cellIs" dxfId="137" priority="8728" stopIfTrue="1" operator="notEqual">
      <formula>"En cours"</formula>
    </cfRule>
  </conditionalFormatting>
  <conditionalFormatting sqref="AJ23">
    <cfRule type="cellIs" dxfId="136" priority="12397" stopIfTrue="1" operator="equal">
      <formula>"En cours"</formula>
    </cfRule>
  </conditionalFormatting>
  <conditionalFormatting sqref="AJ23">
    <cfRule type="cellIs" dxfId="135" priority="12398" stopIfTrue="1" operator="notEqual">
      <formula>"En cours"</formula>
    </cfRule>
  </conditionalFormatting>
  <conditionalFormatting sqref="AK23">
    <cfRule type="cellIs" dxfId="134" priority="12399" stopIfTrue="1" operator="equal">
      <formula>"En cours"</formula>
    </cfRule>
  </conditionalFormatting>
  <conditionalFormatting sqref="AK23">
    <cfRule type="cellIs" dxfId="133" priority="12400" stopIfTrue="1" operator="notEqual">
      <formula>"En cours"</formula>
    </cfRule>
  </conditionalFormatting>
  <conditionalFormatting sqref="AJ25">
    <cfRule type="cellIs" dxfId="132" priority="12429" stopIfTrue="1" operator="equal">
      <formula>"En cours"</formula>
    </cfRule>
  </conditionalFormatting>
  <conditionalFormatting sqref="AJ25">
    <cfRule type="cellIs" dxfId="131" priority="12430" stopIfTrue="1" operator="notEqual">
      <formula>"En cours"</formula>
    </cfRule>
  </conditionalFormatting>
  <conditionalFormatting sqref="AK25">
    <cfRule type="cellIs" dxfId="130" priority="12431" stopIfTrue="1" operator="equal">
      <formula>"En cours"</formula>
    </cfRule>
  </conditionalFormatting>
  <conditionalFormatting sqref="AK25">
    <cfRule type="cellIs" dxfId="129" priority="12432" stopIfTrue="1" operator="notEqual">
      <formula>"En cours"</formula>
    </cfRule>
  </conditionalFormatting>
  <conditionalFormatting sqref="AJ26">
    <cfRule type="cellIs" dxfId="128" priority="12573" stopIfTrue="1" operator="equal">
      <formula>"En cours"</formula>
    </cfRule>
    <cfRule type="cellIs" dxfId="127" priority="12574" stopIfTrue="1" operator="notEqual">
      <formula>"En cours"</formula>
    </cfRule>
  </conditionalFormatting>
  <conditionalFormatting sqref="AK26">
    <cfRule type="cellIs" dxfId="126" priority="12575" stopIfTrue="1" operator="equal">
      <formula>"En cours"</formula>
    </cfRule>
    <cfRule type="cellIs" dxfId="125" priority="12576" stopIfTrue="1" operator="notEqual">
      <formula>"En cours"</formula>
    </cfRule>
  </conditionalFormatting>
  <conditionalFormatting sqref="AJ24">
    <cfRule type="cellIs" dxfId="124" priority="12641" stopIfTrue="1" operator="equal">
      <formula>"En cours"</formula>
    </cfRule>
  </conditionalFormatting>
  <conditionalFormatting sqref="AJ24">
    <cfRule type="cellIs" dxfId="123" priority="12642" stopIfTrue="1" operator="notEqual">
      <formula>"En cours"</formula>
    </cfRule>
  </conditionalFormatting>
  <conditionalFormatting sqref="AK24">
    <cfRule type="cellIs" dxfId="122" priority="12643" stopIfTrue="1" operator="equal">
      <formula>"En cours"</formula>
    </cfRule>
  </conditionalFormatting>
  <conditionalFormatting sqref="AK24">
    <cfRule type="cellIs" dxfId="121" priority="12644" stopIfTrue="1" operator="notEqual">
      <formula>"En cours"</formula>
    </cfRule>
  </conditionalFormatting>
  <conditionalFormatting sqref="AJ22">
    <cfRule type="cellIs" dxfId="120" priority="13797" stopIfTrue="1" operator="equal">
      <formula>"En cours"</formula>
    </cfRule>
    <cfRule type="cellIs" dxfId="119" priority="13798" stopIfTrue="1" operator="notEqual">
      <formula>"En cours"</formula>
    </cfRule>
  </conditionalFormatting>
  <conditionalFormatting sqref="AK22">
    <cfRule type="cellIs" dxfId="118" priority="13799" stopIfTrue="1" operator="equal">
      <formula>"En cours"</formula>
    </cfRule>
    <cfRule type="cellIs" dxfId="117" priority="13800" stopIfTrue="1" operator="notEqual">
      <formula>"En cours"</formula>
    </cfRule>
  </conditionalFormatting>
  <conditionalFormatting sqref="AJ21">
    <cfRule type="cellIs" dxfId="116" priority="13997" stopIfTrue="1" operator="equal">
      <formula>"En cours"</formula>
    </cfRule>
  </conditionalFormatting>
  <conditionalFormatting sqref="AJ21">
    <cfRule type="cellIs" dxfId="115" priority="13998" stopIfTrue="1" operator="notEqual">
      <formula>"En cours"</formula>
    </cfRule>
  </conditionalFormatting>
  <conditionalFormatting sqref="AK21">
    <cfRule type="cellIs" dxfId="114" priority="13999" stopIfTrue="1" operator="equal">
      <formula>"En cours"</formula>
    </cfRule>
  </conditionalFormatting>
  <conditionalFormatting sqref="AK21">
    <cfRule type="cellIs" dxfId="113" priority="14000" stopIfTrue="1" operator="notEqual">
      <formula>"En cours"</formula>
    </cfRule>
  </conditionalFormatting>
  <conditionalFormatting sqref="AJ5">
    <cfRule type="cellIs" dxfId="112" priority="18425" stopIfTrue="1" operator="equal">
      <formula>"En cours"</formula>
    </cfRule>
  </conditionalFormatting>
  <conditionalFormatting sqref="AJ5">
    <cfRule type="cellIs" dxfId="111" priority="18426" stopIfTrue="1" operator="notEqual">
      <formula>"En cours"</formula>
    </cfRule>
  </conditionalFormatting>
  <conditionalFormatting sqref="AK5">
    <cfRule type="cellIs" dxfId="110" priority="18427" stopIfTrue="1" operator="equal">
      <formula>"En cours"</formula>
    </cfRule>
  </conditionalFormatting>
  <conditionalFormatting sqref="AK5">
    <cfRule type="cellIs" dxfId="109" priority="18428" stopIfTrue="1" operator="notEqual">
      <formula>"En cours"</formula>
    </cfRule>
  </conditionalFormatting>
  <conditionalFormatting sqref="AJ6">
    <cfRule type="cellIs" dxfId="108" priority="18429" stopIfTrue="1" operator="equal">
      <formula>"En cours"</formula>
    </cfRule>
  </conditionalFormatting>
  <conditionalFormatting sqref="AJ6">
    <cfRule type="cellIs" dxfId="107" priority="18430" stopIfTrue="1" operator="notEqual">
      <formula>"En cours"</formula>
    </cfRule>
  </conditionalFormatting>
  <conditionalFormatting sqref="AK6">
    <cfRule type="cellIs" dxfId="106" priority="18431" stopIfTrue="1" operator="equal">
      <formula>"En cours"</formula>
    </cfRule>
  </conditionalFormatting>
  <conditionalFormatting sqref="AK6">
    <cfRule type="cellIs" dxfId="105" priority="18432" stopIfTrue="1" operator="notEqual">
      <formula>"En cours"</formula>
    </cfRule>
  </conditionalFormatting>
  <conditionalFormatting sqref="AJ4">
    <cfRule type="cellIs" dxfId="104" priority="18433" stopIfTrue="1" operator="equal">
      <formula>"En cours"</formula>
    </cfRule>
    <cfRule type="cellIs" dxfId="103" priority="18434" stopIfTrue="1" operator="notEqual">
      <formula>"En cours"</formula>
    </cfRule>
  </conditionalFormatting>
  <conditionalFormatting sqref="AK4">
    <cfRule type="cellIs" dxfId="102" priority="18435" stopIfTrue="1" operator="equal">
      <formula>"En cours"</formula>
    </cfRule>
    <cfRule type="cellIs" dxfId="101" priority="18436" stopIfTrue="1" operator="notEqual">
      <formula>"En cours"</formula>
    </cfRule>
  </conditionalFormatting>
  <conditionalFormatting sqref="AJ7">
    <cfRule type="cellIs" dxfId="100" priority="18437" stopIfTrue="1" operator="equal">
      <formula>"En cours"</formula>
    </cfRule>
  </conditionalFormatting>
  <conditionalFormatting sqref="AJ7">
    <cfRule type="cellIs" dxfId="99" priority="18438" stopIfTrue="1" operator="notEqual">
      <formula>"En cours"</formula>
    </cfRule>
  </conditionalFormatting>
  <conditionalFormatting sqref="AK7">
    <cfRule type="cellIs" dxfId="98" priority="18439" stopIfTrue="1" operator="equal">
      <formula>"En cours"</formula>
    </cfRule>
  </conditionalFormatting>
  <conditionalFormatting sqref="AK7">
    <cfRule type="cellIs" dxfId="97" priority="18440" stopIfTrue="1" operator="notEqual">
      <formula>"En cours"</formula>
    </cfRule>
  </conditionalFormatting>
  <conditionalFormatting sqref="AJ8">
    <cfRule type="cellIs" dxfId="96" priority="18441" stopIfTrue="1" operator="equal">
      <formula>"En cours"</formula>
    </cfRule>
  </conditionalFormatting>
  <conditionalFormatting sqref="AJ8">
    <cfRule type="cellIs" dxfId="95" priority="18442" stopIfTrue="1" operator="notEqual">
      <formula>"En cours"</formula>
    </cfRule>
  </conditionalFormatting>
  <conditionalFormatting sqref="AK8">
    <cfRule type="cellIs" dxfId="94" priority="18443" stopIfTrue="1" operator="equal">
      <formula>"En cours"</formula>
    </cfRule>
  </conditionalFormatting>
  <conditionalFormatting sqref="AK8">
    <cfRule type="cellIs" dxfId="93" priority="18444" stopIfTrue="1" operator="notEqual">
      <formula>"En cours"</formula>
    </cfRule>
  </conditionalFormatting>
  <conditionalFormatting sqref="AJ9">
    <cfRule type="cellIs" dxfId="92" priority="18445" stopIfTrue="1" operator="equal">
      <formula>"En cours"</formula>
    </cfRule>
  </conditionalFormatting>
  <conditionalFormatting sqref="AJ9">
    <cfRule type="cellIs" dxfId="91" priority="18446" stopIfTrue="1" operator="notEqual">
      <formula>"En cours"</formula>
    </cfRule>
  </conditionalFormatting>
  <conditionalFormatting sqref="AK9">
    <cfRule type="cellIs" dxfId="90" priority="18447" stopIfTrue="1" operator="equal">
      <formula>"En cours"</formula>
    </cfRule>
  </conditionalFormatting>
  <conditionalFormatting sqref="AK9">
    <cfRule type="cellIs" dxfId="89" priority="18448" stopIfTrue="1" operator="notEqual">
      <formula>"En cours"</formula>
    </cfRule>
  </conditionalFormatting>
  <conditionalFormatting sqref="AJ10">
    <cfRule type="cellIs" dxfId="88" priority="18449" stopIfTrue="1" operator="equal">
      <formula>"En cours"</formula>
    </cfRule>
  </conditionalFormatting>
  <conditionalFormatting sqref="AJ10">
    <cfRule type="cellIs" dxfId="87" priority="18450" stopIfTrue="1" operator="notEqual">
      <formula>"En cours"</formula>
    </cfRule>
  </conditionalFormatting>
  <conditionalFormatting sqref="AK10">
    <cfRule type="cellIs" dxfId="86" priority="18451" stopIfTrue="1" operator="equal">
      <formula>"En cours"</formula>
    </cfRule>
  </conditionalFormatting>
  <conditionalFormatting sqref="AK10">
    <cfRule type="cellIs" dxfId="85" priority="18452" stopIfTrue="1" operator="notEqual">
      <formula>"En cours"</formula>
    </cfRule>
  </conditionalFormatting>
  <conditionalFormatting sqref="AJ11">
    <cfRule type="cellIs" dxfId="84" priority="18453" stopIfTrue="1" operator="equal">
      <formula>"En cours"</formula>
    </cfRule>
  </conditionalFormatting>
  <conditionalFormatting sqref="AJ11">
    <cfRule type="cellIs" dxfId="83" priority="18454" stopIfTrue="1" operator="notEqual">
      <formula>"En cours"</formula>
    </cfRule>
  </conditionalFormatting>
  <conditionalFormatting sqref="AK11">
    <cfRule type="cellIs" dxfId="82" priority="18455" stopIfTrue="1" operator="equal">
      <formula>"En cours"</formula>
    </cfRule>
  </conditionalFormatting>
  <conditionalFormatting sqref="AK11">
    <cfRule type="cellIs" dxfId="81" priority="18456" stopIfTrue="1" operator="notEqual">
      <formula>"En cours"</formula>
    </cfRule>
  </conditionalFormatting>
  <conditionalFormatting sqref="AJ12">
    <cfRule type="cellIs" dxfId="80" priority="18457" stopIfTrue="1" operator="equal">
      <formula>"En cours"</formula>
    </cfRule>
  </conditionalFormatting>
  <conditionalFormatting sqref="AJ12">
    <cfRule type="cellIs" dxfId="79" priority="18458" stopIfTrue="1" operator="notEqual">
      <formula>"En cours"</formula>
    </cfRule>
  </conditionalFormatting>
  <conditionalFormatting sqref="AK12">
    <cfRule type="cellIs" dxfId="78" priority="18459" stopIfTrue="1" operator="equal">
      <formula>"En cours"</formula>
    </cfRule>
  </conditionalFormatting>
  <conditionalFormatting sqref="AK12">
    <cfRule type="cellIs" dxfId="77" priority="18460" stopIfTrue="1" operator="notEqual">
      <formula>"En cours"</formula>
    </cfRule>
  </conditionalFormatting>
  <conditionalFormatting sqref="AJ14">
    <cfRule type="cellIs" dxfId="76" priority="18461" stopIfTrue="1" operator="equal">
      <formula>"En cours"</formula>
    </cfRule>
  </conditionalFormatting>
  <conditionalFormatting sqref="AJ14">
    <cfRule type="cellIs" dxfId="75" priority="18462" stopIfTrue="1" operator="notEqual">
      <formula>"En cours"</formula>
    </cfRule>
  </conditionalFormatting>
  <conditionalFormatting sqref="AK14">
    <cfRule type="cellIs" dxfId="74" priority="18463" stopIfTrue="1" operator="equal">
      <formula>"En cours"</formula>
    </cfRule>
  </conditionalFormatting>
  <conditionalFormatting sqref="AK14">
    <cfRule type="cellIs" dxfId="73" priority="18464" stopIfTrue="1" operator="notEqual">
      <formula>"En cours"</formula>
    </cfRule>
  </conditionalFormatting>
  <conditionalFormatting sqref="AJ13">
    <cfRule type="cellIs" dxfId="72" priority="18465" stopIfTrue="1" operator="equal">
      <formula>"En cours"</formula>
    </cfRule>
  </conditionalFormatting>
  <conditionalFormatting sqref="AJ13">
    <cfRule type="cellIs" dxfId="71" priority="18466" stopIfTrue="1" operator="notEqual">
      <formula>"En cours"</formula>
    </cfRule>
  </conditionalFormatting>
  <conditionalFormatting sqref="AK13">
    <cfRule type="cellIs" dxfId="70" priority="18467" stopIfTrue="1" operator="equal">
      <formula>"En cours"</formula>
    </cfRule>
  </conditionalFormatting>
  <conditionalFormatting sqref="AK13">
    <cfRule type="cellIs" dxfId="69" priority="18468" stopIfTrue="1" operator="notEqual">
      <formula>"En cours"</formula>
    </cfRule>
  </conditionalFormatting>
  <conditionalFormatting sqref="AJ16">
    <cfRule type="cellIs" dxfId="68" priority="18469" stopIfTrue="1" operator="equal">
      <formula>"En cours"</formula>
    </cfRule>
  </conditionalFormatting>
  <conditionalFormatting sqref="AJ16">
    <cfRule type="cellIs" dxfId="67" priority="18470" stopIfTrue="1" operator="notEqual">
      <formula>"En cours"</formula>
    </cfRule>
  </conditionalFormatting>
  <conditionalFormatting sqref="AK16">
    <cfRule type="cellIs" dxfId="66" priority="18471" stopIfTrue="1" operator="equal">
      <formula>"En cours"</formula>
    </cfRule>
  </conditionalFormatting>
  <conditionalFormatting sqref="AK16">
    <cfRule type="cellIs" dxfId="65" priority="18472" stopIfTrue="1" operator="notEqual">
      <formula>"En cours"</formula>
    </cfRule>
  </conditionalFormatting>
  <conditionalFormatting sqref="AJ15">
    <cfRule type="cellIs" dxfId="64" priority="18473" stopIfTrue="1" operator="equal">
      <formula>"En cours"</formula>
    </cfRule>
  </conditionalFormatting>
  <conditionalFormatting sqref="AJ15">
    <cfRule type="cellIs" dxfId="63" priority="18474" stopIfTrue="1" operator="notEqual">
      <formula>"En cours"</formula>
    </cfRule>
  </conditionalFormatting>
  <conditionalFormatting sqref="AK15">
    <cfRule type="cellIs" dxfId="62" priority="18475" stopIfTrue="1" operator="equal">
      <formula>"En cours"</formula>
    </cfRule>
  </conditionalFormatting>
  <conditionalFormatting sqref="AK15">
    <cfRule type="cellIs" dxfId="61" priority="18476" stopIfTrue="1" operator="notEqual">
      <formula>"En cours"</formula>
    </cfRule>
  </conditionalFormatting>
  <conditionalFormatting sqref="AJ19">
    <cfRule type="cellIs" dxfId="60" priority="18477" stopIfTrue="1" operator="equal">
      <formula>"En cours"</formula>
    </cfRule>
  </conditionalFormatting>
  <conditionalFormatting sqref="AJ19">
    <cfRule type="cellIs" dxfId="59" priority="18478" stopIfTrue="1" operator="notEqual">
      <formula>"En cours"</formula>
    </cfRule>
  </conditionalFormatting>
  <conditionalFormatting sqref="AK19">
    <cfRule type="cellIs" dxfId="58" priority="18479" stopIfTrue="1" operator="equal">
      <formula>"En cours"</formula>
    </cfRule>
  </conditionalFormatting>
  <conditionalFormatting sqref="AK19">
    <cfRule type="cellIs" dxfId="57" priority="18480" stopIfTrue="1" operator="notEqual">
      <formula>"En cours"</formula>
    </cfRule>
  </conditionalFormatting>
  <conditionalFormatting sqref="AJ17">
    <cfRule type="cellIs" dxfId="56" priority="18481" stopIfTrue="1" operator="equal">
      <formula>"En cours"</formula>
    </cfRule>
  </conditionalFormatting>
  <conditionalFormatting sqref="AJ17">
    <cfRule type="cellIs" dxfId="55" priority="18482" stopIfTrue="1" operator="notEqual">
      <formula>"En cours"</formula>
    </cfRule>
  </conditionalFormatting>
  <conditionalFormatting sqref="AK17">
    <cfRule type="cellIs" dxfId="54" priority="18483" stopIfTrue="1" operator="equal">
      <formula>"En cours"</formula>
    </cfRule>
  </conditionalFormatting>
  <conditionalFormatting sqref="AK17">
    <cfRule type="cellIs" dxfId="53" priority="18484" stopIfTrue="1" operator="notEqual">
      <formula>"En cours"</formula>
    </cfRule>
  </conditionalFormatting>
  <conditionalFormatting sqref="AJ20">
    <cfRule type="cellIs" dxfId="52" priority="18485" stopIfTrue="1" operator="equal">
      <formula>"En cours"</formula>
    </cfRule>
  </conditionalFormatting>
  <conditionalFormatting sqref="AJ20">
    <cfRule type="cellIs" dxfId="51" priority="18486" stopIfTrue="1" operator="notEqual">
      <formula>"En cours"</formula>
    </cfRule>
  </conditionalFormatting>
  <conditionalFormatting sqref="AK20">
    <cfRule type="cellIs" dxfId="50" priority="18487" stopIfTrue="1" operator="equal">
      <formula>"En cours"</formula>
    </cfRule>
  </conditionalFormatting>
  <conditionalFormatting sqref="AK20">
    <cfRule type="cellIs" dxfId="49" priority="18488" stopIfTrue="1" operator="notEqual">
      <formula>"En cours"</formula>
    </cfRule>
  </conditionalFormatting>
  <conditionalFormatting sqref="AJ18">
    <cfRule type="cellIs" dxfId="48" priority="18489" stopIfTrue="1" operator="equal">
      <formula>"En cours"</formula>
    </cfRule>
  </conditionalFormatting>
  <conditionalFormatting sqref="AJ18">
    <cfRule type="cellIs" dxfId="47" priority="18490" stopIfTrue="1" operator="notEqual">
      <formula>"En cours"</formula>
    </cfRule>
  </conditionalFormatting>
  <conditionalFormatting sqref="AK18">
    <cfRule type="cellIs" dxfId="46" priority="18491" stopIfTrue="1" operator="equal">
      <formula>"En cours"</formula>
    </cfRule>
  </conditionalFormatting>
  <conditionalFormatting sqref="AK18">
    <cfRule type="cellIs" dxfId="45" priority="1849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workbookViewId="0">
      <pane ySplit="4" topLeftCell="A5" activePane="bottomLeft" state="frozen"/>
      <selection pane="bottomLeft" activeCell="B9" sqref="B9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F5" s="155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2024-08-05T16:48:52Z</dcterms:modified>
</cp:coreProperties>
</file>