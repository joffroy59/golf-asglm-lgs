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B436B13D-D24C-4344-8E94-CE1A42956879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19" i="4" l="1"/>
  <c r="AK119" i="4" s="1"/>
  <c r="AD119" i="4"/>
  <c r="AJ119" i="4" s="1"/>
  <c r="AE40" i="4"/>
  <c r="AK40" i="4" s="1"/>
  <c r="AD40" i="4"/>
  <c r="AJ40" i="4" s="1"/>
  <c r="AE20" i="4"/>
  <c r="AK20" i="4" s="1"/>
  <c r="AD20" i="4"/>
  <c r="AJ20" i="4" s="1"/>
  <c r="AK145" i="4"/>
  <c r="AE145" i="4"/>
  <c r="AD145" i="4"/>
  <c r="AJ145" i="4" s="1"/>
  <c r="AE75" i="4"/>
  <c r="AK75" i="4" s="1"/>
  <c r="AD75" i="4"/>
  <c r="AJ7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41" i="4"/>
  <c r="AK41" i="4" s="1"/>
  <c r="AD41" i="4"/>
  <c r="AJ41" i="4" s="1"/>
  <c r="AK114" i="4"/>
  <c r="AE114" i="4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K99" i="4"/>
  <c r="AE99" i="4"/>
  <c r="AD99" i="4"/>
  <c r="AJ99" i="4" s="1"/>
  <c r="AE32" i="4"/>
  <c r="AK32" i="4" s="1"/>
  <c r="AD32" i="4"/>
  <c r="AJ32" i="4" s="1"/>
  <c r="AE118" i="4"/>
  <c r="AK118" i="4" s="1"/>
  <c r="AD118" i="4"/>
  <c r="AJ118" i="4" s="1"/>
  <c r="AE68" i="4"/>
  <c r="AK68" i="4" s="1"/>
  <c r="AD68" i="4"/>
  <c r="AJ68" i="4" s="1"/>
  <c r="AE45" i="4"/>
  <c r="AK45" i="4" s="1"/>
  <c r="AD45" i="4"/>
  <c r="AJ45" i="4" s="1"/>
  <c r="AE177" i="4"/>
  <c r="AK177" i="4" s="1"/>
  <c r="AD177" i="4"/>
  <c r="AJ177" i="4" s="1"/>
  <c r="AK24" i="4"/>
  <c r="AE24" i="4"/>
  <c r="AD24" i="4"/>
  <c r="AJ24" i="4" s="1"/>
  <c r="AE10" i="4"/>
  <c r="AK10" i="4" s="1"/>
  <c r="AD10" i="4"/>
  <c r="AJ10" i="4" s="1"/>
  <c r="AE43" i="4"/>
  <c r="AK43" i="4" s="1"/>
  <c r="AD43" i="4"/>
  <c r="AJ43" i="4" s="1"/>
  <c r="AE161" i="4"/>
  <c r="AK161" i="4" s="1"/>
  <c r="AD161" i="4"/>
  <c r="AJ161" i="4" s="1"/>
  <c r="AE52" i="4"/>
  <c r="AK52" i="4" s="1"/>
  <c r="AD52" i="4"/>
  <c r="AJ52" i="4" s="1"/>
  <c r="AE19" i="4"/>
  <c r="AK19" i="4" s="1"/>
  <c r="AD19" i="4"/>
  <c r="AJ19" i="4" s="1"/>
  <c r="AK93" i="4"/>
  <c r="AE93" i="4"/>
  <c r="AD93" i="4"/>
  <c r="AJ93" i="4" s="1"/>
  <c r="AE153" i="4"/>
  <c r="AK153" i="4" s="1"/>
  <c r="AD153" i="4"/>
  <c r="AJ153" i="4" s="1"/>
  <c r="AE25" i="4"/>
  <c r="AK25" i="4" s="1"/>
  <c r="AD25" i="4"/>
  <c r="AJ25" i="4" s="1"/>
  <c r="AE147" i="4"/>
  <c r="AK147" i="4" s="1"/>
  <c r="AD147" i="4"/>
  <c r="AJ147" i="4" s="1"/>
  <c r="AE56" i="4"/>
  <c r="AK56" i="4" s="1"/>
  <c r="AD56" i="4"/>
  <c r="AJ56" i="4" s="1"/>
  <c r="AE158" i="4"/>
  <c r="AK158" i="4" s="1"/>
  <c r="AD158" i="4"/>
  <c r="AJ158" i="4" s="1"/>
  <c r="AK77" i="4"/>
  <c r="AE77" i="4"/>
  <c r="AD77" i="4"/>
  <c r="AJ77" i="4" s="1"/>
  <c r="AE67" i="4"/>
  <c r="AK67" i="4" s="1"/>
  <c r="AD67" i="4"/>
  <c r="AJ67" i="4" s="1"/>
  <c r="AE134" i="4"/>
  <c r="AK134" i="4" s="1"/>
  <c r="AD134" i="4"/>
  <c r="AJ134" i="4" s="1"/>
  <c r="AE14" i="4"/>
  <c r="AK14" i="4" s="1"/>
  <c r="AD14" i="4"/>
  <c r="AJ14" i="4" s="1"/>
  <c r="AE31" i="4"/>
  <c r="AK31" i="4" s="1"/>
  <c r="AD31" i="4"/>
  <c r="AJ31" i="4" s="1"/>
  <c r="AE12" i="4"/>
  <c r="AK12" i="4" s="1"/>
  <c r="AD12" i="4"/>
  <c r="AJ12" i="4" s="1"/>
  <c r="AK6" i="4"/>
  <c r="AE6" i="4"/>
  <c r="AD6" i="4"/>
  <c r="AJ6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76" i="4"/>
  <c r="AK76" i="4" s="1"/>
  <c r="AD76" i="4"/>
  <c r="AJ76" i="4" s="1"/>
  <c r="AE100" i="4"/>
  <c r="AK100" i="4" s="1"/>
  <c r="AD100" i="4"/>
  <c r="AJ100" i="4" s="1"/>
  <c r="AK35" i="4"/>
  <c r="AE35" i="4"/>
  <c r="AD35" i="4"/>
  <c r="AJ35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65" i="4"/>
  <c r="AK65" i="4" s="1"/>
  <c r="AD65" i="4"/>
  <c r="AJ65" i="4" s="1"/>
  <c r="AE72" i="4"/>
  <c r="AK72" i="4" s="1"/>
  <c r="AD72" i="4"/>
  <c r="AJ72" i="4" s="1"/>
  <c r="AK102" i="4"/>
  <c r="AE102" i="4"/>
  <c r="AD102" i="4"/>
  <c r="AJ102" i="4" s="1"/>
  <c r="AE28" i="4"/>
  <c r="AK28" i="4" s="1"/>
  <c r="AD28" i="4"/>
  <c r="AJ28" i="4" s="1"/>
  <c r="AE63" i="4"/>
  <c r="AK63" i="4" s="1"/>
  <c r="AD63" i="4"/>
  <c r="AJ63" i="4" s="1"/>
  <c r="AE125" i="4"/>
  <c r="AK125" i="4" s="1"/>
  <c r="AD125" i="4"/>
  <c r="AJ125" i="4" s="1"/>
  <c r="AE34" i="4"/>
  <c r="AK34" i="4" s="1"/>
  <c r="AD34" i="4"/>
  <c r="AJ34" i="4" s="1"/>
  <c r="AE66" i="4"/>
  <c r="AK66" i="4" s="1"/>
  <c r="AD66" i="4"/>
  <c r="AJ66" i="4" s="1"/>
  <c r="AK26" i="4"/>
  <c r="AE26" i="4"/>
  <c r="AD26" i="4"/>
  <c r="AJ26" i="4" s="1"/>
  <c r="AE133" i="4"/>
  <c r="AK133" i="4" s="1"/>
  <c r="AD133" i="4"/>
  <c r="AJ133" i="4" s="1"/>
  <c r="AE156" i="4"/>
  <c r="AK156" i="4" s="1"/>
  <c r="AD156" i="4"/>
  <c r="AJ156" i="4" s="1"/>
  <c r="AE9" i="4"/>
  <c r="AK9" i="4" s="1"/>
  <c r="AD9" i="4"/>
  <c r="AJ9" i="4" s="1"/>
  <c r="AE29" i="4"/>
  <c r="AK29" i="4" s="1"/>
  <c r="AD29" i="4"/>
  <c r="AJ29" i="4" s="1"/>
  <c r="AE74" i="4"/>
  <c r="AK74" i="4" s="1"/>
  <c r="AD74" i="4"/>
  <c r="AJ74" i="4" s="1"/>
  <c r="AK70" i="4"/>
  <c r="AE70" i="4"/>
  <c r="AD70" i="4"/>
  <c r="AJ70" i="4" s="1"/>
  <c r="AE111" i="4"/>
  <c r="AK111" i="4" s="1"/>
  <c r="AD111" i="4"/>
  <c r="AJ111" i="4" s="1"/>
  <c r="AE17" i="4"/>
  <c r="AK17" i="4" s="1"/>
  <c r="AD17" i="4"/>
  <c r="AJ17" i="4" s="1"/>
  <c r="AE54" i="4"/>
  <c r="AK54" i="4" s="1"/>
  <c r="AD54" i="4"/>
  <c r="AJ54" i="4" s="1"/>
  <c r="AE172" i="4"/>
  <c r="AK172" i="4" s="1"/>
  <c r="AD172" i="4"/>
  <c r="AJ172" i="4" s="1"/>
  <c r="AE122" i="4"/>
  <c r="AK122" i="4" s="1"/>
  <c r="AD122" i="4"/>
  <c r="AJ122" i="4" s="1"/>
  <c r="AK107" i="4"/>
  <c r="AE107" i="4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K21" i="4"/>
  <c r="AE21" i="4"/>
  <c r="AD21" i="4"/>
  <c r="AJ21" i="4" s="1"/>
  <c r="AE92" i="4"/>
  <c r="AK92" i="4" s="1"/>
  <c r="AD92" i="4"/>
  <c r="AJ92" i="4" s="1"/>
  <c r="AE141" i="4"/>
  <c r="AK141" i="4" s="1"/>
  <c r="AD141" i="4"/>
  <c r="AJ141" i="4" s="1"/>
  <c r="AE71" i="4"/>
  <c r="AK71" i="4" s="1"/>
  <c r="AD71" i="4"/>
  <c r="AJ71" i="4" s="1"/>
  <c r="AE18" i="4"/>
  <c r="AK18" i="4" s="1"/>
  <c r="AD18" i="4"/>
  <c r="AJ18" i="4" s="1"/>
  <c r="AE108" i="4"/>
  <c r="AK108" i="4" s="1"/>
  <c r="AD108" i="4"/>
  <c r="AJ108" i="4" s="1"/>
  <c r="AK126" i="4"/>
  <c r="AE126" i="4"/>
  <c r="AD126" i="4"/>
  <c r="AJ126" i="4" s="1"/>
  <c r="AE116" i="4"/>
  <c r="AK116" i="4" s="1"/>
  <c r="AD116" i="4"/>
  <c r="AJ116" i="4" s="1"/>
  <c r="AE155" i="4"/>
  <c r="AK155" i="4" s="1"/>
  <c r="AD155" i="4"/>
  <c r="AJ155" i="4" s="1"/>
  <c r="AE7" i="4"/>
  <c r="AK7" i="4" s="1"/>
  <c r="AD7" i="4"/>
  <c r="AJ7" i="4" s="1"/>
  <c r="AE179" i="4"/>
  <c r="AK179" i="4" s="1"/>
  <c r="AD179" i="4"/>
  <c r="AJ179" i="4" s="1"/>
  <c r="AE46" i="4"/>
  <c r="AK46" i="4" s="1"/>
  <c r="AD46" i="4"/>
  <c r="AJ46" i="4" s="1"/>
  <c r="AK59" i="4"/>
  <c r="AE59" i="4"/>
  <c r="AD59" i="4"/>
  <c r="AJ59" i="4" s="1"/>
  <c r="AE117" i="4"/>
  <c r="AK117" i="4" s="1"/>
  <c r="AD117" i="4"/>
  <c r="AJ117" i="4" s="1"/>
  <c r="AE53" i="4"/>
  <c r="AK53" i="4" s="1"/>
  <c r="AD53" i="4"/>
  <c r="AJ53" i="4" s="1"/>
  <c r="AE8" i="4"/>
  <c r="AK8" i="4" s="1"/>
  <c r="AD8" i="4"/>
  <c r="AJ8" i="4" s="1"/>
  <c r="AE109" i="4"/>
  <c r="AK109" i="4" s="1"/>
  <c r="AD109" i="4"/>
  <c r="AJ109" i="4" s="1"/>
  <c r="AE159" i="4"/>
  <c r="AK159" i="4" s="1"/>
  <c r="AD159" i="4"/>
  <c r="AJ159" i="4" s="1"/>
  <c r="AK5" i="4"/>
  <c r="AE5" i="4"/>
  <c r="AD5" i="4"/>
  <c r="AJ5" i="4" s="1"/>
  <c r="AE137" i="4"/>
  <c r="AK137" i="4" s="1"/>
  <c r="AD137" i="4"/>
  <c r="AJ137" i="4" s="1"/>
  <c r="AE106" i="4"/>
  <c r="AK106" i="4" s="1"/>
  <c r="AD106" i="4"/>
  <c r="AJ106" i="4" s="1"/>
  <c r="AE17" i="5"/>
  <c r="AK17" i="5" s="1"/>
  <c r="AD17" i="5"/>
  <c r="AJ17" i="5" s="1"/>
  <c r="AE26" i="5"/>
  <c r="AK26" i="5" s="1"/>
  <c r="AD26" i="5"/>
  <c r="AJ26" i="5" s="1"/>
  <c r="AE9" i="5"/>
  <c r="AK9" i="5" s="1"/>
  <c r="AD9" i="5"/>
  <c r="AJ9" i="5" s="1"/>
  <c r="AE16" i="5"/>
  <c r="AK16" i="5" s="1"/>
  <c r="AD16" i="5"/>
  <c r="AJ16" i="5" s="1"/>
  <c r="AE18" i="5"/>
  <c r="AK18" i="5" s="1"/>
  <c r="AD18" i="5"/>
  <c r="AJ18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20" i="5"/>
  <c r="AK20" i="5" s="1"/>
  <c r="AD20" i="5"/>
  <c r="AJ20" i="5" s="1"/>
  <c r="AE7" i="5"/>
  <c r="AK7" i="5" s="1"/>
  <c r="AD7" i="5"/>
  <c r="AJ7" i="5" s="1"/>
  <c r="AE12" i="5"/>
  <c r="AK12" i="5" s="1"/>
  <c r="AD12" i="5"/>
  <c r="AJ12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6" i="5"/>
  <c r="AK6" i="5" s="1"/>
  <c r="AD6" i="5"/>
  <c r="AJ6" i="5" s="1"/>
  <c r="AE4" i="5"/>
  <c r="AK4" i="5" s="1"/>
  <c r="AD4" i="5"/>
  <c r="AJ4" i="5" s="1"/>
  <c r="AE13" i="5"/>
  <c r="AK13" i="5" s="1"/>
  <c r="AD13" i="5"/>
  <c r="AJ13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14" i="5"/>
  <c r="AK14" i="5" s="1"/>
  <c r="AD14" i="5"/>
  <c r="AJ14" i="5" s="1"/>
  <c r="AE86" i="4"/>
  <c r="AK86" i="4" s="1"/>
  <c r="AD86" i="4"/>
  <c r="AJ86" i="4" s="1"/>
  <c r="AE39" i="4"/>
  <c r="AK39" i="4" s="1"/>
  <c r="AD39" i="4"/>
  <c r="AJ39" i="4" s="1"/>
  <c r="AE27" i="4"/>
  <c r="AK27" i="4" s="1"/>
  <c r="AD27" i="4"/>
  <c r="AJ27" i="4" s="1"/>
  <c r="AE36" i="4"/>
  <c r="AK36" i="4" s="1"/>
  <c r="AD36" i="4"/>
  <c r="AJ36" i="4" s="1"/>
  <c r="AK57" i="4"/>
  <c r="AE57" i="4"/>
  <c r="AD57" i="4"/>
  <c r="AJ57" i="4" s="1"/>
  <c r="AE84" i="4"/>
  <c r="AK84" i="4" s="1"/>
  <c r="AD84" i="4"/>
  <c r="AJ84" i="4" s="1"/>
  <c r="AE11" i="4"/>
  <c r="AK11" i="4" s="1"/>
  <c r="AD11" i="4"/>
  <c r="AJ11" i="4" s="1"/>
  <c r="AE150" i="4"/>
  <c r="AK150" i="4" s="1"/>
  <c r="AD150" i="4"/>
  <c r="AJ150" i="4" s="1"/>
  <c r="AE38" i="4"/>
  <c r="AK38" i="4" s="1"/>
  <c r="AD38" i="4"/>
  <c r="AJ38" i="4" s="1"/>
  <c r="AE146" i="4"/>
  <c r="AK146" i="4" s="1"/>
  <c r="AD146" i="4"/>
  <c r="AJ146" i="4" s="1"/>
  <c r="AK164" i="4"/>
  <c r="AE164" i="4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K104" i="4"/>
  <c r="AE104" i="4"/>
  <c r="AD104" i="4"/>
  <c r="AJ104" i="4" s="1"/>
  <c r="AE124" i="4"/>
  <c r="AK124" i="4" s="1"/>
  <c r="AD124" i="4"/>
  <c r="AJ124" i="4" s="1"/>
  <c r="AE175" i="4"/>
  <c r="AK175" i="4" s="1"/>
  <c r="AD175" i="4"/>
  <c r="AJ175" i="4" s="1"/>
  <c r="AE64" i="4"/>
  <c r="AK64" i="4" s="1"/>
  <c r="AD64" i="4"/>
  <c r="AJ64" i="4" s="1"/>
  <c r="AE50" i="4"/>
  <c r="AK50" i="4" s="1"/>
  <c r="AD50" i="4"/>
  <c r="AJ50" i="4" s="1"/>
  <c r="AE120" i="4"/>
  <c r="AK120" i="4" s="1"/>
  <c r="AD120" i="4"/>
  <c r="AJ120" i="4" s="1"/>
  <c r="AK91" i="4"/>
  <c r="AE91" i="4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48" i="4"/>
  <c r="AK48" i="4" s="1"/>
  <c r="AD48" i="4"/>
  <c r="AJ48" i="4" s="1"/>
  <c r="AE144" i="4"/>
  <c r="AK144" i="4" s="1"/>
  <c r="AD144" i="4"/>
  <c r="AJ144" i="4" s="1"/>
  <c r="AK79" i="4"/>
  <c r="AE79" i="4"/>
  <c r="AD79" i="4"/>
  <c r="AJ79" i="4" s="1"/>
  <c r="AE167" i="4"/>
  <c r="AK167" i="4" s="1"/>
  <c r="AD167" i="4"/>
  <c r="AJ167" i="4" s="1"/>
  <c r="AE115" i="4"/>
  <c r="AK115" i="4" s="1"/>
  <c r="AD115" i="4"/>
  <c r="AJ115" i="4" s="1"/>
  <c r="AE73" i="4"/>
  <c r="AK73" i="4" s="1"/>
  <c r="AD73" i="4"/>
  <c r="AJ73" i="4" s="1"/>
  <c r="AE80" i="4"/>
  <c r="AK80" i="4" s="1"/>
  <c r="AD80" i="4"/>
  <c r="AJ80" i="4" s="1"/>
  <c r="AE33" i="4"/>
  <c r="AK33" i="4" s="1"/>
  <c r="AD33" i="4"/>
  <c r="AJ33" i="4" s="1"/>
  <c r="AE11" i="5"/>
  <c r="AK11" i="5" s="1"/>
  <c r="AD11" i="5"/>
  <c r="AJ11" i="5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42" i="4"/>
  <c r="AK42" i="4" s="1"/>
  <c r="AD42" i="4"/>
  <c r="AJ42" i="4" s="1"/>
  <c r="AE69" i="4"/>
  <c r="AK69" i="4" s="1"/>
  <c r="AD69" i="4"/>
  <c r="AJ69" i="4" s="1"/>
  <c r="AK151" i="4"/>
  <c r="AE151" i="4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15" i="4"/>
  <c r="AK15" i="4" s="1"/>
  <c r="AD15" i="4"/>
  <c r="AJ15" i="4" s="1"/>
  <c r="AE83" i="4"/>
  <c r="AK83" i="4" s="1"/>
  <c r="AD83" i="4"/>
  <c r="AJ83" i="4" s="1"/>
  <c r="AK30" i="4"/>
  <c r="AE30" i="4"/>
  <c r="AD30" i="4"/>
  <c r="AJ30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8" i="5"/>
  <c r="AK8" i="5" s="1"/>
  <c r="AD8" i="5"/>
  <c r="AJ8" i="5" s="1"/>
  <c r="AE5" i="5"/>
  <c r="AK5" i="5" s="1"/>
  <c r="AD5" i="5"/>
  <c r="AJ5" i="5" s="1"/>
  <c r="AE44" i="4"/>
  <c r="AK44" i="4" s="1"/>
  <c r="AD44" i="4"/>
  <c r="AJ44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51" i="4"/>
  <c r="AK51" i="4" s="1"/>
  <c r="AD51" i="4"/>
  <c r="AJ51" i="4" s="1"/>
  <c r="AK55" i="4"/>
  <c r="AE55" i="4"/>
  <c r="AD55" i="4"/>
  <c r="AJ55" i="4" s="1"/>
  <c r="AE60" i="4"/>
  <c r="AK60" i="4" s="1"/>
  <c r="AD60" i="4"/>
  <c r="AJ60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58" i="4"/>
  <c r="AK58" i="4" s="1"/>
  <c r="AD58" i="4"/>
  <c r="AJ58" i="4" s="1"/>
  <c r="AK49" i="4"/>
  <c r="AE49" i="4"/>
  <c r="AD49" i="4"/>
  <c r="AJ49" i="4" s="1"/>
  <c r="AE131" i="4"/>
  <c r="AK131" i="4" s="1"/>
  <c r="AD131" i="4"/>
  <c r="AJ131" i="4" s="1"/>
  <c r="AE22" i="4"/>
  <c r="AK22" i="4" s="1"/>
  <c r="AD22" i="4"/>
  <c r="AJ22" i="4" s="1"/>
  <c r="AE169" i="4"/>
  <c r="AK169" i="4" s="1"/>
  <c r="AD169" i="4"/>
  <c r="AJ169" i="4" s="1"/>
  <c r="AE16" i="4"/>
  <c r="AK16" i="4" s="1"/>
  <c r="AD16" i="4"/>
  <c r="AJ16" i="4" s="1"/>
  <c r="AE19" i="5"/>
  <c r="AK19" i="5" s="1"/>
  <c r="AD19" i="5"/>
  <c r="AJ19" i="5" s="1"/>
  <c r="AE10" i="5"/>
  <c r="AK10" i="5" s="1"/>
  <c r="AD10" i="5"/>
  <c r="AJ10" i="5" s="1"/>
  <c r="AE33" i="5"/>
  <c r="AK33" i="5" s="1"/>
  <c r="AD33" i="5"/>
  <c r="AJ33" i="5" s="1"/>
  <c r="AE47" i="4"/>
  <c r="AK47" i="4" s="1"/>
  <c r="AD47" i="4"/>
  <c r="AJ47" i="4" s="1"/>
  <c r="AE13" i="4"/>
  <c r="AK13" i="4" s="1"/>
  <c r="AD13" i="4"/>
  <c r="AJ13" i="4" s="1"/>
  <c r="AE173" i="4"/>
  <c r="AK173" i="4" s="1"/>
  <c r="AD173" i="4"/>
  <c r="AJ173" i="4" s="1"/>
  <c r="AE62" i="4"/>
  <c r="AK62" i="4" s="1"/>
  <c r="AD62" i="4"/>
  <c r="AJ62" i="4" s="1"/>
  <c r="AK132" i="4"/>
  <c r="AE132" i="4"/>
  <c r="AD132" i="4"/>
  <c r="AJ132" i="4" s="1"/>
  <c r="AE88" i="4"/>
  <c r="AK88" i="4" s="1"/>
  <c r="AD88" i="4"/>
  <c r="AJ88" i="4" s="1"/>
  <c r="AE61" i="4"/>
  <c r="AK61" i="4" s="1"/>
  <c r="AD61" i="4"/>
  <c r="AJ61" i="4" s="1"/>
  <c r="AE142" i="4"/>
  <c r="AK142" i="4" s="1"/>
  <c r="AD142" i="4"/>
  <c r="AJ142" i="4" s="1"/>
  <c r="AE4" i="4"/>
  <c r="AK4" i="4" s="1"/>
  <c r="AD4" i="4"/>
  <c r="AJ4" i="4" s="1"/>
  <c r="AE136" i="4"/>
  <c r="AK136" i="4" s="1"/>
  <c r="AD136" i="4"/>
  <c r="AJ136" i="4" s="1"/>
  <c r="AK138" i="4"/>
  <c r="AE138" i="4"/>
  <c r="AD138" i="4"/>
  <c r="AJ138" i="4" s="1"/>
  <c r="AE15" i="5"/>
  <c r="AK15" i="5" s="1"/>
  <c r="AD15" i="5"/>
  <c r="AJ15" i="5" s="1"/>
  <c r="AE81" i="4"/>
  <c r="AK81" i="4" s="1"/>
  <c r="AD81" i="4"/>
  <c r="AJ81" i="4" s="1"/>
  <c r="AE23" i="4"/>
  <c r="AK23" i="4" s="1"/>
  <c r="AD23" i="4"/>
  <c r="AJ23" i="4" s="1"/>
  <c r="AE105" i="4"/>
  <c r="AK105" i="4" s="1"/>
  <c r="AD105" i="4"/>
  <c r="AJ105" i="4" s="1"/>
  <c r="AE37" i="4"/>
  <c r="AK37" i="4" s="1"/>
  <c r="AD37" i="4"/>
  <c r="AJ37" i="4" s="1"/>
  <c r="AE350" i="5" l="1"/>
  <c r="AK350" i="5" s="1"/>
  <c r="AD350" i="5"/>
  <c r="AJ350" i="5" s="1"/>
  <c r="AE349" i="5"/>
  <c r="AK349" i="5" s="1"/>
  <c r="AD349" i="5"/>
  <c r="AJ349" i="5" s="1"/>
  <c r="AE348" i="5"/>
  <c r="AK348" i="5" s="1"/>
  <c r="AD348" i="5"/>
  <c r="AJ348" i="5" s="1"/>
  <c r="AE347" i="5"/>
  <c r="AK347" i="5" s="1"/>
  <c r="AD347" i="5"/>
  <c r="AJ347" i="5" s="1"/>
  <c r="AE346" i="5"/>
  <c r="AK346" i="5" s="1"/>
  <c r="AD346" i="5"/>
  <c r="AJ346" i="5" s="1"/>
  <c r="AE345" i="5"/>
  <c r="AK345" i="5" s="1"/>
  <c r="AD345" i="5"/>
  <c r="AJ345" i="5" s="1"/>
  <c r="AE344" i="5"/>
  <c r="AK344" i="5" s="1"/>
  <c r="AD344" i="5"/>
  <c r="AJ344" i="5" s="1"/>
  <c r="AE343" i="5"/>
  <c r="AK343" i="5" s="1"/>
  <c r="AD343" i="5"/>
  <c r="AJ343" i="5" s="1"/>
  <c r="AE342" i="5"/>
  <c r="AK342" i="5" s="1"/>
  <c r="AD342" i="5"/>
  <c r="AJ342" i="5" s="1"/>
  <c r="AE341" i="5"/>
  <c r="AK341" i="5" s="1"/>
  <c r="AD341" i="5"/>
  <c r="AJ341" i="5" s="1"/>
  <c r="AE340" i="5"/>
  <c r="AK340" i="5" s="1"/>
  <c r="AD340" i="5"/>
  <c r="AJ340" i="5" s="1"/>
  <c r="AE339" i="5"/>
  <c r="AK339" i="5" s="1"/>
  <c r="AD339" i="5"/>
  <c r="AJ339" i="5" s="1"/>
  <c r="AE338" i="5"/>
  <c r="AK338" i="5" s="1"/>
  <c r="AD338" i="5"/>
  <c r="AJ338" i="5" s="1"/>
  <c r="AE337" i="5"/>
  <c r="AK337" i="5" s="1"/>
  <c r="AD337" i="5"/>
  <c r="AJ337" i="5" s="1"/>
  <c r="AE336" i="5"/>
  <c r="AK336" i="5" s="1"/>
  <c r="AD336" i="5"/>
  <c r="AJ336" i="5" s="1"/>
  <c r="AE335" i="5"/>
  <c r="AK335" i="5" s="1"/>
  <c r="AD335" i="5"/>
  <c r="AJ335" i="5" s="1"/>
  <c r="AE334" i="5"/>
  <c r="AK334" i="5" s="1"/>
  <c r="AD334" i="5"/>
  <c r="AJ334" i="5" s="1"/>
  <c r="AE333" i="5"/>
  <c r="AK333" i="5" s="1"/>
  <c r="AD333" i="5"/>
  <c r="AJ333" i="5" s="1"/>
  <c r="AE332" i="5"/>
  <c r="AK332" i="5" s="1"/>
  <c r="AD332" i="5"/>
  <c r="AJ332" i="5" s="1"/>
  <c r="AE331" i="5"/>
  <c r="AK331" i="5" s="1"/>
  <c r="AD331" i="5"/>
  <c r="AJ331" i="5" s="1"/>
  <c r="AE330" i="5"/>
  <c r="AK330" i="5" s="1"/>
  <c r="AD330" i="5"/>
  <c r="AJ330" i="5" s="1"/>
  <c r="AE329" i="5"/>
  <c r="AK329" i="5" s="1"/>
  <c r="AD329" i="5"/>
  <c r="AJ329" i="5" s="1"/>
  <c r="AE328" i="5"/>
  <c r="AK328" i="5" s="1"/>
  <c r="AD328" i="5"/>
  <c r="AJ328" i="5" s="1"/>
  <c r="AE327" i="5"/>
  <c r="AK327" i="5" s="1"/>
  <c r="AD327" i="5"/>
  <c r="AJ327" i="5" s="1"/>
  <c r="AE326" i="5"/>
  <c r="AK326" i="5" s="1"/>
  <c r="AD326" i="5"/>
  <c r="AJ326" i="5" s="1"/>
  <c r="AE325" i="5"/>
  <c r="AK325" i="5" s="1"/>
  <c r="AD325" i="5"/>
  <c r="AJ325" i="5" s="1"/>
  <c r="AE324" i="5"/>
  <c r="AK324" i="5" s="1"/>
  <c r="AD324" i="5"/>
  <c r="AJ324" i="5" s="1"/>
  <c r="AE323" i="5"/>
  <c r="AK323" i="5" s="1"/>
  <c r="AD323" i="5"/>
  <c r="AJ323" i="5" s="1"/>
  <c r="AE322" i="5"/>
  <c r="AK322" i="5" s="1"/>
  <c r="AD322" i="5"/>
  <c r="AJ322" i="5" s="1"/>
  <c r="AE321" i="5"/>
  <c r="AK321" i="5" s="1"/>
  <c r="AD321" i="5"/>
  <c r="AJ321" i="5" s="1"/>
  <c r="AE320" i="5"/>
  <c r="AK320" i="5" s="1"/>
  <c r="AD320" i="5"/>
  <c r="AJ320" i="5" s="1"/>
  <c r="AE319" i="5"/>
  <c r="AK319" i="5" s="1"/>
  <c r="AD319" i="5"/>
  <c r="AJ319" i="5" s="1"/>
  <c r="AE318" i="5"/>
  <c r="AK318" i="5" s="1"/>
  <c r="AD318" i="5"/>
  <c r="AJ318" i="5" s="1"/>
  <c r="AE317" i="5"/>
  <c r="AK317" i="5" s="1"/>
  <c r="AD317" i="5"/>
  <c r="AJ317" i="5" s="1"/>
  <c r="AE316" i="5"/>
  <c r="AK316" i="5" s="1"/>
  <c r="AD316" i="5"/>
  <c r="AJ316" i="5" s="1"/>
  <c r="AE315" i="5"/>
  <c r="AK315" i="5" s="1"/>
  <c r="AD315" i="5"/>
  <c r="AJ315" i="5" s="1"/>
  <c r="AE314" i="5"/>
  <c r="AK314" i="5" s="1"/>
  <c r="AD314" i="5"/>
  <c r="AJ314" i="5" s="1"/>
  <c r="AE313" i="5"/>
  <c r="AK313" i="5" s="1"/>
  <c r="AD313" i="5"/>
  <c r="AJ313" i="5" s="1"/>
  <c r="AE312" i="5"/>
  <c r="AK312" i="5" s="1"/>
  <c r="AD312" i="5"/>
  <c r="AJ312" i="5" s="1"/>
  <c r="AE311" i="5"/>
  <c r="AK311" i="5" s="1"/>
  <c r="AD311" i="5"/>
  <c r="AJ311" i="5" s="1"/>
  <c r="AE310" i="5"/>
  <c r="AK310" i="5" s="1"/>
  <c r="AD310" i="5"/>
  <c r="AJ310" i="5" s="1"/>
  <c r="AE309" i="5"/>
  <c r="AK309" i="5" s="1"/>
  <c r="AD309" i="5"/>
  <c r="AJ309" i="5" s="1"/>
  <c r="AE308" i="5"/>
  <c r="AK308" i="5" s="1"/>
  <c r="AD308" i="5"/>
  <c r="AJ308" i="5" s="1"/>
  <c r="AE307" i="5"/>
  <c r="AK307" i="5" s="1"/>
  <c r="AD307" i="5"/>
  <c r="AJ307" i="5" s="1"/>
  <c r="AE306" i="5"/>
  <c r="AK306" i="5" s="1"/>
  <c r="AD306" i="5"/>
  <c r="AJ306" i="5" s="1"/>
  <c r="AE305" i="5"/>
  <c r="AK305" i="5" s="1"/>
  <c r="AD305" i="5"/>
  <c r="AJ305" i="5" s="1"/>
  <c r="AE304" i="5"/>
  <c r="AK304" i="5" s="1"/>
  <c r="AD304" i="5"/>
  <c r="AJ304" i="5" s="1"/>
  <c r="AE303" i="5"/>
  <c r="AK303" i="5" s="1"/>
  <c r="AD303" i="5"/>
  <c r="AJ303" i="5" s="1"/>
  <c r="AE302" i="5"/>
  <c r="AK302" i="5" s="1"/>
  <c r="AD302" i="5"/>
  <c r="AJ302" i="5" s="1"/>
  <c r="AE301" i="5"/>
  <c r="AK301" i="5" s="1"/>
  <c r="AD301" i="5"/>
  <c r="AJ301" i="5" s="1"/>
  <c r="AE300" i="5"/>
  <c r="AK300" i="5" s="1"/>
  <c r="AD300" i="5"/>
  <c r="AJ300" i="5" s="1"/>
  <c r="AE299" i="5"/>
  <c r="AK299" i="5" s="1"/>
  <c r="AD299" i="5"/>
  <c r="AJ299" i="5" s="1"/>
  <c r="AE298" i="5"/>
  <c r="AK298" i="5" s="1"/>
  <c r="AD298" i="5"/>
  <c r="AJ298" i="5" s="1"/>
  <c r="AE297" i="5"/>
  <c r="AK297" i="5" s="1"/>
  <c r="AD297" i="5"/>
  <c r="AJ297" i="5" s="1"/>
  <c r="AE296" i="5"/>
  <c r="AK296" i="5" s="1"/>
  <c r="AD296" i="5"/>
  <c r="AJ296" i="5" s="1"/>
  <c r="AE295" i="5"/>
  <c r="AK295" i="5" s="1"/>
  <c r="AD295" i="5"/>
  <c r="AJ295" i="5" s="1"/>
  <c r="AE294" i="5"/>
  <c r="AK294" i="5" s="1"/>
  <c r="AD294" i="5"/>
  <c r="AJ294" i="5" s="1"/>
  <c r="AE293" i="5"/>
  <c r="AK293" i="5" s="1"/>
  <c r="AD293" i="5"/>
  <c r="AJ293" i="5" s="1"/>
  <c r="AE292" i="5"/>
  <c r="AK292" i="5" s="1"/>
  <c r="AD292" i="5"/>
  <c r="AJ292" i="5" s="1"/>
  <c r="AE291" i="5"/>
  <c r="AK291" i="5" s="1"/>
  <c r="AD291" i="5"/>
  <c r="AJ291" i="5" s="1"/>
  <c r="AE290" i="5"/>
  <c r="AK290" i="5" s="1"/>
  <c r="AD290" i="5"/>
  <c r="AJ290" i="5" s="1"/>
  <c r="AE289" i="5"/>
  <c r="AK289" i="5" s="1"/>
  <c r="AD289" i="5"/>
  <c r="AJ289" i="5" s="1"/>
  <c r="AE288" i="5"/>
  <c r="AK288" i="5" s="1"/>
  <c r="AD288" i="5"/>
  <c r="AJ288" i="5" s="1"/>
  <c r="AE287" i="5"/>
  <c r="AK287" i="5" s="1"/>
  <c r="AD287" i="5"/>
  <c r="AJ287" i="5" s="1"/>
  <c r="AE286" i="5"/>
  <c r="AK286" i="5" s="1"/>
  <c r="AD286" i="5"/>
  <c r="AJ286" i="5" s="1"/>
  <c r="AE285" i="5"/>
  <c r="AK285" i="5" s="1"/>
  <c r="AD285" i="5"/>
  <c r="AJ285" i="5" s="1"/>
  <c r="AE284" i="5"/>
  <c r="AK284" i="5" s="1"/>
  <c r="AD284" i="5"/>
  <c r="AJ284" i="5" s="1"/>
  <c r="AE283" i="5"/>
  <c r="AK283" i="5" s="1"/>
  <c r="AD283" i="5"/>
  <c r="AJ283" i="5" s="1"/>
  <c r="AE282" i="5"/>
  <c r="AK282" i="5" s="1"/>
  <c r="AD282" i="5"/>
  <c r="AJ282" i="5" s="1"/>
  <c r="AE281" i="5"/>
  <c r="AK281" i="5" s="1"/>
  <c r="AD281" i="5"/>
  <c r="AJ281" i="5" s="1"/>
  <c r="AE280" i="5"/>
  <c r="AK280" i="5" s="1"/>
  <c r="AD280" i="5"/>
  <c r="AJ280" i="5" s="1"/>
  <c r="AE279" i="5"/>
  <c r="AK279" i="5" s="1"/>
  <c r="AD279" i="5"/>
  <c r="AJ279" i="5" s="1"/>
  <c r="AE278" i="5"/>
  <c r="AK278" i="5" s="1"/>
  <c r="AD278" i="5"/>
  <c r="AJ278" i="5" s="1"/>
  <c r="AE277" i="5"/>
  <c r="AK277" i="5" s="1"/>
  <c r="AD277" i="5"/>
  <c r="AJ277" i="5" s="1"/>
  <c r="AE276" i="5"/>
  <c r="AK276" i="5" s="1"/>
  <c r="AD276" i="5"/>
  <c r="AJ276" i="5" s="1"/>
  <c r="AE275" i="5"/>
  <c r="AK275" i="5" s="1"/>
  <c r="AD275" i="5"/>
  <c r="AJ275" i="5" s="1"/>
  <c r="AE274" i="5"/>
  <c r="AK274" i="5" s="1"/>
  <c r="AD274" i="5"/>
  <c r="AJ274" i="5" s="1"/>
  <c r="AE273" i="5"/>
  <c r="AK273" i="5" s="1"/>
  <c r="AD273" i="5"/>
  <c r="AJ273" i="5" s="1"/>
  <c r="AE272" i="5"/>
  <c r="AK272" i="5" s="1"/>
  <c r="AD272" i="5"/>
  <c r="AJ272" i="5" s="1"/>
  <c r="AE271" i="5"/>
  <c r="AK271" i="5" s="1"/>
  <c r="AD271" i="5"/>
  <c r="AJ271" i="5" s="1"/>
  <c r="AE270" i="5"/>
  <c r="AK270" i="5" s="1"/>
  <c r="AD270" i="5"/>
  <c r="AJ270" i="5" s="1"/>
  <c r="AE269" i="5"/>
  <c r="AK269" i="5" s="1"/>
  <c r="AD269" i="5"/>
  <c r="AJ269" i="5" s="1"/>
  <c r="AE268" i="5"/>
  <c r="AK268" i="5" s="1"/>
  <c r="AD268" i="5"/>
  <c r="AJ268" i="5" s="1"/>
  <c r="AE267" i="5"/>
  <c r="AK267" i="5" s="1"/>
  <c r="AD267" i="5"/>
  <c r="AJ267" i="5" s="1"/>
  <c r="AE266" i="5"/>
  <c r="AK266" i="5" s="1"/>
  <c r="AD266" i="5"/>
  <c r="AJ266" i="5" s="1"/>
  <c r="AE265" i="5"/>
  <c r="AK265" i="5" s="1"/>
  <c r="AD265" i="5"/>
  <c r="AJ265" i="5" s="1"/>
  <c r="AE264" i="5"/>
  <c r="AK264" i="5" s="1"/>
  <c r="AD264" i="5"/>
  <c r="AJ264" i="5" s="1"/>
  <c r="AE263" i="5"/>
  <c r="AK263" i="5" s="1"/>
  <c r="AD263" i="5"/>
  <c r="AJ263" i="5" s="1"/>
  <c r="AE262" i="5"/>
  <c r="AK262" i="5" s="1"/>
  <c r="AD262" i="5"/>
  <c r="AJ262" i="5" s="1"/>
  <c r="AE261" i="5"/>
  <c r="AK261" i="5" s="1"/>
  <c r="AD261" i="5"/>
  <c r="AJ261" i="5" s="1"/>
  <c r="AE260" i="5"/>
  <c r="AK260" i="5" s="1"/>
  <c r="AD260" i="5"/>
  <c r="AJ260" i="5" s="1"/>
  <c r="AE259" i="5"/>
  <c r="AK259" i="5" s="1"/>
  <c r="AD259" i="5"/>
  <c r="AJ259" i="5" s="1"/>
  <c r="AE258" i="5"/>
  <c r="AK258" i="5" s="1"/>
  <c r="AD258" i="5"/>
  <c r="AJ258" i="5" s="1"/>
  <c r="AE257" i="5"/>
  <c r="AK257" i="5" s="1"/>
  <c r="AD257" i="5"/>
  <c r="AJ257" i="5" s="1"/>
  <c r="AE256" i="5"/>
  <c r="AK256" i="5" s="1"/>
  <c r="AD256" i="5"/>
  <c r="AJ256" i="5" s="1"/>
  <c r="AE255" i="5"/>
  <c r="AK255" i="5" s="1"/>
  <c r="AD255" i="5"/>
  <c r="AJ255" i="5" s="1"/>
  <c r="AE254" i="5"/>
  <c r="AK254" i="5" s="1"/>
  <c r="AD254" i="5"/>
  <c r="AJ254" i="5" s="1"/>
  <c r="AE253" i="5"/>
  <c r="AK253" i="5" s="1"/>
  <c r="AD253" i="5"/>
  <c r="AJ253" i="5" s="1"/>
  <c r="AE252" i="5"/>
  <c r="AK252" i="5" s="1"/>
  <c r="AD252" i="5"/>
  <c r="AJ252" i="5" s="1"/>
  <c r="AE251" i="5"/>
  <c r="AK251" i="5" s="1"/>
  <c r="AD251" i="5"/>
  <c r="AJ251" i="5" s="1"/>
  <c r="AE250" i="5"/>
  <c r="AK250" i="5" s="1"/>
  <c r="AD250" i="5"/>
  <c r="AJ250" i="5" s="1"/>
  <c r="AE249" i="5"/>
  <c r="AK249" i="5" s="1"/>
  <c r="AD249" i="5"/>
  <c r="AJ249" i="5" s="1"/>
  <c r="AE248" i="5"/>
  <c r="AK248" i="5" s="1"/>
  <c r="AD248" i="5"/>
  <c r="AJ248" i="5" s="1"/>
  <c r="AE247" i="5"/>
  <c r="AK247" i="5" s="1"/>
  <c r="AD247" i="5"/>
  <c r="AJ247" i="5" s="1"/>
  <c r="AE246" i="5"/>
  <c r="AK246" i="5" s="1"/>
  <c r="AD246" i="5"/>
  <c r="AJ246" i="5" s="1"/>
  <c r="AE245" i="5"/>
  <c r="AK245" i="5" s="1"/>
  <c r="AD245" i="5"/>
  <c r="AJ245" i="5" s="1"/>
  <c r="AE244" i="5"/>
  <c r="AK244" i="5" s="1"/>
  <c r="AD244" i="5"/>
  <c r="AJ244" i="5" s="1"/>
  <c r="AE243" i="5"/>
  <c r="AK243" i="5" s="1"/>
  <c r="AD243" i="5"/>
  <c r="AJ243" i="5" s="1"/>
  <c r="AE242" i="5"/>
  <c r="AK242" i="5" s="1"/>
  <c r="AD242" i="5"/>
  <c r="AJ242" i="5" s="1"/>
  <c r="AE241" i="5"/>
  <c r="AK241" i="5" s="1"/>
  <c r="AD241" i="5"/>
  <c r="AJ241" i="5" s="1"/>
  <c r="AE240" i="5"/>
  <c r="AK240" i="5" s="1"/>
  <c r="AD240" i="5"/>
  <c r="AJ240" i="5" s="1"/>
  <c r="AE239" i="5"/>
  <c r="AK239" i="5" s="1"/>
  <c r="AD239" i="5"/>
  <c r="AJ239" i="5" s="1"/>
  <c r="AE238" i="5"/>
  <c r="AK238" i="5" s="1"/>
  <c r="AD238" i="5"/>
  <c r="AJ238" i="5" s="1"/>
  <c r="AE237" i="5"/>
  <c r="AK237" i="5" s="1"/>
  <c r="AD237" i="5"/>
  <c r="AJ237" i="5" s="1"/>
  <c r="AE236" i="5"/>
  <c r="AK236" i="5" s="1"/>
  <c r="AD236" i="5"/>
  <c r="AJ236" i="5" s="1"/>
  <c r="AE235" i="5"/>
  <c r="AK235" i="5" s="1"/>
  <c r="AD235" i="5"/>
  <c r="AJ235" i="5" s="1"/>
  <c r="AE234" i="5"/>
  <c r="AK234" i="5" s="1"/>
  <c r="AD234" i="5"/>
  <c r="AJ234" i="5" s="1"/>
  <c r="AE233" i="5"/>
  <c r="AK233" i="5" s="1"/>
  <c r="AD233" i="5"/>
  <c r="AJ233" i="5" s="1"/>
  <c r="AE232" i="5"/>
  <c r="AK232" i="5" s="1"/>
  <c r="AD232" i="5"/>
  <c r="AJ232" i="5" s="1"/>
  <c r="AE231" i="5"/>
  <c r="AK231" i="5" s="1"/>
  <c r="AD231" i="5"/>
  <c r="AJ231" i="5" s="1"/>
  <c r="AE230" i="5"/>
  <c r="AK230" i="5" s="1"/>
  <c r="AD230" i="5"/>
  <c r="AJ230" i="5" s="1"/>
  <c r="AE229" i="5"/>
  <c r="AK229" i="5" s="1"/>
  <c r="AD229" i="5"/>
  <c r="AJ229" i="5" s="1"/>
  <c r="AE228" i="5"/>
  <c r="AK228" i="5" s="1"/>
  <c r="AD228" i="5"/>
  <c r="AJ228" i="5" s="1"/>
  <c r="AE227" i="5"/>
  <c r="AK227" i="5" s="1"/>
  <c r="AD227" i="5"/>
  <c r="AJ227" i="5" s="1"/>
  <c r="AE226" i="5"/>
  <c r="AK226" i="5" s="1"/>
  <c r="AD226" i="5"/>
  <c r="AJ226" i="5" s="1"/>
  <c r="AE225" i="5"/>
  <c r="AK225" i="5" s="1"/>
  <c r="AD225" i="5"/>
  <c r="AJ225" i="5" s="1"/>
  <c r="AE224" i="5"/>
  <c r="AK224" i="5" s="1"/>
  <c r="AD224" i="5"/>
  <c r="AJ224" i="5" s="1"/>
  <c r="AE223" i="5"/>
  <c r="AK223" i="5" s="1"/>
  <c r="AD223" i="5"/>
  <c r="AJ223" i="5" s="1"/>
  <c r="AE222" i="5"/>
  <c r="AK222" i="5" s="1"/>
  <c r="AD222" i="5"/>
  <c r="AJ222" i="5" s="1"/>
  <c r="AE221" i="5"/>
  <c r="AK221" i="5" s="1"/>
  <c r="AD221" i="5"/>
  <c r="AJ221" i="5" s="1"/>
  <c r="AE220" i="5"/>
  <c r="AK220" i="5" s="1"/>
  <c r="AD220" i="5"/>
  <c r="AJ220" i="5" s="1"/>
  <c r="AE219" i="5"/>
  <c r="AK219" i="5" s="1"/>
  <c r="AD219" i="5"/>
  <c r="AJ219" i="5" s="1"/>
  <c r="AE218" i="5"/>
  <c r="AK218" i="5" s="1"/>
  <c r="AD218" i="5"/>
  <c r="AJ218" i="5" s="1"/>
  <c r="AE217" i="5"/>
  <c r="AK217" i="5" s="1"/>
  <c r="AD217" i="5"/>
  <c r="AJ217" i="5" s="1"/>
  <c r="AE216" i="5"/>
  <c r="AK216" i="5" s="1"/>
  <c r="AD216" i="5"/>
  <c r="AJ216" i="5" s="1"/>
  <c r="AE215" i="5"/>
  <c r="AK215" i="5" s="1"/>
  <c r="AD215" i="5"/>
  <c r="AJ215" i="5" s="1"/>
  <c r="AE214" i="5"/>
  <c r="AK214" i="5" s="1"/>
  <c r="AD214" i="5"/>
  <c r="AJ214" i="5" s="1"/>
  <c r="AE213" i="5"/>
  <c r="AK213" i="5" s="1"/>
  <c r="AD213" i="5"/>
  <c r="AJ213" i="5" s="1"/>
  <c r="AE212" i="5"/>
  <c r="AK212" i="5" s="1"/>
  <c r="AD212" i="5"/>
  <c r="AJ212" i="5" s="1"/>
  <c r="AE211" i="5"/>
  <c r="AK211" i="5" s="1"/>
  <c r="AD211" i="5"/>
  <c r="AJ211" i="5" s="1"/>
  <c r="AE210" i="5"/>
  <c r="AK210" i="5" s="1"/>
  <c r="AD210" i="5"/>
  <c r="AJ210" i="5" s="1"/>
  <c r="AE209" i="5"/>
  <c r="AK209" i="5" s="1"/>
  <c r="AD209" i="5"/>
  <c r="AJ209" i="5" s="1"/>
  <c r="AE208" i="5"/>
  <c r="AK208" i="5" s="1"/>
  <c r="AD208" i="5"/>
  <c r="AJ208" i="5" s="1"/>
  <c r="AE207" i="5"/>
  <c r="AK207" i="5" s="1"/>
  <c r="AD207" i="5"/>
  <c r="AJ207" i="5" s="1"/>
  <c r="AE206" i="5"/>
  <c r="AK206" i="5" s="1"/>
  <c r="AD206" i="5"/>
  <c r="AJ206" i="5" s="1"/>
  <c r="AE205" i="5"/>
  <c r="AK205" i="5" s="1"/>
  <c r="AD205" i="5"/>
  <c r="AJ205" i="5" s="1"/>
  <c r="AE204" i="5"/>
  <c r="AK204" i="5" s="1"/>
  <c r="AD204" i="5"/>
  <c r="AJ204" i="5" s="1"/>
  <c r="AE203" i="5"/>
  <c r="AK203" i="5" s="1"/>
  <c r="AD203" i="5"/>
  <c r="AJ203" i="5" s="1"/>
  <c r="AE202" i="5"/>
  <c r="AK202" i="5" s="1"/>
  <c r="AD202" i="5"/>
  <c r="AJ202" i="5" s="1"/>
  <c r="AE201" i="5"/>
  <c r="AK201" i="5" s="1"/>
  <c r="AD201" i="5"/>
  <c r="AJ201" i="5" s="1"/>
  <c r="AE200" i="5"/>
  <c r="AK200" i="5" s="1"/>
  <c r="AD200" i="5"/>
  <c r="AJ200" i="5" s="1"/>
  <c r="AE199" i="5"/>
  <c r="AK199" i="5" s="1"/>
  <c r="AD199" i="5"/>
  <c r="AJ199" i="5" s="1"/>
  <c r="AE198" i="5"/>
  <c r="AK198" i="5" s="1"/>
  <c r="AD198" i="5"/>
  <c r="AJ198" i="5" s="1"/>
  <c r="AE197" i="5"/>
  <c r="AK197" i="5" s="1"/>
  <c r="AD197" i="5"/>
  <c r="AJ197" i="5" s="1"/>
  <c r="AE196" i="5"/>
  <c r="AK196" i="5" s="1"/>
  <c r="AD196" i="5"/>
  <c r="AJ196" i="5" s="1"/>
  <c r="AE195" i="5"/>
  <c r="AK195" i="5" s="1"/>
  <c r="AD195" i="5"/>
  <c r="AJ195" i="5" s="1"/>
  <c r="AE194" i="5"/>
  <c r="AK194" i="5" s="1"/>
  <c r="AD194" i="5"/>
  <c r="AJ194" i="5" s="1"/>
  <c r="AE193" i="5"/>
  <c r="AK193" i="5" s="1"/>
  <c r="AD193" i="5"/>
  <c r="AJ193" i="5" s="1"/>
  <c r="AE192" i="5"/>
  <c r="AK192" i="5" s="1"/>
  <c r="AD192" i="5"/>
  <c r="AJ192" i="5" s="1"/>
  <c r="AE191" i="5"/>
  <c r="AK191" i="5" s="1"/>
  <c r="AD191" i="5"/>
  <c r="AJ191" i="5" s="1"/>
  <c r="AE190" i="5"/>
  <c r="AK190" i="5" s="1"/>
  <c r="AD190" i="5"/>
  <c r="AJ190" i="5" s="1"/>
  <c r="AE189" i="5"/>
  <c r="AK189" i="5" s="1"/>
  <c r="AD189" i="5"/>
  <c r="AJ189" i="5" s="1"/>
  <c r="AE188" i="5"/>
  <c r="AK188" i="5" s="1"/>
  <c r="AD188" i="5"/>
  <c r="AJ188" i="5" s="1"/>
  <c r="AE187" i="5"/>
  <c r="AK187" i="5" s="1"/>
  <c r="AD187" i="5"/>
  <c r="AJ187" i="5" s="1"/>
  <c r="AE186" i="5"/>
  <c r="AK186" i="5" s="1"/>
  <c r="AD186" i="5"/>
  <c r="AJ186" i="5" s="1"/>
  <c r="AE185" i="5"/>
  <c r="AK185" i="5" s="1"/>
  <c r="AD185" i="5"/>
  <c r="AJ185" i="5" s="1"/>
  <c r="AE184" i="5"/>
  <c r="AK184" i="5" s="1"/>
  <c r="AD184" i="5"/>
  <c r="AJ184" i="5" s="1"/>
  <c r="AE183" i="5"/>
  <c r="AK183" i="5" s="1"/>
  <c r="AD183" i="5"/>
  <c r="AJ183" i="5" s="1"/>
  <c r="AE182" i="5"/>
  <c r="AK182" i="5" s="1"/>
  <c r="AD182" i="5"/>
  <c r="AJ182" i="5" s="1"/>
  <c r="AE181" i="5"/>
  <c r="AK181" i="5" s="1"/>
  <c r="AD181" i="5"/>
  <c r="AJ181" i="5" s="1"/>
  <c r="AE180" i="5"/>
  <c r="AK180" i="5" s="1"/>
  <c r="AD180" i="5"/>
  <c r="AJ180" i="5" s="1"/>
  <c r="AE179" i="5"/>
  <c r="AK179" i="5" s="1"/>
  <c r="AD179" i="5"/>
  <c r="AJ179" i="5" s="1"/>
  <c r="AE178" i="5"/>
  <c r="AK178" i="5" s="1"/>
  <c r="AD178" i="5"/>
  <c r="AJ178" i="5" s="1"/>
  <c r="AE177" i="5"/>
  <c r="AK177" i="5" s="1"/>
  <c r="AD177" i="5"/>
  <c r="AJ177" i="5" s="1"/>
  <c r="AE176" i="5"/>
  <c r="AK176" i="5" s="1"/>
  <c r="AD176" i="5"/>
  <c r="AJ176" i="5" s="1"/>
  <c r="AE175" i="5"/>
  <c r="AK175" i="5" s="1"/>
  <c r="AD175" i="5"/>
  <c r="AJ175" i="5" s="1"/>
  <c r="AE174" i="5"/>
  <c r="AK174" i="5" s="1"/>
  <c r="AD174" i="5"/>
  <c r="AJ174" i="5" s="1"/>
  <c r="AE173" i="5"/>
  <c r="AK173" i="5" s="1"/>
  <c r="AD173" i="5"/>
  <c r="AJ173" i="5" s="1"/>
  <c r="AE172" i="5"/>
  <c r="AK172" i="5" s="1"/>
  <c r="AD172" i="5"/>
  <c r="AJ172" i="5" s="1"/>
  <c r="AE171" i="5"/>
  <c r="AK171" i="5" s="1"/>
  <c r="AD171" i="5"/>
  <c r="AJ171" i="5" s="1"/>
  <c r="AE170" i="5"/>
  <c r="AK170" i="5" s="1"/>
  <c r="AD170" i="5"/>
  <c r="AJ170" i="5" s="1"/>
  <c r="AE169" i="5"/>
  <c r="AK169" i="5" s="1"/>
  <c r="AD169" i="5"/>
  <c r="AJ169" i="5" s="1"/>
  <c r="AE168" i="5"/>
  <c r="AK168" i="5" s="1"/>
  <c r="AD168" i="5"/>
  <c r="AJ168" i="5" s="1"/>
  <c r="AE167" i="5"/>
  <c r="AK167" i="5" s="1"/>
  <c r="AD167" i="5"/>
  <c r="AJ167" i="5" s="1"/>
  <c r="AE166" i="5"/>
  <c r="AK166" i="5" s="1"/>
  <c r="AD166" i="5"/>
  <c r="AJ166" i="5" s="1"/>
  <c r="AE165" i="5"/>
  <c r="AK165" i="5" s="1"/>
  <c r="AD165" i="5"/>
  <c r="AJ165" i="5" s="1"/>
  <c r="AE164" i="5"/>
  <c r="AK164" i="5" s="1"/>
  <c r="AD164" i="5"/>
  <c r="AJ164" i="5" s="1"/>
  <c r="AE163" i="5"/>
  <c r="AK163" i="5" s="1"/>
  <c r="AD163" i="5"/>
  <c r="AJ163" i="5" s="1"/>
  <c r="AE162" i="5"/>
  <c r="AK162" i="5" s="1"/>
  <c r="AD162" i="5"/>
  <c r="AJ162" i="5" s="1"/>
  <c r="AE161" i="5"/>
  <c r="AK161" i="5" s="1"/>
  <c r="AD161" i="5"/>
  <c r="AJ161" i="5" s="1"/>
  <c r="AE160" i="5"/>
  <c r="AK160" i="5" s="1"/>
  <c r="AD160" i="5"/>
  <c r="AJ160" i="5" s="1"/>
  <c r="AE159" i="5"/>
  <c r="AK159" i="5" s="1"/>
  <c r="AD159" i="5"/>
  <c r="AJ159" i="5" s="1"/>
  <c r="AE158" i="5"/>
  <c r="AK158" i="5" s="1"/>
  <c r="AD158" i="5"/>
  <c r="AJ158" i="5" s="1"/>
  <c r="AE157" i="5"/>
  <c r="AK157" i="5" s="1"/>
  <c r="AD157" i="5"/>
  <c r="AJ157" i="5" s="1"/>
  <c r="AE156" i="5"/>
  <c r="AK156" i="5" s="1"/>
  <c r="AD156" i="5"/>
  <c r="AJ156" i="5" s="1"/>
  <c r="AE155" i="5"/>
  <c r="AK155" i="5" s="1"/>
  <c r="AD155" i="5"/>
  <c r="AJ155" i="5" s="1"/>
  <c r="AE154" i="5"/>
  <c r="AK154" i="5" s="1"/>
  <c r="AD154" i="5"/>
  <c r="AJ154" i="5" s="1"/>
  <c r="AE153" i="5"/>
  <c r="AK153" i="5" s="1"/>
  <c r="AD153" i="5"/>
  <c r="AJ153" i="5" s="1"/>
  <c r="AE152" i="5"/>
  <c r="AK152" i="5" s="1"/>
  <c r="AD152" i="5"/>
  <c r="AJ152" i="5" s="1"/>
  <c r="AE151" i="5"/>
  <c r="AK151" i="5" s="1"/>
  <c r="AD151" i="5"/>
  <c r="AJ151" i="5" s="1"/>
  <c r="AE150" i="5"/>
  <c r="AK150" i="5" s="1"/>
  <c r="AD150" i="5"/>
  <c r="AJ150" i="5" s="1"/>
  <c r="AE149" i="5"/>
  <c r="AK149" i="5" s="1"/>
  <c r="AD149" i="5"/>
  <c r="AJ149" i="5" s="1"/>
  <c r="AE148" i="5"/>
  <c r="AK148" i="5" s="1"/>
  <c r="AD148" i="5"/>
  <c r="AJ148" i="5" s="1"/>
  <c r="AE147" i="5"/>
  <c r="AK147" i="5" s="1"/>
  <c r="AD147" i="5"/>
  <c r="AJ147" i="5" s="1"/>
  <c r="AE146" i="5"/>
  <c r="AK146" i="5" s="1"/>
  <c r="AD146" i="5"/>
  <c r="AJ146" i="5" s="1"/>
  <c r="AE145" i="5"/>
  <c r="AK145" i="5" s="1"/>
  <c r="AD145" i="5"/>
  <c r="AJ145" i="5" s="1"/>
  <c r="AE144" i="5"/>
  <c r="AK144" i="5" s="1"/>
  <c r="AD144" i="5"/>
  <c r="AJ144" i="5" s="1"/>
  <c r="AE143" i="5"/>
  <c r="AK143" i="5" s="1"/>
  <c r="AD143" i="5"/>
  <c r="AJ143" i="5" s="1"/>
  <c r="AE142" i="5"/>
  <c r="AK142" i="5" s="1"/>
  <c r="AD142" i="5"/>
  <c r="AJ142" i="5" s="1"/>
  <c r="AE141" i="5"/>
  <c r="AK141" i="5" s="1"/>
  <c r="AD141" i="5"/>
  <c r="AJ141" i="5" s="1"/>
  <c r="AE140" i="5"/>
  <c r="AK140" i="5" s="1"/>
  <c r="AD140" i="5"/>
  <c r="AJ140" i="5" s="1"/>
  <c r="AE139" i="5"/>
  <c r="AK139" i="5" s="1"/>
  <c r="AD139" i="5"/>
  <c r="AJ139" i="5" s="1"/>
  <c r="AE138" i="5"/>
  <c r="AK138" i="5" s="1"/>
  <c r="AD138" i="5"/>
  <c r="AJ138" i="5" s="1"/>
  <c r="AE137" i="5"/>
  <c r="AK137" i="5" s="1"/>
  <c r="AD137" i="5"/>
  <c r="AJ137" i="5" s="1"/>
  <c r="AE136" i="5"/>
  <c r="AK136" i="5" s="1"/>
  <c r="AD136" i="5"/>
  <c r="AJ136" i="5" s="1"/>
  <c r="AE135" i="5"/>
  <c r="AK135" i="5" s="1"/>
  <c r="AD135" i="5"/>
  <c r="AJ135" i="5" s="1"/>
  <c r="AE134" i="5"/>
  <c r="AK134" i="5" s="1"/>
  <c r="AD134" i="5"/>
  <c r="AJ134" i="5" s="1"/>
  <c r="AE133" i="5"/>
  <c r="AK133" i="5" s="1"/>
  <c r="AD133" i="5"/>
  <c r="AJ133" i="5" s="1"/>
  <c r="AE132" i="5"/>
  <c r="AK132" i="5" s="1"/>
  <c r="AD132" i="5"/>
  <c r="AJ132" i="5" s="1"/>
  <c r="AE131" i="5"/>
  <c r="AK131" i="5" s="1"/>
  <c r="AD131" i="5"/>
  <c r="AJ131" i="5" s="1"/>
  <c r="AE130" i="5"/>
  <c r="AK130" i="5" s="1"/>
  <c r="AD130" i="5"/>
  <c r="AJ130" i="5" s="1"/>
  <c r="AE129" i="5"/>
  <c r="AK129" i="5" s="1"/>
  <c r="AD129" i="5"/>
  <c r="AJ129" i="5" s="1"/>
  <c r="AE128" i="5"/>
  <c r="AK128" i="5" s="1"/>
  <c r="AD128" i="5"/>
  <c r="AJ128" i="5" s="1"/>
  <c r="AE127" i="5"/>
  <c r="AK127" i="5" s="1"/>
  <c r="AD127" i="5"/>
  <c r="AJ127" i="5" s="1"/>
  <c r="AE126" i="5"/>
  <c r="AK126" i="5" s="1"/>
  <c r="AD126" i="5"/>
  <c r="AJ126" i="5" s="1"/>
  <c r="AE125" i="5"/>
  <c r="AK125" i="5" s="1"/>
  <c r="AD125" i="5"/>
  <c r="AJ125" i="5" s="1"/>
  <c r="AE124" i="5"/>
  <c r="AK124" i="5" s="1"/>
  <c r="AD124" i="5"/>
  <c r="AJ124" i="5" s="1"/>
  <c r="AE123" i="5"/>
  <c r="AK123" i="5" s="1"/>
  <c r="AD123" i="5"/>
  <c r="AJ123" i="5" s="1"/>
  <c r="AE122" i="5"/>
  <c r="AK122" i="5" s="1"/>
  <c r="AD122" i="5"/>
  <c r="AJ122" i="5" s="1"/>
  <c r="AE121" i="5"/>
  <c r="AK121" i="5" s="1"/>
  <c r="AD121" i="5"/>
  <c r="AJ121" i="5" s="1"/>
  <c r="AE120" i="5"/>
  <c r="AK120" i="5" s="1"/>
  <c r="AD120" i="5"/>
  <c r="AJ120" i="5" s="1"/>
  <c r="AE119" i="5"/>
  <c r="AK119" i="5" s="1"/>
  <c r="AD119" i="5"/>
  <c r="AJ119" i="5" s="1"/>
  <c r="AE118" i="5"/>
  <c r="AK118" i="5" s="1"/>
  <c r="AD118" i="5"/>
  <c r="AJ118" i="5" s="1"/>
  <c r="AE117" i="5"/>
  <c r="AK117" i="5" s="1"/>
  <c r="AD117" i="5"/>
  <c r="AJ117" i="5" s="1"/>
  <c r="AE116" i="5"/>
  <c r="AK116" i="5" s="1"/>
  <c r="AD116" i="5"/>
  <c r="AJ116" i="5" s="1"/>
  <c r="AE115" i="5"/>
  <c r="AK115" i="5" s="1"/>
  <c r="AD115" i="5"/>
  <c r="AJ115" i="5" s="1"/>
  <c r="AE114" i="5"/>
  <c r="AK114" i="5" s="1"/>
  <c r="AD114" i="5"/>
  <c r="AJ114" i="5" s="1"/>
  <c r="AE113" i="5"/>
  <c r="AK113" i="5" s="1"/>
  <c r="AD113" i="5"/>
  <c r="AJ113" i="5" s="1"/>
  <c r="AE112" i="5"/>
  <c r="AK112" i="5" s="1"/>
  <c r="AD112" i="5"/>
  <c r="AJ112" i="5" s="1"/>
  <c r="AE111" i="5"/>
  <c r="AK111" i="5" s="1"/>
  <c r="AD111" i="5"/>
  <c r="AJ111" i="5" s="1"/>
  <c r="AE110" i="5"/>
  <c r="AK110" i="5" s="1"/>
  <c r="AD110" i="5"/>
  <c r="AJ110" i="5" s="1"/>
  <c r="AE109" i="5"/>
  <c r="AK109" i="5" s="1"/>
  <c r="AD109" i="5"/>
  <c r="AJ109" i="5" s="1"/>
  <c r="AE108" i="5"/>
  <c r="AK108" i="5" s="1"/>
  <c r="AD108" i="5"/>
  <c r="AJ108" i="5" s="1"/>
  <c r="AE107" i="5"/>
  <c r="AK107" i="5" s="1"/>
  <c r="AD107" i="5"/>
  <c r="AJ107" i="5" s="1"/>
  <c r="AE106" i="5"/>
  <c r="AK106" i="5" s="1"/>
  <c r="AD106" i="5"/>
  <c r="AJ106" i="5" s="1"/>
  <c r="AE105" i="5"/>
  <c r="AK105" i="5" s="1"/>
  <c r="AD105" i="5"/>
  <c r="AJ105" i="5" s="1"/>
  <c r="AE104" i="5"/>
  <c r="AK104" i="5" s="1"/>
  <c r="AD104" i="5"/>
  <c r="AJ104" i="5" s="1"/>
  <c r="AE103" i="5"/>
  <c r="AK103" i="5" s="1"/>
  <c r="AD103" i="5"/>
  <c r="AJ103" i="5" s="1"/>
  <c r="AE102" i="5"/>
  <c r="AK102" i="5" s="1"/>
  <c r="AD102" i="5"/>
  <c r="AJ102" i="5" s="1"/>
  <c r="AE101" i="5"/>
  <c r="AK101" i="5" s="1"/>
  <c r="AD101" i="5"/>
  <c r="AJ101" i="5" s="1"/>
  <c r="AE100" i="5"/>
  <c r="AK100" i="5" s="1"/>
  <c r="AD100" i="5"/>
  <c r="AJ100" i="5" s="1"/>
  <c r="AE99" i="5"/>
  <c r="AK99" i="5" s="1"/>
  <c r="AD99" i="5"/>
  <c r="AJ99" i="5" s="1"/>
  <c r="AE98" i="5"/>
  <c r="AK98" i="5" s="1"/>
  <c r="AD98" i="5"/>
  <c r="AJ98" i="5" s="1"/>
  <c r="AE97" i="5"/>
  <c r="AK97" i="5" s="1"/>
  <c r="AD97" i="5"/>
  <c r="AJ97" i="5" s="1"/>
  <c r="AE96" i="5"/>
  <c r="AK96" i="5" s="1"/>
  <c r="AD96" i="5"/>
  <c r="AJ96" i="5" s="1"/>
  <c r="AE95" i="5"/>
  <c r="AK95" i="5" s="1"/>
  <c r="AD95" i="5"/>
  <c r="AJ95" i="5" s="1"/>
  <c r="AE94" i="5"/>
  <c r="AK94" i="5" s="1"/>
  <c r="AD94" i="5"/>
  <c r="AJ94" i="5" s="1"/>
  <c r="AE93" i="5"/>
  <c r="AK93" i="5" s="1"/>
  <c r="AD93" i="5"/>
  <c r="AJ93" i="5" s="1"/>
  <c r="AE92" i="5"/>
  <c r="AK92" i="5" s="1"/>
  <c r="AD92" i="5"/>
  <c r="AJ92" i="5" s="1"/>
  <c r="AE91" i="5"/>
  <c r="AK91" i="5" s="1"/>
  <c r="AD91" i="5"/>
  <c r="AJ91" i="5" s="1"/>
  <c r="AE90" i="5"/>
  <c r="AK90" i="5" s="1"/>
  <c r="AD90" i="5"/>
  <c r="AJ90" i="5" s="1"/>
  <c r="AE89" i="5"/>
  <c r="AK89" i="5" s="1"/>
  <c r="AD89" i="5"/>
  <c r="AJ89" i="5" s="1"/>
  <c r="AE88" i="5"/>
  <c r="AK88" i="5" s="1"/>
  <c r="AD88" i="5"/>
  <c r="AJ88" i="5" s="1"/>
  <c r="AE87" i="5"/>
  <c r="AK87" i="5" s="1"/>
  <c r="AD87" i="5"/>
  <c r="AJ87" i="5" s="1"/>
  <c r="AE86" i="5"/>
  <c r="AK86" i="5" s="1"/>
  <c r="AD86" i="5"/>
  <c r="AJ86" i="5" s="1"/>
  <c r="AE85" i="5"/>
  <c r="AK85" i="5" s="1"/>
  <c r="AD85" i="5"/>
  <c r="AJ85" i="5" s="1"/>
  <c r="AE84" i="5"/>
  <c r="AK84" i="5" s="1"/>
  <c r="AD84" i="5"/>
  <c r="AJ84" i="5" s="1"/>
  <c r="AE83" i="5"/>
  <c r="AK83" i="5" s="1"/>
  <c r="AD83" i="5"/>
  <c r="AJ83" i="5" s="1"/>
  <c r="AE82" i="5"/>
  <c r="AK82" i="5" s="1"/>
  <c r="AD82" i="5"/>
  <c r="AJ82" i="5" s="1"/>
  <c r="AE81" i="5"/>
  <c r="AK81" i="5" s="1"/>
  <c r="AD81" i="5"/>
  <c r="AJ81" i="5" s="1"/>
  <c r="AE80" i="5"/>
  <c r="AK80" i="5" s="1"/>
  <c r="AD80" i="5"/>
  <c r="AJ80" i="5" s="1"/>
  <c r="AE79" i="5"/>
  <c r="AK79" i="5" s="1"/>
  <c r="AD79" i="5"/>
  <c r="AJ79" i="5" s="1"/>
  <c r="AE78" i="5"/>
  <c r="AK78" i="5" s="1"/>
  <c r="AD78" i="5"/>
  <c r="AJ78" i="5" s="1"/>
  <c r="AE77" i="5"/>
  <c r="AK77" i="5" s="1"/>
  <c r="AD77" i="5"/>
  <c r="AJ77" i="5" s="1"/>
  <c r="AE76" i="5"/>
  <c r="AK76" i="5" s="1"/>
  <c r="AD76" i="5"/>
  <c r="AJ76" i="5" s="1"/>
  <c r="AE75" i="5"/>
  <c r="AK75" i="5" s="1"/>
  <c r="AD75" i="5"/>
  <c r="AJ75" i="5" s="1"/>
  <c r="AE74" i="5"/>
  <c r="AK74" i="5" s="1"/>
  <c r="AD74" i="5"/>
  <c r="AJ74" i="5" s="1"/>
  <c r="AE73" i="5"/>
  <c r="AK73" i="5" s="1"/>
  <c r="AD73" i="5"/>
  <c r="AJ73" i="5" s="1"/>
  <c r="AE72" i="5"/>
  <c r="AK72" i="5" s="1"/>
  <c r="AD72" i="5"/>
  <c r="AJ72" i="5" s="1"/>
  <c r="AE71" i="5"/>
  <c r="AK71" i="5" s="1"/>
  <c r="AD71" i="5"/>
  <c r="AJ71" i="5" s="1"/>
  <c r="AE70" i="5"/>
  <c r="AK70" i="5" s="1"/>
  <c r="AD70" i="5"/>
  <c r="AJ70" i="5" s="1"/>
  <c r="AE69" i="5"/>
  <c r="AK69" i="5" s="1"/>
  <c r="AD69" i="5"/>
  <c r="AJ69" i="5" s="1"/>
  <c r="AE68" i="5"/>
  <c r="AK68" i="5" s="1"/>
  <c r="AD68" i="5"/>
  <c r="AJ68" i="5" s="1"/>
  <c r="AE67" i="5"/>
  <c r="AK67" i="5" s="1"/>
  <c r="AD67" i="5"/>
  <c r="AJ67" i="5" s="1"/>
  <c r="AE66" i="5"/>
  <c r="AK66" i="5" s="1"/>
  <c r="AD66" i="5"/>
  <c r="AJ66" i="5" s="1"/>
  <c r="AE65" i="5"/>
  <c r="AK65" i="5" s="1"/>
  <c r="AD65" i="5"/>
  <c r="AJ65" i="5" s="1"/>
  <c r="AE64" i="5"/>
  <c r="AK64" i="5" s="1"/>
  <c r="AD64" i="5"/>
  <c r="AJ64" i="5" s="1"/>
  <c r="AE63" i="5"/>
  <c r="AK63" i="5" s="1"/>
  <c r="AD63" i="5"/>
  <c r="AJ63" i="5" s="1"/>
  <c r="AE62" i="5"/>
  <c r="AK62" i="5" s="1"/>
  <c r="AD62" i="5"/>
  <c r="AJ62" i="5" s="1"/>
  <c r="AE61" i="5"/>
  <c r="AK61" i="5" s="1"/>
  <c r="AD61" i="5"/>
  <c r="AJ61" i="5" s="1"/>
  <c r="AE60" i="5"/>
  <c r="AK60" i="5" s="1"/>
  <c r="AD60" i="5"/>
  <c r="AJ60" i="5" s="1"/>
  <c r="AE59" i="5"/>
  <c r="AK59" i="5" s="1"/>
  <c r="AD59" i="5"/>
  <c r="AJ59" i="5" s="1"/>
  <c r="AE58" i="5"/>
  <c r="AK58" i="5" s="1"/>
  <c r="AD58" i="5"/>
  <c r="AJ58" i="5" s="1"/>
  <c r="AE57" i="5"/>
  <c r="AK57" i="5" s="1"/>
  <c r="AD57" i="5"/>
  <c r="AJ57" i="5" s="1"/>
  <c r="AE56" i="5"/>
  <c r="AK56" i="5" s="1"/>
  <c r="AD56" i="5"/>
  <c r="AJ56" i="5" s="1"/>
  <c r="AE55" i="5"/>
  <c r="AK55" i="5" s="1"/>
  <c r="AD55" i="5"/>
  <c r="AJ55" i="5" s="1"/>
  <c r="AE54" i="5"/>
  <c r="AK54" i="5" s="1"/>
  <c r="AD54" i="5"/>
  <c r="AJ54" i="5" s="1"/>
  <c r="AE53" i="5"/>
  <c r="AK53" i="5" s="1"/>
  <c r="AD53" i="5"/>
  <c r="AJ53" i="5" s="1"/>
  <c r="AE52" i="5"/>
  <c r="AK52" i="5" s="1"/>
  <c r="AD52" i="5"/>
  <c r="AJ52" i="5" s="1"/>
  <c r="AE51" i="5"/>
  <c r="AK51" i="5" s="1"/>
  <c r="AD51" i="5"/>
  <c r="AJ51" i="5" s="1"/>
  <c r="AE50" i="5"/>
  <c r="AK50" i="5" s="1"/>
  <c r="AD50" i="5"/>
  <c r="AJ50" i="5" s="1"/>
  <c r="AE49" i="5"/>
  <c r="AK49" i="5" s="1"/>
  <c r="AD49" i="5"/>
  <c r="AJ49" i="5" s="1"/>
  <c r="AE48" i="5"/>
  <c r="AK48" i="5" s="1"/>
  <c r="AD48" i="5"/>
  <c r="AJ48" i="5" s="1"/>
  <c r="AE47" i="5"/>
  <c r="AK47" i="5" s="1"/>
  <c r="AD47" i="5"/>
  <c r="AJ47" i="5" s="1"/>
  <c r="AE46" i="5"/>
  <c r="AK46" i="5" s="1"/>
  <c r="AD46" i="5"/>
  <c r="AJ46" i="5" s="1"/>
  <c r="AE45" i="5"/>
  <c r="AK45" i="5" s="1"/>
  <c r="AD45" i="5"/>
  <c r="AJ45" i="5" s="1"/>
  <c r="AE44" i="5"/>
  <c r="AK44" i="5" s="1"/>
  <c r="AD44" i="5"/>
  <c r="AJ44" i="5" s="1"/>
  <c r="AE43" i="5"/>
  <c r="AK43" i="5" s="1"/>
  <c r="AD43" i="5"/>
  <c r="AJ43" i="5" s="1"/>
  <c r="AE42" i="5"/>
  <c r="AK42" i="5" s="1"/>
  <c r="AD42" i="5"/>
  <c r="AJ42" i="5" s="1"/>
  <c r="AE41" i="5"/>
  <c r="AK41" i="5" s="1"/>
  <c r="AD41" i="5"/>
  <c r="AJ41" i="5" s="1"/>
  <c r="AE40" i="5"/>
  <c r="AK40" i="5" s="1"/>
  <c r="AD40" i="5"/>
  <c r="AJ40" i="5" s="1"/>
  <c r="AE39" i="5"/>
  <c r="AK39" i="5" s="1"/>
  <c r="AD39" i="5"/>
  <c r="AJ39" i="5" s="1"/>
  <c r="AE38" i="5"/>
  <c r="AK38" i="5" s="1"/>
  <c r="AD38" i="5"/>
  <c r="AJ38" i="5" s="1"/>
  <c r="AE37" i="5"/>
  <c r="AK37" i="5" s="1"/>
  <c r="AD37" i="5"/>
  <c r="AJ37" i="5" s="1"/>
  <c r="AE36" i="5"/>
  <c r="AK36" i="5" s="1"/>
  <c r="AD36" i="5"/>
  <c r="AJ36" i="5" s="1"/>
  <c r="AE35" i="5"/>
  <c r="AK35" i="5" s="1"/>
  <c r="AD35" i="5"/>
  <c r="AJ35" i="5" s="1"/>
  <c r="AE34" i="5"/>
  <c r="AK34" i="5" s="1"/>
  <c r="AD34" i="5"/>
  <c r="AJ34" i="5" s="1"/>
  <c r="B2" i="5"/>
  <c r="AE350" i="4"/>
  <c r="AK350" i="4" s="1"/>
  <c r="AD350" i="4"/>
  <c r="AJ350" i="4" s="1"/>
  <c r="AE349" i="4"/>
  <c r="AK349" i="4" s="1"/>
  <c r="AD349" i="4"/>
  <c r="AJ349" i="4" s="1"/>
  <c r="AE348" i="4"/>
  <c r="AK348" i="4" s="1"/>
  <c r="AD348" i="4"/>
  <c r="AJ348" i="4" s="1"/>
  <c r="AE347" i="4"/>
  <c r="AK347" i="4" s="1"/>
  <c r="AD347" i="4"/>
  <c r="AJ347" i="4" s="1"/>
  <c r="AE346" i="4"/>
  <c r="AK346" i="4" s="1"/>
  <c r="AD346" i="4"/>
  <c r="AJ346" i="4" s="1"/>
  <c r="AE345" i="4"/>
  <c r="AK345" i="4" s="1"/>
  <c r="AD345" i="4"/>
  <c r="AJ345" i="4" s="1"/>
  <c r="AE344" i="4"/>
  <c r="AK344" i="4" s="1"/>
  <c r="AD344" i="4"/>
  <c r="AJ344" i="4" s="1"/>
  <c r="AE343" i="4"/>
  <c r="AK343" i="4" s="1"/>
  <c r="AD343" i="4"/>
  <c r="AJ343" i="4" s="1"/>
  <c r="AE342" i="4"/>
  <c r="AK342" i="4" s="1"/>
  <c r="AD342" i="4"/>
  <c r="AJ342" i="4" s="1"/>
  <c r="AE341" i="4"/>
  <c r="AK341" i="4" s="1"/>
  <c r="AD341" i="4"/>
  <c r="AJ341" i="4" s="1"/>
  <c r="AE340" i="4"/>
  <c r="AK340" i="4" s="1"/>
  <c r="AD340" i="4"/>
  <c r="AJ340" i="4" s="1"/>
  <c r="AE339" i="4"/>
  <c r="AK339" i="4" s="1"/>
  <c r="AD339" i="4"/>
  <c r="AJ339" i="4" s="1"/>
  <c r="AE338" i="4"/>
  <c r="AK338" i="4" s="1"/>
  <c r="AD338" i="4"/>
  <c r="AJ338" i="4" s="1"/>
  <c r="AE337" i="4"/>
  <c r="AK337" i="4" s="1"/>
  <c r="AD337" i="4"/>
  <c r="AJ337" i="4" s="1"/>
  <c r="AE336" i="4"/>
  <c r="AK336" i="4" s="1"/>
  <c r="AD336" i="4"/>
  <c r="AJ336" i="4" s="1"/>
  <c r="AE335" i="4"/>
  <c r="AK335" i="4" s="1"/>
  <c r="AD335" i="4"/>
  <c r="AJ335" i="4" s="1"/>
  <c r="AE334" i="4"/>
  <c r="AK334" i="4" s="1"/>
  <c r="AD334" i="4"/>
  <c r="AJ334" i="4" s="1"/>
  <c r="AE333" i="4"/>
  <c r="AK333" i="4" s="1"/>
  <c r="AD333" i="4"/>
  <c r="AJ333" i="4" s="1"/>
  <c r="AE332" i="4"/>
  <c r="AK332" i="4" s="1"/>
  <c r="AD332" i="4"/>
  <c r="AJ332" i="4" s="1"/>
  <c r="AE331" i="4"/>
  <c r="AK331" i="4" s="1"/>
  <c r="AD331" i="4"/>
  <c r="AJ331" i="4" s="1"/>
  <c r="AE330" i="4"/>
  <c r="AK330" i="4" s="1"/>
  <c r="AD330" i="4"/>
  <c r="AJ330" i="4" s="1"/>
  <c r="AE329" i="4"/>
  <c r="AK329" i="4" s="1"/>
  <c r="AD329" i="4"/>
  <c r="AJ329" i="4" s="1"/>
  <c r="AE328" i="4"/>
  <c r="AK328" i="4" s="1"/>
  <c r="AD328" i="4"/>
  <c r="AJ328" i="4" s="1"/>
  <c r="AE327" i="4"/>
  <c r="AK327" i="4" s="1"/>
  <c r="AD327" i="4"/>
  <c r="AJ327" i="4" s="1"/>
  <c r="AE326" i="4"/>
  <c r="AK326" i="4" s="1"/>
  <c r="AD326" i="4"/>
  <c r="AJ326" i="4" s="1"/>
  <c r="AE325" i="4"/>
  <c r="AK325" i="4" s="1"/>
  <c r="AD325" i="4"/>
  <c r="AJ325" i="4" s="1"/>
  <c r="AE324" i="4"/>
  <c r="AK324" i="4" s="1"/>
  <c r="AD324" i="4"/>
  <c r="AJ324" i="4" s="1"/>
  <c r="AE323" i="4"/>
  <c r="AK323" i="4" s="1"/>
  <c r="AD323" i="4"/>
  <c r="AJ323" i="4" s="1"/>
  <c r="AE322" i="4"/>
  <c r="AK322" i="4" s="1"/>
  <c r="AD322" i="4"/>
  <c r="AJ322" i="4" s="1"/>
  <c r="AE321" i="4"/>
  <c r="AK321" i="4" s="1"/>
  <c r="AD321" i="4"/>
  <c r="AJ321" i="4" s="1"/>
  <c r="AE320" i="4"/>
  <c r="AK320" i="4" s="1"/>
  <c r="AD320" i="4"/>
  <c r="AJ320" i="4" s="1"/>
  <c r="AE319" i="4"/>
  <c r="AK319" i="4" s="1"/>
  <c r="AD319" i="4"/>
  <c r="AJ319" i="4" s="1"/>
  <c r="AE318" i="4"/>
  <c r="AK318" i="4" s="1"/>
  <c r="AD318" i="4"/>
  <c r="AJ318" i="4" s="1"/>
  <c r="AE317" i="4"/>
  <c r="AK317" i="4" s="1"/>
  <c r="AD317" i="4"/>
  <c r="AJ317" i="4" s="1"/>
  <c r="AE316" i="4"/>
  <c r="AK316" i="4" s="1"/>
  <c r="AD316" i="4"/>
  <c r="AJ316" i="4" s="1"/>
  <c r="AE315" i="4"/>
  <c r="AK315" i="4" s="1"/>
  <c r="AD315" i="4"/>
  <c r="AJ315" i="4" s="1"/>
  <c r="AE314" i="4"/>
  <c r="AK314" i="4" s="1"/>
  <c r="AD314" i="4"/>
  <c r="AJ314" i="4" s="1"/>
  <c r="AE313" i="4"/>
  <c r="AK313" i="4" s="1"/>
  <c r="AD313" i="4"/>
  <c r="AJ313" i="4" s="1"/>
  <c r="AE312" i="4"/>
  <c r="AK312" i="4" s="1"/>
  <c r="AD312" i="4"/>
  <c r="AJ312" i="4" s="1"/>
  <c r="AE311" i="4"/>
  <c r="AK311" i="4" s="1"/>
  <c r="AD311" i="4"/>
  <c r="AJ311" i="4" s="1"/>
  <c r="AE310" i="4"/>
  <c r="AK310" i="4" s="1"/>
  <c r="AD310" i="4"/>
  <c r="AJ310" i="4" s="1"/>
  <c r="AE309" i="4"/>
  <c r="AK309" i="4" s="1"/>
  <c r="AD309" i="4"/>
  <c r="AJ309" i="4" s="1"/>
  <c r="AE308" i="4"/>
  <c r="AK308" i="4" s="1"/>
  <c r="AD308" i="4"/>
  <c r="AJ308" i="4" s="1"/>
  <c r="AE307" i="4"/>
  <c r="AK307" i="4" s="1"/>
  <c r="AD307" i="4"/>
  <c r="AJ307" i="4" s="1"/>
  <c r="AE306" i="4"/>
  <c r="AK306" i="4" s="1"/>
  <c r="AD306" i="4"/>
  <c r="AJ306" i="4" s="1"/>
  <c r="AE305" i="4"/>
  <c r="AK305" i="4" s="1"/>
  <c r="AD305" i="4"/>
  <c r="AJ305" i="4" s="1"/>
  <c r="AE304" i="4"/>
  <c r="AK304" i="4" s="1"/>
  <c r="AD304" i="4"/>
  <c r="AJ304" i="4" s="1"/>
  <c r="AE303" i="4"/>
  <c r="AK303" i="4" s="1"/>
  <c r="AD303" i="4"/>
  <c r="AJ303" i="4" s="1"/>
  <c r="AE302" i="4"/>
  <c r="AK302" i="4" s="1"/>
  <c r="AD302" i="4"/>
  <c r="AJ302" i="4" s="1"/>
  <c r="AE301" i="4"/>
  <c r="AK301" i="4" s="1"/>
  <c r="AD301" i="4"/>
  <c r="AJ301" i="4" s="1"/>
  <c r="AE300" i="4"/>
  <c r="AK300" i="4" s="1"/>
  <c r="AD300" i="4"/>
  <c r="AJ300" i="4" s="1"/>
  <c r="AE299" i="4"/>
  <c r="AK299" i="4" s="1"/>
  <c r="AD299" i="4"/>
  <c r="AJ299" i="4" s="1"/>
  <c r="AE298" i="4"/>
  <c r="AK298" i="4" s="1"/>
  <c r="AD298" i="4"/>
  <c r="AJ298" i="4" s="1"/>
  <c r="AE297" i="4"/>
  <c r="AK297" i="4" s="1"/>
  <c r="AD297" i="4"/>
  <c r="AJ297" i="4" s="1"/>
  <c r="AE296" i="4"/>
  <c r="AK296" i="4" s="1"/>
  <c r="AD296" i="4"/>
  <c r="AJ296" i="4" s="1"/>
  <c r="AE295" i="4"/>
  <c r="AK295" i="4" s="1"/>
  <c r="AD295" i="4"/>
  <c r="AJ295" i="4" s="1"/>
  <c r="AE294" i="4"/>
  <c r="AK294" i="4" s="1"/>
  <c r="AD294" i="4"/>
  <c r="AJ294" i="4" s="1"/>
  <c r="AE293" i="4"/>
  <c r="AK293" i="4" s="1"/>
  <c r="AD293" i="4"/>
  <c r="AJ293" i="4" s="1"/>
  <c r="AE292" i="4"/>
  <c r="AK292" i="4" s="1"/>
  <c r="AD292" i="4"/>
  <c r="AJ292" i="4" s="1"/>
  <c r="AE291" i="4"/>
  <c r="AK291" i="4" s="1"/>
  <c r="AD291" i="4"/>
  <c r="AJ291" i="4" s="1"/>
  <c r="AE290" i="4"/>
  <c r="AK290" i="4" s="1"/>
  <c r="AD290" i="4"/>
  <c r="AJ290" i="4" s="1"/>
  <c r="AE289" i="4"/>
  <c r="AK289" i="4" s="1"/>
  <c r="AD289" i="4"/>
  <c r="AJ289" i="4" s="1"/>
  <c r="AE288" i="4"/>
  <c r="AK288" i="4" s="1"/>
  <c r="AD288" i="4"/>
  <c r="AJ288" i="4" s="1"/>
  <c r="AE287" i="4"/>
  <c r="AK287" i="4" s="1"/>
  <c r="AD287" i="4"/>
  <c r="AJ287" i="4" s="1"/>
  <c r="AE286" i="4"/>
  <c r="AK286" i="4" s="1"/>
  <c r="AD286" i="4"/>
  <c r="AJ286" i="4" s="1"/>
  <c r="AE285" i="4"/>
  <c r="AK285" i="4" s="1"/>
  <c r="AD285" i="4"/>
  <c r="AJ285" i="4" s="1"/>
  <c r="AE284" i="4"/>
  <c r="AK284" i="4" s="1"/>
  <c r="AD284" i="4"/>
  <c r="AJ284" i="4" s="1"/>
  <c r="AE283" i="4"/>
  <c r="AK283" i="4" s="1"/>
  <c r="AD283" i="4"/>
  <c r="AJ283" i="4" s="1"/>
  <c r="AE282" i="4"/>
  <c r="AK282" i="4" s="1"/>
  <c r="AD282" i="4"/>
  <c r="AJ282" i="4" s="1"/>
  <c r="AE281" i="4"/>
  <c r="AK281" i="4" s="1"/>
  <c r="AD281" i="4"/>
  <c r="AJ281" i="4" s="1"/>
  <c r="AE280" i="4"/>
  <c r="AK280" i="4" s="1"/>
  <c r="AD280" i="4"/>
  <c r="AJ280" i="4" s="1"/>
  <c r="AE279" i="4"/>
  <c r="AK279" i="4" s="1"/>
  <c r="AD279" i="4"/>
  <c r="AJ279" i="4" s="1"/>
  <c r="AE278" i="4"/>
  <c r="AK278" i="4" s="1"/>
  <c r="AD278" i="4"/>
  <c r="AJ278" i="4" s="1"/>
  <c r="AE277" i="4"/>
  <c r="AK277" i="4" s="1"/>
  <c r="AD277" i="4"/>
  <c r="AJ277" i="4" s="1"/>
  <c r="AE276" i="4"/>
  <c r="AK276" i="4" s="1"/>
  <c r="AD276" i="4"/>
  <c r="AJ276" i="4" s="1"/>
  <c r="AE275" i="4"/>
  <c r="AK275" i="4" s="1"/>
  <c r="AD275" i="4"/>
  <c r="AJ275" i="4" s="1"/>
  <c r="AE274" i="4"/>
  <c r="AK274" i="4" s="1"/>
  <c r="AD274" i="4"/>
  <c r="AJ274" i="4" s="1"/>
  <c r="AE273" i="4"/>
  <c r="AK273" i="4" s="1"/>
  <c r="AD273" i="4"/>
  <c r="AJ273" i="4" s="1"/>
  <c r="AE272" i="4"/>
  <c r="AK272" i="4" s="1"/>
  <c r="AD272" i="4"/>
  <c r="AJ272" i="4" s="1"/>
  <c r="AE271" i="4"/>
  <c r="AK271" i="4" s="1"/>
  <c r="AD271" i="4"/>
  <c r="AJ271" i="4" s="1"/>
  <c r="AE270" i="4"/>
  <c r="AK270" i="4" s="1"/>
  <c r="AD270" i="4"/>
  <c r="AJ270" i="4" s="1"/>
  <c r="AE269" i="4"/>
  <c r="AK269" i="4" s="1"/>
  <c r="AD269" i="4"/>
  <c r="AJ269" i="4" s="1"/>
  <c r="AE268" i="4"/>
  <c r="AK268" i="4" s="1"/>
  <c r="AD268" i="4"/>
  <c r="AJ268" i="4" s="1"/>
  <c r="AE267" i="4"/>
  <c r="AK267" i="4" s="1"/>
  <c r="AD267" i="4"/>
  <c r="AJ267" i="4" s="1"/>
  <c r="AE266" i="4"/>
  <c r="AK266" i="4" s="1"/>
  <c r="AD266" i="4"/>
  <c r="AJ266" i="4" s="1"/>
  <c r="AE265" i="4"/>
  <c r="AK265" i="4" s="1"/>
  <c r="AD265" i="4"/>
  <c r="AJ265" i="4" s="1"/>
  <c r="AE264" i="4"/>
  <c r="AK264" i="4" s="1"/>
  <c r="AD264" i="4"/>
  <c r="AJ264" i="4" s="1"/>
  <c r="AE263" i="4"/>
  <c r="AK263" i="4" s="1"/>
  <c r="AD263" i="4"/>
  <c r="AJ263" i="4" s="1"/>
  <c r="AE262" i="4"/>
  <c r="AK262" i="4" s="1"/>
  <c r="AD262" i="4"/>
  <c r="AJ262" i="4" s="1"/>
  <c r="AE261" i="4"/>
  <c r="AK261" i="4" s="1"/>
  <c r="AD261" i="4"/>
  <c r="AJ261" i="4" s="1"/>
  <c r="AE260" i="4"/>
  <c r="AK260" i="4" s="1"/>
  <c r="AD260" i="4"/>
  <c r="AJ260" i="4" s="1"/>
  <c r="AE259" i="4"/>
  <c r="AK259" i="4" s="1"/>
  <c r="AD259" i="4"/>
  <c r="AJ259" i="4" s="1"/>
  <c r="AE258" i="4"/>
  <c r="AK258" i="4" s="1"/>
  <c r="AD258" i="4"/>
  <c r="AJ258" i="4" s="1"/>
  <c r="AE257" i="4"/>
  <c r="AK257" i="4" s="1"/>
  <c r="AD257" i="4"/>
  <c r="AJ257" i="4" s="1"/>
  <c r="AE256" i="4"/>
  <c r="AK256" i="4" s="1"/>
  <c r="AD256" i="4"/>
  <c r="AJ256" i="4" s="1"/>
  <c r="AE255" i="4"/>
  <c r="AK255" i="4" s="1"/>
  <c r="AD255" i="4"/>
  <c r="AJ255" i="4" s="1"/>
  <c r="AE254" i="4"/>
  <c r="AK254" i="4" s="1"/>
  <c r="AD254" i="4"/>
  <c r="AJ254" i="4" s="1"/>
  <c r="AE253" i="4"/>
  <c r="AK253" i="4" s="1"/>
  <c r="AD253" i="4"/>
  <c r="AJ253" i="4" s="1"/>
  <c r="AE252" i="4"/>
  <c r="AK252" i="4" s="1"/>
  <c r="AD252" i="4"/>
  <c r="AJ252" i="4" s="1"/>
  <c r="AE251" i="4"/>
  <c r="AK251" i="4" s="1"/>
  <c r="AD251" i="4"/>
  <c r="AJ251" i="4" s="1"/>
  <c r="AE250" i="4"/>
  <c r="AK250" i="4" s="1"/>
  <c r="AD250" i="4"/>
  <c r="AJ250" i="4" s="1"/>
  <c r="AE249" i="4"/>
  <c r="AK249" i="4" s="1"/>
  <c r="AD249" i="4"/>
  <c r="AJ249" i="4" s="1"/>
  <c r="AE248" i="4"/>
  <c r="AK248" i="4" s="1"/>
  <c r="AD248" i="4"/>
  <c r="AJ248" i="4" s="1"/>
  <c r="AE247" i="4"/>
  <c r="AK247" i="4" s="1"/>
  <c r="AD247" i="4"/>
  <c r="AJ247" i="4" s="1"/>
  <c r="AE246" i="4"/>
  <c r="AK246" i="4" s="1"/>
  <c r="AD246" i="4"/>
  <c r="AJ246" i="4" s="1"/>
  <c r="AE245" i="4"/>
  <c r="AK245" i="4" s="1"/>
  <c r="AD245" i="4"/>
  <c r="AJ245" i="4" s="1"/>
  <c r="AE244" i="4"/>
  <c r="AK244" i="4" s="1"/>
  <c r="AD244" i="4"/>
  <c r="AJ244" i="4" s="1"/>
  <c r="AE243" i="4"/>
  <c r="AK243" i="4" s="1"/>
  <c r="AD243" i="4"/>
  <c r="AJ243" i="4" s="1"/>
  <c r="AE242" i="4"/>
  <c r="AK242" i="4" s="1"/>
  <c r="AD242" i="4"/>
  <c r="AJ242" i="4" s="1"/>
  <c r="AE241" i="4"/>
  <c r="AK241" i="4" s="1"/>
  <c r="AD241" i="4"/>
  <c r="AJ241" i="4" s="1"/>
  <c r="AE240" i="4"/>
  <c r="AK240" i="4" s="1"/>
  <c r="AD240" i="4"/>
  <c r="AJ240" i="4" s="1"/>
  <c r="AE239" i="4"/>
  <c r="AK239" i="4" s="1"/>
  <c r="AD239" i="4"/>
  <c r="AJ239" i="4" s="1"/>
  <c r="AE238" i="4"/>
  <c r="AK238" i="4" s="1"/>
  <c r="AD238" i="4"/>
  <c r="AJ238" i="4" s="1"/>
  <c r="AE237" i="4"/>
  <c r="AK237" i="4" s="1"/>
  <c r="AD237" i="4"/>
  <c r="AJ237" i="4" s="1"/>
  <c r="AE236" i="4"/>
  <c r="AK236" i="4" s="1"/>
  <c r="AD236" i="4"/>
  <c r="AJ236" i="4" s="1"/>
  <c r="AE235" i="4"/>
  <c r="AK235" i="4" s="1"/>
  <c r="AD235" i="4"/>
  <c r="AJ235" i="4" s="1"/>
  <c r="AE234" i="4"/>
  <c r="AK234" i="4" s="1"/>
  <c r="AD234" i="4"/>
  <c r="AJ234" i="4" s="1"/>
  <c r="AE233" i="4"/>
  <c r="AK233" i="4" s="1"/>
  <c r="AD233" i="4"/>
  <c r="AJ233" i="4" s="1"/>
  <c r="AE232" i="4"/>
  <c r="AK232" i="4" s="1"/>
  <c r="AD232" i="4"/>
  <c r="AJ232" i="4" s="1"/>
  <c r="AE231" i="4"/>
  <c r="AK231" i="4" s="1"/>
  <c r="AD231" i="4"/>
  <c r="AJ231" i="4" s="1"/>
  <c r="AE230" i="4"/>
  <c r="AK230" i="4" s="1"/>
  <c r="AD230" i="4"/>
  <c r="AJ230" i="4" s="1"/>
  <c r="AE229" i="4"/>
  <c r="AK229" i="4" s="1"/>
  <c r="AD229" i="4"/>
  <c r="AJ229" i="4" s="1"/>
  <c r="AE228" i="4"/>
  <c r="AK228" i="4" s="1"/>
  <c r="AD228" i="4"/>
  <c r="AJ228" i="4" s="1"/>
  <c r="AE227" i="4"/>
  <c r="AK227" i="4" s="1"/>
  <c r="AD227" i="4"/>
  <c r="AJ227" i="4" s="1"/>
  <c r="AE226" i="4"/>
  <c r="AK226" i="4" s="1"/>
  <c r="AD226" i="4"/>
  <c r="AJ226" i="4" s="1"/>
  <c r="AE225" i="4"/>
  <c r="AK225" i="4" s="1"/>
  <c r="AD225" i="4"/>
  <c r="AJ225" i="4" s="1"/>
  <c r="AE224" i="4"/>
  <c r="AK224" i="4" s="1"/>
  <c r="AD224" i="4"/>
  <c r="AJ224" i="4" s="1"/>
  <c r="AE223" i="4"/>
  <c r="AK223" i="4" s="1"/>
  <c r="AD223" i="4"/>
  <c r="AJ223" i="4" s="1"/>
  <c r="AE222" i="4"/>
  <c r="AK222" i="4" s="1"/>
  <c r="AD222" i="4"/>
  <c r="AJ222" i="4" s="1"/>
  <c r="AE221" i="4"/>
  <c r="AK221" i="4" s="1"/>
  <c r="AD221" i="4"/>
  <c r="AJ221" i="4" s="1"/>
  <c r="AE220" i="4"/>
  <c r="AK220" i="4" s="1"/>
  <c r="AD220" i="4"/>
  <c r="AJ220" i="4" s="1"/>
  <c r="AE219" i="4"/>
  <c r="AK219" i="4" s="1"/>
  <c r="AD219" i="4"/>
  <c r="AJ219" i="4" s="1"/>
  <c r="AE218" i="4"/>
  <c r="AK218" i="4" s="1"/>
  <c r="AD218" i="4"/>
  <c r="AJ218" i="4" s="1"/>
  <c r="AE217" i="4"/>
  <c r="AK217" i="4" s="1"/>
  <c r="AD217" i="4"/>
  <c r="AJ217" i="4" s="1"/>
  <c r="AE216" i="4"/>
  <c r="AK216" i="4" s="1"/>
  <c r="AD216" i="4"/>
  <c r="AJ216" i="4" s="1"/>
  <c r="AE215" i="4"/>
  <c r="AK215" i="4" s="1"/>
  <c r="AD215" i="4"/>
  <c r="AJ215" i="4" s="1"/>
  <c r="AE214" i="4"/>
  <c r="AK214" i="4" s="1"/>
  <c r="AD214" i="4"/>
  <c r="AJ214" i="4" s="1"/>
  <c r="AE213" i="4"/>
  <c r="AK213" i="4" s="1"/>
  <c r="AD213" i="4"/>
  <c r="AJ213" i="4" s="1"/>
  <c r="AE212" i="4"/>
  <c r="AK212" i="4" s="1"/>
  <c r="AD212" i="4"/>
  <c r="AJ212" i="4" s="1"/>
  <c r="AE211" i="4"/>
  <c r="AK211" i="4" s="1"/>
  <c r="AD211" i="4"/>
  <c r="AJ211" i="4" s="1"/>
  <c r="AE210" i="4"/>
  <c r="AK210" i="4" s="1"/>
  <c r="AD210" i="4"/>
  <c r="AJ210" i="4" s="1"/>
  <c r="AE209" i="4"/>
  <c r="AK209" i="4" s="1"/>
  <c r="AD209" i="4"/>
  <c r="AJ209" i="4" s="1"/>
  <c r="AE208" i="4"/>
  <c r="AK208" i="4" s="1"/>
  <c r="AD208" i="4"/>
  <c r="AJ208" i="4" s="1"/>
  <c r="AE207" i="4"/>
  <c r="AK207" i="4" s="1"/>
  <c r="AD207" i="4"/>
  <c r="AJ207" i="4" s="1"/>
  <c r="AE206" i="4"/>
  <c r="AK206" i="4" s="1"/>
  <c r="AD206" i="4"/>
  <c r="AJ206" i="4" s="1"/>
  <c r="AE205" i="4"/>
  <c r="AK205" i="4" s="1"/>
  <c r="AD205" i="4"/>
  <c r="AJ205" i="4" s="1"/>
  <c r="AE204" i="4"/>
  <c r="AK204" i="4" s="1"/>
  <c r="AD204" i="4"/>
  <c r="AJ204" i="4" s="1"/>
  <c r="AE203" i="4"/>
  <c r="AK203" i="4" s="1"/>
  <c r="AD203" i="4"/>
  <c r="AJ203" i="4" s="1"/>
  <c r="AE202" i="4"/>
  <c r="AK202" i="4" s="1"/>
  <c r="AD202" i="4"/>
  <c r="AJ202" i="4" s="1"/>
  <c r="AE201" i="4"/>
  <c r="AK201" i="4" s="1"/>
  <c r="AD201" i="4"/>
  <c r="AJ201" i="4" s="1"/>
  <c r="AE200" i="4"/>
  <c r="AK200" i="4" s="1"/>
  <c r="AD200" i="4"/>
  <c r="AJ200" i="4" s="1"/>
  <c r="AE199" i="4"/>
  <c r="AK199" i="4" s="1"/>
  <c r="AD199" i="4"/>
  <c r="AJ199" i="4" s="1"/>
  <c r="AE198" i="4"/>
  <c r="AK198" i="4" s="1"/>
  <c r="AD198" i="4"/>
  <c r="AJ198" i="4" s="1"/>
  <c r="AE197" i="4"/>
  <c r="AK197" i="4" s="1"/>
  <c r="AD197" i="4"/>
  <c r="AJ197" i="4" s="1"/>
  <c r="AE196" i="4"/>
  <c r="AK196" i="4" s="1"/>
  <c r="AD196" i="4"/>
  <c r="AJ196" i="4" s="1"/>
  <c r="AE195" i="4"/>
  <c r="AK195" i="4" s="1"/>
  <c r="AD195" i="4"/>
  <c r="AJ195" i="4" s="1"/>
  <c r="AE194" i="4"/>
  <c r="AK194" i="4" s="1"/>
  <c r="AD194" i="4"/>
  <c r="AJ194" i="4" s="1"/>
  <c r="AE193" i="4"/>
  <c r="AK193" i="4" s="1"/>
  <c r="AD193" i="4"/>
  <c r="AJ193" i="4" s="1"/>
  <c r="AE192" i="4"/>
  <c r="AK192" i="4" s="1"/>
  <c r="AD192" i="4"/>
  <c r="AJ192" i="4" s="1"/>
  <c r="AE191" i="4"/>
  <c r="AK191" i="4" s="1"/>
  <c r="AD191" i="4"/>
  <c r="AJ191" i="4" s="1"/>
  <c r="AE190" i="4"/>
  <c r="AK190" i="4" s="1"/>
  <c r="AD190" i="4"/>
  <c r="AJ190" i="4" s="1"/>
  <c r="AE189" i="4"/>
  <c r="AK189" i="4" s="1"/>
  <c r="AD189" i="4"/>
  <c r="AJ189" i="4" s="1"/>
  <c r="AE188" i="4"/>
  <c r="AK188" i="4" s="1"/>
  <c r="AD188" i="4"/>
  <c r="AJ188" i="4" s="1"/>
  <c r="AE187" i="4"/>
  <c r="AK187" i="4" s="1"/>
  <c r="AD187" i="4"/>
  <c r="AJ187" i="4" s="1"/>
  <c r="AE186" i="4"/>
  <c r="AK186" i="4" s="1"/>
  <c r="AD186" i="4"/>
  <c r="AJ186" i="4" s="1"/>
  <c r="AE185" i="4"/>
  <c r="AK185" i="4" s="1"/>
  <c r="AD185" i="4"/>
  <c r="AJ185" i="4" s="1"/>
  <c r="AE184" i="4"/>
  <c r="AK184" i="4" s="1"/>
  <c r="AD184" i="4"/>
  <c r="AJ184" i="4" s="1"/>
  <c r="AE183" i="4"/>
  <c r="AK183" i="4" s="1"/>
  <c r="AD183" i="4"/>
  <c r="AJ183" i="4" s="1"/>
  <c r="AE182" i="4"/>
  <c r="AK182" i="4" s="1"/>
  <c r="AD182" i="4"/>
  <c r="AJ182" i="4" s="1"/>
  <c r="AE181" i="4"/>
  <c r="AK181" i="4" s="1"/>
  <c r="AD181" i="4"/>
  <c r="AJ181" i="4" s="1"/>
  <c r="B2" i="4"/>
  <c r="V37" i="1"/>
  <c r="V34" i="1"/>
  <c r="V33" i="1"/>
  <c r="V32" i="1"/>
  <c r="V29" i="1"/>
  <c r="E13" i="1"/>
  <c r="P7" i="1" s="1"/>
  <c r="U12" i="1"/>
  <c r="U11" i="1"/>
  <c r="U10" i="1"/>
  <c r="U9" i="1"/>
  <c r="U8" i="1"/>
  <c r="K3" i="1"/>
  <c r="E3" i="1"/>
  <c r="D3" i="1"/>
  <c r="B3" i="1"/>
  <c r="P8" i="1" l="1"/>
  <c r="P9" i="1"/>
  <c r="V30" i="1"/>
  <c r="M3" i="1"/>
  <c r="P6" i="1"/>
</calcChain>
</file>

<file path=xl/sharedStrings.xml><?xml version="1.0" encoding="utf-8"?>
<sst xmlns="http://schemas.openxmlformats.org/spreadsheetml/2006/main" count="964" uniqueCount="349">
  <si>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</si>
  <si>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</si>
  <si>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</si>
  <si>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</si>
  <si>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</si>
  <si>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</si>
  <si>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</si>
  <si>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</si>
  <si>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</si>
  <si>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</si>
  <si>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</si>
  <si>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</si>
  <si>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</si>
  <si>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</si>
  <si>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</si>
  <si>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</si>
  <si>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</si>
  <si>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</si>
  <si>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</si>
  <si>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</si>
  <si>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</si>
  <si>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</si>
  <si>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</si>
  <si>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</si>
  <si>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</si>
  <si>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</si>
  <si>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</si>
  <si>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</si>
  <si>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</si>
  <si>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</si>
  <si>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</si>
  <si>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</si>
  <si>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</si>
  <si>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</si>
  <si>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</si>
  <si>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</si>
  <si>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</si>
  <si>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</si>
  <si>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</si>
  <si>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</si>
  <si>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</si>
  <si>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</si>
  <si>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</si>
  <si>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</si>
  <si>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</si>
  <si>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</si>
  <si>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</si>
  <si>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</si>
  <si>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</si>
  <si>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</si>
  <si>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</si>
  <si>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</si>
  <si>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</si>
  <si>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</si>
  <si>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</si>
  <si>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</si>
  <si>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</si>
  <si>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</si>
  <si>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</si>
  <si>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</si>
  <si>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</si>
  <si>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</si>
  <si>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</si>
  <si>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</si>
  <si>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</si>
  <si>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</si>
  <si>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</si>
  <si>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</si>
  <si>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</si>
  <si>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</si>
  <si>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</si>
  <si>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</si>
  <si>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</si>
  <si>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</si>
  <si>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</si>
  <si>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</si>
  <si>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</si>
  <si>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</si>
  <si>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</si>
  <si>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</si>
  <si>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</si>
  <si>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</si>
  <si>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</si>
  <si>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</si>
  <si>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</si>
  <si>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</si>
  <si>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</si>
  <si>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</si>
  <si>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</si>
  <si>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</si>
  <si>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</si>
  <si>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</si>
  <si>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</si>
  <si>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</si>
  <si>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</si>
  <si>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</si>
  <si>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</si>
  <si>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</si>
  <si>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</si>
  <si>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</si>
  <si>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</si>
  <si>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</si>
  <si>
    <t>C:\dev-data\golf\ASGLM LGS\LGS_Application\T1\2d. Extraction XLS globale.xls</t>
  </si>
  <si>
    <t>ROMAN, Gabin</t>
  </si>
  <si>
    <t>GOLF DE LILLE METROPOLE</t>
  </si>
  <si>
    <t>CREPIN, Jean-Baptiste</t>
  </si>
  <si>
    <t>LESZCZYNSKI, Matthieu</t>
  </si>
  <si>
    <t>BOURDON, Jean-Paul</t>
  </si>
  <si>
    <t>MERIGNIES GOLF COUNTRY CLUB</t>
  </si>
  <si>
    <t>ASTIER, Ludovic</t>
  </si>
  <si>
    <t>LIANDIER, Bruno</t>
  </si>
  <si>
    <t>SALGADO, Antoine</t>
  </si>
  <si>
    <t>PATY, Thibaut</t>
  </si>
  <si>
    <t>MRUK, Stephane</t>
  </si>
  <si>
    <t>TRAN VAN, Xavier</t>
  </si>
  <si>
    <t>ECHILLEY, Jean-Christophe</t>
  </si>
  <si>
    <t>WOJCIESZAK, Eric</t>
  </si>
  <si>
    <t>DESHAYES, Germain</t>
  </si>
  <si>
    <t>HERMAN, Marc Antoine</t>
  </si>
  <si>
    <t>AVERLANT, Charles-Henri</t>
  </si>
  <si>
    <t>PECQUEUR, Adrien</t>
  </si>
  <si>
    <t>NAMPONT SAINT MARTIN GOLF CLUB</t>
  </si>
  <si>
    <t>BACQUET, Clément</t>
  </si>
  <si>
    <t>OFFROY, Jerome</t>
  </si>
  <si>
    <t>BELFADEL, Ludovic</t>
  </si>
  <si>
    <t>PATARIN, Clement</t>
  </si>
  <si>
    <t>THALES INTER-SPORTS (TIS)</t>
  </si>
  <si>
    <t>POIRIER, Loïc</t>
  </si>
  <si>
    <t>KLIMASZEWSKI, Olivier</t>
  </si>
  <si>
    <t>DELVAL, Francois</t>
  </si>
  <si>
    <t>LOCUFIER, Ludovic</t>
  </si>
  <si>
    <t>TROMPETTE, Thierry</t>
  </si>
  <si>
    <t>LONNEVILLE, Mathieu</t>
  </si>
  <si>
    <t>DUPELICZ, Remy</t>
  </si>
  <si>
    <t>ROHART, Stéphane</t>
  </si>
  <si>
    <t>VAN SEYMORTIER, Francois</t>
  </si>
  <si>
    <t>BOURBIGOU, Fabrice</t>
  </si>
  <si>
    <t>LEFEBVRE, Frédéric</t>
  </si>
  <si>
    <t>OUDAR, Ludovic</t>
  </si>
  <si>
    <t>CARAUX, Rodolphe</t>
  </si>
  <si>
    <t>TRONET, Pascal</t>
  </si>
  <si>
    <t>DOUHARD, Etienne</t>
  </si>
  <si>
    <t>DEWAELE, Jeremie</t>
  </si>
  <si>
    <t>LEGRAND, Christophe</t>
  </si>
  <si>
    <t>ROY, Philippe</t>
  </si>
  <si>
    <t>SCAPPATICCI, Pierre</t>
  </si>
  <si>
    <t>DENQUIN, Jérôme</t>
  </si>
  <si>
    <t>ELIE, Nicolas</t>
  </si>
  <si>
    <t>LIGUE DE GOLF DES HAUTS-DE-FRANCE</t>
  </si>
  <si>
    <t>CARON, Bernard</t>
  </si>
  <si>
    <t>LASCOMBE, Florian</t>
  </si>
  <si>
    <t>MONTE, Didier</t>
  </si>
  <si>
    <t>CHAN, Chi Lung</t>
  </si>
  <si>
    <t>ASTIER, Maxence</t>
  </si>
  <si>
    <t>DOMISE, Dominique</t>
  </si>
  <si>
    <t>MAILLARD, Pascal</t>
  </si>
  <si>
    <t>LECHELLE, Bernard</t>
  </si>
  <si>
    <t>CHEKIR, Abdessalem</t>
  </si>
  <si>
    <t>BAIVIER, Patrick</t>
  </si>
  <si>
    <t>BARMIO, Lino</t>
  </si>
  <si>
    <t>SAPIN, Pierre-Rodolphe</t>
  </si>
  <si>
    <t>MARQUANT, Jean Claude</t>
  </si>
  <si>
    <t>GOBERT, Thomas Jean</t>
  </si>
  <si>
    <t>BROTCORNE, Jean Luc</t>
  </si>
  <si>
    <t>DESSEAUX, Antoine</t>
  </si>
  <si>
    <t>SAMAIN, Dominique</t>
  </si>
  <si>
    <t>RAMANAH, Appayah</t>
  </si>
  <si>
    <t>BENOUADEN, Lyes</t>
  </si>
  <si>
    <t>BARRET, Jean Charles</t>
  </si>
  <si>
    <t>DERASSE, Philippe</t>
  </si>
  <si>
    <t>TRAINEL, Jean-Paul</t>
  </si>
  <si>
    <t>LECHABLE, Boris</t>
  </si>
  <si>
    <t>DELANGUE, Julien</t>
  </si>
  <si>
    <t>PETILLON, Joël</t>
  </si>
  <si>
    <t>DEWAELE, Mika</t>
  </si>
  <si>
    <t>ZENGERS, Julien</t>
  </si>
  <si>
    <t>ROGIERS, Yves</t>
  </si>
  <si>
    <t>LACENE, Wanass</t>
  </si>
  <si>
    <t>DU PLESSIS DE GRENEDAN, Renaud</t>
  </si>
  <si>
    <t>DELORY, Dominique</t>
  </si>
  <si>
    <t>DESSEAUX, Christian</t>
  </si>
  <si>
    <t>DEBUSSCHERE, Erick</t>
  </si>
  <si>
    <t>MONTE, Julie</t>
  </si>
  <si>
    <t>CANONNE, Ghislaine</t>
  </si>
  <si>
    <t>ROSSEL, Louann</t>
  </si>
  <si>
    <t>LOCUFIER, Astrid</t>
  </si>
  <si>
    <t>WATTINNE, Anne</t>
  </si>
  <si>
    <t>MALFAIT, Virginie</t>
  </si>
  <si>
    <t>BROTCORNE, Celine</t>
  </si>
  <si>
    <t>PLAULT, Elsa</t>
  </si>
  <si>
    <t>MERLIN, Marie-José</t>
  </si>
  <si>
    <t>TOULMONDE, Nathalie</t>
  </si>
  <si>
    <t>LEBLANC, Nathalie</t>
  </si>
  <si>
    <t>MARCHAND, Isabelle</t>
  </si>
  <si>
    <t>VONGHIA, Sonia</t>
  </si>
  <si>
    <t>CARAUX, Véronique</t>
  </si>
  <si>
    <t>HAK, Lydie</t>
  </si>
  <si>
    <t>KIEKEN, Marina</t>
  </si>
  <si>
    <t>JARRY, Laurence</t>
  </si>
  <si>
    <t>Calcul du Tour 1</t>
  </si>
  <si>
    <t>Nan</t>
  </si>
  <si>
    <t>ALL - Dames</t>
  </si>
  <si>
    <t>Serie 2</t>
  </si>
  <si>
    <t>Serie 1</t>
  </si>
  <si>
    <t>Serie 4</t>
  </si>
  <si>
    <t>Serie 3</t>
  </si>
  <si>
    <t>ALL - Messieurs</t>
  </si>
  <si>
    <t>EffacementImport</t>
  </si>
  <si>
    <t>C:\dev-data\golf\ASGLM LGS\LGS_Application\T2\2d. Extraction XLS globale.xls</t>
  </si>
  <si>
    <t>BEGHIN, Pierrick</t>
  </si>
  <si>
    <t>HEM, Chun Leng</t>
  </si>
  <si>
    <t>LEGRAND, Emeric</t>
  </si>
  <si>
    <t>KURZYDLO, Robin</t>
  </si>
  <si>
    <t>RAOULT, Lancelot</t>
  </si>
  <si>
    <t>DUPELICZ, Bertrand</t>
  </si>
  <si>
    <t>SARAZIN, Antoine</t>
  </si>
  <si>
    <t>PERREAUX, Benjamin</t>
  </si>
  <si>
    <t>ROUSSEL, François</t>
  </si>
  <si>
    <t>LEDURRE, Patrick</t>
  </si>
  <si>
    <t>SERGENT, Eric</t>
  </si>
  <si>
    <t>LACOMBLEZ, Thierry</t>
  </si>
  <si>
    <t>DEBOUBERT, Philippe</t>
  </si>
  <si>
    <t>BEGHIN, Yoan</t>
  </si>
  <si>
    <t>MORTAGNE, Frederic</t>
  </si>
  <si>
    <t>BUISINE, Philippe</t>
  </si>
  <si>
    <t>BARBEAU, Romain</t>
  </si>
  <si>
    <t>FULLHART, Yves</t>
  </si>
  <si>
    <t>MOULART, Antoine</t>
  </si>
  <si>
    <t>LAURIAT, Boris</t>
  </si>
  <si>
    <t>ABOURIZK, Saad</t>
  </si>
  <si>
    <t>DESPATURES, Eric</t>
  </si>
  <si>
    <t>PLISSON, Jeremy</t>
  </si>
  <si>
    <t>HUET, Philippe</t>
  </si>
  <si>
    <t>DEGRAVE, Alain</t>
  </si>
  <si>
    <t>OUDAR, Simon</t>
  </si>
  <si>
    <t>BERGOT, Christian</t>
  </si>
  <si>
    <t>DHUYVETTER, Joel</t>
  </si>
  <si>
    <t>SOM, Sun Sreng</t>
  </si>
  <si>
    <t>VAUTHIER, Bruno</t>
  </si>
  <si>
    <t>BARATIN, Fabrice</t>
  </si>
  <si>
    <t>WEENS, Simon</t>
  </si>
  <si>
    <t>NYS, Jean-Robert</t>
  </si>
  <si>
    <t>DESSOBRY, Gerard</t>
  </si>
  <si>
    <t>DUMETZ, Andre</t>
  </si>
  <si>
    <t>KURZYDLO, Eric</t>
  </si>
  <si>
    <t>CONSTANTIN, Patrick</t>
  </si>
  <si>
    <t>ONRAET, Philippe</t>
  </si>
  <si>
    <t>DHUYVETTER, Timothy</t>
  </si>
  <si>
    <t>DEFOURNEAU, Christophe</t>
  </si>
  <si>
    <t>VASSEUR, Jean-Paul</t>
  </si>
  <si>
    <t>BARRET, Arnaud</t>
  </si>
  <si>
    <t>DUCAMP, Sylvie</t>
  </si>
  <si>
    <t>GABRIELS, Christine</t>
  </si>
  <si>
    <t>LASCOMBE, Elody</t>
  </si>
  <si>
    <t>DECUYPERE, Sandrina</t>
  </si>
  <si>
    <t>Calcul du Tour 2</t>
  </si>
  <si>
    <t>C:\dev-data\golf\ASGLM LGS\LGS_Application\T3\2d. Extraction XLS globale.xls</t>
  </si>
  <si>
    <t>MOUCHEL, Paul</t>
  </si>
  <si>
    <t>WANTE, Arne</t>
  </si>
  <si>
    <t>CANTILLON, Marc-Alban</t>
  </si>
  <si>
    <t>NIBART, Fabrice</t>
  </si>
  <si>
    <t>GOLF DE BONDUES</t>
  </si>
  <si>
    <t>MATYS, Michel</t>
  </si>
  <si>
    <t>NEANG, Samal</t>
  </si>
  <si>
    <t>RAYNAUD, Hervé</t>
  </si>
  <si>
    <t>DERRADJ, Nory</t>
  </si>
  <si>
    <t>DEBUSSCHERE, Yves</t>
  </si>
  <si>
    <t>REGUEME, Eric</t>
  </si>
  <si>
    <t>DUBY, Nicolas</t>
  </si>
  <si>
    <t>NEANG, Luca</t>
  </si>
  <si>
    <t>CAYRADE, Romain</t>
  </si>
  <si>
    <t>DELCAMBRE, Maxime</t>
  </si>
  <si>
    <t>MINET, Kevin</t>
  </si>
  <si>
    <t>MINET, David</t>
  </si>
  <si>
    <t>COUSIN, Valerie</t>
  </si>
  <si>
    <t>OHMANN, Anne Valérie</t>
  </si>
  <si>
    <t>DELCAMBRE, Caroline</t>
  </si>
  <si>
    <t>MINET, Nathalie</t>
  </si>
  <si>
    <t>JOLY, Delphine</t>
  </si>
  <si>
    <t>CARON, Carla-Maria</t>
  </si>
  <si>
    <t>Calcul du Tour 3</t>
  </si>
  <si>
    <t>C:\dev-data\golf\ASGLM LGS\LGS_Application\T4\2d. Extraction XLS globale.xls</t>
  </si>
  <si>
    <t>LE MOAL, Thomas</t>
  </si>
  <si>
    <t>MARTINOT, Jérôme</t>
  </si>
  <si>
    <t>LE MOAL, Paul</t>
  </si>
  <si>
    <t>RAYS, Amaury</t>
  </si>
  <si>
    <t>MALBRANQUE, Jean-Philippe</t>
  </si>
  <si>
    <t>GRYSON, Arnaud</t>
  </si>
  <si>
    <t>MORIN, Jeremie</t>
  </si>
  <si>
    <t>MAGNIN-FEYSOT, Guillaume</t>
  </si>
  <si>
    <t>POTDEVIN, Davy</t>
  </si>
  <si>
    <t>HUANG, Jingpei</t>
  </si>
  <si>
    <t>GOLF DU SART</t>
  </si>
  <si>
    <t>BOUCHONNET, Leo</t>
  </si>
  <si>
    <t>BARTAU, Guillaume</t>
  </si>
  <si>
    <t>PARENT, Nicolas</t>
  </si>
  <si>
    <t>DUSSART, Gilles</t>
  </si>
  <si>
    <t>REIGNIER, Pascal</t>
  </si>
  <si>
    <t>LOUBET, Jean Michel</t>
  </si>
  <si>
    <t>ROBIN, Raphael</t>
  </si>
  <si>
    <t>INESIS GOLF PARK</t>
  </si>
  <si>
    <t>CASTELAIN, Maxime</t>
  </si>
  <si>
    <t>BRUTKIEWICZ, Jean-Jacques</t>
  </si>
  <si>
    <t>DELCOUR, Bruno</t>
  </si>
  <si>
    <t>JAGODZINSKI, Jean-Yves</t>
  </si>
  <si>
    <t>KIN, Jean-Michel</t>
  </si>
  <si>
    <t>VINCENT, François</t>
  </si>
  <si>
    <t>CAMBRAY, Francois</t>
  </si>
  <si>
    <t>LACOMBLEZ, Steve</t>
  </si>
  <si>
    <t>HOTTON, Olivier</t>
  </si>
  <si>
    <t>LAMOUR, Regis</t>
  </si>
  <si>
    <t>DEPREY, Vincent</t>
  </si>
  <si>
    <t>WILLERVAL, Sebastien</t>
  </si>
  <si>
    <t>DUPLOUY, Cécile</t>
  </si>
  <si>
    <t>BRUTKIEWICZ, Dominique</t>
  </si>
  <si>
    <t>Calcul du Tour 4</t>
  </si>
  <si>
    <t>C:\dev-data\golf\ASGLM LGS\LGS_Application\T5\2d. Extraction XLS globale.xls</t>
  </si>
  <si>
    <t>LONNEVILLE, Sacha</t>
  </si>
  <si>
    <t>MATHON, Loïc</t>
  </si>
  <si>
    <t>CEZARD, Jean Camille</t>
  </si>
  <si>
    <t>LE BRIS, Maxime</t>
  </si>
  <si>
    <t>TARGAT, Wassily</t>
  </si>
  <si>
    <t>SILVAIN, Jean-Marc</t>
  </si>
  <si>
    <t>DOAN, Thang</t>
  </si>
  <si>
    <t>Calcul du Tour 5</t>
  </si>
  <si>
    <t>C:\dev-data\golf\ASGLM LGS\LGS_Application\T6\2d. Extraction XLS globale.xls</t>
  </si>
  <si>
    <t>DEWAELE, Matthieu</t>
  </si>
  <si>
    <t>DELHOMMEZ, Louis</t>
  </si>
  <si>
    <t>PICK, Edouard</t>
  </si>
  <si>
    <t>GEVREY, Remi</t>
  </si>
  <si>
    <t>SADONES, Eric</t>
  </si>
  <si>
    <t>Calcul du Tour 6</t>
  </si>
  <si>
    <t>C:\dev-data\golf\ASGLM LGS\LGS_Application\Finale\2d. Extraction XLS globale.xls</t>
  </si>
  <si>
    <t>MARULAZ, Julien</t>
  </si>
  <si>
    <t>DIOT, Marc Antoine</t>
  </si>
  <si>
    <t>ROELS, Kevin</t>
  </si>
  <si>
    <t>FAUTREZ, Bernard</t>
  </si>
  <si>
    <t>CHEVALET, Isabelle</t>
  </si>
  <si>
    <t>Calcul du Tour 7</t>
  </si>
  <si>
    <t>Importation et generation de tous les tours depuis un repertoire HOMME/DAME</t>
  </si>
  <si>
    <t>C:\dev-data\golf\ASGLM LGS\LGS_Application</t>
  </si>
  <si>
    <t>EffacementImportForced</t>
  </si>
  <si>
    <t>Importation et generation de tous les tours depuis un repertoire HOMME/DAME - Tour 1</t>
  </si>
  <si>
    <t>Importation et generation de tous les tours depuis un repertoire HOMME/DAME - Tour 2</t>
  </si>
  <si>
    <t>Importation et generation de tous les tours depuis un repertoire HOMME/DAME - Tour 3</t>
  </si>
  <si>
    <t>Importation et generation de tous les tours depuis un repertoire HOMME/DAME - Tour 4</t>
  </si>
  <si>
    <t>Importation et generation de tous les tours depuis un repertoire HOMME/DAME - Tour 5</t>
  </si>
  <si>
    <t>Importation et generation de tous les tours depuis un repertoire HOMME/DAME - Tour 6</t>
  </si>
  <si>
    <t>Importation et generation de tous les tours depuis un repertoire HOMME/DAME - Tour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</si>
</sst>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i/>
      <sz val="8"/>
      <color rgb="FF000000"/>
      <name val="Calibri"/>
      <family val="2"/>
    </font>
    <font>
      <b/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2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5" fillId="0" borderId="0" xfId="0" applyFont="1"/>
    <xf numFmtId="0" fontId="0" fillId="21" borderId="46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7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29" xfId="0" applyBorder="1"/>
    <xf numFmtId="0" fontId="0" fillId="0" borderId="49" xfId="0" applyBorder="1"/>
    <xf numFmtId="0" fontId="0" fillId="0" borderId="48" xfId="0" applyBorder="1"/>
    <xf numFmtId="0" fontId="0" fillId="0" borderId="30" xfId="0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50" xfId="0" applyFill="1" applyBorder="1"/>
    <xf numFmtId="0" fontId="0" fillId="13" borderId="3" xfId="0" applyFill="1" applyBorder="1"/>
    <xf numFmtId="0" fontId="0" fillId="13" borderId="56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58" xfId="0" applyFill="1" applyBorder="1" applyAlignment="1">
      <alignment horizontal="left"/>
    </xf>
    <xf numFmtId="0" fontId="0" fillId="13" borderId="51" xfId="0" applyFill="1" applyBorder="1" applyAlignment="1">
      <alignment horizontal="left" vertical="center"/>
    </xf>
    <xf numFmtId="0" fontId="1" fillId="13" borderId="48" xfId="0" applyFont="1" applyFill="1" applyBorder="1" applyAlignment="1">
      <alignment horizontal="center"/>
    </xf>
    <xf numFmtId="0" fontId="1" fillId="13" borderId="50" xfId="0" applyFont="1" applyFill="1" applyBorder="1" applyAlignment="1">
      <alignment horizontal="center" vertical="center"/>
    </xf>
    <xf numFmtId="0" fontId="1" fillId="13" borderId="5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58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0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0" xfId="0" applyFont="1" applyFill="1" applyBorder="1" applyAlignment="1">
      <alignment horizontal="center" vertical="center"/>
    </xf>
    <xf numFmtId="0" fontId="17" fillId="22" borderId="55" xfId="0" applyFont="1" applyFill="1" applyBorder="1" applyAlignment="1">
      <alignment horizontal="center" vertical="center"/>
    </xf>
    <xf numFmtId="0" fontId="17" fillId="22" borderId="51" xfId="0" applyFont="1" applyFill="1" applyBorder="1" applyAlignment="1">
      <alignment horizontal="center" vertical="center"/>
    </xf>
    <xf numFmtId="0" fontId="0" fillId="23" borderId="52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5" xfId="0" applyFill="1" applyBorder="1" applyAlignment="1">
      <alignment horizontal="left" vertical="center"/>
    </xf>
    <xf numFmtId="0" fontId="0" fillId="23" borderId="49" xfId="0" applyFill="1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6200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22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22" fmlaLink="$F$13" fmlaRange="$AB$8:$AB$10" sel="3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8"/>
          <a:chOff x="8439150" y="1257299"/>
          <a:chExt cx="4581526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6"/>
            <a:ext cx="4533903" cy="1200152"/>
            <a:chOff x="7698064" y="870453"/>
            <a:chExt cx="3897982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1"/>
              <a:chOff x="7724775" y="1535061"/>
              <a:chExt cx="3871271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835" cy="333376"/>
                <a:chOff x="7724775" y="1544583"/>
                <a:chExt cx="1790835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835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670" y="1535061"/>
                <a:ext cx="1596376" cy="342901"/>
                <a:chOff x="9999670" y="1535061"/>
                <a:chExt cx="1596376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670" y="1535061"/>
                      <a:ext cx="1596376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6199" tableBorderDxfId="6198">
  <tableColumns count="4">
    <tableColumn id="1" xr3:uid="{86185E31-EC52-4ECC-BC3E-33C26B14F7C2}" name="Series" dataDxfId="6197">
      <calculatedColumnFormula>_xlfn.CONCAT($V$7," ",V8)</calculatedColumnFormula>
    </tableColumn>
    <tableColumn id="2" xr3:uid="{788D8AF7-A2FF-4152-9FEC-3D734C94A926}" name="Serie" dataDxfId="6196"/>
    <tableColumn id="3" xr3:uid="{98F42830-BCA0-414B-9FEF-78FCD5DB348B}" name="indexMin" dataDxfId="6195"/>
    <tableColumn id="4" xr3:uid="{E4B94243-8BBE-45E2-AAC0-0D18C5A6695E}" name="indexMax" dataDxfId="619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6193" dataDxfId="6191" headerRowBorderDxfId="6192" tableBorderDxfId="6190">
  <tableColumns count="1">
    <tableColumn id="1" xr3:uid="{8473C081-0E42-4FA9-8C99-E5B7E8CD3209}" name="Tours" dataDxfId="618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6188" headerRowBorderDxfId="6187" tableBorderDxfId="6186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6185" dataDxfId="6184" tableBorderDxfId="6183">
  <autoFilter ref="D12:F13" xr:uid="{FCA0E9AA-8BD9-46EB-B07B-67F06EACCB48}"/>
  <tableColumns count="3">
    <tableColumn id="1" xr3:uid="{47561816-2B53-47F6-822E-269C476F3FFD}" name="Tour importé" dataDxfId="6182"/>
    <tableColumn id="2" xr3:uid="{E2C3F515-D8A3-4FC2-B632-32DB6D91A198}" name="Type" dataDxfId="6181">
      <calculatedColumnFormula>INDEX(TableauType[TYPE],Tableau6[[#This Row],[TypeIndex]])</calculatedColumnFormula>
    </tableColumn>
    <tableColumn id="3" xr3:uid="{617E6B65-5E58-4C9B-9DC4-488608A74753}" name="TypeIndex" dataDxfId="618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6179" dataDxfId="6178">
  <autoFilter ref="AD7:AD15" xr:uid="{9029752C-EFC9-4C60-BDF1-B009EF2F440D}"/>
  <tableColumns count="1">
    <tableColumn id="1" xr3:uid="{47EFDC89-116E-4E91-94A2-C4CDC0579100}" name="Fichiers" dataDxfId="617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6176" headerRowBorderDxfId="6175" tableBorderDxfId="6174" totalsRowBorderDxfId="6173">
  <autoFilter ref="U18:V22" xr:uid="{BBFFD128-4797-4BD5-B581-AA8D8277F8F3}"/>
  <tableColumns count="2">
    <tableColumn id="1" xr3:uid="{903026A3-43DC-4900-8F6E-2271BCA97B81}" name="Colonne1" dataDxfId="6172"/>
    <tableColumn id="2" xr3:uid="{C9FC1671-8A12-4C52-9797-E5DB3A7B67E7}" name="Colonne2" dataDxfId="6171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6170" tableBorderDxfId="6169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6168"/>
    <tableColumn id="2" xr3:uid="{ECBEFB46-CF2E-4172-8E5C-37DBEC25E1AE}" name="Club" dataDxfId="6167"/>
    <tableColumn id="3" xr3:uid="{FBA83F7F-D4E7-4A15-99EC-CE8D436D7EB3}" name="Index" dataDxfId="6166"/>
    <tableColumn id="4" xr3:uid="{0090B21E-C7ED-4CC4-A4C8-7AED1146F2F9}" name="Série" dataDxfId="6165"/>
    <tableColumn id="5" xr3:uid="{7D4E8E6A-E590-441A-A2B5-664E220061CC}" name="Score     Net1" dataDxfId="6164"/>
    <tableColumn id="6" xr3:uid="{84241967-A195-4D05-9846-F0E084774539}" name="Rang   Net1" dataDxfId="6163"/>
    <tableColumn id="7" xr3:uid="{F27CD3EA-D421-4623-93DF-5DFCAA423771}" name="Score    Brut1" dataDxfId="6162"/>
    <tableColumn id="8" xr3:uid="{62D1F21B-032A-484B-BC39-395CC4756A54}" name="Rang   Brut1" dataDxfId="6161"/>
    <tableColumn id="9" xr3:uid="{D3289CF1-FAC6-4CC0-B2B6-80CBB0406845}" name="Score      Net2" dataDxfId="6160"/>
    <tableColumn id="10" xr3:uid="{2F18A068-FD19-4313-83C9-0AB3AA88EE3F}" name="Rang      Net2" dataDxfId="6159"/>
    <tableColumn id="11" xr3:uid="{A7248FAA-403B-4BFE-B0D4-859E30DE4A95}" name="Score      Brut2" dataDxfId="6158"/>
    <tableColumn id="12" xr3:uid="{4F6F4506-16A0-4352-A12B-8992CD80B9B6}" name="Rang      Brut2" dataDxfId="6157"/>
    <tableColumn id="13" xr3:uid="{68CAD2A6-712A-4B66-A7A3-D58BF5303438}" name="Score      Net3" dataDxfId="6156"/>
    <tableColumn id="14" xr3:uid="{9F172573-6C25-46FC-BE9F-F56834E813D9}" name="Rang      Net3" dataDxfId="6155"/>
    <tableColumn id="15" xr3:uid="{618A094F-BB99-4883-A19C-4EBA6E699BCF}" name="Score      Brut3" dataDxfId="6154"/>
    <tableColumn id="16" xr3:uid="{0E544C66-61C9-46D5-A427-A9677AE96910}" name="Rang      Brut3" dataDxfId="6153"/>
    <tableColumn id="17" xr3:uid="{24730B87-D2CD-487D-99BD-EACD109C443F}" name="Score        Net4" dataDxfId="6152"/>
    <tableColumn id="18" xr3:uid="{F0B85087-E217-4534-9BC7-B04BDDCCA8B9}" name="Rang        Net4" dataDxfId="6151"/>
    <tableColumn id="19" xr3:uid="{7DDCD1A6-A182-48A1-9F3F-836B917D0B07}" name="Score        Brut4" dataDxfId="6150"/>
    <tableColumn id="20" xr3:uid="{8EABA2E9-9ADA-4192-8BB2-2F58072A8E01}" name="Rang        Brut4" dataDxfId="6149"/>
    <tableColumn id="21" xr3:uid="{79E31DB6-4982-4160-9B1D-20DE3F5E1BB8}" name="Score        Net5" dataDxfId="6148"/>
    <tableColumn id="22" xr3:uid="{DB589AF3-34B3-447A-A354-D474E90FDB4F}" name="Rang        Net5" dataDxfId="6147"/>
    <tableColumn id="23" xr3:uid="{EC9FE005-CE9F-448B-81FE-28EDD1A971F9}" name="Score        Brut5" dataDxfId="6146"/>
    <tableColumn id="24" xr3:uid="{220294A2-C79D-45F3-9AE5-D46451BBF584}" name="Rang        Brut5" dataDxfId="6145"/>
    <tableColumn id="25" xr3:uid="{A772CA9D-C689-4C9F-9855-E6A692839D23}" name="Score        Net6" dataDxfId="6144"/>
    <tableColumn id="26" xr3:uid="{D2589416-857A-4C41-AC6D-96D41817DEC7}" name="Rang        Net6" dataDxfId="6143"/>
    <tableColumn id="27" xr3:uid="{27ADC7D0-24DE-4505-9913-856D8DE338A9}" name="Score        Brut6" dataDxfId="6142"/>
    <tableColumn id="28" xr3:uid="{ABDBDCB4-7B27-49F8-BC7A-7843BC9FF7A5}" name="Rang        Brut6" dataDxfId="6141"/>
    <tableColumn id="29" xr3:uid="{941D9336-449B-439E-B469-314E549EA186}" name="Score Net Max" dataDxfId="6140">
      <calculatedColumnFormula>IF(MIN(F4,J4,N4,R4,V4,Z4)&lt;&gt;0,MIN(F4,J4,N4,R4,V4,Z4),"")</calculatedColumnFormula>
    </tableColumn>
    <tableColumn id="30" xr3:uid="{90574FCA-077D-4C2D-95A6-25042040131A}" name="Score Brut Max" dataDxfId="6139">
      <calculatedColumnFormula>IF(MIN(H4,L4,P4,T4,X4,AB4)&lt;&gt;0,MIN(H4,L4,P4,T4,X4,AB4),"")</calculatedColumnFormula>
    </tableColumn>
    <tableColumn id="31" xr3:uid="{7D46739F-AA9F-4F4C-8559-42672BDC3359}" name="Score Net Finale" dataDxfId="6138"/>
    <tableColumn id="32" xr3:uid="{11EAF1CA-8CD4-40A4-91A3-87D38FCF3433}" name="Rang Net Finale" dataDxfId="6137"/>
    <tableColumn id="33" xr3:uid="{66A96B4D-B263-479C-A036-CA0A68FB1450}" name="Score Brut Finale" dataDxfId="6136"/>
    <tableColumn id="34" xr3:uid="{AB46E898-F45B-460F-A38E-C5A2BFD53000}" name="Rang Brut Finale" dataDxfId="6135"/>
    <tableColumn id="35" xr3:uid="{E7B91838-CDE0-4965-B3BE-53C906009CF4}" name="Score Net LGS" dataDxfId="6134">
      <calculatedColumnFormula>IF(AD4="","",IF(ISBLANK(AF4),"En cours",AD4+AF4))</calculatedColumnFormula>
    </tableColumn>
    <tableColumn id="36" xr3:uid="{2A90CEF2-3F60-4761-BD52-022404B7522C}" name="Score Brut LGS" dataDxfId="613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6132" tableBorderDxfId="6131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6130"/>
    <tableColumn id="2" xr3:uid="{6DF6013E-11A9-4F6E-B527-4EB5242D32FC}" name="Club" dataDxfId="6129"/>
    <tableColumn id="3" xr3:uid="{809481FC-1207-4212-8E64-39319F31B86C}" name="Index" dataDxfId="6128"/>
    <tableColumn id="4" xr3:uid="{61BCE2E5-DC5C-48C2-BA39-6573DBA32351}" name="Série" dataDxfId="6127"/>
    <tableColumn id="5" xr3:uid="{5210E73B-D34C-4FAE-A187-64170B309A2C}" name="Score     Net1" dataDxfId="6126"/>
    <tableColumn id="6" xr3:uid="{0C146610-8133-4769-A4EC-4AF4A9EB4EEA}" name="Rang   Net1" dataDxfId="6125"/>
    <tableColumn id="7" xr3:uid="{DC3B3441-4412-46B5-8015-7E44D9FF0A16}" name="Score    Brut1" dataDxfId="6124"/>
    <tableColumn id="8" xr3:uid="{780A2D1B-C1E0-4E66-A641-80609193E5ED}" name="Rang   Brut1" dataDxfId="6123"/>
    <tableColumn id="9" xr3:uid="{A286DE62-5493-4750-8D3A-4E0268951135}" name="Score      Net2" dataDxfId="6122"/>
    <tableColumn id="10" xr3:uid="{9AA9E923-19AE-4E9C-B03E-6CCB420B0DE0}" name="Rang      Net2" dataDxfId="6121"/>
    <tableColumn id="11" xr3:uid="{13D9FCED-A177-4823-BBF5-CB6BBFD92170}" name="Score      Brut2" dataDxfId="6120"/>
    <tableColumn id="12" xr3:uid="{AE79BCC0-99C9-4A29-85F9-06518743CC41}" name="Rang      Brut2" dataDxfId="6119"/>
    <tableColumn id="13" xr3:uid="{6260EBE1-C4F8-4892-8111-6848B59FFDDC}" name="Score      Net3" dataDxfId="6118"/>
    <tableColumn id="14" xr3:uid="{70D3C91B-53A9-4C67-AA7C-86DB6FCC84EA}" name="Rang      Net3" dataDxfId="6117"/>
    <tableColumn id="15" xr3:uid="{316ABADB-80DF-4341-9456-B07A916EE828}" name="Score      Brut3" dataDxfId="6116"/>
    <tableColumn id="16" xr3:uid="{5F33B9A2-6C2B-44A9-B727-D955FDD7A57E}" name="Rang      Brut3" dataDxfId="6115"/>
    <tableColumn id="17" xr3:uid="{7405128E-0D40-44C5-B3B7-9098CE3F571B}" name="Score        Net4" dataDxfId="6114"/>
    <tableColumn id="18" xr3:uid="{57B1622B-69C7-4A1C-8967-6906A0E60401}" name="Rang        Net4" dataDxfId="6113"/>
    <tableColumn id="19" xr3:uid="{765D8E18-32EC-4D78-B6D5-C889630A0B4D}" name="Score        Brut4" dataDxfId="6112"/>
    <tableColumn id="20" xr3:uid="{F9E9BC2E-A9E0-415E-92F8-F007D70D402D}" name="Rang        Brut4" dataDxfId="6111"/>
    <tableColumn id="21" xr3:uid="{56B8C53B-2683-43AB-BA94-98D12846892B}" name="Score        Net5" dataDxfId="6110"/>
    <tableColumn id="22" xr3:uid="{CEE64EB1-2B37-4BE8-AD6C-F73635777200}" name="Rang        Net5" dataDxfId="6109"/>
    <tableColumn id="23" xr3:uid="{08967303-5AA9-43EB-A7B1-57000258446B}" name="Score        Brut5" dataDxfId="6108"/>
    <tableColumn id="24" xr3:uid="{8200C06D-A6A7-4584-BCE4-DE94947CAA08}" name="Rang        Brut5" dataDxfId="6107"/>
    <tableColumn id="25" xr3:uid="{E363B218-F04E-4259-A65F-BE04FA1C15B3}" name="Score        Net6" dataDxfId="6106"/>
    <tableColumn id="26" xr3:uid="{EC92842C-B321-4087-AA25-F376E0579048}" name="Rang        Net6" dataDxfId="6105"/>
    <tableColumn id="27" xr3:uid="{3EF61377-66C7-4D60-AF65-BAFD2DD291D8}" name="Score        Brut6" dataDxfId="6104"/>
    <tableColumn id="28" xr3:uid="{251BB10E-2B2F-4B4A-8805-D7C49FF7D091}" name="Rang        Brut6" dataDxfId="6103"/>
    <tableColumn id="29" xr3:uid="{937492D8-E20B-486F-B289-5EBB929EA97E}" name="Score Net Max" dataDxfId="6102">
      <calculatedColumnFormula>IF(MIN(F4,J4,N4,R4,V4,Z4)&lt;&gt;0,MIN(F4,J4,N4,R4,V4,Z4),"")</calculatedColumnFormula>
    </tableColumn>
    <tableColumn id="30" xr3:uid="{BFCE7449-4F11-49CA-B00B-6CF4C21DE23E}" name="Score Brut Max" dataDxfId="6101">
      <calculatedColumnFormula>IF(MIN(H4,L4,P4,T4,X4,AB4)&lt;&gt;0,MIN(H4,L4,P4,T4,X4,AB4),"")</calculatedColumnFormula>
    </tableColumn>
    <tableColumn id="31" xr3:uid="{061F8C59-D91F-49DB-89E4-FD5BF5DEA2BE}" name="Score Net Finale" dataDxfId="6100"/>
    <tableColumn id="32" xr3:uid="{47CCF636-B700-4893-BB69-C5F49188A737}" name="Rang Net Finale" dataDxfId="6099"/>
    <tableColumn id="33" xr3:uid="{34BE4EC2-EAC1-40DC-82EA-B21BFA645C43}" name="Score Brut Finale" dataDxfId="6098"/>
    <tableColumn id="34" xr3:uid="{B4CC10FB-AE7D-4F7B-B5E6-A21DFBD43F7A}" name="Rang Brut Finale" dataDxfId="6097"/>
    <tableColumn id="35" xr3:uid="{2A85E5CE-D8F3-4ABA-BB20-EF4EC4E5400C}" name="Score Net LGS" dataDxfId="6096">
      <calculatedColumnFormula>IF(AD4="","",IF(ISBLANK(AF4),"En cours",AD4+AF4))</calculatedColumnFormula>
    </tableColumn>
    <tableColumn id="36" xr3:uid="{E2505702-E088-4E30-97F4-10F7B06362C7}" name="Score Brut LGS" dataDxfId="6095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48" totalsRowShown="0" headerRowDxfId="6094" dataDxfId="6093">
  <autoFilter ref="B4:F48" xr:uid="{BEE036B7-08A7-43AF-AC9F-62B639BE2327}"/>
  <tableColumns count="5">
    <tableColumn id="1" xr3:uid="{07F0EE21-57C5-4450-A337-C4E93B37093B}" name="type" dataDxfId="6092"/>
    <tableColumn id="4" xr3:uid="{5D76DE16-D7AC-47BB-8E5C-7D62535B0C45}" name="joueurs" dataDxfId="6091"/>
    <tableColumn id="6" xr3:uid="{AAEF716B-5939-451B-9370-6D6F4B67A6B4}" name="feuille" dataDxfId="6090"/>
    <tableColumn id="2" xr3:uid="{15443A43-A7C3-4E12-8B5A-8DC832EBEFF5}" name="reference" dataDxfId="6089"/>
    <tableColumn id="3" xr3:uid="{C5F94F07-C4F6-41F7-9201-803FDABD5D1F}" name="date" dataDxfId="608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(ALL)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0" t="s">
        <v>81</v>
      </c>
      <c r="Q5" s="171"/>
      <c r="R5" s="172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2" t="s">
        <v>29</v>
      </c>
      <c r="D6" s="153"/>
      <c r="E6" s="157" t="s">
        <v>0</v>
      </c>
      <c r="F6" s="151"/>
      <c r="G6" s="25"/>
      <c r="H6" s="25"/>
      <c r="I6" s="25"/>
      <c r="J6" s="28"/>
      <c r="L6" s="33"/>
      <c r="M6" s="34"/>
      <c r="N6" s="35"/>
      <c r="P6" s="173">
        <f>IF(Tableau6[Type]=INDEX(TableauType[],1),U19,V19)</f>
        <v>0</v>
      </c>
      <c r="Q6" s="174"/>
      <c r="R6" s="175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55"/>
      <c r="E7" s="25"/>
      <c r="F7" s="25"/>
      <c r="G7" s="25"/>
      <c r="H7" s="25"/>
      <c r="I7" s="25"/>
      <c r="J7" s="28"/>
      <c r="L7" s="36"/>
      <c r="M7" s="37"/>
      <c r="N7" s="38"/>
      <c r="P7" s="176" t="str">
        <f>IF(Tableau6[Type]=INDEX(TableauType[],1),U20,V20)</f>
        <v>export_DAME_Net_12.xlsx</v>
      </c>
      <c r="Q7" s="177"/>
      <c r="R7" s="178"/>
      <c r="T7" s="23"/>
      <c r="U7" s="12" t="s">
        <v>12</v>
      </c>
      <c r="V7" s="107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97" t="s">
        <v>75</v>
      </c>
      <c r="AC7" s="25"/>
      <c r="AD7" s="106" t="s">
        <v>80</v>
      </c>
      <c r="AE7" s="28"/>
    </row>
    <row r="8" spans="1:31" ht="15.75" thickBot="1" x14ac:dyDescent="0.3">
      <c r="C8" s="45"/>
      <c r="D8" s="154"/>
      <c r="E8" s="25"/>
      <c r="F8" s="151"/>
      <c r="G8" s="25"/>
      <c r="H8" s="25"/>
      <c r="I8" s="25"/>
      <c r="J8" s="28"/>
      <c r="L8" s="49"/>
      <c r="M8" s="50"/>
      <c r="N8" s="51"/>
      <c r="P8" s="179" t="str">
        <f>IF(Tableau6[Type]=INDEX(TableauType[],1),U21,V21)</f>
        <v>export_DAME_Brut_34.xlsx</v>
      </c>
      <c r="Q8" s="180"/>
      <c r="R8" s="181"/>
      <c r="T8" s="23"/>
      <c r="U8" s="111" t="str">
        <f>_xlfn.CONCAT($V$7," ",V8)</f>
        <v>Serie 1</v>
      </c>
      <c r="V8" s="108">
        <v>1</v>
      </c>
      <c r="W8" s="6">
        <v>0</v>
      </c>
      <c r="X8" s="10">
        <v>11.4</v>
      </c>
      <c r="Y8" s="25"/>
      <c r="Z8" s="16">
        <v>1</v>
      </c>
      <c r="AA8" s="25"/>
      <c r="AB8" s="96" t="s">
        <v>73</v>
      </c>
      <c r="AC8" s="25"/>
      <c r="AD8" s="105"/>
      <c r="AE8" s="28"/>
    </row>
    <row r="9" spans="1:31" ht="15.75" thickBot="1" x14ac:dyDescent="0.3">
      <c r="C9" s="44"/>
      <c r="D9" s="155"/>
      <c r="E9" s="25"/>
      <c r="F9" s="151"/>
      <c r="G9" s="25"/>
      <c r="H9" s="25"/>
      <c r="I9" s="25"/>
      <c r="J9" s="28"/>
      <c r="L9" s="36"/>
      <c r="M9" s="37"/>
      <c r="N9" s="38"/>
      <c r="P9" s="182" t="str">
        <f>IF(Tableau6[Type]=INDEX(TableauType[],1),U22,V22)</f>
        <v>export_DAME_Net_34.xlsx</v>
      </c>
      <c r="Q9" s="183"/>
      <c r="R9" s="184"/>
      <c r="T9" s="23"/>
      <c r="U9" s="112" t="str">
        <f>_xlfn.CONCAT($V$7," ",V9)</f>
        <v>Serie 2</v>
      </c>
      <c r="V9" s="109">
        <v>2</v>
      </c>
      <c r="W9" s="8">
        <v>11.5</v>
      </c>
      <c r="X9" s="11">
        <v>18.399999999999999</v>
      </c>
      <c r="Y9" s="25"/>
      <c r="Z9" s="17">
        <v>2</v>
      </c>
      <c r="AA9" s="25"/>
      <c r="AB9" s="98" t="s">
        <v>74</v>
      </c>
      <c r="AC9" s="25"/>
      <c r="AD9" s="17"/>
      <c r="AE9" s="28"/>
    </row>
    <row r="10" spans="1:31" ht="41.25" customHeight="1" thickBot="1" x14ac:dyDescent="0.3">
      <c r="C10" s="156" t="s">
        <v>101</v>
      </c>
      <c r="D10" s="154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2" t="str">
        <f>_xlfn.CONCAT($V$7," ",V10)</f>
        <v>Serie 3</v>
      </c>
      <c r="V10" s="109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05"/>
      <c r="AE10" s="28"/>
    </row>
    <row r="11" spans="1:31" x14ac:dyDescent="0.25">
      <c r="T11" s="23"/>
      <c r="U11" s="112" t="str">
        <f>_xlfn.CONCAT($V$7," ",V11)</f>
        <v>Serie 4</v>
      </c>
      <c r="V11" s="109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99" t="s">
        <v>30</v>
      </c>
      <c r="E12" s="100" t="s">
        <v>76</v>
      </c>
      <c r="F12" s="101" t="s">
        <v>77</v>
      </c>
      <c r="T12" s="23"/>
      <c r="U12" s="112" t="str">
        <f>_xlfn.CONCAT($V$7," ",V12)</f>
        <v>Serie 5</v>
      </c>
      <c r="V12" s="110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05"/>
      <c r="AE12" s="28"/>
    </row>
    <row r="13" spans="1:31" ht="15.75" x14ac:dyDescent="0.25">
      <c r="D13" s="102">
        <v>1</v>
      </c>
      <c r="E13" s="103" t="str">
        <f>INDEX(TableauType[TYPE],Tableau6[[#This Row],[TypeIndex]])</f>
        <v>ALL</v>
      </c>
      <c r="F13" s="104">
        <v>3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05"/>
      <c r="AE14" s="28"/>
    </row>
    <row r="15" spans="1:31" ht="26.25" x14ac:dyDescent="0.25">
      <c r="B15" s="168" t="s">
        <v>1</v>
      </c>
      <c r="C15" s="168"/>
      <c r="D15" s="168"/>
      <c r="E15" s="168"/>
      <c r="F15" s="168"/>
      <c r="G15" s="168"/>
      <c r="H15" s="168"/>
      <c r="I15" s="168"/>
      <c r="K15" s="169" t="s">
        <v>2</v>
      </c>
      <c r="L15" s="169"/>
      <c r="M15" s="169"/>
      <c r="N15" s="169"/>
      <c r="O15" s="169"/>
      <c r="P15" s="169"/>
      <c r="Q15" s="169"/>
      <c r="R15" s="169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3" t="s">
        <v>89</v>
      </c>
      <c r="V18" s="114" t="s">
        <v>90</v>
      </c>
      <c r="W18" s="25"/>
      <c r="X18" s="165" t="s">
        <v>98</v>
      </c>
      <c r="Y18" s="166"/>
      <c r="Z18" s="166"/>
      <c r="AA18" s="166"/>
      <c r="AB18" s="167"/>
      <c r="AC18" s="25"/>
      <c r="AD18" s="25"/>
      <c r="AE18" s="28"/>
    </row>
    <row r="19" spans="6:31" x14ac:dyDescent="0.25">
      <c r="F19"/>
      <c r="O19"/>
      <c r="T19" s="23"/>
      <c r="U19" s="5"/>
      <c r="V19" s="115"/>
      <c r="W19" s="25"/>
      <c r="X19" s="123" t="s">
        <v>94</v>
      </c>
      <c r="Y19" s="121"/>
      <c r="Z19" s="121" t="s">
        <v>92</v>
      </c>
      <c r="AA19" s="121"/>
      <c r="AB19" s="122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16" t="s">
        <v>84</v>
      </c>
      <c r="W20" s="25"/>
      <c r="X20" s="124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16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17" t="s">
        <v>87</v>
      </c>
      <c r="V22" s="118" t="s">
        <v>88</v>
      </c>
      <c r="W22" s="25"/>
      <c r="X22" s="165" t="s">
        <v>99</v>
      </c>
      <c r="Y22" s="166"/>
      <c r="Z22" s="166"/>
      <c r="AA22" s="166"/>
      <c r="AB22" s="167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25" t="s">
        <v>96</v>
      </c>
      <c r="Y23" s="119"/>
      <c r="Z23" s="119" t="s">
        <v>97</v>
      </c>
      <c r="AA23" s="119"/>
      <c r="AB23" s="120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42"/>
      <c r="U28" s="139"/>
      <c r="V28" s="139"/>
      <c r="W28" s="136"/>
    </row>
    <row r="29" spans="6:31" ht="15.75" thickBot="1" x14ac:dyDescent="0.3">
      <c r="F29"/>
      <c r="O29"/>
      <c r="T29" s="143"/>
      <c r="U29" s="134" t="s">
        <v>35</v>
      </c>
      <c r="V29" s="126" t="str">
        <f ca="1">MID(CELL("nomfichier",A1),FIND("]",CELL("nomfichier",A1))+1,LEN(CELL("nomfichier",A1))-FIND("]",CELL("nomfichier",A1)))</f>
        <v>Import Resultats Tour</v>
      </c>
      <c r="W29" s="137"/>
    </row>
    <row r="30" spans="6:31" ht="15.75" thickBot="1" x14ac:dyDescent="0.3">
      <c r="F30"/>
      <c r="O30"/>
      <c r="T30" s="143"/>
      <c r="U30" s="134" t="s">
        <v>36</v>
      </c>
      <c r="V30" s="126" t="str">
        <f>_xlfn.CONCAT("Resultat LGS (",Tableau6[Type],")")</f>
        <v>Resultat LGS (ALL)</v>
      </c>
      <c r="W30" s="137"/>
    </row>
    <row r="31" spans="6:31" ht="15.75" thickBot="1" x14ac:dyDescent="0.3">
      <c r="F31"/>
      <c r="O31"/>
      <c r="T31" s="143"/>
      <c r="U31" s="140"/>
      <c r="V31" s="141"/>
      <c r="W31" s="137"/>
    </row>
    <row r="32" spans="6:31" x14ac:dyDescent="0.25">
      <c r="F32"/>
      <c r="O32"/>
      <c r="T32" s="143"/>
      <c r="U32" s="133" t="s">
        <v>34</v>
      </c>
      <c r="V32" s="128">
        <f>COUNTA($B$17:$B$7704)</f>
        <v>0</v>
      </c>
      <c r="W32" s="137"/>
    </row>
    <row r="33" spans="6:23" ht="15.75" thickBot="1" x14ac:dyDescent="0.3">
      <c r="F33"/>
      <c r="O33"/>
      <c r="T33" s="143"/>
      <c r="U33" s="131" t="s">
        <v>33</v>
      </c>
      <c r="V33" s="129">
        <f>COUNTA($K$17:$K$7702)</f>
        <v>0</v>
      </c>
      <c r="W33" s="137"/>
    </row>
    <row r="34" spans="6:23" ht="15.75" thickBot="1" x14ac:dyDescent="0.3">
      <c r="F34"/>
      <c r="O34"/>
      <c r="T34" s="143"/>
      <c r="U34" s="132" t="s">
        <v>3</v>
      </c>
      <c r="V34" s="130">
        <f>TourSelected</f>
        <v>1</v>
      </c>
      <c r="W34" s="137"/>
    </row>
    <row r="35" spans="6:23" ht="15.75" thickBot="1" x14ac:dyDescent="0.3">
      <c r="F35"/>
      <c r="O35"/>
      <c r="T35" s="143"/>
      <c r="U35" s="140"/>
      <c r="V35" s="141"/>
      <c r="W35" s="137"/>
    </row>
    <row r="36" spans="6:23" x14ac:dyDescent="0.25">
      <c r="F36"/>
      <c r="O36"/>
      <c r="T36" s="143"/>
      <c r="U36" s="127" t="s">
        <v>31</v>
      </c>
      <c r="V36" s="128"/>
      <c r="W36" s="137"/>
    </row>
    <row r="37" spans="6:23" ht="15.75" thickBot="1" x14ac:dyDescent="0.3">
      <c r="F37"/>
      <c r="O37"/>
      <c r="T37" s="143"/>
      <c r="U37" s="131" t="s">
        <v>32</v>
      </c>
      <c r="V37" s="135">
        <f>DateImport</f>
        <v>45509</v>
      </c>
      <c r="W37" s="137"/>
    </row>
    <row r="38" spans="6:23" ht="15.75" thickBot="1" x14ac:dyDescent="0.3">
      <c r="F38"/>
      <c r="O38"/>
      <c r="T38" s="144"/>
      <c r="U38" s="145"/>
      <c r="V38" s="145"/>
      <c r="W38" s="138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ImportExportFileFor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InsertTourFromImport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ImportFileStaticOrAsk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ImportExportFileForAllTour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topLeftCell="A124" zoomScale="55" zoomScaleNormal="55" workbookViewId="0">
      <pane xSplit="5" topLeftCell="F1" activePane="topRight" state="frozen"/>
      <selection pane="topRight" activeCell="B4" sqref="B4:AK180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177</v>
      </c>
      <c r="C2" s="71" t="s">
        <v>37</v>
      </c>
      <c r="E2" s="19"/>
      <c r="F2" s="192" t="s">
        <v>18</v>
      </c>
      <c r="G2" s="193"/>
      <c r="H2" s="193"/>
      <c r="I2" s="194"/>
      <c r="J2" s="195" t="s">
        <v>19</v>
      </c>
      <c r="K2" s="196"/>
      <c r="L2" s="196"/>
      <c r="M2" s="197"/>
      <c r="N2" s="198" t="s">
        <v>20</v>
      </c>
      <c r="O2" s="193"/>
      <c r="P2" s="193"/>
      <c r="Q2" s="194"/>
      <c r="R2" s="195" t="s">
        <v>21</v>
      </c>
      <c r="S2" s="196"/>
      <c r="T2" s="196"/>
      <c r="U2" s="197"/>
      <c r="V2" s="198" t="s">
        <v>22</v>
      </c>
      <c r="W2" s="193"/>
      <c r="X2" s="193"/>
      <c r="Y2" s="194"/>
      <c r="Z2" s="195" t="s">
        <v>23</v>
      </c>
      <c r="AA2" s="196"/>
      <c r="AB2" s="196"/>
      <c r="AC2" s="199"/>
      <c r="AD2" s="185" t="s">
        <v>82</v>
      </c>
      <c r="AE2" s="186"/>
      <c r="AF2" s="187" t="s">
        <v>17</v>
      </c>
      <c r="AG2" s="188"/>
      <c r="AH2" s="188"/>
      <c r="AI2" s="189"/>
      <c r="AJ2" s="190" t="s">
        <v>25</v>
      </c>
      <c r="AK2" s="191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3" t="s">
        <v>229</v>
      </c>
      <c r="C4" s="163" t="s">
        <v>104</v>
      </c>
      <c r="D4" s="163">
        <v>17.899999999999999</v>
      </c>
      <c r="E4" s="163" t="s">
        <v>202</v>
      </c>
      <c r="F4" s="163"/>
      <c r="G4" s="163"/>
      <c r="H4" s="163"/>
      <c r="I4" s="163"/>
      <c r="J4" s="163">
        <v>89</v>
      </c>
      <c r="K4" s="163">
        <v>38</v>
      </c>
      <c r="L4" s="163">
        <v>106</v>
      </c>
      <c r="M4" s="163">
        <v>38</v>
      </c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4">
        <f>IF(MIN(F4,J4,N4,R4,V4,Z4)&lt;&gt;0,MIN(F4,J4,N4,R4,V4,Z4),"")</f>
        <v>89</v>
      </c>
      <c r="AE4" s="164">
        <f>IF(MIN(H4,L4,P4,T4,X4,AB4)&lt;&gt;0,MIN(H4,L4,P4,T4,X4,AB4),"")</f>
        <v>106</v>
      </c>
      <c r="AF4" s="164"/>
      <c r="AG4" s="163"/>
      <c r="AH4" s="164"/>
      <c r="AI4" s="163"/>
      <c r="AJ4" s="162" t="str">
        <f>IF(AD4="","",IF(ISBLANK(AF4),"En cours",AD4+AF4))</f>
        <v>En cours</v>
      </c>
      <c r="AK4" s="162" t="str">
        <f>IF(AE4="","",IF(ISBLANK(AH4),"En cours",AE4+AH4))</f>
        <v>En cours</v>
      </c>
    </row>
    <row r="5" spans="2:37" ht="21" x14ac:dyDescent="0.35">
      <c r="B5" s="163" t="s">
        <v>109</v>
      </c>
      <c r="C5" s="163" t="s">
        <v>104</v>
      </c>
      <c r="D5" s="163">
        <v>8.1999999999999993</v>
      </c>
      <c r="E5" s="163" t="s">
        <v>203</v>
      </c>
      <c r="F5" s="163">
        <v>69</v>
      </c>
      <c r="G5" s="163">
        <v>2</v>
      </c>
      <c r="H5" s="163">
        <v>79</v>
      </c>
      <c r="I5" s="163">
        <v>5</v>
      </c>
      <c r="J5" s="163"/>
      <c r="K5" s="163"/>
      <c r="L5" s="163"/>
      <c r="M5" s="163"/>
      <c r="N5" s="163">
        <v>68</v>
      </c>
      <c r="O5" s="163">
        <v>1</v>
      </c>
      <c r="P5" s="163">
        <v>78</v>
      </c>
      <c r="Q5" s="163">
        <v>1</v>
      </c>
      <c r="R5" s="163">
        <v>76</v>
      </c>
      <c r="S5" s="163">
        <v>9</v>
      </c>
      <c r="T5" s="163">
        <v>86</v>
      </c>
      <c r="U5" s="163">
        <v>8</v>
      </c>
      <c r="V5" s="163"/>
      <c r="W5" s="163"/>
      <c r="X5" s="163"/>
      <c r="Y5" s="163"/>
      <c r="Z5" s="163">
        <v>73</v>
      </c>
      <c r="AA5" s="163">
        <v>6</v>
      </c>
      <c r="AB5" s="163">
        <v>83</v>
      </c>
      <c r="AC5" s="163">
        <v>8</v>
      </c>
      <c r="AD5" s="164">
        <f>IF(MIN(F5,J5,N5,R5,V5,Z5)&lt;&gt;0,MIN(F5,J5,N5,R5,V5,Z5),"")</f>
        <v>68</v>
      </c>
      <c r="AE5" s="164">
        <f>IF(MIN(H5,L5,P5,T5,X5,AB5)&lt;&gt;0,MIN(H5,L5,P5,T5,X5,AB5),"")</f>
        <v>78</v>
      </c>
      <c r="AF5" s="164">
        <v>70</v>
      </c>
      <c r="AG5" s="163">
        <v>5</v>
      </c>
      <c r="AH5" s="164">
        <v>80</v>
      </c>
      <c r="AI5" s="163">
        <v>3</v>
      </c>
      <c r="AJ5" s="162">
        <f>IF(AD5="","",IF(ISBLANK(AF5),"En cours",AD5+AF5))</f>
        <v>138</v>
      </c>
      <c r="AK5" s="162">
        <f>IF(AE5="","",IF(ISBLANK(AH5),"En cours",AE5+AH5))</f>
        <v>158</v>
      </c>
    </row>
    <row r="6" spans="2:37" ht="21" x14ac:dyDescent="0.35">
      <c r="B6" s="163" t="s">
        <v>153</v>
      </c>
      <c r="C6" s="163" t="s">
        <v>104</v>
      </c>
      <c r="D6" s="163">
        <v>18.2</v>
      </c>
      <c r="E6" s="163" t="s">
        <v>202</v>
      </c>
      <c r="F6" s="163">
        <v>77</v>
      </c>
      <c r="G6" s="163">
        <v>23</v>
      </c>
      <c r="H6" s="163">
        <v>95</v>
      </c>
      <c r="I6" s="163">
        <v>29</v>
      </c>
      <c r="J6" s="163">
        <v>83</v>
      </c>
      <c r="K6" s="163">
        <v>33</v>
      </c>
      <c r="L6" s="163">
        <v>101</v>
      </c>
      <c r="M6" s="163">
        <v>34</v>
      </c>
      <c r="N6" s="163">
        <v>76</v>
      </c>
      <c r="O6" s="163">
        <v>16</v>
      </c>
      <c r="P6" s="163">
        <v>94</v>
      </c>
      <c r="Q6" s="163">
        <v>25</v>
      </c>
      <c r="R6" s="163">
        <v>73</v>
      </c>
      <c r="S6" s="163">
        <v>14</v>
      </c>
      <c r="T6" s="163">
        <v>91</v>
      </c>
      <c r="U6" s="163">
        <v>22</v>
      </c>
      <c r="V6" s="163">
        <v>70</v>
      </c>
      <c r="W6" s="163">
        <v>4</v>
      </c>
      <c r="X6" s="163">
        <v>88</v>
      </c>
      <c r="Y6" s="163">
        <v>12</v>
      </c>
      <c r="Z6" s="163"/>
      <c r="AA6" s="163"/>
      <c r="AB6" s="163"/>
      <c r="AC6" s="163"/>
      <c r="AD6" s="164">
        <f>IF(MIN(F6,J6,N6,R6,V6,Z6)&lt;&gt;0,MIN(F6,J6,N6,R6,V6,Z6),"")</f>
        <v>70</v>
      </c>
      <c r="AE6" s="164">
        <f>IF(MIN(H6,L6,P6,T6,X6,AB6)&lt;&gt;0,MIN(H6,L6,P6,T6,X6,AB6),"")</f>
        <v>88</v>
      </c>
      <c r="AF6" s="164">
        <v>81</v>
      </c>
      <c r="AG6" s="163">
        <v>38</v>
      </c>
      <c r="AH6" s="164">
        <v>99</v>
      </c>
      <c r="AI6" s="163">
        <v>42</v>
      </c>
      <c r="AJ6" s="162">
        <f>IF(AD6="","",IF(ISBLANK(AF6),"En cours",AD6+AF6))</f>
        <v>151</v>
      </c>
      <c r="AK6" s="162">
        <f>IF(AE6="","",IF(ISBLANK(AH6),"En cours",AE6+AH6))</f>
        <v>187</v>
      </c>
    </row>
    <row r="7" spans="2:37" ht="21" x14ac:dyDescent="0.35">
      <c r="B7" s="163" t="s">
        <v>119</v>
      </c>
      <c r="C7" s="163" t="s">
        <v>104</v>
      </c>
      <c r="D7" s="163">
        <v>7.6</v>
      </c>
      <c r="E7" s="163" t="s">
        <v>203</v>
      </c>
      <c r="F7" s="163">
        <v>80</v>
      </c>
      <c r="G7" s="163">
        <v>16</v>
      </c>
      <c r="H7" s="163">
        <v>89</v>
      </c>
      <c r="I7" s="163">
        <v>15</v>
      </c>
      <c r="J7" s="163">
        <v>72</v>
      </c>
      <c r="K7" s="163">
        <v>4</v>
      </c>
      <c r="L7" s="163">
        <v>81</v>
      </c>
      <c r="M7" s="163">
        <v>4</v>
      </c>
      <c r="N7" s="163">
        <v>70</v>
      </c>
      <c r="O7" s="163">
        <v>2</v>
      </c>
      <c r="P7" s="163">
        <v>79</v>
      </c>
      <c r="Q7" s="163">
        <v>2</v>
      </c>
      <c r="R7" s="163"/>
      <c r="S7" s="163"/>
      <c r="T7" s="163"/>
      <c r="U7" s="163"/>
      <c r="V7" s="163"/>
      <c r="W7" s="163"/>
      <c r="X7" s="163"/>
      <c r="Y7" s="163"/>
      <c r="Z7" s="163">
        <v>74</v>
      </c>
      <c r="AA7" s="163">
        <v>8</v>
      </c>
      <c r="AB7" s="163">
        <v>83</v>
      </c>
      <c r="AC7" s="163">
        <v>7</v>
      </c>
      <c r="AD7" s="164">
        <f>IF(MIN(F7,J7,N7,R7,V7,Z7)&lt;&gt;0,MIN(F7,J7,N7,R7,V7,Z7),"")</f>
        <v>70</v>
      </c>
      <c r="AE7" s="164">
        <f>IF(MIN(H7,L7,P7,T7,X7,AB7)&lt;&gt;0,MIN(H7,L7,P7,T7,X7,AB7),"")</f>
        <v>79</v>
      </c>
      <c r="AF7" s="164">
        <v>78</v>
      </c>
      <c r="AG7" s="163">
        <v>10</v>
      </c>
      <c r="AH7" s="164">
        <v>87</v>
      </c>
      <c r="AI7" s="163">
        <v>12</v>
      </c>
      <c r="AJ7" s="162">
        <f>IF(AD7="","",IF(ISBLANK(AF7),"En cours",AD7+AF7))</f>
        <v>148</v>
      </c>
      <c r="AK7" s="162">
        <f>IF(AE7="","",IF(ISBLANK(AH7),"En cours",AE7+AH7))</f>
        <v>166</v>
      </c>
    </row>
    <row r="8" spans="2:37" ht="21" x14ac:dyDescent="0.35">
      <c r="B8" s="163" t="s">
        <v>122</v>
      </c>
      <c r="C8" s="163" t="s">
        <v>104</v>
      </c>
      <c r="D8" s="163">
        <v>9.6</v>
      </c>
      <c r="E8" s="163" t="s">
        <v>203</v>
      </c>
      <c r="F8" s="163">
        <v>78</v>
      </c>
      <c r="G8" s="163">
        <v>14</v>
      </c>
      <c r="H8" s="163">
        <v>90</v>
      </c>
      <c r="I8" s="163">
        <v>17</v>
      </c>
      <c r="J8" s="163"/>
      <c r="K8" s="163"/>
      <c r="L8" s="163"/>
      <c r="M8" s="163"/>
      <c r="N8" s="163">
        <v>71</v>
      </c>
      <c r="O8" s="163">
        <v>3</v>
      </c>
      <c r="P8" s="163">
        <v>83</v>
      </c>
      <c r="Q8" s="163">
        <v>5</v>
      </c>
      <c r="R8" s="163"/>
      <c r="S8" s="163"/>
      <c r="T8" s="163"/>
      <c r="U8" s="163"/>
      <c r="V8" s="163">
        <v>66</v>
      </c>
      <c r="W8" s="163">
        <v>2</v>
      </c>
      <c r="X8" s="163">
        <v>78</v>
      </c>
      <c r="Y8" s="163">
        <v>1</v>
      </c>
      <c r="Z8" s="163"/>
      <c r="AA8" s="163"/>
      <c r="AB8" s="163"/>
      <c r="AC8" s="163"/>
      <c r="AD8" s="164">
        <f>IF(MIN(F8,J8,N8,R8,V8,Z8)&lt;&gt;0,MIN(F8,J8,N8,R8,V8,Z8),"")</f>
        <v>66</v>
      </c>
      <c r="AE8" s="164">
        <f>IF(MIN(H8,L8,P8,T8,X8,AB8)&lt;&gt;0,MIN(H8,L8,P8,T8,X8,AB8),"")</f>
        <v>78</v>
      </c>
      <c r="AF8" s="164">
        <v>70</v>
      </c>
      <c r="AG8" s="163">
        <v>2</v>
      </c>
      <c r="AH8" s="164">
        <v>82</v>
      </c>
      <c r="AI8" s="163">
        <v>6</v>
      </c>
      <c r="AJ8" s="162">
        <f>IF(AD8="","",IF(ISBLANK(AF8),"En cours",AD8+AF8))</f>
        <v>136</v>
      </c>
      <c r="AK8" s="162">
        <f>IF(AE8="","",IF(ISBLANK(AH8),"En cours",AE8+AH8))</f>
        <v>160</v>
      </c>
    </row>
    <row r="9" spans="2:37" ht="21" x14ac:dyDescent="0.35">
      <c r="B9" s="163" t="s">
        <v>158</v>
      </c>
      <c r="C9" s="163" t="s">
        <v>104</v>
      </c>
      <c r="D9" s="163">
        <v>14.3</v>
      </c>
      <c r="E9" s="163" t="s">
        <v>202</v>
      </c>
      <c r="F9" s="163">
        <v>89</v>
      </c>
      <c r="G9" s="163">
        <v>35</v>
      </c>
      <c r="H9" s="163">
        <v>102</v>
      </c>
      <c r="I9" s="163">
        <v>34</v>
      </c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4">
        <f>IF(MIN(F9,J9,N9,R9,V9,Z9)&lt;&gt;0,MIN(F9,J9,N9,R9,V9,Z9),"")</f>
        <v>89</v>
      </c>
      <c r="AE9" s="164">
        <f>IF(MIN(H9,L9,P9,T9,X9,AB9)&lt;&gt;0,MIN(H9,L9,P9,T9,X9,AB9),"")</f>
        <v>102</v>
      </c>
      <c r="AF9" s="164">
        <v>78</v>
      </c>
      <c r="AG9" s="163">
        <v>26</v>
      </c>
      <c r="AH9" s="164">
        <v>91</v>
      </c>
      <c r="AI9" s="163">
        <v>21</v>
      </c>
      <c r="AJ9" s="162">
        <f>IF(AD9="","",IF(ISBLANK(AF9),"En cours",AD9+AF9))</f>
        <v>167</v>
      </c>
      <c r="AK9" s="162">
        <f>IF(AE9="","",IF(ISBLANK(AH9),"En cours",AE9+AH9))</f>
        <v>193</v>
      </c>
    </row>
    <row r="10" spans="2:37" ht="21" x14ac:dyDescent="0.35">
      <c r="B10" s="163" t="s">
        <v>239</v>
      </c>
      <c r="C10" s="163" t="s">
        <v>104</v>
      </c>
      <c r="D10" s="163">
        <v>19.899999999999999</v>
      </c>
      <c r="E10" s="163" t="s">
        <v>205</v>
      </c>
      <c r="F10" s="163"/>
      <c r="G10" s="163"/>
      <c r="H10" s="163"/>
      <c r="I10" s="163"/>
      <c r="J10" s="163">
        <v>77</v>
      </c>
      <c r="K10" s="163">
        <v>22</v>
      </c>
      <c r="L10" s="163">
        <v>93</v>
      </c>
      <c r="M10" s="163">
        <v>13</v>
      </c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4">
        <f>IF(MIN(F10,J10,N10,R10,V10,Z10)&lt;&gt;0,MIN(F10,J10,N10,R10,V10,Z10),"")</f>
        <v>77</v>
      </c>
      <c r="AE10" s="164">
        <f>IF(MIN(H10,L10,P10,T10,X10,AB10)&lt;&gt;0,MIN(H10,L10,P10,T10,X10,AB10),"")</f>
        <v>93</v>
      </c>
      <c r="AF10" s="164">
        <v>75</v>
      </c>
      <c r="AG10" s="163">
        <v>21</v>
      </c>
      <c r="AH10" s="164">
        <v>91</v>
      </c>
      <c r="AI10" s="163">
        <v>16</v>
      </c>
      <c r="AJ10" s="162">
        <f>IF(AD10="","",IF(ISBLANK(AF10),"En cours",AD10+AF10))</f>
        <v>152</v>
      </c>
      <c r="AK10" s="162">
        <f>IF(AE10="","",IF(ISBLANK(AH10),"En cours",AE10+AH10))</f>
        <v>184</v>
      </c>
    </row>
    <row r="11" spans="2:37" ht="21" x14ac:dyDescent="0.35">
      <c r="B11" s="163" t="s">
        <v>225</v>
      </c>
      <c r="C11" s="163" t="s">
        <v>104</v>
      </c>
      <c r="D11" s="163">
        <v>14.6</v>
      </c>
      <c r="E11" s="163" t="s">
        <v>202</v>
      </c>
      <c r="F11" s="163"/>
      <c r="G11" s="163"/>
      <c r="H11" s="163"/>
      <c r="I11" s="163"/>
      <c r="J11" s="163">
        <v>80</v>
      </c>
      <c r="K11" s="163">
        <v>26</v>
      </c>
      <c r="L11" s="163">
        <v>94</v>
      </c>
      <c r="M11" s="163">
        <v>27</v>
      </c>
      <c r="N11" s="163">
        <v>87</v>
      </c>
      <c r="O11" s="163">
        <v>34</v>
      </c>
      <c r="P11" s="163">
        <v>101</v>
      </c>
      <c r="Q11" s="163">
        <v>33</v>
      </c>
      <c r="R11" s="163"/>
      <c r="S11" s="163"/>
      <c r="T11" s="163"/>
      <c r="U11" s="163"/>
      <c r="V11" s="163"/>
      <c r="W11" s="163"/>
      <c r="X11" s="163"/>
      <c r="Y11" s="163"/>
      <c r="Z11" s="163">
        <v>88</v>
      </c>
      <c r="AA11" s="163">
        <v>28</v>
      </c>
      <c r="AB11" s="163">
        <v>102</v>
      </c>
      <c r="AC11" s="163">
        <v>28</v>
      </c>
      <c r="AD11" s="164">
        <f>IF(MIN(F11,J11,N11,R11,V11,Z11)&lt;&gt;0,MIN(F11,J11,N11,R11,V11,Z11),"")</f>
        <v>80</v>
      </c>
      <c r="AE11" s="164">
        <f>IF(MIN(H11,L11,P11,T11,X11,AB11)&lt;&gt;0,MIN(H11,L11,P11,T11,X11,AB11),"")</f>
        <v>94</v>
      </c>
      <c r="AF11" s="164"/>
      <c r="AG11" s="163"/>
      <c r="AH11" s="164"/>
      <c r="AI11" s="163"/>
      <c r="AJ11" s="162" t="str">
        <f>IF(AD11="","",IF(ISBLANK(AF11),"En cours",AD11+AF11))</f>
        <v>En cours</v>
      </c>
      <c r="AK11" s="162" t="str">
        <f>IF(AE11="","",IF(ISBLANK(AH11),"En cours",AE11+AH11))</f>
        <v>En cours</v>
      </c>
    </row>
    <row r="12" spans="2:37" ht="21" x14ac:dyDescent="0.35">
      <c r="B12" s="163" t="s">
        <v>159</v>
      </c>
      <c r="C12" s="163" t="s">
        <v>104</v>
      </c>
      <c r="D12" s="163">
        <v>18.3</v>
      </c>
      <c r="E12" s="163" t="s">
        <v>202</v>
      </c>
      <c r="F12" s="163">
        <v>85</v>
      </c>
      <c r="G12" s="163">
        <v>33</v>
      </c>
      <c r="H12" s="163">
        <v>103</v>
      </c>
      <c r="I12" s="163">
        <v>35</v>
      </c>
      <c r="J12" s="163">
        <v>73</v>
      </c>
      <c r="K12" s="163">
        <v>10</v>
      </c>
      <c r="L12" s="163">
        <v>91</v>
      </c>
      <c r="M12" s="163">
        <v>17</v>
      </c>
      <c r="N12" s="163"/>
      <c r="O12" s="163"/>
      <c r="P12" s="163"/>
      <c r="Q12" s="163"/>
      <c r="R12" s="163">
        <v>86</v>
      </c>
      <c r="S12" s="163">
        <v>36</v>
      </c>
      <c r="T12" s="163">
        <v>104</v>
      </c>
      <c r="U12" s="163">
        <v>38</v>
      </c>
      <c r="V12" s="163"/>
      <c r="W12" s="163"/>
      <c r="X12" s="163"/>
      <c r="Y12" s="163"/>
      <c r="Z12" s="163"/>
      <c r="AA12" s="163"/>
      <c r="AB12" s="163"/>
      <c r="AC12" s="163"/>
      <c r="AD12" s="164">
        <f>IF(MIN(F12,J12,N12,R12,V12,Z12)&lt;&gt;0,MIN(F12,J12,N12,R12,V12,Z12),"")</f>
        <v>73</v>
      </c>
      <c r="AE12" s="164">
        <f>IF(MIN(H12,L12,P12,T12,X12,AB12)&lt;&gt;0,MIN(H12,L12,P12,T12,X12,AB12),"")</f>
        <v>91</v>
      </c>
      <c r="AF12" s="164">
        <v>87</v>
      </c>
      <c r="AG12" s="163">
        <v>43</v>
      </c>
      <c r="AH12" s="164">
        <v>105</v>
      </c>
      <c r="AI12" s="163">
        <v>43</v>
      </c>
      <c r="AJ12" s="162">
        <f>IF(AD12="","",IF(ISBLANK(AF12),"En cours",AD12+AF12))</f>
        <v>160</v>
      </c>
      <c r="AK12" s="162">
        <f>IF(AE12="","",IF(ISBLANK(AH12),"En cours",AE12+AH12))</f>
        <v>196</v>
      </c>
    </row>
    <row r="13" spans="2:37" ht="21" x14ac:dyDescent="0.35">
      <c r="B13" s="163" t="s">
        <v>250</v>
      </c>
      <c r="C13" s="163" t="s">
        <v>148</v>
      </c>
      <c r="D13" s="163">
        <v>35</v>
      </c>
      <c r="E13" s="163" t="s">
        <v>204</v>
      </c>
      <c r="F13" s="163"/>
      <c r="G13" s="163"/>
      <c r="H13" s="163"/>
      <c r="I13" s="163"/>
      <c r="J13" s="163">
        <v>72</v>
      </c>
      <c r="K13" s="163">
        <v>8</v>
      </c>
      <c r="L13" s="163">
        <v>101</v>
      </c>
      <c r="M13" s="163">
        <v>28</v>
      </c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4">
        <f>IF(MIN(F13,J13,N13,R13,V13,Z13)&lt;&gt;0,MIN(F13,J13,N13,R13,V13,Z13),"")</f>
        <v>72</v>
      </c>
      <c r="AE13" s="164">
        <f>IF(MIN(H13,L13,P13,T13,X13,AB13)&lt;&gt;0,MIN(H13,L13,P13,T13,X13,AB13),"")</f>
        <v>101</v>
      </c>
      <c r="AF13" s="164"/>
      <c r="AG13" s="163"/>
      <c r="AH13" s="164"/>
      <c r="AI13" s="163"/>
      <c r="AJ13" s="162" t="str">
        <f>IF(AD13="","",IF(ISBLANK(AF13),"En cours",AD13+AF13))</f>
        <v>En cours</v>
      </c>
      <c r="AK13" s="162" t="str">
        <f>IF(AE13="","",IF(ISBLANK(AH13),"En cours",AE13+AH13))</f>
        <v>En cours</v>
      </c>
    </row>
    <row r="14" spans="2:37" ht="21" x14ac:dyDescent="0.35">
      <c r="B14" s="163" t="s">
        <v>168</v>
      </c>
      <c r="C14" s="163" t="s">
        <v>104</v>
      </c>
      <c r="D14" s="163">
        <v>21.5</v>
      </c>
      <c r="E14" s="163" t="s">
        <v>205</v>
      </c>
      <c r="F14" s="163">
        <v>72</v>
      </c>
      <c r="G14" s="163">
        <v>10</v>
      </c>
      <c r="H14" s="163">
        <v>90</v>
      </c>
      <c r="I14" s="163">
        <v>9</v>
      </c>
      <c r="J14" s="163">
        <v>74</v>
      </c>
      <c r="K14" s="163">
        <v>12</v>
      </c>
      <c r="L14" s="163">
        <v>92</v>
      </c>
      <c r="M14" s="163">
        <v>10</v>
      </c>
      <c r="N14" s="163">
        <v>73</v>
      </c>
      <c r="O14" s="163">
        <v>11</v>
      </c>
      <c r="P14" s="163">
        <v>91</v>
      </c>
      <c r="Q14" s="163">
        <v>5</v>
      </c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4">
        <f>IF(MIN(F14,J14,N14,R14,V14,Z14)&lt;&gt;0,MIN(F14,J14,N14,R14,V14,Z14),"")</f>
        <v>72</v>
      </c>
      <c r="AE14" s="164">
        <f>IF(MIN(H14,L14,P14,T14,X14,AB14)&lt;&gt;0,MIN(H14,L14,P14,T14,X14,AB14),"")</f>
        <v>90</v>
      </c>
      <c r="AF14" s="164">
        <v>67</v>
      </c>
      <c r="AG14" s="163">
        <v>3</v>
      </c>
      <c r="AH14" s="164">
        <v>85</v>
      </c>
      <c r="AI14" s="163">
        <v>2</v>
      </c>
      <c r="AJ14" s="162">
        <f>IF(AD14="","",IF(ISBLANK(AF14),"En cours",AD14+AF14))</f>
        <v>139</v>
      </c>
      <c r="AK14" s="162">
        <f>IF(AE14="","",IF(ISBLANK(AH14),"En cours",AE14+AH14))</f>
        <v>175</v>
      </c>
    </row>
    <row r="15" spans="2:37" ht="21" x14ac:dyDescent="0.35">
      <c r="B15" s="163" t="s">
        <v>294</v>
      </c>
      <c r="C15" s="163" t="s">
        <v>104</v>
      </c>
      <c r="D15" s="163">
        <v>15.2</v>
      </c>
      <c r="E15" s="163" t="s">
        <v>202</v>
      </c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>
        <v>79</v>
      </c>
      <c r="S15" s="163">
        <v>27</v>
      </c>
      <c r="T15" s="163">
        <v>93</v>
      </c>
      <c r="U15" s="163">
        <v>25</v>
      </c>
      <c r="V15" s="163"/>
      <c r="W15" s="163"/>
      <c r="X15" s="163"/>
      <c r="Y15" s="163"/>
      <c r="Z15" s="163"/>
      <c r="AA15" s="163"/>
      <c r="AB15" s="163"/>
      <c r="AC15" s="163"/>
      <c r="AD15" s="164">
        <f>IF(MIN(F15,J15,N15,R15,V15,Z15)&lt;&gt;0,MIN(F15,J15,N15,R15,V15,Z15),"")</f>
        <v>79</v>
      </c>
      <c r="AE15" s="164">
        <f>IF(MIN(H15,L15,P15,T15,X15,AB15)&lt;&gt;0,MIN(H15,L15,P15,T15,X15,AB15),"")</f>
        <v>93</v>
      </c>
      <c r="AF15" s="164"/>
      <c r="AG15" s="163"/>
      <c r="AH15" s="164"/>
      <c r="AI15" s="163"/>
      <c r="AJ15" s="162" t="str">
        <f>IF(AD15="","",IF(ISBLANK(AF15),"En cours",AD15+AF15))</f>
        <v>En cours</v>
      </c>
      <c r="AK15" s="162" t="str">
        <f>IF(AE15="","",IF(ISBLANK(AH15),"En cours",AE15+AH15))</f>
        <v>En cours</v>
      </c>
    </row>
    <row r="16" spans="2:37" ht="21" x14ac:dyDescent="0.35">
      <c r="B16" s="163" t="s">
        <v>209</v>
      </c>
      <c r="C16" s="163" t="s">
        <v>104</v>
      </c>
      <c r="D16" s="163">
        <v>6.4</v>
      </c>
      <c r="E16" s="163" t="s">
        <v>203</v>
      </c>
      <c r="F16" s="163"/>
      <c r="G16" s="163"/>
      <c r="H16" s="163"/>
      <c r="I16" s="163"/>
      <c r="J16" s="163">
        <v>72</v>
      </c>
      <c r="K16" s="163">
        <v>6</v>
      </c>
      <c r="L16" s="163">
        <v>80</v>
      </c>
      <c r="M16" s="163">
        <v>3</v>
      </c>
      <c r="N16" s="163">
        <v>76</v>
      </c>
      <c r="O16" s="163">
        <v>9</v>
      </c>
      <c r="P16" s="163">
        <v>84</v>
      </c>
      <c r="Q16" s="163">
        <v>6</v>
      </c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4">
        <f>IF(MIN(F16,J16,N16,R16,V16,Z16)&lt;&gt;0,MIN(F16,J16,N16,R16,V16,Z16),"")</f>
        <v>72</v>
      </c>
      <c r="AE16" s="164">
        <f>IF(MIN(H16,L16,P16,T16,X16,AB16)&lt;&gt;0,MIN(H16,L16,P16,T16,X16,AB16),"")</f>
        <v>80</v>
      </c>
      <c r="AF16" s="164"/>
      <c r="AG16" s="163"/>
      <c r="AH16" s="164"/>
      <c r="AI16" s="163"/>
      <c r="AJ16" s="162" t="str">
        <f>IF(AD16="","",IF(ISBLANK(AF16),"En cours",AD16+AF16))</f>
        <v>En cours</v>
      </c>
      <c r="AK16" s="162" t="str">
        <f>IF(AE16="","",IF(ISBLANK(AH16),"En cours",AE16+AH16))</f>
        <v>En cours</v>
      </c>
    </row>
    <row r="17" spans="2:37" ht="21" x14ac:dyDescent="0.35">
      <c r="B17" s="163" t="s">
        <v>222</v>
      </c>
      <c r="C17" s="163" t="s">
        <v>104</v>
      </c>
      <c r="D17" s="163">
        <v>16.2</v>
      </c>
      <c r="E17" s="163" t="s">
        <v>202</v>
      </c>
      <c r="F17" s="163"/>
      <c r="G17" s="163"/>
      <c r="H17" s="163"/>
      <c r="I17" s="163"/>
      <c r="J17" s="163">
        <v>76</v>
      </c>
      <c r="K17" s="163">
        <v>18</v>
      </c>
      <c r="L17" s="163">
        <v>91</v>
      </c>
      <c r="M17" s="163">
        <v>19</v>
      </c>
      <c r="N17" s="163">
        <v>77</v>
      </c>
      <c r="O17" s="163">
        <v>20</v>
      </c>
      <c r="P17" s="163">
        <v>92</v>
      </c>
      <c r="Q17" s="163">
        <v>21</v>
      </c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4">
        <f>IF(MIN(F17,J17,N17,R17,V17,Z17)&lt;&gt;0,MIN(F17,J17,N17,R17,V17,Z17),"")</f>
        <v>76</v>
      </c>
      <c r="AE17" s="164">
        <f>IF(MIN(H17,L17,P17,T17,X17,AB17)&lt;&gt;0,MIN(H17,L17,P17,T17,X17,AB17),"")</f>
        <v>91</v>
      </c>
      <c r="AF17" s="164">
        <v>74</v>
      </c>
      <c r="AG17" s="163">
        <v>15</v>
      </c>
      <c r="AH17" s="164">
        <v>89</v>
      </c>
      <c r="AI17" s="163">
        <v>16</v>
      </c>
      <c r="AJ17" s="162">
        <f>IF(AD17="","",IF(ISBLANK(AF17),"En cours",AD17+AF17))</f>
        <v>150</v>
      </c>
      <c r="AK17" s="162">
        <f>IF(AE17="","",IF(ISBLANK(AH17),"En cours",AE17+AH17))</f>
        <v>180</v>
      </c>
    </row>
    <row r="18" spans="2:37" ht="21" x14ac:dyDescent="0.35">
      <c r="B18" s="163" t="s">
        <v>124</v>
      </c>
      <c r="C18" s="163" t="s">
        <v>104</v>
      </c>
      <c r="D18" s="163">
        <v>12.2</v>
      </c>
      <c r="E18" s="163" t="s">
        <v>202</v>
      </c>
      <c r="F18" s="163">
        <v>71</v>
      </c>
      <c r="G18" s="163">
        <v>5</v>
      </c>
      <c r="H18" s="163">
        <v>82</v>
      </c>
      <c r="I18" s="163">
        <v>2</v>
      </c>
      <c r="J18" s="163"/>
      <c r="K18" s="163"/>
      <c r="L18" s="163"/>
      <c r="M18" s="163"/>
      <c r="N18" s="163">
        <v>66</v>
      </c>
      <c r="O18" s="163">
        <v>2</v>
      </c>
      <c r="P18" s="163">
        <v>77</v>
      </c>
      <c r="Q18" s="163">
        <v>1</v>
      </c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4">
        <f>IF(MIN(F18,J18,N18,R18,V18,Z18)&lt;&gt;0,MIN(F18,J18,N18,R18,V18,Z18),"")</f>
        <v>66</v>
      </c>
      <c r="AE18" s="164">
        <f>IF(MIN(H18,L18,P18,T18,X18,AB18)&lt;&gt;0,MIN(H18,L18,P18,T18,X18,AB18),"")</f>
        <v>77</v>
      </c>
      <c r="AF18" s="164">
        <v>68</v>
      </c>
      <c r="AG18" s="163">
        <v>2</v>
      </c>
      <c r="AH18" s="164">
        <v>79</v>
      </c>
      <c r="AI18" s="163">
        <v>2</v>
      </c>
      <c r="AJ18" s="162">
        <f>IF(AD18="","",IF(ISBLANK(AF18),"En cours",AD18+AF18))</f>
        <v>134</v>
      </c>
      <c r="AK18" s="162">
        <f>IF(AE18="","",IF(ISBLANK(AH18),"En cours",AE18+AH18))</f>
        <v>156</v>
      </c>
    </row>
    <row r="19" spans="2:37" ht="21" x14ac:dyDescent="0.35">
      <c r="B19" s="163" t="s">
        <v>167</v>
      </c>
      <c r="C19" s="163" t="s">
        <v>104</v>
      </c>
      <c r="D19" s="163">
        <v>18.899999999999999</v>
      </c>
      <c r="E19" s="163" t="s">
        <v>205</v>
      </c>
      <c r="F19" s="163">
        <v>74</v>
      </c>
      <c r="G19" s="163">
        <v>15</v>
      </c>
      <c r="H19" s="163">
        <v>89</v>
      </c>
      <c r="I19" s="163">
        <v>8</v>
      </c>
      <c r="J19" s="163">
        <v>75</v>
      </c>
      <c r="K19" s="163">
        <v>14</v>
      </c>
      <c r="L19" s="163">
        <v>90</v>
      </c>
      <c r="M19" s="163">
        <v>4</v>
      </c>
      <c r="N19" s="163">
        <v>78</v>
      </c>
      <c r="O19" s="163">
        <v>26</v>
      </c>
      <c r="P19" s="163">
        <v>93</v>
      </c>
      <c r="Q19" s="163">
        <v>11</v>
      </c>
      <c r="R19" s="163">
        <v>76</v>
      </c>
      <c r="S19" s="163">
        <v>16</v>
      </c>
      <c r="T19" s="163">
        <v>91</v>
      </c>
      <c r="U19" s="163">
        <v>8</v>
      </c>
      <c r="V19" s="163">
        <v>71</v>
      </c>
      <c r="W19" s="163">
        <v>7</v>
      </c>
      <c r="X19" s="163">
        <v>86</v>
      </c>
      <c r="Y19" s="163">
        <v>2</v>
      </c>
      <c r="Z19" s="163">
        <v>71</v>
      </c>
      <c r="AA19" s="163">
        <v>5</v>
      </c>
      <c r="AB19" s="163">
        <v>86</v>
      </c>
      <c r="AC19" s="163">
        <v>1</v>
      </c>
      <c r="AD19" s="164">
        <f>IF(MIN(F19,J19,N19,R19,V19,Z19)&lt;&gt;0,MIN(F19,J19,N19,R19,V19,Z19),"")</f>
        <v>71</v>
      </c>
      <c r="AE19" s="164">
        <f>IF(MIN(H19,L19,P19,T19,X19,AB19)&lt;&gt;0,MIN(H19,L19,P19,T19,X19,AB19),"")</f>
        <v>86</v>
      </c>
      <c r="AF19" s="164">
        <v>75</v>
      </c>
      <c r="AG19" s="163">
        <v>24</v>
      </c>
      <c r="AH19" s="164">
        <v>90</v>
      </c>
      <c r="AI19" s="163">
        <v>12</v>
      </c>
      <c r="AJ19" s="162">
        <f>IF(AD19="","",IF(ISBLANK(AF19),"En cours",AD19+AF19))</f>
        <v>146</v>
      </c>
      <c r="AK19" s="162">
        <f>IF(AE19="","",IF(ISBLANK(AH19),"En cours",AE19+AH19))</f>
        <v>176</v>
      </c>
    </row>
    <row r="20" spans="2:37" ht="21" x14ac:dyDescent="0.35">
      <c r="B20" s="163" t="s">
        <v>235</v>
      </c>
      <c r="C20" s="163" t="s">
        <v>104</v>
      </c>
      <c r="D20" s="163">
        <v>21.4</v>
      </c>
      <c r="E20" s="163" t="s">
        <v>205</v>
      </c>
      <c r="F20" s="163"/>
      <c r="G20" s="163"/>
      <c r="H20" s="163"/>
      <c r="I20" s="163"/>
      <c r="J20" s="163">
        <v>74</v>
      </c>
      <c r="K20" s="163">
        <v>11</v>
      </c>
      <c r="L20" s="163">
        <v>92</v>
      </c>
      <c r="M20" s="163">
        <v>6</v>
      </c>
      <c r="N20" s="163"/>
      <c r="O20" s="163"/>
      <c r="P20" s="163"/>
      <c r="Q20" s="163"/>
      <c r="R20" s="163">
        <v>83</v>
      </c>
      <c r="S20" s="163">
        <v>29</v>
      </c>
      <c r="T20" s="163">
        <v>101</v>
      </c>
      <c r="U20" s="163">
        <v>28</v>
      </c>
      <c r="V20" s="163">
        <v>68</v>
      </c>
      <c r="W20" s="163">
        <v>4</v>
      </c>
      <c r="X20" s="163">
        <v>86</v>
      </c>
      <c r="Y20" s="163">
        <v>4</v>
      </c>
      <c r="Z20" s="163"/>
      <c r="AA20" s="163"/>
      <c r="AB20" s="163"/>
      <c r="AC20" s="163"/>
      <c r="AD20" s="164">
        <f>IF(MIN(F20,J20,N20,R20,V20,Z20)&lt;&gt;0,MIN(F20,J20,N20,R20,V20,Z20),"")</f>
        <v>68</v>
      </c>
      <c r="AE20" s="164">
        <f>IF(MIN(H20,L20,P20,T20,X20,AB20)&lt;&gt;0,MIN(H20,L20,P20,T20,X20,AB20),"")</f>
        <v>86</v>
      </c>
      <c r="AF20" s="164">
        <v>82</v>
      </c>
      <c r="AG20" s="163">
        <v>36</v>
      </c>
      <c r="AH20" s="164">
        <v>100</v>
      </c>
      <c r="AI20" s="163">
        <v>36</v>
      </c>
      <c r="AJ20" s="162">
        <f>IF(AD20="","",IF(ISBLANK(AF20),"En cours",AD20+AF20))</f>
        <v>150</v>
      </c>
      <c r="AK20" s="162">
        <f>IF(AE20="","",IF(ISBLANK(AH20),"En cours",AE20+AH20))</f>
        <v>186</v>
      </c>
    </row>
    <row r="21" spans="2:37" ht="21" x14ac:dyDescent="0.35">
      <c r="B21" s="163" t="s">
        <v>293</v>
      </c>
      <c r="C21" s="163" t="s">
        <v>104</v>
      </c>
      <c r="D21" s="163">
        <v>15.7</v>
      </c>
      <c r="E21" s="163" t="s">
        <v>202</v>
      </c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>
        <v>75</v>
      </c>
      <c r="S21" s="163">
        <v>18</v>
      </c>
      <c r="T21" s="163">
        <v>90</v>
      </c>
      <c r="U21" s="163">
        <v>20</v>
      </c>
      <c r="V21" s="163"/>
      <c r="W21" s="163"/>
      <c r="X21" s="163"/>
      <c r="Y21" s="163"/>
      <c r="Z21" s="163">
        <v>71</v>
      </c>
      <c r="AA21" s="163">
        <v>5</v>
      </c>
      <c r="AB21" s="163">
        <v>86</v>
      </c>
      <c r="AC21" s="163">
        <v>6</v>
      </c>
      <c r="AD21" s="164">
        <f>IF(MIN(F21,J21,N21,R21,V21,Z21)&lt;&gt;0,MIN(F21,J21,N21,R21,V21,Z21),"")</f>
        <v>71</v>
      </c>
      <c r="AE21" s="164">
        <f>IF(MIN(H21,L21,P21,T21,X21,AB21)&lt;&gt;0,MIN(H21,L21,P21,T21,X21,AB21),"")</f>
        <v>86</v>
      </c>
      <c r="AF21" s="164">
        <v>69</v>
      </c>
      <c r="AG21" s="163">
        <v>5</v>
      </c>
      <c r="AH21" s="164">
        <v>84</v>
      </c>
      <c r="AI21" s="163">
        <v>6</v>
      </c>
      <c r="AJ21" s="162">
        <f>IF(AD21="","",IF(ISBLANK(AF21),"En cours",AD21+AF21))</f>
        <v>140</v>
      </c>
      <c r="AK21" s="162">
        <f>IF(AE21="","",IF(ISBLANK(AH21),"En cours",AE21+AH21))</f>
        <v>170</v>
      </c>
    </row>
    <row r="22" spans="2:37" ht="21" x14ac:dyDescent="0.35">
      <c r="B22" s="163" t="s">
        <v>136</v>
      </c>
      <c r="C22" s="163" t="s">
        <v>104</v>
      </c>
      <c r="D22" s="163">
        <v>11.9</v>
      </c>
      <c r="E22" s="163" t="s">
        <v>202</v>
      </c>
      <c r="F22" s="163">
        <v>76</v>
      </c>
      <c r="G22" s="163">
        <v>18</v>
      </c>
      <c r="H22" s="163">
        <v>87</v>
      </c>
      <c r="I22" s="163">
        <v>13</v>
      </c>
      <c r="J22" s="163">
        <v>82</v>
      </c>
      <c r="K22" s="163">
        <v>32</v>
      </c>
      <c r="L22" s="163">
        <v>93</v>
      </c>
      <c r="M22" s="163">
        <v>25</v>
      </c>
      <c r="N22" s="163">
        <v>71</v>
      </c>
      <c r="O22" s="163">
        <v>6</v>
      </c>
      <c r="P22" s="163">
        <v>82</v>
      </c>
      <c r="Q22" s="163">
        <v>5</v>
      </c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4">
        <f>IF(MIN(F22,J22,N22,R22,V22,Z22)&lt;&gt;0,MIN(F22,J22,N22,R22,V22,Z22),"")</f>
        <v>71</v>
      </c>
      <c r="AE22" s="164">
        <f>IF(MIN(H22,L22,P22,T22,X22,AB22)&lt;&gt;0,MIN(H22,L22,P22,T22,X22,AB22),"")</f>
        <v>82</v>
      </c>
      <c r="AF22" s="164"/>
      <c r="AG22" s="163"/>
      <c r="AH22" s="164"/>
      <c r="AI22" s="163"/>
      <c r="AJ22" s="162" t="str">
        <f>IF(AD22="","",IF(ISBLANK(AF22),"En cours",AD22+AF22))</f>
        <v>En cours</v>
      </c>
      <c r="AK22" s="162" t="str">
        <f>IF(AE22="","",IF(ISBLANK(AH22),"En cours",AE22+AH22))</f>
        <v>En cours</v>
      </c>
    </row>
    <row r="23" spans="2:37" ht="21" x14ac:dyDescent="0.35">
      <c r="B23" s="163" t="s">
        <v>107</v>
      </c>
      <c r="C23" s="163" t="s">
        <v>108</v>
      </c>
      <c r="D23" s="163">
        <v>5.4</v>
      </c>
      <c r="E23" s="163" t="s">
        <v>203</v>
      </c>
      <c r="F23" s="163">
        <v>71</v>
      </c>
      <c r="G23" s="163">
        <v>5</v>
      </c>
      <c r="H23" s="163">
        <v>78</v>
      </c>
      <c r="I23" s="163">
        <v>4</v>
      </c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4">
        <f>IF(MIN(F23,J23,N23,R23,V23,Z23)&lt;&gt;0,MIN(F23,J23,N23,R23,V23,Z23),"")</f>
        <v>71</v>
      </c>
      <c r="AE23" s="164">
        <f>IF(MIN(H23,L23,P23,T23,X23,AB23)&lt;&gt;0,MIN(H23,L23,P23,T23,X23,AB23),"")</f>
        <v>78</v>
      </c>
      <c r="AF23" s="164"/>
      <c r="AG23" s="163"/>
      <c r="AH23" s="164"/>
      <c r="AI23" s="163"/>
      <c r="AJ23" s="162" t="str">
        <f>IF(AD23="","",IF(ISBLANK(AF23),"En cours",AD23+AF23))</f>
        <v>En cours</v>
      </c>
      <c r="AK23" s="162" t="str">
        <f>IF(AE23="","",IF(ISBLANK(AH23),"En cours",AE23+AH23))</f>
        <v>En cours</v>
      </c>
    </row>
    <row r="24" spans="2:37" ht="21" x14ac:dyDescent="0.35">
      <c r="B24" s="163" t="s">
        <v>163</v>
      </c>
      <c r="C24" s="163" t="s">
        <v>104</v>
      </c>
      <c r="D24" s="163">
        <v>22.7</v>
      </c>
      <c r="E24" s="163" t="s">
        <v>205</v>
      </c>
      <c r="F24" s="163">
        <v>68</v>
      </c>
      <c r="G24" s="163">
        <v>5</v>
      </c>
      <c r="H24" s="163">
        <v>87</v>
      </c>
      <c r="I24" s="163">
        <v>4</v>
      </c>
      <c r="J24" s="163">
        <v>79</v>
      </c>
      <c r="K24" s="163">
        <v>27</v>
      </c>
      <c r="L24" s="163">
        <v>98</v>
      </c>
      <c r="M24" s="163">
        <v>26</v>
      </c>
      <c r="N24" s="163">
        <v>76</v>
      </c>
      <c r="O24" s="163">
        <v>21</v>
      </c>
      <c r="P24" s="163">
        <v>95</v>
      </c>
      <c r="Q24" s="163">
        <v>18</v>
      </c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4">
        <f>IF(MIN(F24,J24,N24,R24,V24,Z24)&lt;&gt;0,MIN(F24,J24,N24,R24,V24,Z24),"")</f>
        <v>68</v>
      </c>
      <c r="AE24" s="164">
        <f>IF(MIN(H24,L24,P24,T24,X24,AB24)&lt;&gt;0,MIN(H24,L24,P24,T24,X24,AB24),"")</f>
        <v>87</v>
      </c>
      <c r="AF24" s="164">
        <v>72</v>
      </c>
      <c r="AG24" s="163">
        <v>15</v>
      </c>
      <c r="AH24" s="164">
        <v>91</v>
      </c>
      <c r="AI24" s="163">
        <v>17</v>
      </c>
      <c r="AJ24" s="162">
        <f>IF(AD24="","",IF(ISBLANK(AF24),"En cours",AD24+AF24))</f>
        <v>140</v>
      </c>
      <c r="AK24" s="162">
        <f>IF(AE24="","",IF(ISBLANK(AH24),"En cours",AE24+AH24))</f>
        <v>178</v>
      </c>
    </row>
    <row r="25" spans="2:37" ht="21" x14ac:dyDescent="0.35">
      <c r="B25" s="163" t="s">
        <v>302</v>
      </c>
      <c r="C25" s="163" t="s">
        <v>104</v>
      </c>
      <c r="D25" s="163">
        <v>19.399999999999999</v>
      </c>
      <c r="E25" s="163" t="s">
        <v>205</v>
      </c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>
        <v>77</v>
      </c>
      <c r="S25" s="163">
        <v>21</v>
      </c>
      <c r="T25" s="163">
        <v>93</v>
      </c>
      <c r="U25" s="163">
        <v>12</v>
      </c>
      <c r="V25" s="163"/>
      <c r="W25" s="163"/>
      <c r="X25" s="163"/>
      <c r="Y25" s="163"/>
      <c r="Z25" s="163"/>
      <c r="AA25" s="163"/>
      <c r="AB25" s="163"/>
      <c r="AC25" s="163"/>
      <c r="AD25" s="164">
        <f>IF(MIN(F25,J25,N25,R25,V25,Z25)&lt;&gt;0,MIN(F25,J25,N25,R25,V25,Z25),"")</f>
        <v>77</v>
      </c>
      <c r="AE25" s="164">
        <f>IF(MIN(H25,L25,P25,T25,X25,AB25)&lt;&gt;0,MIN(H25,L25,P25,T25,X25,AB25),"")</f>
        <v>93</v>
      </c>
      <c r="AF25" s="164">
        <v>73</v>
      </c>
      <c r="AG25" s="163">
        <v>18</v>
      </c>
      <c r="AH25" s="164">
        <v>89</v>
      </c>
      <c r="AI25" s="163">
        <v>9</v>
      </c>
      <c r="AJ25" s="162">
        <f>IF(AD25="","",IF(ISBLANK(AF25),"En cours",AD25+AF25))</f>
        <v>150</v>
      </c>
      <c r="AK25" s="162">
        <f>IF(AE25="","",IF(ISBLANK(AH25),"En cours",AE25+AH25))</f>
        <v>182</v>
      </c>
    </row>
    <row r="26" spans="2:37" ht="21" x14ac:dyDescent="0.35">
      <c r="B26" s="163" t="s">
        <v>224</v>
      </c>
      <c r="C26" s="163" t="s">
        <v>104</v>
      </c>
      <c r="D26" s="163">
        <v>16.100000000000001</v>
      </c>
      <c r="E26" s="163" t="s">
        <v>202</v>
      </c>
      <c r="F26" s="163"/>
      <c r="G26" s="163"/>
      <c r="H26" s="163"/>
      <c r="I26" s="163"/>
      <c r="J26" s="163">
        <v>78</v>
      </c>
      <c r="K26" s="163">
        <v>21</v>
      </c>
      <c r="L26" s="163">
        <v>93</v>
      </c>
      <c r="M26" s="163">
        <v>24</v>
      </c>
      <c r="N26" s="163"/>
      <c r="O26" s="163"/>
      <c r="P26" s="163"/>
      <c r="Q26" s="163"/>
      <c r="R26" s="163">
        <v>72</v>
      </c>
      <c r="S26" s="163">
        <v>13</v>
      </c>
      <c r="T26" s="163">
        <v>87</v>
      </c>
      <c r="U26" s="163">
        <v>15</v>
      </c>
      <c r="V26" s="163"/>
      <c r="W26" s="163"/>
      <c r="X26" s="163"/>
      <c r="Y26" s="163"/>
      <c r="Z26" s="163">
        <v>76</v>
      </c>
      <c r="AA26" s="163">
        <v>15</v>
      </c>
      <c r="AB26" s="163">
        <v>91</v>
      </c>
      <c r="AC26" s="163">
        <v>18</v>
      </c>
      <c r="AD26" s="164">
        <f>IF(MIN(F26,J26,N26,R26,V26,Z26)&lt;&gt;0,MIN(F26,J26,N26,R26,V26,Z26),"")</f>
        <v>72</v>
      </c>
      <c r="AE26" s="164">
        <f>IF(MIN(H26,L26,P26,T26,X26,AB26)&lt;&gt;0,MIN(H26,L26,P26,T26,X26,AB26),"")</f>
        <v>87</v>
      </c>
      <c r="AF26" s="164">
        <v>76</v>
      </c>
      <c r="AG26" s="163">
        <v>18</v>
      </c>
      <c r="AH26" s="164">
        <v>91</v>
      </c>
      <c r="AI26" s="163">
        <v>24</v>
      </c>
      <c r="AJ26" s="162">
        <f>IF(AD26="","",IF(ISBLANK(AF26),"En cours",AD26+AF26))</f>
        <v>148</v>
      </c>
      <c r="AK26" s="162">
        <f>IF(AE26="","",IF(ISBLANK(AH26),"En cours",AE26+AH26))</f>
        <v>178</v>
      </c>
    </row>
    <row r="27" spans="2:37" ht="21" x14ac:dyDescent="0.35">
      <c r="B27" s="163" t="s">
        <v>307</v>
      </c>
      <c r="C27" s="163" t="s">
        <v>104</v>
      </c>
      <c r="D27" s="163">
        <v>23.7</v>
      </c>
      <c r="E27" s="163" t="s">
        <v>205</v>
      </c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>
        <v>78</v>
      </c>
      <c r="S27" s="163">
        <v>22</v>
      </c>
      <c r="T27" s="163">
        <v>98</v>
      </c>
      <c r="U27" s="163">
        <v>22</v>
      </c>
      <c r="V27" s="163"/>
      <c r="W27" s="163"/>
      <c r="X27" s="163"/>
      <c r="Y27" s="163"/>
      <c r="Z27" s="163">
        <v>75</v>
      </c>
      <c r="AA27" s="163">
        <v>8</v>
      </c>
      <c r="AB27" s="163">
        <v>95</v>
      </c>
      <c r="AC27" s="163">
        <v>13</v>
      </c>
      <c r="AD27" s="164">
        <f>IF(MIN(F27,J27,N27,R27,V27,Z27)&lt;&gt;0,MIN(F27,J27,N27,R27,V27,Z27),"")</f>
        <v>75</v>
      </c>
      <c r="AE27" s="164">
        <f>IF(MIN(H27,L27,P27,T27,X27,AB27)&lt;&gt;0,MIN(H27,L27,P27,T27,X27,AB27),"")</f>
        <v>95</v>
      </c>
      <c r="AF27" s="164"/>
      <c r="AG27" s="163"/>
      <c r="AH27" s="164"/>
      <c r="AI27" s="163"/>
      <c r="AJ27" s="162" t="str">
        <f>IF(AD27="","",IF(ISBLANK(AF27),"En cours",AD27+AF27))</f>
        <v>En cours</v>
      </c>
      <c r="AK27" s="162" t="str">
        <f>IF(AE27="","",IF(ISBLANK(AH27),"En cours",AE27+AH27))</f>
        <v>En cours</v>
      </c>
    </row>
    <row r="28" spans="2:37" ht="21" x14ac:dyDescent="0.35">
      <c r="B28" s="163" t="s">
        <v>259</v>
      </c>
      <c r="C28" s="163" t="s">
        <v>104</v>
      </c>
      <c r="D28" s="163">
        <v>14.3</v>
      </c>
      <c r="E28" s="163" t="s">
        <v>202</v>
      </c>
      <c r="F28" s="163"/>
      <c r="G28" s="163"/>
      <c r="H28" s="163"/>
      <c r="I28" s="163"/>
      <c r="J28" s="163"/>
      <c r="K28" s="163"/>
      <c r="L28" s="163"/>
      <c r="M28" s="163"/>
      <c r="N28" s="163">
        <v>74</v>
      </c>
      <c r="O28" s="163">
        <v>13</v>
      </c>
      <c r="P28" s="163">
        <v>87</v>
      </c>
      <c r="Q28" s="163">
        <v>11</v>
      </c>
      <c r="R28" s="163">
        <v>74</v>
      </c>
      <c r="S28" s="163">
        <v>15</v>
      </c>
      <c r="T28" s="163">
        <v>87</v>
      </c>
      <c r="U28" s="163">
        <v>13</v>
      </c>
      <c r="V28" s="163">
        <v>77</v>
      </c>
      <c r="W28" s="163">
        <v>17</v>
      </c>
      <c r="X28" s="163">
        <v>90</v>
      </c>
      <c r="Y28" s="163">
        <v>16</v>
      </c>
      <c r="Z28" s="163">
        <v>81</v>
      </c>
      <c r="AA28" s="163">
        <v>26</v>
      </c>
      <c r="AB28" s="163">
        <v>94</v>
      </c>
      <c r="AC28" s="163">
        <v>24</v>
      </c>
      <c r="AD28" s="164">
        <f>IF(MIN(F28,J28,N28,R28,V28,Z28)&lt;&gt;0,MIN(F28,J28,N28,R28,V28,Z28),"")</f>
        <v>74</v>
      </c>
      <c r="AE28" s="164">
        <f>IF(MIN(H28,L28,P28,T28,X28,AB28)&lt;&gt;0,MIN(H28,L28,P28,T28,X28,AB28),"")</f>
        <v>87</v>
      </c>
      <c r="AF28" s="164">
        <v>80</v>
      </c>
      <c r="AG28" s="163">
        <v>35</v>
      </c>
      <c r="AH28" s="164">
        <v>93</v>
      </c>
      <c r="AI28" s="163">
        <v>29</v>
      </c>
      <c r="AJ28" s="162">
        <f>IF(AD28="","",IF(ISBLANK(AF28),"En cours",AD28+AF28))</f>
        <v>154</v>
      </c>
      <c r="AK28" s="162">
        <f>IF(AE28="","",IF(ISBLANK(AH28),"En cours",AE28+AH28))</f>
        <v>180</v>
      </c>
    </row>
    <row r="29" spans="2:37" ht="21" x14ac:dyDescent="0.35">
      <c r="B29" s="163" t="s">
        <v>139</v>
      </c>
      <c r="C29" s="163" t="s">
        <v>104</v>
      </c>
      <c r="D29" s="163">
        <v>12.9</v>
      </c>
      <c r="E29" s="163" t="s">
        <v>202</v>
      </c>
      <c r="F29" s="163">
        <v>76</v>
      </c>
      <c r="G29" s="163">
        <v>19</v>
      </c>
      <c r="H29" s="163">
        <v>88</v>
      </c>
      <c r="I29" s="163">
        <v>16</v>
      </c>
      <c r="J29" s="163">
        <v>72</v>
      </c>
      <c r="K29" s="163">
        <v>9</v>
      </c>
      <c r="L29" s="163">
        <v>84</v>
      </c>
      <c r="M29" s="163">
        <v>3</v>
      </c>
      <c r="N29" s="163">
        <v>67</v>
      </c>
      <c r="O29" s="163">
        <v>3</v>
      </c>
      <c r="P29" s="163">
        <v>79</v>
      </c>
      <c r="Q29" s="163">
        <v>4</v>
      </c>
      <c r="R29" s="163">
        <v>67</v>
      </c>
      <c r="S29" s="163">
        <v>2</v>
      </c>
      <c r="T29" s="163">
        <v>79</v>
      </c>
      <c r="U29" s="163">
        <v>2</v>
      </c>
      <c r="V29" s="163">
        <v>71</v>
      </c>
      <c r="W29" s="163">
        <v>5</v>
      </c>
      <c r="X29" s="163">
        <v>83</v>
      </c>
      <c r="Y29" s="163">
        <v>3</v>
      </c>
      <c r="Z29" s="163">
        <v>75</v>
      </c>
      <c r="AA29" s="163">
        <v>13</v>
      </c>
      <c r="AB29" s="163">
        <v>87</v>
      </c>
      <c r="AC29" s="163">
        <v>9</v>
      </c>
      <c r="AD29" s="164">
        <f>IF(MIN(F29,J29,N29,R29,V29,Z29)&lt;&gt;0,MIN(F29,J29,N29,R29,V29,Z29),"")</f>
        <v>67</v>
      </c>
      <c r="AE29" s="164">
        <f>IF(MIN(H29,L29,P29,T29,X29,AB29)&lt;&gt;0,MIN(H29,L29,P29,T29,X29,AB29),"")</f>
        <v>79</v>
      </c>
      <c r="AF29" s="164">
        <v>79</v>
      </c>
      <c r="AG29" s="163">
        <v>30</v>
      </c>
      <c r="AH29" s="164">
        <v>91</v>
      </c>
      <c r="AI29" s="163">
        <v>20</v>
      </c>
      <c r="AJ29" s="162">
        <f>IF(AD29="","",IF(ISBLANK(AF29),"En cours",AD29+AF29))</f>
        <v>146</v>
      </c>
      <c r="AK29" s="162">
        <f>IF(AE29="","",IF(ISBLANK(AH29),"En cours",AE29+AH29))</f>
        <v>170</v>
      </c>
    </row>
    <row r="30" spans="2:37" ht="21" x14ac:dyDescent="0.35">
      <c r="B30" s="163" t="s">
        <v>149</v>
      </c>
      <c r="C30" s="163" t="s">
        <v>104</v>
      </c>
      <c r="D30" s="163">
        <v>13.7</v>
      </c>
      <c r="E30" s="163" t="s">
        <v>202</v>
      </c>
      <c r="F30" s="163">
        <v>79</v>
      </c>
      <c r="G30" s="163">
        <v>28</v>
      </c>
      <c r="H30" s="163">
        <v>92</v>
      </c>
      <c r="I30" s="163">
        <v>25</v>
      </c>
      <c r="J30" s="163"/>
      <c r="K30" s="163"/>
      <c r="L30" s="163"/>
      <c r="M30" s="163"/>
      <c r="N30" s="163">
        <v>80</v>
      </c>
      <c r="O30" s="163">
        <v>26</v>
      </c>
      <c r="P30" s="163">
        <v>93</v>
      </c>
      <c r="Q30" s="163">
        <v>22</v>
      </c>
      <c r="R30" s="163">
        <v>66</v>
      </c>
      <c r="S30" s="163">
        <v>1</v>
      </c>
      <c r="T30" s="163">
        <v>79</v>
      </c>
      <c r="U30" s="163">
        <v>1</v>
      </c>
      <c r="V30" s="163"/>
      <c r="W30" s="163"/>
      <c r="X30" s="163"/>
      <c r="Y30" s="163"/>
      <c r="Z30" s="163"/>
      <c r="AA30" s="163"/>
      <c r="AB30" s="163"/>
      <c r="AC30" s="163"/>
      <c r="AD30" s="164">
        <f>IF(MIN(F30,J30,N30,R30,V30,Z30)&lt;&gt;0,MIN(F30,J30,N30,R30,V30,Z30),"")</f>
        <v>66</v>
      </c>
      <c r="AE30" s="164">
        <f>IF(MIN(H30,L30,P30,T30,X30,AB30)&lt;&gt;0,MIN(H30,L30,P30,T30,X30,AB30),"")</f>
        <v>79</v>
      </c>
      <c r="AF30" s="164"/>
      <c r="AG30" s="163"/>
      <c r="AH30" s="164"/>
      <c r="AI30" s="163"/>
      <c r="AJ30" s="162" t="str">
        <f>IF(AD30="","",IF(ISBLANK(AF30),"En cours",AD30+AF30))</f>
        <v>En cours</v>
      </c>
      <c r="AK30" s="162" t="str">
        <f>IF(AE30="","",IF(ISBLANK(AH30),"En cours",AE30+AH30))</f>
        <v>En cours</v>
      </c>
    </row>
    <row r="31" spans="2:37" ht="21" x14ac:dyDescent="0.35">
      <c r="B31" s="163" t="s">
        <v>301</v>
      </c>
      <c r="C31" s="163" t="s">
        <v>104</v>
      </c>
      <c r="D31" s="163">
        <v>22.4</v>
      </c>
      <c r="E31" s="163" t="s">
        <v>205</v>
      </c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>
        <v>74</v>
      </c>
      <c r="S31" s="163">
        <v>12</v>
      </c>
      <c r="T31" s="163">
        <v>93</v>
      </c>
      <c r="U31" s="163">
        <v>11</v>
      </c>
      <c r="V31" s="163">
        <v>79</v>
      </c>
      <c r="W31" s="163">
        <v>16</v>
      </c>
      <c r="X31" s="163">
        <v>98</v>
      </c>
      <c r="Y31" s="163">
        <v>15</v>
      </c>
      <c r="Z31" s="163"/>
      <c r="AA31" s="163"/>
      <c r="AB31" s="163"/>
      <c r="AC31" s="163"/>
      <c r="AD31" s="164">
        <f>IF(MIN(F31,J31,N31,R31,V31,Z31)&lt;&gt;0,MIN(F31,J31,N31,R31,V31,Z31),"")</f>
        <v>74</v>
      </c>
      <c r="AE31" s="164">
        <f>IF(MIN(H31,L31,P31,T31,X31,AB31)&lt;&gt;0,MIN(H31,L31,P31,T31,X31,AB31),"")</f>
        <v>93</v>
      </c>
      <c r="AF31" s="164">
        <v>66</v>
      </c>
      <c r="AG31" s="163">
        <v>2</v>
      </c>
      <c r="AH31" s="164">
        <v>85</v>
      </c>
      <c r="AI31" s="163">
        <v>1</v>
      </c>
      <c r="AJ31" s="162">
        <f>IF(AD31="","",IF(ISBLANK(AF31),"En cours",AD31+AF31))</f>
        <v>140</v>
      </c>
      <c r="AK31" s="162">
        <f>IF(AE31="","",IF(ISBLANK(AH31),"En cours",AE31+AH31))</f>
        <v>178</v>
      </c>
    </row>
    <row r="32" spans="2:37" ht="21" x14ac:dyDescent="0.35">
      <c r="B32" s="163" t="s">
        <v>270</v>
      </c>
      <c r="C32" s="163" t="s">
        <v>104</v>
      </c>
      <c r="D32" s="163">
        <v>27.7</v>
      </c>
      <c r="E32" s="163" t="s">
        <v>204</v>
      </c>
      <c r="F32" s="163"/>
      <c r="G32" s="163"/>
      <c r="H32" s="163"/>
      <c r="I32" s="163"/>
      <c r="J32" s="163"/>
      <c r="K32" s="163"/>
      <c r="L32" s="163"/>
      <c r="M32" s="163"/>
      <c r="N32" s="163">
        <v>75</v>
      </c>
      <c r="O32" s="163">
        <v>19</v>
      </c>
      <c r="P32" s="163">
        <v>96</v>
      </c>
      <c r="Q32" s="163">
        <v>23</v>
      </c>
      <c r="R32" s="163"/>
      <c r="S32" s="163"/>
      <c r="T32" s="163"/>
      <c r="U32" s="163"/>
      <c r="V32" s="163">
        <v>70</v>
      </c>
      <c r="W32" s="163">
        <v>6</v>
      </c>
      <c r="X32" s="163">
        <v>91</v>
      </c>
      <c r="Y32" s="163">
        <v>8</v>
      </c>
      <c r="Z32" s="163"/>
      <c r="AA32" s="163"/>
      <c r="AB32" s="163"/>
      <c r="AC32" s="163"/>
      <c r="AD32" s="164">
        <f>IF(MIN(F32,J32,N32,R32,V32,Z32)&lt;&gt;0,MIN(F32,J32,N32,R32,V32,Z32),"")</f>
        <v>70</v>
      </c>
      <c r="AE32" s="164">
        <f>IF(MIN(H32,L32,P32,T32,X32,AB32)&lt;&gt;0,MIN(H32,L32,P32,T32,X32,AB32),"")</f>
        <v>91</v>
      </c>
      <c r="AF32" s="164">
        <v>72</v>
      </c>
      <c r="AG32" s="163">
        <v>16</v>
      </c>
      <c r="AH32" s="164">
        <v>93</v>
      </c>
      <c r="AI32" s="163">
        <v>22</v>
      </c>
      <c r="AJ32" s="162">
        <f>IF(AD32="","",IF(ISBLANK(AF32),"En cours",AD32+AF32))</f>
        <v>142</v>
      </c>
      <c r="AK32" s="162">
        <f>IF(AE32="","",IF(ISBLANK(AH32),"En cours",AE32+AH32))</f>
        <v>184</v>
      </c>
    </row>
    <row r="33" spans="2:37" ht="21" x14ac:dyDescent="0.35">
      <c r="B33" s="163" t="s">
        <v>319</v>
      </c>
      <c r="C33" s="163" t="s">
        <v>104</v>
      </c>
      <c r="D33" s="163">
        <v>1.2</v>
      </c>
      <c r="E33" s="163" t="s">
        <v>203</v>
      </c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>
        <v>83</v>
      </c>
      <c r="W33" s="163">
        <v>10</v>
      </c>
      <c r="X33" s="163">
        <v>85</v>
      </c>
      <c r="Y33" s="163">
        <v>5</v>
      </c>
      <c r="Z33" s="163"/>
      <c r="AA33" s="163"/>
      <c r="AB33" s="163"/>
      <c r="AC33" s="163"/>
      <c r="AD33" s="164">
        <f>IF(MIN(F33,J33,N33,R33,V33,Z33)&lt;&gt;0,MIN(F33,J33,N33,R33,V33,Z33),"")</f>
        <v>83</v>
      </c>
      <c r="AE33" s="164">
        <f>IF(MIN(H33,L33,P33,T33,X33,AB33)&lt;&gt;0,MIN(H33,L33,P33,T33,X33,AB33),"")</f>
        <v>85</v>
      </c>
      <c r="AF33" s="164"/>
      <c r="AG33" s="163"/>
      <c r="AH33" s="164"/>
      <c r="AI33" s="163"/>
      <c r="AJ33" s="162" t="str">
        <f>IF(AD33="","",IF(ISBLANK(AF33),"En cours",AD33+AF33))</f>
        <v>En cours</v>
      </c>
      <c r="AK33" s="162" t="str">
        <f>IF(AE33="","",IF(ISBLANK(AH33),"En cours",AE33+AH33))</f>
        <v>En cours</v>
      </c>
    </row>
    <row r="34" spans="2:37" ht="21" x14ac:dyDescent="0.35">
      <c r="B34" s="163" t="s">
        <v>152</v>
      </c>
      <c r="C34" s="163" t="s">
        <v>104</v>
      </c>
      <c r="D34" s="163">
        <v>13.9</v>
      </c>
      <c r="E34" s="163" t="s">
        <v>202</v>
      </c>
      <c r="F34" s="163">
        <v>80</v>
      </c>
      <c r="G34" s="163">
        <v>30</v>
      </c>
      <c r="H34" s="163">
        <v>93</v>
      </c>
      <c r="I34" s="163">
        <v>28</v>
      </c>
      <c r="J34" s="163">
        <v>82</v>
      </c>
      <c r="K34" s="163">
        <v>30</v>
      </c>
      <c r="L34" s="163">
        <v>95</v>
      </c>
      <c r="M34" s="163">
        <v>30</v>
      </c>
      <c r="N34" s="163"/>
      <c r="O34" s="163"/>
      <c r="P34" s="163"/>
      <c r="Q34" s="163"/>
      <c r="R34" s="163">
        <v>70</v>
      </c>
      <c r="S34" s="163">
        <v>4</v>
      </c>
      <c r="T34" s="163">
        <v>83</v>
      </c>
      <c r="U34" s="163">
        <v>3</v>
      </c>
      <c r="V34" s="163">
        <v>78</v>
      </c>
      <c r="W34" s="163">
        <v>20</v>
      </c>
      <c r="X34" s="163">
        <v>91</v>
      </c>
      <c r="Y34" s="163">
        <v>19</v>
      </c>
      <c r="Z34" s="163">
        <v>78</v>
      </c>
      <c r="AA34" s="163">
        <v>22</v>
      </c>
      <c r="AB34" s="163">
        <v>91</v>
      </c>
      <c r="AC34" s="163">
        <v>19</v>
      </c>
      <c r="AD34" s="164">
        <f>IF(MIN(F34,J34,N34,R34,V34,Z34)&lt;&gt;0,MIN(F34,J34,N34,R34,V34,Z34),"")</f>
        <v>70</v>
      </c>
      <c r="AE34" s="164">
        <f>IF(MIN(H34,L34,P34,T34,X34,AB34)&lt;&gt;0,MIN(H34,L34,P34,T34,X34,AB34),"")</f>
        <v>83</v>
      </c>
      <c r="AF34" s="164">
        <v>80</v>
      </c>
      <c r="AG34" s="163">
        <v>33</v>
      </c>
      <c r="AH34" s="164">
        <v>93</v>
      </c>
      <c r="AI34" s="163">
        <v>26</v>
      </c>
      <c r="AJ34" s="162">
        <f>IF(AD34="","",IF(ISBLANK(AF34),"En cours",AD34+AF34))</f>
        <v>150</v>
      </c>
      <c r="AK34" s="162">
        <f>IF(AE34="","",IF(ISBLANK(AH34),"En cours",AE34+AH34))</f>
        <v>176</v>
      </c>
    </row>
    <row r="35" spans="2:37" ht="21" x14ac:dyDescent="0.35">
      <c r="B35" s="163" t="s">
        <v>157</v>
      </c>
      <c r="C35" s="163" t="s">
        <v>104</v>
      </c>
      <c r="D35" s="163">
        <v>16.5</v>
      </c>
      <c r="E35" s="163" t="s">
        <v>202</v>
      </c>
      <c r="F35" s="163">
        <v>83</v>
      </c>
      <c r="G35" s="163">
        <v>32</v>
      </c>
      <c r="H35" s="163">
        <v>99</v>
      </c>
      <c r="I35" s="163">
        <v>33</v>
      </c>
      <c r="J35" s="163">
        <v>86</v>
      </c>
      <c r="K35" s="163">
        <v>35</v>
      </c>
      <c r="L35" s="163">
        <v>102</v>
      </c>
      <c r="M35" s="163">
        <v>36</v>
      </c>
      <c r="N35" s="163"/>
      <c r="O35" s="163"/>
      <c r="P35" s="163"/>
      <c r="Q35" s="163"/>
      <c r="R35" s="163">
        <v>77</v>
      </c>
      <c r="S35" s="163">
        <v>23</v>
      </c>
      <c r="T35" s="163">
        <v>93</v>
      </c>
      <c r="U35" s="163">
        <v>27</v>
      </c>
      <c r="V35" s="163">
        <v>87</v>
      </c>
      <c r="W35" s="163">
        <v>31</v>
      </c>
      <c r="X35" s="163">
        <v>103</v>
      </c>
      <c r="Y35" s="163">
        <v>31</v>
      </c>
      <c r="Z35" s="163">
        <v>81</v>
      </c>
      <c r="AA35" s="163">
        <v>25</v>
      </c>
      <c r="AB35" s="163">
        <v>97</v>
      </c>
      <c r="AC35" s="163">
        <v>26</v>
      </c>
      <c r="AD35" s="164">
        <f>IF(MIN(F35,J35,N35,R35,V35,Z35)&lt;&gt;0,MIN(F35,J35,N35,R35,V35,Z35),"")</f>
        <v>77</v>
      </c>
      <c r="AE35" s="164">
        <f>IF(MIN(H35,L35,P35,T35,X35,AB35)&lt;&gt;0,MIN(H35,L35,P35,T35,X35,AB35),"")</f>
        <v>93</v>
      </c>
      <c r="AF35" s="164">
        <v>79</v>
      </c>
      <c r="AG35" s="163">
        <v>32</v>
      </c>
      <c r="AH35" s="164">
        <v>95</v>
      </c>
      <c r="AI35" s="163">
        <v>36</v>
      </c>
      <c r="AJ35" s="162">
        <f>IF(AD35="","",IF(ISBLANK(AF35),"En cours",AD35+AF35))</f>
        <v>156</v>
      </c>
      <c r="AK35" s="162">
        <f>IF(AE35="","",IF(ISBLANK(AH35),"En cours",AE35+AH35))</f>
        <v>188</v>
      </c>
    </row>
    <row r="36" spans="2:37" ht="21" x14ac:dyDescent="0.35">
      <c r="B36" s="163" t="s">
        <v>245</v>
      </c>
      <c r="C36" s="163" t="s">
        <v>104</v>
      </c>
      <c r="D36" s="163">
        <v>22.6</v>
      </c>
      <c r="E36" s="163" t="s">
        <v>205</v>
      </c>
      <c r="F36" s="163"/>
      <c r="G36" s="163"/>
      <c r="H36" s="163"/>
      <c r="I36" s="163"/>
      <c r="J36" s="163">
        <v>77</v>
      </c>
      <c r="K36" s="163">
        <v>21</v>
      </c>
      <c r="L36" s="163">
        <v>96</v>
      </c>
      <c r="M36" s="163">
        <v>21</v>
      </c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>
        <v>75</v>
      </c>
      <c r="AA36" s="163">
        <v>9</v>
      </c>
      <c r="AB36" s="163">
        <v>94</v>
      </c>
      <c r="AC36" s="163">
        <v>10</v>
      </c>
      <c r="AD36" s="164">
        <f>IF(MIN(F36,J36,N36,R36,V36,Z36)&lt;&gt;0,MIN(F36,J36,N36,R36,V36,Z36),"")</f>
        <v>75</v>
      </c>
      <c r="AE36" s="164">
        <f>IF(MIN(H36,L36,P36,T36,X36,AB36)&lt;&gt;0,MIN(H36,L36,P36,T36,X36,AB36),"")</f>
        <v>94</v>
      </c>
      <c r="AF36" s="164"/>
      <c r="AG36" s="163"/>
      <c r="AH36" s="164"/>
      <c r="AI36" s="163"/>
      <c r="AJ36" s="162" t="str">
        <f>IF(AD36="","",IF(ISBLANK(AF36),"En cours",AD36+AF36))</f>
        <v>En cours</v>
      </c>
      <c r="AK36" s="162" t="str">
        <f>IF(AE36="","",IF(ISBLANK(AH36),"En cours",AE36+AH36))</f>
        <v>En cours</v>
      </c>
    </row>
    <row r="37" spans="2:37" ht="21" x14ac:dyDescent="0.35">
      <c r="B37" s="163" t="s">
        <v>105</v>
      </c>
      <c r="C37" s="163" t="s">
        <v>104</v>
      </c>
      <c r="D37" s="163">
        <v>5.6</v>
      </c>
      <c r="E37" s="163" t="s">
        <v>203</v>
      </c>
      <c r="F37" s="163">
        <v>70</v>
      </c>
      <c r="G37" s="163">
        <v>4</v>
      </c>
      <c r="H37" s="163">
        <v>77</v>
      </c>
      <c r="I37" s="163">
        <v>2</v>
      </c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4">
        <f>IF(MIN(F37,J37,N37,R37,V37,Z37)&lt;&gt;0,MIN(F37,J37,N37,R37,V37,Z37),"")</f>
        <v>70</v>
      </c>
      <c r="AE37" s="164">
        <f>IF(MIN(H37,L37,P37,T37,X37,AB37)&lt;&gt;0,MIN(H37,L37,P37,T37,X37,AB37),"")</f>
        <v>77</v>
      </c>
      <c r="AF37" s="164"/>
      <c r="AG37" s="163"/>
      <c r="AH37" s="164"/>
      <c r="AI37" s="163"/>
      <c r="AJ37" s="162" t="str">
        <f>IF(AD37="","",IF(ISBLANK(AF37),"En cours",AD37+AF37))</f>
        <v>En cours</v>
      </c>
      <c r="AK37" s="162" t="str">
        <f>IF(AE37="","",IF(ISBLANK(AH37),"En cours",AE37+AH37))</f>
        <v>En cours</v>
      </c>
    </row>
    <row r="38" spans="2:37" ht="21" x14ac:dyDescent="0.35">
      <c r="B38" s="163" t="s">
        <v>221</v>
      </c>
      <c r="C38" s="163" t="s">
        <v>104</v>
      </c>
      <c r="D38" s="163">
        <v>15.9</v>
      </c>
      <c r="E38" s="163" t="s">
        <v>202</v>
      </c>
      <c r="F38" s="163"/>
      <c r="G38" s="163"/>
      <c r="H38" s="163"/>
      <c r="I38" s="163"/>
      <c r="J38" s="163">
        <v>76</v>
      </c>
      <c r="K38" s="163">
        <v>15</v>
      </c>
      <c r="L38" s="163">
        <v>91</v>
      </c>
      <c r="M38" s="163">
        <v>18</v>
      </c>
      <c r="N38" s="163"/>
      <c r="O38" s="163"/>
      <c r="P38" s="163"/>
      <c r="Q38" s="163"/>
      <c r="R38" s="163">
        <v>84</v>
      </c>
      <c r="S38" s="163">
        <v>35</v>
      </c>
      <c r="T38" s="163">
        <v>99</v>
      </c>
      <c r="U38" s="163">
        <v>34</v>
      </c>
      <c r="V38" s="163"/>
      <c r="W38" s="163"/>
      <c r="X38" s="163"/>
      <c r="Y38" s="163"/>
      <c r="Z38" s="163">
        <v>77</v>
      </c>
      <c r="AA38" s="163">
        <v>18</v>
      </c>
      <c r="AB38" s="163">
        <v>92</v>
      </c>
      <c r="AC38" s="163">
        <v>20</v>
      </c>
      <c r="AD38" s="164">
        <f>IF(MIN(F38,J38,N38,R38,V38,Z38)&lt;&gt;0,MIN(F38,J38,N38,R38,V38,Z38),"")</f>
        <v>76</v>
      </c>
      <c r="AE38" s="164">
        <f>IF(MIN(H38,L38,P38,T38,X38,AB38)&lt;&gt;0,MIN(H38,L38,P38,T38,X38,AB38),"")</f>
        <v>91</v>
      </c>
      <c r="AF38" s="164"/>
      <c r="AG38" s="163"/>
      <c r="AH38" s="164"/>
      <c r="AI38" s="163"/>
      <c r="AJ38" s="162" t="str">
        <f>IF(AD38="","",IF(ISBLANK(AF38),"En cours",AD38+AF38))</f>
        <v>En cours</v>
      </c>
      <c r="AK38" s="162" t="str">
        <f>IF(AE38="","",IF(ISBLANK(AH38),"En cours",AE38+AH38))</f>
        <v>En cours</v>
      </c>
    </row>
    <row r="39" spans="2:37" ht="21" x14ac:dyDescent="0.35">
      <c r="B39" s="163" t="s">
        <v>181</v>
      </c>
      <c r="C39" s="163" t="s">
        <v>104</v>
      </c>
      <c r="D39" s="163">
        <v>20.6</v>
      </c>
      <c r="E39" s="163" t="s">
        <v>205</v>
      </c>
      <c r="F39" s="163">
        <v>84</v>
      </c>
      <c r="G39" s="163">
        <v>22</v>
      </c>
      <c r="H39" s="163">
        <v>101</v>
      </c>
      <c r="I39" s="163">
        <v>22</v>
      </c>
      <c r="J39" s="163"/>
      <c r="K39" s="163"/>
      <c r="L39" s="163"/>
      <c r="M39" s="163"/>
      <c r="N39" s="163">
        <v>81</v>
      </c>
      <c r="O39" s="163">
        <v>29</v>
      </c>
      <c r="P39" s="163">
        <v>98</v>
      </c>
      <c r="Q39" s="163">
        <v>26</v>
      </c>
      <c r="R39" s="163"/>
      <c r="S39" s="163"/>
      <c r="T39" s="163"/>
      <c r="U39" s="163"/>
      <c r="V39" s="163">
        <v>76</v>
      </c>
      <c r="W39" s="163">
        <v>13</v>
      </c>
      <c r="X39" s="163">
        <v>93</v>
      </c>
      <c r="Y39" s="163">
        <v>10</v>
      </c>
      <c r="Z39" s="163">
        <v>79</v>
      </c>
      <c r="AA39" s="163">
        <v>18</v>
      </c>
      <c r="AB39" s="163">
        <v>96</v>
      </c>
      <c r="AC39" s="163">
        <v>15</v>
      </c>
      <c r="AD39" s="164">
        <f>IF(MIN(F39,J39,N39,R39,V39,Z39)&lt;&gt;0,MIN(F39,J39,N39,R39,V39,Z39),"")</f>
        <v>76</v>
      </c>
      <c r="AE39" s="164">
        <f>IF(MIN(H39,L39,P39,T39,X39,AB39)&lt;&gt;0,MIN(H39,L39,P39,T39,X39,AB39),"")</f>
        <v>93</v>
      </c>
      <c r="AF39" s="164"/>
      <c r="AG39" s="163"/>
      <c r="AH39" s="164"/>
      <c r="AI39" s="163"/>
      <c r="AJ39" s="162" t="str">
        <f>IF(AD39="","",IF(ISBLANK(AF39),"En cours",AD39+AF39))</f>
        <v>En cours</v>
      </c>
      <c r="AK39" s="162" t="str">
        <f>IF(AE39="","",IF(ISBLANK(AH39),"En cours",AE39+AH39))</f>
        <v>En cours</v>
      </c>
    </row>
    <row r="40" spans="2:37" ht="21" x14ac:dyDescent="0.35">
      <c r="B40" s="163" t="s">
        <v>266</v>
      </c>
      <c r="C40" s="163" t="s">
        <v>104</v>
      </c>
      <c r="D40" s="163">
        <v>23.3</v>
      </c>
      <c r="E40" s="163" t="s">
        <v>205</v>
      </c>
      <c r="F40" s="163"/>
      <c r="G40" s="163"/>
      <c r="H40" s="163"/>
      <c r="I40" s="163"/>
      <c r="J40" s="163"/>
      <c r="K40" s="163"/>
      <c r="L40" s="163"/>
      <c r="M40" s="163"/>
      <c r="N40" s="163">
        <v>75</v>
      </c>
      <c r="O40" s="163">
        <v>16</v>
      </c>
      <c r="P40" s="163">
        <v>95</v>
      </c>
      <c r="Q40" s="163">
        <v>16</v>
      </c>
      <c r="R40" s="163"/>
      <c r="S40" s="163"/>
      <c r="T40" s="163"/>
      <c r="U40" s="163"/>
      <c r="V40" s="163">
        <v>76</v>
      </c>
      <c r="W40" s="163">
        <v>12</v>
      </c>
      <c r="X40" s="163">
        <v>96</v>
      </c>
      <c r="Y40" s="163">
        <v>13</v>
      </c>
      <c r="Z40" s="163"/>
      <c r="AA40" s="163"/>
      <c r="AB40" s="163"/>
      <c r="AC40" s="163"/>
      <c r="AD40" s="164">
        <f>IF(MIN(F40,J40,N40,R40,V40,Z40)&lt;&gt;0,MIN(F40,J40,N40,R40,V40,Z40),"")</f>
        <v>75</v>
      </c>
      <c r="AE40" s="164">
        <f>IF(MIN(H40,L40,P40,T40,X40,AB40)&lt;&gt;0,MIN(H40,L40,P40,T40,X40,AB40),"")</f>
        <v>95</v>
      </c>
      <c r="AF40" s="164">
        <v>81</v>
      </c>
      <c r="AG40" s="163">
        <v>34</v>
      </c>
      <c r="AH40" s="164">
        <v>101</v>
      </c>
      <c r="AI40" s="163">
        <v>37</v>
      </c>
      <c r="AJ40" s="162">
        <f>IF(AD40="","",IF(ISBLANK(AF40),"En cours",AD40+AF40))</f>
        <v>156</v>
      </c>
      <c r="AK40" s="162">
        <f>IF(AE40="","",IF(ISBLANK(AH40),"En cours",AE40+AH40))</f>
        <v>196</v>
      </c>
    </row>
    <row r="41" spans="2:37" ht="21" x14ac:dyDescent="0.35">
      <c r="B41" s="163" t="s">
        <v>248</v>
      </c>
      <c r="C41" s="163" t="s">
        <v>104</v>
      </c>
      <c r="D41" s="163">
        <v>23</v>
      </c>
      <c r="E41" s="163" t="s">
        <v>205</v>
      </c>
      <c r="F41" s="163"/>
      <c r="G41" s="163"/>
      <c r="H41" s="163"/>
      <c r="I41" s="163"/>
      <c r="J41" s="163">
        <v>78</v>
      </c>
      <c r="K41" s="163">
        <v>23</v>
      </c>
      <c r="L41" s="163">
        <v>98</v>
      </c>
      <c r="M41" s="163">
        <v>25</v>
      </c>
      <c r="N41" s="163"/>
      <c r="O41" s="163"/>
      <c r="P41" s="163"/>
      <c r="Q41" s="163"/>
      <c r="R41" s="163">
        <v>74</v>
      </c>
      <c r="S41" s="163">
        <v>11</v>
      </c>
      <c r="T41" s="163">
        <v>94</v>
      </c>
      <c r="U41" s="163">
        <v>15</v>
      </c>
      <c r="V41" s="163"/>
      <c r="W41" s="163"/>
      <c r="X41" s="163"/>
      <c r="Y41" s="163"/>
      <c r="Z41" s="163"/>
      <c r="AA41" s="163"/>
      <c r="AB41" s="163"/>
      <c r="AC41" s="163"/>
      <c r="AD41" s="164">
        <f>IF(MIN(F41,J41,N41,R41,V41,Z41)&lt;&gt;0,MIN(F41,J41,N41,R41,V41,Z41),"")</f>
        <v>74</v>
      </c>
      <c r="AE41" s="164">
        <f>IF(MIN(H41,L41,P41,T41,X41,AB41)&lt;&gt;0,MIN(H41,L41,P41,T41,X41,AB41),"")</f>
        <v>94</v>
      </c>
      <c r="AF41" s="164">
        <v>77</v>
      </c>
      <c r="AG41" s="163">
        <v>27</v>
      </c>
      <c r="AH41" s="164">
        <v>97</v>
      </c>
      <c r="AI41" s="163">
        <v>30</v>
      </c>
      <c r="AJ41" s="162">
        <f>IF(AD41="","",IF(ISBLANK(AF41),"En cours",AD41+AF41))</f>
        <v>151</v>
      </c>
      <c r="AK41" s="162">
        <f>IF(AE41="","",IF(ISBLANK(AH41),"En cours",AE41+AH41))</f>
        <v>191</v>
      </c>
    </row>
    <row r="42" spans="2:37" ht="21" x14ac:dyDescent="0.35">
      <c r="B42" s="163" t="s">
        <v>233</v>
      </c>
      <c r="C42" s="163" t="s">
        <v>104</v>
      </c>
      <c r="D42" s="163">
        <v>19.399999999999999</v>
      </c>
      <c r="E42" s="163" t="s">
        <v>205</v>
      </c>
      <c r="F42" s="163"/>
      <c r="G42" s="163"/>
      <c r="H42" s="163"/>
      <c r="I42" s="163"/>
      <c r="J42" s="163">
        <v>72</v>
      </c>
      <c r="K42" s="163">
        <v>7</v>
      </c>
      <c r="L42" s="163">
        <v>88</v>
      </c>
      <c r="M42" s="163">
        <v>3</v>
      </c>
      <c r="N42" s="163"/>
      <c r="O42" s="163"/>
      <c r="P42" s="163"/>
      <c r="Q42" s="163"/>
      <c r="R42" s="163">
        <v>76</v>
      </c>
      <c r="S42" s="163">
        <v>14</v>
      </c>
      <c r="T42" s="163">
        <v>92</v>
      </c>
      <c r="U42" s="163">
        <v>9</v>
      </c>
      <c r="V42" s="163"/>
      <c r="W42" s="163"/>
      <c r="X42" s="163"/>
      <c r="Y42" s="163"/>
      <c r="Z42" s="163"/>
      <c r="AA42" s="163"/>
      <c r="AB42" s="163"/>
      <c r="AC42" s="163"/>
      <c r="AD42" s="164">
        <f>IF(MIN(F42,J42,N42,R42,V42,Z42)&lt;&gt;0,MIN(F42,J42,N42,R42,V42,Z42),"")</f>
        <v>72</v>
      </c>
      <c r="AE42" s="164">
        <f>IF(MIN(H42,L42,P42,T42,X42,AB42)&lt;&gt;0,MIN(H42,L42,P42,T42,X42,AB42),"")</f>
        <v>88</v>
      </c>
      <c r="AF42" s="164"/>
      <c r="AG42" s="163"/>
      <c r="AH42" s="164"/>
      <c r="AI42" s="163"/>
      <c r="AJ42" s="162" t="str">
        <f>IF(AD42="","",IF(ISBLANK(AF42),"En cours",AD42+AF42))</f>
        <v>En cours</v>
      </c>
      <c r="AK42" s="162" t="str">
        <f>IF(AE42="","",IF(ISBLANK(AH42),"En cours",AE42+AH42))</f>
        <v>En cours</v>
      </c>
    </row>
    <row r="43" spans="2:37" ht="21" x14ac:dyDescent="0.35">
      <c r="B43" s="163" t="s">
        <v>172</v>
      </c>
      <c r="C43" s="163" t="s">
        <v>104</v>
      </c>
      <c r="D43" s="163">
        <v>25.9</v>
      </c>
      <c r="E43" s="163" t="s">
        <v>205</v>
      </c>
      <c r="F43" s="163">
        <v>68</v>
      </c>
      <c r="G43" s="163">
        <v>6</v>
      </c>
      <c r="H43" s="163">
        <v>91</v>
      </c>
      <c r="I43" s="163">
        <v>13</v>
      </c>
      <c r="J43" s="163"/>
      <c r="K43" s="163"/>
      <c r="L43" s="163"/>
      <c r="M43" s="163"/>
      <c r="N43" s="163">
        <v>85</v>
      </c>
      <c r="O43" s="163">
        <v>31</v>
      </c>
      <c r="P43" s="163">
        <v>108</v>
      </c>
      <c r="Q43" s="163">
        <v>31</v>
      </c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>
        <f>IF(MIN(F43,J43,N43,R43,V43,Z43)&lt;&gt;0,MIN(F43,J43,N43,R43,V43,Z43),"")</f>
        <v>68</v>
      </c>
      <c r="AE43" s="164">
        <f>IF(MIN(H43,L43,P43,T43,X43,AB43)&lt;&gt;0,MIN(H43,L43,P43,T43,X43,AB43),"")</f>
        <v>91</v>
      </c>
      <c r="AF43" s="164">
        <v>68</v>
      </c>
      <c r="AG43" s="163">
        <v>6</v>
      </c>
      <c r="AH43" s="164">
        <v>91</v>
      </c>
      <c r="AI43" s="163">
        <v>15</v>
      </c>
      <c r="AJ43" s="162">
        <f>IF(AD43="","",IF(ISBLANK(AF43),"En cours",AD43+AF43))</f>
        <v>136</v>
      </c>
      <c r="AK43" s="162">
        <f>IF(AE43="","",IF(ISBLANK(AH43),"En cours",AE43+AH43))</f>
        <v>182</v>
      </c>
    </row>
    <row r="44" spans="2:37" ht="21" x14ac:dyDescent="0.35">
      <c r="B44" s="163" t="s">
        <v>271</v>
      </c>
      <c r="C44" s="163" t="s">
        <v>104</v>
      </c>
      <c r="D44" s="163">
        <v>22.2</v>
      </c>
      <c r="E44" s="163" t="s">
        <v>205</v>
      </c>
      <c r="F44" s="163"/>
      <c r="G44" s="163"/>
      <c r="H44" s="163"/>
      <c r="I44" s="163"/>
      <c r="J44" s="163"/>
      <c r="K44" s="163"/>
      <c r="L44" s="163"/>
      <c r="M44" s="163"/>
      <c r="N44" s="163">
        <v>79</v>
      </c>
      <c r="O44" s="163">
        <v>27</v>
      </c>
      <c r="P44" s="163">
        <v>98</v>
      </c>
      <c r="Q44" s="163">
        <v>27</v>
      </c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4">
        <f>IF(MIN(F44,J44,N44,R44,V44,Z44)&lt;&gt;0,MIN(F44,J44,N44,R44,V44,Z44),"")</f>
        <v>79</v>
      </c>
      <c r="AE44" s="164">
        <f>IF(MIN(H44,L44,P44,T44,X44,AB44)&lt;&gt;0,MIN(H44,L44,P44,T44,X44,AB44),"")</f>
        <v>98</v>
      </c>
      <c r="AF44" s="164"/>
      <c r="AG44" s="163"/>
      <c r="AH44" s="164"/>
      <c r="AI44" s="163"/>
      <c r="AJ44" s="162" t="str">
        <f>IF(AD44="","",IF(ISBLANK(AF44),"En cours",AD44+AF44))</f>
        <v>En cours</v>
      </c>
      <c r="AK44" s="162" t="str">
        <f>IF(AE44="","",IF(ISBLANK(AH44),"En cours",AE44+AH44))</f>
        <v>En cours</v>
      </c>
    </row>
    <row r="45" spans="2:37" ht="21" x14ac:dyDescent="0.35">
      <c r="B45" s="163" t="s">
        <v>303</v>
      </c>
      <c r="C45" s="163" t="s">
        <v>104</v>
      </c>
      <c r="D45" s="163">
        <v>25.1</v>
      </c>
      <c r="E45" s="163" t="s">
        <v>205</v>
      </c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>
        <v>72</v>
      </c>
      <c r="S45" s="163">
        <v>6</v>
      </c>
      <c r="T45" s="163">
        <v>94</v>
      </c>
      <c r="U45" s="163">
        <v>14</v>
      </c>
      <c r="V45" s="163"/>
      <c r="W45" s="163"/>
      <c r="X45" s="163"/>
      <c r="Y45" s="163"/>
      <c r="Z45" s="163">
        <v>76</v>
      </c>
      <c r="AA45" s="163">
        <v>12</v>
      </c>
      <c r="AB45" s="163">
        <v>98</v>
      </c>
      <c r="AC45" s="163">
        <v>18</v>
      </c>
      <c r="AD45" s="164">
        <f>IF(MIN(F45,J45,N45,R45,V45,Z45)&lt;&gt;0,MIN(F45,J45,N45,R45,V45,Z45),"")</f>
        <v>72</v>
      </c>
      <c r="AE45" s="164">
        <f>IF(MIN(H45,L45,P45,T45,X45,AB45)&lt;&gt;0,MIN(H45,L45,P45,T45,X45,AB45),"")</f>
        <v>94</v>
      </c>
      <c r="AF45" s="164">
        <v>70</v>
      </c>
      <c r="AG45" s="163">
        <v>9</v>
      </c>
      <c r="AH45" s="164">
        <v>92</v>
      </c>
      <c r="AI45" s="163">
        <v>19</v>
      </c>
      <c r="AJ45" s="162">
        <f>IF(AD45="","",IF(ISBLANK(AF45),"En cours",AD45+AF45))</f>
        <v>142</v>
      </c>
      <c r="AK45" s="162">
        <f>IF(AE45="","",IF(ISBLANK(AH45),"En cours",AE45+AH45))</f>
        <v>186</v>
      </c>
    </row>
    <row r="46" spans="2:37" ht="21" x14ac:dyDescent="0.35">
      <c r="B46" s="163" t="s">
        <v>327</v>
      </c>
      <c r="C46" s="163" t="s">
        <v>104</v>
      </c>
      <c r="D46" s="163">
        <v>7.8</v>
      </c>
      <c r="E46" s="163" t="s">
        <v>203</v>
      </c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>
        <v>73</v>
      </c>
      <c r="AA46" s="163">
        <v>5</v>
      </c>
      <c r="AB46" s="163">
        <v>83</v>
      </c>
      <c r="AC46" s="163">
        <v>4</v>
      </c>
      <c r="AD46" s="164">
        <f>IF(MIN(F46,J46,N46,R46,V46,Z46)&lt;&gt;0,MIN(F46,J46,N46,R46,V46,Z46),"")</f>
        <v>73</v>
      </c>
      <c r="AE46" s="164">
        <f>IF(MIN(H46,L46,P46,T46,X46,AB46)&lt;&gt;0,MIN(H46,L46,P46,T46,X46,AB46),"")</f>
        <v>83</v>
      </c>
      <c r="AF46" s="164">
        <v>76</v>
      </c>
      <c r="AG46" s="163">
        <v>7</v>
      </c>
      <c r="AH46" s="164">
        <v>86</v>
      </c>
      <c r="AI46" s="163">
        <v>10</v>
      </c>
      <c r="AJ46" s="162">
        <f>IF(AD46="","",IF(ISBLANK(AF46),"En cours",AD46+AF46))</f>
        <v>149</v>
      </c>
      <c r="AK46" s="162">
        <f>IF(AE46="","",IF(ISBLANK(AH46),"En cours",AE46+AH46))</f>
        <v>169</v>
      </c>
    </row>
    <row r="47" spans="2:37" ht="21" x14ac:dyDescent="0.35">
      <c r="B47" s="163" t="s">
        <v>179</v>
      </c>
      <c r="C47" s="163" t="s">
        <v>104</v>
      </c>
      <c r="D47" s="163">
        <v>26.4</v>
      </c>
      <c r="E47" s="163" t="s">
        <v>205</v>
      </c>
      <c r="F47" s="163">
        <v>76</v>
      </c>
      <c r="G47" s="163">
        <v>19</v>
      </c>
      <c r="H47" s="163">
        <v>99</v>
      </c>
      <c r="I47" s="163">
        <v>20</v>
      </c>
      <c r="J47" s="163">
        <v>84</v>
      </c>
      <c r="K47" s="163">
        <v>29</v>
      </c>
      <c r="L47" s="163">
        <v>107</v>
      </c>
      <c r="M47" s="163">
        <v>29</v>
      </c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4">
        <f>IF(MIN(F47,J47,N47,R47,V47,Z47)&lt;&gt;0,MIN(F47,J47,N47,R47,V47,Z47),"")</f>
        <v>76</v>
      </c>
      <c r="AE47" s="164">
        <f>IF(MIN(H47,L47,P47,T47,X47,AB47)&lt;&gt;0,MIN(H47,L47,P47,T47,X47,AB47),"")</f>
        <v>99</v>
      </c>
      <c r="AF47" s="164"/>
      <c r="AG47" s="163"/>
      <c r="AH47" s="164"/>
      <c r="AI47" s="163"/>
      <c r="AJ47" s="162" t="str">
        <f>IF(AD47="","",IF(ISBLANK(AF47),"En cours",AD47+AF47))</f>
        <v>En cours</v>
      </c>
      <c r="AK47" s="162" t="str">
        <f>IF(AE47="","",IF(ISBLANK(AH47),"En cours",AE47+AH47))</f>
        <v>En cours</v>
      </c>
    </row>
    <row r="48" spans="2:37" ht="21" x14ac:dyDescent="0.35">
      <c r="B48" s="163" t="s">
        <v>129</v>
      </c>
      <c r="C48" s="163" t="s">
        <v>104</v>
      </c>
      <c r="D48" s="163">
        <v>14.1</v>
      </c>
      <c r="E48" s="163" t="s">
        <v>202</v>
      </c>
      <c r="F48" s="163">
        <v>71</v>
      </c>
      <c r="G48" s="163">
        <v>8</v>
      </c>
      <c r="H48" s="163">
        <v>84</v>
      </c>
      <c r="I48" s="163">
        <v>6</v>
      </c>
      <c r="J48" s="163"/>
      <c r="K48" s="163"/>
      <c r="L48" s="163"/>
      <c r="M48" s="163"/>
      <c r="N48" s="163"/>
      <c r="O48" s="163"/>
      <c r="P48" s="163"/>
      <c r="Q48" s="163"/>
      <c r="R48" s="163">
        <v>77</v>
      </c>
      <c r="S48" s="163">
        <v>22</v>
      </c>
      <c r="T48" s="163">
        <v>90</v>
      </c>
      <c r="U48" s="163">
        <v>18</v>
      </c>
      <c r="V48" s="163">
        <v>77</v>
      </c>
      <c r="W48" s="163">
        <v>19</v>
      </c>
      <c r="X48" s="163">
        <v>90</v>
      </c>
      <c r="Y48" s="163">
        <v>18</v>
      </c>
      <c r="Z48" s="163"/>
      <c r="AA48" s="163"/>
      <c r="AB48" s="163"/>
      <c r="AC48" s="163"/>
      <c r="AD48" s="164">
        <f>IF(MIN(F48,J48,N48,R48,V48,Z48)&lt;&gt;0,MIN(F48,J48,N48,R48,V48,Z48),"")</f>
        <v>71</v>
      </c>
      <c r="AE48" s="164">
        <f>IF(MIN(H48,L48,P48,T48,X48,AB48)&lt;&gt;0,MIN(H48,L48,P48,T48,X48,AB48),"")</f>
        <v>84</v>
      </c>
      <c r="AF48" s="164"/>
      <c r="AG48" s="163"/>
      <c r="AH48" s="164"/>
      <c r="AI48" s="163"/>
      <c r="AJ48" s="162" t="str">
        <f>IF(AD48="","",IF(ISBLANK(AF48),"En cours",AD48+AF48))</f>
        <v>En cours</v>
      </c>
      <c r="AK48" s="162" t="str">
        <f>IF(AE48="","",IF(ISBLANK(AH48),"En cours",AE48+AH48))</f>
        <v>En cours</v>
      </c>
    </row>
    <row r="49" spans="2:37" ht="21" x14ac:dyDescent="0.35">
      <c r="B49" s="163" t="s">
        <v>146</v>
      </c>
      <c r="C49" s="163" t="s">
        <v>104</v>
      </c>
      <c r="D49" s="163">
        <v>13.1</v>
      </c>
      <c r="E49" s="163" t="s">
        <v>202</v>
      </c>
      <c r="F49" s="163">
        <v>80</v>
      </c>
      <c r="G49" s="163">
        <v>29</v>
      </c>
      <c r="H49" s="163">
        <v>92</v>
      </c>
      <c r="I49" s="163">
        <v>23</v>
      </c>
      <c r="J49" s="163"/>
      <c r="K49" s="163"/>
      <c r="L49" s="163"/>
      <c r="M49" s="163"/>
      <c r="N49" s="163">
        <v>77</v>
      </c>
      <c r="O49" s="163">
        <v>18</v>
      </c>
      <c r="P49" s="163">
        <v>89</v>
      </c>
      <c r="Q49" s="163">
        <v>15</v>
      </c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4">
        <f>IF(MIN(F49,J49,N49,R49,V49,Z49)&lt;&gt;0,MIN(F49,J49,N49,R49,V49,Z49),"")</f>
        <v>77</v>
      </c>
      <c r="AE49" s="164">
        <f>IF(MIN(H49,L49,P49,T49,X49,AB49)&lt;&gt;0,MIN(H49,L49,P49,T49,X49,AB49),"")</f>
        <v>89</v>
      </c>
      <c r="AF49" s="164"/>
      <c r="AG49" s="163"/>
      <c r="AH49" s="164"/>
      <c r="AI49" s="163"/>
      <c r="AJ49" s="162" t="str">
        <f>IF(AD49="","",IF(ISBLANK(AF49),"En cours",AD49+AF49))</f>
        <v>En cours</v>
      </c>
      <c r="AK49" s="162" t="str">
        <f>IF(AE49="","",IF(ISBLANK(AH49),"En cours",AE49+AH49))</f>
        <v>En cours</v>
      </c>
    </row>
    <row r="50" spans="2:37" ht="21" x14ac:dyDescent="0.35">
      <c r="B50" s="163" t="s">
        <v>311</v>
      </c>
      <c r="C50" s="163" t="s">
        <v>104</v>
      </c>
      <c r="D50" s="163">
        <v>23.2</v>
      </c>
      <c r="E50" s="163" t="s">
        <v>205</v>
      </c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>
        <v>81</v>
      </c>
      <c r="S50" s="163">
        <v>27</v>
      </c>
      <c r="T50" s="163">
        <v>101</v>
      </c>
      <c r="U50" s="163">
        <v>27</v>
      </c>
      <c r="V50" s="163">
        <v>74</v>
      </c>
      <c r="W50" s="163">
        <v>10</v>
      </c>
      <c r="X50" s="163">
        <v>94</v>
      </c>
      <c r="Y50" s="163">
        <v>11</v>
      </c>
      <c r="Z50" s="163"/>
      <c r="AA50" s="163"/>
      <c r="AB50" s="163"/>
      <c r="AC50" s="163"/>
      <c r="AD50" s="164">
        <f>IF(MIN(F50,J50,N50,R50,V50,Z50)&lt;&gt;0,MIN(F50,J50,N50,R50,V50,Z50),"")</f>
        <v>74</v>
      </c>
      <c r="AE50" s="164">
        <f>IF(MIN(H50,L50,P50,T50,X50,AB50)&lt;&gt;0,MIN(H50,L50,P50,T50,X50,AB50),"")</f>
        <v>94</v>
      </c>
      <c r="AF50" s="164"/>
      <c r="AG50" s="163"/>
      <c r="AH50" s="164"/>
      <c r="AI50" s="163"/>
      <c r="AJ50" s="162" t="str">
        <f>IF(AD50="","",IF(ISBLANK(AF50),"En cours",AD50+AF50))</f>
        <v>En cours</v>
      </c>
      <c r="AK50" s="162" t="str">
        <f>IF(AE50="","",IF(ISBLANK(AH50),"En cours",AE50+AH50))</f>
        <v>En cours</v>
      </c>
    </row>
    <row r="51" spans="2:37" ht="21" x14ac:dyDescent="0.35">
      <c r="B51" s="163" t="s">
        <v>169</v>
      </c>
      <c r="C51" s="163" t="s">
        <v>104</v>
      </c>
      <c r="D51" s="163">
        <v>27.2</v>
      </c>
      <c r="E51" s="163" t="s">
        <v>204</v>
      </c>
      <c r="F51" s="163">
        <v>69</v>
      </c>
      <c r="G51" s="163">
        <v>7</v>
      </c>
      <c r="H51" s="163">
        <v>90</v>
      </c>
      <c r="I51" s="163">
        <v>10</v>
      </c>
      <c r="J51" s="163"/>
      <c r="K51" s="163"/>
      <c r="L51" s="163"/>
      <c r="M51" s="163"/>
      <c r="N51" s="163">
        <v>73</v>
      </c>
      <c r="O51" s="163">
        <v>12</v>
      </c>
      <c r="P51" s="163">
        <v>94</v>
      </c>
      <c r="Q51" s="163">
        <v>13</v>
      </c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4">
        <f>IF(MIN(F51,J51,N51,R51,V51,Z51)&lt;&gt;0,MIN(F51,J51,N51,R51,V51,Z51),"")</f>
        <v>69</v>
      </c>
      <c r="AE51" s="164">
        <f>IF(MIN(H51,L51,P51,T51,X51,AB51)&lt;&gt;0,MIN(H51,L51,P51,T51,X51,AB51),"")</f>
        <v>90</v>
      </c>
      <c r="AF51" s="164"/>
      <c r="AG51" s="163"/>
      <c r="AH51" s="164"/>
      <c r="AI51" s="163"/>
      <c r="AJ51" s="162" t="str">
        <f>IF(AD51="","",IF(ISBLANK(AF51),"En cours",AD51+AF51))</f>
        <v>En cours</v>
      </c>
      <c r="AK51" s="162" t="str">
        <f>IF(AE51="","",IF(ISBLANK(AH51),"En cours",AE51+AH51))</f>
        <v>En cours</v>
      </c>
    </row>
    <row r="52" spans="2:37" ht="21" x14ac:dyDescent="0.35">
      <c r="B52" s="163" t="s">
        <v>265</v>
      </c>
      <c r="C52" s="163" t="s">
        <v>104</v>
      </c>
      <c r="D52" s="163">
        <v>33</v>
      </c>
      <c r="E52" s="163" t="s">
        <v>204</v>
      </c>
      <c r="F52" s="163"/>
      <c r="G52" s="163"/>
      <c r="H52" s="163"/>
      <c r="I52" s="163"/>
      <c r="J52" s="163"/>
      <c r="K52" s="163"/>
      <c r="L52" s="163"/>
      <c r="M52" s="163"/>
      <c r="N52" s="163">
        <v>67</v>
      </c>
      <c r="O52" s="163">
        <v>3</v>
      </c>
      <c r="P52" s="163">
        <v>94</v>
      </c>
      <c r="Q52" s="163">
        <v>15</v>
      </c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4">
        <f>IF(MIN(F52,J52,N52,R52,V52,Z52)&lt;&gt;0,MIN(F52,J52,N52,R52,V52,Z52),"")</f>
        <v>67</v>
      </c>
      <c r="AE52" s="164">
        <f>IF(MIN(H52,L52,P52,T52,X52,AB52)&lt;&gt;0,MIN(H52,L52,P52,T52,X52,AB52),"")</f>
        <v>94</v>
      </c>
      <c r="AF52" s="164">
        <v>64</v>
      </c>
      <c r="AG52" s="163">
        <v>1</v>
      </c>
      <c r="AH52" s="164">
        <v>91</v>
      </c>
      <c r="AI52" s="163">
        <v>13</v>
      </c>
      <c r="AJ52" s="162">
        <f>IF(AD52="","",IF(ISBLANK(AF52),"En cours",AD52+AF52))</f>
        <v>131</v>
      </c>
      <c r="AK52" s="162">
        <f>IF(AE52="","",IF(ISBLANK(AH52),"En cours",AE52+AH52))</f>
        <v>185</v>
      </c>
    </row>
    <row r="53" spans="2:37" ht="21" x14ac:dyDescent="0.35">
      <c r="B53" s="163" t="s">
        <v>117</v>
      </c>
      <c r="C53" s="163" t="s">
        <v>104</v>
      </c>
      <c r="D53" s="163">
        <v>10.8</v>
      </c>
      <c r="E53" s="163" t="s">
        <v>203</v>
      </c>
      <c r="F53" s="163">
        <v>76</v>
      </c>
      <c r="G53" s="163">
        <v>10</v>
      </c>
      <c r="H53" s="163">
        <v>89</v>
      </c>
      <c r="I53" s="163">
        <v>13</v>
      </c>
      <c r="J53" s="163">
        <v>69</v>
      </c>
      <c r="K53" s="163">
        <v>2</v>
      </c>
      <c r="L53" s="163">
        <v>82</v>
      </c>
      <c r="M53" s="163">
        <v>5</v>
      </c>
      <c r="N53" s="163">
        <v>76</v>
      </c>
      <c r="O53" s="163">
        <v>8</v>
      </c>
      <c r="P53" s="163">
        <v>89</v>
      </c>
      <c r="Q53" s="163">
        <v>10</v>
      </c>
      <c r="R53" s="163">
        <v>67</v>
      </c>
      <c r="S53" s="163">
        <v>2</v>
      </c>
      <c r="T53" s="163">
        <v>80</v>
      </c>
      <c r="U53" s="163">
        <v>2</v>
      </c>
      <c r="V53" s="163"/>
      <c r="W53" s="163"/>
      <c r="X53" s="163"/>
      <c r="Y53" s="163"/>
      <c r="Z53" s="163">
        <v>72</v>
      </c>
      <c r="AA53" s="163">
        <v>3</v>
      </c>
      <c r="AB53" s="163">
        <v>85</v>
      </c>
      <c r="AC53" s="163">
        <v>9</v>
      </c>
      <c r="AD53" s="164">
        <f>IF(MIN(F53,J53,N53,R53,V53,Z53)&lt;&gt;0,MIN(F53,J53,N53,R53,V53,Z53),"")</f>
        <v>67</v>
      </c>
      <c r="AE53" s="164">
        <f>IF(MIN(H53,L53,P53,T53,X53,AB53)&lt;&gt;0,MIN(H53,L53,P53,T53,X53,AB53),"")</f>
        <v>80</v>
      </c>
      <c r="AF53" s="164">
        <v>70</v>
      </c>
      <c r="AG53" s="163">
        <v>3</v>
      </c>
      <c r="AH53" s="164">
        <v>83</v>
      </c>
      <c r="AI53" s="163">
        <v>7</v>
      </c>
      <c r="AJ53" s="162">
        <f>IF(AD53="","",IF(ISBLANK(AF53),"En cours",AD53+AF53))</f>
        <v>137</v>
      </c>
      <c r="AK53" s="162">
        <f>IF(AE53="","",IF(ISBLANK(AH53),"En cours",AE53+AH53))</f>
        <v>163</v>
      </c>
    </row>
    <row r="54" spans="2:37" ht="21" x14ac:dyDescent="0.35">
      <c r="B54" s="163" t="s">
        <v>230</v>
      </c>
      <c r="C54" s="163" t="s">
        <v>104</v>
      </c>
      <c r="D54" s="163">
        <v>15.5</v>
      </c>
      <c r="E54" s="163" t="s">
        <v>202</v>
      </c>
      <c r="F54" s="163"/>
      <c r="G54" s="163"/>
      <c r="H54" s="163"/>
      <c r="I54" s="163"/>
      <c r="J54" s="163">
        <v>95</v>
      </c>
      <c r="K54" s="163">
        <v>39</v>
      </c>
      <c r="L54" s="163">
        <v>110</v>
      </c>
      <c r="M54" s="163">
        <v>39</v>
      </c>
      <c r="N54" s="163"/>
      <c r="O54" s="163"/>
      <c r="P54" s="163"/>
      <c r="Q54" s="163"/>
      <c r="R54" s="163">
        <v>81</v>
      </c>
      <c r="S54" s="163">
        <v>33</v>
      </c>
      <c r="T54" s="163">
        <v>96</v>
      </c>
      <c r="U54" s="163">
        <v>31</v>
      </c>
      <c r="V54" s="163"/>
      <c r="W54" s="163"/>
      <c r="X54" s="163"/>
      <c r="Y54" s="163"/>
      <c r="Z54" s="163"/>
      <c r="AA54" s="163"/>
      <c r="AB54" s="163"/>
      <c r="AC54" s="163"/>
      <c r="AD54" s="164">
        <f>IF(MIN(F54,J54,N54,R54,V54,Z54)&lt;&gt;0,MIN(F54,J54,N54,R54,V54,Z54),"")</f>
        <v>81</v>
      </c>
      <c r="AE54" s="164">
        <f>IF(MIN(H54,L54,P54,T54,X54,AB54)&lt;&gt;0,MIN(H54,L54,P54,T54,X54,AB54),"")</f>
        <v>96</v>
      </c>
      <c r="AF54" s="164">
        <v>74</v>
      </c>
      <c r="AG54" s="163">
        <v>14</v>
      </c>
      <c r="AH54" s="164">
        <v>89</v>
      </c>
      <c r="AI54" s="163">
        <v>15</v>
      </c>
      <c r="AJ54" s="162">
        <f>IF(AD54="","",IF(ISBLANK(AF54),"En cours",AD54+AF54))</f>
        <v>155</v>
      </c>
      <c r="AK54" s="162">
        <f>IF(AE54="","",IF(ISBLANK(AH54),"En cours",AE54+AH54))</f>
        <v>185</v>
      </c>
    </row>
    <row r="55" spans="2:37" ht="21" x14ac:dyDescent="0.35">
      <c r="B55" s="163" t="s">
        <v>164</v>
      </c>
      <c r="C55" s="163" t="s">
        <v>104</v>
      </c>
      <c r="D55" s="163">
        <v>28.6</v>
      </c>
      <c r="E55" s="163" t="s">
        <v>204</v>
      </c>
      <c r="F55" s="163">
        <v>66</v>
      </c>
      <c r="G55" s="163">
        <v>1</v>
      </c>
      <c r="H55" s="163">
        <v>88</v>
      </c>
      <c r="I55" s="163">
        <v>5</v>
      </c>
      <c r="J55" s="163"/>
      <c r="K55" s="163"/>
      <c r="L55" s="163"/>
      <c r="M55" s="163"/>
      <c r="N55" s="163">
        <v>72</v>
      </c>
      <c r="O55" s="163">
        <v>9</v>
      </c>
      <c r="P55" s="163">
        <v>94</v>
      </c>
      <c r="Q55" s="163">
        <v>12</v>
      </c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4">
        <f>IF(MIN(F55,J55,N55,R55,V55,Z55)&lt;&gt;0,MIN(F55,J55,N55,R55,V55,Z55),"")</f>
        <v>66</v>
      </c>
      <c r="AE55" s="164">
        <f>IF(MIN(H55,L55,P55,T55,X55,AB55)&lt;&gt;0,MIN(H55,L55,P55,T55,X55,AB55),"")</f>
        <v>88</v>
      </c>
      <c r="AF55" s="164"/>
      <c r="AG55" s="163"/>
      <c r="AH55" s="164"/>
      <c r="AI55" s="163"/>
      <c r="AJ55" s="162" t="str">
        <f>IF(AD55="","",IF(ISBLANK(AF55),"En cours",AD55+AF55))</f>
        <v>En cours</v>
      </c>
      <c r="AK55" s="162" t="str">
        <f>IF(AE55="","",IF(ISBLANK(AH55),"En cours",AE55+AH55))</f>
        <v>En cours</v>
      </c>
    </row>
    <row r="56" spans="2:37" ht="21" x14ac:dyDescent="0.35">
      <c r="B56" s="163" t="s">
        <v>180</v>
      </c>
      <c r="C56" s="163" t="s">
        <v>104</v>
      </c>
      <c r="D56" s="163">
        <v>27.6</v>
      </c>
      <c r="E56" s="163" t="s">
        <v>204</v>
      </c>
      <c r="F56" s="163">
        <v>80</v>
      </c>
      <c r="G56" s="163">
        <v>20</v>
      </c>
      <c r="H56" s="163">
        <v>101</v>
      </c>
      <c r="I56" s="163">
        <v>21</v>
      </c>
      <c r="J56" s="163"/>
      <c r="K56" s="163"/>
      <c r="L56" s="163"/>
      <c r="M56" s="163"/>
      <c r="N56" s="163">
        <v>72</v>
      </c>
      <c r="O56" s="163">
        <v>10</v>
      </c>
      <c r="P56" s="163">
        <v>93</v>
      </c>
      <c r="Q56" s="163">
        <v>10</v>
      </c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4">
        <f>IF(MIN(F56,J56,N56,R56,V56,Z56)&lt;&gt;0,MIN(F56,J56,N56,R56,V56,Z56),"")</f>
        <v>72</v>
      </c>
      <c r="AE56" s="164">
        <f>IF(MIN(H56,L56,P56,T56,X56,AB56)&lt;&gt;0,MIN(H56,L56,P56,T56,X56,AB56),"")</f>
        <v>93</v>
      </c>
      <c r="AF56" s="164">
        <v>68</v>
      </c>
      <c r="AG56" s="163">
        <v>7</v>
      </c>
      <c r="AH56" s="164">
        <v>89</v>
      </c>
      <c r="AI56" s="163">
        <v>7</v>
      </c>
      <c r="AJ56" s="162">
        <f>IF(AD56="","",IF(ISBLANK(AF56),"En cours",AD56+AF56))</f>
        <v>140</v>
      </c>
      <c r="AK56" s="162">
        <f>IF(AE56="","",IF(ISBLANK(AH56),"En cours",AE56+AH56))</f>
        <v>182</v>
      </c>
    </row>
    <row r="57" spans="2:37" ht="21" x14ac:dyDescent="0.35">
      <c r="B57" s="163" t="s">
        <v>242</v>
      </c>
      <c r="C57" s="163" t="s">
        <v>104</v>
      </c>
      <c r="D57" s="163">
        <v>20.7</v>
      </c>
      <c r="E57" s="163" t="s">
        <v>205</v>
      </c>
      <c r="F57" s="163"/>
      <c r="G57" s="163"/>
      <c r="H57" s="163"/>
      <c r="I57" s="163"/>
      <c r="J57" s="163">
        <v>77</v>
      </c>
      <c r="K57" s="163">
        <v>19</v>
      </c>
      <c r="L57" s="163">
        <v>94</v>
      </c>
      <c r="M57" s="163">
        <v>17</v>
      </c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>
        <v>75</v>
      </c>
      <c r="AA57" s="163">
        <v>10</v>
      </c>
      <c r="AB57" s="163">
        <v>92</v>
      </c>
      <c r="AC57" s="163">
        <v>7</v>
      </c>
      <c r="AD57" s="164">
        <f>IF(MIN(F57,J57,N57,R57,V57,Z57)&lt;&gt;0,MIN(F57,J57,N57,R57,V57,Z57),"")</f>
        <v>75</v>
      </c>
      <c r="AE57" s="164">
        <f>IF(MIN(H57,L57,P57,T57,X57,AB57)&lt;&gt;0,MIN(H57,L57,P57,T57,X57,AB57),"")</f>
        <v>92</v>
      </c>
      <c r="AF57" s="164"/>
      <c r="AG57" s="163"/>
      <c r="AH57" s="164"/>
      <c r="AI57" s="163"/>
      <c r="AJ57" s="162" t="str">
        <f>IF(AD57="","",IF(ISBLANK(AF57),"En cours",AD57+AF57))</f>
        <v>En cours</v>
      </c>
      <c r="AK57" s="162" t="str">
        <f>IF(AE57="","",IF(ISBLANK(AH57),"En cours",AE57+AH57))</f>
        <v>En cours</v>
      </c>
    </row>
    <row r="58" spans="2:37" ht="21" x14ac:dyDescent="0.35">
      <c r="B58" s="163" t="s">
        <v>142</v>
      </c>
      <c r="C58" s="163" t="s">
        <v>104</v>
      </c>
      <c r="D58" s="163">
        <v>16.3</v>
      </c>
      <c r="E58" s="163" t="s">
        <v>202</v>
      </c>
      <c r="F58" s="163">
        <v>73</v>
      </c>
      <c r="G58" s="163">
        <v>12</v>
      </c>
      <c r="H58" s="163">
        <v>89</v>
      </c>
      <c r="I58" s="163">
        <v>19</v>
      </c>
      <c r="J58" s="163">
        <v>78</v>
      </c>
      <c r="K58" s="163">
        <v>20</v>
      </c>
      <c r="L58" s="163">
        <v>94</v>
      </c>
      <c r="M58" s="163">
        <v>26</v>
      </c>
      <c r="N58" s="163">
        <v>77</v>
      </c>
      <c r="O58" s="163">
        <v>21</v>
      </c>
      <c r="P58" s="163">
        <v>93</v>
      </c>
      <c r="Q58" s="163">
        <v>24</v>
      </c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4">
        <f>IF(MIN(F58,J58,N58,R58,V58,Z58)&lt;&gt;0,MIN(F58,J58,N58,R58,V58,Z58),"")</f>
        <v>73</v>
      </c>
      <c r="AE58" s="164">
        <f>IF(MIN(H58,L58,P58,T58,X58,AB58)&lt;&gt;0,MIN(H58,L58,P58,T58,X58,AB58),"")</f>
        <v>89</v>
      </c>
      <c r="AF58" s="164"/>
      <c r="AG58" s="163"/>
      <c r="AH58" s="164"/>
      <c r="AI58" s="163"/>
      <c r="AJ58" s="162" t="str">
        <f>IF(AD58="","",IF(ISBLANK(AF58),"En cours",AD58+AF58))</f>
        <v>En cours</v>
      </c>
      <c r="AK58" s="162" t="str">
        <f>IF(AE58="","",IF(ISBLANK(AH58),"En cours",AE58+AH58))</f>
        <v>En cours</v>
      </c>
    </row>
    <row r="59" spans="2:37" ht="21" x14ac:dyDescent="0.35">
      <c r="B59" s="163" t="s">
        <v>326</v>
      </c>
      <c r="C59" s="163" t="s">
        <v>104</v>
      </c>
      <c r="D59" s="163">
        <v>7</v>
      </c>
      <c r="E59" s="163" t="s">
        <v>203</v>
      </c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>
        <v>71</v>
      </c>
      <c r="AA59" s="163">
        <v>2</v>
      </c>
      <c r="AB59" s="163">
        <v>80</v>
      </c>
      <c r="AC59" s="163">
        <v>2</v>
      </c>
      <c r="AD59" s="164">
        <f>IF(MIN(F59,J59,N59,R59,V59,Z59)&lt;&gt;0,MIN(F59,J59,N59,R59,V59,Z59),"")</f>
        <v>71</v>
      </c>
      <c r="AE59" s="164">
        <f>IF(MIN(H59,L59,P59,T59,X59,AB59)&lt;&gt;0,MIN(H59,L59,P59,T59,X59,AB59),"")</f>
        <v>80</v>
      </c>
      <c r="AF59" s="164">
        <v>76</v>
      </c>
      <c r="AG59" s="163">
        <v>8</v>
      </c>
      <c r="AH59" s="164">
        <v>85</v>
      </c>
      <c r="AI59" s="163">
        <v>9</v>
      </c>
      <c r="AJ59" s="162">
        <f>IF(AD59="","",IF(ISBLANK(AF59),"En cours",AD59+AF59))</f>
        <v>147</v>
      </c>
      <c r="AK59" s="162">
        <f>IF(AE59="","",IF(ISBLANK(AH59),"En cours",AE59+AH59))</f>
        <v>165</v>
      </c>
    </row>
    <row r="60" spans="2:37" ht="21" x14ac:dyDescent="0.35">
      <c r="B60" s="163" t="s">
        <v>174</v>
      </c>
      <c r="C60" s="163" t="s">
        <v>104</v>
      </c>
      <c r="D60" s="163">
        <v>25.2</v>
      </c>
      <c r="E60" s="163" t="s">
        <v>205</v>
      </c>
      <c r="F60" s="163">
        <v>73</v>
      </c>
      <c r="G60" s="163">
        <v>14</v>
      </c>
      <c r="H60" s="163">
        <v>95</v>
      </c>
      <c r="I60" s="163">
        <v>15</v>
      </c>
      <c r="J60" s="163">
        <v>72</v>
      </c>
      <c r="K60" s="163">
        <v>6</v>
      </c>
      <c r="L60" s="163">
        <v>94</v>
      </c>
      <c r="M60" s="163">
        <v>14</v>
      </c>
      <c r="N60" s="163">
        <v>70</v>
      </c>
      <c r="O60" s="163">
        <v>5</v>
      </c>
      <c r="P60" s="163">
        <v>92</v>
      </c>
      <c r="Q60" s="163">
        <v>9</v>
      </c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4">
        <f>IF(MIN(F60,J60,N60,R60,V60,Z60)&lt;&gt;0,MIN(F60,J60,N60,R60,V60,Z60),"")</f>
        <v>70</v>
      </c>
      <c r="AE60" s="164">
        <f>IF(MIN(H60,L60,P60,T60,X60,AB60)&lt;&gt;0,MIN(H60,L60,P60,T60,X60,AB60),"")</f>
        <v>92</v>
      </c>
      <c r="AF60" s="164"/>
      <c r="AG60" s="163"/>
      <c r="AH60" s="164"/>
      <c r="AI60" s="163"/>
      <c r="AJ60" s="162" t="str">
        <f>IF(AD60="","",IF(ISBLANK(AF60),"En cours",AD60+AF60))</f>
        <v>En cours</v>
      </c>
      <c r="AK60" s="162" t="str">
        <f>IF(AE60="","",IF(ISBLANK(AH60),"En cours",AE60+AH60))</f>
        <v>En cours</v>
      </c>
    </row>
    <row r="61" spans="2:37" ht="21" x14ac:dyDescent="0.35">
      <c r="B61" s="163" t="s">
        <v>236</v>
      </c>
      <c r="C61" s="163" t="s">
        <v>104</v>
      </c>
      <c r="D61" s="163">
        <v>28.9</v>
      </c>
      <c r="E61" s="163" t="s">
        <v>204</v>
      </c>
      <c r="F61" s="163"/>
      <c r="G61" s="163"/>
      <c r="H61" s="163"/>
      <c r="I61" s="163"/>
      <c r="J61" s="163">
        <v>70</v>
      </c>
      <c r="K61" s="163">
        <v>5</v>
      </c>
      <c r="L61" s="163">
        <v>92</v>
      </c>
      <c r="M61" s="163">
        <v>8</v>
      </c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4">
        <f>IF(MIN(F61,J61,N61,R61,V61,Z61)&lt;&gt;0,MIN(F61,J61,N61,R61,V61,Z61),"")</f>
        <v>70</v>
      </c>
      <c r="AE61" s="164">
        <f>IF(MIN(H61,L61,P61,T61,X61,AB61)&lt;&gt;0,MIN(H61,L61,P61,T61,X61,AB61),"")</f>
        <v>92</v>
      </c>
      <c r="AF61" s="164"/>
      <c r="AG61" s="163"/>
      <c r="AH61" s="164"/>
      <c r="AI61" s="163"/>
      <c r="AJ61" s="162" t="str">
        <f>IF(AD61="","",IF(ISBLANK(AF61),"En cours",AD61+AF61))</f>
        <v>En cours</v>
      </c>
      <c r="AK61" s="162" t="str">
        <f>IF(AE61="","",IF(ISBLANK(AH61),"En cours",AE61+AH61))</f>
        <v>En cours</v>
      </c>
    </row>
    <row r="62" spans="2:37" ht="21" x14ac:dyDescent="0.35">
      <c r="B62" s="163" t="s">
        <v>247</v>
      </c>
      <c r="C62" s="163" t="s">
        <v>104</v>
      </c>
      <c r="D62" s="163">
        <v>31.8</v>
      </c>
      <c r="E62" s="163" t="s">
        <v>204</v>
      </c>
      <c r="F62" s="163"/>
      <c r="G62" s="163"/>
      <c r="H62" s="163"/>
      <c r="I62" s="163"/>
      <c r="J62" s="163">
        <v>72</v>
      </c>
      <c r="K62" s="163">
        <v>9</v>
      </c>
      <c r="L62" s="163">
        <v>97</v>
      </c>
      <c r="M62" s="163">
        <v>23</v>
      </c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4">
        <f>IF(MIN(F62,J62,N62,R62,V62,Z62)&lt;&gt;0,MIN(F62,J62,N62,R62,V62,Z62),"")</f>
        <v>72</v>
      </c>
      <c r="AE62" s="164">
        <f>IF(MIN(H62,L62,P62,T62,X62,AB62)&lt;&gt;0,MIN(H62,L62,P62,T62,X62,AB62),"")</f>
        <v>97</v>
      </c>
      <c r="AF62" s="164"/>
      <c r="AG62" s="163"/>
      <c r="AH62" s="164"/>
      <c r="AI62" s="163"/>
      <c r="AJ62" s="162" t="str">
        <f>IF(AD62="","",IF(ISBLANK(AF62),"En cours",AD62+AF62))</f>
        <v>En cours</v>
      </c>
      <c r="AK62" s="162" t="str">
        <f>IF(AE62="","",IF(ISBLANK(AH62),"En cours",AE62+AH62))</f>
        <v>En cours</v>
      </c>
    </row>
    <row r="63" spans="2:37" ht="21" x14ac:dyDescent="0.35">
      <c r="B63" s="163" t="s">
        <v>334</v>
      </c>
      <c r="C63" s="163" t="s">
        <v>104</v>
      </c>
      <c r="D63" s="163">
        <v>15.4</v>
      </c>
      <c r="E63" s="163" t="s">
        <v>202</v>
      </c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4" t="str">
        <f>IF(MIN(F63,J63,N63,R63,V63,Z63)&lt;&gt;0,MIN(F63,J63,N63,R63,V63,Z63),"")</f>
        <v/>
      </c>
      <c r="AE63" s="164" t="str">
        <f>IF(MIN(H63,L63,P63,T63,X63,AB63)&lt;&gt;0,MIN(H63,L63,P63,T63,X63,AB63),"")</f>
        <v/>
      </c>
      <c r="AF63" s="164">
        <v>78</v>
      </c>
      <c r="AG63" s="163">
        <v>28</v>
      </c>
      <c r="AH63" s="164">
        <v>93</v>
      </c>
      <c r="AI63" s="163">
        <v>28</v>
      </c>
      <c r="AJ63" s="162" t="str">
        <f>IF(AD63="","",IF(ISBLANK(AF63),"En cours",AD63+AF63))</f>
        <v/>
      </c>
      <c r="AK63" s="162" t="str">
        <f>IF(AE63="","",IF(ISBLANK(AH63),"En cours",AE63+AH63))</f>
        <v/>
      </c>
    </row>
    <row r="64" spans="2:37" ht="21" x14ac:dyDescent="0.35">
      <c r="B64" s="163" t="s">
        <v>323</v>
      </c>
      <c r="C64" s="163" t="s">
        <v>104</v>
      </c>
      <c r="D64" s="163">
        <v>32.1</v>
      </c>
      <c r="E64" s="163" t="s">
        <v>204</v>
      </c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>
        <v>77</v>
      </c>
      <c r="W64" s="163">
        <v>14</v>
      </c>
      <c r="X64" s="163">
        <v>103</v>
      </c>
      <c r="Y64" s="163">
        <v>19</v>
      </c>
      <c r="Z64" s="163"/>
      <c r="AA64" s="163"/>
      <c r="AB64" s="163"/>
      <c r="AC64" s="163"/>
      <c r="AD64" s="164">
        <f>IF(MIN(F64,J64,N64,R64,V64,Z64)&lt;&gt;0,MIN(F64,J64,N64,R64,V64,Z64),"")</f>
        <v>77</v>
      </c>
      <c r="AE64" s="164">
        <f>IF(MIN(H64,L64,P64,T64,X64,AB64)&lt;&gt;0,MIN(H64,L64,P64,T64,X64,AB64),"")</f>
        <v>103</v>
      </c>
      <c r="AF64" s="164"/>
      <c r="AG64" s="163"/>
      <c r="AH64" s="164"/>
      <c r="AI64" s="163"/>
      <c r="AJ64" s="162" t="str">
        <f>IF(AD64="","",IF(ISBLANK(AF64),"En cours",AD64+AF64))</f>
        <v>En cours</v>
      </c>
      <c r="AK64" s="162" t="str">
        <f>IF(AE64="","",IF(ISBLANK(AH64),"En cours",AE64+AH64))</f>
        <v>En cours</v>
      </c>
    </row>
    <row r="65" spans="2:37" ht="21" x14ac:dyDescent="0.35">
      <c r="B65" s="163" t="s">
        <v>154</v>
      </c>
      <c r="C65" s="163" t="s">
        <v>104</v>
      </c>
      <c r="D65" s="163">
        <v>18.2</v>
      </c>
      <c r="E65" s="163" t="s">
        <v>202</v>
      </c>
      <c r="F65" s="163">
        <v>79</v>
      </c>
      <c r="G65" s="163">
        <v>27</v>
      </c>
      <c r="H65" s="163">
        <v>97</v>
      </c>
      <c r="I65" s="163">
        <v>30</v>
      </c>
      <c r="J65" s="163">
        <v>74</v>
      </c>
      <c r="K65" s="163">
        <v>11</v>
      </c>
      <c r="L65" s="163">
        <v>92</v>
      </c>
      <c r="M65" s="163">
        <v>21</v>
      </c>
      <c r="N65" s="163">
        <v>72</v>
      </c>
      <c r="O65" s="163">
        <v>8</v>
      </c>
      <c r="P65" s="163">
        <v>90</v>
      </c>
      <c r="Q65" s="163">
        <v>18</v>
      </c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4">
        <f>IF(MIN(F65,J65,N65,R65,V65,Z65)&lt;&gt;0,MIN(F65,J65,N65,R65,V65,Z65),"")</f>
        <v>72</v>
      </c>
      <c r="AE65" s="164">
        <f>IF(MIN(H65,L65,P65,T65,X65,AB65)&lt;&gt;0,MIN(H65,L65,P65,T65,X65,AB65),"")</f>
        <v>90</v>
      </c>
      <c r="AF65" s="164">
        <v>76</v>
      </c>
      <c r="AG65" s="163">
        <v>19</v>
      </c>
      <c r="AH65" s="164">
        <v>94</v>
      </c>
      <c r="AI65" s="163">
        <v>32</v>
      </c>
      <c r="AJ65" s="162">
        <f>IF(AD65="","",IF(ISBLANK(AF65),"En cours",AD65+AF65))</f>
        <v>148</v>
      </c>
      <c r="AK65" s="162">
        <f>IF(AE65="","",IF(ISBLANK(AH65),"En cours",AE65+AH65))</f>
        <v>184</v>
      </c>
    </row>
    <row r="66" spans="2:37" ht="21" x14ac:dyDescent="0.35">
      <c r="B66" s="163" t="s">
        <v>141</v>
      </c>
      <c r="C66" s="163" t="s">
        <v>104</v>
      </c>
      <c r="D66" s="163">
        <v>16.3</v>
      </c>
      <c r="E66" s="163" t="s">
        <v>202</v>
      </c>
      <c r="F66" s="163">
        <v>72</v>
      </c>
      <c r="G66" s="163">
        <v>11</v>
      </c>
      <c r="H66" s="163">
        <v>88</v>
      </c>
      <c r="I66" s="163">
        <v>18</v>
      </c>
      <c r="J66" s="163"/>
      <c r="K66" s="163"/>
      <c r="L66" s="163"/>
      <c r="M66" s="163"/>
      <c r="N66" s="163">
        <v>74</v>
      </c>
      <c r="O66" s="163">
        <v>12</v>
      </c>
      <c r="P66" s="163">
        <v>90</v>
      </c>
      <c r="Q66" s="163">
        <v>16</v>
      </c>
      <c r="R66" s="163"/>
      <c r="S66" s="163"/>
      <c r="T66" s="163"/>
      <c r="U66" s="163"/>
      <c r="V66" s="163">
        <v>80</v>
      </c>
      <c r="W66" s="163">
        <v>26</v>
      </c>
      <c r="X66" s="163">
        <v>96</v>
      </c>
      <c r="Y66" s="163">
        <v>27</v>
      </c>
      <c r="Z66" s="163"/>
      <c r="AA66" s="163"/>
      <c r="AB66" s="163"/>
      <c r="AC66" s="163"/>
      <c r="AD66" s="164">
        <f>IF(MIN(F66,J66,N66,R66,V66,Z66)&lt;&gt;0,MIN(F66,J66,N66,R66,V66,Z66),"")</f>
        <v>72</v>
      </c>
      <c r="AE66" s="164">
        <f>IF(MIN(H66,L66,P66,T66,X66,AB66)&lt;&gt;0,MIN(H66,L66,P66,T66,X66,AB66),"")</f>
        <v>88</v>
      </c>
      <c r="AF66" s="164">
        <v>75</v>
      </c>
      <c r="AG66" s="163">
        <v>16</v>
      </c>
      <c r="AH66" s="164">
        <v>91</v>
      </c>
      <c r="AI66" s="163">
        <v>25</v>
      </c>
      <c r="AJ66" s="162">
        <f>IF(AD66="","",IF(ISBLANK(AF66),"En cours",AD66+AF66))</f>
        <v>147</v>
      </c>
      <c r="AK66" s="162">
        <f>IF(AE66="","",IF(ISBLANK(AH66),"En cours",AE66+AH66))</f>
        <v>179</v>
      </c>
    </row>
    <row r="67" spans="2:37" ht="21" x14ac:dyDescent="0.35">
      <c r="B67" s="163" t="s">
        <v>178</v>
      </c>
      <c r="C67" s="163" t="s">
        <v>104</v>
      </c>
      <c r="D67" s="163">
        <v>20.100000000000001</v>
      </c>
      <c r="E67" s="163" t="s">
        <v>205</v>
      </c>
      <c r="F67" s="163">
        <v>83</v>
      </c>
      <c r="G67" s="163">
        <v>21</v>
      </c>
      <c r="H67" s="163">
        <v>99</v>
      </c>
      <c r="I67" s="163">
        <v>19</v>
      </c>
      <c r="J67" s="163">
        <v>78</v>
      </c>
      <c r="K67" s="163">
        <v>26</v>
      </c>
      <c r="L67" s="163">
        <v>94</v>
      </c>
      <c r="M67" s="163">
        <v>18</v>
      </c>
      <c r="N67" s="163">
        <v>71</v>
      </c>
      <c r="O67" s="163">
        <v>8</v>
      </c>
      <c r="P67" s="163">
        <v>87</v>
      </c>
      <c r="Q67" s="163">
        <v>3</v>
      </c>
      <c r="R67" s="163">
        <v>76</v>
      </c>
      <c r="S67" s="163">
        <v>18</v>
      </c>
      <c r="T67" s="163">
        <v>92</v>
      </c>
      <c r="U67" s="163">
        <v>10</v>
      </c>
      <c r="V67" s="163">
        <v>84</v>
      </c>
      <c r="W67" s="163">
        <v>20</v>
      </c>
      <c r="X67" s="163">
        <v>100</v>
      </c>
      <c r="Y67" s="163">
        <v>17</v>
      </c>
      <c r="Z67" s="163">
        <v>78</v>
      </c>
      <c r="AA67" s="163">
        <v>16</v>
      </c>
      <c r="AB67" s="163">
        <v>94</v>
      </c>
      <c r="AC67" s="163">
        <v>12</v>
      </c>
      <c r="AD67" s="164">
        <f>IF(MIN(F67,J67,N67,R67,V67,Z67)&lt;&gt;0,MIN(F67,J67,N67,R67,V67,Z67),"")</f>
        <v>71</v>
      </c>
      <c r="AE67" s="164">
        <f>IF(MIN(H67,L67,P67,T67,X67,AB67)&lt;&gt;0,MIN(H67,L67,P67,T67,X67,AB67),"")</f>
        <v>87</v>
      </c>
      <c r="AF67" s="164">
        <v>71</v>
      </c>
      <c r="AG67" s="163">
        <v>10</v>
      </c>
      <c r="AH67" s="164">
        <v>87</v>
      </c>
      <c r="AI67" s="163">
        <v>4</v>
      </c>
      <c r="AJ67" s="162">
        <f>IF(AD67="","",IF(ISBLANK(AF67),"En cours",AD67+AF67))</f>
        <v>142</v>
      </c>
      <c r="AK67" s="162">
        <f>IF(AE67="","",IF(ISBLANK(AH67),"En cours",AE67+AH67))</f>
        <v>174</v>
      </c>
    </row>
    <row r="68" spans="2:37" ht="21" x14ac:dyDescent="0.35">
      <c r="B68" s="163" t="s">
        <v>268</v>
      </c>
      <c r="C68" s="163" t="s">
        <v>104</v>
      </c>
      <c r="D68" s="163">
        <v>22.9</v>
      </c>
      <c r="E68" s="163" t="s">
        <v>205</v>
      </c>
      <c r="F68" s="163"/>
      <c r="G68" s="163"/>
      <c r="H68" s="163"/>
      <c r="I68" s="163"/>
      <c r="J68" s="163"/>
      <c r="K68" s="163"/>
      <c r="L68" s="163"/>
      <c r="M68" s="163"/>
      <c r="N68" s="163">
        <v>76</v>
      </c>
      <c r="O68" s="163">
        <v>23</v>
      </c>
      <c r="P68" s="163">
        <v>95</v>
      </c>
      <c r="Q68" s="163">
        <v>20</v>
      </c>
      <c r="R68" s="163"/>
      <c r="S68" s="163"/>
      <c r="T68" s="163"/>
      <c r="U68" s="163"/>
      <c r="V68" s="163">
        <v>70</v>
      </c>
      <c r="W68" s="163">
        <v>5</v>
      </c>
      <c r="X68" s="163">
        <v>89</v>
      </c>
      <c r="Y68" s="163">
        <v>7</v>
      </c>
      <c r="Z68" s="163">
        <v>69</v>
      </c>
      <c r="AA68" s="163">
        <v>2</v>
      </c>
      <c r="AB68" s="163">
        <v>88</v>
      </c>
      <c r="AC68" s="163">
        <v>4</v>
      </c>
      <c r="AD68" s="164">
        <f>IF(MIN(F68,J68,N68,R68,V68,Z68)&lt;&gt;0,MIN(F68,J68,N68,R68,V68,Z68),"")</f>
        <v>69</v>
      </c>
      <c r="AE68" s="164">
        <f>IF(MIN(H68,L68,P68,T68,X68,AB68)&lt;&gt;0,MIN(H68,L68,P68,T68,X68,AB68),"")</f>
        <v>88</v>
      </c>
      <c r="AF68" s="164">
        <v>74</v>
      </c>
      <c r="AG68" s="163">
        <v>19</v>
      </c>
      <c r="AH68" s="164">
        <v>93</v>
      </c>
      <c r="AI68" s="163">
        <v>20</v>
      </c>
      <c r="AJ68" s="162">
        <f>IF(AD68="","",IF(ISBLANK(AF68),"En cours",AD68+AF68))</f>
        <v>143</v>
      </c>
      <c r="AK68" s="162">
        <f>IF(AE68="","",IF(ISBLANK(AH68),"En cours",AE68+AH68))</f>
        <v>181</v>
      </c>
    </row>
    <row r="69" spans="2:37" ht="21" x14ac:dyDescent="0.35">
      <c r="B69" s="163" t="s">
        <v>243</v>
      </c>
      <c r="C69" s="163" t="s">
        <v>104</v>
      </c>
      <c r="D69" s="163">
        <v>21.3</v>
      </c>
      <c r="E69" s="163" t="s">
        <v>205</v>
      </c>
      <c r="F69" s="163"/>
      <c r="G69" s="163"/>
      <c r="H69" s="163"/>
      <c r="I69" s="163"/>
      <c r="J69" s="163">
        <v>77</v>
      </c>
      <c r="K69" s="163">
        <v>20</v>
      </c>
      <c r="L69" s="163">
        <v>95</v>
      </c>
      <c r="M69" s="163">
        <v>19</v>
      </c>
      <c r="N69" s="163"/>
      <c r="O69" s="163"/>
      <c r="P69" s="163"/>
      <c r="Q69" s="163"/>
      <c r="R69" s="163">
        <v>73</v>
      </c>
      <c r="S69" s="163">
        <v>8</v>
      </c>
      <c r="T69" s="163">
        <v>91</v>
      </c>
      <c r="U69" s="163">
        <v>7</v>
      </c>
      <c r="V69" s="163"/>
      <c r="W69" s="163"/>
      <c r="X69" s="163"/>
      <c r="Y69" s="163"/>
      <c r="Z69" s="163"/>
      <c r="AA69" s="163"/>
      <c r="AB69" s="163"/>
      <c r="AC69" s="163"/>
      <c r="AD69" s="164">
        <f>IF(MIN(F69,J69,N69,R69,V69,Z69)&lt;&gt;0,MIN(F69,J69,N69,R69,V69,Z69),"")</f>
        <v>73</v>
      </c>
      <c r="AE69" s="164">
        <f>IF(MIN(H69,L69,P69,T69,X69,AB69)&lt;&gt;0,MIN(H69,L69,P69,T69,X69,AB69),"")</f>
        <v>91</v>
      </c>
      <c r="AF69" s="164"/>
      <c r="AG69" s="163"/>
      <c r="AH69" s="164"/>
      <c r="AI69" s="163"/>
      <c r="AJ69" s="162" t="str">
        <f>IF(AD69="","",IF(ISBLANK(AF69),"En cours",AD69+AF69))</f>
        <v>En cours</v>
      </c>
      <c r="AK69" s="162" t="str">
        <f>IF(AE69="","",IF(ISBLANK(AH69),"En cours",AE69+AH69))</f>
        <v>En cours</v>
      </c>
    </row>
    <row r="70" spans="2:37" ht="21" x14ac:dyDescent="0.35">
      <c r="B70" s="163" t="s">
        <v>214</v>
      </c>
      <c r="C70" s="163" t="s">
        <v>104</v>
      </c>
      <c r="D70" s="163">
        <v>14.1</v>
      </c>
      <c r="E70" s="163" t="s">
        <v>202</v>
      </c>
      <c r="F70" s="163"/>
      <c r="G70" s="163"/>
      <c r="H70" s="163"/>
      <c r="I70" s="163"/>
      <c r="J70" s="163">
        <v>72</v>
      </c>
      <c r="K70" s="163">
        <v>8</v>
      </c>
      <c r="L70" s="163">
        <v>85</v>
      </c>
      <c r="M70" s="163">
        <v>6</v>
      </c>
      <c r="N70" s="163">
        <v>73</v>
      </c>
      <c r="O70" s="163">
        <v>10</v>
      </c>
      <c r="P70" s="163">
        <v>86</v>
      </c>
      <c r="Q70" s="163">
        <v>7</v>
      </c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4">
        <f>IF(MIN(F70,J70,N70,R70,V70,Z70)&lt;&gt;0,MIN(F70,J70,N70,R70,V70,Z70),"")</f>
        <v>72</v>
      </c>
      <c r="AE70" s="164">
        <f>IF(MIN(H70,L70,P70,T70,X70,AB70)&lt;&gt;0,MIN(H70,L70,P70,T70,X70,AB70),"")</f>
        <v>85</v>
      </c>
      <c r="AF70" s="164">
        <v>77</v>
      </c>
      <c r="AG70" s="163">
        <v>24</v>
      </c>
      <c r="AH70" s="164">
        <v>90</v>
      </c>
      <c r="AI70" s="163">
        <v>18</v>
      </c>
      <c r="AJ70" s="162">
        <f>IF(AD70="","",IF(ISBLANK(AF70),"En cours",AD70+AF70))</f>
        <v>149</v>
      </c>
      <c r="AK70" s="162">
        <f>IF(AE70="","",IF(ISBLANK(AH70),"En cours",AE70+AH70))</f>
        <v>175</v>
      </c>
    </row>
    <row r="71" spans="2:37" ht="21" x14ac:dyDescent="0.35">
      <c r="B71" s="163" t="s">
        <v>133</v>
      </c>
      <c r="C71" s="163" t="s">
        <v>104</v>
      </c>
      <c r="D71" s="163">
        <v>11.7</v>
      </c>
      <c r="E71" s="163" t="s">
        <v>202</v>
      </c>
      <c r="F71" s="163">
        <v>76</v>
      </c>
      <c r="G71" s="163">
        <v>21</v>
      </c>
      <c r="H71" s="163">
        <v>86</v>
      </c>
      <c r="I71" s="163">
        <v>10</v>
      </c>
      <c r="J71" s="163">
        <v>81</v>
      </c>
      <c r="K71" s="163">
        <v>27</v>
      </c>
      <c r="L71" s="163">
        <v>91</v>
      </c>
      <c r="M71" s="163">
        <v>16</v>
      </c>
      <c r="N71" s="163">
        <v>69</v>
      </c>
      <c r="O71" s="163">
        <v>4</v>
      </c>
      <c r="P71" s="163">
        <v>79</v>
      </c>
      <c r="Q71" s="163">
        <v>2</v>
      </c>
      <c r="R71" s="163"/>
      <c r="S71" s="163"/>
      <c r="T71" s="163"/>
      <c r="U71" s="163"/>
      <c r="V71" s="163">
        <v>79</v>
      </c>
      <c r="W71" s="163">
        <v>21</v>
      </c>
      <c r="X71" s="163">
        <v>89</v>
      </c>
      <c r="Y71" s="163">
        <v>13</v>
      </c>
      <c r="Z71" s="163">
        <v>77</v>
      </c>
      <c r="AA71" s="163">
        <v>20</v>
      </c>
      <c r="AB71" s="163">
        <v>87</v>
      </c>
      <c r="AC71" s="163">
        <v>11</v>
      </c>
      <c r="AD71" s="164">
        <f>IF(MIN(F71,J71,N71,R71,V71,Z71)&lt;&gt;0,MIN(F71,J71,N71,R71,V71,Z71),"")</f>
        <v>69</v>
      </c>
      <c r="AE71" s="164">
        <f>IF(MIN(H71,L71,P71,T71,X71,AB71)&lt;&gt;0,MIN(H71,L71,P71,T71,X71,AB71),"")</f>
        <v>79</v>
      </c>
      <c r="AF71" s="164">
        <v>72</v>
      </c>
      <c r="AG71" s="163">
        <v>10</v>
      </c>
      <c r="AH71" s="164">
        <v>82</v>
      </c>
      <c r="AI71" s="163">
        <v>3</v>
      </c>
      <c r="AJ71" s="162">
        <f>IF(AD71="","",IF(ISBLANK(AF71),"En cours",AD71+AF71))</f>
        <v>141</v>
      </c>
      <c r="AK71" s="162">
        <f>IF(AE71="","",IF(ISBLANK(AH71),"En cours",AE71+AH71))</f>
        <v>161</v>
      </c>
    </row>
    <row r="72" spans="2:37" ht="21" x14ac:dyDescent="0.35">
      <c r="B72" s="163" t="s">
        <v>296</v>
      </c>
      <c r="C72" s="163" t="s">
        <v>104</v>
      </c>
      <c r="D72" s="163">
        <v>18</v>
      </c>
      <c r="E72" s="163" t="s">
        <v>202</v>
      </c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>
        <v>77</v>
      </c>
      <c r="S72" s="163">
        <v>19</v>
      </c>
      <c r="T72" s="163">
        <v>94</v>
      </c>
      <c r="U72" s="163">
        <v>28</v>
      </c>
      <c r="V72" s="163">
        <v>79</v>
      </c>
      <c r="W72" s="163">
        <v>24</v>
      </c>
      <c r="X72" s="163">
        <v>96</v>
      </c>
      <c r="Y72" s="163">
        <v>28</v>
      </c>
      <c r="Z72" s="163">
        <v>75</v>
      </c>
      <c r="AA72" s="163">
        <v>12</v>
      </c>
      <c r="AB72" s="163">
        <v>92</v>
      </c>
      <c r="AC72" s="163">
        <v>21</v>
      </c>
      <c r="AD72" s="164">
        <f>IF(MIN(F72,J72,N72,R72,V72,Z72)&lt;&gt;0,MIN(F72,J72,N72,R72,V72,Z72),"")</f>
        <v>75</v>
      </c>
      <c r="AE72" s="164">
        <f>IF(MIN(H72,L72,P72,T72,X72,AB72)&lt;&gt;0,MIN(H72,L72,P72,T72,X72,AB72),"")</f>
        <v>92</v>
      </c>
      <c r="AF72" s="164">
        <v>77</v>
      </c>
      <c r="AG72" s="163">
        <v>21</v>
      </c>
      <c r="AH72" s="164">
        <v>94</v>
      </c>
      <c r="AI72" s="163">
        <v>31</v>
      </c>
      <c r="AJ72" s="162">
        <f>IF(AD72="","",IF(ISBLANK(AF72),"En cours",AD72+AF72))</f>
        <v>152</v>
      </c>
      <c r="AK72" s="162">
        <f>IF(AE72="","",IF(ISBLANK(AH72),"En cours",AE72+AH72))</f>
        <v>186</v>
      </c>
    </row>
    <row r="73" spans="2:37" ht="21" x14ac:dyDescent="0.35">
      <c r="B73" s="163" t="s">
        <v>115</v>
      </c>
      <c r="C73" s="163" t="s">
        <v>104</v>
      </c>
      <c r="D73" s="163">
        <v>10.5</v>
      </c>
      <c r="E73" s="163" t="s">
        <v>203</v>
      </c>
      <c r="F73" s="163">
        <v>74</v>
      </c>
      <c r="G73" s="163">
        <v>8</v>
      </c>
      <c r="H73" s="163">
        <v>87</v>
      </c>
      <c r="I73" s="163">
        <v>11</v>
      </c>
      <c r="J73" s="163">
        <v>76</v>
      </c>
      <c r="K73" s="163">
        <v>7</v>
      </c>
      <c r="L73" s="163">
        <v>89</v>
      </c>
      <c r="M73" s="163">
        <v>8</v>
      </c>
      <c r="N73" s="163"/>
      <c r="O73" s="163"/>
      <c r="P73" s="163"/>
      <c r="Q73" s="163"/>
      <c r="R73" s="163">
        <v>74</v>
      </c>
      <c r="S73" s="163">
        <v>7</v>
      </c>
      <c r="T73" s="163">
        <v>87</v>
      </c>
      <c r="U73" s="163">
        <v>11</v>
      </c>
      <c r="V73" s="163">
        <v>81</v>
      </c>
      <c r="W73" s="163">
        <v>7</v>
      </c>
      <c r="X73" s="163">
        <v>94</v>
      </c>
      <c r="Y73" s="163">
        <v>10</v>
      </c>
      <c r="Z73" s="163"/>
      <c r="AA73" s="163"/>
      <c r="AB73" s="163"/>
      <c r="AC73" s="163"/>
      <c r="AD73" s="164">
        <f>IF(MIN(F73,J73,N73,R73,V73,Z73)&lt;&gt;0,MIN(F73,J73,N73,R73,V73,Z73),"")</f>
        <v>74</v>
      </c>
      <c r="AE73" s="164">
        <f>IF(MIN(H73,L73,P73,T73,X73,AB73)&lt;&gt;0,MIN(H73,L73,P73,T73,X73,AB73),"")</f>
        <v>87</v>
      </c>
      <c r="AF73" s="164"/>
      <c r="AG73" s="163"/>
      <c r="AH73" s="164"/>
      <c r="AI73" s="163"/>
      <c r="AJ73" s="162" t="str">
        <f>IF(AD73="","",IF(ISBLANK(AF73),"En cours",AD73+AF73))</f>
        <v>En cours</v>
      </c>
      <c r="AK73" s="162" t="str">
        <f>IF(AE73="","",IF(ISBLANK(AH73),"En cours",AE73+AH73))</f>
        <v>En cours</v>
      </c>
    </row>
    <row r="74" spans="2:37" ht="21" x14ac:dyDescent="0.35">
      <c r="B74" s="163" t="s">
        <v>147</v>
      </c>
      <c r="C74" s="163" t="s">
        <v>148</v>
      </c>
      <c r="D74" s="163">
        <v>17.8</v>
      </c>
      <c r="E74" s="163" t="s">
        <v>202</v>
      </c>
      <c r="F74" s="163">
        <v>75</v>
      </c>
      <c r="G74" s="163">
        <v>16</v>
      </c>
      <c r="H74" s="163">
        <v>92</v>
      </c>
      <c r="I74" s="163">
        <v>24</v>
      </c>
      <c r="J74" s="163"/>
      <c r="K74" s="163"/>
      <c r="L74" s="163"/>
      <c r="M74" s="163"/>
      <c r="N74" s="163">
        <v>76</v>
      </c>
      <c r="O74" s="163">
        <v>15</v>
      </c>
      <c r="P74" s="163">
        <v>93</v>
      </c>
      <c r="Q74" s="163">
        <v>23</v>
      </c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4">
        <f>IF(MIN(F74,J74,N74,R74,V74,Z74)&lt;&gt;0,MIN(F74,J74,N74,R74,V74,Z74),"")</f>
        <v>75</v>
      </c>
      <c r="AE74" s="164">
        <f>IF(MIN(H74,L74,P74,T74,X74,AB74)&lt;&gt;0,MIN(H74,L74,P74,T74,X74,AB74),"")</f>
        <v>92</v>
      </c>
      <c r="AF74" s="164">
        <v>74</v>
      </c>
      <c r="AG74" s="163">
        <v>13</v>
      </c>
      <c r="AH74" s="164">
        <v>91</v>
      </c>
      <c r="AI74" s="163">
        <v>19</v>
      </c>
      <c r="AJ74" s="162">
        <f>IF(AD74="","",IF(ISBLANK(AF74),"En cours",AD74+AF74))</f>
        <v>149</v>
      </c>
      <c r="AK74" s="162">
        <f>IF(AE74="","",IF(ISBLANK(AH74),"En cours",AE74+AH74))</f>
        <v>183</v>
      </c>
    </row>
    <row r="75" spans="2:37" ht="21" x14ac:dyDescent="0.35">
      <c r="B75" s="163" t="s">
        <v>336</v>
      </c>
      <c r="C75" s="163" t="s">
        <v>104</v>
      </c>
      <c r="D75" s="163">
        <v>19.3</v>
      </c>
      <c r="E75" s="163" t="s">
        <v>205</v>
      </c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4" t="str">
        <f>IF(MIN(F75,J75,N75,R75,V75,Z75)&lt;&gt;0,MIN(F75,J75,N75,R75,V75,Z75),"")</f>
        <v/>
      </c>
      <c r="AE75" s="164" t="str">
        <f>IF(MIN(H75,L75,P75,T75,X75,AB75)&lt;&gt;0,MIN(H75,L75,P75,T75,X75,AB75),"")</f>
        <v/>
      </c>
      <c r="AF75" s="164">
        <v>83</v>
      </c>
      <c r="AG75" s="163">
        <v>37</v>
      </c>
      <c r="AH75" s="164">
        <v>99</v>
      </c>
      <c r="AI75" s="163">
        <v>34</v>
      </c>
      <c r="AJ75" s="162" t="str">
        <f>IF(AD75="","",IF(ISBLANK(AF75),"En cours",AD75+AF75))</f>
        <v/>
      </c>
      <c r="AK75" s="162" t="str">
        <f>IF(AE75="","",IF(ISBLANK(AH75),"En cours",AE75+AH75))</f>
        <v/>
      </c>
    </row>
    <row r="76" spans="2:37" ht="21" x14ac:dyDescent="0.35">
      <c r="B76" s="163" t="s">
        <v>226</v>
      </c>
      <c r="C76" s="163" t="s">
        <v>104</v>
      </c>
      <c r="D76" s="163">
        <v>16.7</v>
      </c>
      <c r="E76" s="163" t="s">
        <v>202</v>
      </c>
      <c r="F76" s="163"/>
      <c r="G76" s="163"/>
      <c r="H76" s="163"/>
      <c r="I76" s="163"/>
      <c r="J76" s="163">
        <v>78</v>
      </c>
      <c r="K76" s="163">
        <v>23</v>
      </c>
      <c r="L76" s="163">
        <v>94</v>
      </c>
      <c r="M76" s="163">
        <v>28</v>
      </c>
      <c r="N76" s="163"/>
      <c r="O76" s="163"/>
      <c r="P76" s="163"/>
      <c r="Q76" s="163"/>
      <c r="R76" s="163">
        <v>84</v>
      </c>
      <c r="S76" s="163">
        <v>34</v>
      </c>
      <c r="T76" s="163">
        <v>100</v>
      </c>
      <c r="U76" s="163">
        <v>35</v>
      </c>
      <c r="V76" s="163"/>
      <c r="W76" s="163"/>
      <c r="X76" s="163"/>
      <c r="Y76" s="163"/>
      <c r="Z76" s="163">
        <v>83</v>
      </c>
      <c r="AA76" s="163">
        <v>27</v>
      </c>
      <c r="AB76" s="163">
        <v>99</v>
      </c>
      <c r="AC76" s="163">
        <v>27</v>
      </c>
      <c r="AD76" s="164">
        <f>IF(MIN(F76,J76,N76,R76,V76,Z76)&lt;&gt;0,MIN(F76,J76,N76,R76,V76,Z76),"")</f>
        <v>78</v>
      </c>
      <c r="AE76" s="164">
        <f>IF(MIN(H76,L76,P76,T76,X76,AB76)&lt;&gt;0,MIN(H76,L76,P76,T76,X76,AB76),"")</f>
        <v>94</v>
      </c>
      <c r="AF76" s="164">
        <v>80</v>
      </c>
      <c r="AG76" s="163">
        <v>34</v>
      </c>
      <c r="AH76" s="164">
        <v>96</v>
      </c>
      <c r="AI76" s="163">
        <v>38</v>
      </c>
      <c r="AJ76" s="162">
        <f>IF(AD76="","",IF(ISBLANK(AF76),"En cours",AD76+AF76))</f>
        <v>158</v>
      </c>
      <c r="AK76" s="162">
        <f>IF(AE76="","",IF(ISBLANK(AH76),"En cours",AE76+AH76))</f>
        <v>190</v>
      </c>
    </row>
    <row r="77" spans="2:37" ht="21" x14ac:dyDescent="0.35">
      <c r="B77" s="163" t="s">
        <v>329</v>
      </c>
      <c r="C77" s="163" t="s">
        <v>104</v>
      </c>
      <c r="D77" s="163">
        <v>19.399999999999999</v>
      </c>
      <c r="E77" s="163" t="s">
        <v>205</v>
      </c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>
        <v>78</v>
      </c>
      <c r="AA77" s="163">
        <v>15</v>
      </c>
      <c r="AB77" s="163">
        <v>94</v>
      </c>
      <c r="AC77" s="163">
        <v>11</v>
      </c>
      <c r="AD77" s="164">
        <f>IF(MIN(F77,J77,N77,R77,V77,Z77)&lt;&gt;0,MIN(F77,J77,N77,R77,V77,Z77),"")</f>
        <v>78</v>
      </c>
      <c r="AE77" s="164">
        <f>IF(MIN(H77,L77,P77,T77,X77,AB77)&lt;&gt;0,MIN(H77,L77,P77,T77,X77,AB77),"")</f>
        <v>94</v>
      </c>
      <c r="AF77" s="164">
        <v>71</v>
      </c>
      <c r="AG77" s="163">
        <v>11</v>
      </c>
      <c r="AH77" s="164">
        <v>87</v>
      </c>
      <c r="AI77" s="163">
        <v>5</v>
      </c>
      <c r="AJ77" s="162">
        <f>IF(AD77="","",IF(ISBLANK(AF77),"En cours",AD77+AF77))</f>
        <v>149</v>
      </c>
      <c r="AK77" s="162">
        <f>IF(AE77="","",IF(ISBLANK(AH77),"En cours",AE77+AH77))</f>
        <v>181</v>
      </c>
    </row>
    <row r="78" spans="2:37" ht="21" x14ac:dyDescent="0.35">
      <c r="B78" s="163" t="s">
        <v>162</v>
      </c>
      <c r="C78" s="163" t="s">
        <v>104</v>
      </c>
      <c r="D78" s="163">
        <v>18.8</v>
      </c>
      <c r="E78" s="163" t="s">
        <v>205</v>
      </c>
      <c r="F78" s="163">
        <v>72</v>
      </c>
      <c r="G78" s="163">
        <v>11</v>
      </c>
      <c r="H78" s="163">
        <v>87</v>
      </c>
      <c r="I78" s="163">
        <v>3</v>
      </c>
      <c r="J78" s="163">
        <v>78</v>
      </c>
      <c r="K78" s="163">
        <v>24</v>
      </c>
      <c r="L78" s="163">
        <v>93</v>
      </c>
      <c r="M78" s="163">
        <v>12</v>
      </c>
      <c r="N78" s="163">
        <v>67</v>
      </c>
      <c r="O78" s="163">
        <v>2</v>
      </c>
      <c r="P78" s="163">
        <v>82</v>
      </c>
      <c r="Q78" s="163">
        <v>1</v>
      </c>
      <c r="R78" s="163"/>
      <c r="S78" s="163"/>
      <c r="T78" s="163"/>
      <c r="U78" s="163"/>
      <c r="V78" s="163">
        <v>74</v>
      </c>
      <c r="W78" s="163">
        <v>9</v>
      </c>
      <c r="X78" s="163">
        <v>89</v>
      </c>
      <c r="Y78" s="163">
        <v>6</v>
      </c>
      <c r="Z78" s="163"/>
      <c r="AA78" s="163"/>
      <c r="AB78" s="163"/>
      <c r="AC78" s="163"/>
      <c r="AD78" s="164">
        <f>IF(MIN(F78,J78,N78,R78,V78,Z78)&lt;&gt;0,MIN(F78,J78,N78,R78,V78,Z78),"")</f>
        <v>67</v>
      </c>
      <c r="AE78" s="164">
        <f>IF(MIN(H78,L78,P78,T78,X78,AB78)&lt;&gt;0,MIN(H78,L78,P78,T78,X78,AB78),"")</f>
        <v>82</v>
      </c>
      <c r="AF78" s="164">
        <v>80</v>
      </c>
      <c r="AG78" s="163">
        <v>33</v>
      </c>
      <c r="AH78" s="164">
        <v>95</v>
      </c>
      <c r="AI78" s="163">
        <v>24</v>
      </c>
      <c r="AJ78" s="162">
        <f>IF(AD78="","",IF(ISBLANK(AF78),"En cours",AD78+AF78))</f>
        <v>147</v>
      </c>
      <c r="AK78" s="162">
        <f>IF(AE78="","",IF(ISBLANK(AH78),"En cours",AE78+AH78))</f>
        <v>177</v>
      </c>
    </row>
    <row r="79" spans="2:37" ht="21" x14ac:dyDescent="0.35">
      <c r="B79" s="163" t="s">
        <v>287</v>
      </c>
      <c r="C79" s="163" t="s">
        <v>104</v>
      </c>
      <c r="D79" s="163">
        <v>12.9</v>
      </c>
      <c r="E79" s="163" t="s">
        <v>202</v>
      </c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>
        <v>71</v>
      </c>
      <c r="S79" s="163">
        <v>7</v>
      </c>
      <c r="T79" s="163">
        <v>83</v>
      </c>
      <c r="U79" s="163">
        <v>4</v>
      </c>
      <c r="V79" s="163">
        <v>73</v>
      </c>
      <c r="W79" s="163">
        <v>9</v>
      </c>
      <c r="X79" s="163">
        <v>85</v>
      </c>
      <c r="Y79" s="163">
        <v>5</v>
      </c>
      <c r="Z79" s="163"/>
      <c r="AA79" s="163"/>
      <c r="AB79" s="163"/>
      <c r="AC79" s="163"/>
      <c r="AD79" s="164">
        <f>IF(MIN(F79,J79,N79,R79,V79,Z79)&lt;&gt;0,MIN(F79,J79,N79,R79,V79,Z79),"")</f>
        <v>71</v>
      </c>
      <c r="AE79" s="164">
        <f>IF(MIN(H79,L79,P79,T79,X79,AB79)&lt;&gt;0,MIN(H79,L79,P79,T79,X79,AB79),"")</f>
        <v>83</v>
      </c>
      <c r="AF79" s="164"/>
      <c r="AG79" s="163"/>
      <c r="AH79" s="164"/>
      <c r="AI79" s="163"/>
      <c r="AJ79" s="162" t="str">
        <f>IF(AD79="","",IF(ISBLANK(AF79),"En cours",AD79+AF79))</f>
        <v>En cours</v>
      </c>
      <c r="AK79" s="162" t="str">
        <f>IF(AE79="","",IF(ISBLANK(AH79),"En cours",AE79+AH79))</f>
        <v>En cours</v>
      </c>
    </row>
    <row r="80" spans="2:37" ht="21" x14ac:dyDescent="0.35">
      <c r="B80" s="163" t="s">
        <v>210</v>
      </c>
      <c r="C80" s="163" t="s">
        <v>104</v>
      </c>
      <c r="D80" s="163">
        <v>11.2</v>
      </c>
      <c r="E80" s="163" t="s">
        <v>203</v>
      </c>
      <c r="F80" s="163"/>
      <c r="G80" s="163"/>
      <c r="H80" s="163"/>
      <c r="I80" s="163"/>
      <c r="J80" s="163">
        <v>71</v>
      </c>
      <c r="K80" s="163">
        <v>3</v>
      </c>
      <c r="L80" s="163">
        <v>85</v>
      </c>
      <c r="M80" s="163">
        <v>6</v>
      </c>
      <c r="N80" s="163">
        <v>77</v>
      </c>
      <c r="O80" s="163">
        <v>11</v>
      </c>
      <c r="P80" s="163">
        <v>91</v>
      </c>
      <c r="Q80" s="163">
        <v>11</v>
      </c>
      <c r="R80" s="163">
        <v>74</v>
      </c>
      <c r="S80" s="163">
        <v>8</v>
      </c>
      <c r="T80" s="163">
        <v>88</v>
      </c>
      <c r="U80" s="163">
        <v>13</v>
      </c>
      <c r="V80" s="163">
        <v>75</v>
      </c>
      <c r="W80" s="163">
        <v>5</v>
      </c>
      <c r="X80" s="163">
        <v>89</v>
      </c>
      <c r="Y80" s="163">
        <v>7</v>
      </c>
      <c r="Z80" s="163"/>
      <c r="AA80" s="163"/>
      <c r="AB80" s="163"/>
      <c r="AC80" s="163"/>
      <c r="AD80" s="164">
        <f>IF(MIN(F80,J80,N80,R80,V80,Z80)&lt;&gt;0,MIN(F80,J80,N80,R80,V80,Z80),"")</f>
        <v>71</v>
      </c>
      <c r="AE80" s="164">
        <f>IF(MIN(H80,L80,P80,T80,X80,AB80)&lt;&gt;0,MIN(H80,L80,P80,T80,X80,AB80),"")</f>
        <v>85</v>
      </c>
      <c r="AF80" s="164"/>
      <c r="AG80" s="163"/>
      <c r="AH80" s="164"/>
      <c r="AI80" s="163"/>
      <c r="AJ80" s="162" t="str">
        <f>IF(AD80="","",IF(ISBLANK(AF80),"En cours",AD80+AF80))</f>
        <v>En cours</v>
      </c>
      <c r="AK80" s="162" t="str">
        <f>IF(AE80="","",IF(ISBLANK(AH80),"En cours",AE80+AH80))</f>
        <v>En cours</v>
      </c>
    </row>
    <row r="81" spans="2:37" ht="21" x14ac:dyDescent="0.35">
      <c r="B81" s="163" t="s">
        <v>118</v>
      </c>
      <c r="C81" s="163" t="s">
        <v>104</v>
      </c>
      <c r="D81" s="163">
        <v>8.4</v>
      </c>
      <c r="E81" s="163" t="s">
        <v>203</v>
      </c>
      <c r="F81" s="163">
        <v>79</v>
      </c>
      <c r="G81" s="163">
        <v>15</v>
      </c>
      <c r="H81" s="163">
        <v>89</v>
      </c>
      <c r="I81" s="163">
        <v>14</v>
      </c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4">
        <f>IF(MIN(F81,J81,N81,R81,V81,Z81)&lt;&gt;0,MIN(F81,J81,N81,R81,V81,Z81),"")</f>
        <v>79</v>
      </c>
      <c r="AE81" s="164">
        <f>IF(MIN(H81,L81,P81,T81,X81,AB81)&lt;&gt;0,MIN(H81,L81,P81,T81,X81,AB81),"")</f>
        <v>89</v>
      </c>
      <c r="AF81" s="164"/>
      <c r="AG81" s="163"/>
      <c r="AH81" s="164"/>
      <c r="AI81" s="163"/>
      <c r="AJ81" s="162" t="str">
        <f>IF(AD81="","",IF(ISBLANK(AF81),"En cours",AD81+AF81))</f>
        <v>En cours</v>
      </c>
      <c r="AK81" s="162" t="str">
        <f>IF(AE81="","",IF(ISBLANK(AH81),"En cours",AE81+AH81))</f>
        <v>En cours</v>
      </c>
    </row>
    <row r="82" spans="2:37" ht="21" x14ac:dyDescent="0.35">
      <c r="B82" s="163" t="s">
        <v>309</v>
      </c>
      <c r="C82" s="163" t="s">
        <v>104</v>
      </c>
      <c r="D82" s="163">
        <v>23.1</v>
      </c>
      <c r="E82" s="163" t="s">
        <v>205</v>
      </c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>
        <v>80</v>
      </c>
      <c r="S82" s="163">
        <v>25</v>
      </c>
      <c r="T82" s="163">
        <v>100</v>
      </c>
      <c r="U82" s="163">
        <v>25</v>
      </c>
      <c r="V82" s="163"/>
      <c r="W82" s="163"/>
      <c r="X82" s="163"/>
      <c r="Y82" s="163"/>
      <c r="Z82" s="163"/>
      <c r="AA82" s="163"/>
      <c r="AB82" s="163"/>
      <c r="AC82" s="163"/>
      <c r="AD82" s="164">
        <f>IF(MIN(F82,J82,N82,R82,V82,Z82)&lt;&gt;0,MIN(F82,J82,N82,R82,V82,Z82),"")</f>
        <v>80</v>
      </c>
      <c r="AE82" s="164">
        <f>IF(MIN(H82,L82,P82,T82,X82,AB82)&lt;&gt;0,MIN(H82,L82,P82,T82,X82,AB82),"")</f>
        <v>100</v>
      </c>
      <c r="AF82" s="164"/>
      <c r="AG82" s="163"/>
      <c r="AH82" s="164"/>
      <c r="AI82" s="163"/>
      <c r="AJ82" s="162" t="str">
        <f>IF(AD82="","",IF(ISBLANK(AF82),"En cours",AD82+AF82))</f>
        <v>En cours</v>
      </c>
      <c r="AK82" s="162" t="str">
        <f>IF(AE82="","",IF(ISBLANK(AH82),"En cours",AE82+AH82))</f>
        <v>En cours</v>
      </c>
    </row>
    <row r="83" spans="2:37" ht="21" x14ac:dyDescent="0.35">
      <c r="B83" s="163" t="s">
        <v>291</v>
      </c>
      <c r="C83" s="163" t="s">
        <v>292</v>
      </c>
      <c r="D83" s="163">
        <v>17.3</v>
      </c>
      <c r="E83" s="163" t="s">
        <v>202</v>
      </c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>
        <v>72</v>
      </c>
      <c r="S83" s="163">
        <v>9</v>
      </c>
      <c r="T83" s="163">
        <v>89</v>
      </c>
      <c r="U83" s="163">
        <v>16</v>
      </c>
      <c r="V83" s="163"/>
      <c r="W83" s="163"/>
      <c r="X83" s="163"/>
      <c r="Y83" s="163"/>
      <c r="Z83" s="163"/>
      <c r="AA83" s="163"/>
      <c r="AB83" s="163"/>
      <c r="AC83" s="163"/>
      <c r="AD83" s="164">
        <f>IF(MIN(F83,J83,N83,R83,V83,Z83)&lt;&gt;0,MIN(F83,J83,N83,R83,V83,Z83),"")</f>
        <v>72</v>
      </c>
      <c r="AE83" s="164">
        <f>IF(MIN(H83,L83,P83,T83,X83,AB83)&lt;&gt;0,MIN(H83,L83,P83,T83,X83,AB83),"")</f>
        <v>89</v>
      </c>
      <c r="AF83" s="164"/>
      <c r="AG83" s="163"/>
      <c r="AH83" s="164"/>
      <c r="AI83" s="163"/>
      <c r="AJ83" s="162" t="str">
        <f>IF(AD83="","",IF(ISBLANK(AF83),"En cours",AD83+AF83))</f>
        <v>En cours</v>
      </c>
      <c r="AK83" s="162" t="str">
        <f>IF(AE83="","",IF(ISBLANK(AH83),"En cours",AE83+AH83))</f>
        <v>En cours</v>
      </c>
    </row>
    <row r="84" spans="2:37" ht="21" x14ac:dyDescent="0.35">
      <c r="B84" s="163" t="s">
        <v>232</v>
      </c>
      <c r="C84" s="163" t="s">
        <v>104</v>
      </c>
      <c r="D84" s="163">
        <v>24.7</v>
      </c>
      <c r="E84" s="163" t="s">
        <v>205</v>
      </c>
      <c r="F84" s="163"/>
      <c r="G84" s="163"/>
      <c r="H84" s="163"/>
      <c r="I84" s="163"/>
      <c r="J84" s="163">
        <v>67</v>
      </c>
      <c r="K84" s="163">
        <v>2</v>
      </c>
      <c r="L84" s="163">
        <v>88</v>
      </c>
      <c r="M84" s="163">
        <v>2</v>
      </c>
      <c r="N84" s="163"/>
      <c r="O84" s="163"/>
      <c r="P84" s="163"/>
      <c r="Q84" s="163"/>
      <c r="R84" s="163">
        <v>72</v>
      </c>
      <c r="S84" s="163">
        <v>7</v>
      </c>
      <c r="T84" s="163">
        <v>93</v>
      </c>
      <c r="U84" s="163">
        <v>13</v>
      </c>
      <c r="V84" s="163"/>
      <c r="W84" s="163"/>
      <c r="X84" s="163"/>
      <c r="Y84" s="163"/>
      <c r="Z84" s="163">
        <v>69</v>
      </c>
      <c r="AA84" s="163">
        <v>1</v>
      </c>
      <c r="AB84" s="163">
        <v>90</v>
      </c>
      <c r="AC84" s="163">
        <v>5</v>
      </c>
      <c r="AD84" s="164">
        <f>IF(MIN(F84,J84,N84,R84,V84,Z84)&lt;&gt;0,MIN(F84,J84,N84,R84,V84,Z84),"")</f>
        <v>67</v>
      </c>
      <c r="AE84" s="164">
        <f>IF(MIN(H84,L84,P84,T84,X84,AB84)&lt;&gt;0,MIN(H84,L84,P84,T84,X84,AB84),"")</f>
        <v>88</v>
      </c>
      <c r="AF84" s="164"/>
      <c r="AG84" s="163"/>
      <c r="AH84" s="164"/>
      <c r="AI84" s="163"/>
      <c r="AJ84" s="162" t="str">
        <f>IF(AD84="","",IF(ISBLANK(AF84),"En cours",AD84+AF84))</f>
        <v>En cours</v>
      </c>
      <c r="AK84" s="162" t="str">
        <f>IF(AE84="","",IF(ISBLANK(AH84),"En cours",AE84+AH84))</f>
        <v>En cours</v>
      </c>
    </row>
    <row r="85" spans="2:37" ht="21" x14ac:dyDescent="0.35">
      <c r="B85" s="163" t="s">
        <v>304</v>
      </c>
      <c r="C85" s="163" t="s">
        <v>104</v>
      </c>
      <c r="D85" s="163">
        <v>20.3</v>
      </c>
      <c r="E85" s="163" t="s">
        <v>205</v>
      </c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>
        <v>77</v>
      </c>
      <c r="S85" s="163">
        <v>20</v>
      </c>
      <c r="T85" s="163">
        <v>94</v>
      </c>
      <c r="U85" s="163">
        <v>16</v>
      </c>
      <c r="V85" s="163"/>
      <c r="W85" s="163"/>
      <c r="X85" s="163"/>
      <c r="Y85" s="163"/>
      <c r="Z85" s="163"/>
      <c r="AA85" s="163"/>
      <c r="AB85" s="163"/>
      <c r="AC85" s="163"/>
      <c r="AD85" s="164">
        <f>IF(MIN(F85,J85,N85,R85,V85,Z85)&lt;&gt;0,MIN(F85,J85,N85,R85,V85,Z85),"")</f>
        <v>77</v>
      </c>
      <c r="AE85" s="164">
        <f>IF(MIN(H85,L85,P85,T85,X85,AB85)&lt;&gt;0,MIN(H85,L85,P85,T85,X85,AB85),"")</f>
        <v>94</v>
      </c>
      <c r="AF85" s="164"/>
      <c r="AG85" s="163"/>
      <c r="AH85" s="164"/>
      <c r="AI85" s="163"/>
      <c r="AJ85" s="162" t="str">
        <f>IF(AD85="","",IF(ISBLANK(AF85),"En cours",AD85+AF85))</f>
        <v>En cours</v>
      </c>
      <c r="AK85" s="162" t="str">
        <f>IF(AE85="","",IF(ISBLANK(AH85),"En cours",AE85+AH85))</f>
        <v>En cours</v>
      </c>
    </row>
    <row r="86" spans="2:37" ht="21" x14ac:dyDescent="0.35">
      <c r="B86" s="163" t="s">
        <v>305</v>
      </c>
      <c r="C86" s="163" t="s">
        <v>104</v>
      </c>
      <c r="D86" s="163">
        <v>22</v>
      </c>
      <c r="E86" s="163" t="s">
        <v>205</v>
      </c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>
        <v>79</v>
      </c>
      <c r="S86" s="163">
        <v>24</v>
      </c>
      <c r="T86" s="163">
        <v>97</v>
      </c>
      <c r="U86" s="163">
        <v>20</v>
      </c>
      <c r="V86" s="163"/>
      <c r="W86" s="163"/>
      <c r="X86" s="163"/>
      <c r="Y86" s="163"/>
      <c r="Z86" s="163">
        <v>83</v>
      </c>
      <c r="AA86" s="163">
        <v>22</v>
      </c>
      <c r="AB86" s="163">
        <v>101</v>
      </c>
      <c r="AC86" s="163">
        <v>21</v>
      </c>
      <c r="AD86" s="164">
        <f>IF(MIN(F86,J86,N86,R86,V86,Z86)&lt;&gt;0,MIN(F86,J86,N86,R86,V86,Z86),"")</f>
        <v>79</v>
      </c>
      <c r="AE86" s="164">
        <f>IF(MIN(H86,L86,P86,T86,X86,AB86)&lt;&gt;0,MIN(H86,L86,P86,T86,X86,AB86),"")</f>
        <v>97</v>
      </c>
      <c r="AF86" s="164"/>
      <c r="AG86" s="163"/>
      <c r="AH86" s="164"/>
      <c r="AI86" s="163"/>
      <c r="AJ86" s="162" t="str">
        <f>IF(AD86="","",IF(ISBLANK(AF86),"En cours",AD86+AF86))</f>
        <v>En cours</v>
      </c>
      <c r="AK86" s="162" t="str">
        <f>IF(AE86="","",IF(ISBLANK(AH86),"En cours",AE86+AH86))</f>
        <v>En cours</v>
      </c>
    </row>
    <row r="87" spans="2:37" ht="21" x14ac:dyDescent="0.35">
      <c r="B87" s="163" t="s">
        <v>128</v>
      </c>
      <c r="C87" s="163" t="s">
        <v>104</v>
      </c>
      <c r="D87" s="163">
        <v>17.8</v>
      </c>
      <c r="E87" s="163" t="s">
        <v>202</v>
      </c>
      <c r="F87" s="163">
        <v>67</v>
      </c>
      <c r="G87" s="163">
        <v>1</v>
      </c>
      <c r="H87" s="163">
        <v>84</v>
      </c>
      <c r="I87" s="163">
        <v>5</v>
      </c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4">
        <f>IF(MIN(F87,J87,N87,R87,V87,Z87)&lt;&gt;0,MIN(F87,J87,N87,R87,V87,Z87),"")</f>
        <v>67</v>
      </c>
      <c r="AE87" s="164">
        <f>IF(MIN(H87,L87,P87,T87,X87,AB87)&lt;&gt;0,MIN(H87,L87,P87,T87,X87,AB87),"")</f>
        <v>84</v>
      </c>
      <c r="AF87" s="164">
        <v>81</v>
      </c>
      <c r="AG87" s="163">
        <v>36</v>
      </c>
      <c r="AH87" s="164">
        <v>98</v>
      </c>
      <c r="AI87" s="163">
        <v>40</v>
      </c>
      <c r="AJ87" s="162">
        <f>IF(AD87="","",IF(ISBLANK(AF87),"En cours",AD87+AF87))</f>
        <v>148</v>
      </c>
      <c r="AK87" s="162">
        <f>IF(AE87="","",IF(ISBLANK(AH87),"En cours",AE87+AH87))</f>
        <v>182</v>
      </c>
    </row>
    <row r="88" spans="2:37" ht="21" x14ac:dyDescent="0.35">
      <c r="B88" s="163" t="s">
        <v>244</v>
      </c>
      <c r="C88" s="163" t="s">
        <v>108</v>
      </c>
      <c r="D88" s="163">
        <v>23.5</v>
      </c>
      <c r="E88" s="163" t="s">
        <v>205</v>
      </c>
      <c r="F88" s="163"/>
      <c r="G88" s="163"/>
      <c r="H88" s="163"/>
      <c r="I88" s="163"/>
      <c r="J88" s="163">
        <v>75</v>
      </c>
      <c r="K88" s="163">
        <v>16</v>
      </c>
      <c r="L88" s="163">
        <v>95</v>
      </c>
      <c r="M88" s="163">
        <v>20</v>
      </c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4">
        <f>IF(MIN(F88,J88,N88,R88,V88,Z88)&lt;&gt;0,MIN(F88,J88,N88,R88,V88,Z88),"")</f>
        <v>75</v>
      </c>
      <c r="AE88" s="164">
        <f>IF(MIN(H88,L88,P88,T88,X88,AB88)&lt;&gt;0,MIN(H88,L88,P88,T88,X88,AB88),"")</f>
        <v>95</v>
      </c>
      <c r="AF88" s="164"/>
      <c r="AG88" s="163"/>
      <c r="AH88" s="164"/>
      <c r="AI88" s="163"/>
      <c r="AJ88" s="162" t="str">
        <f>IF(AD88="","",IF(ISBLANK(AF88),"En cours",AD88+AF88))</f>
        <v>En cours</v>
      </c>
      <c r="AK88" s="162" t="str">
        <f>IF(AE88="","",IF(ISBLANK(AH88),"En cours",AE88+AH88))</f>
        <v>En cours</v>
      </c>
    </row>
    <row r="89" spans="2:37" ht="21" x14ac:dyDescent="0.35">
      <c r="B89" s="163" t="s">
        <v>212</v>
      </c>
      <c r="C89" s="163" t="s">
        <v>108</v>
      </c>
      <c r="D89" s="163">
        <v>7.2</v>
      </c>
      <c r="E89" s="163" t="s">
        <v>203</v>
      </c>
      <c r="F89" s="163"/>
      <c r="G89" s="163"/>
      <c r="H89" s="163"/>
      <c r="I89" s="163"/>
      <c r="J89" s="163">
        <v>85</v>
      </c>
      <c r="K89" s="163">
        <v>10</v>
      </c>
      <c r="L89" s="163">
        <v>94</v>
      </c>
      <c r="M89" s="163">
        <v>10</v>
      </c>
      <c r="N89" s="163"/>
      <c r="O89" s="163"/>
      <c r="P89" s="163"/>
      <c r="Q89" s="163"/>
      <c r="R89" s="163">
        <v>78</v>
      </c>
      <c r="S89" s="163">
        <v>12</v>
      </c>
      <c r="T89" s="163">
        <v>87</v>
      </c>
      <c r="U89" s="163">
        <v>10</v>
      </c>
      <c r="V89" s="163"/>
      <c r="W89" s="163"/>
      <c r="X89" s="163"/>
      <c r="Y89" s="163"/>
      <c r="Z89" s="163"/>
      <c r="AA89" s="163"/>
      <c r="AB89" s="163"/>
      <c r="AC89" s="163"/>
      <c r="AD89" s="164">
        <f>IF(MIN(F89,J89,N89,R89,V89,Z89)&lt;&gt;0,MIN(F89,J89,N89,R89,V89,Z89),"")</f>
        <v>78</v>
      </c>
      <c r="AE89" s="164">
        <f>IF(MIN(H89,L89,P89,T89,X89,AB89)&lt;&gt;0,MIN(H89,L89,P89,T89,X89,AB89),"")</f>
        <v>87</v>
      </c>
      <c r="AF89" s="164"/>
      <c r="AG89" s="163"/>
      <c r="AH89" s="164"/>
      <c r="AI89" s="163"/>
      <c r="AJ89" s="162" t="str">
        <f>IF(AD89="","",IF(ISBLANK(AF89),"En cours",AD89+AF89))</f>
        <v>En cours</v>
      </c>
      <c r="AK89" s="162" t="str">
        <f>IF(AE89="","",IF(ISBLANK(AH89),"En cours",AE89+AH89))</f>
        <v>En cours</v>
      </c>
    </row>
    <row r="90" spans="2:37" ht="21" x14ac:dyDescent="0.35">
      <c r="B90" s="163" t="s">
        <v>177</v>
      </c>
      <c r="C90" s="163" t="s">
        <v>104</v>
      </c>
      <c r="D90" s="163">
        <v>29.1</v>
      </c>
      <c r="E90" s="163" t="s">
        <v>204</v>
      </c>
      <c r="F90" s="163">
        <v>75</v>
      </c>
      <c r="G90" s="163">
        <v>18</v>
      </c>
      <c r="H90" s="163">
        <v>98</v>
      </c>
      <c r="I90" s="163">
        <v>18</v>
      </c>
      <c r="J90" s="163"/>
      <c r="K90" s="163"/>
      <c r="L90" s="163"/>
      <c r="M90" s="163"/>
      <c r="N90" s="163">
        <v>69</v>
      </c>
      <c r="O90" s="163">
        <v>4</v>
      </c>
      <c r="P90" s="163">
        <v>92</v>
      </c>
      <c r="Q90" s="163">
        <v>8</v>
      </c>
      <c r="R90" s="163"/>
      <c r="S90" s="163"/>
      <c r="T90" s="163"/>
      <c r="U90" s="163"/>
      <c r="V90" s="163"/>
      <c r="W90" s="163"/>
      <c r="X90" s="163"/>
      <c r="Y90" s="163"/>
      <c r="Z90" s="163">
        <v>81</v>
      </c>
      <c r="AA90" s="163">
        <v>20</v>
      </c>
      <c r="AB90" s="163">
        <v>104</v>
      </c>
      <c r="AC90" s="163">
        <v>22</v>
      </c>
      <c r="AD90" s="164">
        <f>IF(MIN(F90,J90,N90,R90,V90,Z90)&lt;&gt;0,MIN(F90,J90,N90,R90,V90,Z90),"")</f>
        <v>69</v>
      </c>
      <c r="AE90" s="164">
        <f>IF(MIN(H90,L90,P90,T90,X90,AB90)&lt;&gt;0,MIN(H90,L90,P90,T90,X90,AB90),"")</f>
        <v>92</v>
      </c>
      <c r="AF90" s="164">
        <v>76</v>
      </c>
      <c r="AG90" s="163">
        <v>26</v>
      </c>
      <c r="AH90" s="164">
        <v>99</v>
      </c>
      <c r="AI90" s="163">
        <v>33</v>
      </c>
      <c r="AJ90" s="162">
        <f>IF(AD90="","",IF(ISBLANK(AF90),"En cours",AD90+AF90))</f>
        <v>145</v>
      </c>
      <c r="AK90" s="162">
        <f>IF(AE90="","",IF(ISBLANK(AH90),"En cours",AE90+AH90))</f>
        <v>191</v>
      </c>
    </row>
    <row r="91" spans="2:37" ht="21" x14ac:dyDescent="0.35">
      <c r="B91" s="163" t="s">
        <v>308</v>
      </c>
      <c r="C91" s="163" t="s">
        <v>104</v>
      </c>
      <c r="D91" s="163">
        <v>25.6</v>
      </c>
      <c r="E91" s="163" t="s">
        <v>205</v>
      </c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>
        <v>76</v>
      </c>
      <c r="S91" s="163">
        <v>17</v>
      </c>
      <c r="T91" s="163">
        <v>98</v>
      </c>
      <c r="U91" s="163">
        <v>23</v>
      </c>
      <c r="V91" s="163">
        <v>63</v>
      </c>
      <c r="W91" s="163">
        <v>1</v>
      </c>
      <c r="X91" s="163">
        <v>85</v>
      </c>
      <c r="Y91" s="163">
        <v>1</v>
      </c>
      <c r="Z91" s="163"/>
      <c r="AA91" s="163"/>
      <c r="AB91" s="163"/>
      <c r="AC91" s="163"/>
      <c r="AD91" s="164">
        <f>IF(MIN(F91,J91,N91,R91,V91,Z91)&lt;&gt;0,MIN(F91,J91,N91,R91,V91,Z91),"")</f>
        <v>63</v>
      </c>
      <c r="AE91" s="164">
        <f>IF(MIN(H91,L91,P91,T91,X91,AB91)&lt;&gt;0,MIN(H91,L91,P91,T91,X91,AB91),"")</f>
        <v>85</v>
      </c>
      <c r="AF91" s="164"/>
      <c r="AG91" s="163"/>
      <c r="AH91" s="164"/>
      <c r="AI91" s="163"/>
      <c r="AJ91" s="162" t="str">
        <f>IF(AD91="","",IF(ISBLANK(AF91),"En cours",AD91+AF91))</f>
        <v>En cours</v>
      </c>
      <c r="AK91" s="162" t="str">
        <f>IF(AE91="","",IF(ISBLANK(AH91),"En cours",AE91+AH91))</f>
        <v>En cours</v>
      </c>
    </row>
    <row r="92" spans="2:37" ht="21" x14ac:dyDescent="0.35">
      <c r="B92" s="163" t="s">
        <v>220</v>
      </c>
      <c r="C92" s="163" t="s">
        <v>104</v>
      </c>
      <c r="D92" s="163">
        <v>15.4</v>
      </c>
      <c r="E92" s="163" t="s">
        <v>202</v>
      </c>
      <c r="F92" s="163"/>
      <c r="G92" s="163"/>
      <c r="H92" s="163"/>
      <c r="I92" s="163"/>
      <c r="J92" s="163">
        <v>74</v>
      </c>
      <c r="K92" s="163">
        <v>12</v>
      </c>
      <c r="L92" s="163">
        <v>89</v>
      </c>
      <c r="M92" s="163">
        <v>15</v>
      </c>
      <c r="N92" s="163"/>
      <c r="O92" s="163"/>
      <c r="P92" s="163"/>
      <c r="Q92" s="163"/>
      <c r="R92" s="163">
        <v>72</v>
      </c>
      <c r="S92" s="163">
        <v>10</v>
      </c>
      <c r="T92" s="163">
        <v>87</v>
      </c>
      <c r="U92" s="163">
        <v>14</v>
      </c>
      <c r="V92" s="163"/>
      <c r="W92" s="163"/>
      <c r="X92" s="163"/>
      <c r="Y92" s="163"/>
      <c r="Z92" s="163"/>
      <c r="AA92" s="163"/>
      <c r="AB92" s="163"/>
      <c r="AC92" s="163"/>
      <c r="AD92" s="164">
        <f>IF(MIN(F92,J92,N92,R92,V92,Z92)&lt;&gt;0,MIN(F92,J92,N92,R92,V92,Z92),"")</f>
        <v>72</v>
      </c>
      <c r="AE92" s="164">
        <f>IF(MIN(H92,L92,P92,T92,X92,AB92)&lt;&gt;0,MIN(H92,L92,P92,T92,X92,AB92),"")</f>
        <v>87</v>
      </c>
      <c r="AF92" s="164">
        <v>69</v>
      </c>
      <c r="AG92" s="163">
        <v>3</v>
      </c>
      <c r="AH92" s="164">
        <v>84</v>
      </c>
      <c r="AI92" s="163">
        <v>5</v>
      </c>
      <c r="AJ92" s="162">
        <f>IF(AD92="","",IF(ISBLANK(AF92),"En cours",AD92+AF92))</f>
        <v>141</v>
      </c>
      <c r="AK92" s="162">
        <f>IF(AE92="","",IF(ISBLANK(AH92),"En cours",AE92+AH92))</f>
        <v>171</v>
      </c>
    </row>
    <row r="93" spans="2:37" ht="21" x14ac:dyDescent="0.35">
      <c r="B93" s="163" t="s">
        <v>310</v>
      </c>
      <c r="C93" s="163" t="s">
        <v>104</v>
      </c>
      <c r="D93" s="163">
        <v>26.5</v>
      </c>
      <c r="E93" s="163" t="s">
        <v>204</v>
      </c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>
        <v>80</v>
      </c>
      <c r="S93" s="163">
        <v>26</v>
      </c>
      <c r="T93" s="163">
        <v>100</v>
      </c>
      <c r="U93" s="163">
        <v>26</v>
      </c>
      <c r="V93" s="163"/>
      <c r="W93" s="163"/>
      <c r="X93" s="163"/>
      <c r="Y93" s="163"/>
      <c r="Z93" s="163"/>
      <c r="AA93" s="163"/>
      <c r="AB93" s="163"/>
      <c r="AC93" s="163"/>
      <c r="AD93" s="164">
        <f>IF(MIN(F93,J93,N93,R93,V93,Z93)&lt;&gt;0,MIN(F93,J93,N93,R93,V93,Z93),"")</f>
        <v>80</v>
      </c>
      <c r="AE93" s="164">
        <f>IF(MIN(H93,L93,P93,T93,X93,AB93)&lt;&gt;0,MIN(H93,L93,P93,T93,X93,AB93),"")</f>
        <v>100</v>
      </c>
      <c r="AF93" s="164">
        <v>70</v>
      </c>
      <c r="AG93" s="163">
        <v>8</v>
      </c>
      <c r="AH93" s="164">
        <v>90</v>
      </c>
      <c r="AI93" s="163">
        <v>11</v>
      </c>
      <c r="AJ93" s="162">
        <f>IF(AD93="","",IF(ISBLANK(AF93),"En cours",AD93+AF93))</f>
        <v>150</v>
      </c>
      <c r="AK93" s="162">
        <f>IF(AE93="","",IF(ISBLANK(AH93),"En cours",AE93+AH93))</f>
        <v>190</v>
      </c>
    </row>
    <row r="94" spans="2:37" ht="21" x14ac:dyDescent="0.35">
      <c r="B94" s="163" t="s">
        <v>150</v>
      </c>
      <c r="C94" s="163" t="s">
        <v>104</v>
      </c>
      <c r="D94" s="163">
        <v>16.100000000000001</v>
      </c>
      <c r="E94" s="163" t="s">
        <v>202</v>
      </c>
      <c r="F94" s="163">
        <v>78</v>
      </c>
      <c r="G94" s="163">
        <v>25</v>
      </c>
      <c r="H94" s="163">
        <v>93</v>
      </c>
      <c r="I94" s="163">
        <v>26</v>
      </c>
      <c r="J94" s="163">
        <v>87</v>
      </c>
      <c r="K94" s="163">
        <v>36</v>
      </c>
      <c r="L94" s="163">
        <v>102</v>
      </c>
      <c r="M94" s="163">
        <v>35</v>
      </c>
      <c r="N94" s="163"/>
      <c r="O94" s="163"/>
      <c r="P94" s="163"/>
      <c r="Q94" s="163"/>
      <c r="R94" s="163"/>
      <c r="S94" s="163"/>
      <c r="T94" s="163"/>
      <c r="U94" s="163"/>
      <c r="V94" s="163">
        <v>80</v>
      </c>
      <c r="W94" s="163">
        <v>25</v>
      </c>
      <c r="X94" s="163">
        <v>95</v>
      </c>
      <c r="Y94" s="163">
        <v>25</v>
      </c>
      <c r="Z94" s="163">
        <v>74</v>
      </c>
      <c r="AA94" s="163">
        <v>10</v>
      </c>
      <c r="AB94" s="163">
        <v>89</v>
      </c>
      <c r="AC94" s="163">
        <v>15</v>
      </c>
      <c r="AD94" s="164">
        <f>IF(MIN(F94,J94,N94,R94,V94,Z94)&lt;&gt;0,MIN(F94,J94,N94,R94,V94,Z94),"")</f>
        <v>74</v>
      </c>
      <c r="AE94" s="164">
        <f>IF(MIN(H94,L94,P94,T94,X94,AB94)&lt;&gt;0,MIN(H94,L94,P94,T94,X94,AB94),"")</f>
        <v>89</v>
      </c>
      <c r="AF94" s="164">
        <v>71</v>
      </c>
      <c r="AG94" s="163">
        <v>7</v>
      </c>
      <c r="AH94" s="164">
        <v>86</v>
      </c>
      <c r="AI94" s="163">
        <v>9</v>
      </c>
      <c r="AJ94" s="162">
        <f>IF(AD94="","",IF(ISBLANK(AF94),"En cours",AD94+AF94))</f>
        <v>145</v>
      </c>
      <c r="AK94" s="162">
        <f>IF(AE94="","",IF(ISBLANK(AH94),"En cours",AE94+AH94))</f>
        <v>175</v>
      </c>
    </row>
    <row r="95" spans="2:37" ht="21" x14ac:dyDescent="0.35">
      <c r="B95" s="163" t="s">
        <v>228</v>
      </c>
      <c r="C95" s="163" t="s">
        <v>104</v>
      </c>
      <c r="D95" s="163">
        <v>17.5</v>
      </c>
      <c r="E95" s="163" t="s">
        <v>202</v>
      </c>
      <c r="F95" s="163"/>
      <c r="G95" s="163"/>
      <c r="H95" s="163"/>
      <c r="I95" s="163"/>
      <c r="J95" s="163">
        <v>89</v>
      </c>
      <c r="K95" s="163">
        <v>37</v>
      </c>
      <c r="L95" s="163">
        <v>106</v>
      </c>
      <c r="M95" s="163">
        <v>37</v>
      </c>
      <c r="N95" s="163"/>
      <c r="O95" s="163"/>
      <c r="P95" s="163"/>
      <c r="Q95" s="163"/>
      <c r="R95" s="163">
        <v>87</v>
      </c>
      <c r="S95" s="163">
        <v>38</v>
      </c>
      <c r="T95" s="163">
        <v>104</v>
      </c>
      <c r="U95" s="163">
        <v>37</v>
      </c>
      <c r="V95" s="163"/>
      <c r="W95" s="163"/>
      <c r="X95" s="163"/>
      <c r="Y95" s="163"/>
      <c r="Z95" s="163"/>
      <c r="AA95" s="163"/>
      <c r="AB95" s="163"/>
      <c r="AC95" s="163"/>
      <c r="AD95" s="164">
        <f>IF(MIN(F95,J95,N95,R95,V95,Z95)&lt;&gt;0,MIN(F95,J95,N95,R95,V95,Z95),"")</f>
        <v>87</v>
      </c>
      <c r="AE95" s="164">
        <f>IF(MIN(H95,L95,P95,T95,X95,AB95)&lt;&gt;0,MIN(H95,L95,P95,T95,X95,AB95),"")</f>
        <v>104</v>
      </c>
      <c r="AF95" s="164"/>
      <c r="AG95" s="163"/>
      <c r="AH95" s="164"/>
      <c r="AI95" s="163"/>
      <c r="AJ95" s="162" t="str">
        <f>IF(AD95="","",IF(ISBLANK(AF95),"En cours",AD95+AF95))</f>
        <v>En cours</v>
      </c>
      <c r="AK95" s="162" t="str">
        <f>IF(AE95="","",IF(ISBLANK(AH95),"En cours",AE95+AH95))</f>
        <v>En cours</v>
      </c>
    </row>
    <row r="96" spans="2:37" ht="21" x14ac:dyDescent="0.35">
      <c r="B96" s="163" t="s">
        <v>320</v>
      </c>
      <c r="C96" s="163" t="s">
        <v>104</v>
      </c>
      <c r="D96" s="163">
        <v>16.600000000000001</v>
      </c>
      <c r="E96" s="163" t="s">
        <v>202</v>
      </c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>
        <v>66</v>
      </c>
      <c r="W96" s="163">
        <v>1</v>
      </c>
      <c r="X96" s="163">
        <v>82</v>
      </c>
      <c r="Y96" s="163">
        <v>1</v>
      </c>
      <c r="Z96" s="163"/>
      <c r="AA96" s="163"/>
      <c r="AB96" s="163"/>
      <c r="AC96" s="163"/>
      <c r="AD96" s="164">
        <f>IF(MIN(F96,J96,N96,R96,V96,Z96)&lt;&gt;0,MIN(F96,J96,N96,R96,V96,Z96),"")</f>
        <v>66</v>
      </c>
      <c r="AE96" s="164">
        <f>IF(MIN(H96,L96,P96,T96,X96,AB96)&lt;&gt;0,MIN(H96,L96,P96,T96,X96,AB96),"")</f>
        <v>82</v>
      </c>
      <c r="AF96" s="164">
        <v>70</v>
      </c>
      <c r="AG96" s="163">
        <v>6</v>
      </c>
      <c r="AH96" s="164">
        <v>86</v>
      </c>
      <c r="AI96" s="163">
        <v>10</v>
      </c>
      <c r="AJ96" s="162">
        <f>IF(AD96="","",IF(ISBLANK(AF96),"En cours",AD96+AF96))</f>
        <v>136</v>
      </c>
      <c r="AK96" s="162">
        <f>IF(AE96="","",IF(ISBLANK(AH96),"En cours",AE96+AH96))</f>
        <v>168</v>
      </c>
    </row>
    <row r="97" spans="2:37" ht="21" x14ac:dyDescent="0.35">
      <c r="B97" s="163" t="s">
        <v>284</v>
      </c>
      <c r="C97" s="163" t="s">
        <v>104</v>
      </c>
      <c r="D97" s="163">
        <v>3.4</v>
      </c>
      <c r="E97" s="163" t="s">
        <v>203</v>
      </c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>
        <v>79</v>
      </c>
      <c r="S97" s="163">
        <v>13</v>
      </c>
      <c r="T97" s="163">
        <v>83</v>
      </c>
      <c r="U97" s="163">
        <v>6</v>
      </c>
      <c r="V97" s="163"/>
      <c r="W97" s="163"/>
      <c r="X97" s="163"/>
      <c r="Y97" s="163"/>
      <c r="Z97" s="163"/>
      <c r="AA97" s="163"/>
      <c r="AB97" s="163"/>
      <c r="AC97" s="163"/>
      <c r="AD97" s="164">
        <f>IF(MIN(F97,J97,N97,R97,V97,Z97)&lt;&gt;0,MIN(F97,J97,N97,R97,V97,Z97),"")</f>
        <v>79</v>
      </c>
      <c r="AE97" s="164">
        <f>IF(MIN(H97,L97,P97,T97,X97,AB97)&lt;&gt;0,MIN(H97,L97,P97,T97,X97,AB97),"")</f>
        <v>83</v>
      </c>
      <c r="AF97" s="164"/>
      <c r="AG97" s="163"/>
      <c r="AH97" s="164"/>
      <c r="AI97" s="163"/>
      <c r="AJ97" s="162" t="str">
        <f>IF(AD97="","",IF(ISBLANK(AF97),"En cours",AD97+AF97))</f>
        <v>En cours</v>
      </c>
      <c r="AK97" s="162" t="str">
        <f>IF(AE97="","",IF(ISBLANK(AH97),"En cours",AE97+AH97))</f>
        <v>En cours</v>
      </c>
    </row>
    <row r="98" spans="2:37" ht="21" x14ac:dyDescent="0.35">
      <c r="B98" s="163" t="s">
        <v>282</v>
      </c>
      <c r="C98" s="163" t="s">
        <v>104</v>
      </c>
      <c r="D98" s="163">
        <v>7</v>
      </c>
      <c r="E98" s="163" t="s">
        <v>203</v>
      </c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>
        <v>72</v>
      </c>
      <c r="S98" s="163">
        <v>4</v>
      </c>
      <c r="T98" s="163">
        <v>81</v>
      </c>
      <c r="U98" s="163">
        <v>4</v>
      </c>
      <c r="V98" s="163"/>
      <c r="W98" s="163"/>
      <c r="X98" s="163"/>
      <c r="Y98" s="163"/>
      <c r="Z98" s="163"/>
      <c r="AA98" s="163"/>
      <c r="AB98" s="163"/>
      <c r="AC98" s="163"/>
      <c r="AD98" s="164">
        <f>IF(MIN(F98,J98,N98,R98,V98,Z98)&lt;&gt;0,MIN(F98,J98,N98,R98,V98,Z98),"")</f>
        <v>72</v>
      </c>
      <c r="AE98" s="164">
        <f>IF(MIN(H98,L98,P98,T98,X98,AB98)&lt;&gt;0,MIN(H98,L98,P98,T98,X98,AB98),"")</f>
        <v>81</v>
      </c>
      <c r="AF98" s="164"/>
      <c r="AG98" s="163"/>
      <c r="AH98" s="164"/>
      <c r="AI98" s="163"/>
      <c r="AJ98" s="162" t="str">
        <f>IF(AD98="","",IF(ISBLANK(AF98),"En cours",AD98+AF98))</f>
        <v>En cours</v>
      </c>
      <c r="AK98" s="162" t="str">
        <f>IF(AE98="","",IF(ISBLANK(AH98),"En cours",AE98+AH98))</f>
        <v>En cours</v>
      </c>
    </row>
    <row r="99" spans="2:37" ht="21" x14ac:dyDescent="0.35">
      <c r="B99" s="163" t="s">
        <v>171</v>
      </c>
      <c r="C99" s="163" t="s">
        <v>104</v>
      </c>
      <c r="D99" s="163">
        <v>20.6</v>
      </c>
      <c r="E99" s="163" t="s">
        <v>205</v>
      </c>
      <c r="F99" s="163">
        <v>74</v>
      </c>
      <c r="G99" s="163">
        <v>17</v>
      </c>
      <c r="H99" s="163">
        <v>91</v>
      </c>
      <c r="I99" s="163">
        <v>12</v>
      </c>
      <c r="J99" s="163">
        <v>81</v>
      </c>
      <c r="K99" s="163">
        <v>28</v>
      </c>
      <c r="L99" s="163">
        <v>98</v>
      </c>
      <c r="M99" s="163">
        <v>24</v>
      </c>
      <c r="N99" s="163"/>
      <c r="O99" s="163"/>
      <c r="P99" s="163"/>
      <c r="Q99" s="163"/>
      <c r="R99" s="163">
        <v>73</v>
      </c>
      <c r="S99" s="163">
        <v>9</v>
      </c>
      <c r="T99" s="163">
        <v>90</v>
      </c>
      <c r="U99" s="163">
        <v>6</v>
      </c>
      <c r="V99" s="163">
        <v>71</v>
      </c>
      <c r="W99" s="163">
        <v>8</v>
      </c>
      <c r="X99" s="163">
        <v>88</v>
      </c>
      <c r="Y99" s="163">
        <v>5</v>
      </c>
      <c r="Z99" s="163"/>
      <c r="AA99" s="163"/>
      <c r="AB99" s="163"/>
      <c r="AC99" s="163"/>
      <c r="AD99" s="164">
        <f>IF(MIN(F99,J99,N99,R99,V99,Z99)&lt;&gt;0,MIN(F99,J99,N99,R99,V99,Z99),"")</f>
        <v>71</v>
      </c>
      <c r="AE99" s="164">
        <f>IF(MIN(H99,L99,P99,T99,X99,AB99)&lt;&gt;0,MIN(H99,L99,P99,T99,X99,AB99),"")</f>
        <v>88</v>
      </c>
      <c r="AF99" s="164">
        <v>78</v>
      </c>
      <c r="AG99" s="163">
        <v>31</v>
      </c>
      <c r="AH99" s="164">
        <v>95</v>
      </c>
      <c r="AI99" s="163">
        <v>23</v>
      </c>
      <c r="AJ99" s="162">
        <f>IF(AD99="","",IF(ISBLANK(AF99),"En cours",AD99+AF99))</f>
        <v>149</v>
      </c>
      <c r="AK99" s="162">
        <f>IF(AE99="","",IF(ISBLANK(AH99),"En cours",AE99+AH99))</f>
        <v>183</v>
      </c>
    </row>
    <row r="100" spans="2:37" ht="21" x14ac:dyDescent="0.35">
      <c r="B100" s="163" t="s">
        <v>156</v>
      </c>
      <c r="C100" s="163" t="s">
        <v>104</v>
      </c>
      <c r="D100" s="163">
        <v>14.8</v>
      </c>
      <c r="E100" s="163" t="s">
        <v>202</v>
      </c>
      <c r="F100" s="163">
        <v>85</v>
      </c>
      <c r="G100" s="163">
        <v>34</v>
      </c>
      <c r="H100" s="163">
        <v>99</v>
      </c>
      <c r="I100" s="163">
        <v>32</v>
      </c>
      <c r="J100" s="163">
        <v>82</v>
      </c>
      <c r="K100" s="163">
        <v>29</v>
      </c>
      <c r="L100" s="163">
        <v>96</v>
      </c>
      <c r="M100" s="163">
        <v>31</v>
      </c>
      <c r="N100" s="163">
        <v>81</v>
      </c>
      <c r="O100" s="163">
        <v>29</v>
      </c>
      <c r="P100" s="163">
        <v>95</v>
      </c>
      <c r="Q100" s="163">
        <v>27</v>
      </c>
      <c r="R100" s="163">
        <v>77</v>
      </c>
      <c r="S100" s="163">
        <v>20</v>
      </c>
      <c r="T100" s="163">
        <v>91</v>
      </c>
      <c r="U100" s="163">
        <v>21</v>
      </c>
      <c r="V100" s="163">
        <v>81</v>
      </c>
      <c r="W100" s="163">
        <v>27</v>
      </c>
      <c r="X100" s="163">
        <v>95</v>
      </c>
      <c r="Y100" s="163">
        <v>26</v>
      </c>
      <c r="Z100" s="163">
        <v>78</v>
      </c>
      <c r="AA100" s="163">
        <v>21</v>
      </c>
      <c r="AB100" s="163">
        <v>92</v>
      </c>
      <c r="AC100" s="163">
        <v>22</v>
      </c>
      <c r="AD100" s="164">
        <f>IF(MIN(F100,J100,N100,R100,V100,Z100)&lt;&gt;0,MIN(F100,J100,N100,R100,V100,Z100),"")</f>
        <v>77</v>
      </c>
      <c r="AE100" s="164">
        <f>IF(MIN(H100,L100,P100,T100,X100,AB100)&lt;&gt;0,MIN(H100,L100,P100,T100,X100,AB100),"")</f>
        <v>91</v>
      </c>
      <c r="AF100" s="164">
        <v>82</v>
      </c>
      <c r="AG100" s="163">
        <v>39</v>
      </c>
      <c r="AH100" s="164">
        <v>96</v>
      </c>
      <c r="AI100" s="163">
        <v>37</v>
      </c>
      <c r="AJ100" s="162">
        <f>IF(AD100="","",IF(ISBLANK(AF100),"En cours",AD100+AF100))</f>
        <v>159</v>
      </c>
      <c r="AK100" s="162">
        <f>IF(AE100="","",IF(ISBLANK(AH100),"En cours",AE100+AH100))</f>
        <v>187</v>
      </c>
    </row>
    <row r="101" spans="2:37" ht="21" x14ac:dyDescent="0.35">
      <c r="B101" s="163" t="s">
        <v>218</v>
      </c>
      <c r="C101" s="163" t="s">
        <v>104</v>
      </c>
      <c r="D101" s="163">
        <v>13.9</v>
      </c>
      <c r="E101" s="163" t="s">
        <v>202</v>
      </c>
      <c r="F101" s="163"/>
      <c r="G101" s="163"/>
      <c r="H101" s="163"/>
      <c r="I101" s="163"/>
      <c r="J101" s="163">
        <v>75</v>
      </c>
      <c r="K101" s="163">
        <v>13</v>
      </c>
      <c r="L101" s="163">
        <v>88</v>
      </c>
      <c r="M101" s="163">
        <v>12</v>
      </c>
      <c r="N101" s="163"/>
      <c r="O101" s="163"/>
      <c r="P101" s="163"/>
      <c r="Q101" s="163"/>
      <c r="R101" s="163">
        <v>71</v>
      </c>
      <c r="S101" s="163">
        <v>8</v>
      </c>
      <c r="T101" s="163">
        <v>84</v>
      </c>
      <c r="U101" s="163">
        <v>7</v>
      </c>
      <c r="V101" s="163">
        <v>74</v>
      </c>
      <c r="W101" s="163">
        <v>11</v>
      </c>
      <c r="X101" s="163">
        <v>87</v>
      </c>
      <c r="Y101" s="163">
        <v>10</v>
      </c>
      <c r="Z101" s="163"/>
      <c r="AA101" s="163"/>
      <c r="AB101" s="163"/>
      <c r="AC101" s="163"/>
      <c r="AD101" s="164">
        <f>IF(MIN(F101,J101,N101,R101,V101,Z101)&lt;&gt;0,MIN(F101,J101,N101,R101,V101,Z101),"")</f>
        <v>71</v>
      </c>
      <c r="AE101" s="164">
        <f>IF(MIN(H101,L101,P101,T101,X101,AB101)&lt;&gt;0,MIN(H101,L101,P101,T101,X101,AB101),"")</f>
        <v>84</v>
      </c>
      <c r="AF101" s="164">
        <v>72</v>
      </c>
      <c r="AG101" s="163">
        <v>9</v>
      </c>
      <c r="AH101" s="164">
        <v>85</v>
      </c>
      <c r="AI101" s="163">
        <v>8</v>
      </c>
      <c r="AJ101" s="162">
        <f>IF(AD101="","",IF(ISBLANK(AF101),"En cours",AD101+AF101))</f>
        <v>143</v>
      </c>
      <c r="AK101" s="162">
        <f>IF(AE101="","",IF(ISBLANK(AH101),"En cours",AE101+AH101))</f>
        <v>169</v>
      </c>
    </row>
    <row r="102" spans="2:37" ht="21" x14ac:dyDescent="0.35">
      <c r="B102" s="163" t="s">
        <v>137</v>
      </c>
      <c r="C102" s="163" t="s">
        <v>104</v>
      </c>
      <c r="D102" s="163">
        <v>16.3</v>
      </c>
      <c r="E102" s="163" t="s">
        <v>202</v>
      </c>
      <c r="F102" s="163">
        <v>71</v>
      </c>
      <c r="G102" s="163">
        <v>7</v>
      </c>
      <c r="H102" s="163">
        <v>87</v>
      </c>
      <c r="I102" s="163">
        <v>14</v>
      </c>
      <c r="J102" s="163">
        <v>71</v>
      </c>
      <c r="K102" s="163">
        <v>4</v>
      </c>
      <c r="L102" s="163">
        <v>87</v>
      </c>
      <c r="M102" s="163">
        <v>10</v>
      </c>
      <c r="N102" s="163">
        <v>72</v>
      </c>
      <c r="O102" s="163">
        <v>7</v>
      </c>
      <c r="P102" s="163">
        <v>88</v>
      </c>
      <c r="Q102" s="163">
        <v>13</v>
      </c>
      <c r="R102" s="163"/>
      <c r="S102" s="163"/>
      <c r="T102" s="163"/>
      <c r="U102" s="163"/>
      <c r="V102" s="163">
        <v>71</v>
      </c>
      <c r="W102" s="163">
        <v>7</v>
      </c>
      <c r="X102" s="163">
        <v>87</v>
      </c>
      <c r="Y102" s="163">
        <v>11</v>
      </c>
      <c r="Z102" s="163"/>
      <c r="AA102" s="163"/>
      <c r="AB102" s="163"/>
      <c r="AC102" s="163"/>
      <c r="AD102" s="164">
        <f>IF(MIN(F102,J102,N102,R102,V102,Z102)&lt;&gt;0,MIN(F102,J102,N102,R102,V102,Z102),"")</f>
        <v>71</v>
      </c>
      <c r="AE102" s="164">
        <f>IF(MIN(H102,L102,P102,T102,X102,AB102)&lt;&gt;0,MIN(H102,L102,P102,T102,X102,AB102),"")</f>
        <v>87</v>
      </c>
      <c r="AF102" s="164">
        <v>78</v>
      </c>
      <c r="AG102" s="163">
        <v>25</v>
      </c>
      <c r="AH102" s="164">
        <v>94</v>
      </c>
      <c r="AI102" s="163">
        <v>30</v>
      </c>
      <c r="AJ102" s="162">
        <f>IF(AD102="","",IF(ISBLANK(AF102),"En cours",AD102+AF102))</f>
        <v>149</v>
      </c>
      <c r="AK102" s="162">
        <f>IF(AE102="","",IF(ISBLANK(AH102),"En cours",AE102+AH102))</f>
        <v>181</v>
      </c>
    </row>
    <row r="103" spans="2:37" ht="21" x14ac:dyDescent="0.35">
      <c r="B103" s="163" t="s">
        <v>143</v>
      </c>
      <c r="C103" s="163" t="s">
        <v>104</v>
      </c>
      <c r="D103" s="163">
        <v>17.399999999999999</v>
      </c>
      <c r="E103" s="163" t="s">
        <v>202</v>
      </c>
      <c r="F103" s="163">
        <v>73</v>
      </c>
      <c r="G103" s="163">
        <v>13</v>
      </c>
      <c r="H103" s="163">
        <v>90</v>
      </c>
      <c r="I103" s="163">
        <v>20</v>
      </c>
      <c r="J103" s="163"/>
      <c r="K103" s="163"/>
      <c r="L103" s="163"/>
      <c r="M103" s="163"/>
      <c r="N103" s="163">
        <v>81</v>
      </c>
      <c r="O103" s="163">
        <v>30</v>
      </c>
      <c r="P103" s="163">
        <v>98</v>
      </c>
      <c r="Q103" s="163">
        <v>32</v>
      </c>
      <c r="R103" s="163"/>
      <c r="S103" s="163"/>
      <c r="T103" s="163"/>
      <c r="U103" s="163"/>
      <c r="V103" s="163">
        <v>76</v>
      </c>
      <c r="W103" s="163">
        <v>14</v>
      </c>
      <c r="X103" s="163">
        <v>93</v>
      </c>
      <c r="Y103" s="163">
        <v>21</v>
      </c>
      <c r="Z103" s="163"/>
      <c r="AA103" s="163"/>
      <c r="AB103" s="163"/>
      <c r="AC103" s="163"/>
      <c r="AD103" s="164">
        <f>IF(MIN(F103,J103,N103,R103,V103,Z103)&lt;&gt;0,MIN(F103,J103,N103,R103,V103,Z103),"")</f>
        <v>73</v>
      </c>
      <c r="AE103" s="164">
        <f>IF(MIN(H103,L103,P103,T103,X103,AB103)&lt;&gt;0,MIN(H103,L103,P103,T103,X103,AB103),"")</f>
        <v>90</v>
      </c>
      <c r="AF103" s="164"/>
      <c r="AG103" s="163"/>
      <c r="AH103" s="164"/>
      <c r="AI103" s="163"/>
      <c r="AJ103" s="162" t="str">
        <f>IF(AD103="","",IF(ISBLANK(AF103),"En cours",AD103+AF103))</f>
        <v>En cours</v>
      </c>
      <c r="AK103" s="162" t="str">
        <f>IF(AE103="","",IF(ISBLANK(AH103),"En cours",AE103+AH103))</f>
        <v>En cours</v>
      </c>
    </row>
    <row r="104" spans="2:37" ht="21" x14ac:dyDescent="0.35">
      <c r="B104" s="163" t="s">
        <v>211</v>
      </c>
      <c r="C104" s="163" t="s">
        <v>104</v>
      </c>
      <c r="D104" s="163">
        <v>6.7</v>
      </c>
      <c r="E104" s="163" t="s">
        <v>203</v>
      </c>
      <c r="F104" s="163"/>
      <c r="G104" s="163"/>
      <c r="H104" s="163"/>
      <c r="I104" s="163"/>
      <c r="J104" s="163">
        <v>79</v>
      </c>
      <c r="K104" s="163">
        <v>9</v>
      </c>
      <c r="L104" s="163">
        <v>87</v>
      </c>
      <c r="M104" s="163">
        <v>7</v>
      </c>
      <c r="N104" s="163">
        <v>75</v>
      </c>
      <c r="O104" s="163">
        <v>7</v>
      </c>
      <c r="P104" s="163">
        <v>83</v>
      </c>
      <c r="Q104" s="163">
        <v>4</v>
      </c>
      <c r="R104" s="163"/>
      <c r="S104" s="163"/>
      <c r="T104" s="163"/>
      <c r="U104" s="163"/>
      <c r="V104" s="163">
        <v>86</v>
      </c>
      <c r="W104" s="163">
        <v>11</v>
      </c>
      <c r="X104" s="163">
        <v>94</v>
      </c>
      <c r="Y104" s="163">
        <v>9</v>
      </c>
      <c r="Z104" s="163">
        <v>75</v>
      </c>
      <c r="AA104" s="163">
        <v>10</v>
      </c>
      <c r="AB104" s="163">
        <v>83</v>
      </c>
      <c r="AC104" s="163">
        <v>5</v>
      </c>
      <c r="AD104" s="164">
        <f>IF(MIN(F104,J104,N104,R104,V104,Z104)&lt;&gt;0,MIN(F104,J104,N104,R104,V104,Z104),"")</f>
        <v>75</v>
      </c>
      <c r="AE104" s="164">
        <f>IF(MIN(H104,L104,P104,T104,X104,AB104)&lt;&gt;0,MIN(H104,L104,P104,T104,X104,AB104),"")</f>
        <v>83</v>
      </c>
      <c r="AF104" s="164"/>
      <c r="AG104" s="163"/>
      <c r="AH104" s="164"/>
      <c r="AI104" s="163"/>
      <c r="AJ104" s="162" t="str">
        <f>IF(AD104="","",IF(ISBLANK(AF104),"En cours",AD104+AF104))</f>
        <v>En cours</v>
      </c>
      <c r="AK104" s="162" t="str">
        <f>IF(AE104="","",IF(ISBLANK(AH104),"En cours",AE104+AH104))</f>
        <v>En cours</v>
      </c>
    </row>
    <row r="105" spans="2:37" ht="21" x14ac:dyDescent="0.35">
      <c r="B105" s="163" t="s">
        <v>106</v>
      </c>
      <c r="C105" s="163" t="s">
        <v>104</v>
      </c>
      <c r="D105" s="163">
        <v>2.7</v>
      </c>
      <c r="E105" s="163" t="s">
        <v>203</v>
      </c>
      <c r="F105" s="163">
        <v>74</v>
      </c>
      <c r="G105" s="163">
        <v>7</v>
      </c>
      <c r="H105" s="163">
        <v>78</v>
      </c>
      <c r="I105" s="163">
        <v>3</v>
      </c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4">
        <f>IF(MIN(F105,J105,N105,R105,V105,Z105)&lt;&gt;0,MIN(F105,J105,N105,R105,V105,Z105),"")</f>
        <v>74</v>
      </c>
      <c r="AE105" s="164">
        <f>IF(MIN(H105,L105,P105,T105,X105,AB105)&lt;&gt;0,MIN(H105,L105,P105,T105,X105,AB105),"")</f>
        <v>78</v>
      </c>
      <c r="AF105" s="164"/>
      <c r="AG105" s="163"/>
      <c r="AH105" s="164"/>
      <c r="AI105" s="163"/>
      <c r="AJ105" s="162" t="str">
        <f>IF(AD105="","",IF(ISBLANK(AF105),"En cours",AD105+AF105))</f>
        <v>En cours</v>
      </c>
      <c r="AK105" s="162" t="str">
        <f>IF(AE105="","",IF(ISBLANK(AH105),"En cours",AE105+AH105))</f>
        <v>En cours</v>
      </c>
    </row>
    <row r="106" spans="2:37" ht="21" x14ac:dyDescent="0.35">
      <c r="B106" s="163" t="s">
        <v>110</v>
      </c>
      <c r="C106" s="163" t="s">
        <v>104</v>
      </c>
      <c r="D106" s="163">
        <v>8.3000000000000007</v>
      </c>
      <c r="E106" s="163" t="s">
        <v>203</v>
      </c>
      <c r="F106" s="163">
        <v>69</v>
      </c>
      <c r="G106" s="163">
        <v>3</v>
      </c>
      <c r="H106" s="163">
        <v>79</v>
      </c>
      <c r="I106" s="163">
        <v>6</v>
      </c>
      <c r="J106" s="163">
        <v>67</v>
      </c>
      <c r="K106" s="163">
        <v>1</v>
      </c>
      <c r="L106" s="163">
        <v>77</v>
      </c>
      <c r="M106" s="163">
        <v>1</v>
      </c>
      <c r="N106" s="163">
        <v>75</v>
      </c>
      <c r="O106" s="163">
        <v>6</v>
      </c>
      <c r="P106" s="163">
        <v>85</v>
      </c>
      <c r="Q106" s="163">
        <v>7</v>
      </c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4">
        <f>IF(MIN(F106,J106,N106,R106,V106,Z106)&lt;&gt;0,MIN(F106,J106,N106,R106,V106,Z106),"")</f>
        <v>67</v>
      </c>
      <c r="AE106" s="164">
        <f>IF(MIN(H106,L106,P106,T106,X106,AB106)&lt;&gt;0,MIN(H106,L106,P106,T106,X106,AB106),"")</f>
        <v>77</v>
      </c>
      <c r="AF106" s="164">
        <v>67</v>
      </c>
      <c r="AG106" s="163">
        <v>1</v>
      </c>
      <c r="AH106" s="164">
        <v>77</v>
      </c>
      <c r="AI106" s="163">
        <v>1</v>
      </c>
      <c r="AJ106" s="162">
        <f>IF(AD106="","",IF(ISBLANK(AF106),"En cours",AD106+AF106))</f>
        <v>134</v>
      </c>
      <c r="AK106" s="162">
        <f>IF(AE106="","",IF(ISBLANK(AH106),"En cours",AE106+AH106))</f>
        <v>154</v>
      </c>
    </row>
    <row r="107" spans="2:37" ht="21" x14ac:dyDescent="0.35">
      <c r="B107" s="163" t="s">
        <v>130</v>
      </c>
      <c r="C107" s="163" t="s">
        <v>104</v>
      </c>
      <c r="D107" s="163">
        <v>11.8</v>
      </c>
      <c r="E107" s="163" t="s">
        <v>202</v>
      </c>
      <c r="F107" s="163">
        <v>74</v>
      </c>
      <c r="G107" s="163">
        <v>14</v>
      </c>
      <c r="H107" s="163">
        <v>85</v>
      </c>
      <c r="I107" s="163">
        <v>7</v>
      </c>
      <c r="J107" s="163"/>
      <c r="K107" s="163"/>
      <c r="L107" s="163"/>
      <c r="M107" s="163"/>
      <c r="N107" s="163">
        <v>78</v>
      </c>
      <c r="O107" s="163">
        <v>22</v>
      </c>
      <c r="P107" s="163">
        <v>89</v>
      </c>
      <c r="Q107" s="163">
        <v>14</v>
      </c>
      <c r="R107" s="163"/>
      <c r="S107" s="163"/>
      <c r="T107" s="163"/>
      <c r="U107" s="163"/>
      <c r="V107" s="163"/>
      <c r="W107" s="163"/>
      <c r="X107" s="163"/>
      <c r="Y107" s="163"/>
      <c r="Z107" s="163">
        <v>69</v>
      </c>
      <c r="AA107" s="163">
        <v>2</v>
      </c>
      <c r="AB107" s="163">
        <v>80</v>
      </c>
      <c r="AC107" s="163">
        <v>2</v>
      </c>
      <c r="AD107" s="164">
        <f>IF(MIN(F107,J107,N107,R107,V107,Z107)&lt;&gt;0,MIN(F107,J107,N107,R107,V107,Z107),"")</f>
        <v>69</v>
      </c>
      <c r="AE107" s="164">
        <f>IF(MIN(H107,L107,P107,T107,X107,AB107)&lt;&gt;0,MIN(H107,L107,P107,T107,X107,AB107),"")</f>
        <v>80</v>
      </c>
      <c r="AF107" s="164">
        <v>76</v>
      </c>
      <c r="AG107" s="163">
        <v>20</v>
      </c>
      <c r="AH107" s="164">
        <v>87</v>
      </c>
      <c r="AI107" s="163">
        <v>12</v>
      </c>
      <c r="AJ107" s="162">
        <f>IF(AD107="","",IF(ISBLANK(AF107),"En cours",AD107+AF107))</f>
        <v>145</v>
      </c>
      <c r="AK107" s="162">
        <f>IF(AE107="","",IF(ISBLANK(AH107),"En cours",AE107+AH107))</f>
        <v>167</v>
      </c>
    </row>
    <row r="108" spans="2:37" ht="21" x14ac:dyDescent="0.35">
      <c r="B108" s="163" t="s">
        <v>132</v>
      </c>
      <c r="C108" s="163" t="s">
        <v>104</v>
      </c>
      <c r="D108" s="163">
        <v>14.2</v>
      </c>
      <c r="E108" s="163" t="s">
        <v>202</v>
      </c>
      <c r="F108" s="163">
        <v>72</v>
      </c>
      <c r="G108" s="163">
        <v>10</v>
      </c>
      <c r="H108" s="163">
        <v>85</v>
      </c>
      <c r="I108" s="163">
        <v>9</v>
      </c>
      <c r="J108" s="163"/>
      <c r="K108" s="163"/>
      <c r="L108" s="163"/>
      <c r="M108" s="163"/>
      <c r="N108" s="163">
        <v>77</v>
      </c>
      <c r="O108" s="163">
        <v>19</v>
      </c>
      <c r="P108" s="163">
        <v>90</v>
      </c>
      <c r="Q108" s="163">
        <v>17</v>
      </c>
      <c r="R108" s="163"/>
      <c r="S108" s="163"/>
      <c r="T108" s="163"/>
      <c r="U108" s="163"/>
      <c r="V108" s="163">
        <v>73</v>
      </c>
      <c r="W108" s="163">
        <v>8</v>
      </c>
      <c r="X108" s="163">
        <v>86</v>
      </c>
      <c r="Y108" s="163">
        <v>6</v>
      </c>
      <c r="Z108" s="163"/>
      <c r="AA108" s="163"/>
      <c r="AB108" s="163"/>
      <c r="AC108" s="163"/>
      <c r="AD108" s="164">
        <f>IF(MIN(F108,J108,N108,R108,V108,Z108)&lt;&gt;0,MIN(F108,J108,N108,R108,V108,Z108),"")</f>
        <v>72</v>
      </c>
      <c r="AE108" s="164">
        <f>IF(MIN(H108,L108,P108,T108,X108,AB108)&lt;&gt;0,MIN(H108,L108,P108,T108,X108,AB108),"")</f>
        <v>85</v>
      </c>
      <c r="AF108" s="164">
        <v>60</v>
      </c>
      <c r="AG108" s="163">
        <v>1</v>
      </c>
      <c r="AH108" s="164">
        <v>73</v>
      </c>
      <c r="AI108" s="163">
        <v>1</v>
      </c>
      <c r="AJ108" s="162">
        <f>IF(AD108="","",IF(ISBLANK(AF108),"En cours",AD108+AF108))</f>
        <v>132</v>
      </c>
      <c r="AK108" s="162">
        <f>IF(AE108="","",IF(ISBLANK(AH108),"En cours",AE108+AH108))</f>
        <v>158</v>
      </c>
    </row>
    <row r="109" spans="2:37" ht="21" x14ac:dyDescent="0.35">
      <c r="B109" s="163" t="s">
        <v>317</v>
      </c>
      <c r="C109" s="163" t="s">
        <v>261</v>
      </c>
      <c r="D109" s="163">
        <v>7.2</v>
      </c>
      <c r="E109" s="163" t="s">
        <v>203</v>
      </c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>
        <v>70</v>
      </c>
      <c r="W109" s="163">
        <v>3</v>
      </c>
      <c r="X109" s="163">
        <v>79</v>
      </c>
      <c r="Y109" s="163">
        <v>2</v>
      </c>
      <c r="Z109" s="163">
        <v>73</v>
      </c>
      <c r="AA109" s="163">
        <v>4</v>
      </c>
      <c r="AB109" s="163">
        <v>76</v>
      </c>
      <c r="AC109" s="163">
        <v>1</v>
      </c>
      <c r="AD109" s="164">
        <f>IF(MIN(F109,J109,N109,R109,V109,Z109)&lt;&gt;0,MIN(F109,J109,N109,R109,V109,Z109),"")</f>
        <v>70</v>
      </c>
      <c r="AE109" s="164">
        <f>IF(MIN(H109,L109,P109,T109,X109,AB109)&lt;&gt;0,MIN(H109,L109,P109,T109,X109,AB109),"")</f>
        <v>76</v>
      </c>
      <c r="AF109" s="164">
        <v>78</v>
      </c>
      <c r="AG109" s="163">
        <v>12</v>
      </c>
      <c r="AH109" s="164">
        <v>81</v>
      </c>
      <c r="AI109" s="163">
        <v>5</v>
      </c>
      <c r="AJ109" s="162">
        <f>IF(AD109="","",IF(ISBLANK(AF109),"En cours",AD109+AF109))</f>
        <v>148</v>
      </c>
      <c r="AK109" s="162">
        <f>IF(AE109="","",IF(ISBLANK(AH109),"En cours",AE109+AH109))</f>
        <v>157</v>
      </c>
    </row>
    <row r="110" spans="2:37" ht="21" x14ac:dyDescent="0.35">
      <c r="B110" s="163" t="s">
        <v>298</v>
      </c>
      <c r="C110" s="163" t="s">
        <v>104</v>
      </c>
      <c r="D110" s="163">
        <v>17.600000000000001</v>
      </c>
      <c r="E110" s="163" t="s">
        <v>202</v>
      </c>
      <c r="F110" s="163"/>
      <c r="G110" s="163"/>
      <c r="H110" s="163"/>
      <c r="I110" s="163"/>
      <c r="J110" s="163"/>
      <c r="K110" s="163"/>
      <c r="L110" s="163"/>
      <c r="M110" s="163"/>
      <c r="N110" s="163"/>
      <c r="O110" s="163"/>
      <c r="P110" s="163"/>
      <c r="Q110" s="163"/>
      <c r="R110" s="163">
        <v>78</v>
      </c>
      <c r="S110" s="163">
        <v>24</v>
      </c>
      <c r="T110" s="163">
        <v>95</v>
      </c>
      <c r="U110" s="163">
        <v>30</v>
      </c>
      <c r="V110" s="163"/>
      <c r="W110" s="163"/>
      <c r="X110" s="163"/>
      <c r="Y110" s="163"/>
      <c r="Z110" s="163"/>
      <c r="AA110" s="163"/>
      <c r="AB110" s="163"/>
      <c r="AC110" s="163"/>
      <c r="AD110" s="164">
        <f>IF(MIN(F110,J110,N110,R110,V110,Z110)&lt;&gt;0,MIN(F110,J110,N110,R110,V110,Z110),"")</f>
        <v>78</v>
      </c>
      <c r="AE110" s="164">
        <f>IF(MIN(H110,L110,P110,T110,X110,AB110)&lt;&gt;0,MIN(H110,L110,P110,T110,X110,AB110),"")</f>
        <v>95</v>
      </c>
      <c r="AF110" s="164"/>
      <c r="AG110" s="163"/>
      <c r="AH110" s="164"/>
      <c r="AI110" s="163"/>
      <c r="AJ110" s="162" t="str">
        <f>IF(AD110="","",IF(ISBLANK(AF110),"En cours",AD110+AF110))</f>
        <v>En cours</v>
      </c>
      <c r="AK110" s="162" t="str">
        <f>IF(AE110="","",IF(ISBLANK(AH110),"En cours",AE110+AH110))</f>
        <v>En cours</v>
      </c>
    </row>
    <row r="111" spans="2:37" ht="21" x14ac:dyDescent="0.35">
      <c r="B111" s="163" t="s">
        <v>289</v>
      </c>
      <c r="C111" s="163" t="s">
        <v>104</v>
      </c>
      <c r="D111" s="163">
        <v>16.3</v>
      </c>
      <c r="E111" s="163" t="s">
        <v>202</v>
      </c>
      <c r="F111" s="163"/>
      <c r="G111" s="163"/>
      <c r="H111" s="163"/>
      <c r="I111" s="163"/>
      <c r="J111" s="163"/>
      <c r="K111" s="163"/>
      <c r="L111" s="163"/>
      <c r="M111" s="163"/>
      <c r="N111" s="163"/>
      <c r="O111" s="163"/>
      <c r="P111" s="163"/>
      <c r="Q111" s="163"/>
      <c r="R111" s="163">
        <v>69</v>
      </c>
      <c r="S111" s="163">
        <v>3</v>
      </c>
      <c r="T111" s="163">
        <v>85</v>
      </c>
      <c r="U111" s="163">
        <v>8</v>
      </c>
      <c r="V111" s="163">
        <v>67</v>
      </c>
      <c r="W111" s="163">
        <v>2</v>
      </c>
      <c r="X111" s="163">
        <v>83</v>
      </c>
      <c r="Y111" s="163">
        <v>2</v>
      </c>
      <c r="Z111" s="163">
        <v>74</v>
      </c>
      <c r="AA111" s="163">
        <v>9</v>
      </c>
      <c r="AB111" s="163">
        <v>90</v>
      </c>
      <c r="AC111" s="163">
        <v>17</v>
      </c>
      <c r="AD111" s="164">
        <f>IF(MIN(F111,J111,N111,R111,V111,Z111)&lt;&gt;0,MIN(F111,J111,N111,R111,V111,Z111),"")</f>
        <v>67</v>
      </c>
      <c r="AE111" s="164">
        <f>IF(MIN(H111,L111,P111,T111,X111,AB111)&lt;&gt;0,MIN(H111,L111,P111,T111,X111,AB111),"")</f>
        <v>83</v>
      </c>
      <c r="AF111" s="164">
        <v>74</v>
      </c>
      <c r="AG111" s="163">
        <v>12</v>
      </c>
      <c r="AH111" s="164">
        <v>90</v>
      </c>
      <c r="AI111" s="163">
        <v>17</v>
      </c>
      <c r="AJ111" s="162">
        <f>IF(AD111="","",IF(ISBLANK(AF111),"En cours",AD111+AF111))</f>
        <v>141</v>
      </c>
      <c r="AK111" s="162">
        <f>IF(AE111="","",IF(ISBLANK(AH111),"En cours",AE111+AH111))</f>
        <v>173</v>
      </c>
    </row>
    <row r="112" spans="2:37" ht="21" x14ac:dyDescent="0.35">
      <c r="B112" s="163" t="s">
        <v>155</v>
      </c>
      <c r="C112" s="163" t="s">
        <v>104</v>
      </c>
      <c r="D112" s="163">
        <v>17.100000000000001</v>
      </c>
      <c r="E112" s="163" t="s">
        <v>202</v>
      </c>
      <c r="F112" s="163">
        <v>82</v>
      </c>
      <c r="G112" s="163">
        <v>31</v>
      </c>
      <c r="H112" s="163">
        <v>98</v>
      </c>
      <c r="I112" s="163">
        <v>31</v>
      </c>
      <c r="J112" s="163">
        <v>83</v>
      </c>
      <c r="K112" s="163">
        <v>34</v>
      </c>
      <c r="L112" s="163">
        <v>99</v>
      </c>
      <c r="M112" s="163">
        <v>33</v>
      </c>
      <c r="N112" s="163">
        <v>82</v>
      </c>
      <c r="O112" s="163">
        <v>31</v>
      </c>
      <c r="P112" s="163">
        <v>98</v>
      </c>
      <c r="Q112" s="163">
        <v>31</v>
      </c>
      <c r="R112" s="163">
        <v>86</v>
      </c>
      <c r="S112" s="163">
        <v>37</v>
      </c>
      <c r="T112" s="163">
        <v>102</v>
      </c>
      <c r="U112" s="163">
        <v>36</v>
      </c>
      <c r="V112" s="163">
        <v>79</v>
      </c>
      <c r="W112" s="163">
        <v>22</v>
      </c>
      <c r="X112" s="163">
        <v>95</v>
      </c>
      <c r="Y112" s="163">
        <v>24</v>
      </c>
      <c r="Z112" s="163">
        <v>74</v>
      </c>
      <c r="AA112" s="163">
        <v>7</v>
      </c>
      <c r="AB112" s="163">
        <v>90</v>
      </c>
      <c r="AC112" s="163">
        <v>16</v>
      </c>
      <c r="AD112" s="164">
        <f>IF(MIN(F112,J112,N112,R112,V112,Z112)&lt;&gt;0,MIN(F112,J112,N112,R112,V112,Z112),"")</f>
        <v>74</v>
      </c>
      <c r="AE112" s="164">
        <f>IF(MIN(H112,L112,P112,T112,X112,AB112)&lt;&gt;0,MIN(H112,L112,P112,T112,X112,AB112),"")</f>
        <v>90</v>
      </c>
      <c r="AF112" s="164">
        <v>78</v>
      </c>
      <c r="AG112" s="163">
        <v>29</v>
      </c>
      <c r="AH112" s="164">
        <v>94</v>
      </c>
      <c r="AI112" s="163">
        <v>33</v>
      </c>
      <c r="AJ112" s="162">
        <f>IF(AD112="","",IF(ISBLANK(AF112),"En cours",AD112+AF112))</f>
        <v>152</v>
      </c>
      <c r="AK112" s="162">
        <f>IF(AE112="","",IF(ISBLANK(AH112),"En cours",AE112+AH112))</f>
        <v>184</v>
      </c>
    </row>
    <row r="113" spans="2:37" ht="21" x14ac:dyDescent="0.35">
      <c r="B113" s="163" t="s">
        <v>286</v>
      </c>
      <c r="C113" s="163" t="s">
        <v>261</v>
      </c>
      <c r="D113" s="163">
        <v>11.3</v>
      </c>
      <c r="E113" s="163" t="s">
        <v>203</v>
      </c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>
        <v>73</v>
      </c>
      <c r="S113" s="163">
        <v>5</v>
      </c>
      <c r="T113" s="163">
        <v>87</v>
      </c>
      <c r="U113" s="163">
        <v>9</v>
      </c>
      <c r="V113" s="163"/>
      <c r="W113" s="163"/>
      <c r="X113" s="163"/>
      <c r="Y113" s="163"/>
      <c r="Z113" s="163">
        <v>75</v>
      </c>
      <c r="AA113" s="163">
        <v>9</v>
      </c>
      <c r="AB113" s="163">
        <v>89</v>
      </c>
      <c r="AC113" s="163">
        <v>10</v>
      </c>
      <c r="AD113" s="164">
        <f>IF(MIN(F113,J113,N113,R113,V113,Z113)&lt;&gt;0,MIN(F113,J113,N113,R113,V113,Z113),"")</f>
        <v>73</v>
      </c>
      <c r="AE113" s="164">
        <f>IF(MIN(H113,L113,P113,T113,X113,AB113)&lt;&gt;0,MIN(H113,L113,P113,T113,X113,AB113),"")</f>
        <v>87</v>
      </c>
      <c r="AF113" s="164"/>
      <c r="AG113" s="163"/>
      <c r="AH113" s="164"/>
      <c r="AI113" s="163"/>
      <c r="AJ113" s="162" t="str">
        <f>IF(AD113="","",IF(ISBLANK(AF113),"En cours",AD113+AF113))</f>
        <v>En cours</v>
      </c>
      <c r="AK113" s="162" t="str">
        <f>IF(AE113="","",IF(ISBLANK(AH113),"En cours",AE113+AH113))</f>
        <v>En cours</v>
      </c>
    </row>
    <row r="114" spans="2:37" ht="21" x14ac:dyDescent="0.35">
      <c r="B114" s="163" t="s">
        <v>161</v>
      </c>
      <c r="C114" s="163" t="s">
        <v>104</v>
      </c>
      <c r="D114" s="163">
        <v>23.9</v>
      </c>
      <c r="E114" s="163" t="s">
        <v>205</v>
      </c>
      <c r="F114" s="163">
        <v>66</v>
      </c>
      <c r="G114" s="163">
        <v>3</v>
      </c>
      <c r="H114" s="163">
        <v>86</v>
      </c>
      <c r="I114" s="163">
        <v>2</v>
      </c>
      <c r="J114" s="163"/>
      <c r="K114" s="163"/>
      <c r="L114" s="163"/>
      <c r="M114" s="163"/>
      <c r="N114" s="163">
        <v>75</v>
      </c>
      <c r="O114" s="163">
        <v>17</v>
      </c>
      <c r="P114" s="163">
        <v>95</v>
      </c>
      <c r="Q114" s="163">
        <v>17</v>
      </c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4">
        <f>IF(MIN(F114,J114,N114,R114,V114,Z114)&lt;&gt;0,MIN(F114,J114,N114,R114,V114,Z114),"")</f>
        <v>66</v>
      </c>
      <c r="AE114" s="164">
        <f>IF(MIN(H114,L114,P114,T114,X114,AB114)&lt;&gt;0,MIN(H114,L114,P114,T114,X114,AB114),"")</f>
        <v>86</v>
      </c>
      <c r="AF114" s="164">
        <v>76</v>
      </c>
      <c r="AG114" s="163">
        <v>25</v>
      </c>
      <c r="AH114" s="164">
        <v>96</v>
      </c>
      <c r="AI114" s="163">
        <v>29</v>
      </c>
      <c r="AJ114" s="162">
        <f>IF(AD114="","",IF(ISBLANK(AF114),"En cours",AD114+AF114))</f>
        <v>142</v>
      </c>
      <c r="AK114" s="162">
        <f>IF(AE114="","",IF(ISBLANK(AH114),"En cours",AE114+AH114))</f>
        <v>182</v>
      </c>
    </row>
    <row r="115" spans="2:37" ht="21" x14ac:dyDescent="0.35">
      <c r="B115" s="163" t="s">
        <v>283</v>
      </c>
      <c r="C115" s="163" t="s">
        <v>104</v>
      </c>
      <c r="D115" s="163">
        <v>11.2</v>
      </c>
      <c r="E115" s="163" t="s">
        <v>203</v>
      </c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>
        <v>69</v>
      </c>
      <c r="S115" s="163">
        <v>3</v>
      </c>
      <c r="T115" s="163">
        <v>83</v>
      </c>
      <c r="U115" s="163">
        <v>5</v>
      </c>
      <c r="V115" s="163">
        <v>82</v>
      </c>
      <c r="W115" s="163">
        <v>9</v>
      </c>
      <c r="X115" s="163">
        <v>96</v>
      </c>
      <c r="Y115" s="163">
        <v>11</v>
      </c>
      <c r="Z115" s="163"/>
      <c r="AA115" s="163"/>
      <c r="AB115" s="163"/>
      <c r="AC115" s="163"/>
      <c r="AD115" s="164">
        <f>IF(MIN(F115,J115,N115,R115,V115,Z115)&lt;&gt;0,MIN(F115,J115,N115,R115,V115,Z115),"")</f>
        <v>69</v>
      </c>
      <c r="AE115" s="164">
        <f>IF(MIN(H115,L115,P115,T115,X115,AB115)&lt;&gt;0,MIN(H115,L115,P115,T115,X115,AB115),"")</f>
        <v>83</v>
      </c>
      <c r="AF115" s="164"/>
      <c r="AG115" s="163"/>
      <c r="AH115" s="164"/>
      <c r="AI115" s="163"/>
      <c r="AJ115" s="162" t="str">
        <f>IF(AD115="","",IF(ISBLANK(AF115),"En cours",AD115+AF115))</f>
        <v>En cours</v>
      </c>
      <c r="AK115" s="162" t="str">
        <f>IF(AE115="","",IF(ISBLANK(AH115),"En cours",AE115+AH115))</f>
        <v>En cours</v>
      </c>
    </row>
    <row r="116" spans="2:37" ht="21" x14ac:dyDescent="0.35">
      <c r="B116" s="163" t="s">
        <v>333</v>
      </c>
      <c r="C116" s="163" t="s">
        <v>108</v>
      </c>
      <c r="D116" s="163">
        <v>10.4</v>
      </c>
      <c r="E116" s="163" t="s">
        <v>203</v>
      </c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4" t="str">
        <f>IF(MIN(F116,J116,N116,R116,V116,Z116)&lt;&gt;0,MIN(F116,J116,N116,R116,V116,Z116),"")</f>
        <v/>
      </c>
      <c r="AE116" s="164" t="str">
        <f>IF(MIN(H116,L116,P116,T116,X116,AB116)&lt;&gt;0,MIN(H116,L116,P116,T116,X116,AB116),"")</f>
        <v/>
      </c>
      <c r="AF116" s="164">
        <v>78</v>
      </c>
      <c r="AG116" s="163">
        <v>11</v>
      </c>
      <c r="AH116" s="164">
        <v>91</v>
      </c>
      <c r="AI116" s="163">
        <v>14</v>
      </c>
      <c r="AJ116" s="162" t="str">
        <f>IF(AD116="","",IF(ISBLANK(AF116),"En cours",AD116+AF116))</f>
        <v/>
      </c>
      <c r="AK116" s="162" t="str">
        <f>IF(AE116="","",IF(ISBLANK(AH116),"En cours",AE116+AH116))</f>
        <v/>
      </c>
    </row>
    <row r="117" spans="2:37" ht="21" x14ac:dyDescent="0.35">
      <c r="B117" s="163" t="s">
        <v>318</v>
      </c>
      <c r="C117" s="163" t="s">
        <v>104</v>
      </c>
      <c r="D117" s="163">
        <v>7.7</v>
      </c>
      <c r="E117" s="163" t="s">
        <v>203</v>
      </c>
      <c r="F117" s="163"/>
      <c r="G117" s="163"/>
      <c r="H117" s="163"/>
      <c r="I117" s="163"/>
      <c r="J117" s="163"/>
      <c r="K117" s="163"/>
      <c r="L117" s="163"/>
      <c r="M117" s="163"/>
      <c r="N117" s="163"/>
      <c r="O117" s="163"/>
      <c r="P117" s="163"/>
      <c r="Q117" s="163"/>
      <c r="R117" s="163"/>
      <c r="S117" s="163"/>
      <c r="T117" s="163"/>
      <c r="U117" s="163"/>
      <c r="V117" s="163">
        <v>73</v>
      </c>
      <c r="W117" s="163">
        <v>4</v>
      </c>
      <c r="X117" s="163">
        <v>83</v>
      </c>
      <c r="Y117" s="163">
        <v>4</v>
      </c>
      <c r="Z117" s="163"/>
      <c r="AA117" s="163"/>
      <c r="AB117" s="163"/>
      <c r="AC117" s="163"/>
      <c r="AD117" s="164">
        <f>IF(MIN(F117,J117,N117,R117,V117,Z117)&lt;&gt;0,MIN(F117,J117,N117,R117,V117,Z117),"")</f>
        <v>73</v>
      </c>
      <c r="AE117" s="164">
        <f>IF(MIN(H117,L117,P117,T117,X117,AB117)&lt;&gt;0,MIN(H117,L117,P117,T117,X117,AB117),"")</f>
        <v>83</v>
      </c>
      <c r="AF117" s="164">
        <v>73</v>
      </c>
      <c r="AG117" s="163">
        <v>6</v>
      </c>
      <c r="AH117" s="164">
        <v>83</v>
      </c>
      <c r="AI117" s="163">
        <v>8</v>
      </c>
      <c r="AJ117" s="162">
        <f>IF(AD117="","",IF(ISBLANK(AF117),"En cours",AD117+AF117))</f>
        <v>146</v>
      </c>
      <c r="AK117" s="162">
        <f>IF(AE117="","",IF(ISBLANK(AH117),"En cours",AE117+AH117))</f>
        <v>166</v>
      </c>
    </row>
    <row r="118" spans="2:37" ht="21" x14ac:dyDescent="0.35">
      <c r="B118" s="163" t="s">
        <v>262</v>
      </c>
      <c r="C118" s="163" t="s">
        <v>104</v>
      </c>
      <c r="D118" s="163">
        <v>19.8</v>
      </c>
      <c r="E118" s="163" t="s">
        <v>205</v>
      </c>
      <c r="F118" s="163"/>
      <c r="G118" s="163"/>
      <c r="H118" s="163"/>
      <c r="I118" s="163"/>
      <c r="J118" s="163"/>
      <c r="K118" s="163"/>
      <c r="L118" s="163"/>
      <c r="M118" s="163"/>
      <c r="N118" s="163">
        <v>74</v>
      </c>
      <c r="O118" s="163">
        <v>13</v>
      </c>
      <c r="P118" s="163">
        <v>90</v>
      </c>
      <c r="Q118" s="163">
        <v>4</v>
      </c>
      <c r="R118" s="163"/>
      <c r="S118" s="163"/>
      <c r="T118" s="163"/>
      <c r="U118" s="163"/>
      <c r="V118" s="163"/>
      <c r="W118" s="163"/>
      <c r="X118" s="163"/>
      <c r="Y118" s="163"/>
      <c r="Z118" s="163">
        <v>78</v>
      </c>
      <c r="AA118" s="163">
        <v>14</v>
      </c>
      <c r="AB118" s="163">
        <v>94</v>
      </c>
      <c r="AC118" s="163">
        <v>9</v>
      </c>
      <c r="AD118" s="164">
        <f>IF(MIN(F118,J118,N118,R118,V118,Z118)&lt;&gt;0,MIN(F118,J118,N118,R118,V118,Z118),"")</f>
        <v>74</v>
      </c>
      <c r="AE118" s="164">
        <f>IF(MIN(H118,L118,P118,T118,X118,AB118)&lt;&gt;0,MIN(H118,L118,P118,T118,X118,AB118),"")</f>
        <v>90</v>
      </c>
      <c r="AF118" s="164">
        <v>77</v>
      </c>
      <c r="AG118" s="163">
        <v>28</v>
      </c>
      <c r="AH118" s="164">
        <v>93</v>
      </c>
      <c r="AI118" s="163">
        <v>21</v>
      </c>
      <c r="AJ118" s="162">
        <f>IF(AD118="","",IF(ISBLANK(AF118),"En cours",AD118+AF118))</f>
        <v>151</v>
      </c>
      <c r="AK118" s="162">
        <f>IF(AE118="","",IF(ISBLANK(AH118),"En cours",AE118+AH118))</f>
        <v>183</v>
      </c>
    </row>
    <row r="119" spans="2:37" ht="21" x14ac:dyDescent="0.35">
      <c r="B119" s="163" t="s">
        <v>273</v>
      </c>
      <c r="C119" s="163" t="s">
        <v>104</v>
      </c>
      <c r="D119" s="163">
        <v>27.7</v>
      </c>
      <c r="E119" s="163" t="s">
        <v>204</v>
      </c>
      <c r="F119" s="163"/>
      <c r="G119" s="163"/>
      <c r="H119" s="163"/>
      <c r="I119" s="163"/>
      <c r="J119" s="163"/>
      <c r="K119" s="163"/>
      <c r="L119" s="163"/>
      <c r="M119" s="163"/>
      <c r="N119" s="163">
        <v>82</v>
      </c>
      <c r="O119" s="163">
        <v>30</v>
      </c>
      <c r="P119" s="163">
        <v>103</v>
      </c>
      <c r="Q119" s="163">
        <v>30</v>
      </c>
      <c r="R119" s="163"/>
      <c r="S119" s="163"/>
      <c r="T119" s="163"/>
      <c r="U119" s="163"/>
      <c r="V119" s="163">
        <v>81</v>
      </c>
      <c r="W119" s="163">
        <v>19</v>
      </c>
      <c r="X119" s="163">
        <v>102</v>
      </c>
      <c r="Y119" s="163">
        <v>18</v>
      </c>
      <c r="Z119" s="163"/>
      <c r="AA119" s="163"/>
      <c r="AB119" s="163"/>
      <c r="AC119" s="163"/>
      <c r="AD119" s="164">
        <f>IF(MIN(F119,J119,N119,R119,V119,Z119)&lt;&gt;0,MIN(F119,J119,N119,R119,V119,Z119),"")</f>
        <v>81</v>
      </c>
      <c r="AE119" s="164">
        <f>IF(MIN(H119,L119,P119,T119,X119,AB119)&lt;&gt;0,MIN(H119,L119,P119,T119,X119,AB119),"")</f>
        <v>102</v>
      </c>
      <c r="AF119" s="164">
        <v>85</v>
      </c>
      <c r="AG119" s="163">
        <v>38</v>
      </c>
      <c r="AH119" s="164">
        <v>106</v>
      </c>
      <c r="AI119" s="163">
        <v>38</v>
      </c>
      <c r="AJ119" s="162">
        <f>IF(AD119="","",IF(ISBLANK(AF119),"En cours",AD119+AF119))</f>
        <v>166</v>
      </c>
      <c r="AK119" s="162">
        <f>IF(AE119="","",IF(ISBLANK(AH119),"En cours",AE119+AH119))</f>
        <v>208</v>
      </c>
    </row>
    <row r="120" spans="2:37" ht="21" x14ac:dyDescent="0.35">
      <c r="B120" s="163" t="s">
        <v>272</v>
      </c>
      <c r="C120" s="163" t="s">
        <v>104</v>
      </c>
      <c r="D120" s="163">
        <v>33.299999999999997</v>
      </c>
      <c r="E120" s="163" t="s">
        <v>204</v>
      </c>
      <c r="F120" s="163"/>
      <c r="G120" s="163"/>
      <c r="H120" s="163"/>
      <c r="I120" s="163"/>
      <c r="J120" s="163"/>
      <c r="K120" s="163"/>
      <c r="L120" s="163"/>
      <c r="M120" s="163"/>
      <c r="N120" s="163">
        <v>74</v>
      </c>
      <c r="O120" s="163">
        <v>15</v>
      </c>
      <c r="P120" s="163">
        <v>101</v>
      </c>
      <c r="Q120" s="163">
        <v>29</v>
      </c>
      <c r="R120" s="163"/>
      <c r="S120" s="163"/>
      <c r="T120" s="163"/>
      <c r="U120" s="163"/>
      <c r="V120" s="163">
        <v>65</v>
      </c>
      <c r="W120" s="163">
        <v>2</v>
      </c>
      <c r="X120" s="163">
        <v>92</v>
      </c>
      <c r="Y120" s="163">
        <v>9</v>
      </c>
      <c r="Z120" s="163"/>
      <c r="AA120" s="163"/>
      <c r="AB120" s="163"/>
      <c r="AC120" s="163"/>
      <c r="AD120" s="164">
        <f>IF(MIN(F120,J120,N120,R120,V120,Z120)&lt;&gt;0,MIN(F120,J120,N120,R120,V120,Z120),"")</f>
        <v>65</v>
      </c>
      <c r="AE120" s="164">
        <f>IF(MIN(H120,L120,P120,T120,X120,AB120)&lt;&gt;0,MIN(H120,L120,P120,T120,X120,AB120),"")</f>
        <v>92</v>
      </c>
      <c r="AF120" s="164"/>
      <c r="AG120" s="163"/>
      <c r="AH120" s="164"/>
      <c r="AI120" s="163"/>
      <c r="AJ120" s="162" t="str">
        <f>IF(AD120="","",IF(ISBLANK(AF120),"En cours",AD120+AF120))</f>
        <v>En cours</v>
      </c>
      <c r="AK120" s="162" t="str">
        <f>IF(AE120="","",IF(ISBLANK(AH120),"En cours",AE120+AH120))</f>
        <v>En cours</v>
      </c>
    </row>
    <row r="121" spans="2:37" ht="21" x14ac:dyDescent="0.35">
      <c r="B121" s="163" t="s">
        <v>151</v>
      </c>
      <c r="C121" s="163" t="s">
        <v>104</v>
      </c>
      <c r="D121" s="163">
        <v>16.7</v>
      </c>
      <c r="E121" s="163" t="s">
        <v>202</v>
      </c>
      <c r="F121" s="163">
        <v>77</v>
      </c>
      <c r="G121" s="163">
        <v>24</v>
      </c>
      <c r="H121" s="163">
        <v>93</v>
      </c>
      <c r="I121" s="163">
        <v>27</v>
      </c>
      <c r="J121" s="163"/>
      <c r="K121" s="163"/>
      <c r="L121" s="163"/>
      <c r="M121" s="163"/>
      <c r="N121" s="163">
        <v>80</v>
      </c>
      <c r="O121" s="163">
        <v>27</v>
      </c>
      <c r="P121" s="163">
        <v>96</v>
      </c>
      <c r="Q121" s="163">
        <v>29</v>
      </c>
      <c r="R121" s="163"/>
      <c r="S121" s="163"/>
      <c r="T121" s="163"/>
      <c r="U121" s="163"/>
      <c r="V121" s="163">
        <v>74</v>
      </c>
      <c r="W121" s="163">
        <v>12</v>
      </c>
      <c r="X121" s="163">
        <v>90</v>
      </c>
      <c r="Y121" s="163">
        <v>17</v>
      </c>
      <c r="Z121" s="163"/>
      <c r="AA121" s="163"/>
      <c r="AB121" s="163"/>
      <c r="AC121" s="163"/>
      <c r="AD121" s="164">
        <f>IF(MIN(F121,J121,N121,R121,V121,Z121)&lt;&gt;0,MIN(F121,J121,N121,R121,V121,Z121),"")</f>
        <v>74</v>
      </c>
      <c r="AE121" s="164">
        <f>IF(MIN(H121,L121,P121,T121,X121,AB121)&lt;&gt;0,MIN(H121,L121,P121,T121,X121,AB121),"")</f>
        <v>90</v>
      </c>
      <c r="AF121" s="164">
        <v>79</v>
      </c>
      <c r="AG121" s="163">
        <v>31</v>
      </c>
      <c r="AH121" s="164">
        <v>95</v>
      </c>
      <c r="AI121" s="163">
        <v>35</v>
      </c>
      <c r="AJ121" s="162">
        <f>IF(AD121="","",IF(ISBLANK(AF121),"En cours",AD121+AF121))</f>
        <v>153</v>
      </c>
      <c r="AK121" s="162">
        <f>IF(AE121="","",IF(ISBLANK(AH121),"En cours",AE121+AH121))</f>
        <v>185</v>
      </c>
    </row>
    <row r="122" spans="2:37" ht="21" x14ac:dyDescent="0.35">
      <c r="B122" s="163" t="s">
        <v>288</v>
      </c>
      <c r="C122" s="163" t="s">
        <v>104</v>
      </c>
      <c r="D122" s="163">
        <v>13</v>
      </c>
      <c r="E122" s="163" t="s">
        <v>202</v>
      </c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>
        <v>72</v>
      </c>
      <c r="S122" s="163">
        <v>11</v>
      </c>
      <c r="T122" s="163">
        <v>84</v>
      </c>
      <c r="U122" s="163">
        <v>6</v>
      </c>
      <c r="V122" s="163"/>
      <c r="W122" s="163"/>
      <c r="X122" s="163"/>
      <c r="Y122" s="163"/>
      <c r="Z122" s="163"/>
      <c r="AA122" s="163"/>
      <c r="AB122" s="163"/>
      <c r="AC122" s="163"/>
      <c r="AD122" s="164">
        <f>IF(MIN(F122,J122,N122,R122,V122,Z122)&lt;&gt;0,MIN(F122,J122,N122,R122,V122,Z122),"")</f>
        <v>72</v>
      </c>
      <c r="AE122" s="164">
        <f>IF(MIN(H122,L122,P122,T122,X122,AB122)&lt;&gt;0,MIN(H122,L122,P122,T122,X122,AB122),"")</f>
        <v>84</v>
      </c>
      <c r="AF122" s="164">
        <v>76</v>
      </c>
      <c r="AG122" s="163">
        <v>17</v>
      </c>
      <c r="AH122" s="164">
        <v>88</v>
      </c>
      <c r="AI122" s="163">
        <v>13</v>
      </c>
      <c r="AJ122" s="162">
        <f>IF(AD122="","",IF(ISBLANK(AF122),"En cours",AD122+AF122))</f>
        <v>148</v>
      </c>
      <c r="AK122" s="162">
        <f>IF(AE122="","",IF(ISBLANK(AH122),"En cours",AE122+AH122))</f>
        <v>172</v>
      </c>
    </row>
    <row r="123" spans="2:37" ht="21" x14ac:dyDescent="0.35">
      <c r="B123" s="163" t="s">
        <v>223</v>
      </c>
      <c r="C123" s="163" t="s">
        <v>104</v>
      </c>
      <c r="D123" s="163">
        <v>17.2</v>
      </c>
      <c r="E123" s="163" t="s">
        <v>202</v>
      </c>
      <c r="F123" s="163"/>
      <c r="G123" s="163"/>
      <c r="H123" s="163"/>
      <c r="I123" s="163"/>
      <c r="J123" s="163">
        <v>75</v>
      </c>
      <c r="K123" s="163">
        <v>14</v>
      </c>
      <c r="L123" s="163">
        <v>92</v>
      </c>
      <c r="M123" s="163">
        <v>23</v>
      </c>
      <c r="N123" s="163"/>
      <c r="O123" s="163"/>
      <c r="P123" s="163"/>
      <c r="Q123" s="163"/>
      <c r="R123" s="163"/>
      <c r="S123" s="163"/>
      <c r="T123" s="163"/>
      <c r="U123" s="163"/>
      <c r="V123" s="163">
        <v>77</v>
      </c>
      <c r="W123" s="163">
        <v>18</v>
      </c>
      <c r="X123" s="163">
        <v>94</v>
      </c>
      <c r="Y123" s="163">
        <v>22</v>
      </c>
      <c r="Z123" s="163"/>
      <c r="AA123" s="163"/>
      <c r="AB123" s="163"/>
      <c r="AC123" s="163"/>
      <c r="AD123" s="164">
        <f>IF(MIN(F123,J123,N123,R123,V123,Z123)&lt;&gt;0,MIN(F123,J123,N123,R123,V123,Z123),"")</f>
        <v>75</v>
      </c>
      <c r="AE123" s="164">
        <f>IF(MIN(H123,L123,P123,T123,X123,AB123)&lt;&gt;0,MIN(H123,L123,P123,T123,X123,AB123),"")</f>
        <v>92</v>
      </c>
      <c r="AF123" s="164"/>
      <c r="AG123" s="163"/>
      <c r="AH123" s="164"/>
      <c r="AI123" s="163"/>
      <c r="AJ123" s="162" t="str">
        <f>IF(AD123="","",IF(ISBLANK(AF123),"En cours",AD123+AF123))</f>
        <v>En cours</v>
      </c>
      <c r="AK123" s="162" t="str">
        <f>IF(AE123="","",IF(ISBLANK(AH123),"En cours",AE123+AH123))</f>
        <v>En cours</v>
      </c>
    </row>
    <row r="124" spans="2:37" ht="21" x14ac:dyDescent="0.35">
      <c r="B124" s="163" t="s">
        <v>257</v>
      </c>
      <c r="C124" s="163" t="s">
        <v>104</v>
      </c>
      <c r="D124" s="163">
        <v>11.4</v>
      </c>
      <c r="E124" s="163" t="s">
        <v>203</v>
      </c>
      <c r="F124" s="163"/>
      <c r="G124" s="163"/>
      <c r="H124" s="163"/>
      <c r="I124" s="163"/>
      <c r="J124" s="163"/>
      <c r="K124" s="163"/>
      <c r="L124" s="163"/>
      <c r="M124" s="163"/>
      <c r="N124" s="163">
        <v>72</v>
      </c>
      <c r="O124" s="163">
        <v>4</v>
      </c>
      <c r="P124" s="163">
        <v>86</v>
      </c>
      <c r="Q124" s="163">
        <v>9</v>
      </c>
      <c r="R124" s="163">
        <v>67</v>
      </c>
      <c r="S124" s="163">
        <v>1</v>
      </c>
      <c r="T124" s="163">
        <v>81</v>
      </c>
      <c r="U124" s="163">
        <v>3</v>
      </c>
      <c r="V124" s="163">
        <v>66</v>
      </c>
      <c r="W124" s="163">
        <v>1</v>
      </c>
      <c r="X124" s="163">
        <v>80</v>
      </c>
      <c r="Y124" s="163">
        <v>3</v>
      </c>
      <c r="Z124" s="163">
        <v>68</v>
      </c>
      <c r="AA124" s="163">
        <v>1</v>
      </c>
      <c r="AB124" s="163">
        <v>82</v>
      </c>
      <c r="AC124" s="163">
        <v>3</v>
      </c>
      <c r="AD124" s="164">
        <f>IF(MIN(F124,J124,N124,R124,V124,Z124)&lt;&gt;0,MIN(F124,J124,N124,R124,V124,Z124),"")</f>
        <v>66</v>
      </c>
      <c r="AE124" s="164">
        <f>IF(MIN(H124,L124,P124,T124,X124,AB124)&lt;&gt;0,MIN(H124,L124,P124,T124,X124,AB124),"")</f>
        <v>80</v>
      </c>
      <c r="AF124" s="164"/>
      <c r="AG124" s="163"/>
      <c r="AH124" s="164"/>
      <c r="AI124" s="163"/>
      <c r="AJ124" s="162" t="str">
        <f>IF(AD124="","",IF(ISBLANK(AF124),"En cours",AD124+AF124))</f>
        <v>En cours</v>
      </c>
      <c r="AK124" s="162" t="str">
        <f>IF(AE124="","",IF(ISBLANK(AH124),"En cours",AE124+AH124))</f>
        <v>En cours</v>
      </c>
    </row>
    <row r="125" spans="2:37" ht="21" x14ac:dyDescent="0.35">
      <c r="B125" s="163" t="s">
        <v>227</v>
      </c>
      <c r="C125" s="163" t="s">
        <v>104</v>
      </c>
      <c r="D125" s="163">
        <v>16.399999999999999</v>
      </c>
      <c r="E125" s="163" t="s">
        <v>202</v>
      </c>
      <c r="F125" s="163"/>
      <c r="G125" s="163"/>
      <c r="H125" s="163"/>
      <c r="I125" s="163"/>
      <c r="J125" s="163">
        <v>79</v>
      </c>
      <c r="K125" s="163">
        <v>24</v>
      </c>
      <c r="L125" s="163">
        <v>95</v>
      </c>
      <c r="M125" s="163">
        <v>29</v>
      </c>
      <c r="N125" s="163"/>
      <c r="O125" s="163"/>
      <c r="P125" s="163"/>
      <c r="Q125" s="163"/>
      <c r="R125" s="163">
        <v>80</v>
      </c>
      <c r="S125" s="163">
        <v>32</v>
      </c>
      <c r="T125" s="163">
        <v>96</v>
      </c>
      <c r="U125" s="163">
        <v>32</v>
      </c>
      <c r="V125" s="163"/>
      <c r="W125" s="163"/>
      <c r="X125" s="163"/>
      <c r="Y125" s="163"/>
      <c r="Z125" s="163"/>
      <c r="AA125" s="163"/>
      <c r="AB125" s="163"/>
      <c r="AC125" s="163"/>
      <c r="AD125" s="164">
        <f>IF(MIN(F125,J125,N125,R125,V125,Z125)&lt;&gt;0,MIN(F125,J125,N125,R125,V125,Z125),"")</f>
        <v>79</v>
      </c>
      <c r="AE125" s="164">
        <f>IF(MIN(H125,L125,P125,T125,X125,AB125)&lt;&gt;0,MIN(H125,L125,P125,T125,X125,AB125),"")</f>
        <v>95</v>
      </c>
      <c r="AF125" s="164">
        <v>77</v>
      </c>
      <c r="AG125" s="163">
        <v>22</v>
      </c>
      <c r="AH125" s="164">
        <v>93</v>
      </c>
      <c r="AI125" s="163">
        <v>27</v>
      </c>
      <c r="AJ125" s="162">
        <f>IF(AD125="","",IF(ISBLANK(AF125),"En cours",AD125+AF125))</f>
        <v>156</v>
      </c>
      <c r="AK125" s="162">
        <f>IF(AE125="","",IF(ISBLANK(AH125),"En cours",AE125+AH125))</f>
        <v>188</v>
      </c>
    </row>
    <row r="126" spans="2:37" ht="21" x14ac:dyDescent="0.35">
      <c r="B126" s="163" t="s">
        <v>113</v>
      </c>
      <c r="C126" s="163" t="s">
        <v>104</v>
      </c>
      <c r="D126" s="163">
        <v>9.6999999999999993</v>
      </c>
      <c r="E126" s="163" t="s">
        <v>203</v>
      </c>
      <c r="F126" s="163">
        <v>72</v>
      </c>
      <c r="G126" s="163">
        <v>6</v>
      </c>
      <c r="H126" s="163">
        <v>84</v>
      </c>
      <c r="I126" s="163">
        <v>9</v>
      </c>
      <c r="J126" s="163"/>
      <c r="K126" s="163"/>
      <c r="L126" s="163"/>
      <c r="M126" s="163"/>
      <c r="N126" s="163"/>
      <c r="O126" s="163"/>
      <c r="P126" s="163"/>
      <c r="Q126" s="163"/>
      <c r="R126" s="163">
        <v>76</v>
      </c>
      <c r="S126" s="163">
        <v>10</v>
      </c>
      <c r="T126" s="163">
        <v>88</v>
      </c>
      <c r="U126" s="163">
        <v>12</v>
      </c>
      <c r="V126" s="163"/>
      <c r="W126" s="163"/>
      <c r="X126" s="163"/>
      <c r="Y126" s="163"/>
      <c r="Z126" s="163"/>
      <c r="AA126" s="163"/>
      <c r="AB126" s="163"/>
      <c r="AC126" s="163"/>
      <c r="AD126" s="164">
        <f>IF(MIN(F126,J126,N126,R126,V126,Z126)&lt;&gt;0,MIN(F126,J126,N126,R126,V126,Z126),"")</f>
        <v>72</v>
      </c>
      <c r="AE126" s="164">
        <f>IF(MIN(H126,L126,P126,T126,X126,AB126)&lt;&gt;0,MIN(H126,L126,P126,T126,X126,AB126),"")</f>
        <v>84</v>
      </c>
      <c r="AF126" s="164">
        <v>87</v>
      </c>
      <c r="AG126" s="163">
        <v>15</v>
      </c>
      <c r="AH126" s="164">
        <v>99</v>
      </c>
      <c r="AI126" s="163">
        <v>15</v>
      </c>
      <c r="AJ126" s="162">
        <f>IF(AD126="","",IF(ISBLANK(AF126),"En cours",AD126+AF126))</f>
        <v>159</v>
      </c>
      <c r="AK126" s="162">
        <f>IF(AE126="","",IF(ISBLANK(AH126),"En cours",AE126+AH126))</f>
        <v>183</v>
      </c>
    </row>
    <row r="127" spans="2:37" ht="21" x14ac:dyDescent="0.35">
      <c r="B127" s="163" t="s">
        <v>269</v>
      </c>
      <c r="C127" s="163" t="s">
        <v>104</v>
      </c>
      <c r="D127" s="163">
        <v>31.9</v>
      </c>
      <c r="E127" s="163" t="s">
        <v>204</v>
      </c>
      <c r="F127" s="163"/>
      <c r="G127" s="163"/>
      <c r="H127" s="163"/>
      <c r="I127" s="163"/>
      <c r="J127" s="163"/>
      <c r="K127" s="163"/>
      <c r="L127" s="163"/>
      <c r="M127" s="163"/>
      <c r="N127" s="163">
        <v>71</v>
      </c>
      <c r="O127" s="163">
        <v>7</v>
      </c>
      <c r="P127" s="163">
        <v>96</v>
      </c>
      <c r="Q127" s="163">
        <v>21</v>
      </c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  <c r="AB127" s="163"/>
      <c r="AC127" s="163"/>
      <c r="AD127" s="164">
        <f>IF(MIN(F127,J127,N127,R127,V127,Z127)&lt;&gt;0,MIN(F127,J127,N127,R127,V127,Z127),"")</f>
        <v>71</v>
      </c>
      <c r="AE127" s="164">
        <f>IF(MIN(H127,L127,P127,T127,X127,AB127)&lt;&gt;0,MIN(H127,L127,P127,T127,X127,AB127),"")</f>
        <v>96</v>
      </c>
      <c r="AF127" s="164"/>
      <c r="AG127" s="163"/>
      <c r="AH127" s="164"/>
      <c r="AI127" s="163"/>
      <c r="AJ127" s="162" t="str">
        <f>IF(AD127="","",IF(ISBLANK(AF127),"En cours",AD127+AF127))</f>
        <v>En cours</v>
      </c>
      <c r="AK127" s="162" t="str">
        <f>IF(AE127="","",IF(ISBLANK(AH127),"En cours",AE127+AH127))</f>
        <v>En cours</v>
      </c>
    </row>
    <row r="128" spans="2:37" ht="21" x14ac:dyDescent="0.35">
      <c r="B128" s="163" t="s">
        <v>263</v>
      </c>
      <c r="C128" s="163" t="s">
        <v>104</v>
      </c>
      <c r="D128" s="163">
        <v>24.6</v>
      </c>
      <c r="E128" s="163" t="s">
        <v>205</v>
      </c>
      <c r="F128" s="163"/>
      <c r="G128" s="163"/>
      <c r="H128" s="163"/>
      <c r="I128" s="163"/>
      <c r="J128" s="163"/>
      <c r="K128" s="163"/>
      <c r="L128" s="163"/>
      <c r="M128" s="163"/>
      <c r="N128" s="163">
        <v>70</v>
      </c>
      <c r="O128" s="163">
        <v>6</v>
      </c>
      <c r="P128" s="163">
        <v>91</v>
      </c>
      <c r="Q128" s="163">
        <v>6</v>
      </c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4">
        <f>IF(MIN(F128,J128,N128,R128,V128,Z128)&lt;&gt;0,MIN(F128,J128,N128,R128,V128,Z128),"")</f>
        <v>70</v>
      </c>
      <c r="AE128" s="164">
        <f>IF(MIN(H128,L128,P128,T128,X128,AB128)&lt;&gt;0,MIN(H128,L128,P128,T128,X128,AB128),"")</f>
        <v>91</v>
      </c>
      <c r="AF128" s="164"/>
      <c r="AG128" s="163"/>
      <c r="AH128" s="164"/>
      <c r="AI128" s="163"/>
      <c r="AJ128" s="162" t="str">
        <f>IF(AD128="","",IF(ISBLANK(AF128),"En cours",AD128+AF128))</f>
        <v>En cours</v>
      </c>
      <c r="AK128" s="162" t="str">
        <f>IF(AE128="","",IF(ISBLANK(AH128),"En cours",AE128+AH128))</f>
        <v>En cours</v>
      </c>
    </row>
    <row r="129" spans="2:37" ht="21" x14ac:dyDescent="0.35">
      <c r="B129" s="163" t="s">
        <v>260</v>
      </c>
      <c r="C129" s="163" t="s">
        <v>261</v>
      </c>
      <c r="D129" s="163">
        <v>14.2</v>
      </c>
      <c r="E129" s="163" t="s">
        <v>202</v>
      </c>
      <c r="F129" s="163"/>
      <c r="G129" s="163"/>
      <c r="H129" s="163"/>
      <c r="I129" s="163"/>
      <c r="J129" s="163"/>
      <c r="K129" s="163"/>
      <c r="L129" s="163"/>
      <c r="M129" s="163"/>
      <c r="N129" s="163">
        <v>78</v>
      </c>
      <c r="O129" s="163">
        <v>23</v>
      </c>
      <c r="P129" s="163">
        <v>91</v>
      </c>
      <c r="Q129" s="163">
        <v>19</v>
      </c>
      <c r="R129" s="163"/>
      <c r="S129" s="163"/>
      <c r="T129" s="163"/>
      <c r="U129" s="163"/>
      <c r="V129" s="163">
        <v>79</v>
      </c>
      <c r="W129" s="163">
        <v>23</v>
      </c>
      <c r="X129" s="163">
        <v>92</v>
      </c>
      <c r="Y129" s="163">
        <v>20</v>
      </c>
      <c r="Z129" s="163"/>
      <c r="AA129" s="163"/>
      <c r="AB129" s="163"/>
      <c r="AC129" s="163"/>
      <c r="AD129" s="164">
        <f>IF(MIN(F129,J129,N129,R129,V129,Z129)&lt;&gt;0,MIN(F129,J129,N129,R129,V129,Z129),"")</f>
        <v>78</v>
      </c>
      <c r="AE129" s="164">
        <f>IF(MIN(H129,L129,P129,T129,X129,AB129)&lt;&gt;0,MIN(H129,L129,P129,T129,X129,AB129),"")</f>
        <v>91</v>
      </c>
      <c r="AF129" s="164"/>
      <c r="AG129" s="163"/>
      <c r="AH129" s="164"/>
      <c r="AI129" s="163"/>
      <c r="AJ129" s="162" t="str">
        <f>IF(AD129="","",IF(ISBLANK(AF129),"En cours",AD129+AF129))</f>
        <v>En cours</v>
      </c>
      <c r="AK129" s="162" t="str">
        <f>IF(AE129="","",IF(ISBLANK(AH129),"En cours",AE129+AH129))</f>
        <v>En cours</v>
      </c>
    </row>
    <row r="130" spans="2:37" ht="21" x14ac:dyDescent="0.35">
      <c r="B130" s="163" t="s">
        <v>241</v>
      </c>
      <c r="C130" s="163" t="s">
        <v>104</v>
      </c>
      <c r="D130" s="163">
        <v>22</v>
      </c>
      <c r="E130" s="163" t="s">
        <v>205</v>
      </c>
      <c r="F130" s="163"/>
      <c r="G130" s="163"/>
      <c r="H130" s="163"/>
      <c r="I130" s="163"/>
      <c r="J130" s="163">
        <v>76</v>
      </c>
      <c r="K130" s="163">
        <v>18</v>
      </c>
      <c r="L130" s="163">
        <v>94</v>
      </c>
      <c r="M130" s="163">
        <v>16</v>
      </c>
      <c r="N130" s="163"/>
      <c r="O130" s="163"/>
      <c r="P130" s="163"/>
      <c r="Q130" s="163"/>
      <c r="R130" s="163">
        <v>68</v>
      </c>
      <c r="S130" s="163">
        <v>4</v>
      </c>
      <c r="T130" s="163">
        <v>86</v>
      </c>
      <c r="U130" s="163">
        <v>2</v>
      </c>
      <c r="V130" s="163"/>
      <c r="W130" s="163"/>
      <c r="X130" s="163"/>
      <c r="Y130" s="163"/>
      <c r="Z130" s="163">
        <v>73</v>
      </c>
      <c r="AA130" s="163">
        <v>7</v>
      </c>
      <c r="AB130" s="163">
        <v>91</v>
      </c>
      <c r="AC130" s="163">
        <v>6</v>
      </c>
      <c r="AD130" s="164">
        <f>IF(MIN(F130,J130,N130,R130,V130,Z130)&lt;&gt;0,MIN(F130,J130,N130,R130,V130,Z130),"")</f>
        <v>68</v>
      </c>
      <c r="AE130" s="164">
        <f>IF(MIN(H130,L130,P130,T130,X130,AB130)&lt;&gt;0,MIN(H130,L130,P130,T130,X130,AB130),"")</f>
        <v>86</v>
      </c>
      <c r="AF130" s="164">
        <v>77</v>
      </c>
      <c r="AG130" s="163">
        <v>29</v>
      </c>
      <c r="AH130" s="164">
        <v>95</v>
      </c>
      <c r="AI130" s="163">
        <v>26</v>
      </c>
      <c r="AJ130" s="162">
        <f>IF(AD130="","",IF(ISBLANK(AF130),"En cours",AD130+AF130))</f>
        <v>145</v>
      </c>
      <c r="AK130" s="162">
        <f>IF(AE130="","",IF(ISBLANK(AH130),"En cours",AE130+AH130))</f>
        <v>181</v>
      </c>
    </row>
    <row r="131" spans="2:37" ht="21" x14ac:dyDescent="0.35">
      <c r="B131" s="163" t="s">
        <v>123</v>
      </c>
      <c r="C131" s="163" t="s">
        <v>104</v>
      </c>
      <c r="D131" s="163">
        <v>13</v>
      </c>
      <c r="E131" s="163" t="s">
        <v>202</v>
      </c>
      <c r="F131" s="163">
        <v>69</v>
      </c>
      <c r="G131" s="163">
        <v>3</v>
      </c>
      <c r="H131" s="163">
        <v>81</v>
      </c>
      <c r="I131" s="163">
        <v>1</v>
      </c>
      <c r="J131" s="163"/>
      <c r="K131" s="163"/>
      <c r="L131" s="163"/>
      <c r="M131" s="163"/>
      <c r="N131" s="163">
        <v>74</v>
      </c>
      <c r="O131" s="163">
        <v>14</v>
      </c>
      <c r="P131" s="163">
        <v>86</v>
      </c>
      <c r="Q131" s="163">
        <v>9</v>
      </c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  <c r="AB131" s="163"/>
      <c r="AC131" s="163"/>
      <c r="AD131" s="164">
        <f>IF(MIN(F131,J131,N131,R131,V131,Z131)&lt;&gt;0,MIN(F131,J131,N131,R131,V131,Z131),"")</f>
        <v>69</v>
      </c>
      <c r="AE131" s="164">
        <f>IF(MIN(H131,L131,P131,T131,X131,AB131)&lt;&gt;0,MIN(H131,L131,P131,T131,X131,AB131),"")</f>
        <v>81</v>
      </c>
      <c r="AF131" s="164"/>
      <c r="AG131" s="163"/>
      <c r="AH131" s="164"/>
      <c r="AI131" s="163"/>
      <c r="AJ131" s="162" t="str">
        <f>IF(AD131="","",IF(ISBLANK(AF131),"En cours",AD131+AF131))</f>
        <v>En cours</v>
      </c>
      <c r="AK131" s="162" t="str">
        <f>IF(AE131="","",IF(ISBLANK(AH131),"En cours",AE131+AH131))</f>
        <v>En cours</v>
      </c>
    </row>
    <row r="132" spans="2:37" ht="21" x14ac:dyDescent="0.35">
      <c r="B132" s="163" t="s">
        <v>246</v>
      </c>
      <c r="C132" s="163" t="s">
        <v>104</v>
      </c>
      <c r="D132" s="163">
        <v>25.8</v>
      </c>
      <c r="E132" s="163" t="s">
        <v>205</v>
      </c>
      <c r="F132" s="163"/>
      <c r="G132" s="163"/>
      <c r="H132" s="163"/>
      <c r="I132" s="163"/>
      <c r="J132" s="163">
        <v>75</v>
      </c>
      <c r="K132" s="163">
        <v>13</v>
      </c>
      <c r="L132" s="163">
        <v>97</v>
      </c>
      <c r="M132" s="163">
        <v>22</v>
      </c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  <c r="AB132" s="163"/>
      <c r="AC132" s="163"/>
      <c r="AD132" s="164">
        <f>IF(MIN(F132,J132,N132,R132,V132,Z132)&lt;&gt;0,MIN(F132,J132,N132,R132,V132,Z132),"")</f>
        <v>75</v>
      </c>
      <c r="AE132" s="164">
        <f>IF(MIN(H132,L132,P132,T132,X132,AB132)&lt;&gt;0,MIN(H132,L132,P132,T132,X132,AB132),"")</f>
        <v>97</v>
      </c>
      <c r="AF132" s="164"/>
      <c r="AG132" s="163"/>
      <c r="AH132" s="164"/>
      <c r="AI132" s="163"/>
      <c r="AJ132" s="162" t="str">
        <f>IF(AD132="","",IF(ISBLANK(AF132),"En cours",AD132+AF132))</f>
        <v>En cours</v>
      </c>
      <c r="AK132" s="162" t="str">
        <f>IF(AE132="","",IF(ISBLANK(AH132),"En cours",AE132+AH132))</f>
        <v>En cours</v>
      </c>
    </row>
    <row r="133" spans="2:37" ht="21" x14ac:dyDescent="0.35">
      <c r="B133" s="163" t="s">
        <v>138</v>
      </c>
      <c r="C133" s="163" t="s">
        <v>104</v>
      </c>
      <c r="D133" s="163">
        <v>14.2</v>
      </c>
      <c r="E133" s="163" t="s">
        <v>202</v>
      </c>
      <c r="F133" s="163">
        <v>75</v>
      </c>
      <c r="G133" s="163">
        <v>15</v>
      </c>
      <c r="H133" s="163">
        <v>88</v>
      </c>
      <c r="I133" s="163">
        <v>15</v>
      </c>
      <c r="J133" s="163">
        <v>76</v>
      </c>
      <c r="K133" s="163">
        <v>17</v>
      </c>
      <c r="L133" s="163">
        <v>89</v>
      </c>
      <c r="M133" s="163">
        <v>14</v>
      </c>
      <c r="N133" s="163">
        <v>79</v>
      </c>
      <c r="O133" s="163">
        <v>25</v>
      </c>
      <c r="P133" s="163">
        <v>92</v>
      </c>
      <c r="Q133" s="163">
        <v>20</v>
      </c>
      <c r="R133" s="163">
        <v>78</v>
      </c>
      <c r="S133" s="163">
        <v>25</v>
      </c>
      <c r="T133" s="163">
        <v>91</v>
      </c>
      <c r="U133" s="163">
        <v>24</v>
      </c>
      <c r="V133" s="163">
        <v>76</v>
      </c>
      <c r="W133" s="163">
        <v>15</v>
      </c>
      <c r="X133" s="163">
        <v>89</v>
      </c>
      <c r="Y133" s="163">
        <v>14</v>
      </c>
      <c r="Z133" s="163"/>
      <c r="AA133" s="163"/>
      <c r="AB133" s="163"/>
      <c r="AC133" s="163"/>
      <c r="AD133" s="164">
        <f>IF(MIN(F133,J133,N133,R133,V133,Z133)&lt;&gt;0,MIN(F133,J133,N133,R133,V133,Z133),"")</f>
        <v>75</v>
      </c>
      <c r="AE133" s="164">
        <f>IF(MIN(H133,L133,P133,T133,X133,AB133)&lt;&gt;0,MIN(H133,L133,P133,T133,X133,AB133),"")</f>
        <v>88</v>
      </c>
      <c r="AF133" s="164">
        <v>78</v>
      </c>
      <c r="AG133" s="163">
        <v>27</v>
      </c>
      <c r="AH133" s="164">
        <v>91</v>
      </c>
      <c r="AI133" s="163">
        <v>23</v>
      </c>
      <c r="AJ133" s="162">
        <f>IF(AD133="","",IF(ISBLANK(AF133),"En cours",AD133+AF133))</f>
        <v>153</v>
      </c>
      <c r="AK133" s="162">
        <f>IF(AE133="","",IF(ISBLANK(AH133),"En cours",AE133+AH133))</f>
        <v>179</v>
      </c>
    </row>
    <row r="134" spans="2:37" ht="21" x14ac:dyDescent="0.35">
      <c r="B134" s="163" t="s">
        <v>234</v>
      </c>
      <c r="C134" s="163" t="s">
        <v>104</v>
      </c>
      <c r="D134" s="163">
        <v>25.6</v>
      </c>
      <c r="E134" s="163" t="s">
        <v>205</v>
      </c>
      <c r="F134" s="163"/>
      <c r="G134" s="163"/>
      <c r="H134" s="163"/>
      <c r="I134" s="163"/>
      <c r="J134" s="163">
        <v>68</v>
      </c>
      <c r="K134" s="163">
        <v>3</v>
      </c>
      <c r="L134" s="163">
        <v>90</v>
      </c>
      <c r="M134" s="163">
        <v>5</v>
      </c>
      <c r="N134" s="163"/>
      <c r="O134" s="163"/>
      <c r="P134" s="163"/>
      <c r="Q134" s="163"/>
      <c r="R134" s="163">
        <v>67</v>
      </c>
      <c r="S134" s="163">
        <v>3</v>
      </c>
      <c r="T134" s="163">
        <v>89</v>
      </c>
      <c r="U134" s="163">
        <v>5</v>
      </c>
      <c r="V134" s="163"/>
      <c r="W134" s="163"/>
      <c r="X134" s="163"/>
      <c r="Y134" s="163"/>
      <c r="Z134" s="163"/>
      <c r="AA134" s="163"/>
      <c r="AB134" s="163"/>
      <c r="AC134" s="163"/>
      <c r="AD134" s="164">
        <f>IF(MIN(F134,J134,N134,R134,V134,Z134)&lt;&gt;0,MIN(F134,J134,N134,R134,V134,Z134),"")</f>
        <v>67</v>
      </c>
      <c r="AE134" s="164">
        <f>IF(MIN(H134,L134,P134,T134,X134,AB134)&lt;&gt;0,MIN(H134,L134,P134,T134,X134,AB134),"")</f>
        <v>89</v>
      </c>
      <c r="AF134" s="164">
        <v>67</v>
      </c>
      <c r="AG134" s="163">
        <v>4</v>
      </c>
      <c r="AH134" s="164">
        <v>86</v>
      </c>
      <c r="AI134" s="163">
        <v>3</v>
      </c>
      <c r="AJ134" s="162">
        <f>IF(AD134="","",IF(ISBLANK(AF134),"En cours",AD134+AF134))</f>
        <v>134</v>
      </c>
      <c r="AK134" s="162">
        <f>IF(AE134="","",IF(ISBLANK(AH134),"En cours",AE134+AH134))</f>
        <v>175</v>
      </c>
    </row>
    <row r="135" spans="2:37" ht="21" x14ac:dyDescent="0.35">
      <c r="B135" s="163" t="s">
        <v>295</v>
      </c>
      <c r="C135" s="163" t="s">
        <v>261</v>
      </c>
      <c r="D135" s="163">
        <v>13.7</v>
      </c>
      <c r="E135" s="163" t="s">
        <v>202</v>
      </c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>
        <v>80</v>
      </c>
      <c r="S135" s="163">
        <v>29</v>
      </c>
      <c r="T135" s="163">
        <v>93</v>
      </c>
      <c r="U135" s="163">
        <v>26</v>
      </c>
      <c r="V135" s="163"/>
      <c r="W135" s="163"/>
      <c r="X135" s="163"/>
      <c r="Y135" s="163"/>
      <c r="Z135" s="163"/>
      <c r="AA135" s="163"/>
      <c r="AB135" s="163"/>
      <c r="AC135" s="163"/>
      <c r="AD135" s="164">
        <f>IF(MIN(F135,J135,N135,R135,V135,Z135)&lt;&gt;0,MIN(F135,J135,N135,R135,V135,Z135),"")</f>
        <v>80</v>
      </c>
      <c r="AE135" s="164">
        <f>IF(MIN(H135,L135,P135,T135,X135,AB135)&lt;&gt;0,MIN(H135,L135,P135,T135,X135,AB135),"")</f>
        <v>93</v>
      </c>
      <c r="AF135" s="164"/>
      <c r="AG135" s="163"/>
      <c r="AH135" s="164"/>
      <c r="AI135" s="163"/>
      <c r="AJ135" s="162" t="str">
        <f>IF(AD135="","",IF(ISBLANK(AF135),"En cours",AD135+AF135))</f>
        <v>En cours</v>
      </c>
      <c r="AK135" s="162" t="str">
        <f>IF(AE135="","",IF(ISBLANK(AH135),"En cours",AE135+AH135))</f>
        <v>En cours</v>
      </c>
    </row>
    <row r="136" spans="2:37" ht="21" x14ac:dyDescent="0.35">
      <c r="B136" s="163" t="s">
        <v>125</v>
      </c>
      <c r="C136" s="163" t="s">
        <v>126</v>
      </c>
      <c r="D136" s="163">
        <v>14.2</v>
      </c>
      <c r="E136" s="163" t="s">
        <v>202</v>
      </c>
      <c r="F136" s="163">
        <v>69</v>
      </c>
      <c r="G136" s="163">
        <v>4</v>
      </c>
      <c r="H136" s="163">
        <v>82</v>
      </c>
      <c r="I136" s="163">
        <v>3</v>
      </c>
      <c r="J136" s="163">
        <v>70</v>
      </c>
      <c r="K136" s="163">
        <v>2</v>
      </c>
      <c r="L136" s="163">
        <v>83</v>
      </c>
      <c r="M136" s="163">
        <v>1</v>
      </c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4">
        <f>IF(MIN(F136,J136,N136,R136,V136,Z136)&lt;&gt;0,MIN(F136,J136,N136,R136,V136,Z136),"")</f>
        <v>69</v>
      </c>
      <c r="AE136" s="164">
        <f>IF(MIN(H136,L136,P136,T136,X136,AB136)&lt;&gt;0,MIN(H136,L136,P136,T136,X136,AB136),"")</f>
        <v>82</v>
      </c>
      <c r="AF136" s="164"/>
      <c r="AG136" s="163"/>
      <c r="AH136" s="164"/>
      <c r="AI136" s="163"/>
      <c r="AJ136" s="162" t="str">
        <f>IF(AD136="","",IF(ISBLANK(AF136),"En cours",AD136+AF136))</f>
        <v>En cours</v>
      </c>
      <c r="AK136" s="162" t="str">
        <f>IF(AE136="","",IF(ISBLANK(AH136),"En cours",AE136+AH136))</f>
        <v>En cours</v>
      </c>
    </row>
    <row r="137" spans="2:37" ht="21" x14ac:dyDescent="0.35">
      <c r="B137" s="163" t="s">
        <v>112</v>
      </c>
      <c r="C137" s="163" t="s">
        <v>104</v>
      </c>
      <c r="D137" s="163">
        <v>7.6</v>
      </c>
      <c r="E137" s="163" t="s">
        <v>203</v>
      </c>
      <c r="F137" s="163">
        <v>74</v>
      </c>
      <c r="G137" s="163">
        <v>9</v>
      </c>
      <c r="H137" s="163">
        <v>83</v>
      </c>
      <c r="I137" s="163">
        <v>8</v>
      </c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>
        <v>79</v>
      </c>
      <c r="W137" s="163">
        <v>6</v>
      </c>
      <c r="X137" s="163">
        <v>88</v>
      </c>
      <c r="Y137" s="163">
        <v>6</v>
      </c>
      <c r="Z137" s="163">
        <v>74</v>
      </c>
      <c r="AA137" s="163">
        <v>7</v>
      </c>
      <c r="AB137" s="163">
        <v>83</v>
      </c>
      <c r="AC137" s="163">
        <v>6</v>
      </c>
      <c r="AD137" s="164">
        <f>IF(MIN(F137,J137,N137,R137,V137,Z137)&lt;&gt;0,MIN(F137,J137,N137,R137,V137,Z137),"")</f>
        <v>74</v>
      </c>
      <c r="AE137" s="164">
        <f>IF(MIN(H137,L137,P137,T137,X137,AB137)&lt;&gt;0,MIN(H137,L137,P137,T137,X137,AB137),"")</f>
        <v>83</v>
      </c>
      <c r="AF137" s="164">
        <v>70</v>
      </c>
      <c r="AG137" s="163">
        <v>4</v>
      </c>
      <c r="AH137" s="164">
        <v>79</v>
      </c>
      <c r="AI137" s="163">
        <v>2</v>
      </c>
      <c r="AJ137" s="162">
        <f>IF(AD137="","",IF(ISBLANK(AF137),"En cours",AD137+AF137))</f>
        <v>144</v>
      </c>
      <c r="AK137" s="162">
        <f>IF(AE137="","",IF(ISBLANK(AH137),"En cours",AE137+AH137))</f>
        <v>162</v>
      </c>
    </row>
    <row r="138" spans="2:37" ht="21" x14ac:dyDescent="0.35">
      <c r="B138" s="163" t="s">
        <v>120</v>
      </c>
      <c r="C138" s="163" t="s">
        <v>121</v>
      </c>
      <c r="D138" s="163">
        <v>11</v>
      </c>
      <c r="E138" s="163" t="s">
        <v>203</v>
      </c>
      <c r="F138" s="163">
        <v>77</v>
      </c>
      <c r="G138" s="163">
        <v>11</v>
      </c>
      <c r="H138" s="163">
        <v>90</v>
      </c>
      <c r="I138" s="163">
        <v>16</v>
      </c>
      <c r="J138" s="163">
        <v>77</v>
      </c>
      <c r="K138" s="163">
        <v>8</v>
      </c>
      <c r="L138" s="163">
        <v>90</v>
      </c>
      <c r="M138" s="163">
        <v>9</v>
      </c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4">
        <f>IF(MIN(F138,J138,N138,R138,V138,Z138)&lt;&gt;0,MIN(F138,J138,N138,R138,V138,Z138),"")</f>
        <v>77</v>
      </c>
      <c r="AE138" s="164">
        <f>IF(MIN(H138,L138,P138,T138,X138,AB138)&lt;&gt;0,MIN(H138,L138,P138,T138,X138,AB138),"")</f>
        <v>90</v>
      </c>
      <c r="AF138" s="164"/>
      <c r="AG138" s="163"/>
      <c r="AH138" s="164"/>
      <c r="AI138" s="163"/>
      <c r="AJ138" s="162" t="str">
        <f>IF(AD138="","",IF(ISBLANK(AF138),"En cours",AD138+AF138))</f>
        <v>En cours</v>
      </c>
      <c r="AK138" s="162" t="str">
        <f>IF(AE138="","",IF(ISBLANK(AH138),"En cours",AE138+AH138))</f>
        <v>En cours</v>
      </c>
    </row>
    <row r="139" spans="2:37" ht="21" x14ac:dyDescent="0.35">
      <c r="B139" s="163" t="s">
        <v>216</v>
      </c>
      <c r="C139" s="163" t="s">
        <v>104</v>
      </c>
      <c r="D139" s="163">
        <v>18</v>
      </c>
      <c r="E139" s="163" t="s">
        <v>202</v>
      </c>
      <c r="F139" s="163"/>
      <c r="G139" s="163"/>
      <c r="H139" s="163"/>
      <c r="I139" s="163"/>
      <c r="J139" s="163">
        <v>70</v>
      </c>
      <c r="K139" s="163">
        <v>1</v>
      </c>
      <c r="L139" s="163">
        <v>87</v>
      </c>
      <c r="M139" s="163">
        <v>8</v>
      </c>
      <c r="N139" s="163">
        <v>79</v>
      </c>
      <c r="O139" s="163">
        <v>24</v>
      </c>
      <c r="P139" s="163">
        <v>96</v>
      </c>
      <c r="Q139" s="163">
        <v>28</v>
      </c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  <c r="AB139" s="163"/>
      <c r="AC139" s="163"/>
      <c r="AD139" s="164">
        <f>IF(MIN(F139,J139,N139,R139,V139,Z139)&lt;&gt;0,MIN(F139,J139,N139,R139,V139,Z139),"")</f>
        <v>70</v>
      </c>
      <c r="AE139" s="164">
        <f>IF(MIN(H139,L139,P139,T139,X139,AB139)&lt;&gt;0,MIN(H139,L139,P139,T139,X139,AB139),"")</f>
        <v>87</v>
      </c>
      <c r="AF139" s="164"/>
      <c r="AG139" s="163"/>
      <c r="AH139" s="164"/>
      <c r="AI139" s="163"/>
      <c r="AJ139" s="162" t="str">
        <f>IF(AD139="","",IF(ISBLANK(AF139),"En cours",AD139+AF139))</f>
        <v>En cours</v>
      </c>
      <c r="AK139" s="162" t="str">
        <f>IF(AE139="","",IF(ISBLANK(AH139),"En cours",AE139+AH139))</f>
        <v>En cours</v>
      </c>
    </row>
    <row r="140" spans="2:37" ht="21" x14ac:dyDescent="0.35">
      <c r="B140" s="163" t="s">
        <v>173</v>
      </c>
      <c r="C140" s="163" t="s">
        <v>104</v>
      </c>
      <c r="D140" s="163">
        <v>23.1</v>
      </c>
      <c r="E140" s="163" t="s">
        <v>205</v>
      </c>
      <c r="F140" s="163">
        <v>73</v>
      </c>
      <c r="G140" s="163">
        <v>13</v>
      </c>
      <c r="H140" s="163">
        <v>93</v>
      </c>
      <c r="I140" s="163">
        <v>14</v>
      </c>
      <c r="J140" s="163"/>
      <c r="K140" s="163"/>
      <c r="L140" s="163"/>
      <c r="M140" s="163"/>
      <c r="N140" s="163"/>
      <c r="O140" s="163"/>
      <c r="P140" s="163"/>
      <c r="Q140" s="163"/>
      <c r="R140" s="163">
        <v>76</v>
      </c>
      <c r="S140" s="163">
        <v>15</v>
      </c>
      <c r="T140" s="163">
        <v>96</v>
      </c>
      <c r="U140" s="163">
        <v>19</v>
      </c>
      <c r="V140" s="163"/>
      <c r="W140" s="163"/>
      <c r="X140" s="163"/>
      <c r="Y140" s="163"/>
      <c r="Z140" s="163">
        <v>77</v>
      </c>
      <c r="AA140" s="163">
        <v>13</v>
      </c>
      <c r="AB140" s="163">
        <v>97</v>
      </c>
      <c r="AC140" s="163">
        <v>16</v>
      </c>
      <c r="AD140" s="164">
        <f>IF(MIN(F140,J140,N140,R140,V140,Z140)&lt;&gt;0,MIN(F140,J140,N140,R140,V140,Z140),"")</f>
        <v>73</v>
      </c>
      <c r="AE140" s="164">
        <f>IF(MIN(H140,L140,P140,T140,X140,AB140)&lt;&gt;0,MIN(H140,L140,P140,T140,X140,AB140),"")</f>
        <v>93</v>
      </c>
      <c r="AF140" s="164">
        <v>75</v>
      </c>
      <c r="AG140" s="163">
        <v>22</v>
      </c>
      <c r="AH140" s="164">
        <v>95</v>
      </c>
      <c r="AI140" s="163">
        <v>25</v>
      </c>
      <c r="AJ140" s="162">
        <f>IF(AD140="","",IF(ISBLANK(AF140),"En cours",AD140+AF140))</f>
        <v>148</v>
      </c>
      <c r="AK140" s="162">
        <f>IF(AE140="","",IF(ISBLANK(AH140),"En cours",AE140+AH140))</f>
        <v>188</v>
      </c>
    </row>
    <row r="141" spans="2:37" ht="21" x14ac:dyDescent="0.35">
      <c r="B141" s="163" t="s">
        <v>328</v>
      </c>
      <c r="C141" s="163" t="s">
        <v>104</v>
      </c>
      <c r="D141" s="163">
        <v>12.6</v>
      </c>
      <c r="E141" s="163" t="s">
        <v>202</v>
      </c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>
        <v>64</v>
      </c>
      <c r="AA141" s="163">
        <v>1</v>
      </c>
      <c r="AB141" s="163">
        <v>75</v>
      </c>
      <c r="AC141" s="163">
        <v>1</v>
      </c>
      <c r="AD141" s="164">
        <f>IF(MIN(F141,J141,N141,R141,V141,Z141)&lt;&gt;0,MIN(F141,J141,N141,R141,V141,Z141),"")</f>
        <v>64</v>
      </c>
      <c r="AE141" s="164">
        <f>IF(MIN(H141,L141,P141,T141,X141,AB141)&lt;&gt;0,MIN(H141,L141,P141,T141,X141,AB141),"")</f>
        <v>75</v>
      </c>
      <c r="AF141" s="164">
        <v>73</v>
      </c>
      <c r="AG141" s="163">
        <v>11</v>
      </c>
      <c r="AH141" s="164">
        <v>84</v>
      </c>
      <c r="AI141" s="163">
        <v>4</v>
      </c>
      <c r="AJ141" s="162">
        <f>IF(AD141="","",IF(ISBLANK(AF141),"En cours",AD141+AF141))</f>
        <v>137</v>
      </c>
      <c r="AK141" s="162">
        <f>IF(AE141="","",IF(ISBLANK(AH141),"En cours",AE141+AH141))</f>
        <v>159</v>
      </c>
    </row>
    <row r="142" spans="2:37" ht="21" x14ac:dyDescent="0.35">
      <c r="B142" s="163" t="s">
        <v>231</v>
      </c>
      <c r="C142" s="163" t="s">
        <v>104</v>
      </c>
      <c r="D142" s="163">
        <v>21.6</v>
      </c>
      <c r="E142" s="163" t="s">
        <v>205</v>
      </c>
      <c r="F142" s="163"/>
      <c r="G142" s="163"/>
      <c r="H142" s="163"/>
      <c r="I142" s="163"/>
      <c r="J142" s="163">
        <v>62</v>
      </c>
      <c r="K142" s="163">
        <v>1</v>
      </c>
      <c r="L142" s="163">
        <v>80</v>
      </c>
      <c r="M142" s="163">
        <v>1</v>
      </c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4">
        <f>IF(MIN(F142,J142,N142,R142,V142,Z142)&lt;&gt;0,MIN(F142,J142,N142,R142,V142,Z142),"")</f>
        <v>62</v>
      </c>
      <c r="AE142" s="164">
        <f>IF(MIN(H142,L142,P142,T142,X142,AB142)&lt;&gt;0,MIN(H142,L142,P142,T142,X142,AB142),"")</f>
        <v>80</v>
      </c>
      <c r="AF142" s="164"/>
      <c r="AG142" s="163"/>
      <c r="AH142" s="164"/>
      <c r="AI142" s="163"/>
      <c r="AJ142" s="162" t="str">
        <f>IF(AD142="","",IF(ISBLANK(AF142),"En cours",AD142+AF142))</f>
        <v>En cours</v>
      </c>
      <c r="AK142" s="162" t="str">
        <f>IF(AE142="","",IF(ISBLANK(AH142),"En cours",AE142+AH142))</f>
        <v>En cours</v>
      </c>
    </row>
    <row r="143" spans="2:37" ht="21" x14ac:dyDescent="0.35">
      <c r="B143" s="163" t="s">
        <v>127</v>
      </c>
      <c r="C143" s="163" t="s">
        <v>104</v>
      </c>
      <c r="D143" s="163">
        <v>14.4</v>
      </c>
      <c r="E143" s="163" t="s">
        <v>202</v>
      </c>
      <c r="F143" s="163">
        <v>71</v>
      </c>
      <c r="G143" s="163">
        <v>6</v>
      </c>
      <c r="H143" s="163">
        <v>84</v>
      </c>
      <c r="I143" s="163">
        <v>4</v>
      </c>
      <c r="J143" s="163">
        <v>79</v>
      </c>
      <c r="K143" s="163">
        <v>25</v>
      </c>
      <c r="L143" s="163">
        <v>92</v>
      </c>
      <c r="M143" s="163">
        <v>20</v>
      </c>
      <c r="N143" s="163">
        <v>71</v>
      </c>
      <c r="O143" s="163">
        <v>5</v>
      </c>
      <c r="P143" s="163">
        <v>84</v>
      </c>
      <c r="Q143" s="163">
        <v>6</v>
      </c>
      <c r="R143" s="163"/>
      <c r="S143" s="163"/>
      <c r="T143" s="163"/>
      <c r="U143" s="163"/>
      <c r="V143" s="163"/>
      <c r="W143" s="163"/>
      <c r="X143" s="163"/>
      <c r="Y143" s="163"/>
      <c r="Z143" s="163">
        <v>75</v>
      </c>
      <c r="AA143" s="163">
        <v>14</v>
      </c>
      <c r="AB143" s="163">
        <v>88</v>
      </c>
      <c r="AC143" s="163">
        <v>12</v>
      </c>
      <c r="AD143" s="164">
        <f>IF(MIN(F143,J143,N143,R143,V143,Z143)&lt;&gt;0,MIN(F143,J143,N143,R143,V143,Z143),"")</f>
        <v>71</v>
      </c>
      <c r="AE143" s="164">
        <f>IF(MIN(H143,L143,P143,T143,X143,AB143)&lt;&gt;0,MIN(H143,L143,P143,T143,X143,AB143),"")</f>
        <v>84</v>
      </c>
      <c r="AF143" s="164"/>
      <c r="AG143" s="163"/>
      <c r="AH143" s="164"/>
      <c r="AI143" s="163"/>
      <c r="AJ143" s="162" t="str">
        <f>IF(AD143="","",IF(ISBLANK(AF143),"En cours",AD143+AF143))</f>
        <v>En cours</v>
      </c>
      <c r="AK143" s="162" t="str">
        <f>IF(AE143="","",IF(ISBLANK(AH143),"En cours",AE143+AH143))</f>
        <v>En cours</v>
      </c>
    </row>
    <row r="144" spans="2:37" ht="21" x14ac:dyDescent="0.35">
      <c r="B144" s="163" t="s">
        <v>290</v>
      </c>
      <c r="C144" s="163" t="s">
        <v>104</v>
      </c>
      <c r="D144" s="163">
        <v>13.5</v>
      </c>
      <c r="E144" s="163" t="s">
        <v>202</v>
      </c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>
        <v>75</v>
      </c>
      <c r="S144" s="163">
        <v>17</v>
      </c>
      <c r="T144" s="163">
        <v>87</v>
      </c>
      <c r="U144" s="163">
        <v>12</v>
      </c>
      <c r="V144" s="163">
        <v>74</v>
      </c>
      <c r="W144" s="163">
        <v>10</v>
      </c>
      <c r="X144" s="163">
        <v>86</v>
      </c>
      <c r="Y144" s="163">
        <v>7</v>
      </c>
      <c r="Z144" s="163"/>
      <c r="AA144" s="163"/>
      <c r="AB144" s="163"/>
      <c r="AC144" s="163"/>
      <c r="AD144" s="164">
        <f>IF(MIN(F144,J144,N144,R144,V144,Z144)&lt;&gt;0,MIN(F144,J144,N144,R144,V144,Z144),"")</f>
        <v>74</v>
      </c>
      <c r="AE144" s="164">
        <f>IF(MIN(H144,L144,P144,T144,X144,AB144)&lt;&gt;0,MIN(H144,L144,P144,T144,X144,AB144),"")</f>
        <v>86</v>
      </c>
      <c r="AF144" s="164"/>
      <c r="AG144" s="163"/>
      <c r="AH144" s="164"/>
      <c r="AI144" s="163"/>
      <c r="AJ144" s="162" t="str">
        <f>IF(AD144="","",IF(ISBLANK(AF144),"En cours",AD144+AF144))</f>
        <v>En cours</v>
      </c>
      <c r="AK144" s="162" t="str">
        <f>IF(AE144="","",IF(ISBLANK(AH144),"En cours",AE144+AH144))</f>
        <v>En cours</v>
      </c>
    </row>
    <row r="145" spans="2:37" ht="21" x14ac:dyDescent="0.35">
      <c r="B145" s="163" t="s">
        <v>166</v>
      </c>
      <c r="C145" s="163" t="s">
        <v>104</v>
      </c>
      <c r="D145" s="163">
        <v>25.1</v>
      </c>
      <c r="E145" s="163" t="s">
        <v>205</v>
      </c>
      <c r="F145" s="163">
        <v>66</v>
      </c>
      <c r="G145" s="163">
        <v>4</v>
      </c>
      <c r="H145" s="163">
        <v>88</v>
      </c>
      <c r="I145" s="163">
        <v>7</v>
      </c>
      <c r="J145" s="163">
        <v>70</v>
      </c>
      <c r="K145" s="163">
        <v>4</v>
      </c>
      <c r="L145" s="163">
        <v>92</v>
      </c>
      <c r="M145" s="163">
        <v>7</v>
      </c>
      <c r="N145" s="163">
        <v>75</v>
      </c>
      <c r="O145" s="163">
        <v>18</v>
      </c>
      <c r="P145" s="163">
        <v>97</v>
      </c>
      <c r="Q145" s="163">
        <v>25</v>
      </c>
      <c r="R145" s="163">
        <v>77</v>
      </c>
      <c r="S145" s="163">
        <v>19</v>
      </c>
      <c r="T145" s="163">
        <v>99</v>
      </c>
      <c r="U145" s="163">
        <v>24</v>
      </c>
      <c r="V145" s="163">
        <v>75</v>
      </c>
      <c r="W145" s="163">
        <v>11</v>
      </c>
      <c r="X145" s="163">
        <v>97</v>
      </c>
      <c r="Y145" s="163">
        <v>14</v>
      </c>
      <c r="Z145" s="163">
        <v>79</v>
      </c>
      <c r="AA145" s="163">
        <v>17</v>
      </c>
      <c r="AB145" s="163">
        <v>101</v>
      </c>
      <c r="AC145" s="163">
        <v>20</v>
      </c>
      <c r="AD145" s="164">
        <f>IF(MIN(F145,J145,N145,R145,V145,Z145)&lt;&gt;0,MIN(F145,J145,N145,R145,V145,Z145),"")</f>
        <v>66</v>
      </c>
      <c r="AE145" s="164">
        <f>IF(MIN(H145,L145,P145,T145,X145,AB145)&lt;&gt;0,MIN(H145,L145,P145,T145,X145,AB145),"")</f>
        <v>88</v>
      </c>
      <c r="AF145" s="164">
        <v>78</v>
      </c>
      <c r="AG145" s="163">
        <v>30</v>
      </c>
      <c r="AH145" s="164">
        <v>100</v>
      </c>
      <c r="AI145" s="163">
        <v>35</v>
      </c>
      <c r="AJ145" s="162">
        <f>IF(AD145="","",IF(ISBLANK(AF145),"En cours",AD145+AF145))</f>
        <v>144</v>
      </c>
      <c r="AK145" s="162">
        <f>IF(AE145="","",IF(ISBLANK(AH145),"En cours",AE145+AH145))</f>
        <v>188</v>
      </c>
    </row>
    <row r="146" spans="2:37" ht="21" x14ac:dyDescent="0.35">
      <c r="B146" s="163" t="s">
        <v>213</v>
      </c>
      <c r="C146" s="163" t="s">
        <v>104</v>
      </c>
      <c r="D146" s="163">
        <v>13.4</v>
      </c>
      <c r="E146" s="163" t="s">
        <v>202</v>
      </c>
      <c r="F146" s="163"/>
      <c r="G146" s="163"/>
      <c r="H146" s="163"/>
      <c r="I146" s="163"/>
      <c r="J146" s="163">
        <v>72</v>
      </c>
      <c r="K146" s="163">
        <v>7</v>
      </c>
      <c r="L146" s="163">
        <v>84</v>
      </c>
      <c r="M146" s="163">
        <v>2</v>
      </c>
      <c r="N146" s="163"/>
      <c r="O146" s="163"/>
      <c r="P146" s="163"/>
      <c r="Q146" s="163"/>
      <c r="R146" s="163">
        <v>75</v>
      </c>
      <c r="S146" s="163">
        <v>16</v>
      </c>
      <c r="T146" s="163">
        <v>87</v>
      </c>
      <c r="U146" s="163">
        <v>11</v>
      </c>
      <c r="V146" s="163"/>
      <c r="W146" s="163"/>
      <c r="X146" s="163"/>
      <c r="Y146" s="163"/>
      <c r="Z146" s="163">
        <v>77</v>
      </c>
      <c r="AA146" s="163">
        <v>19</v>
      </c>
      <c r="AB146" s="163">
        <v>89</v>
      </c>
      <c r="AC146" s="163">
        <v>14</v>
      </c>
      <c r="AD146" s="164">
        <f>IF(MIN(F146,J146,N146,R146,V146,Z146)&lt;&gt;0,MIN(F146,J146,N146,R146,V146,Z146),"")</f>
        <v>72</v>
      </c>
      <c r="AE146" s="164">
        <f>IF(MIN(H146,L146,P146,T146,X146,AB146)&lt;&gt;0,MIN(H146,L146,P146,T146,X146,AB146),"")</f>
        <v>84</v>
      </c>
      <c r="AF146" s="164"/>
      <c r="AG146" s="163"/>
      <c r="AH146" s="164"/>
      <c r="AI146" s="163"/>
      <c r="AJ146" s="162" t="str">
        <f>IF(AD146="","",IF(ISBLANK(AF146),"En cours",AD146+AF146))</f>
        <v>En cours</v>
      </c>
      <c r="AK146" s="162" t="str">
        <f>IF(AE146="","",IF(ISBLANK(AH146),"En cours",AE146+AH146))</f>
        <v>En cours</v>
      </c>
    </row>
    <row r="147" spans="2:37" ht="21" x14ac:dyDescent="0.35">
      <c r="B147" s="163" t="s">
        <v>264</v>
      </c>
      <c r="C147" s="163" t="s">
        <v>104</v>
      </c>
      <c r="D147" s="163">
        <v>21.7</v>
      </c>
      <c r="E147" s="163" t="s">
        <v>205</v>
      </c>
      <c r="F147" s="163"/>
      <c r="G147" s="163"/>
      <c r="H147" s="163"/>
      <c r="I147" s="163"/>
      <c r="J147" s="163"/>
      <c r="K147" s="163"/>
      <c r="L147" s="163"/>
      <c r="M147" s="163"/>
      <c r="N147" s="163">
        <v>76</v>
      </c>
      <c r="O147" s="163">
        <v>24</v>
      </c>
      <c r="P147" s="163">
        <v>94</v>
      </c>
      <c r="Q147" s="163">
        <v>14</v>
      </c>
      <c r="R147" s="163"/>
      <c r="S147" s="163"/>
      <c r="T147" s="163"/>
      <c r="U147" s="163"/>
      <c r="V147" s="163">
        <v>68</v>
      </c>
      <c r="W147" s="163">
        <v>3</v>
      </c>
      <c r="X147" s="163">
        <v>86</v>
      </c>
      <c r="Y147" s="163">
        <v>3</v>
      </c>
      <c r="Z147" s="163">
        <v>76</v>
      </c>
      <c r="AA147" s="163">
        <v>11</v>
      </c>
      <c r="AB147" s="163">
        <v>94</v>
      </c>
      <c r="AC147" s="163">
        <v>8</v>
      </c>
      <c r="AD147" s="164">
        <f>IF(MIN(F147,J147,N147,R147,V147,Z147)&lt;&gt;0,MIN(F147,J147,N147,R147,V147,Z147),"")</f>
        <v>68</v>
      </c>
      <c r="AE147" s="164">
        <f>IF(MIN(H147,L147,P147,T147,X147,AB147)&lt;&gt;0,MIN(H147,L147,P147,T147,X147,AB147),"")</f>
        <v>86</v>
      </c>
      <c r="AF147" s="164">
        <v>71</v>
      </c>
      <c r="AG147" s="163">
        <v>13</v>
      </c>
      <c r="AH147" s="164">
        <v>89</v>
      </c>
      <c r="AI147" s="163">
        <v>8</v>
      </c>
      <c r="AJ147" s="162">
        <f>IF(AD147="","",IF(ISBLANK(AF147),"En cours",AD147+AF147))</f>
        <v>139</v>
      </c>
      <c r="AK147" s="162">
        <f>IF(AE147="","",IF(ISBLANK(AH147),"En cours",AE147+AH147))</f>
        <v>175</v>
      </c>
    </row>
    <row r="148" spans="2:37" ht="21" x14ac:dyDescent="0.35">
      <c r="B148" s="163" t="s">
        <v>285</v>
      </c>
      <c r="C148" s="163" t="s">
        <v>261</v>
      </c>
      <c r="D148" s="163">
        <v>7.9</v>
      </c>
      <c r="E148" s="163" t="s">
        <v>203</v>
      </c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>
        <v>73</v>
      </c>
      <c r="S148" s="163">
        <v>6</v>
      </c>
      <c r="T148" s="163">
        <v>83</v>
      </c>
      <c r="U148" s="163">
        <v>7</v>
      </c>
      <c r="V148" s="163"/>
      <c r="W148" s="163"/>
      <c r="X148" s="163"/>
      <c r="Y148" s="163"/>
      <c r="Z148" s="163"/>
      <c r="AA148" s="163"/>
      <c r="AB148" s="163"/>
      <c r="AC148" s="163"/>
      <c r="AD148" s="164">
        <f>IF(MIN(F148,J148,N148,R148,V148,Z148)&lt;&gt;0,MIN(F148,J148,N148,R148,V148,Z148),"")</f>
        <v>73</v>
      </c>
      <c r="AE148" s="164">
        <f>IF(MIN(H148,L148,P148,T148,X148,AB148)&lt;&gt;0,MIN(H148,L148,P148,T148,X148,AB148),"")</f>
        <v>83</v>
      </c>
      <c r="AF148" s="164"/>
      <c r="AG148" s="163"/>
      <c r="AH148" s="164"/>
      <c r="AI148" s="163"/>
      <c r="AJ148" s="162" t="str">
        <f>IF(AD148="","",IF(ISBLANK(AF148),"En cours",AD148+AF148))</f>
        <v>En cours</v>
      </c>
      <c r="AK148" s="162" t="str">
        <f>IF(AE148="","",IF(ISBLANK(AH148),"En cours",AE148+AH148))</f>
        <v>En cours</v>
      </c>
    </row>
    <row r="149" spans="2:37" ht="21" x14ac:dyDescent="0.35">
      <c r="B149" s="163" t="s">
        <v>267</v>
      </c>
      <c r="C149" s="163" t="s">
        <v>104</v>
      </c>
      <c r="D149" s="163">
        <v>24</v>
      </c>
      <c r="E149" s="163" t="s">
        <v>205</v>
      </c>
      <c r="F149" s="163"/>
      <c r="G149" s="163"/>
      <c r="H149" s="163"/>
      <c r="I149" s="163"/>
      <c r="J149" s="163"/>
      <c r="K149" s="163"/>
      <c r="L149" s="163"/>
      <c r="M149" s="163"/>
      <c r="N149" s="163">
        <v>74</v>
      </c>
      <c r="O149" s="163">
        <v>14</v>
      </c>
      <c r="P149" s="163">
        <v>95</v>
      </c>
      <c r="Q149" s="163">
        <v>19</v>
      </c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  <c r="AB149" s="163"/>
      <c r="AC149" s="163"/>
      <c r="AD149" s="164">
        <f>IF(MIN(F149,J149,N149,R149,V149,Z149)&lt;&gt;0,MIN(F149,J149,N149,R149,V149,Z149),"")</f>
        <v>74</v>
      </c>
      <c r="AE149" s="164">
        <f>IF(MIN(H149,L149,P149,T149,X149,AB149)&lt;&gt;0,MIN(H149,L149,P149,T149,X149,AB149),"")</f>
        <v>95</v>
      </c>
      <c r="AF149" s="164"/>
      <c r="AG149" s="163"/>
      <c r="AH149" s="164"/>
      <c r="AI149" s="163"/>
      <c r="AJ149" s="162" t="str">
        <f>IF(AD149="","",IF(ISBLANK(AF149),"En cours",AD149+AF149))</f>
        <v>En cours</v>
      </c>
      <c r="AK149" s="162" t="str">
        <f>IF(AE149="","",IF(ISBLANK(AH149),"En cours",AE149+AH149))</f>
        <v>En cours</v>
      </c>
    </row>
    <row r="150" spans="2:37" ht="21" x14ac:dyDescent="0.35">
      <c r="B150" s="163" t="s">
        <v>297</v>
      </c>
      <c r="C150" s="163" t="s">
        <v>104</v>
      </c>
      <c r="D150" s="163">
        <v>17.399999999999999</v>
      </c>
      <c r="E150" s="163" t="s">
        <v>202</v>
      </c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>
        <v>77</v>
      </c>
      <c r="S150" s="163">
        <v>21</v>
      </c>
      <c r="T150" s="163">
        <v>94</v>
      </c>
      <c r="U150" s="163">
        <v>29</v>
      </c>
      <c r="V150" s="163"/>
      <c r="W150" s="163"/>
      <c r="X150" s="163"/>
      <c r="Y150" s="163"/>
      <c r="Z150" s="163">
        <v>76</v>
      </c>
      <c r="AA150" s="163">
        <v>16</v>
      </c>
      <c r="AB150" s="163">
        <v>93</v>
      </c>
      <c r="AC150" s="163">
        <v>23</v>
      </c>
      <c r="AD150" s="164">
        <f>IF(MIN(F150,J150,N150,R150,V150,Z150)&lt;&gt;0,MIN(F150,J150,N150,R150,V150,Z150),"")</f>
        <v>76</v>
      </c>
      <c r="AE150" s="164">
        <f>IF(MIN(H150,L150,P150,T150,X150,AB150)&lt;&gt;0,MIN(H150,L150,P150,T150,X150,AB150),"")</f>
        <v>93</v>
      </c>
      <c r="AF150" s="164"/>
      <c r="AG150" s="163"/>
      <c r="AH150" s="164"/>
      <c r="AI150" s="163"/>
      <c r="AJ150" s="162" t="str">
        <f>IF(AD150="","",IF(ISBLANK(AF150),"En cours",AD150+AF150))</f>
        <v>En cours</v>
      </c>
      <c r="AK150" s="162" t="str">
        <f>IF(AE150="","",IF(ISBLANK(AH150),"En cours",AE150+AH150))</f>
        <v>En cours</v>
      </c>
    </row>
    <row r="151" spans="2:37" ht="21" x14ac:dyDescent="0.35">
      <c r="B151" s="163" t="s">
        <v>299</v>
      </c>
      <c r="C151" s="163" t="s">
        <v>300</v>
      </c>
      <c r="D151" s="163">
        <v>24.5</v>
      </c>
      <c r="E151" s="163" t="s">
        <v>205</v>
      </c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>
        <v>64</v>
      </c>
      <c r="S151" s="163">
        <v>1</v>
      </c>
      <c r="T151" s="163">
        <v>85</v>
      </c>
      <c r="U151" s="163">
        <v>1</v>
      </c>
      <c r="V151" s="163"/>
      <c r="W151" s="163"/>
      <c r="X151" s="163"/>
      <c r="Y151" s="163"/>
      <c r="Z151" s="163"/>
      <c r="AA151" s="163"/>
      <c r="AB151" s="163"/>
      <c r="AC151" s="163"/>
      <c r="AD151" s="164">
        <f>IF(MIN(F151,J151,N151,R151,V151,Z151)&lt;&gt;0,MIN(F151,J151,N151,R151,V151,Z151),"")</f>
        <v>64</v>
      </c>
      <c r="AE151" s="164">
        <f>IF(MIN(H151,L151,P151,T151,X151,AB151)&lt;&gt;0,MIN(H151,L151,P151,T151,X151,AB151),"")</f>
        <v>85</v>
      </c>
      <c r="AF151" s="164"/>
      <c r="AG151" s="163"/>
      <c r="AH151" s="164"/>
      <c r="AI151" s="163"/>
      <c r="AJ151" s="162" t="str">
        <f>IF(AD151="","",IF(ISBLANK(AF151),"En cours",AD151+AF151))</f>
        <v>En cours</v>
      </c>
      <c r="AK151" s="162" t="str">
        <f>IF(AE151="","",IF(ISBLANK(AH151),"En cours",AE151+AH151))</f>
        <v>En cours</v>
      </c>
    </row>
    <row r="152" spans="2:37" ht="21" x14ac:dyDescent="0.35">
      <c r="B152" s="163" t="s">
        <v>335</v>
      </c>
      <c r="C152" s="163" t="s">
        <v>104</v>
      </c>
      <c r="D152" s="163">
        <v>14.5</v>
      </c>
      <c r="E152" s="163" t="s">
        <v>202</v>
      </c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4" t="str">
        <f>IF(MIN(F152,J152,N152,R152,V152,Z152)&lt;&gt;0,MIN(F152,J152,N152,R152,V152,Z152),"")</f>
        <v/>
      </c>
      <c r="AE152" s="164" t="str">
        <f>IF(MIN(H152,L152,P152,T152,X152,AB152)&lt;&gt;0,MIN(H152,L152,P152,T152,X152,AB152),"")</f>
        <v/>
      </c>
      <c r="AF152" s="164">
        <v>84</v>
      </c>
      <c r="AG152" s="163">
        <v>41</v>
      </c>
      <c r="AH152" s="164">
        <v>98</v>
      </c>
      <c r="AI152" s="163">
        <v>41</v>
      </c>
      <c r="AJ152" s="162" t="str">
        <f>IF(AD152="","",IF(ISBLANK(AF152),"En cours",AD152+AF152))</f>
        <v/>
      </c>
      <c r="AK152" s="162" t="str">
        <f>IF(AE152="","",IF(ISBLANK(AH152),"En cours",AE152+AH152))</f>
        <v/>
      </c>
    </row>
    <row r="153" spans="2:37" ht="21" x14ac:dyDescent="0.35">
      <c r="B153" s="163" t="s">
        <v>176</v>
      </c>
      <c r="C153" s="163" t="s">
        <v>104</v>
      </c>
      <c r="D153" s="163">
        <v>25</v>
      </c>
      <c r="E153" s="163" t="s">
        <v>205</v>
      </c>
      <c r="F153" s="163">
        <v>74</v>
      </c>
      <c r="G153" s="163">
        <v>16</v>
      </c>
      <c r="H153" s="163">
        <v>96</v>
      </c>
      <c r="I153" s="163">
        <v>17</v>
      </c>
      <c r="J153" s="163"/>
      <c r="K153" s="163"/>
      <c r="L153" s="163"/>
      <c r="M153" s="163"/>
      <c r="N153" s="163"/>
      <c r="O153" s="163"/>
      <c r="P153" s="163"/>
      <c r="Q153" s="163"/>
      <c r="R153" s="163">
        <v>65</v>
      </c>
      <c r="S153" s="163">
        <v>2</v>
      </c>
      <c r="T153" s="163">
        <v>87</v>
      </c>
      <c r="U153" s="163">
        <v>4</v>
      </c>
      <c r="V153" s="163"/>
      <c r="W153" s="163"/>
      <c r="X153" s="163"/>
      <c r="Y153" s="163"/>
      <c r="Z153" s="163">
        <v>73</v>
      </c>
      <c r="AA153" s="163">
        <v>6</v>
      </c>
      <c r="AB153" s="163">
        <v>95</v>
      </c>
      <c r="AC153" s="163">
        <v>14</v>
      </c>
      <c r="AD153" s="164">
        <f>IF(MIN(F153,J153,N153,R153,V153,Z153)&lt;&gt;0,MIN(F153,J153,N153,R153,V153,Z153),"")</f>
        <v>65</v>
      </c>
      <c r="AE153" s="164">
        <f>IF(MIN(H153,L153,P153,T153,X153,AB153)&lt;&gt;0,MIN(H153,L153,P153,T153,X153,AB153),"")</f>
        <v>87</v>
      </c>
      <c r="AF153" s="164">
        <v>68</v>
      </c>
      <c r="AG153" s="163">
        <v>5</v>
      </c>
      <c r="AH153" s="164">
        <v>90</v>
      </c>
      <c r="AI153" s="163">
        <v>10</v>
      </c>
      <c r="AJ153" s="162">
        <f>IF(AD153="","",IF(ISBLANK(AF153),"En cours",AD153+AF153))</f>
        <v>133</v>
      </c>
      <c r="AK153" s="162">
        <f>IF(AE153="","",IF(ISBLANK(AH153),"En cours",AE153+AH153))</f>
        <v>177</v>
      </c>
    </row>
    <row r="154" spans="2:37" ht="21" x14ac:dyDescent="0.35">
      <c r="B154" s="163" t="s">
        <v>134</v>
      </c>
      <c r="C154" s="163" t="s">
        <v>104</v>
      </c>
      <c r="D154" s="163">
        <v>18.2</v>
      </c>
      <c r="E154" s="163" t="s">
        <v>202</v>
      </c>
      <c r="F154" s="163">
        <v>68</v>
      </c>
      <c r="G154" s="163">
        <v>2</v>
      </c>
      <c r="H154" s="163">
        <v>86</v>
      </c>
      <c r="I154" s="163">
        <v>11</v>
      </c>
      <c r="J154" s="163">
        <v>81</v>
      </c>
      <c r="K154" s="163">
        <v>28</v>
      </c>
      <c r="L154" s="163">
        <v>99</v>
      </c>
      <c r="M154" s="163">
        <v>32</v>
      </c>
      <c r="N154" s="163">
        <v>83</v>
      </c>
      <c r="O154" s="163">
        <v>32</v>
      </c>
      <c r="P154" s="163">
        <v>101</v>
      </c>
      <c r="Q154" s="163">
        <v>34</v>
      </c>
      <c r="R154" s="163">
        <v>79</v>
      </c>
      <c r="S154" s="163">
        <v>26</v>
      </c>
      <c r="T154" s="163">
        <v>97</v>
      </c>
      <c r="U154" s="163">
        <v>33</v>
      </c>
      <c r="V154" s="163">
        <v>85</v>
      </c>
      <c r="W154" s="163">
        <v>30</v>
      </c>
      <c r="X154" s="163">
        <v>103</v>
      </c>
      <c r="Y154" s="163">
        <v>30</v>
      </c>
      <c r="Z154" s="163"/>
      <c r="AA154" s="163"/>
      <c r="AB154" s="163"/>
      <c r="AC154" s="163"/>
      <c r="AD154" s="164">
        <f>IF(MIN(F154,J154,N154,R154,V154,Z154)&lt;&gt;0,MIN(F154,J154,N154,R154,V154,Z154),"")</f>
        <v>68</v>
      </c>
      <c r="AE154" s="164">
        <f>IF(MIN(H154,L154,P154,T154,X154,AB154)&lt;&gt;0,MIN(H154,L154,P154,T154,X154,AB154),"")</f>
        <v>86</v>
      </c>
      <c r="AF154" s="164">
        <v>69</v>
      </c>
      <c r="AG154" s="163">
        <v>4</v>
      </c>
      <c r="AH154" s="164">
        <v>87</v>
      </c>
      <c r="AI154" s="163">
        <v>11</v>
      </c>
      <c r="AJ154" s="162">
        <f>IF(AD154="","",IF(ISBLANK(AF154),"En cours",AD154+AF154))</f>
        <v>137</v>
      </c>
      <c r="AK154" s="162">
        <f>IF(AE154="","",IF(ISBLANK(AH154),"En cours",AE154+AH154))</f>
        <v>173</v>
      </c>
    </row>
    <row r="155" spans="2:37" ht="21" x14ac:dyDescent="0.35">
      <c r="B155" s="163" t="s">
        <v>103</v>
      </c>
      <c r="C155" s="163" t="s">
        <v>104</v>
      </c>
      <c r="D155" s="163">
        <v>5.3</v>
      </c>
      <c r="E155" s="163" t="s">
        <v>203</v>
      </c>
      <c r="F155" s="163">
        <v>69</v>
      </c>
      <c r="G155" s="163">
        <v>1</v>
      </c>
      <c r="H155" s="163">
        <v>76</v>
      </c>
      <c r="I155" s="163">
        <v>1</v>
      </c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163"/>
      <c r="AC155" s="163"/>
      <c r="AD155" s="164">
        <f>IF(MIN(F155,J155,N155,R155,V155,Z155)&lt;&gt;0,MIN(F155,J155,N155,R155,V155,Z155),"")</f>
        <v>69</v>
      </c>
      <c r="AE155" s="164">
        <f>IF(MIN(H155,L155,P155,T155,X155,AB155)&lt;&gt;0,MIN(H155,L155,P155,T155,X155,AB155),"")</f>
        <v>76</v>
      </c>
      <c r="AF155" s="164">
        <v>83</v>
      </c>
      <c r="AG155" s="163">
        <v>14</v>
      </c>
      <c r="AH155" s="164">
        <v>90</v>
      </c>
      <c r="AI155" s="163">
        <v>13</v>
      </c>
      <c r="AJ155" s="162">
        <f>IF(AD155="","",IF(ISBLANK(AF155),"En cours",AD155+AF155))</f>
        <v>152</v>
      </c>
      <c r="AK155" s="162">
        <f>IF(AE155="","",IF(ISBLANK(AH155),"En cours",AE155+AH155))</f>
        <v>166</v>
      </c>
    </row>
    <row r="156" spans="2:37" ht="21" x14ac:dyDescent="0.35">
      <c r="B156" s="163" t="s">
        <v>217</v>
      </c>
      <c r="C156" s="163" t="s">
        <v>104</v>
      </c>
      <c r="D156" s="163">
        <v>11.7</v>
      </c>
      <c r="E156" s="163" t="s">
        <v>202</v>
      </c>
      <c r="F156" s="163"/>
      <c r="G156" s="163"/>
      <c r="H156" s="163"/>
      <c r="I156" s="163"/>
      <c r="J156" s="163">
        <v>77</v>
      </c>
      <c r="K156" s="163">
        <v>19</v>
      </c>
      <c r="L156" s="163">
        <v>87</v>
      </c>
      <c r="M156" s="163">
        <v>9</v>
      </c>
      <c r="N156" s="163">
        <v>77</v>
      </c>
      <c r="O156" s="163">
        <v>17</v>
      </c>
      <c r="P156" s="163">
        <v>87</v>
      </c>
      <c r="Q156" s="163">
        <v>10</v>
      </c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4">
        <f>IF(MIN(F156,J156,N156,R156,V156,Z156)&lt;&gt;0,MIN(F156,J156,N156,R156,V156,Z156),"")</f>
        <v>77</v>
      </c>
      <c r="AE156" s="164">
        <f>IF(MIN(H156,L156,P156,T156,X156,AB156)&lt;&gt;0,MIN(H156,L156,P156,T156,X156,AB156),"")</f>
        <v>87</v>
      </c>
      <c r="AF156" s="164">
        <v>81</v>
      </c>
      <c r="AG156" s="163">
        <v>37</v>
      </c>
      <c r="AH156" s="164">
        <v>91</v>
      </c>
      <c r="AI156" s="163">
        <v>22</v>
      </c>
      <c r="AJ156" s="162">
        <f>IF(AD156="","",IF(ISBLANK(AF156),"En cours",AD156+AF156))</f>
        <v>158</v>
      </c>
      <c r="AK156" s="162">
        <f>IF(AE156="","",IF(ISBLANK(AH156),"En cours",AE156+AH156))</f>
        <v>178</v>
      </c>
    </row>
    <row r="157" spans="2:37" ht="21" x14ac:dyDescent="0.35">
      <c r="B157" s="163" t="s">
        <v>144</v>
      </c>
      <c r="C157" s="163" t="s">
        <v>104</v>
      </c>
      <c r="D157" s="163">
        <v>14.8</v>
      </c>
      <c r="E157" s="163" t="s">
        <v>202</v>
      </c>
      <c r="F157" s="163">
        <v>76</v>
      </c>
      <c r="G157" s="163">
        <v>20</v>
      </c>
      <c r="H157" s="163">
        <v>90</v>
      </c>
      <c r="I157" s="163">
        <v>21</v>
      </c>
      <c r="J157" s="163">
        <v>70</v>
      </c>
      <c r="K157" s="163">
        <v>3</v>
      </c>
      <c r="L157" s="163">
        <v>84</v>
      </c>
      <c r="M157" s="163">
        <v>5</v>
      </c>
      <c r="N157" s="163">
        <v>65</v>
      </c>
      <c r="O157" s="163">
        <v>1</v>
      </c>
      <c r="P157" s="163">
        <v>79</v>
      </c>
      <c r="Q157" s="163">
        <v>3</v>
      </c>
      <c r="R157" s="163">
        <v>70</v>
      </c>
      <c r="S157" s="163">
        <v>5</v>
      </c>
      <c r="T157" s="163">
        <v>84</v>
      </c>
      <c r="U157" s="163">
        <v>5</v>
      </c>
      <c r="V157" s="163">
        <v>75</v>
      </c>
      <c r="W157" s="163">
        <v>13</v>
      </c>
      <c r="X157" s="163">
        <v>89</v>
      </c>
      <c r="Y157" s="163">
        <v>15</v>
      </c>
      <c r="Z157" s="163">
        <v>80</v>
      </c>
      <c r="AA157" s="163">
        <v>24</v>
      </c>
      <c r="AB157" s="163">
        <v>94</v>
      </c>
      <c r="AC157" s="163">
        <v>25</v>
      </c>
      <c r="AD157" s="164">
        <f>IF(MIN(F157,J157,N157,R157,V157,Z157)&lt;&gt;0,MIN(F157,J157,N157,R157,V157,Z157),"")</f>
        <v>65</v>
      </c>
      <c r="AE157" s="164">
        <f>IF(MIN(H157,L157,P157,T157,X157,AB157)&lt;&gt;0,MIN(H157,L157,P157,T157,X157,AB157),"")</f>
        <v>79</v>
      </c>
      <c r="AF157" s="164">
        <v>71</v>
      </c>
      <c r="AG157" s="163">
        <v>8</v>
      </c>
      <c r="AH157" s="164">
        <v>85</v>
      </c>
      <c r="AI157" s="163">
        <v>7</v>
      </c>
      <c r="AJ157" s="162">
        <f>IF(AD157="","",IF(ISBLANK(AF157),"En cours",AD157+AF157))</f>
        <v>136</v>
      </c>
      <c r="AK157" s="162">
        <f>IF(AE157="","",IF(ISBLANK(AH157),"En cours",AE157+AH157))</f>
        <v>164</v>
      </c>
    </row>
    <row r="158" spans="2:37" ht="21" x14ac:dyDescent="0.35">
      <c r="B158" s="163" t="s">
        <v>330</v>
      </c>
      <c r="C158" s="163" t="s">
        <v>104</v>
      </c>
      <c r="D158" s="163">
        <v>20.3</v>
      </c>
      <c r="E158" s="163" t="s">
        <v>205</v>
      </c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>
        <v>81</v>
      </c>
      <c r="AA158" s="163">
        <v>21</v>
      </c>
      <c r="AB158" s="163">
        <v>98</v>
      </c>
      <c r="AC158" s="163">
        <v>17</v>
      </c>
      <c r="AD158" s="164">
        <f>IF(MIN(F158,J158,N158,R158,V158,Z158)&lt;&gt;0,MIN(F158,J158,N158,R158,V158,Z158),"")</f>
        <v>81</v>
      </c>
      <c r="AE158" s="164">
        <f>IF(MIN(H158,L158,P158,T158,X158,AB158)&lt;&gt;0,MIN(H158,L158,P158,T158,X158,AB158),"")</f>
        <v>98</v>
      </c>
      <c r="AF158" s="164">
        <v>72</v>
      </c>
      <c r="AG158" s="163">
        <v>14</v>
      </c>
      <c r="AH158" s="164">
        <v>89</v>
      </c>
      <c r="AI158" s="163">
        <v>6</v>
      </c>
      <c r="AJ158" s="162">
        <f>IF(AD158="","",IF(ISBLANK(AF158),"En cours",AD158+AF158))</f>
        <v>153</v>
      </c>
      <c r="AK158" s="162">
        <f>IF(AE158="","",IF(ISBLANK(AH158),"En cours",AE158+AH158))</f>
        <v>187</v>
      </c>
    </row>
    <row r="159" spans="2:37" ht="21" x14ac:dyDescent="0.35">
      <c r="B159" s="163" t="s">
        <v>111</v>
      </c>
      <c r="C159" s="163" t="s">
        <v>104</v>
      </c>
      <c r="D159" s="163">
        <v>0.3</v>
      </c>
      <c r="E159" s="163" t="s">
        <v>203</v>
      </c>
      <c r="F159" s="163">
        <v>80</v>
      </c>
      <c r="G159" s="163">
        <v>17</v>
      </c>
      <c r="H159" s="163">
        <v>81</v>
      </c>
      <c r="I159" s="163">
        <v>7</v>
      </c>
      <c r="J159" s="163"/>
      <c r="K159" s="163"/>
      <c r="L159" s="163"/>
      <c r="M159" s="163"/>
      <c r="N159" s="163"/>
      <c r="O159" s="163"/>
      <c r="P159" s="163"/>
      <c r="Q159" s="163"/>
      <c r="R159" s="163">
        <v>78</v>
      </c>
      <c r="S159" s="163">
        <v>11</v>
      </c>
      <c r="T159" s="163">
        <v>79</v>
      </c>
      <c r="U159" s="163">
        <v>1</v>
      </c>
      <c r="V159" s="163"/>
      <c r="W159" s="163"/>
      <c r="X159" s="163"/>
      <c r="Y159" s="163"/>
      <c r="Z159" s="163"/>
      <c r="AA159" s="163"/>
      <c r="AB159" s="163"/>
      <c r="AC159" s="163"/>
      <c r="AD159" s="164">
        <f>IF(MIN(F159,J159,N159,R159,V159,Z159)&lt;&gt;0,MIN(F159,J159,N159,R159,V159,Z159),"")</f>
        <v>78</v>
      </c>
      <c r="AE159" s="164">
        <f>IF(MIN(H159,L159,P159,T159,X159,AB159)&lt;&gt;0,MIN(H159,L159,P159,T159,X159,AB159),"")</f>
        <v>79</v>
      </c>
      <c r="AF159" s="164">
        <v>79</v>
      </c>
      <c r="AG159" s="163">
        <v>13</v>
      </c>
      <c r="AH159" s="164">
        <v>80</v>
      </c>
      <c r="AI159" s="163">
        <v>4</v>
      </c>
      <c r="AJ159" s="162">
        <f>IF(AD159="","",IF(ISBLANK(AF159),"En cours",AD159+AF159))</f>
        <v>157</v>
      </c>
      <c r="AK159" s="162">
        <f>IF(AE159="","",IF(ISBLANK(AH159),"En cours",AE159+AH159))</f>
        <v>159</v>
      </c>
    </row>
    <row r="160" spans="2:37" ht="21" x14ac:dyDescent="0.35">
      <c r="B160" s="163" t="s">
        <v>165</v>
      </c>
      <c r="C160" s="163" t="s">
        <v>104</v>
      </c>
      <c r="D160" s="163">
        <v>19.899999999999999</v>
      </c>
      <c r="E160" s="163" t="s">
        <v>205</v>
      </c>
      <c r="F160" s="163">
        <v>72</v>
      </c>
      <c r="G160" s="163">
        <v>12</v>
      </c>
      <c r="H160" s="163">
        <v>88</v>
      </c>
      <c r="I160" s="163">
        <v>6</v>
      </c>
      <c r="J160" s="163"/>
      <c r="K160" s="163"/>
      <c r="L160" s="163"/>
      <c r="M160" s="163"/>
      <c r="N160" s="163">
        <v>76</v>
      </c>
      <c r="O160" s="163">
        <v>20</v>
      </c>
      <c r="P160" s="163">
        <v>92</v>
      </c>
      <c r="Q160" s="163">
        <v>7</v>
      </c>
      <c r="R160" s="163"/>
      <c r="S160" s="163"/>
      <c r="T160" s="163"/>
      <c r="U160" s="163"/>
      <c r="V160" s="163">
        <v>79</v>
      </c>
      <c r="W160" s="163">
        <v>15</v>
      </c>
      <c r="X160" s="163">
        <v>95</v>
      </c>
      <c r="Y160" s="163">
        <v>12</v>
      </c>
      <c r="Z160" s="163"/>
      <c r="AA160" s="163"/>
      <c r="AB160" s="163"/>
      <c r="AC160" s="163"/>
      <c r="AD160" s="164">
        <f>IF(MIN(F160,J160,N160,R160,V160,Z160)&lt;&gt;0,MIN(F160,J160,N160,R160,V160,Z160),"")</f>
        <v>72</v>
      </c>
      <c r="AE160" s="164">
        <f>IF(MIN(H160,L160,P160,T160,X160,AB160)&lt;&gt;0,MIN(H160,L160,P160,T160,X160,AB160),"")</f>
        <v>88</v>
      </c>
      <c r="AF160" s="164">
        <v>81</v>
      </c>
      <c r="AG160" s="163">
        <v>35</v>
      </c>
      <c r="AH160" s="164">
        <v>97</v>
      </c>
      <c r="AI160" s="163">
        <v>31</v>
      </c>
      <c r="AJ160" s="162">
        <f>IF(AD160="","",IF(ISBLANK(AF160),"En cours",AD160+AF160))</f>
        <v>153</v>
      </c>
      <c r="AK160" s="162">
        <f>IF(AE160="","",IF(ISBLANK(AH160),"En cours",AE160+AH160))</f>
        <v>185</v>
      </c>
    </row>
    <row r="161" spans="2:37" ht="21" x14ac:dyDescent="0.35">
      <c r="B161" s="163" t="s">
        <v>160</v>
      </c>
      <c r="C161" s="163" t="s">
        <v>104</v>
      </c>
      <c r="D161" s="163">
        <v>20.2</v>
      </c>
      <c r="E161" s="163" t="s">
        <v>205</v>
      </c>
      <c r="F161" s="163">
        <v>66</v>
      </c>
      <c r="G161" s="163">
        <v>2</v>
      </c>
      <c r="H161" s="163">
        <v>83</v>
      </c>
      <c r="I161" s="163">
        <v>1</v>
      </c>
      <c r="J161" s="163"/>
      <c r="K161" s="163"/>
      <c r="L161" s="163"/>
      <c r="M161" s="163"/>
      <c r="N161" s="163"/>
      <c r="O161" s="163"/>
      <c r="P161" s="163"/>
      <c r="Q161" s="163"/>
      <c r="R161" s="163">
        <v>78</v>
      </c>
      <c r="S161" s="163">
        <v>23</v>
      </c>
      <c r="T161" s="163">
        <v>95</v>
      </c>
      <c r="U161" s="163">
        <v>18</v>
      </c>
      <c r="V161" s="163"/>
      <c r="W161" s="163"/>
      <c r="X161" s="163"/>
      <c r="Y161" s="163"/>
      <c r="Z161" s="163">
        <v>70</v>
      </c>
      <c r="AA161" s="163">
        <v>3</v>
      </c>
      <c r="AB161" s="163">
        <v>87</v>
      </c>
      <c r="AC161" s="163">
        <v>2</v>
      </c>
      <c r="AD161" s="164">
        <f>IF(MIN(F161,J161,N161,R161,V161,Z161)&lt;&gt;0,MIN(F161,J161,N161,R161,V161,Z161),"")</f>
        <v>66</v>
      </c>
      <c r="AE161" s="164">
        <f>IF(MIN(H161,L161,P161,T161,X161,AB161)&lt;&gt;0,MIN(H161,L161,P161,T161,X161,AB161),"")</f>
        <v>83</v>
      </c>
      <c r="AF161" s="164">
        <v>74</v>
      </c>
      <c r="AG161" s="163">
        <v>20</v>
      </c>
      <c r="AH161" s="164">
        <v>91</v>
      </c>
      <c r="AI161" s="163">
        <v>14</v>
      </c>
      <c r="AJ161" s="162">
        <f>IF(AD161="","",IF(ISBLANK(AF161),"En cours",AD161+AF161))</f>
        <v>140</v>
      </c>
      <c r="AK161" s="162">
        <f>IF(AE161="","",IF(ISBLANK(AH161),"En cours",AE161+AH161))</f>
        <v>174</v>
      </c>
    </row>
    <row r="162" spans="2:37" ht="21" x14ac:dyDescent="0.35">
      <c r="B162" s="163" t="s">
        <v>215</v>
      </c>
      <c r="C162" s="163" t="s">
        <v>104</v>
      </c>
      <c r="D162" s="163">
        <v>15.8</v>
      </c>
      <c r="E162" s="163" t="s">
        <v>202</v>
      </c>
      <c r="F162" s="163"/>
      <c r="G162" s="163"/>
      <c r="H162" s="163"/>
      <c r="I162" s="163"/>
      <c r="J162" s="163">
        <v>72</v>
      </c>
      <c r="K162" s="163">
        <v>6</v>
      </c>
      <c r="L162" s="163">
        <v>87</v>
      </c>
      <c r="M162" s="163">
        <v>7</v>
      </c>
      <c r="N162" s="163">
        <v>73</v>
      </c>
      <c r="O162" s="163">
        <v>9</v>
      </c>
      <c r="P162" s="163">
        <v>88</v>
      </c>
      <c r="Q162" s="163">
        <v>12</v>
      </c>
      <c r="R162" s="163">
        <v>71</v>
      </c>
      <c r="S162" s="163">
        <v>6</v>
      </c>
      <c r="T162" s="163">
        <v>86</v>
      </c>
      <c r="U162" s="163">
        <v>10</v>
      </c>
      <c r="V162" s="163">
        <v>71</v>
      </c>
      <c r="W162" s="163">
        <v>6</v>
      </c>
      <c r="X162" s="163">
        <v>86</v>
      </c>
      <c r="Y162" s="163">
        <v>8</v>
      </c>
      <c r="Z162" s="163">
        <v>69</v>
      </c>
      <c r="AA162" s="163">
        <v>3</v>
      </c>
      <c r="AB162" s="163">
        <v>84</v>
      </c>
      <c r="AC162" s="163">
        <v>4</v>
      </c>
      <c r="AD162" s="164">
        <f>IF(MIN(F162,J162,N162,R162,V162,Z162)&lt;&gt;0,MIN(F162,J162,N162,R162,V162,Z162),"")</f>
        <v>69</v>
      </c>
      <c r="AE162" s="164">
        <f>IF(MIN(H162,L162,P162,T162,X162,AB162)&lt;&gt;0,MIN(H162,L162,P162,T162,X162,AB162),"")</f>
        <v>84</v>
      </c>
      <c r="AF162" s="164"/>
      <c r="AG162" s="163"/>
      <c r="AH162" s="164"/>
      <c r="AI162" s="163"/>
      <c r="AJ162" s="162" t="str">
        <f>IF(AD162="","",IF(ISBLANK(AF162),"En cours",AD162+AF162))</f>
        <v>En cours</v>
      </c>
      <c r="AK162" s="162" t="str">
        <f>IF(AE162="","",IF(ISBLANK(AH162),"En cours",AE162+AH162))</f>
        <v>En cours</v>
      </c>
    </row>
    <row r="163" spans="2:37" ht="21" x14ac:dyDescent="0.35">
      <c r="B163" s="163" t="s">
        <v>145</v>
      </c>
      <c r="C163" s="163" t="s">
        <v>104</v>
      </c>
      <c r="D163" s="163">
        <v>16</v>
      </c>
      <c r="E163" s="163" t="s">
        <v>202</v>
      </c>
      <c r="F163" s="163">
        <v>77</v>
      </c>
      <c r="G163" s="163">
        <v>22</v>
      </c>
      <c r="H163" s="163">
        <v>92</v>
      </c>
      <c r="I163" s="163">
        <v>22</v>
      </c>
      <c r="J163" s="163"/>
      <c r="K163" s="163"/>
      <c r="L163" s="163"/>
      <c r="M163" s="163"/>
      <c r="N163" s="163">
        <v>81</v>
      </c>
      <c r="O163" s="163">
        <v>28</v>
      </c>
      <c r="P163" s="163">
        <v>96</v>
      </c>
      <c r="Q163" s="163">
        <v>30</v>
      </c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  <c r="AB163" s="163"/>
      <c r="AC163" s="163"/>
      <c r="AD163" s="164">
        <f>IF(MIN(F163,J163,N163,R163,V163,Z163)&lt;&gt;0,MIN(F163,J163,N163,R163,V163,Z163),"")</f>
        <v>77</v>
      </c>
      <c r="AE163" s="164">
        <f>IF(MIN(H163,L163,P163,T163,X163,AB163)&lt;&gt;0,MIN(H163,L163,P163,T163,X163,AB163),"")</f>
        <v>92</v>
      </c>
      <c r="AF163" s="164"/>
      <c r="AG163" s="163"/>
      <c r="AH163" s="164"/>
      <c r="AI163" s="163"/>
      <c r="AJ163" s="162" t="str">
        <f>IF(AD163="","",IF(ISBLANK(AF163),"En cours",AD163+AF163))</f>
        <v>En cours</v>
      </c>
      <c r="AK163" s="162" t="str">
        <f>IF(AE163="","",IF(ISBLANK(AH163),"En cours",AE163+AH163))</f>
        <v>En cours</v>
      </c>
    </row>
    <row r="164" spans="2:37" ht="21" x14ac:dyDescent="0.35">
      <c r="B164" s="163" t="s">
        <v>219</v>
      </c>
      <c r="C164" s="163" t="s">
        <v>104</v>
      </c>
      <c r="D164" s="163">
        <v>11.5</v>
      </c>
      <c r="E164" s="163" t="s">
        <v>202</v>
      </c>
      <c r="F164" s="163"/>
      <c r="G164" s="163"/>
      <c r="H164" s="163"/>
      <c r="I164" s="163"/>
      <c r="J164" s="163">
        <v>78</v>
      </c>
      <c r="K164" s="163">
        <v>22</v>
      </c>
      <c r="L164" s="163">
        <v>88</v>
      </c>
      <c r="M164" s="163">
        <v>13</v>
      </c>
      <c r="N164" s="163"/>
      <c r="O164" s="163"/>
      <c r="P164" s="163"/>
      <c r="Q164" s="163"/>
      <c r="R164" s="163">
        <v>80</v>
      </c>
      <c r="S164" s="163">
        <v>31</v>
      </c>
      <c r="T164" s="163">
        <v>90</v>
      </c>
      <c r="U164" s="163">
        <v>19</v>
      </c>
      <c r="V164" s="163"/>
      <c r="W164" s="163"/>
      <c r="X164" s="163"/>
      <c r="Y164" s="163"/>
      <c r="Z164" s="163">
        <v>79</v>
      </c>
      <c r="AA164" s="163">
        <v>23</v>
      </c>
      <c r="AB164" s="163">
        <v>89</v>
      </c>
      <c r="AC164" s="163">
        <v>13</v>
      </c>
      <c r="AD164" s="164">
        <f>IF(MIN(F164,J164,N164,R164,V164,Z164)&lt;&gt;0,MIN(F164,J164,N164,R164,V164,Z164),"")</f>
        <v>78</v>
      </c>
      <c r="AE164" s="164">
        <f>IF(MIN(H164,L164,P164,T164,X164,AB164)&lt;&gt;0,MIN(H164,L164,P164,T164,X164,AB164),"")</f>
        <v>88</v>
      </c>
      <c r="AF164" s="164"/>
      <c r="AG164" s="163"/>
      <c r="AH164" s="164"/>
      <c r="AI164" s="163"/>
      <c r="AJ164" s="162" t="str">
        <f>IF(AD164="","",IF(ISBLANK(AF164),"En cours",AD164+AF164))</f>
        <v>En cours</v>
      </c>
      <c r="AK164" s="162" t="str">
        <f>IF(AE164="","",IF(ISBLANK(AH164),"En cours",AE164+AH164))</f>
        <v>En cours</v>
      </c>
    </row>
    <row r="165" spans="2:37" ht="21" x14ac:dyDescent="0.35">
      <c r="B165" s="163" t="s">
        <v>322</v>
      </c>
      <c r="C165" s="163" t="s">
        <v>104</v>
      </c>
      <c r="D165" s="163">
        <v>14</v>
      </c>
      <c r="E165" s="163" t="s">
        <v>202</v>
      </c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>
        <v>84</v>
      </c>
      <c r="W165" s="163">
        <v>29</v>
      </c>
      <c r="X165" s="163">
        <v>97</v>
      </c>
      <c r="Y165" s="163">
        <v>29</v>
      </c>
      <c r="Z165" s="163">
        <v>74</v>
      </c>
      <c r="AA165" s="163">
        <v>11</v>
      </c>
      <c r="AB165" s="163">
        <v>87</v>
      </c>
      <c r="AC165" s="163">
        <v>10</v>
      </c>
      <c r="AD165" s="164">
        <f>IF(MIN(F165,J165,N165,R165,V165,Z165)&lt;&gt;0,MIN(F165,J165,N165,R165,V165,Z165),"")</f>
        <v>74</v>
      </c>
      <c r="AE165" s="164">
        <f>IF(MIN(H165,L165,P165,T165,X165,AB165)&lt;&gt;0,MIN(H165,L165,P165,T165,X165,AB165),"")</f>
        <v>87</v>
      </c>
      <c r="AF165" s="164"/>
      <c r="AG165" s="163"/>
      <c r="AH165" s="164"/>
      <c r="AI165" s="163"/>
      <c r="AJ165" s="162" t="str">
        <f>IF(AD165="","",IF(ISBLANK(AF165),"En cours",AD165+AF165))</f>
        <v>En cours</v>
      </c>
      <c r="AK165" s="162" t="str">
        <f>IF(AE165="","",IF(ISBLANK(AH165),"En cours",AE165+AH165))</f>
        <v>En cours</v>
      </c>
    </row>
    <row r="166" spans="2:37" ht="21" x14ac:dyDescent="0.35">
      <c r="B166" s="163" t="s">
        <v>237</v>
      </c>
      <c r="C166" s="163" t="s">
        <v>104</v>
      </c>
      <c r="D166" s="163">
        <v>20.399999999999999</v>
      </c>
      <c r="E166" s="163" t="s">
        <v>205</v>
      </c>
      <c r="F166" s="163"/>
      <c r="G166" s="163"/>
      <c r="H166" s="163"/>
      <c r="I166" s="163"/>
      <c r="J166" s="163">
        <v>75</v>
      </c>
      <c r="K166" s="163">
        <v>17</v>
      </c>
      <c r="L166" s="163">
        <v>92</v>
      </c>
      <c r="M166" s="163">
        <v>9</v>
      </c>
      <c r="N166" s="163"/>
      <c r="O166" s="163"/>
      <c r="P166" s="163"/>
      <c r="Q166" s="163"/>
      <c r="R166" s="163">
        <v>69</v>
      </c>
      <c r="S166" s="163">
        <v>5</v>
      </c>
      <c r="T166" s="163">
        <v>86</v>
      </c>
      <c r="U166" s="163">
        <v>3</v>
      </c>
      <c r="V166" s="163"/>
      <c r="W166" s="163"/>
      <c r="X166" s="163"/>
      <c r="Y166" s="163"/>
      <c r="Z166" s="163">
        <v>70</v>
      </c>
      <c r="AA166" s="163">
        <v>4</v>
      </c>
      <c r="AB166" s="163">
        <v>87</v>
      </c>
      <c r="AC166" s="163">
        <v>3</v>
      </c>
      <c r="AD166" s="164">
        <f>IF(MIN(F166,J166,N166,R166,V166,Z166)&lt;&gt;0,MIN(F166,J166,N166,R166,V166,Z166),"")</f>
        <v>69</v>
      </c>
      <c r="AE166" s="164">
        <f>IF(MIN(H166,L166,P166,T166,X166,AB166)&lt;&gt;0,MIN(H166,L166,P166,T166,X166,AB166),"")</f>
        <v>86</v>
      </c>
      <c r="AF166" s="164">
        <v>79</v>
      </c>
      <c r="AG166" s="163">
        <v>32</v>
      </c>
      <c r="AH166" s="164">
        <v>96</v>
      </c>
      <c r="AI166" s="163">
        <v>28</v>
      </c>
      <c r="AJ166" s="162">
        <f>IF(AD166="","",IF(ISBLANK(AF166),"En cours",AD166+AF166))</f>
        <v>148</v>
      </c>
      <c r="AK166" s="162">
        <f>IF(AE166="","",IF(ISBLANK(AH166),"En cours",AE166+AH166))</f>
        <v>182</v>
      </c>
    </row>
    <row r="167" spans="2:37" ht="21" x14ac:dyDescent="0.35">
      <c r="B167" s="163" t="s">
        <v>321</v>
      </c>
      <c r="C167" s="163" t="s">
        <v>104</v>
      </c>
      <c r="D167" s="163">
        <v>16.600000000000001</v>
      </c>
      <c r="E167" s="163" t="s">
        <v>202</v>
      </c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>
        <v>69</v>
      </c>
      <c r="W167" s="163">
        <v>3</v>
      </c>
      <c r="X167" s="163">
        <v>85</v>
      </c>
      <c r="Y167" s="163">
        <v>4</v>
      </c>
      <c r="Z167" s="163"/>
      <c r="AA167" s="163"/>
      <c r="AB167" s="163"/>
      <c r="AC167" s="163"/>
      <c r="AD167" s="164">
        <f>IF(MIN(F167,J167,N167,R167,V167,Z167)&lt;&gt;0,MIN(F167,J167,N167,R167,V167,Z167),"")</f>
        <v>69</v>
      </c>
      <c r="AE167" s="164">
        <f>IF(MIN(H167,L167,P167,T167,X167,AB167)&lt;&gt;0,MIN(H167,L167,P167,T167,X167,AB167),"")</f>
        <v>85</v>
      </c>
      <c r="AF167" s="164"/>
      <c r="AG167" s="163"/>
      <c r="AH167" s="164"/>
      <c r="AI167" s="163"/>
      <c r="AJ167" s="162" t="str">
        <f>IF(AD167="","",IF(ISBLANK(AF167),"En cours",AD167+AF167))</f>
        <v>En cours</v>
      </c>
      <c r="AK167" s="162" t="str">
        <f>IF(AE167="","",IF(ISBLANK(AH167),"En cours",AE167+AH167))</f>
        <v>En cours</v>
      </c>
    </row>
    <row r="168" spans="2:37" ht="21" x14ac:dyDescent="0.35">
      <c r="B168" s="163" t="s">
        <v>170</v>
      </c>
      <c r="C168" s="163" t="s">
        <v>104</v>
      </c>
      <c r="D168" s="163">
        <v>23.1</v>
      </c>
      <c r="E168" s="163" t="s">
        <v>205</v>
      </c>
      <c r="F168" s="163">
        <v>70</v>
      </c>
      <c r="G168" s="163">
        <v>9</v>
      </c>
      <c r="H168" s="163">
        <v>90</v>
      </c>
      <c r="I168" s="163">
        <v>11</v>
      </c>
      <c r="J168" s="163"/>
      <c r="K168" s="163"/>
      <c r="L168" s="163"/>
      <c r="M168" s="163"/>
      <c r="N168" s="163">
        <v>77</v>
      </c>
      <c r="O168" s="163">
        <v>25</v>
      </c>
      <c r="P168" s="163">
        <v>97</v>
      </c>
      <c r="Q168" s="163">
        <v>24</v>
      </c>
      <c r="R168" s="163">
        <v>74</v>
      </c>
      <c r="S168" s="163">
        <v>13</v>
      </c>
      <c r="T168" s="163">
        <v>94</v>
      </c>
      <c r="U168" s="163">
        <v>17</v>
      </c>
      <c r="V168" s="163">
        <v>79</v>
      </c>
      <c r="W168" s="163">
        <v>17</v>
      </c>
      <c r="X168" s="163">
        <v>99</v>
      </c>
      <c r="Y168" s="163">
        <v>16</v>
      </c>
      <c r="Z168" s="163">
        <v>80</v>
      </c>
      <c r="AA168" s="163">
        <v>19</v>
      </c>
      <c r="AB168" s="163">
        <v>100</v>
      </c>
      <c r="AC168" s="163">
        <v>19</v>
      </c>
      <c r="AD168" s="164">
        <f>IF(MIN(F168,J168,N168,R168,V168,Z168)&lt;&gt;0,MIN(F168,J168,N168,R168,V168,Z168),"")</f>
        <v>70</v>
      </c>
      <c r="AE168" s="164">
        <f>IF(MIN(H168,L168,P168,T168,X168,AB168)&lt;&gt;0,MIN(H168,L168,P168,T168,X168,AB168),"")</f>
        <v>90</v>
      </c>
      <c r="AF168" s="164">
        <v>75</v>
      </c>
      <c r="AG168" s="163">
        <v>23</v>
      </c>
      <c r="AH168" s="164">
        <v>95</v>
      </c>
      <c r="AI168" s="163">
        <v>27</v>
      </c>
      <c r="AJ168" s="162">
        <f>IF(AD168="","",IF(ISBLANK(AF168),"En cours",AD168+AF168))</f>
        <v>145</v>
      </c>
      <c r="AK168" s="162">
        <f>IF(AE168="","",IF(ISBLANK(AH168),"En cours",AE168+AH168))</f>
        <v>185</v>
      </c>
    </row>
    <row r="169" spans="2:37" ht="21" x14ac:dyDescent="0.35">
      <c r="B169" s="163" t="s">
        <v>114</v>
      </c>
      <c r="C169" s="163" t="s">
        <v>104</v>
      </c>
      <c r="D169" s="163">
        <v>6.6</v>
      </c>
      <c r="E169" s="163" t="s">
        <v>203</v>
      </c>
      <c r="F169" s="163">
        <v>78</v>
      </c>
      <c r="G169" s="163">
        <v>13</v>
      </c>
      <c r="H169" s="163">
        <v>86</v>
      </c>
      <c r="I169" s="163">
        <v>10</v>
      </c>
      <c r="J169" s="163">
        <v>72</v>
      </c>
      <c r="K169" s="163">
        <v>5</v>
      </c>
      <c r="L169" s="163">
        <v>80</v>
      </c>
      <c r="M169" s="163">
        <v>2</v>
      </c>
      <c r="N169" s="163">
        <v>77</v>
      </c>
      <c r="O169" s="163">
        <v>10</v>
      </c>
      <c r="P169" s="163">
        <v>85</v>
      </c>
      <c r="Q169" s="163">
        <v>8</v>
      </c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  <c r="AB169" s="163"/>
      <c r="AC169" s="163"/>
      <c r="AD169" s="164">
        <f>IF(MIN(F169,J169,N169,R169,V169,Z169)&lt;&gt;0,MIN(F169,J169,N169,R169,V169,Z169),"")</f>
        <v>72</v>
      </c>
      <c r="AE169" s="164">
        <f>IF(MIN(H169,L169,P169,T169,X169,AB169)&lt;&gt;0,MIN(H169,L169,P169,T169,X169,AB169),"")</f>
        <v>80</v>
      </c>
      <c r="AF169" s="164"/>
      <c r="AG169" s="163"/>
      <c r="AH169" s="164"/>
      <c r="AI169" s="163"/>
      <c r="AJ169" s="162" t="str">
        <f>IF(AD169="","",IF(ISBLANK(AF169),"En cours",AD169+AF169))</f>
        <v>En cours</v>
      </c>
      <c r="AK169" s="162" t="str">
        <f>IF(AE169="","",IF(ISBLANK(AH169),"En cours",AE169+AH169))</f>
        <v>En cours</v>
      </c>
    </row>
    <row r="170" spans="2:37" ht="21" x14ac:dyDescent="0.35">
      <c r="B170" s="163" t="s">
        <v>131</v>
      </c>
      <c r="C170" s="163" t="s">
        <v>104</v>
      </c>
      <c r="D170" s="163">
        <v>13.7</v>
      </c>
      <c r="E170" s="163" t="s">
        <v>202</v>
      </c>
      <c r="F170" s="163">
        <v>72</v>
      </c>
      <c r="G170" s="163">
        <v>9</v>
      </c>
      <c r="H170" s="163">
        <v>85</v>
      </c>
      <c r="I170" s="163">
        <v>8</v>
      </c>
      <c r="J170" s="163">
        <v>71</v>
      </c>
      <c r="K170" s="163">
        <v>5</v>
      </c>
      <c r="L170" s="163">
        <v>84</v>
      </c>
      <c r="M170" s="163">
        <v>4</v>
      </c>
      <c r="N170" s="163"/>
      <c r="O170" s="163"/>
      <c r="P170" s="163"/>
      <c r="Q170" s="163"/>
      <c r="R170" s="163">
        <v>72</v>
      </c>
      <c r="S170" s="163">
        <v>12</v>
      </c>
      <c r="T170" s="163">
        <v>85</v>
      </c>
      <c r="U170" s="163">
        <v>9</v>
      </c>
      <c r="V170" s="163">
        <v>82</v>
      </c>
      <c r="W170" s="163">
        <v>28</v>
      </c>
      <c r="X170" s="163">
        <v>95</v>
      </c>
      <c r="Y170" s="163">
        <v>23</v>
      </c>
      <c r="Z170" s="163">
        <v>74</v>
      </c>
      <c r="AA170" s="163">
        <v>6</v>
      </c>
      <c r="AB170" s="163">
        <v>87</v>
      </c>
      <c r="AC170" s="163">
        <v>8</v>
      </c>
      <c r="AD170" s="164">
        <f>IF(MIN(F170,J170,N170,R170,V170,Z170)&lt;&gt;0,MIN(F170,J170,N170,R170,V170,Z170),"")</f>
        <v>71</v>
      </c>
      <c r="AE170" s="164">
        <f>IF(MIN(H170,L170,P170,T170,X170,AB170)&lt;&gt;0,MIN(H170,L170,P170,T170,X170,AB170),"")</f>
        <v>84</v>
      </c>
      <c r="AF170" s="164">
        <v>84</v>
      </c>
      <c r="AG170" s="163">
        <v>40</v>
      </c>
      <c r="AH170" s="164">
        <v>97</v>
      </c>
      <c r="AI170" s="163">
        <v>39</v>
      </c>
      <c r="AJ170" s="162">
        <f>IF(AD170="","",IF(ISBLANK(AF170),"En cours",AD170+AF170))</f>
        <v>155</v>
      </c>
      <c r="AK170" s="162">
        <f>IF(AE170="","",IF(ISBLANK(AH170),"En cours",AE170+AH170))</f>
        <v>181</v>
      </c>
    </row>
    <row r="171" spans="2:37" ht="21" x14ac:dyDescent="0.35">
      <c r="B171" s="163" t="s">
        <v>140</v>
      </c>
      <c r="C171" s="163" t="s">
        <v>104</v>
      </c>
      <c r="D171" s="163">
        <v>11.5</v>
      </c>
      <c r="E171" s="163" t="s">
        <v>202</v>
      </c>
      <c r="F171" s="163">
        <v>78</v>
      </c>
      <c r="G171" s="163">
        <v>26</v>
      </c>
      <c r="H171" s="163">
        <v>88</v>
      </c>
      <c r="I171" s="163">
        <v>17</v>
      </c>
      <c r="J171" s="163">
        <v>82</v>
      </c>
      <c r="K171" s="163">
        <v>31</v>
      </c>
      <c r="L171" s="163">
        <v>92</v>
      </c>
      <c r="M171" s="163">
        <v>22</v>
      </c>
      <c r="N171" s="163"/>
      <c r="O171" s="163"/>
      <c r="P171" s="163"/>
      <c r="Q171" s="163"/>
      <c r="R171" s="163">
        <v>80</v>
      </c>
      <c r="S171" s="163">
        <v>28</v>
      </c>
      <c r="T171" s="163">
        <v>90</v>
      </c>
      <c r="U171" s="163">
        <v>17</v>
      </c>
      <c r="V171" s="163">
        <v>77</v>
      </c>
      <c r="W171" s="163">
        <v>16</v>
      </c>
      <c r="X171" s="163">
        <v>87</v>
      </c>
      <c r="Y171" s="163">
        <v>9</v>
      </c>
      <c r="Z171" s="163">
        <v>77</v>
      </c>
      <c r="AA171" s="163">
        <v>17</v>
      </c>
      <c r="AB171" s="163">
        <v>87</v>
      </c>
      <c r="AC171" s="163">
        <v>7</v>
      </c>
      <c r="AD171" s="164">
        <f>IF(MIN(F171,J171,N171,R171,V171,Z171)&lt;&gt;0,MIN(F171,J171,N171,R171,V171,Z171),"")</f>
        <v>77</v>
      </c>
      <c r="AE171" s="164">
        <f>IF(MIN(H171,L171,P171,T171,X171,AB171)&lt;&gt;0,MIN(H171,L171,P171,T171,X171,AB171),"")</f>
        <v>87</v>
      </c>
      <c r="AF171" s="164">
        <v>85</v>
      </c>
      <c r="AG171" s="163">
        <v>42</v>
      </c>
      <c r="AH171" s="164">
        <v>95</v>
      </c>
      <c r="AI171" s="163">
        <v>34</v>
      </c>
      <c r="AJ171" s="162">
        <f>IF(AD171="","",IF(ISBLANK(AF171),"En cours",AD171+AF171))</f>
        <v>162</v>
      </c>
      <c r="AK171" s="162">
        <f>IF(AE171="","",IF(ISBLANK(AH171),"En cours",AE171+AH171))</f>
        <v>182</v>
      </c>
    </row>
    <row r="172" spans="2:37" ht="21" x14ac:dyDescent="0.35">
      <c r="B172" s="163" t="s">
        <v>135</v>
      </c>
      <c r="C172" s="163" t="s">
        <v>104</v>
      </c>
      <c r="D172" s="163">
        <v>11.8</v>
      </c>
      <c r="E172" s="163" t="s">
        <v>202</v>
      </c>
      <c r="F172" s="163">
        <v>76</v>
      </c>
      <c r="G172" s="163">
        <v>17</v>
      </c>
      <c r="H172" s="163">
        <v>87</v>
      </c>
      <c r="I172" s="163">
        <v>12</v>
      </c>
      <c r="J172" s="163">
        <v>76</v>
      </c>
      <c r="K172" s="163">
        <v>16</v>
      </c>
      <c r="L172" s="163">
        <v>87</v>
      </c>
      <c r="M172" s="163">
        <v>11</v>
      </c>
      <c r="N172" s="163">
        <v>84</v>
      </c>
      <c r="O172" s="163">
        <v>33</v>
      </c>
      <c r="P172" s="163">
        <v>95</v>
      </c>
      <c r="Q172" s="163">
        <v>26</v>
      </c>
      <c r="R172" s="163">
        <v>80</v>
      </c>
      <c r="S172" s="163">
        <v>30</v>
      </c>
      <c r="T172" s="163">
        <v>91</v>
      </c>
      <c r="U172" s="163">
        <v>23</v>
      </c>
      <c r="V172" s="163"/>
      <c r="W172" s="163"/>
      <c r="X172" s="163"/>
      <c r="Y172" s="163"/>
      <c r="Z172" s="163">
        <v>74</v>
      </c>
      <c r="AA172" s="163">
        <v>8</v>
      </c>
      <c r="AB172" s="163">
        <v>85</v>
      </c>
      <c r="AC172" s="163">
        <v>5</v>
      </c>
      <c r="AD172" s="164">
        <f>IF(MIN(F172,J172,N172,R172,V172,Z172)&lt;&gt;0,MIN(F172,J172,N172,R172,V172,Z172),"")</f>
        <v>74</v>
      </c>
      <c r="AE172" s="164">
        <f>IF(MIN(H172,L172,P172,T172,X172,AB172)&lt;&gt;0,MIN(H172,L172,P172,T172,X172,AB172),"")</f>
        <v>85</v>
      </c>
      <c r="AF172" s="164">
        <v>77</v>
      </c>
      <c r="AG172" s="163">
        <v>23</v>
      </c>
      <c r="AH172" s="164">
        <v>88</v>
      </c>
      <c r="AI172" s="163">
        <v>14</v>
      </c>
      <c r="AJ172" s="162">
        <f>IF(AD172="","",IF(ISBLANK(AF172),"En cours",AD172+AF172))</f>
        <v>151</v>
      </c>
      <c r="AK172" s="162">
        <f>IF(AE172="","",IF(ISBLANK(AH172),"En cours",AE172+AH172))</f>
        <v>173</v>
      </c>
    </row>
    <row r="173" spans="2:37" ht="21" x14ac:dyDescent="0.35">
      <c r="B173" s="163" t="s">
        <v>249</v>
      </c>
      <c r="C173" s="163" t="s">
        <v>104</v>
      </c>
      <c r="D173" s="163">
        <v>25.5</v>
      </c>
      <c r="E173" s="163" t="s">
        <v>205</v>
      </c>
      <c r="F173" s="163"/>
      <c r="G173" s="163"/>
      <c r="H173" s="163"/>
      <c r="I173" s="163"/>
      <c r="J173" s="163">
        <v>78</v>
      </c>
      <c r="K173" s="163">
        <v>25</v>
      </c>
      <c r="L173" s="163">
        <v>100</v>
      </c>
      <c r="M173" s="163">
        <v>27</v>
      </c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  <c r="AB173" s="163"/>
      <c r="AC173" s="163"/>
      <c r="AD173" s="164">
        <f>IF(MIN(F173,J173,N173,R173,V173,Z173)&lt;&gt;0,MIN(F173,J173,N173,R173,V173,Z173),"")</f>
        <v>78</v>
      </c>
      <c r="AE173" s="164">
        <f>IF(MIN(H173,L173,P173,T173,X173,AB173)&lt;&gt;0,MIN(H173,L173,P173,T173,X173,AB173),"")</f>
        <v>100</v>
      </c>
      <c r="AF173" s="164"/>
      <c r="AG173" s="163"/>
      <c r="AH173" s="164"/>
      <c r="AI173" s="163"/>
      <c r="AJ173" s="162" t="str">
        <f>IF(AD173="","",IF(ISBLANK(AF173),"En cours",AD173+AF173))</f>
        <v>En cours</v>
      </c>
      <c r="AK173" s="162" t="str">
        <f>IF(AE173="","",IF(ISBLANK(AH173),"En cours",AE173+AH173))</f>
        <v>En cours</v>
      </c>
    </row>
    <row r="174" spans="2:37" ht="21" x14ac:dyDescent="0.35">
      <c r="B174" s="163" t="s">
        <v>238</v>
      </c>
      <c r="C174" s="163" t="s">
        <v>104</v>
      </c>
      <c r="D174" s="163">
        <v>23.2</v>
      </c>
      <c r="E174" s="163" t="s">
        <v>205</v>
      </c>
      <c r="F174" s="163"/>
      <c r="G174" s="163"/>
      <c r="H174" s="163"/>
      <c r="I174" s="163"/>
      <c r="J174" s="163">
        <v>73</v>
      </c>
      <c r="K174" s="163">
        <v>10</v>
      </c>
      <c r="L174" s="163">
        <v>93</v>
      </c>
      <c r="M174" s="163">
        <v>11</v>
      </c>
      <c r="N174" s="163">
        <v>76</v>
      </c>
      <c r="O174" s="163">
        <v>22</v>
      </c>
      <c r="P174" s="163">
        <v>96</v>
      </c>
      <c r="Q174" s="163">
        <v>22</v>
      </c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  <c r="AB174" s="163"/>
      <c r="AC174" s="163"/>
      <c r="AD174" s="164">
        <f>IF(MIN(F174,J174,N174,R174,V174,Z174)&lt;&gt;0,MIN(F174,J174,N174,R174,V174,Z174),"")</f>
        <v>73</v>
      </c>
      <c r="AE174" s="164">
        <f>IF(MIN(H174,L174,P174,T174,X174,AB174)&lt;&gt;0,MIN(H174,L174,P174,T174,X174,AB174),"")</f>
        <v>93</v>
      </c>
      <c r="AF174" s="164"/>
      <c r="AG174" s="163"/>
      <c r="AH174" s="164"/>
      <c r="AI174" s="163"/>
      <c r="AJ174" s="162" t="str">
        <f>IF(AD174="","",IF(ISBLANK(AF174),"En cours",AD174+AF174))</f>
        <v>En cours</v>
      </c>
      <c r="AK174" s="162" t="str">
        <f>IF(AE174="","",IF(ISBLANK(AH174),"En cours",AE174+AH174))</f>
        <v>En cours</v>
      </c>
    </row>
    <row r="175" spans="2:37" ht="21" x14ac:dyDescent="0.35">
      <c r="B175" s="163" t="s">
        <v>306</v>
      </c>
      <c r="C175" s="163" t="s">
        <v>300</v>
      </c>
      <c r="D175" s="163">
        <v>30.7</v>
      </c>
      <c r="E175" s="163" t="s">
        <v>204</v>
      </c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>
        <v>74</v>
      </c>
      <c r="S175" s="163">
        <v>10</v>
      </c>
      <c r="T175" s="163">
        <v>98</v>
      </c>
      <c r="U175" s="163">
        <v>21</v>
      </c>
      <c r="V175" s="163">
        <v>80</v>
      </c>
      <c r="W175" s="163">
        <v>18</v>
      </c>
      <c r="X175" s="163">
        <v>104</v>
      </c>
      <c r="Y175" s="163">
        <v>20</v>
      </c>
      <c r="Z175" s="163"/>
      <c r="AA175" s="163"/>
      <c r="AB175" s="163"/>
      <c r="AC175" s="163"/>
      <c r="AD175" s="164">
        <f>IF(MIN(F175,J175,N175,R175,V175,Z175)&lt;&gt;0,MIN(F175,J175,N175,R175,V175,Z175),"")</f>
        <v>74</v>
      </c>
      <c r="AE175" s="164">
        <f>IF(MIN(H175,L175,P175,T175,X175,AB175)&lt;&gt;0,MIN(H175,L175,P175,T175,X175,AB175),"")</f>
        <v>98</v>
      </c>
      <c r="AF175" s="164"/>
      <c r="AG175" s="163"/>
      <c r="AH175" s="164"/>
      <c r="AI175" s="163"/>
      <c r="AJ175" s="162" t="str">
        <f>IF(AD175="","",IF(ISBLANK(AF175),"En cours",AD175+AF175))</f>
        <v>En cours</v>
      </c>
      <c r="AK175" s="162" t="str">
        <f>IF(AE175="","",IF(ISBLANK(AH175),"En cours",AE175+AH175))</f>
        <v>En cours</v>
      </c>
    </row>
    <row r="176" spans="2:37" ht="21" x14ac:dyDescent="0.35">
      <c r="B176" s="163" t="s">
        <v>258</v>
      </c>
      <c r="C176" s="163" t="s">
        <v>104</v>
      </c>
      <c r="D176" s="163">
        <v>13.7</v>
      </c>
      <c r="E176" s="163" t="s">
        <v>202</v>
      </c>
      <c r="F176" s="163"/>
      <c r="G176" s="163"/>
      <c r="H176" s="163"/>
      <c r="I176" s="163"/>
      <c r="J176" s="163"/>
      <c r="K176" s="163"/>
      <c r="L176" s="163"/>
      <c r="M176" s="163"/>
      <c r="N176" s="163">
        <v>73</v>
      </c>
      <c r="O176" s="163">
        <v>11</v>
      </c>
      <c r="P176" s="163">
        <v>86</v>
      </c>
      <c r="Q176" s="163">
        <v>8</v>
      </c>
      <c r="R176" s="163"/>
      <c r="S176" s="163"/>
      <c r="T176" s="163"/>
      <c r="U176" s="163"/>
      <c r="V176" s="163"/>
      <c r="W176" s="163"/>
      <c r="X176" s="163"/>
      <c r="Y176" s="163"/>
      <c r="Z176" s="163">
        <v>70</v>
      </c>
      <c r="AA176" s="163">
        <v>4</v>
      </c>
      <c r="AB176" s="163">
        <v>83</v>
      </c>
      <c r="AC176" s="163">
        <v>3</v>
      </c>
      <c r="AD176" s="164">
        <f>IF(MIN(F176,J176,N176,R176,V176,Z176)&lt;&gt;0,MIN(F176,J176,N176,R176,V176,Z176),"")</f>
        <v>70</v>
      </c>
      <c r="AE176" s="164">
        <f>IF(MIN(H176,L176,P176,T176,X176,AB176)&lt;&gt;0,MIN(H176,L176,P176,T176,X176,AB176),"")</f>
        <v>83</v>
      </c>
      <c r="AF176" s="164"/>
      <c r="AG176" s="163"/>
      <c r="AH176" s="164"/>
      <c r="AI176" s="163"/>
      <c r="AJ176" s="162" t="str">
        <f>IF(AD176="","",IF(ISBLANK(AF176),"En cours",AD176+AF176))</f>
        <v>En cours</v>
      </c>
      <c r="AK176" s="162" t="str">
        <f>IF(AE176="","",IF(ISBLANK(AH176),"En cours",AE176+AH176))</f>
        <v>En cours</v>
      </c>
    </row>
    <row r="177" spans="2:37" ht="21" x14ac:dyDescent="0.35">
      <c r="B177" s="163" t="s">
        <v>240</v>
      </c>
      <c r="C177" s="163" t="s">
        <v>104</v>
      </c>
      <c r="D177" s="163">
        <v>22.2</v>
      </c>
      <c r="E177" s="163" t="s">
        <v>205</v>
      </c>
      <c r="F177" s="163"/>
      <c r="G177" s="163"/>
      <c r="H177" s="163"/>
      <c r="I177" s="163"/>
      <c r="J177" s="163">
        <v>75</v>
      </c>
      <c r="K177" s="163">
        <v>15</v>
      </c>
      <c r="L177" s="163">
        <v>94</v>
      </c>
      <c r="M177" s="163">
        <v>15</v>
      </c>
      <c r="N177" s="163">
        <v>80</v>
      </c>
      <c r="O177" s="163">
        <v>28</v>
      </c>
      <c r="P177" s="163">
        <v>99</v>
      </c>
      <c r="Q177" s="163">
        <v>28</v>
      </c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163"/>
      <c r="AC177" s="163"/>
      <c r="AD177" s="164">
        <f>IF(MIN(F177,J177,N177,R177,V177,Z177)&lt;&gt;0,MIN(F177,J177,N177,R177,V177,Z177),"")</f>
        <v>75</v>
      </c>
      <c r="AE177" s="164">
        <f>IF(MIN(H177,L177,P177,T177,X177,AB177)&lt;&gt;0,MIN(H177,L177,P177,T177,X177,AB177),"")</f>
        <v>94</v>
      </c>
      <c r="AF177" s="164">
        <v>73</v>
      </c>
      <c r="AG177" s="163">
        <v>17</v>
      </c>
      <c r="AH177" s="164">
        <v>92</v>
      </c>
      <c r="AI177" s="163">
        <v>18</v>
      </c>
      <c r="AJ177" s="162">
        <f>IF(AD177="","",IF(ISBLANK(AF177),"En cours",AD177+AF177))</f>
        <v>148</v>
      </c>
      <c r="AK177" s="162">
        <f>IF(AE177="","",IF(ISBLANK(AH177),"En cours",AE177+AH177))</f>
        <v>186</v>
      </c>
    </row>
    <row r="178" spans="2:37" ht="21" x14ac:dyDescent="0.35">
      <c r="B178" s="163" t="s">
        <v>312</v>
      </c>
      <c r="C178" s="163" t="s">
        <v>104</v>
      </c>
      <c r="D178" s="163">
        <v>25.8</v>
      </c>
      <c r="E178" s="163" t="s">
        <v>205</v>
      </c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>
        <v>82</v>
      </c>
      <c r="S178" s="163">
        <v>28</v>
      </c>
      <c r="T178" s="163">
        <v>104</v>
      </c>
      <c r="U178" s="163">
        <v>29</v>
      </c>
      <c r="V178" s="163"/>
      <c r="W178" s="163"/>
      <c r="X178" s="163"/>
      <c r="Y178" s="163"/>
      <c r="Z178" s="163"/>
      <c r="AA178" s="163"/>
      <c r="AB178" s="163"/>
      <c r="AC178" s="163"/>
      <c r="AD178" s="164">
        <f>IF(MIN(F178,J178,N178,R178,V178,Z178)&lt;&gt;0,MIN(F178,J178,N178,R178,V178,Z178),"")</f>
        <v>82</v>
      </c>
      <c r="AE178" s="164">
        <f>IF(MIN(H178,L178,P178,T178,X178,AB178)&lt;&gt;0,MIN(H178,L178,P178,T178,X178,AB178),"")</f>
        <v>104</v>
      </c>
      <c r="AF178" s="164"/>
      <c r="AG178" s="163"/>
      <c r="AH178" s="164"/>
      <c r="AI178" s="163"/>
      <c r="AJ178" s="162" t="str">
        <f>IF(AD178="","",IF(ISBLANK(AF178),"En cours",AD178+AF178))</f>
        <v>En cours</v>
      </c>
      <c r="AK178" s="162" t="str">
        <f>IF(AE178="","",IF(ISBLANK(AH178),"En cours",AE178+AH178))</f>
        <v>En cours</v>
      </c>
    </row>
    <row r="179" spans="2:37" ht="21" x14ac:dyDescent="0.35">
      <c r="B179" s="163" t="s">
        <v>116</v>
      </c>
      <c r="C179" s="163" t="s">
        <v>104</v>
      </c>
      <c r="D179" s="163">
        <v>8.5</v>
      </c>
      <c r="E179" s="163" t="s">
        <v>203</v>
      </c>
      <c r="F179" s="163">
        <v>77</v>
      </c>
      <c r="G179" s="163">
        <v>12</v>
      </c>
      <c r="H179" s="163">
        <v>87</v>
      </c>
      <c r="I179" s="163">
        <v>12</v>
      </c>
      <c r="J179" s="163"/>
      <c r="K179" s="163"/>
      <c r="L179" s="163"/>
      <c r="M179" s="163"/>
      <c r="N179" s="163">
        <v>72</v>
      </c>
      <c r="O179" s="163">
        <v>5</v>
      </c>
      <c r="P179" s="163">
        <v>82</v>
      </c>
      <c r="Q179" s="163">
        <v>3</v>
      </c>
      <c r="R179" s="163"/>
      <c r="S179" s="163"/>
      <c r="T179" s="163"/>
      <c r="U179" s="163"/>
      <c r="V179" s="163">
        <v>81</v>
      </c>
      <c r="W179" s="163">
        <v>8</v>
      </c>
      <c r="X179" s="163">
        <v>91</v>
      </c>
      <c r="Y179" s="163">
        <v>8</v>
      </c>
      <c r="Z179" s="163"/>
      <c r="AA179" s="163"/>
      <c r="AB179" s="163"/>
      <c r="AC179" s="163"/>
      <c r="AD179" s="164">
        <f>IF(MIN(F179,J179,N179,R179,V179,Z179)&lt;&gt;0,MIN(F179,J179,N179,R179,V179,Z179),"")</f>
        <v>72</v>
      </c>
      <c r="AE179" s="164">
        <f>IF(MIN(H179,L179,P179,T179,X179,AB179)&lt;&gt;0,MIN(H179,L179,P179,T179,X179,AB179),"")</f>
        <v>82</v>
      </c>
      <c r="AF179" s="164">
        <v>76</v>
      </c>
      <c r="AG179" s="163">
        <v>9</v>
      </c>
      <c r="AH179" s="164">
        <v>86</v>
      </c>
      <c r="AI179" s="163">
        <v>11</v>
      </c>
      <c r="AJ179" s="162">
        <f>IF(AD179="","",IF(ISBLANK(AF179),"En cours",AD179+AF179))</f>
        <v>148</v>
      </c>
      <c r="AK179" s="162">
        <f>IF(AE179="","",IF(ISBLANK(AH179),"En cours",AE179+AH179))</f>
        <v>168</v>
      </c>
    </row>
    <row r="180" spans="2:37" ht="21" x14ac:dyDescent="0.35">
      <c r="B180" s="163" t="s">
        <v>175</v>
      </c>
      <c r="C180" s="163" t="s">
        <v>104</v>
      </c>
      <c r="D180" s="163">
        <v>32</v>
      </c>
      <c r="E180" s="163" t="s">
        <v>204</v>
      </c>
      <c r="F180" s="163">
        <v>70</v>
      </c>
      <c r="G180" s="163">
        <v>8</v>
      </c>
      <c r="H180" s="163">
        <v>96</v>
      </c>
      <c r="I180" s="163">
        <v>16</v>
      </c>
      <c r="J180" s="163"/>
      <c r="K180" s="163"/>
      <c r="L180" s="163"/>
      <c r="M180" s="163"/>
      <c r="N180" s="163">
        <v>60</v>
      </c>
      <c r="O180" s="163">
        <v>1</v>
      </c>
      <c r="P180" s="163">
        <v>86</v>
      </c>
      <c r="Q180" s="163">
        <v>2</v>
      </c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  <c r="AB180" s="163"/>
      <c r="AC180" s="163"/>
      <c r="AD180" s="164">
        <f>IF(MIN(F180,J180,N180,R180,V180,Z180)&lt;&gt;0,MIN(F180,J180,N180,R180,V180,Z180),"")</f>
        <v>60</v>
      </c>
      <c r="AE180" s="164">
        <f>IF(MIN(H180,L180,P180,T180,X180,AB180)&lt;&gt;0,MIN(H180,L180,P180,T180,X180,AB180),"")</f>
        <v>86</v>
      </c>
      <c r="AF180" s="164">
        <v>71</v>
      </c>
      <c r="AG180" s="163">
        <v>12</v>
      </c>
      <c r="AH180" s="164">
        <v>97</v>
      </c>
      <c r="AI180" s="163">
        <v>32</v>
      </c>
      <c r="AJ180" s="162">
        <f>IF(AD180="","",IF(ISBLANK(AF180),"En cours",AD180+AF180))</f>
        <v>131</v>
      </c>
      <c r="AK180" s="162">
        <f>IF(AE180="","",IF(ISBLANK(AH180),"En cours",AE180+AH180))</f>
        <v>183</v>
      </c>
    </row>
    <row r="181" spans="2:37" ht="21" x14ac:dyDescent="0.35">
      <c r="B181" s="146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8" t="str">
        <f>IF(MIN(F181,J181,N181,R181,V181,Z181)&lt;&gt;0,MIN(F181,J181,N181,R181,V181,Z181),"")</f>
        <v/>
      </c>
      <c r="AE181" s="148" t="str">
        <f>IF(MIN(H181,L181,P181,T181,X181,AB181)&lt;&gt;0,MIN(H181,L181,P181,T181,X181,AB181),"")</f>
        <v/>
      </c>
      <c r="AF181" s="148"/>
      <c r="AG181" s="147"/>
      <c r="AH181" s="148"/>
      <c r="AI181" s="147"/>
      <c r="AJ181" s="149" t="str">
        <f>IF(AD181="","",IF(ISBLANK(AF181),"En cours",AD181+AF181))</f>
        <v/>
      </c>
      <c r="AK181" s="150" t="str">
        <f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>IF(MIN(F182,J182,N182,R182,V182,Z182)&lt;&gt;0,MIN(F182,J182,N182,R182,V182,Z182),"")</f>
        <v/>
      </c>
      <c r="AE182" s="76" t="str">
        <f>IF(MIN(H182,L182,P182,T182,X182,AB182)&lt;&gt;0,MIN(H182,L182,P182,T182,X182,AB182),"")</f>
        <v/>
      </c>
      <c r="AF182" s="77"/>
      <c r="AG182" s="73"/>
      <c r="AH182" s="77"/>
      <c r="AI182" s="73"/>
      <c r="AJ182" s="78" t="str">
        <f>IF(AD182="","",IF(ISBLANK(AF182),"En cours",AD182+AF182))</f>
        <v/>
      </c>
      <c r="AK182" s="79" t="str">
        <f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>IF(MIN(F183,J183,N183,R183,V183,Z183)&lt;&gt;0,MIN(F183,J183,N183,R183,V183,Z183),"")</f>
        <v/>
      </c>
      <c r="AE183" s="76" t="str">
        <f>IF(MIN(H183,L183,P183,T183,X183,AB183)&lt;&gt;0,MIN(H183,L183,P183,T183,X183,AB183),"")</f>
        <v/>
      </c>
      <c r="AF183" s="77"/>
      <c r="AG183" s="73"/>
      <c r="AH183" s="77"/>
      <c r="AI183" s="73"/>
      <c r="AJ183" s="78" t="str">
        <f>IF(AD183="","",IF(ISBLANK(AF183),"En cours",AD183+AF183))</f>
        <v/>
      </c>
      <c r="AK183" s="79" t="str">
        <f>IF(AE183="","",IF(ISBLANK(AH183),"En cours",AE183+AH183))</f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>IF(MIN(F184,J184,N184,R184,V184,Z184)&lt;&gt;0,MIN(F184,J184,N184,R184,V184,Z184),"")</f>
        <v/>
      </c>
      <c r="AE184" s="76" t="str">
        <f>IF(MIN(H184,L184,P184,T184,X184,AB184)&lt;&gt;0,MIN(H184,L184,P184,T184,X184,AB184),"")</f>
        <v/>
      </c>
      <c r="AF184" s="77"/>
      <c r="AG184" s="73"/>
      <c r="AH184" s="77"/>
      <c r="AI184" s="73"/>
      <c r="AJ184" s="78" t="str">
        <f>IF(AD184="","",IF(ISBLANK(AF184),"En cours",AD184+AF184))</f>
        <v/>
      </c>
      <c r="AK184" s="79" t="str">
        <f>IF(AE184="","",IF(ISBLANK(AH184),"En cours",AE184+AH184))</f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>IF(MIN(F185,J185,N185,R185,V185,Z185)&lt;&gt;0,MIN(F185,J185,N185,R185,V185,Z185),"")</f>
        <v/>
      </c>
      <c r="AE185" s="76" t="str">
        <f>IF(MIN(H185,L185,P185,T185,X185,AB185)&lt;&gt;0,MIN(H185,L185,P185,T185,X185,AB185),"")</f>
        <v/>
      </c>
      <c r="AF185" s="77"/>
      <c r="AG185" s="73"/>
      <c r="AH185" s="77"/>
      <c r="AI185" s="73"/>
      <c r="AJ185" s="78" t="str">
        <f>IF(AD185="","",IF(ISBLANK(AF185),"En cours",AD185+AF185))</f>
        <v/>
      </c>
      <c r="AK185" s="79" t="str">
        <f>IF(AE185="","",IF(ISBLANK(AH185),"En cours",AE185+AH185))</f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>IF(MIN(F186,J186,N186,R186,V186,Z186)&lt;&gt;0,MIN(F186,J186,N186,R186,V186,Z186),"")</f>
        <v/>
      </c>
      <c r="AE186" s="76" t="str">
        <f>IF(MIN(H186,L186,P186,T186,X186,AB186)&lt;&gt;0,MIN(H186,L186,P186,T186,X186,AB186),"")</f>
        <v/>
      </c>
      <c r="AF186" s="77"/>
      <c r="AG186" s="73"/>
      <c r="AH186" s="77"/>
      <c r="AI186" s="73"/>
      <c r="AJ186" s="78" t="str">
        <f>IF(AD186="","",IF(ISBLANK(AF186),"En cours",AD186+AF186))</f>
        <v/>
      </c>
      <c r="AK186" s="79" t="str">
        <f>IF(AE186="","",IF(ISBLANK(AH186),"En cours",AE186+AH186))</f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>IF(MIN(F187,J187,N187,R187,V187,Z187)&lt;&gt;0,MIN(F187,J187,N187,R187,V187,Z187),"")</f>
        <v/>
      </c>
      <c r="AE187" s="76" t="str">
        <f>IF(MIN(H187,L187,P187,T187,X187,AB187)&lt;&gt;0,MIN(H187,L187,P187,T187,X187,AB187),"")</f>
        <v/>
      </c>
      <c r="AF187" s="77"/>
      <c r="AG187" s="73"/>
      <c r="AH187" s="77"/>
      <c r="AI187" s="73"/>
      <c r="AJ187" s="78" t="str">
        <f>IF(AD187="","",IF(ISBLANK(AF187),"En cours",AD187+AF187))</f>
        <v/>
      </c>
      <c r="AK187" s="79" t="str">
        <f>IF(AE187="","",IF(ISBLANK(AH187),"En cours",AE187+AH187))</f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>IF(MIN(F188,J188,N188,R188,V188,Z188)&lt;&gt;0,MIN(F188,J188,N188,R188,V188,Z188),"")</f>
        <v/>
      </c>
      <c r="AE188" s="76" t="str">
        <f>IF(MIN(H188,L188,P188,T188,X188,AB188)&lt;&gt;0,MIN(H188,L188,P188,T188,X188,AB188),"")</f>
        <v/>
      </c>
      <c r="AF188" s="77"/>
      <c r="AG188" s="73"/>
      <c r="AH188" s="77"/>
      <c r="AI188" s="73"/>
      <c r="AJ188" s="78" t="str">
        <f>IF(AD188="","",IF(ISBLANK(AF188),"En cours",AD188+AF188))</f>
        <v/>
      </c>
      <c r="AK188" s="79" t="str">
        <f>IF(AE188="","",IF(ISBLANK(AH188),"En cours",AE188+AH188))</f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>IF(MIN(F189,J189,N189,R189,V189,Z189)&lt;&gt;0,MIN(F189,J189,N189,R189,V189,Z189),"")</f>
        <v/>
      </c>
      <c r="AE189" s="76" t="str">
        <f>IF(MIN(H189,L189,P189,T189,X189,AB189)&lt;&gt;0,MIN(H189,L189,P189,T189,X189,AB189),"")</f>
        <v/>
      </c>
      <c r="AF189" s="77"/>
      <c r="AG189" s="73"/>
      <c r="AH189" s="77"/>
      <c r="AI189" s="73"/>
      <c r="AJ189" s="78" t="str">
        <f>IF(AD189="","",IF(ISBLANK(AF189),"En cours",AD189+AF189))</f>
        <v/>
      </c>
      <c r="AK189" s="79" t="str">
        <f>IF(AE189="","",IF(ISBLANK(AH189),"En cours",AE189+AH189))</f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>IF(MIN(F190,J190,N190,R190,V190,Z190)&lt;&gt;0,MIN(F190,J190,N190,R190,V190,Z190),"")</f>
        <v/>
      </c>
      <c r="AE190" s="76" t="str">
        <f>IF(MIN(H190,L190,P190,T190,X190,AB190)&lt;&gt;0,MIN(H190,L190,P190,T190,X190,AB190),"")</f>
        <v/>
      </c>
      <c r="AF190" s="77"/>
      <c r="AG190" s="73"/>
      <c r="AH190" s="77"/>
      <c r="AI190" s="73"/>
      <c r="AJ190" s="78" t="str">
        <f>IF(AD190="","",IF(ISBLANK(AF190),"En cours",AD190+AF190))</f>
        <v/>
      </c>
      <c r="AK190" s="79" t="str">
        <f>IF(AE190="","",IF(ISBLANK(AH190),"En cours",AE190+AH190))</f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>IF(MIN(F191,J191,N191,R191,V191,Z191)&lt;&gt;0,MIN(F191,J191,N191,R191,V191,Z191),"")</f>
        <v/>
      </c>
      <c r="AE191" s="76" t="str">
        <f>IF(MIN(H191,L191,P191,T191,X191,AB191)&lt;&gt;0,MIN(H191,L191,P191,T191,X191,AB191),"")</f>
        <v/>
      </c>
      <c r="AF191" s="77"/>
      <c r="AG191" s="73"/>
      <c r="AH191" s="77"/>
      <c r="AI191" s="73"/>
      <c r="AJ191" s="78" t="str">
        <f>IF(AD191="","",IF(ISBLANK(AF191),"En cours",AD191+AF191))</f>
        <v/>
      </c>
      <c r="AK191" s="79" t="str">
        <f>IF(AE191="","",IF(ISBLANK(AH191),"En cours",AE191+AH191))</f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>IF(MIN(F192,J192,N192,R192,V192,Z192)&lt;&gt;0,MIN(F192,J192,N192,R192,V192,Z192),"")</f>
        <v/>
      </c>
      <c r="AE192" s="76" t="str">
        <f>IF(MIN(H192,L192,P192,T192,X192,AB192)&lt;&gt;0,MIN(H192,L192,P192,T192,X192,AB192),"")</f>
        <v/>
      </c>
      <c r="AF192" s="77"/>
      <c r="AG192" s="73"/>
      <c r="AH192" s="77"/>
      <c r="AI192" s="73"/>
      <c r="AJ192" s="78" t="str">
        <f>IF(AD192="","",IF(ISBLANK(AF192),"En cours",AD192+AF192))</f>
        <v/>
      </c>
      <c r="AK192" s="79" t="str">
        <f>IF(AE192="","",IF(ISBLANK(AH192),"En cours",AE192+AH192))</f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>IF(MIN(F193,J193,N193,R193,V193,Z193)&lt;&gt;0,MIN(F193,J193,N193,R193,V193,Z193),"")</f>
        <v/>
      </c>
      <c r="AE193" s="76" t="str">
        <f>IF(MIN(H193,L193,P193,T193,X193,AB193)&lt;&gt;0,MIN(H193,L193,P193,T193,X193,AB193),"")</f>
        <v/>
      </c>
      <c r="AF193" s="77"/>
      <c r="AG193" s="73"/>
      <c r="AH193" s="77"/>
      <c r="AI193" s="73"/>
      <c r="AJ193" s="78" t="str">
        <f>IF(AD193="","",IF(ISBLANK(AF193),"En cours",AD193+AF193))</f>
        <v/>
      </c>
      <c r="AK193" s="79" t="str">
        <f>IF(AE193="","",IF(ISBLANK(AH193),"En cours",AE193+AH193))</f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>IF(MIN(F194,J194,N194,R194,V194,Z194)&lt;&gt;0,MIN(F194,J194,N194,R194,V194,Z194),"")</f>
        <v/>
      </c>
      <c r="AE194" s="76" t="str">
        <f>IF(MIN(H194,L194,P194,T194,X194,AB194)&lt;&gt;0,MIN(H194,L194,P194,T194,X194,AB194),"")</f>
        <v/>
      </c>
      <c r="AF194" s="77"/>
      <c r="AG194" s="73"/>
      <c r="AH194" s="77"/>
      <c r="AI194" s="73"/>
      <c r="AJ194" s="78" t="str">
        <f>IF(AD194="","",IF(ISBLANK(AF194),"En cours",AD194+AF194))</f>
        <v/>
      </c>
      <c r="AK194" s="79" t="str">
        <f>IF(AE194="","",IF(ISBLANK(AH194),"En cours",AE194+AH194))</f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>IF(MIN(F195,J195,N195,R195,V195,Z195)&lt;&gt;0,MIN(F195,J195,N195,R195,V195,Z195),"")</f>
        <v/>
      </c>
      <c r="AE195" s="76" t="str">
        <f>IF(MIN(H195,L195,P195,T195,X195,AB195)&lt;&gt;0,MIN(H195,L195,P195,T195,X195,AB195),"")</f>
        <v/>
      </c>
      <c r="AF195" s="77"/>
      <c r="AG195" s="73"/>
      <c r="AH195" s="77"/>
      <c r="AI195" s="73"/>
      <c r="AJ195" s="78" t="str">
        <f>IF(AD195="","",IF(ISBLANK(AF195),"En cours",AD195+AF195))</f>
        <v/>
      </c>
      <c r="AK195" s="79" t="str">
        <f>IF(AE195="","",IF(ISBLANK(AH195),"En cours",AE195+AH195))</f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>IF(MIN(F196,J196,N196,R196,V196,Z196)&lt;&gt;0,MIN(F196,J196,N196,R196,V196,Z196),"")</f>
        <v/>
      </c>
      <c r="AE196" s="76" t="str">
        <f>IF(MIN(H196,L196,P196,T196,X196,AB196)&lt;&gt;0,MIN(H196,L196,P196,T196,X196,AB196),"")</f>
        <v/>
      </c>
      <c r="AF196" s="77"/>
      <c r="AG196" s="73"/>
      <c r="AH196" s="77"/>
      <c r="AI196" s="73"/>
      <c r="AJ196" s="78" t="str">
        <f>IF(AD196="","",IF(ISBLANK(AF196),"En cours",AD196+AF196))</f>
        <v/>
      </c>
      <c r="AK196" s="79" t="str">
        <f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>IF(MIN(F197,J197,N197,R197,V197,Z197)&lt;&gt;0,MIN(F197,J197,N197,R197,V197,Z197),"")</f>
        <v/>
      </c>
      <c r="AE197" s="76" t="str">
        <f>IF(MIN(H197,L197,P197,T197,X197,AB197)&lt;&gt;0,MIN(H197,L197,P197,T197,X197,AB197),"")</f>
        <v/>
      </c>
      <c r="AF197" s="77"/>
      <c r="AG197" s="73"/>
      <c r="AH197" s="77"/>
      <c r="AI197" s="73"/>
      <c r="AJ197" s="78" t="str">
        <f>IF(AD197="","",IF(ISBLANK(AF197),"En cours",AD197+AF197))</f>
        <v/>
      </c>
      <c r="AK197" s="79" t="str">
        <f>IF(AE197="","",IF(ISBLANK(AH197),"En cours",AE197+AH197))</f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>IF(MIN(F198,J198,N198,R198,V198,Z198)&lt;&gt;0,MIN(F198,J198,N198,R198,V198,Z198),"")</f>
        <v/>
      </c>
      <c r="AE198" s="76" t="str">
        <f>IF(MIN(H198,L198,P198,T198,X198,AB198)&lt;&gt;0,MIN(H198,L198,P198,T198,X198,AB198),"")</f>
        <v/>
      </c>
      <c r="AF198" s="77"/>
      <c r="AG198" s="73"/>
      <c r="AH198" s="77"/>
      <c r="AI198" s="73"/>
      <c r="AJ198" s="78" t="str">
        <f>IF(AD198="","",IF(ISBLANK(AF198),"En cours",AD198+AF198))</f>
        <v/>
      </c>
      <c r="AK198" s="79" t="str">
        <f>IF(AE198="","",IF(ISBLANK(AH198),"En cours",AE198+AH198))</f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>IF(MIN(F199,J199,N199,R199,V199,Z199)&lt;&gt;0,MIN(F199,J199,N199,R199,V199,Z199),"")</f>
        <v/>
      </c>
      <c r="AE199" s="76" t="str">
        <f>IF(MIN(H199,L199,P199,T199,X199,AB199)&lt;&gt;0,MIN(H199,L199,P199,T199,X199,AB199),"")</f>
        <v/>
      </c>
      <c r="AF199" s="77"/>
      <c r="AG199" s="73"/>
      <c r="AH199" s="77"/>
      <c r="AI199" s="73"/>
      <c r="AJ199" s="78" t="str">
        <f>IF(AD199="","",IF(ISBLANK(AF199),"En cours",AD199+AF199))</f>
        <v/>
      </c>
      <c r="AK199" s="79" t="str">
        <f>IF(AE199="","",IF(ISBLANK(AH199),"En cours",AE199+AH199))</f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>IF(MIN(F200,J200,N200,R200,V200,Z200)&lt;&gt;0,MIN(F200,J200,N200,R200,V200,Z200),"")</f>
        <v/>
      </c>
      <c r="AE200" s="76" t="str">
        <f>IF(MIN(H200,L200,P200,T200,X200,AB200)&lt;&gt;0,MIN(H200,L200,P200,T200,X200,AB200),"")</f>
        <v/>
      </c>
      <c r="AF200" s="77"/>
      <c r="AG200" s="73"/>
      <c r="AH200" s="77"/>
      <c r="AI200" s="73"/>
      <c r="AJ200" s="78" t="str">
        <f>IF(AD200="","",IF(ISBLANK(AF200),"En cours",AD200+AF200))</f>
        <v/>
      </c>
      <c r="AK200" s="79" t="str">
        <f>IF(AE200="","",IF(ISBLANK(AH200),"En cours",AE200+AH200))</f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>IF(MIN(F201,J201,N201,R201,V201,Z201)&lt;&gt;0,MIN(F201,J201,N201,R201,V201,Z201),"")</f>
        <v/>
      </c>
      <c r="AE201" s="76" t="str">
        <f>IF(MIN(H201,L201,P201,T201,X201,AB201)&lt;&gt;0,MIN(H201,L201,P201,T201,X201,AB201),"")</f>
        <v/>
      </c>
      <c r="AF201" s="77"/>
      <c r="AG201" s="73"/>
      <c r="AH201" s="77"/>
      <c r="AI201" s="73"/>
      <c r="AJ201" s="78" t="str">
        <f>IF(AD201="","",IF(ISBLANK(AF201),"En cours",AD201+AF201))</f>
        <v/>
      </c>
      <c r="AK201" s="79" t="str">
        <f>IF(AE201="","",IF(ISBLANK(AH201),"En cours",AE201+AH201))</f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>IF(MIN(F202,J202,N202,R202,V202,Z202)&lt;&gt;0,MIN(F202,J202,N202,R202,V202,Z202),"")</f>
        <v/>
      </c>
      <c r="AE202" s="76" t="str">
        <f>IF(MIN(H202,L202,P202,T202,X202,AB202)&lt;&gt;0,MIN(H202,L202,P202,T202,X202,AB202),"")</f>
        <v/>
      </c>
      <c r="AF202" s="77"/>
      <c r="AG202" s="73"/>
      <c r="AH202" s="77"/>
      <c r="AI202" s="73"/>
      <c r="AJ202" s="78" t="str">
        <f>IF(AD202="","",IF(ISBLANK(AF202),"En cours",AD202+AF202))</f>
        <v/>
      </c>
      <c r="AK202" s="79" t="str">
        <f>IF(AE202="","",IF(ISBLANK(AH202),"En cours",AE202+AH202))</f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>IF(MIN(F203,J203,N203,R203,V203,Z203)&lt;&gt;0,MIN(F203,J203,N203,R203,V203,Z203),"")</f>
        <v/>
      </c>
      <c r="AE203" s="76" t="str">
        <f>IF(MIN(H203,L203,P203,T203,X203,AB203)&lt;&gt;0,MIN(H203,L203,P203,T203,X203,AB203),"")</f>
        <v/>
      </c>
      <c r="AF203" s="77"/>
      <c r="AG203" s="73"/>
      <c r="AH203" s="77"/>
      <c r="AI203" s="73"/>
      <c r="AJ203" s="78" t="str">
        <f>IF(AD203="","",IF(ISBLANK(AF203),"En cours",AD203+AF203))</f>
        <v/>
      </c>
      <c r="AK203" s="79" t="str">
        <f>IF(AE203="","",IF(ISBLANK(AH203),"En cours",AE203+AH203))</f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>IF(MIN(F204,J204,N204,R204,V204,Z204)&lt;&gt;0,MIN(F204,J204,N204,R204,V204,Z204),"")</f>
        <v/>
      </c>
      <c r="AE204" s="76" t="str">
        <f>IF(MIN(H204,L204,P204,T204,X204,AB204)&lt;&gt;0,MIN(H204,L204,P204,T204,X204,AB204),"")</f>
        <v/>
      </c>
      <c r="AF204" s="77"/>
      <c r="AG204" s="73"/>
      <c r="AH204" s="77"/>
      <c r="AI204" s="73"/>
      <c r="AJ204" s="78" t="str">
        <f>IF(AD204="","",IF(ISBLANK(AF204),"En cours",AD204+AF204))</f>
        <v/>
      </c>
      <c r="AK204" s="79" t="str">
        <f>IF(AE204="","",IF(ISBLANK(AH204),"En cours",AE204+AH204))</f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>IF(MIN(F205,J205,N205,R205,V205,Z205)&lt;&gt;0,MIN(F205,J205,N205,R205,V205,Z205),"")</f>
        <v/>
      </c>
      <c r="AE205" s="76" t="str">
        <f>IF(MIN(H205,L205,P205,T205,X205,AB205)&lt;&gt;0,MIN(H205,L205,P205,T205,X205,AB205),"")</f>
        <v/>
      </c>
      <c r="AF205" s="77"/>
      <c r="AG205" s="73"/>
      <c r="AH205" s="77"/>
      <c r="AI205" s="73"/>
      <c r="AJ205" s="78" t="str">
        <f>IF(AD205="","",IF(ISBLANK(AF205),"En cours",AD205+AF205))</f>
        <v/>
      </c>
      <c r="AK205" s="79" t="str">
        <f>IF(AE205="","",IF(ISBLANK(AH205),"En cours",AE205+AH205))</f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>IF(MIN(F206,J206,N206,R206,V206,Z206)&lt;&gt;0,MIN(F206,J206,N206,R206,V206,Z206),"")</f>
        <v/>
      </c>
      <c r="AE206" s="76" t="str">
        <f>IF(MIN(H206,L206,P206,T206,X206,AB206)&lt;&gt;0,MIN(H206,L206,P206,T206,X206,AB206),"")</f>
        <v/>
      </c>
      <c r="AF206" s="77"/>
      <c r="AG206" s="73"/>
      <c r="AH206" s="77"/>
      <c r="AI206" s="73"/>
      <c r="AJ206" s="78" t="str">
        <f>IF(AD206="","",IF(ISBLANK(AF206),"En cours",AD206+AF206))</f>
        <v/>
      </c>
      <c r="AK206" s="79" t="str">
        <f>IF(AE206="","",IF(ISBLANK(AH206),"En cours",AE206+AH206))</f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>IF(MIN(F207,J207,N207,R207,V207,Z207)&lt;&gt;0,MIN(F207,J207,N207,R207,V207,Z207),"")</f>
        <v/>
      </c>
      <c r="AE207" s="76" t="str">
        <f>IF(MIN(H207,L207,P207,T207,X207,AB207)&lt;&gt;0,MIN(H207,L207,P207,T207,X207,AB207),"")</f>
        <v/>
      </c>
      <c r="AF207" s="77"/>
      <c r="AG207" s="73"/>
      <c r="AH207" s="77"/>
      <c r="AI207" s="73"/>
      <c r="AJ207" s="78" t="str">
        <f>IF(AD207="","",IF(ISBLANK(AF207),"En cours",AD207+AF207))</f>
        <v/>
      </c>
      <c r="AK207" s="79" t="str">
        <f>IF(AE207="","",IF(ISBLANK(AH207),"En cours",AE207+AH207))</f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>IF(MIN(F208,J208,N208,R208,V208,Z208)&lt;&gt;0,MIN(F208,J208,N208,R208,V208,Z208),"")</f>
        <v/>
      </c>
      <c r="AE208" s="76" t="str">
        <f>IF(MIN(H208,L208,P208,T208,X208,AB208)&lt;&gt;0,MIN(H208,L208,P208,T208,X208,AB208),"")</f>
        <v/>
      </c>
      <c r="AF208" s="77"/>
      <c r="AG208" s="73"/>
      <c r="AH208" s="77"/>
      <c r="AI208" s="73"/>
      <c r="AJ208" s="78" t="str">
        <f>IF(AD208="","",IF(ISBLANK(AF208),"En cours",AD208+AF208))</f>
        <v/>
      </c>
      <c r="AK208" s="79" t="str">
        <f>IF(AE208="","",IF(ISBLANK(AH208),"En cours",AE208+AH208))</f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>IF(MIN(F209,J209,N209,R209,V209,Z209)&lt;&gt;0,MIN(F209,J209,N209,R209,V209,Z209),"")</f>
        <v/>
      </c>
      <c r="AE209" s="76" t="str">
        <f>IF(MIN(H209,L209,P209,T209,X209,AB209)&lt;&gt;0,MIN(H209,L209,P209,T209,X209,AB209),"")</f>
        <v/>
      </c>
      <c r="AF209" s="77"/>
      <c r="AG209" s="73"/>
      <c r="AH209" s="77"/>
      <c r="AI209" s="73"/>
      <c r="AJ209" s="78" t="str">
        <f>IF(AD209="","",IF(ISBLANK(AF209),"En cours",AD209+AF209))</f>
        <v/>
      </c>
      <c r="AK209" s="79" t="str">
        <f>IF(AE209="","",IF(ISBLANK(AH209),"En cours",AE209+AH209))</f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>IF(MIN(F210,J210,N210,R210,V210,Z210)&lt;&gt;0,MIN(F210,J210,N210,R210,V210,Z210),"")</f>
        <v/>
      </c>
      <c r="AE210" s="76" t="str">
        <f>IF(MIN(H210,L210,P210,T210,X210,AB210)&lt;&gt;0,MIN(H210,L210,P210,T210,X210,AB210),"")</f>
        <v/>
      </c>
      <c r="AF210" s="77"/>
      <c r="AG210" s="73"/>
      <c r="AH210" s="77"/>
      <c r="AI210" s="73"/>
      <c r="AJ210" s="78" t="str">
        <f>IF(AD210="","",IF(ISBLANK(AF210),"En cours",AD210+AF210))</f>
        <v/>
      </c>
      <c r="AK210" s="79" t="str">
        <f>IF(AE210="","",IF(ISBLANK(AH210),"En cours",AE210+AH210))</f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>IF(MIN(F211,J211,N211,R211,V211,Z211)&lt;&gt;0,MIN(F211,J211,N211,R211,V211,Z211),"")</f>
        <v/>
      </c>
      <c r="AE211" s="76" t="str">
        <f>IF(MIN(H211,L211,P211,T211,X211,AB211)&lt;&gt;0,MIN(H211,L211,P211,T211,X211,AB211),"")</f>
        <v/>
      </c>
      <c r="AF211" s="77"/>
      <c r="AG211" s="73"/>
      <c r="AH211" s="77"/>
      <c r="AI211" s="73"/>
      <c r="AJ211" s="78" t="str">
        <f>IF(AD211="","",IF(ISBLANK(AF211),"En cours",AD211+AF211))</f>
        <v/>
      </c>
      <c r="AK211" s="79" t="str">
        <f>IF(AE211="","",IF(ISBLANK(AH211),"En cours",AE211+AH211))</f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>IF(MIN(F212,J212,N212,R212,V212,Z212)&lt;&gt;0,MIN(F212,J212,N212,R212,V212,Z212),"")</f>
        <v/>
      </c>
      <c r="AE212" s="76" t="str">
        <f>IF(MIN(H212,L212,P212,T212,X212,AB212)&lt;&gt;0,MIN(H212,L212,P212,T212,X212,AB212),"")</f>
        <v/>
      </c>
      <c r="AF212" s="77"/>
      <c r="AG212" s="73"/>
      <c r="AH212" s="77"/>
      <c r="AI212" s="73"/>
      <c r="AJ212" s="78" t="str">
        <f>IF(AD212="","",IF(ISBLANK(AF212),"En cours",AD212+AF212))</f>
        <v/>
      </c>
      <c r="AK212" s="79" t="str">
        <f>IF(AE212="","",IF(ISBLANK(AH212),"En cours",AE212+AH212))</f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>IF(MIN(F213,J213,N213,R213,V213,Z213)&lt;&gt;0,MIN(F213,J213,N213,R213,V213,Z213),"")</f>
        <v/>
      </c>
      <c r="AE213" s="76" t="str">
        <f>IF(MIN(H213,L213,P213,T213,X213,AB213)&lt;&gt;0,MIN(H213,L213,P213,T213,X213,AB213),"")</f>
        <v/>
      </c>
      <c r="AF213" s="77"/>
      <c r="AG213" s="73"/>
      <c r="AH213" s="77"/>
      <c r="AI213" s="73"/>
      <c r="AJ213" s="78" t="str">
        <f>IF(AD213="","",IF(ISBLANK(AF213),"En cours",AD213+AF213))</f>
        <v/>
      </c>
      <c r="AK213" s="79" t="str">
        <f>IF(AE213="","",IF(ISBLANK(AH213),"En cours",AE213+AH213))</f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>IF(MIN(F214,J214,N214,R214,V214,Z214)&lt;&gt;0,MIN(F214,J214,N214,R214,V214,Z214),"")</f>
        <v/>
      </c>
      <c r="AE214" s="76" t="str">
        <f>IF(MIN(H214,L214,P214,T214,X214,AB214)&lt;&gt;0,MIN(H214,L214,P214,T214,X214,AB214),"")</f>
        <v/>
      </c>
      <c r="AF214" s="77"/>
      <c r="AG214" s="73"/>
      <c r="AH214" s="77"/>
      <c r="AI214" s="73"/>
      <c r="AJ214" s="78" t="str">
        <f>IF(AD214="","",IF(ISBLANK(AF214),"En cours",AD214+AF214))</f>
        <v/>
      </c>
      <c r="AK214" s="79" t="str">
        <f>IF(AE214="","",IF(ISBLANK(AH214),"En cours",AE214+AH214))</f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>IF(MIN(F215,J215,N215,R215,V215,Z215)&lt;&gt;0,MIN(F215,J215,N215,R215,V215,Z215),"")</f>
        <v/>
      </c>
      <c r="AE215" s="76" t="str">
        <f>IF(MIN(H215,L215,P215,T215,X215,AB215)&lt;&gt;0,MIN(H215,L215,P215,T215,X215,AB215),"")</f>
        <v/>
      </c>
      <c r="AF215" s="77"/>
      <c r="AG215" s="73"/>
      <c r="AH215" s="77"/>
      <c r="AI215" s="73"/>
      <c r="AJ215" s="78" t="str">
        <f>IF(AD215="","",IF(ISBLANK(AF215),"En cours",AD215+AF215))</f>
        <v/>
      </c>
      <c r="AK215" s="79" t="str">
        <f>IF(AE215="","",IF(ISBLANK(AH215),"En cours",AE215+AH215))</f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>IF(MIN(F216,J216,N216,R216,V216,Z216)&lt;&gt;0,MIN(F216,J216,N216,R216,V216,Z216),"")</f>
        <v/>
      </c>
      <c r="AE216" s="76" t="str">
        <f>IF(MIN(H216,L216,P216,T216,X216,AB216)&lt;&gt;0,MIN(H216,L216,P216,T216,X216,AB216),"")</f>
        <v/>
      </c>
      <c r="AF216" s="77"/>
      <c r="AG216" s="73"/>
      <c r="AH216" s="77"/>
      <c r="AI216" s="73"/>
      <c r="AJ216" s="78" t="str">
        <f>IF(AD216="","",IF(ISBLANK(AF216),"En cours",AD216+AF216))</f>
        <v/>
      </c>
      <c r="AK216" s="79" t="str">
        <f>IF(AE216="","",IF(ISBLANK(AH216),"En cours",AE216+AH216))</f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>IF(MIN(F217,J217,N217,R217,V217,Z217)&lt;&gt;0,MIN(F217,J217,N217,R217,V217,Z217),"")</f>
        <v/>
      </c>
      <c r="AE217" s="76" t="str">
        <f>IF(MIN(H217,L217,P217,T217,X217,AB217)&lt;&gt;0,MIN(H217,L217,P217,T217,X217,AB217),"")</f>
        <v/>
      </c>
      <c r="AF217" s="77"/>
      <c r="AG217" s="73"/>
      <c r="AH217" s="77"/>
      <c r="AI217" s="73"/>
      <c r="AJ217" s="78" t="str">
        <f>IF(AD217="","",IF(ISBLANK(AF217),"En cours",AD217+AF217))</f>
        <v/>
      </c>
      <c r="AK217" s="79" t="str">
        <f>IF(AE217="","",IF(ISBLANK(AH217),"En cours",AE217+AH217))</f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>IF(MIN(F218,J218,N218,R218,V218,Z218)&lt;&gt;0,MIN(F218,J218,N218,R218,V218,Z218),"")</f>
        <v/>
      </c>
      <c r="AE218" s="76" t="str">
        <f>IF(MIN(H218,L218,P218,T218,X218,AB218)&lt;&gt;0,MIN(H218,L218,P218,T218,X218,AB218),"")</f>
        <v/>
      </c>
      <c r="AF218" s="77"/>
      <c r="AG218" s="73"/>
      <c r="AH218" s="77"/>
      <c r="AI218" s="73"/>
      <c r="AJ218" s="78" t="str">
        <f>IF(AD218="","",IF(ISBLANK(AF218),"En cours",AD218+AF218))</f>
        <v/>
      </c>
      <c r="AK218" s="79" t="str">
        <f>IF(AE218="","",IF(ISBLANK(AH218),"En cours",AE218+AH218))</f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>IF(MIN(F219,J219,N219,R219,V219,Z219)&lt;&gt;0,MIN(F219,J219,N219,R219,V219,Z219),"")</f>
        <v/>
      </c>
      <c r="AE219" s="76" t="str">
        <f>IF(MIN(H219,L219,P219,T219,X219,AB219)&lt;&gt;0,MIN(H219,L219,P219,T219,X219,AB219),"")</f>
        <v/>
      </c>
      <c r="AF219" s="77"/>
      <c r="AG219" s="73"/>
      <c r="AH219" s="77"/>
      <c r="AI219" s="73"/>
      <c r="AJ219" s="78" t="str">
        <f>IF(AD219="","",IF(ISBLANK(AF219),"En cours",AD219+AF219))</f>
        <v/>
      </c>
      <c r="AK219" s="79" t="str">
        <f>IF(AE219="","",IF(ISBLANK(AH219),"En cours",AE219+AH219))</f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>IF(MIN(F220,J220,N220,R220,V220,Z220)&lt;&gt;0,MIN(F220,J220,N220,R220,V220,Z220),"")</f>
        <v/>
      </c>
      <c r="AE220" s="76" t="str">
        <f>IF(MIN(H220,L220,P220,T220,X220,AB220)&lt;&gt;0,MIN(H220,L220,P220,T220,X220,AB220),"")</f>
        <v/>
      </c>
      <c r="AF220" s="77"/>
      <c r="AG220" s="73"/>
      <c r="AH220" s="77"/>
      <c r="AI220" s="73"/>
      <c r="AJ220" s="78" t="str">
        <f>IF(AD220="","",IF(ISBLANK(AF220),"En cours",AD220+AF220))</f>
        <v/>
      </c>
      <c r="AK220" s="79" t="str">
        <f>IF(AE220="","",IF(ISBLANK(AH220),"En cours",AE220+AH220))</f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>IF(MIN(F221,J221,N221,R221,V221,Z221)&lt;&gt;0,MIN(F221,J221,N221,R221,V221,Z221),"")</f>
        <v/>
      </c>
      <c r="AE221" s="76" t="str">
        <f>IF(MIN(H221,L221,P221,T221,X221,AB221)&lt;&gt;0,MIN(H221,L221,P221,T221,X221,AB221),"")</f>
        <v/>
      </c>
      <c r="AF221" s="77"/>
      <c r="AG221" s="73"/>
      <c r="AH221" s="77"/>
      <c r="AI221" s="73"/>
      <c r="AJ221" s="78" t="str">
        <f>IF(AD221="","",IF(ISBLANK(AF221),"En cours",AD221+AF221))</f>
        <v/>
      </c>
      <c r="AK221" s="79" t="str">
        <f>IF(AE221="","",IF(ISBLANK(AH221),"En cours",AE221+AH221))</f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>IF(MIN(F222,J222,N222,R222,V222,Z222)&lt;&gt;0,MIN(F222,J222,N222,R222,V222,Z222),"")</f>
        <v/>
      </c>
      <c r="AE222" s="76" t="str">
        <f>IF(MIN(H222,L222,P222,T222,X222,AB222)&lt;&gt;0,MIN(H222,L222,P222,T222,X222,AB222),"")</f>
        <v/>
      </c>
      <c r="AF222" s="77"/>
      <c r="AG222" s="73"/>
      <c r="AH222" s="77"/>
      <c r="AI222" s="73"/>
      <c r="AJ222" s="78" t="str">
        <f>IF(AD222="","",IF(ISBLANK(AF222),"En cours",AD222+AF222))</f>
        <v/>
      </c>
      <c r="AK222" s="79" t="str">
        <f>IF(AE222="","",IF(ISBLANK(AH222),"En cours",AE222+AH222))</f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>IF(MIN(F223,J223,N223,R223,V223,Z223)&lt;&gt;0,MIN(F223,J223,N223,R223,V223,Z223),"")</f>
        <v/>
      </c>
      <c r="AE223" s="76" t="str">
        <f>IF(MIN(H223,L223,P223,T223,X223,AB223)&lt;&gt;0,MIN(H223,L223,P223,T223,X223,AB223),"")</f>
        <v/>
      </c>
      <c r="AF223" s="77"/>
      <c r="AG223" s="73"/>
      <c r="AH223" s="77"/>
      <c r="AI223" s="73"/>
      <c r="AJ223" s="78" t="str">
        <f>IF(AD223="","",IF(ISBLANK(AF223),"En cours",AD223+AF223))</f>
        <v/>
      </c>
      <c r="AK223" s="79" t="str">
        <f>IF(AE223="","",IF(ISBLANK(AH223),"En cours",AE223+AH223))</f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>IF(MIN(F224,J224,N224,R224,V224,Z224)&lt;&gt;0,MIN(F224,J224,N224,R224,V224,Z224),"")</f>
        <v/>
      </c>
      <c r="AE224" s="76" t="str">
        <f>IF(MIN(H224,L224,P224,T224,X224,AB224)&lt;&gt;0,MIN(H224,L224,P224,T224,X224,AB224),"")</f>
        <v/>
      </c>
      <c r="AF224" s="77"/>
      <c r="AG224" s="73"/>
      <c r="AH224" s="77"/>
      <c r="AI224" s="73"/>
      <c r="AJ224" s="78" t="str">
        <f>IF(AD224="","",IF(ISBLANK(AF224),"En cours",AD224+AF224))</f>
        <v/>
      </c>
      <c r="AK224" s="79" t="str">
        <f>IF(AE224="","",IF(ISBLANK(AH224),"En cours",AE224+AH224))</f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>IF(MIN(F225,J225,N225,R225,V225,Z225)&lt;&gt;0,MIN(F225,J225,N225,R225,V225,Z225),"")</f>
        <v/>
      </c>
      <c r="AE225" s="76" t="str">
        <f>IF(MIN(H225,L225,P225,T225,X225,AB225)&lt;&gt;0,MIN(H225,L225,P225,T225,X225,AB225),"")</f>
        <v/>
      </c>
      <c r="AF225" s="77"/>
      <c r="AG225" s="73"/>
      <c r="AH225" s="77"/>
      <c r="AI225" s="73"/>
      <c r="AJ225" s="78" t="str">
        <f>IF(AD225="","",IF(ISBLANK(AF225),"En cours",AD225+AF225))</f>
        <v/>
      </c>
      <c r="AK225" s="79" t="str">
        <f>IF(AE225="","",IF(ISBLANK(AH225),"En cours",AE225+AH225))</f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>IF(MIN(F226,J226,N226,R226,V226,Z226)&lt;&gt;0,MIN(F226,J226,N226,R226,V226,Z226),"")</f>
        <v/>
      </c>
      <c r="AE226" s="76" t="str">
        <f>IF(MIN(H226,L226,P226,T226,X226,AB226)&lt;&gt;0,MIN(H226,L226,P226,T226,X226,AB226),"")</f>
        <v/>
      </c>
      <c r="AF226" s="77"/>
      <c r="AG226" s="73"/>
      <c r="AH226" s="77"/>
      <c r="AI226" s="73"/>
      <c r="AJ226" s="78" t="str">
        <f>IF(AD226="","",IF(ISBLANK(AF226),"En cours",AD226+AF226))</f>
        <v/>
      </c>
      <c r="AK226" s="79" t="str">
        <f>IF(AE226="","",IF(ISBLANK(AH226),"En cours",AE226+AH226))</f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>IF(MIN(F227,J227,N227,R227,V227,Z227)&lt;&gt;0,MIN(F227,J227,N227,R227,V227,Z227),"")</f>
        <v/>
      </c>
      <c r="AE227" s="76" t="str">
        <f>IF(MIN(H227,L227,P227,T227,X227,AB227)&lt;&gt;0,MIN(H227,L227,P227,T227,X227,AB227),"")</f>
        <v/>
      </c>
      <c r="AF227" s="77"/>
      <c r="AG227" s="73"/>
      <c r="AH227" s="77"/>
      <c r="AI227" s="73"/>
      <c r="AJ227" s="78" t="str">
        <f>IF(AD227="","",IF(ISBLANK(AF227),"En cours",AD227+AF227))</f>
        <v/>
      </c>
      <c r="AK227" s="79" t="str">
        <f>IF(AE227="","",IF(ISBLANK(AH227),"En cours",AE227+AH227))</f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>IF(MIN(F228,J228,N228,R228,V228,Z228)&lt;&gt;0,MIN(F228,J228,N228,R228,V228,Z228),"")</f>
        <v/>
      </c>
      <c r="AE228" s="76" t="str">
        <f>IF(MIN(H228,L228,P228,T228,X228,AB228)&lt;&gt;0,MIN(H228,L228,P228,T228,X228,AB228),"")</f>
        <v/>
      </c>
      <c r="AF228" s="77"/>
      <c r="AG228" s="73"/>
      <c r="AH228" s="77"/>
      <c r="AI228" s="73"/>
      <c r="AJ228" s="78" t="str">
        <f>IF(AD228="","",IF(ISBLANK(AF228),"En cours",AD228+AF228))</f>
        <v/>
      </c>
      <c r="AK228" s="79" t="str">
        <f>IF(AE228="","",IF(ISBLANK(AH228),"En cours",AE228+AH228))</f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>IF(MIN(F229,J229,N229,R229,V229,Z229)&lt;&gt;0,MIN(F229,J229,N229,R229,V229,Z229),"")</f>
        <v/>
      </c>
      <c r="AE229" s="76" t="str">
        <f>IF(MIN(H229,L229,P229,T229,X229,AB229)&lt;&gt;0,MIN(H229,L229,P229,T229,X229,AB229),"")</f>
        <v/>
      </c>
      <c r="AF229" s="77"/>
      <c r="AG229" s="73"/>
      <c r="AH229" s="77"/>
      <c r="AI229" s="73"/>
      <c r="AJ229" s="78" t="str">
        <f>IF(AD229="","",IF(ISBLANK(AF229),"En cours",AD229+AF229))</f>
        <v/>
      </c>
      <c r="AK229" s="79" t="str">
        <f>IF(AE229="","",IF(ISBLANK(AH229),"En cours",AE229+AH229))</f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>IF(MIN(F230,J230,N230,R230,V230,Z230)&lt;&gt;0,MIN(F230,J230,N230,R230,V230,Z230),"")</f>
        <v/>
      </c>
      <c r="AE230" s="76" t="str">
        <f>IF(MIN(H230,L230,P230,T230,X230,AB230)&lt;&gt;0,MIN(H230,L230,P230,T230,X230,AB230),"")</f>
        <v/>
      </c>
      <c r="AF230" s="77"/>
      <c r="AG230" s="73"/>
      <c r="AH230" s="77"/>
      <c r="AI230" s="73"/>
      <c r="AJ230" s="78" t="str">
        <f>IF(AD230="","",IF(ISBLANK(AF230),"En cours",AD230+AF230))</f>
        <v/>
      </c>
      <c r="AK230" s="79" t="str">
        <f>IF(AE230="","",IF(ISBLANK(AH230),"En cours",AE230+AH230))</f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>IF(MIN(F231,J231,N231,R231,V231,Z231)&lt;&gt;0,MIN(F231,J231,N231,R231,V231,Z231),"")</f>
        <v/>
      </c>
      <c r="AE231" s="76" t="str">
        <f>IF(MIN(H231,L231,P231,T231,X231,AB231)&lt;&gt;0,MIN(H231,L231,P231,T231,X231,AB231),"")</f>
        <v/>
      </c>
      <c r="AF231" s="77"/>
      <c r="AG231" s="73"/>
      <c r="AH231" s="77"/>
      <c r="AI231" s="73"/>
      <c r="AJ231" s="78" t="str">
        <f>IF(AD231="","",IF(ISBLANK(AF231),"En cours",AD231+AF231))</f>
        <v/>
      </c>
      <c r="AK231" s="79" t="str">
        <f>IF(AE231="","",IF(ISBLANK(AH231),"En cours",AE231+AH231))</f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>IF(MIN(F232,J232,N232,R232,V232,Z232)&lt;&gt;0,MIN(F232,J232,N232,R232,V232,Z232),"")</f>
        <v/>
      </c>
      <c r="AE232" s="76" t="str">
        <f>IF(MIN(H232,L232,P232,T232,X232,AB232)&lt;&gt;0,MIN(H232,L232,P232,T232,X232,AB232),"")</f>
        <v/>
      </c>
      <c r="AF232" s="77"/>
      <c r="AG232" s="73"/>
      <c r="AH232" s="77"/>
      <c r="AI232" s="73"/>
      <c r="AJ232" s="78" t="str">
        <f>IF(AD232="","",IF(ISBLANK(AF232),"En cours",AD232+AF232))</f>
        <v/>
      </c>
      <c r="AK232" s="79" t="str">
        <f>IF(AE232="","",IF(ISBLANK(AH232),"En cours",AE232+AH232))</f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>IF(MIN(F233,J233,N233,R233,V233,Z233)&lt;&gt;0,MIN(F233,J233,N233,R233,V233,Z233),"")</f>
        <v/>
      </c>
      <c r="AE233" s="76" t="str">
        <f>IF(MIN(H233,L233,P233,T233,X233,AB233)&lt;&gt;0,MIN(H233,L233,P233,T233,X233,AB233),"")</f>
        <v/>
      </c>
      <c r="AF233" s="77"/>
      <c r="AG233" s="73"/>
      <c r="AH233" s="77"/>
      <c r="AI233" s="73"/>
      <c r="AJ233" s="78" t="str">
        <f>IF(AD233="","",IF(ISBLANK(AF233),"En cours",AD233+AF233))</f>
        <v/>
      </c>
      <c r="AK233" s="79" t="str">
        <f>IF(AE233="","",IF(ISBLANK(AH233),"En cours",AE233+AH233))</f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>IF(MIN(F234,J234,N234,R234,V234,Z234)&lt;&gt;0,MIN(F234,J234,N234,R234,V234,Z234),"")</f>
        <v/>
      </c>
      <c r="AE234" s="76" t="str">
        <f>IF(MIN(H234,L234,P234,T234,X234,AB234)&lt;&gt;0,MIN(H234,L234,P234,T234,X234,AB234),"")</f>
        <v/>
      </c>
      <c r="AF234" s="77"/>
      <c r="AG234" s="73"/>
      <c r="AH234" s="77"/>
      <c r="AI234" s="73"/>
      <c r="AJ234" s="78" t="str">
        <f>IF(AD234="","",IF(ISBLANK(AF234),"En cours",AD234+AF234))</f>
        <v/>
      </c>
      <c r="AK234" s="79" t="str">
        <f>IF(AE234="","",IF(ISBLANK(AH234),"En cours",AE234+AH234))</f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>IF(MIN(F235,J235,N235,R235,V235,Z235)&lt;&gt;0,MIN(F235,J235,N235,R235,V235,Z235),"")</f>
        <v/>
      </c>
      <c r="AE235" s="76" t="str">
        <f>IF(MIN(H235,L235,P235,T235,X235,AB235)&lt;&gt;0,MIN(H235,L235,P235,T235,X235,AB235),"")</f>
        <v/>
      </c>
      <c r="AF235" s="77"/>
      <c r="AG235" s="73"/>
      <c r="AH235" s="77"/>
      <c r="AI235" s="73"/>
      <c r="AJ235" s="78" t="str">
        <f>IF(AD235="","",IF(ISBLANK(AF235),"En cours",AD235+AF235))</f>
        <v/>
      </c>
      <c r="AK235" s="79" t="str">
        <f>IF(AE235="","",IF(ISBLANK(AH235),"En cours",AE235+AH235))</f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>IF(MIN(F236,J236,N236,R236,V236,Z236)&lt;&gt;0,MIN(F236,J236,N236,R236,V236,Z236),"")</f>
        <v/>
      </c>
      <c r="AE236" s="76" t="str">
        <f>IF(MIN(H236,L236,P236,T236,X236,AB236)&lt;&gt;0,MIN(H236,L236,P236,T236,X236,AB236),"")</f>
        <v/>
      </c>
      <c r="AF236" s="77"/>
      <c r="AG236" s="73"/>
      <c r="AH236" s="77"/>
      <c r="AI236" s="73"/>
      <c r="AJ236" s="78" t="str">
        <f>IF(AD236="","",IF(ISBLANK(AF236),"En cours",AD236+AF236))</f>
        <v/>
      </c>
      <c r="AK236" s="79" t="str">
        <f>IF(AE236="","",IF(ISBLANK(AH236),"En cours",AE236+AH236))</f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>IF(MIN(F237,J237,N237,R237,V237,Z237)&lt;&gt;0,MIN(F237,J237,N237,R237,V237,Z237),"")</f>
        <v/>
      </c>
      <c r="AE237" s="76" t="str">
        <f>IF(MIN(H237,L237,P237,T237,X237,AB237)&lt;&gt;0,MIN(H237,L237,P237,T237,X237,AB237),"")</f>
        <v/>
      </c>
      <c r="AF237" s="77"/>
      <c r="AG237" s="73"/>
      <c r="AH237" s="77"/>
      <c r="AI237" s="73"/>
      <c r="AJ237" s="78" t="str">
        <f>IF(AD237="","",IF(ISBLANK(AF237),"En cours",AD237+AF237))</f>
        <v/>
      </c>
      <c r="AK237" s="79" t="str">
        <f>IF(AE237="","",IF(ISBLANK(AH237),"En cours",AE237+AH237))</f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>IF(MIN(F238,J238,N238,R238,V238,Z238)&lt;&gt;0,MIN(F238,J238,N238,R238,V238,Z238),"")</f>
        <v/>
      </c>
      <c r="AE238" s="76" t="str">
        <f>IF(MIN(H238,L238,P238,T238,X238,AB238)&lt;&gt;0,MIN(H238,L238,P238,T238,X238,AB238),"")</f>
        <v/>
      </c>
      <c r="AF238" s="77"/>
      <c r="AG238" s="73"/>
      <c r="AH238" s="77"/>
      <c r="AI238" s="73"/>
      <c r="AJ238" s="78" t="str">
        <f>IF(AD238="","",IF(ISBLANK(AF238),"En cours",AD238+AF238))</f>
        <v/>
      </c>
      <c r="AK238" s="79" t="str">
        <f>IF(AE238="","",IF(ISBLANK(AH238),"En cours",AE238+AH238))</f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>IF(MIN(F239,J239,N239,R239,V239,Z239)&lt;&gt;0,MIN(F239,J239,N239,R239,V239,Z239),"")</f>
        <v/>
      </c>
      <c r="AE239" s="76" t="str">
        <f>IF(MIN(H239,L239,P239,T239,X239,AB239)&lt;&gt;0,MIN(H239,L239,P239,T239,X239,AB239),"")</f>
        <v/>
      </c>
      <c r="AF239" s="77"/>
      <c r="AG239" s="73"/>
      <c r="AH239" s="77"/>
      <c r="AI239" s="73"/>
      <c r="AJ239" s="78" t="str">
        <f>IF(AD239="","",IF(ISBLANK(AF239),"En cours",AD239+AF239))</f>
        <v/>
      </c>
      <c r="AK239" s="79" t="str">
        <f>IF(AE239="","",IF(ISBLANK(AH239),"En cours",AE239+AH239))</f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>IF(MIN(F240,J240,N240,R240,V240,Z240)&lt;&gt;0,MIN(F240,J240,N240,R240,V240,Z240),"")</f>
        <v/>
      </c>
      <c r="AE240" s="76" t="str">
        <f>IF(MIN(H240,L240,P240,T240,X240,AB240)&lt;&gt;0,MIN(H240,L240,P240,T240,X240,AB240),"")</f>
        <v/>
      </c>
      <c r="AF240" s="77"/>
      <c r="AG240" s="73"/>
      <c r="AH240" s="77"/>
      <c r="AI240" s="73"/>
      <c r="AJ240" s="78" t="str">
        <f>IF(AD240="","",IF(ISBLANK(AF240),"En cours",AD240+AF240))</f>
        <v/>
      </c>
      <c r="AK240" s="79" t="str">
        <f>IF(AE240="","",IF(ISBLANK(AH240),"En cours",AE240+AH240))</f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>IF(MIN(F241,J241,N241,R241,V241,Z241)&lt;&gt;0,MIN(F241,J241,N241,R241,V241,Z241),"")</f>
        <v/>
      </c>
      <c r="AE241" s="76" t="str">
        <f>IF(MIN(H241,L241,P241,T241,X241,AB241)&lt;&gt;0,MIN(H241,L241,P241,T241,X241,AB241),"")</f>
        <v/>
      </c>
      <c r="AF241" s="77"/>
      <c r="AG241" s="73"/>
      <c r="AH241" s="77"/>
      <c r="AI241" s="73"/>
      <c r="AJ241" s="78" t="str">
        <f>IF(AD241="","",IF(ISBLANK(AF241),"En cours",AD241+AF241))</f>
        <v/>
      </c>
      <c r="AK241" s="79" t="str">
        <f>IF(AE241="","",IF(ISBLANK(AH241),"En cours",AE241+AH241))</f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>IF(MIN(F242,J242,N242,R242,V242,Z242)&lt;&gt;0,MIN(F242,J242,N242,R242,V242,Z242),"")</f>
        <v/>
      </c>
      <c r="AE242" s="76" t="str">
        <f>IF(MIN(H242,L242,P242,T242,X242,AB242)&lt;&gt;0,MIN(H242,L242,P242,T242,X242,AB242),"")</f>
        <v/>
      </c>
      <c r="AF242" s="77"/>
      <c r="AG242" s="73"/>
      <c r="AH242" s="77"/>
      <c r="AI242" s="73"/>
      <c r="AJ242" s="78" t="str">
        <f>IF(AD242="","",IF(ISBLANK(AF242),"En cours",AD242+AF242))</f>
        <v/>
      </c>
      <c r="AK242" s="79" t="str">
        <f>IF(AE242="","",IF(ISBLANK(AH242),"En cours",AE242+AH242))</f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>IF(MIN(F243,J243,N243,R243,V243,Z243)&lt;&gt;0,MIN(F243,J243,N243,R243,V243,Z243),"")</f>
        <v/>
      </c>
      <c r="AE243" s="76" t="str">
        <f>IF(MIN(H243,L243,P243,T243,X243,AB243)&lt;&gt;0,MIN(H243,L243,P243,T243,X243,AB243),"")</f>
        <v/>
      </c>
      <c r="AF243" s="77"/>
      <c r="AG243" s="73"/>
      <c r="AH243" s="77"/>
      <c r="AI243" s="73"/>
      <c r="AJ243" s="78" t="str">
        <f>IF(AD243="","",IF(ISBLANK(AF243),"En cours",AD243+AF243))</f>
        <v/>
      </c>
      <c r="AK243" s="79" t="str">
        <f>IF(AE243="","",IF(ISBLANK(AH243),"En cours",AE243+AH243))</f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>IF(MIN(F244,J244,N244,R244,V244,Z244)&lt;&gt;0,MIN(F244,J244,N244,R244,V244,Z244),"")</f>
        <v/>
      </c>
      <c r="AE244" s="76" t="str">
        <f>IF(MIN(H244,L244,P244,T244,X244,AB244)&lt;&gt;0,MIN(H244,L244,P244,T244,X244,AB244),"")</f>
        <v/>
      </c>
      <c r="AF244" s="77"/>
      <c r="AG244" s="73"/>
      <c r="AH244" s="77"/>
      <c r="AI244" s="73"/>
      <c r="AJ244" s="78" t="str">
        <f>IF(AD244="","",IF(ISBLANK(AF244),"En cours",AD244+AF244))</f>
        <v/>
      </c>
      <c r="AK244" s="79" t="str">
        <f>IF(AE244="","",IF(ISBLANK(AH244),"En cours",AE244+AH244))</f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>IF(MIN(F245,J245,N245,R245,V245,Z245)&lt;&gt;0,MIN(F245,J245,N245,R245,V245,Z245),"")</f>
        <v/>
      </c>
      <c r="AE245" s="76" t="str">
        <f>IF(MIN(H245,L245,P245,T245,X245,AB245)&lt;&gt;0,MIN(H245,L245,P245,T245,X245,AB245),"")</f>
        <v/>
      </c>
      <c r="AF245" s="77"/>
      <c r="AG245" s="73"/>
      <c r="AH245" s="77"/>
      <c r="AI245" s="73"/>
      <c r="AJ245" s="78" t="str">
        <f>IF(AD245="","",IF(ISBLANK(AF245),"En cours",AD245+AF245))</f>
        <v/>
      </c>
      <c r="AK245" s="79" t="str">
        <f>IF(AE245="","",IF(ISBLANK(AH245),"En cours",AE245+AH245))</f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>IF(MIN(F246,J246,N246,R246,V246,Z246)&lt;&gt;0,MIN(F246,J246,N246,R246,V246,Z246),"")</f>
        <v/>
      </c>
      <c r="AE246" s="76" t="str">
        <f>IF(MIN(H246,L246,P246,T246,X246,AB246)&lt;&gt;0,MIN(H246,L246,P246,T246,X246,AB246),"")</f>
        <v/>
      </c>
      <c r="AF246" s="77"/>
      <c r="AG246" s="73"/>
      <c r="AH246" s="77"/>
      <c r="AI246" s="73"/>
      <c r="AJ246" s="78" t="str">
        <f>IF(AD246="","",IF(ISBLANK(AF246),"En cours",AD246+AF246))</f>
        <v/>
      </c>
      <c r="AK246" s="79" t="str">
        <f>IF(AE246="","",IF(ISBLANK(AH246),"En cours",AE246+AH246))</f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>IF(MIN(F247,J247,N247,R247,V247,Z247)&lt;&gt;0,MIN(F247,J247,N247,R247,V247,Z247),"")</f>
        <v/>
      </c>
      <c r="AE247" s="76" t="str">
        <f>IF(MIN(H247,L247,P247,T247,X247,AB247)&lt;&gt;0,MIN(H247,L247,P247,T247,X247,AB247),"")</f>
        <v/>
      </c>
      <c r="AF247" s="77"/>
      <c r="AG247" s="73"/>
      <c r="AH247" s="77"/>
      <c r="AI247" s="73"/>
      <c r="AJ247" s="78" t="str">
        <f>IF(AD247="","",IF(ISBLANK(AF247),"En cours",AD247+AF247))</f>
        <v/>
      </c>
      <c r="AK247" s="79" t="str">
        <f>IF(AE247="","",IF(ISBLANK(AH247),"En cours",AE247+AH247))</f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>IF(MIN(F248,J248,N248,R248,V248,Z248)&lt;&gt;0,MIN(F248,J248,N248,R248,V248,Z248),"")</f>
        <v/>
      </c>
      <c r="AE248" s="76" t="str">
        <f>IF(MIN(H248,L248,P248,T248,X248,AB248)&lt;&gt;0,MIN(H248,L248,P248,T248,X248,AB248),"")</f>
        <v/>
      </c>
      <c r="AF248" s="77"/>
      <c r="AG248" s="73"/>
      <c r="AH248" s="77"/>
      <c r="AI248" s="73"/>
      <c r="AJ248" s="78" t="str">
        <f>IF(AD248="","",IF(ISBLANK(AF248),"En cours",AD248+AF248))</f>
        <v/>
      </c>
      <c r="AK248" s="79" t="str">
        <f>IF(AE248="","",IF(ISBLANK(AH248),"En cours",AE248+AH248))</f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>IF(MIN(F249,J249,N249,R249,V249,Z249)&lt;&gt;0,MIN(F249,J249,N249,R249,V249,Z249),"")</f>
        <v/>
      </c>
      <c r="AE249" s="76" t="str">
        <f>IF(MIN(H249,L249,P249,T249,X249,AB249)&lt;&gt;0,MIN(H249,L249,P249,T249,X249,AB249),"")</f>
        <v/>
      </c>
      <c r="AF249" s="77"/>
      <c r="AG249" s="73"/>
      <c r="AH249" s="77"/>
      <c r="AI249" s="73"/>
      <c r="AJ249" s="78" t="str">
        <f>IF(AD249="","",IF(ISBLANK(AF249),"En cours",AD249+AF249))</f>
        <v/>
      </c>
      <c r="AK249" s="79" t="str">
        <f>IF(AE249="","",IF(ISBLANK(AH249),"En cours",AE249+AH249))</f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>IF(MIN(F250,J250,N250,R250,V250,Z250)&lt;&gt;0,MIN(F250,J250,N250,R250,V250,Z250),"")</f>
        <v/>
      </c>
      <c r="AE250" s="76" t="str">
        <f>IF(MIN(H250,L250,P250,T250,X250,AB250)&lt;&gt;0,MIN(H250,L250,P250,T250,X250,AB250),"")</f>
        <v/>
      </c>
      <c r="AF250" s="77"/>
      <c r="AG250" s="73"/>
      <c r="AH250" s="77"/>
      <c r="AI250" s="73"/>
      <c r="AJ250" s="78" t="str">
        <f>IF(AD250="","",IF(ISBLANK(AF250),"En cours",AD250+AF250))</f>
        <v/>
      </c>
      <c r="AK250" s="79" t="str">
        <f>IF(AE250="","",IF(ISBLANK(AH250),"En cours",AE250+AH250))</f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>IF(MIN(F251,J251,N251,R251,V251,Z251)&lt;&gt;0,MIN(F251,J251,N251,R251,V251,Z251),"")</f>
        <v/>
      </c>
      <c r="AE251" s="76" t="str">
        <f>IF(MIN(H251,L251,P251,T251,X251,AB251)&lt;&gt;0,MIN(H251,L251,P251,T251,X251,AB251),"")</f>
        <v/>
      </c>
      <c r="AF251" s="77"/>
      <c r="AG251" s="73"/>
      <c r="AH251" s="77"/>
      <c r="AI251" s="73"/>
      <c r="AJ251" s="78" t="str">
        <f>IF(AD251="","",IF(ISBLANK(AF251),"En cours",AD251+AF251))</f>
        <v/>
      </c>
      <c r="AK251" s="79" t="str">
        <f>IF(AE251="","",IF(ISBLANK(AH251),"En cours",AE251+AH251))</f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>IF(MIN(F252,J252,N252,R252,V252,Z252)&lt;&gt;0,MIN(F252,J252,N252,R252,V252,Z252),"")</f>
        <v/>
      </c>
      <c r="AE252" s="76" t="str">
        <f>IF(MIN(H252,L252,P252,T252,X252,AB252)&lt;&gt;0,MIN(H252,L252,P252,T252,X252,AB252),"")</f>
        <v/>
      </c>
      <c r="AF252" s="77"/>
      <c r="AG252" s="73"/>
      <c r="AH252" s="77"/>
      <c r="AI252" s="73"/>
      <c r="AJ252" s="78" t="str">
        <f>IF(AD252="","",IF(ISBLANK(AF252),"En cours",AD252+AF252))</f>
        <v/>
      </c>
      <c r="AK252" s="79" t="str">
        <f>IF(AE252="","",IF(ISBLANK(AH252),"En cours",AE252+AH252))</f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>IF(MIN(F253,J253,N253,R253,V253,Z253)&lt;&gt;0,MIN(F253,J253,N253,R253,V253,Z253),"")</f>
        <v/>
      </c>
      <c r="AE253" s="76" t="str">
        <f>IF(MIN(H253,L253,P253,T253,X253,AB253)&lt;&gt;0,MIN(H253,L253,P253,T253,X253,AB253),"")</f>
        <v/>
      </c>
      <c r="AF253" s="77"/>
      <c r="AG253" s="73"/>
      <c r="AH253" s="77"/>
      <c r="AI253" s="73"/>
      <c r="AJ253" s="78" t="str">
        <f>IF(AD253="","",IF(ISBLANK(AF253),"En cours",AD253+AF253))</f>
        <v/>
      </c>
      <c r="AK253" s="79" t="str">
        <f>IF(AE253="","",IF(ISBLANK(AH253),"En cours",AE253+AH253))</f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>IF(MIN(F254,J254,N254,R254,V254,Z254)&lt;&gt;0,MIN(F254,J254,N254,R254,V254,Z254),"")</f>
        <v/>
      </c>
      <c r="AE254" s="76" t="str">
        <f>IF(MIN(H254,L254,P254,T254,X254,AB254)&lt;&gt;0,MIN(H254,L254,P254,T254,X254,AB254),"")</f>
        <v/>
      </c>
      <c r="AF254" s="77"/>
      <c r="AG254" s="73"/>
      <c r="AH254" s="77"/>
      <c r="AI254" s="73"/>
      <c r="AJ254" s="78" t="str">
        <f>IF(AD254="","",IF(ISBLANK(AF254),"En cours",AD254+AF254))</f>
        <v/>
      </c>
      <c r="AK254" s="79" t="str">
        <f>IF(AE254="","",IF(ISBLANK(AH254),"En cours",AE254+AH254))</f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>IF(MIN(F255,J255,N255,R255,V255,Z255)&lt;&gt;0,MIN(F255,J255,N255,R255,V255,Z255),"")</f>
        <v/>
      </c>
      <c r="AE255" s="76" t="str">
        <f>IF(MIN(H255,L255,P255,T255,X255,AB255)&lt;&gt;0,MIN(H255,L255,P255,T255,X255,AB255),"")</f>
        <v/>
      </c>
      <c r="AF255" s="77"/>
      <c r="AG255" s="73"/>
      <c r="AH255" s="77"/>
      <c r="AI255" s="73"/>
      <c r="AJ255" s="78" t="str">
        <f>IF(AD255="","",IF(ISBLANK(AF255),"En cours",AD255+AF255))</f>
        <v/>
      </c>
      <c r="AK255" s="79" t="str">
        <f>IF(AE255="","",IF(ISBLANK(AH255),"En cours",AE255+AH255))</f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>IF(MIN(F256,J256,N256,R256,V256,Z256)&lt;&gt;0,MIN(F256,J256,N256,R256,V256,Z256),"")</f>
        <v/>
      </c>
      <c r="AE256" s="76" t="str">
        <f>IF(MIN(H256,L256,P256,T256,X256,AB256)&lt;&gt;0,MIN(H256,L256,P256,T256,X256,AB256),"")</f>
        <v/>
      </c>
      <c r="AF256" s="77"/>
      <c r="AG256" s="73"/>
      <c r="AH256" s="77"/>
      <c r="AI256" s="73"/>
      <c r="AJ256" s="78" t="str">
        <f>IF(AD256="","",IF(ISBLANK(AF256),"En cours",AD256+AF256))</f>
        <v/>
      </c>
      <c r="AK256" s="79" t="str">
        <f>IF(AE256="","",IF(ISBLANK(AH256),"En cours",AE256+AH256))</f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>IF(MIN(F257,J257,N257,R257,V257,Z257)&lt;&gt;0,MIN(F257,J257,N257,R257,V257,Z257),"")</f>
        <v/>
      </c>
      <c r="AE257" s="76" t="str">
        <f>IF(MIN(H257,L257,P257,T257,X257,AB257)&lt;&gt;0,MIN(H257,L257,P257,T257,X257,AB257),"")</f>
        <v/>
      </c>
      <c r="AF257" s="77"/>
      <c r="AG257" s="73"/>
      <c r="AH257" s="77"/>
      <c r="AI257" s="73"/>
      <c r="AJ257" s="78" t="str">
        <f>IF(AD257="","",IF(ISBLANK(AF257),"En cours",AD257+AF257))</f>
        <v/>
      </c>
      <c r="AK257" s="79" t="str">
        <f>IF(AE257="","",IF(ISBLANK(AH257),"En cours",AE257+AH257))</f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>IF(MIN(F258,J258,N258,R258,V258,Z258)&lt;&gt;0,MIN(F258,J258,N258,R258,V258,Z258),"")</f>
        <v/>
      </c>
      <c r="AE258" s="76" t="str">
        <f>IF(MIN(H258,L258,P258,T258,X258,AB258)&lt;&gt;0,MIN(H258,L258,P258,T258,X258,AB258),"")</f>
        <v/>
      </c>
      <c r="AF258" s="77"/>
      <c r="AG258" s="73"/>
      <c r="AH258" s="77"/>
      <c r="AI258" s="73"/>
      <c r="AJ258" s="78" t="str">
        <f>IF(AD258="","",IF(ISBLANK(AF258),"En cours",AD258+AF258))</f>
        <v/>
      </c>
      <c r="AK258" s="79" t="str">
        <f>IF(AE258="","",IF(ISBLANK(AH258),"En cours",AE258+AH258))</f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>IF(MIN(F259,J259,N259,R259,V259,Z259)&lt;&gt;0,MIN(F259,J259,N259,R259,V259,Z259),"")</f>
        <v/>
      </c>
      <c r="AE259" s="76" t="str">
        <f>IF(MIN(H259,L259,P259,T259,X259,AB259)&lt;&gt;0,MIN(H259,L259,P259,T259,X259,AB259),"")</f>
        <v/>
      </c>
      <c r="AF259" s="77"/>
      <c r="AG259" s="73"/>
      <c r="AH259" s="77"/>
      <c r="AI259" s="73"/>
      <c r="AJ259" s="78" t="str">
        <f>IF(AD259="","",IF(ISBLANK(AF259),"En cours",AD259+AF259))</f>
        <v/>
      </c>
      <c r="AK259" s="79" t="str">
        <f>IF(AE259="","",IF(ISBLANK(AH259),"En cours",AE259+AH259))</f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>IF(MIN(F260,J260,N260,R260,V260,Z260)&lt;&gt;0,MIN(F260,J260,N260,R260,V260,Z260),"")</f>
        <v/>
      </c>
      <c r="AE260" s="76" t="str">
        <f>IF(MIN(H260,L260,P260,T260,X260,AB260)&lt;&gt;0,MIN(H260,L260,P260,T260,X260,AB260),"")</f>
        <v/>
      </c>
      <c r="AF260" s="77"/>
      <c r="AG260" s="73"/>
      <c r="AH260" s="77"/>
      <c r="AI260" s="73"/>
      <c r="AJ260" s="78" t="str">
        <f>IF(AD260="","",IF(ISBLANK(AF260),"En cours",AD260+AF260))</f>
        <v/>
      </c>
      <c r="AK260" s="79" t="str">
        <f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>IF(MIN(F261,J261,N261,R261,V261,Z261)&lt;&gt;0,MIN(F261,J261,N261,R261,V261,Z261),"")</f>
        <v/>
      </c>
      <c r="AE261" s="76" t="str">
        <f>IF(MIN(H261,L261,P261,T261,X261,AB261)&lt;&gt;0,MIN(H261,L261,P261,T261,X261,AB261),"")</f>
        <v/>
      </c>
      <c r="AF261" s="77"/>
      <c r="AG261" s="73"/>
      <c r="AH261" s="77"/>
      <c r="AI261" s="73"/>
      <c r="AJ261" s="78" t="str">
        <f>IF(AD261="","",IF(ISBLANK(AF261),"En cours",AD261+AF261))</f>
        <v/>
      </c>
      <c r="AK261" s="79" t="str">
        <f>IF(AE261="","",IF(ISBLANK(AH261),"En cours",AE261+AH261))</f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>IF(MIN(F262,J262,N262,R262,V262,Z262)&lt;&gt;0,MIN(F262,J262,N262,R262,V262,Z262),"")</f>
        <v/>
      </c>
      <c r="AE262" s="76" t="str">
        <f>IF(MIN(H262,L262,P262,T262,X262,AB262)&lt;&gt;0,MIN(H262,L262,P262,T262,X262,AB262),"")</f>
        <v/>
      </c>
      <c r="AF262" s="77"/>
      <c r="AG262" s="73"/>
      <c r="AH262" s="77"/>
      <c r="AI262" s="73"/>
      <c r="AJ262" s="78" t="str">
        <f>IF(AD262="","",IF(ISBLANK(AF262),"En cours",AD262+AF262))</f>
        <v/>
      </c>
      <c r="AK262" s="79" t="str">
        <f>IF(AE262="","",IF(ISBLANK(AH262),"En cours",AE262+AH262))</f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>IF(MIN(F263,J263,N263,R263,V263,Z263)&lt;&gt;0,MIN(F263,J263,N263,R263,V263,Z263),"")</f>
        <v/>
      </c>
      <c r="AE263" s="76" t="str">
        <f>IF(MIN(H263,L263,P263,T263,X263,AB263)&lt;&gt;0,MIN(H263,L263,P263,T263,X263,AB263),"")</f>
        <v/>
      </c>
      <c r="AF263" s="77"/>
      <c r="AG263" s="73"/>
      <c r="AH263" s="77"/>
      <c r="AI263" s="73"/>
      <c r="AJ263" s="78" t="str">
        <f>IF(AD263="","",IF(ISBLANK(AF263),"En cours",AD263+AF263))</f>
        <v/>
      </c>
      <c r="AK263" s="79" t="str">
        <f>IF(AE263="","",IF(ISBLANK(AH263),"En cours",AE263+AH263))</f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>IF(MIN(F264,J264,N264,R264,V264,Z264)&lt;&gt;0,MIN(F264,J264,N264,R264,V264,Z264),"")</f>
        <v/>
      </c>
      <c r="AE264" s="76" t="str">
        <f>IF(MIN(H264,L264,P264,T264,X264,AB264)&lt;&gt;0,MIN(H264,L264,P264,T264,X264,AB264),"")</f>
        <v/>
      </c>
      <c r="AF264" s="77"/>
      <c r="AG264" s="73"/>
      <c r="AH264" s="77"/>
      <c r="AI264" s="73"/>
      <c r="AJ264" s="78" t="str">
        <f>IF(AD264="","",IF(ISBLANK(AF264),"En cours",AD264+AF264))</f>
        <v/>
      </c>
      <c r="AK264" s="79" t="str">
        <f>IF(AE264="","",IF(ISBLANK(AH264),"En cours",AE264+AH264))</f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>IF(MIN(F265,J265,N265,R265,V265,Z265)&lt;&gt;0,MIN(F265,J265,N265,R265,V265,Z265),"")</f>
        <v/>
      </c>
      <c r="AE265" s="76" t="str">
        <f>IF(MIN(H265,L265,P265,T265,X265,AB265)&lt;&gt;0,MIN(H265,L265,P265,T265,X265,AB265),"")</f>
        <v/>
      </c>
      <c r="AF265" s="77"/>
      <c r="AG265" s="73"/>
      <c r="AH265" s="77"/>
      <c r="AI265" s="73"/>
      <c r="AJ265" s="78" t="str">
        <f>IF(AD265="","",IF(ISBLANK(AF265),"En cours",AD265+AF265))</f>
        <v/>
      </c>
      <c r="AK265" s="79" t="str">
        <f>IF(AE265="","",IF(ISBLANK(AH265),"En cours",AE265+AH265))</f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>IF(MIN(F266,J266,N266,R266,V266,Z266)&lt;&gt;0,MIN(F266,J266,N266,R266,V266,Z266),"")</f>
        <v/>
      </c>
      <c r="AE266" s="76" t="str">
        <f>IF(MIN(H266,L266,P266,T266,X266,AB266)&lt;&gt;0,MIN(H266,L266,P266,T266,X266,AB266),"")</f>
        <v/>
      </c>
      <c r="AF266" s="77"/>
      <c r="AG266" s="73"/>
      <c r="AH266" s="77"/>
      <c r="AI266" s="73"/>
      <c r="AJ266" s="78" t="str">
        <f>IF(AD266="","",IF(ISBLANK(AF266),"En cours",AD266+AF266))</f>
        <v/>
      </c>
      <c r="AK266" s="79" t="str">
        <f>IF(AE266="","",IF(ISBLANK(AH266),"En cours",AE266+AH266))</f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>IF(MIN(F267,J267,N267,R267,V267,Z267)&lt;&gt;0,MIN(F267,J267,N267,R267,V267,Z267),"")</f>
        <v/>
      </c>
      <c r="AE267" s="76" t="str">
        <f>IF(MIN(H267,L267,P267,T267,X267,AB267)&lt;&gt;0,MIN(H267,L267,P267,T267,X267,AB267),"")</f>
        <v/>
      </c>
      <c r="AF267" s="77"/>
      <c r="AG267" s="73"/>
      <c r="AH267" s="77"/>
      <c r="AI267" s="73"/>
      <c r="AJ267" s="78" t="str">
        <f>IF(AD267="","",IF(ISBLANK(AF267),"En cours",AD267+AF267))</f>
        <v/>
      </c>
      <c r="AK267" s="79" t="str">
        <f>IF(AE267="","",IF(ISBLANK(AH267),"En cours",AE267+AH267))</f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>IF(MIN(F268,J268,N268,R268,V268,Z268)&lt;&gt;0,MIN(F268,J268,N268,R268,V268,Z268),"")</f>
        <v/>
      </c>
      <c r="AE268" s="76" t="str">
        <f>IF(MIN(H268,L268,P268,T268,X268,AB268)&lt;&gt;0,MIN(H268,L268,P268,T268,X268,AB268),"")</f>
        <v/>
      </c>
      <c r="AF268" s="77"/>
      <c r="AG268" s="73"/>
      <c r="AH268" s="77"/>
      <c r="AI268" s="73"/>
      <c r="AJ268" s="78" t="str">
        <f>IF(AD268="","",IF(ISBLANK(AF268),"En cours",AD268+AF268))</f>
        <v/>
      </c>
      <c r="AK268" s="79" t="str">
        <f>IF(AE268="","",IF(ISBLANK(AH268),"En cours",AE268+AH268))</f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>IF(MIN(F269,J269,N269,R269,V269,Z269)&lt;&gt;0,MIN(F269,J269,N269,R269,V269,Z269),"")</f>
        <v/>
      </c>
      <c r="AE269" s="76" t="str">
        <f>IF(MIN(H269,L269,P269,T269,X269,AB269)&lt;&gt;0,MIN(H269,L269,P269,T269,X269,AB269),"")</f>
        <v/>
      </c>
      <c r="AF269" s="77"/>
      <c r="AG269" s="73"/>
      <c r="AH269" s="77"/>
      <c r="AI269" s="73"/>
      <c r="AJ269" s="78" t="str">
        <f>IF(AD269="","",IF(ISBLANK(AF269),"En cours",AD269+AF269))</f>
        <v/>
      </c>
      <c r="AK269" s="79" t="str">
        <f>IF(AE269="","",IF(ISBLANK(AH269),"En cours",AE269+AH269))</f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>IF(MIN(F270,J270,N270,R270,V270,Z270)&lt;&gt;0,MIN(F270,J270,N270,R270,V270,Z270),"")</f>
        <v/>
      </c>
      <c r="AE270" s="76" t="str">
        <f>IF(MIN(H270,L270,P270,T270,X270,AB270)&lt;&gt;0,MIN(H270,L270,P270,T270,X270,AB270),"")</f>
        <v/>
      </c>
      <c r="AF270" s="77"/>
      <c r="AG270" s="73"/>
      <c r="AH270" s="77"/>
      <c r="AI270" s="73"/>
      <c r="AJ270" s="78" t="str">
        <f>IF(AD270="","",IF(ISBLANK(AF270),"En cours",AD270+AF270))</f>
        <v/>
      </c>
      <c r="AK270" s="79" t="str">
        <f>IF(AE270="","",IF(ISBLANK(AH270),"En cours",AE270+AH270))</f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>IF(MIN(F271,J271,N271,R271,V271,Z271)&lt;&gt;0,MIN(F271,J271,N271,R271,V271,Z271),"")</f>
        <v/>
      </c>
      <c r="AE271" s="76" t="str">
        <f>IF(MIN(H271,L271,P271,T271,X271,AB271)&lt;&gt;0,MIN(H271,L271,P271,T271,X271,AB271),"")</f>
        <v/>
      </c>
      <c r="AF271" s="77"/>
      <c r="AG271" s="73"/>
      <c r="AH271" s="77"/>
      <c r="AI271" s="73"/>
      <c r="AJ271" s="78" t="str">
        <f>IF(AD271="","",IF(ISBLANK(AF271),"En cours",AD271+AF271))</f>
        <v/>
      </c>
      <c r="AK271" s="79" t="str">
        <f>IF(AE271="","",IF(ISBLANK(AH271),"En cours",AE271+AH271))</f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>IF(MIN(F272,J272,N272,R272,V272,Z272)&lt;&gt;0,MIN(F272,J272,N272,R272,V272,Z272),"")</f>
        <v/>
      </c>
      <c r="AE272" s="76" t="str">
        <f>IF(MIN(H272,L272,P272,T272,X272,AB272)&lt;&gt;0,MIN(H272,L272,P272,T272,X272,AB272),"")</f>
        <v/>
      </c>
      <c r="AF272" s="77"/>
      <c r="AG272" s="73"/>
      <c r="AH272" s="77"/>
      <c r="AI272" s="73"/>
      <c r="AJ272" s="78" t="str">
        <f>IF(AD272="","",IF(ISBLANK(AF272),"En cours",AD272+AF272))</f>
        <v/>
      </c>
      <c r="AK272" s="79" t="str">
        <f>IF(AE272="","",IF(ISBLANK(AH272),"En cours",AE272+AH272))</f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>IF(MIN(F273,J273,N273,R273,V273,Z273)&lt;&gt;0,MIN(F273,J273,N273,R273,V273,Z273),"")</f>
        <v/>
      </c>
      <c r="AE273" s="76" t="str">
        <f>IF(MIN(H273,L273,P273,T273,X273,AB273)&lt;&gt;0,MIN(H273,L273,P273,T273,X273,AB273),"")</f>
        <v/>
      </c>
      <c r="AF273" s="77"/>
      <c r="AG273" s="73"/>
      <c r="AH273" s="77"/>
      <c r="AI273" s="73"/>
      <c r="AJ273" s="78" t="str">
        <f>IF(AD273="","",IF(ISBLANK(AF273),"En cours",AD273+AF273))</f>
        <v/>
      </c>
      <c r="AK273" s="79" t="str">
        <f>IF(AE273="","",IF(ISBLANK(AH273),"En cours",AE273+AH273))</f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>IF(MIN(F274,J274,N274,R274,V274,Z274)&lt;&gt;0,MIN(F274,J274,N274,R274,V274,Z274),"")</f>
        <v/>
      </c>
      <c r="AE274" s="76" t="str">
        <f>IF(MIN(H274,L274,P274,T274,X274,AB274)&lt;&gt;0,MIN(H274,L274,P274,T274,X274,AB274),"")</f>
        <v/>
      </c>
      <c r="AF274" s="77"/>
      <c r="AG274" s="73"/>
      <c r="AH274" s="77"/>
      <c r="AI274" s="73"/>
      <c r="AJ274" s="78" t="str">
        <f>IF(AD274="","",IF(ISBLANK(AF274),"En cours",AD274+AF274))</f>
        <v/>
      </c>
      <c r="AK274" s="79" t="str">
        <f>IF(AE274="","",IF(ISBLANK(AH274),"En cours",AE274+AH274))</f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>IF(MIN(F275,J275,N275,R275,V275,Z275)&lt;&gt;0,MIN(F275,J275,N275,R275,V275,Z275),"")</f>
        <v/>
      </c>
      <c r="AE275" s="76" t="str">
        <f>IF(MIN(H275,L275,P275,T275,X275,AB275)&lt;&gt;0,MIN(H275,L275,P275,T275,X275,AB275),"")</f>
        <v/>
      </c>
      <c r="AF275" s="77"/>
      <c r="AG275" s="73"/>
      <c r="AH275" s="77"/>
      <c r="AI275" s="73"/>
      <c r="AJ275" s="78" t="str">
        <f>IF(AD275="","",IF(ISBLANK(AF275),"En cours",AD275+AF275))</f>
        <v/>
      </c>
      <c r="AK275" s="79" t="str">
        <f>IF(AE275="","",IF(ISBLANK(AH275),"En cours",AE275+AH275))</f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>IF(MIN(F276,J276,N276,R276,V276,Z276)&lt;&gt;0,MIN(F276,J276,N276,R276,V276,Z276),"")</f>
        <v/>
      </c>
      <c r="AE276" s="76" t="str">
        <f>IF(MIN(H276,L276,P276,T276,X276,AB276)&lt;&gt;0,MIN(H276,L276,P276,T276,X276,AB276),"")</f>
        <v/>
      </c>
      <c r="AF276" s="77"/>
      <c r="AG276" s="73"/>
      <c r="AH276" s="77"/>
      <c r="AI276" s="73"/>
      <c r="AJ276" s="78" t="str">
        <f>IF(AD276="","",IF(ISBLANK(AF276),"En cours",AD276+AF276))</f>
        <v/>
      </c>
      <c r="AK276" s="79" t="str">
        <f>IF(AE276="","",IF(ISBLANK(AH276),"En cours",AE276+AH276))</f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>IF(MIN(F277,J277,N277,R277,V277,Z277)&lt;&gt;0,MIN(F277,J277,N277,R277,V277,Z277),"")</f>
        <v/>
      </c>
      <c r="AE277" s="76" t="str">
        <f>IF(MIN(H277,L277,P277,T277,X277,AB277)&lt;&gt;0,MIN(H277,L277,P277,T277,X277,AB277),"")</f>
        <v/>
      </c>
      <c r="AF277" s="77"/>
      <c r="AG277" s="73"/>
      <c r="AH277" s="77"/>
      <c r="AI277" s="73"/>
      <c r="AJ277" s="78" t="str">
        <f>IF(AD277="","",IF(ISBLANK(AF277),"En cours",AD277+AF277))</f>
        <v/>
      </c>
      <c r="AK277" s="79" t="str">
        <f>IF(AE277="","",IF(ISBLANK(AH277),"En cours",AE277+AH277))</f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>IF(MIN(F278,J278,N278,R278,V278,Z278)&lt;&gt;0,MIN(F278,J278,N278,R278,V278,Z278),"")</f>
        <v/>
      </c>
      <c r="AE278" s="76" t="str">
        <f>IF(MIN(H278,L278,P278,T278,X278,AB278)&lt;&gt;0,MIN(H278,L278,P278,T278,X278,AB278),"")</f>
        <v/>
      </c>
      <c r="AF278" s="77"/>
      <c r="AG278" s="73"/>
      <c r="AH278" s="77"/>
      <c r="AI278" s="73"/>
      <c r="AJ278" s="78" t="str">
        <f>IF(AD278="","",IF(ISBLANK(AF278),"En cours",AD278+AF278))</f>
        <v/>
      </c>
      <c r="AK278" s="79" t="str">
        <f>IF(AE278="","",IF(ISBLANK(AH278),"En cours",AE278+AH278))</f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>IF(MIN(F279,J279,N279,R279,V279,Z279)&lt;&gt;0,MIN(F279,J279,N279,R279,V279,Z279),"")</f>
        <v/>
      </c>
      <c r="AE279" s="76" t="str">
        <f>IF(MIN(H279,L279,P279,T279,X279,AB279)&lt;&gt;0,MIN(H279,L279,P279,T279,X279,AB279),"")</f>
        <v/>
      </c>
      <c r="AF279" s="77"/>
      <c r="AG279" s="73"/>
      <c r="AH279" s="77"/>
      <c r="AI279" s="73"/>
      <c r="AJ279" s="78" t="str">
        <f>IF(AD279="","",IF(ISBLANK(AF279),"En cours",AD279+AF279))</f>
        <v/>
      </c>
      <c r="AK279" s="79" t="str">
        <f>IF(AE279="","",IF(ISBLANK(AH279),"En cours",AE279+AH279))</f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>IF(MIN(F280,J280,N280,R280,V280,Z280)&lt;&gt;0,MIN(F280,J280,N280,R280,V280,Z280),"")</f>
        <v/>
      </c>
      <c r="AE280" s="76" t="str">
        <f>IF(MIN(H280,L280,P280,T280,X280,AB280)&lt;&gt;0,MIN(H280,L280,P280,T280,X280,AB280),"")</f>
        <v/>
      </c>
      <c r="AF280" s="77"/>
      <c r="AG280" s="73"/>
      <c r="AH280" s="77"/>
      <c r="AI280" s="73"/>
      <c r="AJ280" s="78" t="str">
        <f>IF(AD280="","",IF(ISBLANK(AF280),"En cours",AD280+AF280))</f>
        <v/>
      </c>
      <c r="AK280" s="79" t="str">
        <f>IF(AE280="","",IF(ISBLANK(AH280),"En cours",AE280+AH280))</f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>IF(MIN(F281,J281,N281,R281,V281,Z281)&lt;&gt;0,MIN(F281,J281,N281,R281,V281,Z281),"")</f>
        <v/>
      </c>
      <c r="AE281" s="76" t="str">
        <f>IF(MIN(H281,L281,P281,T281,X281,AB281)&lt;&gt;0,MIN(H281,L281,P281,T281,X281,AB281),"")</f>
        <v/>
      </c>
      <c r="AF281" s="77"/>
      <c r="AG281" s="73"/>
      <c r="AH281" s="77"/>
      <c r="AI281" s="73"/>
      <c r="AJ281" s="78" t="str">
        <f>IF(AD281="","",IF(ISBLANK(AF281),"En cours",AD281+AF281))</f>
        <v/>
      </c>
      <c r="AK281" s="79" t="str">
        <f>IF(AE281="","",IF(ISBLANK(AH281),"En cours",AE281+AH281))</f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>IF(MIN(F282,J282,N282,R282,V282,Z282)&lt;&gt;0,MIN(F282,J282,N282,R282,V282,Z282),"")</f>
        <v/>
      </c>
      <c r="AE282" s="76" t="str">
        <f>IF(MIN(H282,L282,P282,T282,X282,AB282)&lt;&gt;0,MIN(H282,L282,P282,T282,X282,AB282),"")</f>
        <v/>
      </c>
      <c r="AF282" s="77"/>
      <c r="AG282" s="73"/>
      <c r="AH282" s="77"/>
      <c r="AI282" s="73"/>
      <c r="AJ282" s="78" t="str">
        <f>IF(AD282="","",IF(ISBLANK(AF282),"En cours",AD282+AF282))</f>
        <v/>
      </c>
      <c r="AK282" s="79" t="str">
        <f>IF(AE282="","",IF(ISBLANK(AH282),"En cours",AE282+AH282))</f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>IF(MIN(F283,J283,N283,R283,V283,Z283)&lt;&gt;0,MIN(F283,J283,N283,R283,V283,Z283),"")</f>
        <v/>
      </c>
      <c r="AE283" s="76" t="str">
        <f>IF(MIN(H283,L283,P283,T283,X283,AB283)&lt;&gt;0,MIN(H283,L283,P283,T283,X283,AB283),"")</f>
        <v/>
      </c>
      <c r="AF283" s="77"/>
      <c r="AG283" s="73"/>
      <c r="AH283" s="77"/>
      <c r="AI283" s="73"/>
      <c r="AJ283" s="78" t="str">
        <f>IF(AD283="","",IF(ISBLANK(AF283),"En cours",AD283+AF283))</f>
        <v/>
      </c>
      <c r="AK283" s="79" t="str">
        <f>IF(AE283="","",IF(ISBLANK(AH283),"En cours",AE283+AH283))</f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>IF(MIN(F284,J284,N284,R284,V284,Z284)&lt;&gt;0,MIN(F284,J284,N284,R284,V284,Z284),"")</f>
        <v/>
      </c>
      <c r="AE284" s="76" t="str">
        <f>IF(MIN(H284,L284,P284,T284,X284,AB284)&lt;&gt;0,MIN(H284,L284,P284,T284,X284,AB284),"")</f>
        <v/>
      </c>
      <c r="AF284" s="77"/>
      <c r="AG284" s="73"/>
      <c r="AH284" s="77"/>
      <c r="AI284" s="73"/>
      <c r="AJ284" s="78" t="str">
        <f>IF(AD284="","",IF(ISBLANK(AF284),"En cours",AD284+AF284))</f>
        <v/>
      </c>
      <c r="AK284" s="79" t="str">
        <f>IF(AE284="","",IF(ISBLANK(AH284),"En cours",AE284+AH284))</f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>IF(MIN(F285,J285,N285,R285,V285,Z285)&lt;&gt;0,MIN(F285,J285,N285,R285,V285,Z285),"")</f>
        <v/>
      </c>
      <c r="AE285" s="76" t="str">
        <f>IF(MIN(H285,L285,P285,T285,X285,AB285)&lt;&gt;0,MIN(H285,L285,P285,T285,X285,AB285),"")</f>
        <v/>
      </c>
      <c r="AF285" s="77"/>
      <c r="AG285" s="73"/>
      <c r="AH285" s="77"/>
      <c r="AI285" s="73"/>
      <c r="AJ285" s="78" t="str">
        <f>IF(AD285="","",IF(ISBLANK(AF285),"En cours",AD285+AF285))</f>
        <v/>
      </c>
      <c r="AK285" s="79" t="str">
        <f>IF(AE285="","",IF(ISBLANK(AH285),"En cours",AE285+AH285))</f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>IF(MIN(F286,J286,N286,R286,V286,Z286)&lt;&gt;0,MIN(F286,J286,N286,R286,V286,Z286),"")</f>
        <v/>
      </c>
      <c r="AE286" s="76" t="str">
        <f>IF(MIN(H286,L286,P286,T286,X286,AB286)&lt;&gt;0,MIN(H286,L286,P286,T286,X286,AB286),"")</f>
        <v/>
      </c>
      <c r="AF286" s="77"/>
      <c r="AG286" s="73"/>
      <c r="AH286" s="77"/>
      <c r="AI286" s="73"/>
      <c r="AJ286" s="78" t="str">
        <f>IF(AD286="","",IF(ISBLANK(AF286),"En cours",AD286+AF286))</f>
        <v/>
      </c>
      <c r="AK286" s="79" t="str">
        <f>IF(AE286="","",IF(ISBLANK(AH286),"En cours",AE286+AH286))</f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>IF(MIN(F287,J287,N287,R287,V287,Z287)&lt;&gt;0,MIN(F287,J287,N287,R287,V287,Z287),"")</f>
        <v/>
      </c>
      <c r="AE287" s="76" t="str">
        <f>IF(MIN(H287,L287,P287,T287,X287,AB287)&lt;&gt;0,MIN(H287,L287,P287,T287,X287,AB287),"")</f>
        <v/>
      </c>
      <c r="AF287" s="77"/>
      <c r="AG287" s="73"/>
      <c r="AH287" s="77"/>
      <c r="AI287" s="73"/>
      <c r="AJ287" s="78" t="str">
        <f>IF(AD287="","",IF(ISBLANK(AF287),"En cours",AD287+AF287))</f>
        <v/>
      </c>
      <c r="AK287" s="79" t="str">
        <f>IF(AE287="","",IF(ISBLANK(AH287),"En cours",AE287+AH287))</f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>IF(MIN(F288,J288,N288,R288,V288,Z288)&lt;&gt;0,MIN(F288,J288,N288,R288,V288,Z288),"")</f>
        <v/>
      </c>
      <c r="AE288" s="76" t="str">
        <f>IF(MIN(H288,L288,P288,T288,X288,AB288)&lt;&gt;0,MIN(H288,L288,P288,T288,X288,AB288),"")</f>
        <v/>
      </c>
      <c r="AF288" s="77"/>
      <c r="AG288" s="73"/>
      <c r="AH288" s="77"/>
      <c r="AI288" s="73"/>
      <c r="AJ288" s="78" t="str">
        <f>IF(AD288="","",IF(ISBLANK(AF288),"En cours",AD288+AF288))</f>
        <v/>
      </c>
      <c r="AK288" s="79" t="str">
        <f>IF(AE288="","",IF(ISBLANK(AH288),"En cours",AE288+AH288))</f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>IF(MIN(F289,J289,N289,R289,V289,Z289)&lt;&gt;0,MIN(F289,J289,N289,R289,V289,Z289),"")</f>
        <v/>
      </c>
      <c r="AE289" s="76" t="str">
        <f>IF(MIN(H289,L289,P289,T289,X289,AB289)&lt;&gt;0,MIN(H289,L289,P289,T289,X289,AB289),"")</f>
        <v/>
      </c>
      <c r="AF289" s="77"/>
      <c r="AG289" s="73"/>
      <c r="AH289" s="77"/>
      <c r="AI289" s="73"/>
      <c r="AJ289" s="78" t="str">
        <f>IF(AD289="","",IF(ISBLANK(AF289),"En cours",AD289+AF289))</f>
        <v/>
      </c>
      <c r="AK289" s="79" t="str">
        <f>IF(AE289="","",IF(ISBLANK(AH289),"En cours",AE289+AH289))</f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>IF(MIN(F290,J290,N290,R290,V290,Z290)&lt;&gt;0,MIN(F290,J290,N290,R290,V290,Z290),"")</f>
        <v/>
      </c>
      <c r="AE290" s="76" t="str">
        <f>IF(MIN(H290,L290,P290,T290,X290,AB290)&lt;&gt;0,MIN(H290,L290,P290,T290,X290,AB290),"")</f>
        <v/>
      </c>
      <c r="AF290" s="77"/>
      <c r="AG290" s="73"/>
      <c r="AH290" s="77"/>
      <c r="AI290" s="73"/>
      <c r="AJ290" s="78" t="str">
        <f>IF(AD290="","",IF(ISBLANK(AF290),"En cours",AD290+AF290))</f>
        <v/>
      </c>
      <c r="AK290" s="79" t="str">
        <f>IF(AE290="","",IF(ISBLANK(AH290),"En cours",AE290+AH290))</f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>IF(MIN(F291,J291,N291,R291,V291,Z291)&lt;&gt;0,MIN(F291,J291,N291,R291,V291,Z291),"")</f>
        <v/>
      </c>
      <c r="AE291" s="76" t="str">
        <f>IF(MIN(H291,L291,P291,T291,X291,AB291)&lt;&gt;0,MIN(H291,L291,P291,T291,X291,AB291),"")</f>
        <v/>
      </c>
      <c r="AF291" s="77"/>
      <c r="AG291" s="73"/>
      <c r="AH291" s="77"/>
      <c r="AI291" s="73"/>
      <c r="AJ291" s="78" t="str">
        <f>IF(AD291="","",IF(ISBLANK(AF291),"En cours",AD291+AF291))</f>
        <v/>
      </c>
      <c r="AK291" s="79" t="str">
        <f>IF(AE291="","",IF(ISBLANK(AH291),"En cours",AE291+AH291))</f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>IF(MIN(F292,J292,N292,R292,V292,Z292)&lt;&gt;0,MIN(F292,J292,N292,R292,V292,Z292),"")</f>
        <v/>
      </c>
      <c r="AE292" s="76" t="str">
        <f>IF(MIN(H292,L292,P292,T292,X292,AB292)&lt;&gt;0,MIN(H292,L292,P292,T292,X292,AB292),"")</f>
        <v/>
      </c>
      <c r="AF292" s="77"/>
      <c r="AG292" s="73"/>
      <c r="AH292" s="77"/>
      <c r="AI292" s="73"/>
      <c r="AJ292" s="78" t="str">
        <f>IF(AD292="","",IF(ISBLANK(AF292),"En cours",AD292+AF292))</f>
        <v/>
      </c>
      <c r="AK292" s="79" t="str">
        <f>IF(AE292="","",IF(ISBLANK(AH292),"En cours",AE292+AH292))</f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>IF(MIN(F293,J293,N293,R293,V293,Z293)&lt;&gt;0,MIN(F293,J293,N293,R293,V293,Z293),"")</f>
        <v/>
      </c>
      <c r="AE293" s="76" t="str">
        <f>IF(MIN(H293,L293,P293,T293,X293,AB293)&lt;&gt;0,MIN(H293,L293,P293,T293,X293,AB293),"")</f>
        <v/>
      </c>
      <c r="AF293" s="77"/>
      <c r="AG293" s="73"/>
      <c r="AH293" s="77"/>
      <c r="AI293" s="73"/>
      <c r="AJ293" s="78" t="str">
        <f>IF(AD293="","",IF(ISBLANK(AF293),"En cours",AD293+AF293))</f>
        <v/>
      </c>
      <c r="AK293" s="79" t="str">
        <f>IF(AE293="","",IF(ISBLANK(AH293),"En cours",AE293+AH293))</f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>IF(MIN(F294,J294,N294,R294,V294,Z294)&lt;&gt;0,MIN(F294,J294,N294,R294,V294,Z294),"")</f>
        <v/>
      </c>
      <c r="AE294" s="76" t="str">
        <f>IF(MIN(H294,L294,P294,T294,X294,AB294)&lt;&gt;0,MIN(H294,L294,P294,T294,X294,AB294),"")</f>
        <v/>
      </c>
      <c r="AF294" s="77"/>
      <c r="AG294" s="73"/>
      <c r="AH294" s="77"/>
      <c r="AI294" s="73"/>
      <c r="AJ294" s="78" t="str">
        <f>IF(AD294="","",IF(ISBLANK(AF294),"En cours",AD294+AF294))</f>
        <v/>
      </c>
      <c r="AK294" s="79" t="str">
        <f>IF(AE294="","",IF(ISBLANK(AH294),"En cours",AE294+AH294))</f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>IF(MIN(F295,J295,N295,R295,V295,Z295)&lt;&gt;0,MIN(F295,J295,N295,R295,V295,Z295),"")</f>
        <v/>
      </c>
      <c r="AE295" s="76" t="str">
        <f>IF(MIN(H295,L295,P295,T295,X295,AB295)&lt;&gt;0,MIN(H295,L295,P295,T295,X295,AB295),"")</f>
        <v/>
      </c>
      <c r="AF295" s="77"/>
      <c r="AG295" s="73"/>
      <c r="AH295" s="77"/>
      <c r="AI295" s="73"/>
      <c r="AJ295" s="78" t="str">
        <f>IF(AD295="","",IF(ISBLANK(AF295),"En cours",AD295+AF295))</f>
        <v/>
      </c>
      <c r="AK295" s="79" t="str">
        <f>IF(AE295="","",IF(ISBLANK(AH295),"En cours",AE295+AH295))</f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>IF(MIN(F296,J296,N296,R296,V296,Z296)&lt;&gt;0,MIN(F296,J296,N296,R296,V296,Z296),"")</f>
        <v/>
      </c>
      <c r="AE296" s="76" t="str">
        <f>IF(MIN(H296,L296,P296,T296,X296,AB296)&lt;&gt;0,MIN(H296,L296,P296,T296,X296,AB296),"")</f>
        <v/>
      </c>
      <c r="AF296" s="77"/>
      <c r="AG296" s="73"/>
      <c r="AH296" s="77"/>
      <c r="AI296" s="73"/>
      <c r="AJ296" s="78" t="str">
        <f>IF(AD296="","",IF(ISBLANK(AF296),"En cours",AD296+AF296))</f>
        <v/>
      </c>
      <c r="AK296" s="79" t="str">
        <f>IF(AE296="","",IF(ISBLANK(AH296),"En cours",AE296+AH296))</f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>IF(MIN(F297,J297,N297,R297,V297,Z297)&lt;&gt;0,MIN(F297,J297,N297,R297,V297,Z297),"")</f>
        <v/>
      </c>
      <c r="AE297" s="76" t="str">
        <f>IF(MIN(H297,L297,P297,T297,X297,AB297)&lt;&gt;0,MIN(H297,L297,P297,T297,X297,AB297),"")</f>
        <v/>
      </c>
      <c r="AF297" s="77"/>
      <c r="AG297" s="73"/>
      <c r="AH297" s="77"/>
      <c r="AI297" s="73"/>
      <c r="AJ297" s="78" t="str">
        <f>IF(AD297="","",IF(ISBLANK(AF297),"En cours",AD297+AF297))</f>
        <v/>
      </c>
      <c r="AK297" s="79" t="str">
        <f>IF(AE297="","",IF(ISBLANK(AH297),"En cours",AE297+AH297))</f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>IF(MIN(F298,J298,N298,R298,V298,Z298)&lt;&gt;0,MIN(F298,J298,N298,R298,V298,Z298),"")</f>
        <v/>
      </c>
      <c r="AE298" s="76" t="str">
        <f>IF(MIN(H298,L298,P298,T298,X298,AB298)&lt;&gt;0,MIN(H298,L298,P298,T298,X298,AB298),"")</f>
        <v/>
      </c>
      <c r="AF298" s="77"/>
      <c r="AG298" s="73"/>
      <c r="AH298" s="77"/>
      <c r="AI298" s="73"/>
      <c r="AJ298" s="78" t="str">
        <f>IF(AD298="","",IF(ISBLANK(AF298),"En cours",AD298+AF298))</f>
        <v/>
      </c>
      <c r="AK298" s="79" t="str">
        <f>IF(AE298="","",IF(ISBLANK(AH298),"En cours",AE298+AH298))</f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>IF(MIN(F299,J299,N299,R299,V299,Z299)&lt;&gt;0,MIN(F299,J299,N299,R299,V299,Z299),"")</f>
        <v/>
      </c>
      <c r="AE299" s="76" t="str">
        <f>IF(MIN(H299,L299,P299,T299,X299,AB299)&lt;&gt;0,MIN(H299,L299,P299,T299,X299,AB299),"")</f>
        <v/>
      </c>
      <c r="AF299" s="77"/>
      <c r="AG299" s="73"/>
      <c r="AH299" s="77"/>
      <c r="AI299" s="73"/>
      <c r="AJ299" s="78" t="str">
        <f>IF(AD299="","",IF(ISBLANK(AF299),"En cours",AD299+AF299))</f>
        <v/>
      </c>
      <c r="AK299" s="79" t="str">
        <f>IF(AE299="","",IF(ISBLANK(AH299),"En cours",AE299+AH299))</f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>IF(MIN(F300,J300,N300,R300,V300,Z300)&lt;&gt;0,MIN(F300,J300,N300,R300,V300,Z300),"")</f>
        <v/>
      </c>
      <c r="AE300" s="76" t="str">
        <f>IF(MIN(H300,L300,P300,T300,X300,AB300)&lt;&gt;0,MIN(H300,L300,P300,T300,X300,AB300),"")</f>
        <v/>
      </c>
      <c r="AF300" s="77"/>
      <c r="AG300" s="73"/>
      <c r="AH300" s="77"/>
      <c r="AI300" s="73"/>
      <c r="AJ300" s="78" t="str">
        <f>IF(AD300="","",IF(ISBLANK(AF300),"En cours",AD300+AF300))</f>
        <v/>
      </c>
      <c r="AK300" s="79" t="str">
        <f>IF(AE300="","",IF(ISBLANK(AH300),"En cours",AE300+AH300))</f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>IF(MIN(F301,J301,N301,R301,V301,Z301)&lt;&gt;0,MIN(F301,J301,N301,R301,V301,Z301),"")</f>
        <v/>
      </c>
      <c r="AE301" s="76" t="str">
        <f>IF(MIN(H301,L301,P301,T301,X301,AB301)&lt;&gt;0,MIN(H301,L301,P301,T301,X301,AB301),"")</f>
        <v/>
      </c>
      <c r="AF301" s="77"/>
      <c r="AG301" s="73"/>
      <c r="AH301" s="77"/>
      <c r="AI301" s="73"/>
      <c r="AJ301" s="78" t="str">
        <f>IF(AD301="","",IF(ISBLANK(AF301),"En cours",AD301+AF301))</f>
        <v/>
      </c>
      <c r="AK301" s="79" t="str">
        <f>IF(AE301="","",IF(ISBLANK(AH301),"En cours",AE301+AH301))</f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>IF(MIN(F302,J302,N302,R302,V302,Z302)&lt;&gt;0,MIN(F302,J302,N302,R302,V302,Z302),"")</f>
        <v/>
      </c>
      <c r="AE302" s="76" t="str">
        <f>IF(MIN(H302,L302,P302,T302,X302,AB302)&lt;&gt;0,MIN(H302,L302,P302,T302,X302,AB302),"")</f>
        <v/>
      </c>
      <c r="AF302" s="77"/>
      <c r="AG302" s="73"/>
      <c r="AH302" s="77"/>
      <c r="AI302" s="73"/>
      <c r="AJ302" s="78" t="str">
        <f>IF(AD302="","",IF(ISBLANK(AF302),"En cours",AD302+AF302))</f>
        <v/>
      </c>
      <c r="AK302" s="79" t="str">
        <f>IF(AE302="","",IF(ISBLANK(AH302),"En cours",AE302+AH302))</f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>IF(MIN(F303,J303,N303,R303,V303,Z303)&lt;&gt;0,MIN(F303,J303,N303,R303,V303,Z303),"")</f>
        <v/>
      </c>
      <c r="AE303" s="76" t="str">
        <f>IF(MIN(H303,L303,P303,T303,X303,AB303)&lt;&gt;0,MIN(H303,L303,P303,T303,X303,AB303),"")</f>
        <v/>
      </c>
      <c r="AF303" s="77"/>
      <c r="AG303" s="73"/>
      <c r="AH303" s="77"/>
      <c r="AI303" s="73"/>
      <c r="AJ303" s="78" t="str">
        <f>IF(AD303="","",IF(ISBLANK(AF303),"En cours",AD303+AF303))</f>
        <v/>
      </c>
      <c r="AK303" s="79" t="str">
        <f>IF(AE303="","",IF(ISBLANK(AH303),"En cours",AE303+AH303))</f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>IF(MIN(F304,J304,N304,R304,V304,Z304)&lt;&gt;0,MIN(F304,J304,N304,R304,V304,Z304),"")</f>
        <v/>
      </c>
      <c r="AE304" s="76" t="str">
        <f>IF(MIN(H304,L304,P304,T304,X304,AB304)&lt;&gt;0,MIN(H304,L304,P304,T304,X304,AB304),"")</f>
        <v/>
      </c>
      <c r="AF304" s="77"/>
      <c r="AG304" s="73"/>
      <c r="AH304" s="77"/>
      <c r="AI304" s="73"/>
      <c r="AJ304" s="78" t="str">
        <f>IF(AD304="","",IF(ISBLANK(AF304),"En cours",AD304+AF304))</f>
        <v/>
      </c>
      <c r="AK304" s="79" t="str">
        <f>IF(AE304="","",IF(ISBLANK(AH304),"En cours",AE304+AH304))</f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>IF(MIN(F305,J305,N305,R305,V305,Z305)&lt;&gt;0,MIN(F305,J305,N305,R305,V305,Z305),"")</f>
        <v/>
      </c>
      <c r="AE305" s="76" t="str">
        <f>IF(MIN(H305,L305,P305,T305,X305,AB305)&lt;&gt;0,MIN(H305,L305,P305,T305,X305,AB305),"")</f>
        <v/>
      </c>
      <c r="AF305" s="77"/>
      <c r="AG305" s="73"/>
      <c r="AH305" s="77"/>
      <c r="AI305" s="73"/>
      <c r="AJ305" s="78" t="str">
        <f>IF(AD305="","",IF(ISBLANK(AF305),"En cours",AD305+AF305))</f>
        <v/>
      </c>
      <c r="AK305" s="79" t="str">
        <f>IF(AE305="","",IF(ISBLANK(AH305),"En cours",AE305+AH305))</f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>IF(MIN(F306,J306,N306,R306,V306,Z306)&lt;&gt;0,MIN(F306,J306,N306,R306,V306,Z306),"")</f>
        <v/>
      </c>
      <c r="AE306" s="76" t="str">
        <f>IF(MIN(H306,L306,P306,T306,X306,AB306)&lt;&gt;0,MIN(H306,L306,P306,T306,X306,AB306),"")</f>
        <v/>
      </c>
      <c r="AF306" s="77"/>
      <c r="AG306" s="73"/>
      <c r="AH306" s="77"/>
      <c r="AI306" s="73"/>
      <c r="AJ306" s="78" t="str">
        <f>IF(AD306="","",IF(ISBLANK(AF306),"En cours",AD306+AF306))</f>
        <v/>
      </c>
      <c r="AK306" s="79" t="str">
        <f>IF(AE306="","",IF(ISBLANK(AH306),"En cours",AE306+AH306))</f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>IF(MIN(F307,J307,N307,R307,V307,Z307)&lt;&gt;0,MIN(F307,J307,N307,R307,V307,Z307),"")</f>
        <v/>
      </c>
      <c r="AE307" s="76" t="str">
        <f>IF(MIN(H307,L307,P307,T307,X307,AB307)&lt;&gt;0,MIN(H307,L307,P307,T307,X307,AB307),"")</f>
        <v/>
      </c>
      <c r="AF307" s="77"/>
      <c r="AG307" s="73"/>
      <c r="AH307" s="77"/>
      <c r="AI307" s="73"/>
      <c r="AJ307" s="78" t="str">
        <f>IF(AD307="","",IF(ISBLANK(AF307),"En cours",AD307+AF307))</f>
        <v/>
      </c>
      <c r="AK307" s="79" t="str">
        <f>IF(AE307="","",IF(ISBLANK(AH307),"En cours",AE307+AH307))</f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>IF(MIN(F308,J308,N308,R308,V308,Z308)&lt;&gt;0,MIN(F308,J308,N308,R308,V308,Z308),"")</f>
        <v/>
      </c>
      <c r="AE308" s="76" t="str">
        <f>IF(MIN(H308,L308,P308,T308,X308,AB308)&lt;&gt;0,MIN(H308,L308,P308,T308,X308,AB308),"")</f>
        <v/>
      </c>
      <c r="AF308" s="77"/>
      <c r="AG308" s="73"/>
      <c r="AH308" s="77"/>
      <c r="AI308" s="73"/>
      <c r="AJ308" s="78" t="str">
        <f>IF(AD308="","",IF(ISBLANK(AF308),"En cours",AD308+AF308))</f>
        <v/>
      </c>
      <c r="AK308" s="79" t="str">
        <f>IF(AE308="","",IF(ISBLANK(AH308),"En cours",AE308+AH308))</f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>IF(MIN(F309,J309,N309,R309,V309,Z309)&lt;&gt;0,MIN(F309,J309,N309,R309,V309,Z309),"")</f>
        <v/>
      </c>
      <c r="AE309" s="76" t="str">
        <f>IF(MIN(H309,L309,P309,T309,X309,AB309)&lt;&gt;0,MIN(H309,L309,P309,T309,X309,AB309),"")</f>
        <v/>
      </c>
      <c r="AF309" s="77"/>
      <c r="AG309" s="73"/>
      <c r="AH309" s="77"/>
      <c r="AI309" s="73"/>
      <c r="AJ309" s="78" t="str">
        <f>IF(AD309="","",IF(ISBLANK(AF309),"En cours",AD309+AF309))</f>
        <v/>
      </c>
      <c r="AK309" s="79" t="str">
        <f>IF(AE309="","",IF(ISBLANK(AH309),"En cours",AE309+AH309))</f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>IF(MIN(F310,J310,N310,R310,V310,Z310)&lt;&gt;0,MIN(F310,J310,N310,R310,V310,Z310),"")</f>
        <v/>
      </c>
      <c r="AE310" s="76" t="str">
        <f>IF(MIN(H310,L310,P310,T310,X310,AB310)&lt;&gt;0,MIN(H310,L310,P310,T310,X310,AB310),"")</f>
        <v/>
      </c>
      <c r="AF310" s="77"/>
      <c r="AG310" s="73"/>
      <c r="AH310" s="77"/>
      <c r="AI310" s="73"/>
      <c r="AJ310" s="78" t="str">
        <f>IF(AD310="","",IF(ISBLANK(AF310),"En cours",AD310+AF310))</f>
        <v/>
      </c>
      <c r="AK310" s="79" t="str">
        <f>IF(AE310="","",IF(ISBLANK(AH310),"En cours",AE310+AH310))</f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>IF(MIN(F311,J311,N311,R311,V311,Z311)&lt;&gt;0,MIN(F311,J311,N311,R311,V311,Z311),"")</f>
        <v/>
      </c>
      <c r="AE311" s="76" t="str">
        <f>IF(MIN(H311,L311,P311,T311,X311,AB311)&lt;&gt;0,MIN(H311,L311,P311,T311,X311,AB311),"")</f>
        <v/>
      </c>
      <c r="AF311" s="77"/>
      <c r="AG311" s="73"/>
      <c r="AH311" s="77"/>
      <c r="AI311" s="73"/>
      <c r="AJ311" s="78" t="str">
        <f>IF(AD311="","",IF(ISBLANK(AF311),"En cours",AD311+AF311))</f>
        <v/>
      </c>
      <c r="AK311" s="79" t="str">
        <f>IF(AE311="","",IF(ISBLANK(AH311),"En cours",AE311+AH311))</f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>IF(MIN(F312,J312,N312,R312,V312,Z312)&lt;&gt;0,MIN(F312,J312,N312,R312,V312,Z312),"")</f>
        <v/>
      </c>
      <c r="AE312" s="76" t="str">
        <f>IF(MIN(H312,L312,P312,T312,X312,AB312)&lt;&gt;0,MIN(H312,L312,P312,T312,X312,AB312),"")</f>
        <v/>
      </c>
      <c r="AF312" s="77"/>
      <c r="AG312" s="73"/>
      <c r="AH312" s="77"/>
      <c r="AI312" s="73"/>
      <c r="AJ312" s="78" t="str">
        <f>IF(AD312="","",IF(ISBLANK(AF312),"En cours",AD312+AF312))</f>
        <v/>
      </c>
      <c r="AK312" s="79" t="str">
        <f>IF(AE312="","",IF(ISBLANK(AH312),"En cours",AE312+AH312))</f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>IF(MIN(F313,J313,N313,R313,V313,Z313)&lt;&gt;0,MIN(F313,J313,N313,R313,V313,Z313),"")</f>
        <v/>
      </c>
      <c r="AE313" s="76" t="str">
        <f>IF(MIN(H313,L313,P313,T313,X313,AB313)&lt;&gt;0,MIN(H313,L313,P313,T313,X313,AB313),"")</f>
        <v/>
      </c>
      <c r="AF313" s="77"/>
      <c r="AG313" s="73"/>
      <c r="AH313" s="77"/>
      <c r="AI313" s="73"/>
      <c r="AJ313" s="78" t="str">
        <f>IF(AD313="","",IF(ISBLANK(AF313),"En cours",AD313+AF313))</f>
        <v/>
      </c>
      <c r="AK313" s="79" t="str">
        <f>IF(AE313="","",IF(ISBLANK(AH313),"En cours",AE313+AH313))</f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>IF(MIN(F314,J314,N314,R314,V314,Z314)&lt;&gt;0,MIN(F314,J314,N314,R314,V314,Z314),"")</f>
        <v/>
      </c>
      <c r="AE314" s="76" t="str">
        <f>IF(MIN(H314,L314,P314,T314,X314,AB314)&lt;&gt;0,MIN(H314,L314,P314,T314,X314,AB314),"")</f>
        <v/>
      </c>
      <c r="AF314" s="77"/>
      <c r="AG314" s="73"/>
      <c r="AH314" s="77"/>
      <c r="AI314" s="73"/>
      <c r="AJ314" s="78" t="str">
        <f>IF(AD314="","",IF(ISBLANK(AF314),"En cours",AD314+AF314))</f>
        <v/>
      </c>
      <c r="AK314" s="79" t="str">
        <f>IF(AE314="","",IF(ISBLANK(AH314),"En cours",AE314+AH314))</f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>IF(MIN(F315,J315,N315,R315,V315,Z315)&lt;&gt;0,MIN(F315,J315,N315,R315,V315,Z315),"")</f>
        <v/>
      </c>
      <c r="AE315" s="76" t="str">
        <f>IF(MIN(H315,L315,P315,T315,X315,AB315)&lt;&gt;0,MIN(H315,L315,P315,T315,X315,AB315),"")</f>
        <v/>
      </c>
      <c r="AF315" s="77"/>
      <c r="AG315" s="73"/>
      <c r="AH315" s="77"/>
      <c r="AI315" s="73"/>
      <c r="AJ315" s="78" t="str">
        <f>IF(AD315="","",IF(ISBLANK(AF315),"En cours",AD315+AF315))</f>
        <v/>
      </c>
      <c r="AK315" s="79" t="str">
        <f>IF(AE315="","",IF(ISBLANK(AH315),"En cours",AE315+AH315))</f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>IF(MIN(F316,J316,N316,R316,V316,Z316)&lt;&gt;0,MIN(F316,J316,N316,R316,V316,Z316),"")</f>
        <v/>
      </c>
      <c r="AE316" s="76" t="str">
        <f>IF(MIN(H316,L316,P316,T316,X316,AB316)&lt;&gt;0,MIN(H316,L316,P316,T316,X316,AB316),"")</f>
        <v/>
      </c>
      <c r="AF316" s="77"/>
      <c r="AG316" s="73"/>
      <c r="AH316" s="77"/>
      <c r="AI316" s="73"/>
      <c r="AJ316" s="78" t="str">
        <f>IF(AD316="","",IF(ISBLANK(AF316),"En cours",AD316+AF316))</f>
        <v/>
      </c>
      <c r="AK316" s="79" t="str">
        <f>IF(AE316="","",IF(ISBLANK(AH316),"En cours",AE316+AH316))</f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>IF(MIN(F317,J317,N317,R317,V317,Z317)&lt;&gt;0,MIN(F317,J317,N317,R317,V317,Z317),"")</f>
        <v/>
      </c>
      <c r="AE317" s="76" t="str">
        <f>IF(MIN(H317,L317,P317,T317,X317,AB317)&lt;&gt;0,MIN(H317,L317,P317,T317,X317,AB317),"")</f>
        <v/>
      </c>
      <c r="AF317" s="77"/>
      <c r="AG317" s="73"/>
      <c r="AH317" s="77"/>
      <c r="AI317" s="73"/>
      <c r="AJ317" s="78" t="str">
        <f>IF(AD317="","",IF(ISBLANK(AF317),"En cours",AD317+AF317))</f>
        <v/>
      </c>
      <c r="AK317" s="79" t="str">
        <f>IF(AE317="","",IF(ISBLANK(AH317),"En cours",AE317+AH317))</f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>IF(MIN(F318,J318,N318,R318,V318,Z318)&lt;&gt;0,MIN(F318,J318,N318,R318,V318,Z318),"")</f>
        <v/>
      </c>
      <c r="AE318" s="76" t="str">
        <f>IF(MIN(H318,L318,P318,T318,X318,AB318)&lt;&gt;0,MIN(H318,L318,P318,T318,X318,AB318),"")</f>
        <v/>
      </c>
      <c r="AF318" s="77"/>
      <c r="AG318" s="73"/>
      <c r="AH318" s="77"/>
      <c r="AI318" s="73"/>
      <c r="AJ318" s="78" t="str">
        <f>IF(AD318="","",IF(ISBLANK(AF318),"En cours",AD318+AF318))</f>
        <v/>
      </c>
      <c r="AK318" s="79" t="str">
        <f>IF(AE318="","",IF(ISBLANK(AH318),"En cours",AE318+AH318))</f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>IF(MIN(F319,J319,N319,R319,V319,Z319)&lt;&gt;0,MIN(F319,J319,N319,R319,V319,Z319),"")</f>
        <v/>
      </c>
      <c r="AE319" s="76" t="str">
        <f>IF(MIN(H319,L319,P319,T319,X319,AB319)&lt;&gt;0,MIN(H319,L319,P319,T319,X319,AB319),"")</f>
        <v/>
      </c>
      <c r="AF319" s="77"/>
      <c r="AG319" s="73"/>
      <c r="AH319" s="77"/>
      <c r="AI319" s="73"/>
      <c r="AJ319" s="78" t="str">
        <f>IF(AD319="","",IF(ISBLANK(AF319),"En cours",AD319+AF319))</f>
        <v/>
      </c>
      <c r="AK319" s="79" t="str">
        <f>IF(AE319="","",IF(ISBLANK(AH319),"En cours",AE319+AH319))</f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>IF(MIN(F320,J320,N320,R320,V320,Z320)&lt;&gt;0,MIN(F320,J320,N320,R320,V320,Z320),"")</f>
        <v/>
      </c>
      <c r="AE320" s="76" t="str">
        <f>IF(MIN(H320,L320,P320,T320,X320,AB320)&lt;&gt;0,MIN(H320,L320,P320,T320,X320,AB320),"")</f>
        <v/>
      </c>
      <c r="AF320" s="77"/>
      <c r="AG320" s="73"/>
      <c r="AH320" s="77"/>
      <c r="AI320" s="73"/>
      <c r="AJ320" s="78" t="str">
        <f>IF(AD320="","",IF(ISBLANK(AF320),"En cours",AD320+AF320))</f>
        <v/>
      </c>
      <c r="AK320" s="79" t="str">
        <f>IF(AE320="","",IF(ISBLANK(AH320),"En cours",AE320+AH320))</f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>IF(MIN(F321,J321,N321,R321,V321,Z321)&lt;&gt;0,MIN(F321,J321,N321,R321,V321,Z321),"")</f>
        <v/>
      </c>
      <c r="AE321" s="76" t="str">
        <f>IF(MIN(H321,L321,P321,T321,X321,AB321)&lt;&gt;0,MIN(H321,L321,P321,T321,X321,AB321),"")</f>
        <v/>
      </c>
      <c r="AF321" s="77"/>
      <c r="AG321" s="73"/>
      <c r="AH321" s="77"/>
      <c r="AI321" s="73"/>
      <c r="AJ321" s="78" t="str">
        <f>IF(AD321="","",IF(ISBLANK(AF321),"En cours",AD321+AF321))</f>
        <v/>
      </c>
      <c r="AK321" s="79" t="str">
        <f>IF(AE321="","",IF(ISBLANK(AH321),"En cours",AE321+AH321))</f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>IF(MIN(F322,J322,N322,R322,V322,Z322)&lt;&gt;0,MIN(F322,J322,N322,R322,V322,Z322),"")</f>
        <v/>
      </c>
      <c r="AE322" s="76" t="str">
        <f>IF(MIN(H322,L322,P322,T322,X322,AB322)&lt;&gt;0,MIN(H322,L322,P322,T322,X322,AB322),"")</f>
        <v/>
      </c>
      <c r="AF322" s="77"/>
      <c r="AG322" s="73"/>
      <c r="AH322" s="77"/>
      <c r="AI322" s="73"/>
      <c r="AJ322" s="78" t="str">
        <f>IF(AD322="","",IF(ISBLANK(AF322),"En cours",AD322+AF322))</f>
        <v/>
      </c>
      <c r="AK322" s="79" t="str">
        <f>IF(AE322="","",IF(ISBLANK(AH322),"En cours",AE322+AH322))</f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>IF(MIN(F323,J323,N323,R323,V323,Z323)&lt;&gt;0,MIN(F323,J323,N323,R323,V323,Z323),"")</f>
        <v/>
      </c>
      <c r="AE323" s="76" t="str">
        <f>IF(MIN(H323,L323,P323,T323,X323,AB323)&lt;&gt;0,MIN(H323,L323,P323,T323,X323,AB323),"")</f>
        <v/>
      </c>
      <c r="AF323" s="77"/>
      <c r="AG323" s="73"/>
      <c r="AH323" s="77"/>
      <c r="AI323" s="73"/>
      <c r="AJ323" s="78" t="str">
        <f>IF(AD323="","",IF(ISBLANK(AF323),"En cours",AD323+AF323))</f>
        <v/>
      </c>
      <c r="AK323" s="79" t="str">
        <f>IF(AE323="","",IF(ISBLANK(AH323),"En cours",AE323+AH323))</f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>IF(MIN(F324,J324,N324,R324,V324,Z324)&lt;&gt;0,MIN(F324,J324,N324,R324,V324,Z324),"")</f>
        <v/>
      </c>
      <c r="AE324" s="76" t="str">
        <f>IF(MIN(H324,L324,P324,T324,X324,AB324)&lt;&gt;0,MIN(H324,L324,P324,T324,X324,AB324),"")</f>
        <v/>
      </c>
      <c r="AF324" s="77"/>
      <c r="AG324" s="73"/>
      <c r="AH324" s="77"/>
      <c r="AI324" s="73"/>
      <c r="AJ324" s="78" t="str">
        <f>IF(AD324="","",IF(ISBLANK(AF324),"En cours",AD324+AF324))</f>
        <v/>
      </c>
      <c r="AK324" s="79" t="str">
        <f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>IF(MIN(F325,J325,N325,R325,V325,Z325)&lt;&gt;0,MIN(F325,J325,N325,R325,V325,Z325),"")</f>
        <v/>
      </c>
      <c r="AE325" s="76" t="str">
        <f>IF(MIN(H325,L325,P325,T325,X325,AB325)&lt;&gt;0,MIN(H325,L325,P325,T325,X325,AB325),"")</f>
        <v/>
      </c>
      <c r="AF325" s="77"/>
      <c r="AG325" s="73"/>
      <c r="AH325" s="77"/>
      <c r="AI325" s="73"/>
      <c r="AJ325" s="78" t="str">
        <f>IF(AD325="","",IF(ISBLANK(AF325),"En cours",AD325+AF325))</f>
        <v/>
      </c>
      <c r="AK325" s="79" t="str">
        <f>IF(AE325="","",IF(ISBLANK(AH325),"En cours",AE325+AH325))</f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>IF(MIN(F326,J326,N326,R326,V326,Z326)&lt;&gt;0,MIN(F326,J326,N326,R326,V326,Z326),"")</f>
        <v/>
      </c>
      <c r="AE326" s="76" t="str">
        <f>IF(MIN(H326,L326,P326,T326,X326,AB326)&lt;&gt;0,MIN(H326,L326,P326,T326,X326,AB326),"")</f>
        <v/>
      </c>
      <c r="AF326" s="77"/>
      <c r="AG326" s="73"/>
      <c r="AH326" s="77"/>
      <c r="AI326" s="73"/>
      <c r="AJ326" s="78" t="str">
        <f>IF(AD326="","",IF(ISBLANK(AF326),"En cours",AD326+AF326))</f>
        <v/>
      </c>
      <c r="AK326" s="79" t="str">
        <f>IF(AE326="","",IF(ISBLANK(AH326),"En cours",AE326+AH326))</f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>IF(MIN(F327,J327,N327,R327,V327,Z327)&lt;&gt;0,MIN(F327,J327,N327,R327,V327,Z327),"")</f>
        <v/>
      </c>
      <c r="AE327" s="76" t="str">
        <f>IF(MIN(H327,L327,P327,T327,X327,AB327)&lt;&gt;0,MIN(H327,L327,P327,T327,X327,AB327),"")</f>
        <v/>
      </c>
      <c r="AF327" s="77"/>
      <c r="AG327" s="73"/>
      <c r="AH327" s="77"/>
      <c r="AI327" s="73"/>
      <c r="AJ327" s="78" t="str">
        <f>IF(AD327="","",IF(ISBLANK(AF327),"En cours",AD327+AF327))</f>
        <v/>
      </c>
      <c r="AK327" s="79" t="str">
        <f>IF(AE327="","",IF(ISBLANK(AH327),"En cours",AE327+AH327))</f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>IF(MIN(F328,J328,N328,R328,V328,Z328)&lt;&gt;0,MIN(F328,J328,N328,R328,V328,Z328),"")</f>
        <v/>
      </c>
      <c r="AE328" s="76" t="str">
        <f>IF(MIN(H328,L328,P328,T328,X328,AB328)&lt;&gt;0,MIN(H328,L328,P328,T328,X328,AB328),"")</f>
        <v/>
      </c>
      <c r="AF328" s="77"/>
      <c r="AG328" s="73"/>
      <c r="AH328" s="77"/>
      <c r="AI328" s="73"/>
      <c r="AJ328" s="78" t="str">
        <f>IF(AD328="","",IF(ISBLANK(AF328),"En cours",AD328+AF328))</f>
        <v/>
      </c>
      <c r="AK328" s="79" t="str">
        <f>IF(AE328="","",IF(ISBLANK(AH328),"En cours",AE328+AH328))</f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>IF(MIN(F329,J329,N329,R329,V329,Z329)&lt;&gt;0,MIN(F329,J329,N329,R329,V329,Z329),"")</f>
        <v/>
      </c>
      <c r="AE329" s="76" t="str">
        <f>IF(MIN(H329,L329,P329,T329,X329,AB329)&lt;&gt;0,MIN(H329,L329,P329,T329,X329,AB329),"")</f>
        <v/>
      </c>
      <c r="AF329" s="77"/>
      <c r="AG329" s="73"/>
      <c r="AH329" s="77"/>
      <c r="AI329" s="73"/>
      <c r="AJ329" s="78" t="str">
        <f>IF(AD329="","",IF(ISBLANK(AF329),"En cours",AD329+AF329))</f>
        <v/>
      </c>
      <c r="AK329" s="79" t="str">
        <f>IF(AE329="","",IF(ISBLANK(AH329),"En cours",AE329+AH329))</f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>IF(MIN(F330,J330,N330,R330,V330,Z330)&lt;&gt;0,MIN(F330,J330,N330,R330,V330,Z330),"")</f>
        <v/>
      </c>
      <c r="AE330" s="76" t="str">
        <f>IF(MIN(H330,L330,P330,T330,X330,AB330)&lt;&gt;0,MIN(H330,L330,P330,T330,X330,AB330),"")</f>
        <v/>
      </c>
      <c r="AF330" s="77"/>
      <c r="AG330" s="73"/>
      <c r="AH330" s="77"/>
      <c r="AI330" s="73"/>
      <c r="AJ330" s="78" t="str">
        <f>IF(AD330="","",IF(ISBLANK(AF330),"En cours",AD330+AF330))</f>
        <v/>
      </c>
      <c r="AK330" s="79" t="str">
        <f>IF(AE330="","",IF(ISBLANK(AH330),"En cours",AE330+AH330))</f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>IF(MIN(F331,J331,N331,R331,V331,Z331)&lt;&gt;0,MIN(F331,J331,N331,R331,V331,Z331),"")</f>
        <v/>
      </c>
      <c r="AE331" s="76" t="str">
        <f>IF(MIN(H331,L331,P331,T331,X331,AB331)&lt;&gt;0,MIN(H331,L331,P331,T331,X331,AB331),"")</f>
        <v/>
      </c>
      <c r="AF331" s="77"/>
      <c r="AG331" s="73"/>
      <c r="AH331" s="77"/>
      <c r="AI331" s="73"/>
      <c r="AJ331" s="78" t="str">
        <f>IF(AD331="","",IF(ISBLANK(AF331),"En cours",AD331+AF331))</f>
        <v/>
      </c>
      <c r="AK331" s="79" t="str">
        <f>IF(AE331="","",IF(ISBLANK(AH331),"En cours",AE331+AH331))</f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>IF(MIN(F332,J332,N332,R332,V332,Z332)&lt;&gt;0,MIN(F332,J332,N332,R332,V332,Z332),"")</f>
        <v/>
      </c>
      <c r="AE332" s="76" t="str">
        <f>IF(MIN(H332,L332,P332,T332,X332,AB332)&lt;&gt;0,MIN(H332,L332,P332,T332,X332,AB332),"")</f>
        <v/>
      </c>
      <c r="AF332" s="77"/>
      <c r="AG332" s="73"/>
      <c r="AH332" s="77"/>
      <c r="AI332" s="73"/>
      <c r="AJ332" s="78" t="str">
        <f>IF(AD332="","",IF(ISBLANK(AF332),"En cours",AD332+AF332))</f>
        <v/>
      </c>
      <c r="AK332" s="79" t="str">
        <f>IF(AE332="","",IF(ISBLANK(AH332),"En cours",AE332+AH332))</f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>IF(MIN(F333,J333,N333,R333,V333,Z333)&lt;&gt;0,MIN(F333,J333,N333,R333,V333,Z333),"")</f>
        <v/>
      </c>
      <c r="AE333" s="76" t="str">
        <f>IF(MIN(H333,L333,P333,T333,X333,AB333)&lt;&gt;0,MIN(H333,L333,P333,T333,X333,AB333),"")</f>
        <v/>
      </c>
      <c r="AF333" s="77"/>
      <c r="AG333" s="73"/>
      <c r="AH333" s="77"/>
      <c r="AI333" s="73"/>
      <c r="AJ333" s="78" t="str">
        <f>IF(AD333="","",IF(ISBLANK(AF333),"En cours",AD333+AF333))</f>
        <v/>
      </c>
      <c r="AK333" s="79" t="str">
        <f>IF(AE333="","",IF(ISBLANK(AH333),"En cours",AE333+AH333))</f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>IF(MIN(F334,J334,N334,R334,V334,Z334)&lt;&gt;0,MIN(F334,J334,N334,R334,V334,Z334),"")</f>
        <v/>
      </c>
      <c r="AE334" s="76" t="str">
        <f>IF(MIN(H334,L334,P334,T334,X334,AB334)&lt;&gt;0,MIN(H334,L334,P334,T334,X334,AB334),"")</f>
        <v/>
      </c>
      <c r="AF334" s="77"/>
      <c r="AG334" s="73"/>
      <c r="AH334" s="77"/>
      <c r="AI334" s="73"/>
      <c r="AJ334" s="78" t="str">
        <f>IF(AD334="","",IF(ISBLANK(AF334),"En cours",AD334+AF334))</f>
        <v/>
      </c>
      <c r="AK334" s="79" t="str">
        <f>IF(AE334="","",IF(ISBLANK(AH334),"En cours",AE334+AH334))</f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>IF(MIN(F335,J335,N335,R335,V335,Z335)&lt;&gt;0,MIN(F335,J335,N335,R335,V335,Z335),"")</f>
        <v/>
      </c>
      <c r="AE335" s="76" t="str">
        <f>IF(MIN(H335,L335,P335,T335,X335,AB335)&lt;&gt;0,MIN(H335,L335,P335,T335,X335,AB335),"")</f>
        <v/>
      </c>
      <c r="AF335" s="77"/>
      <c r="AG335" s="73"/>
      <c r="AH335" s="77"/>
      <c r="AI335" s="73"/>
      <c r="AJ335" s="78" t="str">
        <f>IF(AD335="","",IF(ISBLANK(AF335),"En cours",AD335+AF335))</f>
        <v/>
      </c>
      <c r="AK335" s="79" t="str">
        <f>IF(AE335="","",IF(ISBLANK(AH335),"En cours",AE335+AH335))</f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>IF(MIN(F336,J336,N336,R336,V336,Z336)&lt;&gt;0,MIN(F336,J336,N336,R336,V336,Z336),"")</f>
        <v/>
      </c>
      <c r="AE336" s="76" t="str">
        <f>IF(MIN(H336,L336,P336,T336,X336,AB336)&lt;&gt;0,MIN(H336,L336,P336,T336,X336,AB336),"")</f>
        <v/>
      </c>
      <c r="AF336" s="77"/>
      <c r="AG336" s="73"/>
      <c r="AH336" s="77"/>
      <c r="AI336" s="73"/>
      <c r="AJ336" s="78" t="str">
        <f>IF(AD336="","",IF(ISBLANK(AF336),"En cours",AD336+AF336))</f>
        <v/>
      </c>
      <c r="AK336" s="79" t="str">
        <f>IF(AE336="","",IF(ISBLANK(AH336),"En cours",AE336+AH336))</f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>IF(MIN(F337,J337,N337,R337,V337,Z337)&lt;&gt;0,MIN(F337,J337,N337,R337,V337,Z337),"")</f>
        <v/>
      </c>
      <c r="AE337" s="76" t="str">
        <f>IF(MIN(H337,L337,P337,T337,X337,AB337)&lt;&gt;0,MIN(H337,L337,P337,T337,X337,AB337),"")</f>
        <v/>
      </c>
      <c r="AF337" s="77"/>
      <c r="AG337" s="73"/>
      <c r="AH337" s="77"/>
      <c r="AI337" s="73"/>
      <c r="AJ337" s="78" t="str">
        <f>IF(AD337="","",IF(ISBLANK(AF337),"En cours",AD337+AF337))</f>
        <v/>
      </c>
      <c r="AK337" s="79" t="str">
        <f>IF(AE337="","",IF(ISBLANK(AH337),"En cours",AE337+AH337))</f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>IF(MIN(F338,J338,N338,R338,V338,Z338)&lt;&gt;0,MIN(F338,J338,N338,R338,V338,Z338),"")</f>
        <v/>
      </c>
      <c r="AE338" s="76" t="str">
        <f>IF(MIN(H338,L338,P338,T338,X338,AB338)&lt;&gt;0,MIN(H338,L338,P338,T338,X338,AB338),"")</f>
        <v/>
      </c>
      <c r="AF338" s="77"/>
      <c r="AG338" s="73"/>
      <c r="AH338" s="77"/>
      <c r="AI338" s="73"/>
      <c r="AJ338" s="78" t="str">
        <f>IF(AD338="","",IF(ISBLANK(AF338),"En cours",AD338+AF338))</f>
        <v/>
      </c>
      <c r="AK338" s="79" t="str">
        <f>IF(AE338="","",IF(ISBLANK(AH338),"En cours",AE338+AH338))</f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>IF(MIN(F339,J339,N339,R339,V339,Z339)&lt;&gt;0,MIN(F339,J339,N339,R339,V339,Z339),"")</f>
        <v/>
      </c>
      <c r="AE339" s="76" t="str">
        <f>IF(MIN(H339,L339,P339,T339,X339,AB339)&lt;&gt;0,MIN(H339,L339,P339,T339,X339,AB339),"")</f>
        <v/>
      </c>
      <c r="AF339" s="77"/>
      <c r="AG339" s="73"/>
      <c r="AH339" s="77"/>
      <c r="AI339" s="73"/>
      <c r="AJ339" s="78" t="str">
        <f>IF(AD339="","",IF(ISBLANK(AF339),"En cours",AD339+AF339))</f>
        <v/>
      </c>
      <c r="AK339" s="79" t="str">
        <f>IF(AE339="","",IF(ISBLANK(AH339),"En cours",AE339+AH339))</f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>IF(MIN(F340,J340,N340,R340,V340,Z340)&lt;&gt;0,MIN(F340,J340,N340,R340,V340,Z340),"")</f>
        <v/>
      </c>
      <c r="AE340" s="76" t="str">
        <f>IF(MIN(H340,L340,P340,T340,X340,AB340)&lt;&gt;0,MIN(H340,L340,P340,T340,X340,AB340),"")</f>
        <v/>
      </c>
      <c r="AF340" s="77"/>
      <c r="AG340" s="73"/>
      <c r="AH340" s="77"/>
      <c r="AI340" s="73"/>
      <c r="AJ340" s="78" t="str">
        <f>IF(AD340="","",IF(ISBLANK(AF340),"En cours",AD340+AF340))</f>
        <v/>
      </c>
      <c r="AK340" s="79" t="str">
        <f>IF(AE340="","",IF(ISBLANK(AH340),"En cours",AE340+AH340))</f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>IF(MIN(F341,J341,N341,R341,V341,Z341)&lt;&gt;0,MIN(F341,J341,N341,R341,V341,Z341),"")</f>
        <v/>
      </c>
      <c r="AE341" s="76" t="str">
        <f>IF(MIN(H341,L341,P341,T341,X341,AB341)&lt;&gt;0,MIN(H341,L341,P341,T341,X341,AB341),"")</f>
        <v/>
      </c>
      <c r="AF341" s="77"/>
      <c r="AG341" s="73"/>
      <c r="AH341" s="77"/>
      <c r="AI341" s="73"/>
      <c r="AJ341" s="78" t="str">
        <f>IF(AD341="","",IF(ISBLANK(AF341),"En cours",AD341+AF341))</f>
        <v/>
      </c>
      <c r="AK341" s="79" t="str">
        <f>IF(AE341="","",IF(ISBLANK(AH341),"En cours",AE341+AH341))</f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>IF(MIN(F342,J342,N342,R342,V342,Z342)&lt;&gt;0,MIN(F342,J342,N342,R342,V342,Z342),"")</f>
        <v/>
      </c>
      <c r="AE342" s="76" t="str">
        <f>IF(MIN(H342,L342,P342,T342,X342,AB342)&lt;&gt;0,MIN(H342,L342,P342,T342,X342,AB342),"")</f>
        <v/>
      </c>
      <c r="AF342" s="77"/>
      <c r="AG342" s="73"/>
      <c r="AH342" s="77"/>
      <c r="AI342" s="73"/>
      <c r="AJ342" s="78" t="str">
        <f>IF(AD342="","",IF(ISBLANK(AF342),"En cours",AD342+AF342))</f>
        <v/>
      </c>
      <c r="AK342" s="79" t="str">
        <f>IF(AE342="","",IF(ISBLANK(AH342),"En cours",AE342+AH342))</f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>IF(MIN(F343,J343,N343,R343,V343,Z343)&lt;&gt;0,MIN(F343,J343,N343,R343,V343,Z343),"")</f>
        <v/>
      </c>
      <c r="AE343" s="76" t="str">
        <f>IF(MIN(H343,L343,P343,T343,X343,AB343)&lt;&gt;0,MIN(H343,L343,P343,T343,X343,AB343),"")</f>
        <v/>
      </c>
      <c r="AF343" s="77"/>
      <c r="AG343" s="73"/>
      <c r="AH343" s="77"/>
      <c r="AI343" s="73"/>
      <c r="AJ343" s="78" t="str">
        <f>IF(AD343="","",IF(ISBLANK(AF343),"En cours",AD343+AF343))</f>
        <v/>
      </c>
      <c r="AK343" s="79" t="str">
        <f>IF(AE343="","",IF(ISBLANK(AH343),"En cours",AE343+AH343))</f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>IF(MIN(F344,J344,N344,R344,V344,Z344)&lt;&gt;0,MIN(F344,J344,N344,R344,V344,Z344),"")</f>
        <v/>
      </c>
      <c r="AE344" s="76" t="str">
        <f>IF(MIN(H344,L344,P344,T344,X344,AB344)&lt;&gt;0,MIN(H344,L344,P344,T344,X344,AB344),"")</f>
        <v/>
      </c>
      <c r="AF344" s="77"/>
      <c r="AG344" s="73"/>
      <c r="AH344" s="77"/>
      <c r="AI344" s="73"/>
      <c r="AJ344" s="78" t="str">
        <f>IF(AD344="","",IF(ISBLANK(AF344),"En cours",AD344+AF344))</f>
        <v/>
      </c>
      <c r="AK344" s="79" t="str">
        <f>IF(AE344="","",IF(ISBLANK(AH344),"En cours",AE344+AH344))</f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>IF(MIN(F345,J345,N345,R345,V345,Z345)&lt;&gt;0,MIN(F345,J345,N345,R345,V345,Z345),"")</f>
        <v/>
      </c>
      <c r="AE345" s="76" t="str">
        <f>IF(MIN(H345,L345,P345,T345,X345,AB345)&lt;&gt;0,MIN(H345,L345,P345,T345,X345,AB345),"")</f>
        <v/>
      </c>
      <c r="AF345" s="77"/>
      <c r="AG345" s="73"/>
      <c r="AH345" s="77"/>
      <c r="AI345" s="73"/>
      <c r="AJ345" s="78" t="str">
        <f>IF(AD345="","",IF(ISBLANK(AF345),"En cours",AD345+AF345))</f>
        <v/>
      </c>
      <c r="AK345" s="79" t="str">
        <f>IF(AE345="","",IF(ISBLANK(AH345),"En cours",AE345+AH345))</f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>IF(MIN(F346,J346,N346,R346,V346,Z346)&lt;&gt;0,MIN(F346,J346,N346,R346,V346,Z346),"")</f>
        <v/>
      </c>
      <c r="AE346" s="76" t="str">
        <f>IF(MIN(H346,L346,P346,T346,X346,AB346)&lt;&gt;0,MIN(H346,L346,P346,T346,X346,AB346),"")</f>
        <v/>
      </c>
      <c r="AF346" s="77"/>
      <c r="AG346" s="73"/>
      <c r="AH346" s="77"/>
      <c r="AI346" s="73"/>
      <c r="AJ346" s="78" t="str">
        <f>IF(AD346="","",IF(ISBLANK(AF346),"En cours",AD346+AF346))</f>
        <v/>
      </c>
      <c r="AK346" s="79" t="str">
        <f>IF(AE346="","",IF(ISBLANK(AH346),"En cours",AE346+AH346))</f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>IF(MIN(F347,J347,N347,R347,V347,Z347)&lt;&gt;0,MIN(F347,J347,N347,R347,V347,Z347),"")</f>
        <v/>
      </c>
      <c r="AE347" s="76" t="str">
        <f>IF(MIN(H347,L347,P347,T347,X347,AB347)&lt;&gt;0,MIN(H347,L347,P347,T347,X347,AB347),"")</f>
        <v/>
      </c>
      <c r="AF347" s="77"/>
      <c r="AG347" s="73"/>
      <c r="AH347" s="77"/>
      <c r="AI347" s="73"/>
      <c r="AJ347" s="78" t="str">
        <f>IF(AD347="","",IF(ISBLANK(AF347),"En cours",AD347+AF347))</f>
        <v/>
      </c>
      <c r="AK347" s="79" t="str">
        <f>IF(AE347="","",IF(ISBLANK(AH347),"En cours",AE347+AH347))</f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>IF(MIN(F348,J348,N348,R348,V348,Z348)&lt;&gt;0,MIN(F348,J348,N348,R348,V348,Z348),"")</f>
        <v/>
      </c>
      <c r="AE348" s="76" t="str">
        <f>IF(MIN(H348,L348,P348,T348,X348,AB348)&lt;&gt;0,MIN(H348,L348,P348,T348,X348,AB348),"")</f>
        <v/>
      </c>
      <c r="AF348" s="77"/>
      <c r="AG348" s="73"/>
      <c r="AH348" s="77"/>
      <c r="AI348" s="73"/>
      <c r="AJ348" s="78" t="str">
        <f>IF(AD348="","",IF(ISBLANK(AF348),"En cours",AD348+AF348))</f>
        <v/>
      </c>
      <c r="AK348" s="79" t="str">
        <f>IF(AE348="","",IF(ISBLANK(AH348),"En cours",AE348+AH348))</f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>IF(MIN(F349,J349,N349,R349,V349,Z349)&lt;&gt;0,MIN(F349,J349,N349,R349,V349,Z349),"")</f>
        <v/>
      </c>
      <c r="AE349" s="76" t="str">
        <f>IF(MIN(H349,L349,P349,T349,X349,AB349)&lt;&gt;0,MIN(H349,L349,P349,T349,X349,AB349),"")</f>
        <v/>
      </c>
      <c r="AF349" s="77"/>
      <c r="AG349" s="73"/>
      <c r="AH349" s="77"/>
      <c r="AI349" s="73"/>
      <c r="AJ349" s="78" t="str">
        <f>IF(AD349="","",IF(ISBLANK(AF349),"En cours",AD349+AF349))</f>
        <v/>
      </c>
      <c r="AK349" s="79" t="str">
        <f>IF(AE349="","",IF(ISBLANK(AH349),"En cours",AE349+AH349))</f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>IF(MIN(F350,J350,N350,R350,V350,Z350)&lt;&gt;0,MIN(F350,J350,N350,R350,V350,Z350),"")</f>
        <v/>
      </c>
      <c r="AE350" s="76" t="str">
        <f>IF(MIN(H350,L350,P350,T350,X350,AB350)&lt;&gt;0,MIN(H350,L350,P350,T350,X350,AB350),"")</f>
        <v/>
      </c>
      <c r="AF350" s="77"/>
      <c r="AG350" s="73"/>
      <c r="AH350" s="77"/>
      <c r="AI350" s="73"/>
      <c r="AJ350" s="78" t="str">
        <f>IF(AD350="","",IF(ISBLANK(AF350),"En cours",AD350+AF350))</f>
        <v/>
      </c>
      <c r="AK350" s="79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19" type="noConversion"/>
  <conditionalFormatting sqref="AJ181">
    <cfRule type="cellIs" dxfId="6087" priority="76289" stopIfTrue="1" operator="equal">
      <formula>"En cours"</formula>
    </cfRule>
  </conditionalFormatting>
  <conditionalFormatting sqref="AJ181">
    <cfRule type="cellIs" dxfId="6086" priority="76290" stopIfTrue="1" operator="notEqual">
      <formula>"En cours"</formula>
    </cfRule>
  </conditionalFormatting>
  <conditionalFormatting sqref="AK181">
    <cfRule type="cellIs" dxfId="6085" priority="76291" stopIfTrue="1" operator="equal">
      <formula>"En cours"</formula>
    </cfRule>
  </conditionalFormatting>
  <conditionalFormatting sqref="AK181">
    <cfRule type="cellIs" dxfId="6084" priority="76292" stopIfTrue="1" operator="notEqual">
      <formula>"En cours"</formula>
    </cfRule>
  </conditionalFormatting>
  <conditionalFormatting sqref="AJ7">
    <cfRule type="cellIs" dxfId="5075" priority="309241" stopIfTrue="1" operator="equal">
      <formula>"En cours"</formula>
    </cfRule>
  </conditionalFormatting>
  <conditionalFormatting sqref="AJ7">
    <cfRule type="cellIs" dxfId="5074" priority="309242" stopIfTrue="1" operator="notEqual">
      <formula>"En cours"</formula>
    </cfRule>
  </conditionalFormatting>
  <conditionalFormatting sqref="AK7">
    <cfRule type="cellIs" dxfId="5073" priority="309243" stopIfTrue="1" operator="equal">
      <formula>"En cours"</formula>
    </cfRule>
  </conditionalFormatting>
  <conditionalFormatting sqref="AK7">
    <cfRule type="cellIs" dxfId="5072" priority="309244" stopIfTrue="1" operator="notEqual">
      <formula>"En cours"</formula>
    </cfRule>
  </conditionalFormatting>
  <conditionalFormatting sqref="AJ10">
    <cfRule type="cellIs" dxfId="5071" priority="309245" stopIfTrue="1" operator="equal">
      <formula>"En cours"</formula>
    </cfRule>
  </conditionalFormatting>
  <conditionalFormatting sqref="AJ10">
    <cfRule type="cellIs" dxfId="5070" priority="309246" stopIfTrue="1" operator="notEqual">
      <formula>"En cours"</formula>
    </cfRule>
  </conditionalFormatting>
  <conditionalFormatting sqref="AK10">
    <cfRule type="cellIs" dxfId="5069" priority="309247" stopIfTrue="1" operator="equal">
      <formula>"En cours"</formula>
    </cfRule>
  </conditionalFormatting>
  <conditionalFormatting sqref="AK10">
    <cfRule type="cellIs" dxfId="5068" priority="309248" stopIfTrue="1" operator="notEqual">
      <formula>"En cours"</formula>
    </cfRule>
  </conditionalFormatting>
  <conditionalFormatting sqref="AJ8">
    <cfRule type="cellIs" dxfId="5067" priority="309249" stopIfTrue="1" operator="equal">
      <formula>"En cours"</formula>
    </cfRule>
  </conditionalFormatting>
  <conditionalFormatting sqref="AJ8">
    <cfRule type="cellIs" dxfId="5066" priority="309250" stopIfTrue="1" operator="notEqual">
      <formula>"En cours"</formula>
    </cfRule>
  </conditionalFormatting>
  <conditionalFormatting sqref="AK8">
    <cfRule type="cellIs" dxfId="5065" priority="309251" stopIfTrue="1" operator="equal">
      <formula>"En cours"</formula>
    </cfRule>
  </conditionalFormatting>
  <conditionalFormatting sqref="AK8">
    <cfRule type="cellIs" dxfId="5064" priority="309252" stopIfTrue="1" operator="notEqual">
      <formula>"En cours"</formula>
    </cfRule>
  </conditionalFormatting>
  <conditionalFormatting sqref="AJ18">
    <cfRule type="cellIs" dxfId="5027" priority="309289" stopIfTrue="1" operator="equal">
      <formula>"En cours"</formula>
    </cfRule>
  </conditionalFormatting>
  <conditionalFormatting sqref="AJ18">
    <cfRule type="cellIs" dxfId="5026" priority="309290" stopIfTrue="1" operator="notEqual">
      <formula>"En cours"</formula>
    </cfRule>
  </conditionalFormatting>
  <conditionalFormatting sqref="AK18">
    <cfRule type="cellIs" dxfId="5025" priority="309291" stopIfTrue="1" operator="equal">
      <formula>"En cours"</formula>
    </cfRule>
  </conditionalFormatting>
  <conditionalFormatting sqref="AK18">
    <cfRule type="cellIs" dxfId="5024" priority="309292" stopIfTrue="1" operator="notEqual">
      <formula>"En cours"</formula>
    </cfRule>
  </conditionalFormatting>
  <conditionalFormatting sqref="AJ14">
    <cfRule type="cellIs" dxfId="4439" priority="309877" stopIfTrue="1" operator="equal">
      <formula>"En cours"</formula>
    </cfRule>
  </conditionalFormatting>
  <conditionalFormatting sqref="AJ14">
    <cfRule type="cellIs" dxfId="4438" priority="309878" stopIfTrue="1" operator="notEqual">
      <formula>"En cours"</formula>
    </cfRule>
  </conditionalFormatting>
  <conditionalFormatting sqref="AK14">
    <cfRule type="cellIs" dxfId="4437" priority="309879" stopIfTrue="1" operator="equal">
      <formula>"En cours"</formula>
    </cfRule>
  </conditionalFormatting>
  <conditionalFormatting sqref="AK14">
    <cfRule type="cellIs" dxfId="4436" priority="309880" stopIfTrue="1" operator="notEqual">
      <formula>"En cours"</formula>
    </cfRule>
  </conditionalFormatting>
  <conditionalFormatting sqref="AJ24">
    <cfRule type="cellIs" dxfId="4431" priority="309885" stopIfTrue="1" operator="equal">
      <formula>"En cours"</formula>
    </cfRule>
  </conditionalFormatting>
  <conditionalFormatting sqref="AJ24">
    <cfRule type="cellIs" dxfId="4430" priority="309886" stopIfTrue="1" operator="notEqual">
      <formula>"En cours"</formula>
    </cfRule>
  </conditionalFormatting>
  <conditionalFormatting sqref="AK24">
    <cfRule type="cellIs" dxfId="4429" priority="309887" stopIfTrue="1" operator="equal">
      <formula>"En cours"</formula>
    </cfRule>
  </conditionalFormatting>
  <conditionalFormatting sqref="AK24">
    <cfRule type="cellIs" dxfId="4428" priority="309888" stopIfTrue="1" operator="notEqual">
      <formula>"En cours"</formula>
    </cfRule>
  </conditionalFormatting>
  <conditionalFormatting sqref="AJ98">
    <cfRule type="cellIs" dxfId="4283" priority="310033" stopIfTrue="1" operator="equal">
      <formula>"En cours"</formula>
    </cfRule>
  </conditionalFormatting>
  <conditionalFormatting sqref="AJ98">
    <cfRule type="cellIs" dxfId="4282" priority="310034" stopIfTrue="1" operator="notEqual">
      <formula>"En cours"</formula>
    </cfRule>
  </conditionalFormatting>
  <conditionalFormatting sqref="AK98">
    <cfRule type="cellIs" dxfId="4281" priority="310035" stopIfTrue="1" operator="equal">
      <formula>"En cours"</formula>
    </cfRule>
  </conditionalFormatting>
  <conditionalFormatting sqref="AK98">
    <cfRule type="cellIs" dxfId="4280" priority="310036" stopIfTrue="1" operator="notEqual">
      <formula>"En cours"</formula>
    </cfRule>
  </conditionalFormatting>
  <conditionalFormatting sqref="AJ100">
    <cfRule type="cellIs" dxfId="4275" priority="310041" stopIfTrue="1" operator="equal">
      <formula>"En cours"</formula>
    </cfRule>
  </conditionalFormatting>
  <conditionalFormatting sqref="AJ100">
    <cfRule type="cellIs" dxfId="4274" priority="310042" stopIfTrue="1" operator="notEqual">
      <formula>"En cours"</formula>
    </cfRule>
  </conditionalFormatting>
  <conditionalFormatting sqref="AK100">
    <cfRule type="cellIs" dxfId="4273" priority="310043" stopIfTrue="1" operator="equal">
      <formula>"En cours"</formula>
    </cfRule>
  </conditionalFormatting>
  <conditionalFormatting sqref="AK100">
    <cfRule type="cellIs" dxfId="4272" priority="310044" stopIfTrue="1" operator="notEqual">
      <formula>"En cours"</formula>
    </cfRule>
  </conditionalFormatting>
  <conditionalFormatting sqref="AJ103">
    <cfRule type="cellIs" dxfId="4247" priority="310069" stopIfTrue="1" operator="equal">
      <formula>"En cours"</formula>
    </cfRule>
  </conditionalFormatting>
  <conditionalFormatting sqref="AJ103">
    <cfRule type="cellIs" dxfId="4246" priority="310070" stopIfTrue="1" operator="notEqual">
      <formula>"En cours"</formula>
    </cfRule>
  </conditionalFormatting>
  <conditionalFormatting sqref="AK103">
    <cfRule type="cellIs" dxfId="4245" priority="310071" stopIfTrue="1" operator="equal">
      <formula>"En cours"</formula>
    </cfRule>
  </conditionalFormatting>
  <conditionalFormatting sqref="AK103">
    <cfRule type="cellIs" dxfId="4244" priority="310072" stopIfTrue="1" operator="notEqual">
      <formula>"En cours"</formula>
    </cfRule>
  </conditionalFormatting>
  <conditionalFormatting sqref="AJ111">
    <cfRule type="cellIs" dxfId="4199" priority="310117" stopIfTrue="1" operator="equal">
      <formula>"En cours"</formula>
    </cfRule>
  </conditionalFormatting>
  <conditionalFormatting sqref="AJ111">
    <cfRule type="cellIs" dxfId="4198" priority="310118" stopIfTrue="1" operator="notEqual">
      <formula>"En cours"</formula>
    </cfRule>
  </conditionalFormatting>
  <conditionalFormatting sqref="AK111">
    <cfRule type="cellIs" dxfId="4197" priority="310119" stopIfTrue="1" operator="equal">
      <formula>"En cours"</formula>
    </cfRule>
  </conditionalFormatting>
  <conditionalFormatting sqref="AK111">
    <cfRule type="cellIs" dxfId="4196" priority="310120" stopIfTrue="1" operator="notEqual">
      <formula>"En cours"</formula>
    </cfRule>
  </conditionalFormatting>
  <conditionalFormatting sqref="AJ109">
    <cfRule type="cellIs" dxfId="4191" priority="310125" stopIfTrue="1" operator="equal">
      <formula>"En cours"</formula>
    </cfRule>
  </conditionalFormatting>
  <conditionalFormatting sqref="AJ109">
    <cfRule type="cellIs" dxfId="4190" priority="310126" stopIfTrue="1" operator="notEqual">
      <formula>"En cours"</formula>
    </cfRule>
  </conditionalFormatting>
  <conditionalFormatting sqref="AK109">
    <cfRule type="cellIs" dxfId="4189" priority="310127" stopIfTrue="1" operator="equal">
      <formula>"En cours"</formula>
    </cfRule>
  </conditionalFormatting>
  <conditionalFormatting sqref="AK109">
    <cfRule type="cellIs" dxfId="4188" priority="310128" stopIfTrue="1" operator="notEqual">
      <formula>"En cours"</formula>
    </cfRule>
  </conditionalFormatting>
  <conditionalFormatting sqref="AJ106">
    <cfRule type="cellIs" dxfId="4187" priority="310129" stopIfTrue="1" operator="equal">
      <formula>"En cours"</formula>
    </cfRule>
  </conditionalFormatting>
  <conditionalFormatting sqref="AJ106">
    <cfRule type="cellIs" dxfId="4186" priority="310130" stopIfTrue="1" operator="notEqual">
      <formula>"En cours"</formula>
    </cfRule>
  </conditionalFormatting>
  <conditionalFormatting sqref="AK106">
    <cfRule type="cellIs" dxfId="4185" priority="310131" stopIfTrue="1" operator="equal">
      <formula>"En cours"</formula>
    </cfRule>
  </conditionalFormatting>
  <conditionalFormatting sqref="AK106">
    <cfRule type="cellIs" dxfId="4184" priority="310132" stopIfTrue="1" operator="notEqual">
      <formula>"En cours"</formula>
    </cfRule>
  </conditionalFormatting>
  <conditionalFormatting sqref="AJ119">
    <cfRule type="cellIs" dxfId="4171" priority="310145" stopIfTrue="1" operator="equal">
      <formula>"En cours"</formula>
    </cfRule>
  </conditionalFormatting>
  <conditionalFormatting sqref="AJ119">
    <cfRule type="cellIs" dxfId="4170" priority="310146" stopIfTrue="1" operator="notEqual">
      <formula>"En cours"</formula>
    </cfRule>
  </conditionalFormatting>
  <conditionalFormatting sqref="AK119">
    <cfRule type="cellIs" dxfId="4169" priority="310147" stopIfTrue="1" operator="equal">
      <formula>"En cours"</formula>
    </cfRule>
  </conditionalFormatting>
  <conditionalFormatting sqref="AK119">
    <cfRule type="cellIs" dxfId="4168" priority="310148" stopIfTrue="1" operator="notEqual">
      <formula>"En cours"</formula>
    </cfRule>
  </conditionalFormatting>
  <conditionalFormatting sqref="AJ105">
    <cfRule type="cellIs" dxfId="4167" priority="310149" stopIfTrue="1" operator="equal">
      <formula>"En cours"</formula>
    </cfRule>
  </conditionalFormatting>
  <conditionalFormatting sqref="AJ105">
    <cfRule type="cellIs" dxfId="4166" priority="310150" stopIfTrue="1" operator="notEqual">
      <formula>"En cours"</formula>
    </cfRule>
  </conditionalFormatting>
  <conditionalFormatting sqref="AK105">
    <cfRule type="cellIs" dxfId="4165" priority="310151" stopIfTrue="1" operator="equal">
      <formula>"En cours"</formula>
    </cfRule>
  </conditionalFormatting>
  <conditionalFormatting sqref="AK105">
    <cfRule type="cellIs" dxfId="4164" priority="310152" stopIfTrue="1" operator="notEqual">
      <formula>"En cours"</formula>
    </cfRule>
  </conditionalFormatting>
  <conditionalFormatting sqref="AJ74">
    <cfRule type="cellIs" dxfId="4163" priority="310153" stopIfTrue="1" operator="equal">
      <formula>"En cours"</formula>
    </cfRule>
  </conditionalFormatting>
  <conditionalFormatting sqref="AJ74">
    <cfRule type="cellIs" dxfId="4162" priority="310154" stopIfTrue="1" operator="notEqual">
      <formula>"En cours"</formula>
    </cfRule>
  </conditionalFormatting>
  <conditionalFormatting sqref="AK74">
    <cfRule type="cellIs" dxfId="4161" priority="310155" stopIfTrue="1" operator="equal">
      <formula>"En cours"</formula>
    </cfRule>
  </conditionalFormatting>
  <conditionalFormatting sqref="AK74">
    <cfRule type="cellIs" dxfId="4160" priority="310156" stopIfTrue="1" operator="notEqual">
      <formula>"En cours"</formula>
    </cfRule>
  </conditionalFormatting>
  <conditionalFormatting sqref="AJ79">
    <cfRule type="cellIs" dxfId="3835" priority="310481" stopIfTrue="1" operator="equal">
      <formula>"En cours"</formula>
    </cfRule>
  </conditionalFormatting>
  <conditionalFormatting sqref="AJ79">
    <cfRule type="cellIs" dxfId="3834" priority="310482" stopIfTrue="1" operator="notEqual">
      <formula>"En cours"</formula>
    </cfRule>
  </conditionalFormatting>
  <conditionalFormatting sqref="AK79">
    <cfRule type="cellIs" dxfId="3833" priority="310483" stopIfTrue="1" operator="equal">
      <formula>"En cours"</formula>
    </cfRule>
  </conditionalFormatting>
  <conditionalFormatting sqref="AK79">
    <cfRule type="cellIs" dxfId="3832" priority="310484" stopIfTrue="1" operator="notEqual">
      <formula>"En cours"</formula>
    </cfRule>
  </conditionalFormatting>
  <conditionalFormatting sqref="AJ16">
    <cfRule type="cellIs" dxfId="3827" priority="310489" stopIfTrue="1" operator="equal">
      <formula>"En cours"</formula>
    </cfRule>
    <cfRule type="cellIs" dxfId="3826" priority="310490" stopIfTrue="1" operator="notEqual">
      <formula>"En cours"</formula>
    </cfRule>
  </conditionalFormatting>
  <conditionalFormatting sqref="AK16">
    <cfRule type="cellIs" dxfId="3825" priority="310491" stopIfTrue="1" operator="equal">
      <formula>"En cours"</formula>
    </cfRule>
    <cfRule type="cellIs" dxfId="3824" priority="310492" stopIfTrue="1" operator="notEqual">
      <formula>"En cours"</formula>
    </cfRule>
  </conditionalFormatting>
  <conditionalFormatting sqref="AJ38">
    <cfRule type="cellIs" dxfId="3795" priority="310521" stopIfTrue="1" operator="equal">
      <formula>"En cours"</formula>
    </cfRule>
  </conditionalFormatting>
  <conditionalFormatting sqref="AJ38">
    <cfRule type="cellIs" dxfId="3794" priority="310522" stopIfTrue="1" operator="notEqual">
      <formula>"En cours"</formula>
    </cfRule>
  </conditionalFormatting>
  <conditionalFormatting sqref="AK38">
    <cfRule type="cellIs" dxfId="3793" priority="310523" stopIfTrue="1" operator="equal">
      <formula>"En cours"</formula>
    </cfRule>
  </conditionalFormatting>
  <conditionalFormatting sqref="AK38">
    <cfRule type="cellIs" dxfId="3792" priority="310524" stopIfTrue="1" operator="notEqual">
      <formula>"En cours"</formula>
    </cfRule>
  </conditionalFormatting>
  <conditionalFormatting sqref="AJ23">
    <cfRule type="cellIs" dxfId="3779" priority="310537" stopIfTrue="1" operator="equal">
      <formula>"En cours"</formula>
    </cfRule>
  </conditionalFormatting>
  <conditionalFormatting sqref="AJ23">
    <cfRule type="cellIs" dxfId="3778" priority="310538" stopIfTrue="1" operator="notEqual">
      <formula>"En cours"</formula>
    </cfRule>
  </conditionalFormatting>
  <conditionalFormatting sqref="AK23">
    <cfRule type="cellIs" dxfId="3777" priority="310539" stopIfTrue="1" operator="equal">
      <formula>"En cours"</formula>
    </cfRule>
  </conditionalFormatting>
  <conditionalFormatting sqref="AK23">
    <cfRule type="cellIs" dxfId="3776" priority="310540" stopIfTrue="1" operator="notEqual">
      <formula>"En cours"</formula>
    </cfRule>
  </conditionalFormatting>
  <conditionalFormatting sqref="AJ49">
    <cfRule type="cellIs" dxfId="3755" priority="310561" stopIfTrue="1" operator="equal">
      <formula>"En cours"</formula>
    </cfRule>
  </conditionalFormatting>
  <conditionalFormatting sqref="AJ49">
    <cfRule type="cellIs" dxfId="3754" priority="310562" stopIfTrue="1" operator="notEqual">
      <formula>"En cours"</formula>
    </cfRule>
  </conditionalFormatting>
  <conditionalFormatting sqref="AK49">
    <cfRule type="cellIs" dxfId="3753" priority="310563" stopIfTrue="1" operator="equal">
      <formula>"En cours"</formula>
    </cfRule>
  </conditionalFormatting>
  <conditionalFormatting sqref="AK49">
    <cfRule type="cellIs" dxfId="3752" priority="310564" stopIfTrue="1" operator="notEqual">
      <formula>"En cours"</formula>
    </cfRule>
  </conditionalFormatting>
  <conditionalFormatting sqref="AJ32">
    <cfRule type="cellIs" dxfId="3719" priority="310597" stopIfTrue="1" operator="equal">
      <formula>"En cours"</formula>
    </cfRule>
  </conditionalFormatting>
  <conditionalFormatting sqref="AJ32">
    <cfRule type="cellIs" dxfId="3718" priority="310598" stopIfTrue="1" operator="notEqual">
      <formula>"En cours"</formula>
    </cfRule>
  </conditionalFormatting>
  <conditionalFormatting sqref="AK32">
    <cfRule type="cellIs" dxfId="3717" priority="310599" stopIfTrue="1" operator="equal">
      <formula>"En cours"</formula>
    </cfRule>
  </conditionalFormatting>
  <conditionalFormatting sqref="AK32">
    <cfRule type="cellIs" dxfId="3716" priority="310600" stopIfTrue="1" operator="notEqual">
      <formula>"En cours"</formula>
    </cfRule>
  </conditionalFormatting>
  <conditionalFormatting sqref="AJ82">
    <cfRule type="cellIs" dxfId="3703" priority="310613" stopIfTrue="1" operator="equal">
      <formula>"En cours"</formula>
    </cfRule>
  </conditionalFormatting>
  <conditionalFormatting sqref="AJ82">
    <cfRule type="cellIs" dxfId="3702" priority="310614" stopIfTrue="1" operator="notEqual">
      <formula>"En cours"</formula>
    </cfRule>
  </conditionalFormatting>
  <conditionalFormatting sqref="AK82">
    <cfRule type="cellIs" dxfId="3701" priority="310615" stopIfTrue="1" operator="equal">
      <formula>"En cours"</formula>
    </cfRule>
  </conditionalFormatting>
  <conditionalFormatting sqref="AK82">
    <cfRule type="cellIs" dxfId="3700" priority="310616" stopIfTrue="1" operator="notEqual">
      <formula>"En cours"</formula>
    </cfRule>
  </conditionalFormatting>
  <conditionalFormatting sqref="AJ42">
    <cfRule type="cellIs" dxfId="3695" priority="310621" stopIfTrue="1" operator="equal">
      <formula>"En cours"</formula>
    </cfRule>
  </conditionalFormatting>
  <conditionalFormatting sqref="AJ42">
    <cfRule type="cellIs" dxfId="3694" priority="310622" stopIfTrue="1" operator="notEqual">
      <formula>"En cours"</formula>
    </cfRule>
  </conditionalFormatting>
  <conditionalFormatting sqref="AK42">
    <cfRule type="cellIs" dxfId="3693" priority="310623" stopIfTrue="1" operator="equal">
      <formula>"En cours"</formula>
    </cfRule>
  </conditionalFormatting>
  <conditionalFormatting sqref="AK42">
    <cfRule type="cellIs" dxfId="3692" priority="310624" stopIfTrue="1" operator="notEqual">
      <formula>"En cours"</formula>
    </cfRule>
  </conditionalFormatting>
  <conditionalFormatting sqref="AJ125">
    <cfRule type="cellIs" dxfId="3655" priority="310661" stopIfTrue="1" operator="equal">
      <formula>"En cours"</formula>
    </cfRule>
  </conditionalFormatting>
  <conditionalFormatting sqref="AJ125">
    <cfRule type="cellIs" dxfId="3654" priority="310662" stopIfTrue="1" operator="notEqual">
      <formula>"En cours"</formula>
    </cfRule>
  </conditionalFormatting>
  <conditionalFormatting sqref="AK125">
    <cfRule type="cellIs" dxfId="3653" priority="310663" stopIfTrue="1" operator="equal">
      <formula>"En cours"</formula>
    </cfRule>
  </conditionalFormatting>
  <conditionalFormatting sqref="AK125">
    <cfRule type="cellIs" dxfId="3652" priority="310664" stopIfTrue="1" operator="notEqual">
      <formula>"En cours"</formula>
    </cfRule>
  </conditionalFormatting>
  <conditionalFormatting sqref="AJ69">
    <cfRule type="cellIs" dxfId="3643" priority="310673" stopIfTrue="1" operator="equal">
      <formula>"En cours"</formula>
    </cfRule>
  </conditionalFormatting>
  <conditionalFormatting sqref="AJ69">
    <cfRule type="cellIs" dxfId="3642" priority="310674" stopIfTrue="1" operator="notEqual">
      <formula>"En cours"</formula>
    </cfRule>
  </conditionalFormatting>
  <conditionalFormatting sqref="AK69">
    <cfRule type="cellIs" dxfId="3641" priority="310675" stopIfTrue="1" operator="equal">
      <formula>"En cours"</formula>
    </cfRule>
  </conditionalFormatting>
  <conditionalFormatting sqref="AK69">
    <cfRule type="cellIs" dxfId="3640" priority="310676" stopIfTrue="1" operator="notEqual">
      <formula>"En cours"</formula>
    </cfRule>
  </conditionalFormatting>
  <conditionalFormatting sqref="AJ56">
    <cfRule type="cellIs" dxfId="3631" priority="310685" stopIfTrue="1" operator="equal">
      <formula>"En cours"</formula>
    </cfRule>
  </conditionalFormatting>
  <conditionalFormatting sqref="AJ56">
    <cfRule type="cellIs" dxfId="3630" priority="310686" stopIfTrue="1" operator="notEqual">
      <formula>"En cours"</formula>
    </cfRule>
  </conditionalFormatting>
  <conditionalFormatting sqref="AK56">
    <cfRule type="cellIs" dxfId="3629" priority="310687" stopIfTrue="1" operator="equal">
      <formula>"En cours"</formula>
    </cfRule>
  </conditionalFormatting>
  <conditionalFormatting sqref="AK56">
    <cfRule type="cellIs" dxfId="3628" priority="310688" stopIfTrue="1" operator="notEqual">
      <formula>"En cours"</formula>
    </cfRule>
  </conditionalFormatting>
  <conditionalFormatting sqref="AJ62">
    <cfRule type="cellIs" dxfId="3627" priority="310689" stopIfTrue="1" operator="equal">
      <formula>"En cours"</formula>
    </cfRule>
  </conditionalFormatting>
  <conditionalFormatting sqref="AJ62">
    <cfRule type="cellIs" dxfId="3626" priority="310690" stopIfTrue="1" operator="notEqual">
      <formula>"En cours"</formula>
    </cfRule>
  </conditionalFormatting>
  <conditionalFormatting sqref="AK62">
    <cfRule type="cellIs" dxfId="3625" priority="310691" stopIfTrue="1" operator="equal">
      <formula>"En cours"</formula>
    </cfRule>
  </conditionalFormatting>
  <conditionalFormatting sqref="AK62">
    <cfRule type="cellIs" dxfId="3624" priority="310692" stopIfTrue="1" operator="notEqual">
      <formula>"En cours"</formula>
    </cfRule>
  </conditionalFormatting>
  <conditionalFormatting sqref="AJ128">
    <cfRule type="cellIs" dxfId="3603" priority="310713" stopIfTrue="1" operator="equal">
      <formula>"En cours"</formula>
    </cfRule>
  </conditionalFormatting>
  <conditionalFormatting sqref="AJ128">
    <cfRule type="cellIs" dxfId="3602" priority="310714" stopIfTrue="1" operator="notEqual">
      <formula>"En cours"</formula>
    </cfRule>
  </conditionalFormatting>
  <conditionalFormatting sqref="AK128">
    <cfRule type="cellIs" dxfId="3601" priority="310715" stopIfTrue="1" operator="equal">
      <formula>"En cours"</formula>
    </cfRule>
  </conditionalFormatting>
  <conditionalFormatting sqref="AK128">
    <cfRule type="cellIs" dxfId="3600" priority="310716" stopIfTrue="1" operator="notEqual">
      <formula>"En cours"</formula>
    </cfRule>
  </conditionalFormatting>
  <conditionalFormatting sqref="AJ126">
    <cfRule type="cellIs" dxfId="3595" priority="310721" stopIfTrue="1" operator="equal">
      <formula>"En cours"</formula>
    </cfRule>
  </conditionalFormatting>
  <conditionalFormatting sqref="AJ126">
    <cfRule type="cellIs" dxfId="3594" priority="310722" stopIfTrue="1" operator="notEqual">
      <formula>"En cours"</formula>
    </cfRule>
  </conditionalFormatting>
  <conditionalFormatting sqref="AK126">
    <cfRule type="cellIs" dxfId="3593" priority="310723" stopIfTrue="1" operator="equal">
      <formula>"En cours"</formula>
    </cfRule>
  </conditionalFormatting>
  <conditionalFormatting sqref="AK126">
    <cfRule type="cellIs" dxfId="3592" priority="310724" stopIfTrue="1" operator="notEqual">
      <formula>"En cours"</formula>
    </cfRule>
  </conditionalFormatting>
  <conditionalFormatting sqref="AJ107">
    <cfRule type="cellIs" dxfId="3591" priority="310725" stopIfTrue="1" operator="equal">
      <formula>"En cours"</formula>
    </cfRule>
  </conditionalFormatting>
  <conditionalFormatting sqref="AJ107">
    <cfRule type="cellIs" dxfId="3590" priority="310726" stopIfTrue="1" operator="notEqual">
      <formula>"En cours"</formula>
    </cfRule>
  </conditionalFormatting>
  <conditionalFormatting sqref="AK107">
    <cfRule type="cellIs" dxfId="3589" priority="310727" stopIfTrue="1" operator="equal">
      <formula>"En cours"</formula>
    </cfRule>
  </conditionalFormatting>
  <conditionalFormatting sqref="AK107">
    <cfRule type="cellIs" dxfId="3588" priority="310728" stopIfTrue="1" operator="notEqual">
      <formula>"En cours"</formula>
    </cfRule>
  </conditionalFormatting>
  <conditionalFormatting sqref="AJ134">
    <cfRule type="cellIs" dxfId="3571" priority="310745" stopIfTrue="1" operator="equal">
      <formula>"En cours"</formula>
    </cfRule>
  </conditionalFormatting>
  <conditionalFormatting sqref="AJ134">
    <cfRule type="cellIs" dxfId="3570" priority="310746" stopIfTrue="1" operator="notEqual">
      <formula>"En cours"</formula>
    </cfRule>
  </conditionalFormatting>
  <conditionalFormatting sqref="AK134">
    <cfRule type="cellIs" dxfId="3569" priority="310747" stopIfTrue="1" operator="equal">
      <formula>"En cours"</formula>
    </cfRule>
  </conditionalFormatting>
  <conditionalFormatting sqref="AK134">
    <cfRule type="cellIs" dxfId="3568" priority="310748" stopIfTrue="1" operator="notEqual">
      <formula>"En cours"</formula>
    </cfRule>
  </conditionalFormatting>
  <conditionalFormatting sqref="AJ137">
    <cfRule type="cellIs" dxfId="3219" priority="311097" stopIfTrue="1" operator="equal">
      <formula>"En cours"</formula>
    </cfRule>
  </conditionalFormatting>
  <conditionalFormatting sqref="AJ137">
    <cfRule type="cellIs" dxfId="3218" priority="311098" stopIfTrue="1" operator="notEqual">
      <formula>"En cours"</formula>
    </cfRule>
  </conditionalFormatting>
  <conditionalFormatting sqref="AK137">
    <cfRule type="cellIs" dxfId="3217" priority="311099" stopIfTrue="1" operator="equal">
      <formula>"En cours"</formula>
    </cfRule>
  </conditionalFormatting>
  <conditionalFormatting sqref="AK137">
    <cfRule type="cellIs" dxfId="3216" priority="311100" stopIfTrue="1" operator="notEqual">
      <formula>"En cours"</formula>
    </cfRule>
  </conditionalFormatting>
  <conditionalFormatting sqref="AJ140">
    <cfRule type="cellIs" dxfId="3211" priority="311105" stopIfTrue="1" operator="equal">
      <formula>"En cours"</formula>
    </cfRule>
  </conditionalFormatting>
  <conditionalFormatting sqref="AJ140">
    <cfRule type="cellIs" dxfId="3210" priority="311106" stopIfTrue="1" operator="notEqual">
      <formula>"En cours"</formula>
    </cfRule>
  </conditionalFormatting>
  <conditionalFormatting sqref="AK140">
    <cfRule type="cellIs" dxfId="3209" priority="311107" stopIfTrue="1" operator="equal">
      <formula>"En cours"</formula>
    </cfRule>
  </conditionalFormatting>
  <conditionalFormatting sqref="AK140">
    <cfRule type="cellIs" dxfId="3208" priority="311108" stopIfTrue="1" operator="notEqual">
      <formula>"En cours"</formula>
    </cfRule>
  </conditionalFormatting>
  <conditionalFormatting sqref="AJ139">
    <cfRule type="cellIs" dxfId="3207" priority="311109" stopIfTrue="1" operator="equal">
      <formula>"En cours"</formula>
    </cfRule>
  </conditionalFormatting>
  <conditionalFormatting sqref="AJ139">
    <cfRule type="cellIs" dxfId="3206" priority="311110" stopIfTrue="1" operator="notEqual">
      <formula>"En cours"</formula>
    </cfRule>
  </conditionalFormatting>
  <conditionalFormatting sqref="AK139">
    <cfRule type="cellIs" dxfId="3205" priority="311111" stopIfTrue="1" operator="equal">
      <formula>"En cours"</formula>
    </cfRule>
  </conditionalFormatting>
  <conditionalFormatting sqref="AK139">
    <cfRule type="cellIs" dxfId="3204" priority="311112" stopIfTrue="1" operator="notEqual">
      <formula>"En cours"</formula>
    </cfRule>
  </conditionalFormatting>
  <conditionalFormatting sqref="AJ81">
    <cfRule type="cellIs" dxfId="3195" priority="311121" stopIfTrue="1" operator="equal">
      <formula>"En cours"</formula>
    </cfRule>
  </conditionalFormatting>
  <conditionalFormatting sqref="AJ81">
    <cfRule type="cellIs" dxfId="3194" priority="311122" stopIfTrue="1" operator="notEqual">
      <formula>"En cours"</formula>
    </cfRule>
  </conditionalFormatting>
  <conditionalFormatting sqref="AK81">
    <cfRule type="cellIs" dxfId="3193" priority="311123" stopIfTrue="1" operator="equal">
      <formula>"En cours"</formula>
    </cfRule>
  </conditionalFormatting>
  <conditionalFormatting sqref="AK81">
    <cfRule type="cellIs" dxfId="3192" priority="311124" stopIfTrue="1" operator="notEqual">
      <formula>"En cours"</formula>
    </cfRule>
  </conditionalFormatting>
  <conditionalFormatting sqref="AJ48">
    <cfRule type="cellIs" dxfId="3179" priority="311137" stopIfTrue="1" operator="equal">
      <formula>"En cours"</formula>
    </cfRule>
  </conditionalFormatting>
  <conditionalFormatting sqref="AJ48">
    <cfRule type="cellIs" dxfId="3178" priority="311138" stopIfTrue="1" operator="notEqual">
      <formula>"En cours"</formula>
    </cfRule>
  </conditionalFormatting>
  <conditionalFormatting sqref="AK48">
    <cfRule type="cellIs" dxfId="3177" priority="311139" stopIfTrue="1" operator="equal">
      <formula>"En cours"</formula>
    </cfRule>
  </conditionalFormatting>
  <conditionalFormatting sqref="AK48">
    <cfRule type="cellIs" dxfId="3176" priority="311140" stopIfTrue="1" operator="notEqual">
      <formula>"En cours"</formula>
    </cfRule>
  </conditionalFormatting>
  <conditionalFormatting sqref="AJ143">
    <cfRule type="cellIs" dxfId="3119" priority="311197" stopIfTrue="1" operator="equal">
      <formula>"En cours"</formula>
    </cfRule>
  </conditionalFormatting>
  <conditionalFormatting sqref="AJ143">
    <cfRule type="cellIs" dxfId="3118" priority="311198" stopIfTrue="1" operator="notEqual">
      <formula>"En cours"</formula>
    </cfRule>
  </conditionalFormatting>
  <conditionalFormatting sqref="AK143">
    <cfRule type="cellIs" dxfId="3117" priority="311199" stopIfTrue="1" operator="equal">
      <formula>"En cours"</formula>
    </cfRule>
  </conditionalFormatting>
  <conditionalFormatting sqref="AK143">
    <cfRule type="cellIs" dxfId="3116" priority="311200" stopIfTrue="1" operator="notEqual">
      <formula>"En cours"</formula>
    </cfRule>
  </conditionalFormatting>
  <conditionalFormatting sqref="AJ150">
    <cfRule type="cellIs" dxfId="3083" priority="311233" stopIfTrue="1" operator="equal">
      <formula>"En cours"</formula>
    </cfRule>
  </conditionalFormatting>
  <conditionalFormatting sqref="AJ150">
    <cfRule type="cellIs" dxfId="3082" priority="311234" stopIfTrue="1" operator="notEqual">
      <formula>"En cours"</formula>
    </cfRule>
  </conditionalFormatting>
  <conditionalFormatting sqref="AK150">
    <cfRule type="cellIs" dxfId="3081" priority="311235" stopIfTrue="1" operator="equal">
      <formula>"En cours"</formula>
    </cfRule>
  </conditionalFormatting>
  <conditionalFormatting sqref="AK150">
    <cfRule type="cellIs" dxfId="3080" priority="311236" stopIfTrue="1" operator="notEqual">
      <formula>"En cours"</formula>
    </cfRule>
  </conditionalFormatting>
  <conditionalFormatting sqref="AJ151">
    <cfRule type="cellIs" dxfId="3079" priority="311237" stopIfTrue="1" operator="equal">
      <formula>"En cours"</formula>
    </cfRule>
  </conditionalFormatting>
  <conditionalFormatting sqref="AJ151">
    <cfRule type="cellIs" dxfId="3078" priority="311238" stopIfTrue="1" operator="notEqual">
      <formula>"En cours"</formula>
    </cfRule>
  </conditionalFormatting>
  <conditionalFormatting sqref="AK151">
    <cfRule type="cellIs" dxfId="3077" priority="311239" stopIfTrue="1" operator="equal">
      <formula>"En cours"</formula>
    </cfRule>
  </conditionalFormatting>
  <conditionalFormatting sqref="AK151">
    <cfRule type="cellIs" dxfId="3076" priority="311240" stopIfTrue="1" operator="notEqual">
      <formula>"En cours"</formula>
    </cfRule>
  </conditionalFormatting>
  <conditionalFormatting sqref="AJ149">
    <cfRule type="cellIs" dxfId="3063" priority="311253" stopIfTrue="1" operator="equal">
      <formula>"En cours"</formula>
    </cfRule>
  </conditionalFormatting>
  <conditionalFormatting sqref="AJ149">
    <cfRule type="cellIs" dxfId="3062" priority="311254" stopIfTrue="1" operator="notEqual">
      <formula>"En cours"</formula>
    </cfRule>
  </conditionalFormatting>
  <conditionalFormatting sqref="AK149">
    <cfRule type="cellIs" dxfId="3061" priority="311255" stopIfTrue="1" operator="equal">
      <formula>"En cours"</formula>
    </cfRule>
  </conditionalFormatting>
  <conditionalFormatting sqref="AK149">
    <cfRule type="cellIs" dxfId="3060" priority="311256" stopIfTrue="1" operator="notEqual">
      <formula>"En cours"</formula>
    </cfRule>
  </conditionalFormatting>
  <conditionalFormatting sqref="AJ97">
    <cfRule type="cellIs" dxfId="3035" priority="311281" stopIfTrue="1" operator="equal">
      <formula>"En cours"</formula>
    </cfRule>
  </conditionalFormatting>
  <conditionalFormatting sqref="AJ97">
    <cfRule type="cellIs" dxfId="3034" priority="311282" stopIfTrue="1" operator="notEqual">
      <formula>"En cours"</formula>
    </cfRule>
  </conditionalFormatting>
  <conditionalFormatting sqref="AK97">
    <cfRule type="cellIs" dxfId="3033" priority="311283" stopIfTrue="1" operator="equal">
      <formula>"En cours"</formula>
    </cfRule>
  </conditionalFormatting>
  <conditionalFormatting sqref="AK97">
    <cfRule type="cellIs" dxfId="3032" priority="311284" stopIfTrue="1" operator="notEqual">
      <formula>"En cours"</formula>
    </cfRule>
  </conditionalFormatting>
  <conditionalFormatting sqref="AJ152">
    <cfRule type="cellIs" dxfId="3027" priority="311289" stopIfTrue="1" operator="equal">
      <formula>"En cours"</formula>
    </cfRule>
  </conditionalFormatting>
  <conditionalFormatting sqref="AJ152">
    <cfRule type="cellIs" dxfId="3026" priority="311290" stopIfTrue="1" operator="notEqual">
      <formula>"En cours"</formula>
    </cfRule>
  </conditionalFormatting>
  <conditionalFormatting sqref="AK152">
    <cfRule type="cellIs" dxfId="3025" priority="311291" stopIfTrue="1" operator="equal">
      <formula>"En cours"</formula>
    </cfRule>
  </conditionalFormatting>
  <conditionalFormatting sqref="AK152">
    <cfRule type="cellIs" dxfId="3024" priority="311292" stopIfTrue="1" operator="notEqual">
      <formula>"En cours"</formula>
    </cfRule>
  </conditionalFormatting>
  <conditionalFormatting sqref="AJ115">
    <cfRule type="cellIs" dxfId="3003" priority="311313" stopIfTrue="1" operator="equal">
      <formula>"En cours"</formula>
    </cfRule>
  </conditionalFormatting>
  <conditionalFormatting sqref="AJ115">
    <cfRule type="cellIs" dxfId="3002" priority="311314" stopIfTrue="1" operator="notEqual">
      <formula>"En cours"</formula>
    </cfRule>
  </conditionalFormatting>
  <conditionalFormatting sqref="AK115">
    <cfRule type="cellIs" dxfId="3001" priority="311315" stopIfTrue="1" operator="equal">
      <formula>"En cours"</formula>
    </cfRule>
  </conditionalFormatting>
  <conditionalFormatting sqref="AK115">
    <cfRule type="cellIs" dxfId="3000" priority="311316" stopIfTrue="1" operator="notEqual">
      <formula>"En cours"</formula>
    </cfRule>
  </conditionalFormatting>
  <conditionalFormatting sqref="AJ104">
    <cfRule type="cellIs" dxfId="2995" priority="311321" stopIfTrue="1" operator="equal">
      <formula>"En cours"</formula>
    </cfRule>
  </conditionalFormatting>
  <conditionalFormatting sqref="AJ104">
    <cfRule type="cellIs" dxfId="2994" priority="311322" stopIfTrue="1" operator="notEqual">
      <formula>"En cours"</formula>
    </cfRule>
  </conditionalFormatting>
  <conditionalFormatting sqref="AK104">
    <cfRule type="cellIs" dxfId="2993" priority="311323" stopIfTrue="1" operator="equal">
      <formula>"En cours"</formula>
    </cfRule>
  </conditionalFormatting>
  <conditionalFormatting sqref="AK104">
    <cfRule type="cellIs" dxfId="2992" priority="311324" stopIfTrue="1" operator="notEqual">
      <formula>"En cours"</formula>
    </cfRule>
  </conditionalFormatting>
  <conditionalFormatting sqref="AJ157">
    <cfRule type="cellIs" dxfId="2967" priority="311349" stopIfTrue="1" operator="equal">
      <formula>"En cours"</formula>
    </cfRule>
  </conditionalFormatting>
  <conditionalFormatting sqref="AJ157">
    <cfRule type="cellIs" dxfId="2966" priority="311350" stopIfTrue="1" operator="notEqual">
      <formula>"En cours"</formula>
    </cfRule>
  </conditionalFormatting>
  <conditionalFormatting sqref="AK157">
    <cfRule type="cellIs" dxfId="2965" priority="311351" stopIfTrue="1" operator="equal">
      <formula>"En cours"</formula>
    </cfRule>
  </conditionalFormatting>
  <conditionalFormatting sqref="AK157">
    <cfRule type="cellIs" dxfId="2964" priority="311352" stopIfTrue="1" operator="notEqual">
      <formula>"En cours"</formula>
    </cfRule>
  </conditionalFormatting>
  <conditionalFormatting sqref="AJ161">
    <cfRule type="cellIs" dxfId="2931" priority="311385" stopIfTrue="1" operator="equal">
      <formula>"En cours"</formula>
    </cfRule>
  </conditionalFormatting>
  <conditionalFormatting sqref="AJ161">
    <cfRule type="cellIs" dxfId="2930" priority="311386" stopIfTrue="1" operator="notEqual">
      <formula>"En cours"</formula>
    </cfRule>
  </conditionalFormatting>
  <conditionalFormatting sqref="AK161">
    <cfRule type="cellIs" dxfId="2929" priority="311387" stopIfTrue="1" operator="equal">
      <formula>"En cours"</formula>
    </cfRule>
  </conditionalFormatting>
  <conditionalFormatting sqref="AK161">
    <cfRule type="cellIs" dxfId="2928" priority="311388" stopIfTrue="1" operator="notEqual">
      <formula>"En cours"</formula>
    </cfRule>
  </conditionalFormatting>
  <conditionalFormatting sqref="AJ164">
    <cfRule type="cellIs" dxfId="2915" priority="311401" stopIfTrue="1" operator="equal">
      <formula>"En cours"</formula>
    </cfRule>
  </conditionalFormatting>
  <conditionalFormatting sqref="AJ164">
    <cfRule type="cellIs" dxfId="2914" priority="311402" stopIfTrue="1" operator="notEqual">
      <formula>"En cours"</formula>
    </cfRule>
  </conditionalFormatting>
  <conditionalFormatting sqref="AK164">
    <cfRule type="cellIs" dxfId="2913" priority="311403" stopIfTrue="1" operator="equal">
      <formula>"En cours"</formula>
    </cfRule>
  </conditionalFormatting>
  <conditionalFormatting sqref="AK164">
    <cfRule type="cellIs" dxfId="2912" priority="311404" stopIfTrue="1" operator="notEqual">
      <formula>"En cours"</formula>
    </cfRule>
  </conditionalFormatting>
  <conditionalFormatting sqref="AJ167">
    <cfRule type="cellIs" dxfId="2647" priority="311669" stopIfTrue="1" operator="equal">
      <formula>"En cours"</formula>
    </cfRule>
  </conditionalFormatting>
  <conditionalFormatting sqref="AJ167">
    <cfRule type="cellIs" dxfId="2646" priority="311670" stopIfTrue="1" operator="notEqual">
      <formula>"En cours"</formula>
    </cfRule>
  </conditionalFormatting>
  <conditionalFormatting sqref="AK167">
    <cfRule type="cellIs" dxfId="2645" priority="311671" stopIfTrue="1" operator="equal">
      <formula>"En cours"</formula>
    </cfRule>
  </conditionalFormatting>
  <conditionalFormatting sqref="AK167">
    <cfRule type="cellIs" dxfId="2644" priority="311672" stopIfTrue="1" operator="notEqual">
      <formula>"En cours"</formula>
    </cfRule>
  </conditionalFormatting>
  <conditionalFormatting sqref="AJ78">
    <cfRule type="cellIs" dxfId="2639" priority="311677" stopIfTrue="1" operator="equal">
      <formula>"En cours"</formula>
    </cfRule>
  </conditionalFormatting>
  <conditionalFormatting sqref="AJ78">
    <cfRule type="cellIs" dxfId="2638" priority="311678" stopIfTrue="1" operator="notEqual">
      <formula>"En cours"</formula>
    </cfRule>
  </conditionalFormatting>
  <conditionalFormatting sqref="AK78">
    <cfRule type="cellIs" dxfId="2637" priority="311679" stopIfTrue="1" operator="equal">
      <formula>"En cours"</formula>
    </cfRule>
  </conditionalFormatting>
  <conditionalFormatting sqref="AK78">
    <cfRule type="cellIs" dxfId="2636" priority="311680" stopIfTrue="1" operator="notEqual">
      <formula>"En cours"</formula>
    </cfRule>
  </conditionalFormatting>
  <conditionalFormatting sqref="AJ11">
    <cfRule type="cellIs" dxfId="2627" priority="311689" stopIfTrue="1" operator="equal">
      <formula>"En cours"</formula>
    </cfRule>
  </conditionalFormatting>
  <conditionalFormatting sqref="AJ11">
    <cfRule type="cellIs" dxfId="2626" priority="311690" stopIfTrue="1" operator="notEqual">
      <formula>"En cours"</formula>
    </cfRule>
  </conditionalFormatting>
  <conditionalFormatting sqref="AK11">
    <cfRule type="cellIs" dxfId="2625" priority="311691" stopIfTrue="1" operator="equal">
      <formula>"En cours"</formula>
    </cfRule>
  </conditionalFormatting>
  <conditionalFormatting sqref="AK11">
    <cfRule type="cellIs" dxfId="2624" priority="311692" stopIfTrue="1" operator="notEqual">
      <formula>"En cours"</formula>
    </cfRule>
  </conditionalFormatting>
  <conditionalFormatting sqref="AJ136">
    <cfRule type="cellIs" dxfId="2623" priority="311693" stopIfTrue="1" operator="equal">
      <formula>"En cours"</formula>
    </cfRule>
  </conditionalFormatting>
  <conditionalFormatting sqref="AJ136">
    <cfRule type="cellIs" dxfId="2622" priority="311694" stopIfTrue="1" operator="notEqual">
      <formula>"En cours"</formula>
    </cfRule>
  </conditionalFormatting>
  <conditionalFormatting sqref="AK136">
    <cfRule type="cellIs" dxfId="2621" priority="311695" stopIfTrue="1" operator="equal">
      <formula>"En cours"</formula>
    </cfRule>
  </conditionalFormatting>
  <conditionalFormatting sqref="AK136">
    <cfRule type="cellIs" dxfId="2620" priority="311696" stopIfTrue="1" operator="notEqual">
      <formula>"En cours"</formula>
    </cfRule>
  </conditionalFormatting>
  <conditionalFormatting sqref="AJ169">
    <cfRule type="cellIs" dxfId="2607" priority="311709" stopIfTrue="1" operator="equal">
      <formula>"En cours"</formula>
    </cfRule>
  </conditionalFormatting>
  <conditionalFormatting sqref="AJ169">
    <cfRule type="cellIs" dxfId="2606" priority="311710" stopIfTrue="1" operator="notEqual">
      <formula>"En cours"</formula>
    </cfRule>
  </conditionalFormatting>
  <conditionalFormatting sqref="AK169">
    <cfRule type="cellIs" dxfId="2605" priority="311711" stopIfTrue="1" operator="equal">
      <formula>"En cours"</formula>
    </cfRule>
  </conditionalFormatting>
  <conditionalFormatting sqref="AK169">
    <cfRule type="cellIs" dxfId="2604" priority="311712" stopIfTrue="1" operator="notEqual">
      <formula>"En cours"</formula>
    </cfRule>
  </conditionalFormatting>
  <conditionalFormatting sqref="AJ142">
    <cfRule type="cellIs" dxfId="2603" priority="311713" stopIfTrue="1" operator="equal">
      <formula>"En cours"</formula>
    </cfRule>
  </conditionalFormatting>
  <conditionalFormatting sqref="AJ142">
    <cfRule type="cellIs" dxfId="2602" priority="311714" stopIfTrue="1" operator="notEqual">
      <formula>"En cours"</formula>
    </cfRule>
  </conditionalFormatting>
  <conditionalFormatting sqref="AK142">
    <cfRule type="cellIs" dxfId="2601" priority="311715" stopIfTrue="1" operator="equal">
      <formula>"En cours"</formula>
    </cfRule>
  </conditionalFormatting>
  <conditionalFormatting sqref="AK142">
    <cfRule type="cellIs" dxfId="2600" priority="311716" stopIfTrue="1" operator="notEqual">
      <formula>"En cours"</formula>
    </cfRule>
  </conditionalFormatting>
  <conditionalFormatting sqref="AJ145">
    <cfRule type="cellIs" dxfId="2595" priority="311721" stopIfTrue="1" operator="equal">
      <formula>"En cours"</formula>
    </cfRule>
  </conditionalFormatting>
  <conditionalFormatting sqref="AJ145">
    <cfRule type="cellIs" dxfId="2594" priority="311722" stopIfTrue="1" operator="notEqual">
      <formula>"En cours"</formula>
    </cfRule>
  </conditionalFormatting>
  <conditionalFormatting sqref="AK145">
    <cfRule type="cellIs" dxfId="2593" priority="311723" stopIfTrue="1" operator="equal">
      <formula>"En cours"</formula>
    </cfRule>
  </conditionalFormatting>
  <conditionalFormatting sqref="AK145">
    <cfRule type="cellIs" dxfId="2592" priority="311724" stopIfTrue="1" operator="notEqual">
      <formula>"En cours"</formula>
    </cfRule>
  </conditionalFormatting>
  <conditionalFormatting sqref="AJ28">
    <cfRule type="cellIs" dxfId="2551" priority="311765" stopIfTrue="1" operator="equal">
      <formula>"En cours"</formula>
    </cfRule>
  </conditionalFormatting>
  <conditionalFormatting sqref="AJ28">
    <cfRule type="cellIs" dxfId="2550" priority="311766" stopIfTrue="1" operator="notEqual">
      <formula>"En cours"</formula>
    </cfRule>
  </conditionalFormatting>
  <conditionalFormatting sqref="AK28">
    <cfRule type="cellIs" dxfId="2549" priority="311767" stopIfTrue="1" operator="equal">
      <formula>"En cours"</formula>
    </cfRule>
  </conditionalFormatting>
  <conditionalFormatting sqref="AK28">
    <cfRule type="cellIs" dxfId="2548" priority="311768" stopIfTrue="1" operator="notEqual">
      <formula>"En cours"</formula>
    </cfRule>
  </conditionalFormatting>
  <conditionalFormatting sqref="AJ123">
    <cfRule type="cellIs" dxfId="2543" priority="311773" stopIfTrue="1" operator="equal">
      <formula>"En cours"</formula>
    </cfRule>
  </conditionalFormatting>
  <conditionalFormatting sqref="AJ123">
    <cfRule type="cellIs" dxfId="2542" priority="311774" stopIfTrue="1" operator="notEqual">
      <formula>"En cours"</formula>
    </cfRule>
  </conditionalFormatting>
  <conditionalFormatting sqref="AK123">
    <cfRule type="cellIs" dxfId="2541" priority="311775" stopIfTrue="1" operator="equal">
      <formula>"En cours"</formula>
    </cfRule>
  </conditionalFormatting>
  <conditionalFormatting sqref="AK123">
    <cfRule type="cellIs" dxfId="2540" priority="311776" stopIfTrue="1" operator="notEqual">
      <formula>"En cours"</formula>
    </cfRule>
  </conditionalFormatting>
  <conditionalFormatting sqref="AJ33">
    <cfRule type="cellIs" dxfId="2539" priority="311777" stopIfTrue="1" operator="equal">
      <formula>"En cours"</formula>
    </cfRule>
  </conditionalFormatting>
  <conditionalFormatting sqref="AJ33">
    <cfRule type="cellIs" dxfId="2538" priority="311778" stopIfTrue="1" operator="notEqual">
      <formula>"En cours"</formula>
    </cfRule>
  </conditionalFormatting>
  <conditionalFormatting sqref="AK33">
    <cfRule type="cellIs" dxfId="2537" priority="311779" stopIfTrue="1" operator="equal">
      <formula>"En cours"</formula>
    </cfRule>
  </conditionalFormatting>
  <conditionalFormatting sqref="AK33">
    <cfRule type="cellIs" dxfId="2536" priority="311780" stopIfTrue="1" operator="notEqual">
      <formula>"En cours"</formula>
    </cfRule>
  </conditionalFormatting>
  <conditionalFormatting sqref="AJ88">
    <cfRule type="cellIs" dxfId="2535" priority="311781" stopIfTrue="1" operator="equal">
      <formula>"En cours"</formula>
    </cfRule>
  </conditionalFormatting>
  <conditionalFormatting sqref="AJ88">
    <cfRule type="cellIs" dxfId="2534" priority="311782" stopIfTrue="1" operator="notEqual">
      <formula>"En cours"</formula>
    </cfRule>
  </conditionalFormatting>
  <conditionalFormatting sqref="AK88">
    <cfRule type="cellIs" dxfId="2533" priority="311783" stopIfTrue="1" operator="equal">
      <formula>"En cours"</formula>
    </cfRule>
  </conditionalFormatting>
  <conditionalFormatting sqref="AK88">
    <cfRule type="cellIs" dxfId="2532" priority="311784" stopIfTrue="1" operator="notEqual">
      <formula>"En cours"</formula>
    </cfRule>
  </conditionalFormatting>
  <conditionalFormatting sqref="AJ156">
    <cfRule type="cellIs" dxfId="2495" priority="311821" stopIfTrue="1" operator="equal">
      <formula>"En cours"</formula>
    </cfRule>
  </conditionalFormatting>
  <conditionalFormatting sqref="AJ156">
    <cfRule type="cellIs" dxfId="2494" priority="311822" stopIfTrue="1" operator="notEqual">
      <formula>"En cours"</formula>
    </cfRule>
  </conditionalFormatting>
  <conditionalFormatting sqref="AK156">
    <cfRule type="cellIs" dxfId="2493" priority="311823" stopIfTrue="1" operator="equal">
      <formula>"En cours"</formula>
    </cfRule>
  </conditionalFormatting>
  <conditionalFormatting sqref="AK156">
    <cfRule type="cellIs" dxfId="2492" priority="311824" stopIfTrue="1" operator="notEqual">
      <formula>"En cours"</formula>
    </cfRule>
  </conditionalFormatting>
  <conditionalFormatting sqref="AJ129">
    <cfRule type="cellIs" dxfId="2463" priority="311853" stopIfTrue="1" operator="equal">
      <formula>"En cours"</formula>
    </cfRule>
  </conditionalFormatting>
  <conditionalFormatting sqref="AJ129">
    <cfRule type="cellIs" dxfId="2462" priority="311854" stopIfTrue="1" operator="notEqual">
      <formula>"En cours"</formula>
    </cfRule>
  </conditionalFormatting>
  <conditionalFormatting sqref="AK129">
    <cfRule type="cellIs" dxfId="2461" priority="311855" stopIfTrue="1" operator="equal">
      <formula>"En cours"</formula>
    </cfRule>
  </conditionalFormatting>
  <conditionalFormatting sqref="AK129">
    <cfRule type="cellIs" dxfId="2460" priority="311856" stopIfTrue="1" operator="notEqual">
      <formula>"En cours"</formula>
    </cfRule>
  </conditionalFormatting>
  <conditionalFormatting sqref="AJ163">
    <cfRule type="cellIs" dxfId="2455" priority="311861" stopIfTrue="1" operator="equal">
      <formula>"En cours"</formula>
    </cfRule>
  </conditionalFormatting>
  <conditionalFormatting sqref="AJ163">
    <cfRule type="cellIs" dxfId="2454" priority="311862" stopIfTrue="1" operator="notEqual">
      <formula>"En cours"</formula>
    </cfRule>
  </conditionalFormatting>
  <conditionalFormatting sqref="AK163">
    <cfRule type="cellIs" dxfId="2453" priority="311863" stopIfTrue="1" operator="equal">
      <formula>"En cours"</formula>
    </cfRule>
  </conditionalFormatting>
  <conditionalFormatting sqref="AK163">
    <cfRule type="cellIs" dxfId="2452" priority="311864" stopIfTrue="1" operator="notEqual">
      <formula>"En cours"</formula>
    </cfRule>
  </conditionalFormatting>
  <conditionalFormatting sqref="AJ171">
    <cfRule type="cellIs" dxfId="2423" priority="311893" stopIfTrue="1" operator="equal">
      <formula>"En cours"</formula>
    </cfRule>
  </conditionalFormatting>
  <conditionalFormatting sqref="AJ171">
    <cfRule type="cellIs" dxfId="2422" priority="311894" stopIfTrue="1" operator="notEqual">
      <formula>"En cours"</formula>
    </cfRule>
  </conditionalFormatting>
  <conditionalFormatting sqref="AK171">
    <cfRule type="cellIs" dxfId="2421" priority="311895" stopIfTrue="1" operator="equal">
      <formula>"En cours"</formula>
    </cfRule>
  </conditionalFormatting>
  <conditionalFormatting sqref="AK171">
    <cfRule type="cellIs" dxfId="2420" priority="311896" stopIfTrue="1" operator="notEqual">
      <formula>"En cours"</formula>
    </cfRule>
  </conditionalFormatting>
  <conditionalFormatting sqref="AJ154">
    <cfRule type="cellIs" dxfId="2419" priority="311897" stopIfTrue="1" operator="equal">
      <formula>"En cours"</formula>
    </cfRule>
  </conditionalFormatting>
  <conditionalFormatting sqref="AJ154">
    <cfRule type="cellIs" dxfId="2418" priority="311898" stopIfTrue="1" operator="notEqual">
      <formula>"En cours"</formula>
    </cfRule>
  </conditionalFormatting>
  <conditionalFormatting sqref="AK154">
    <cfRule type="cellIs" dxfId="2417" priority="311899" stopIfTrue="1" operator="equal">
      <formula>"En cours"</formula>
    </cfRule>
  </conditionalFormatting>
  <conditionalFormatting sqref="AK154">
    <cfRule type="cellIs" dxfId="2416" priority="311900" stopIfTrue="1" operator="notEqual">
      <formula>"En cours"</formula>
    </cfRule>
  </conditionalFormatting>
  <conditionalFormatting sqref="AJ120">
    <cfRule type="cellIs" dxfId="2167" priority="312149" stopIfTrue="1" operator="equal">
      <formula>"En cours"</formula>
    </cfRule>
  </conditionalFormatting>
  <conditionalFormatting sqref="AJ120">
    <cfRule type="cellIs" dxfId="2166" priority="312150" stopIfTrue="1" operator="notEqual">
      <formula>"En cours"</formula>
    </cfRule>
  </conditionalFormatting>
  <conditionalFormatting sqref="AK120">
    <cfRule type="cellIs" dxfId="2165" priority="312151" stopIfTrue="1" operator="equal">
      <formula>"En cours"</formula>
    </cfRule>
  </conditionalFormatting>
  <conditionalFormatting sqref="AK120">
    <cfRule type="cellIs" dxfId="2164" priority="312152" stopIfTrue="1" operator="notEqual">
      <formula>"En cours"</formula>
    </cfRule>
  </conditionalFormatting>
  <conditionalFormatting sqref="AJ80">
    <cfRule type="cellIs" dxfId="2159" priority="312157" stopIfTrue="1" operator="equal">
      <formula>"En cours"</formula>
    </cfRule>
  </conditionalFormatting>
  <conditionalFormatting sqref="AJ80">
    <cfRule type="cellIs" dxfId="2158" priority="312158" stopIfTrue="1" operator="notEqual">
      <formula>"En cours"</formula>
    </cfRule>
  </conditionalFormatting>
  <conditionalFormatting sqref="AK80">
    <cfRule type="cellIs" dxfId="2157" priority="312159" stopIfTrue="1" operator="equal">
      <formula>"En cours"</formula>
    </cfRule>
  </conditionalFormatting>
  <conditionalFormatting sqref="AK80">
    <cfRule type="cellIs" dxfId="2156" priority="312160" stopIfTrue="1" operator="notEqual">
      <formula>"En cours"</formula>
    </cfRule>
  </conditionalFormatting>
  <conditionalFormatting sqref="AJ138">
    <cfRule type="cellIs" dxfId="2139" priority="312177" stopIfTrue="1" operator="equal">
      <formula>"En cours"</formula>
    </cfRule>
  </conditionalFormatting>
  <conditionalFormatting sqref="AJ138">
    <cfRule type="cellIs" dxfId="2138" priority="312178" stopIfTrue="1" operator="notEqual">
      <formula>"En cours"</formula>
    </cfRule>
  </conditionalFormatting>
  <conditionalFormatting sqref="AK138">
    <cfRule type="cellIs" dxfId="2137" priority="312179" stopIfTrue="1" operator="equal">
      <formula>"En cours"</formula>
    </cfRule>
  </conditionalFormatting>
  <conditionalFormatting sqref="AK138">
    <cfRule type="cellIs" dxfId="2136" priority="312180" stopIfTrue="1" operator="notEqual">
      <formula>"En cours"</formula>
    </cfRule>
  </conditionalFormatting>
  <conditionalFormatting sqref="AJ121">
    <cfRule type="cellIs" dxfId="2127" priority="312189" stopIfTrue="1" operator="equal">
      <formula>"En cours"</formula>
    </cfRule>
  </conditionalFormatting>
  <conditionalFormatting sqref="AJ121">
    <cfRule type="cellIs" dxfId="2126" priority="312190" stopIfTrue="1" operator="notEqual">
      <formula>"En cours"</formula>
    </cfRule>
  </conditionalFormatting>
  <conditionalFormatting sqref="AK121">
    <cfRule type="cellIs" dxfId="2125" priority="312191" stopIfTrue="1" operator="equal">
      <formula>"En cours"</formula>
    </cfRule>
  </conditionalFormatting>
  <conditionalFormatting sqref="AK121">
    <cfRule type="cellIs" dxfId="2124" priority="312192" stopIfTrue="1" operator="notEqual">
      <formula>"En cours"</formula>
    </cfRule>
  </conditionalFormatting>
  <conditionalFormatting sqref="AJ83">
    <cfRule type="cellIs" dxfId="2123" priority="312193" stopIfTrue="1" operator="equal">
      <formula>"En cours"</formula>
    </cfRule>
  </conditionalFormatting>
  <conditionalFormatting sqref="AJ83">
    <cfRule type="cellIs" dxfId="2122" priority="312194" stopIfTrue="1" operator="notEqual">
      <formula>"En cours"</formula>
    </cfRule>
  </conditionalFormatting>
  <conditionalFormatting sqref="AK83">
    <cfRule type="cellIs" dxfId="2121" priority="312195" stopIfTrue="1" operator="equal">
      <formula>"En cours"</formula>
    </cfRule>
  </conditionalFormatting>
  <conditionalFormatting sqref="AK83">
    <cfRule type="cellIs" dxfId="2120" priority="312196" stopIfTrue="1" operator="notEqual">
      <formula>"En cours"</formula>
    </cfRule>
  </conditionalFormatting>
  <conditionalFormatting sqref="AJ170">
    <cfRule type="cellIs" dxfId="2099" priority="312217" stopIfTrue="1" operator="equal">
      <formula>"En cours"</formula>
    </cfRule>
  </conditionalFormatting>
  <conditionalFormatting sqref="AJ170">
    <cfRule type="cellIs" dxfId="2098" priority="312218" stopIfTrue="1" operator="notEqual">
      <formula>"En cours"</formula>
    </cfRule>
  </conditionalFormatting>
  <conditionalFormatting sqref="AK170">
    <cfRule type="cellIs" dxfId="2097" priority="312219" stopIfTrue="1" operator="equal">
      <formula>"En cours"</formula>
    </cfRule>
  </conditionalFormatting>
  <conditionalFormatting sqref="AK170">
    <cfRule type="cellIs" dxfId="2096" priority="312220" stopIfTrue="1" operator="notEqual">
      <formula>"En cours"</formula>
    </cfRule>
  </conditionalFormatting>
  <conditionalFormatting sqref="AJ26">
    <cfRule type="cellIs" dxfId="2091" priority="312225" stopIfTrue="1" operator="equal">
      <formula>"En cours"</formula>
    </cfRule>
  </conditionalFormatting>
  <conditionalFormatting sqref="AJ26">
    <cfRule type="cellIs" dxfId="2090" priority="312226" stopIfTrue="1" operator="notEqual">
      <formula>"En cours"</formula>
    </cfRule>
  </conditionalFormatting>
  <conditionalFormatting sqref="AK26">
    <cfRule type="cellIs" dxfId="2089" priority="312227" stopIfTrue="1" operator="equal">
      <formula>"En cours"</formula>
    </cfRule>
  </conditionalFormatting>
  <conditionalFormatting sqref="AK26">
    <cfRule type="cellIs" dxfId="2088" priority="312228" stopIfTrue="1" operator="notEqual">
      <formula>"En cours"</formula>
    </cfRule>
  </conditionalFormatting>
  <conditionalFormatting sqref="AJ93">
    <cfRule type="cellIs" dxfId="2087" priority="312229" stopIfTrue="1" operator="equal">
      <formula>"En cours"</formula>
    </cfRule>
  </conditionalFormatting>
  <conditionalFormatting sqref="AJ93">
    <cfRule type="cellIs" dxfId="2086" priority="312230" stopIfTrue="1" operator="notEqual">
      <formula>"En cours"</formula>
    </cfRule>
  </conditionalFormatting>
  <conditionalFormatting sqref="AK93">
    <cfRule type="cellIs" dxfId="2085" priority="312231" stopIfTrue="1" operator="equal">
      <formula>"En cours"</formula>
    </cfRule>
  </conditionalFormatting>
  <conditionalFormatting sqref="AK93">
    <cfRule type="cellIs" dxfId="2084" priority="312232" stopIfTrue="1" operator="notEqual">
      <formula>"En cours"</formula>
    </cfRule>
  </conditionalFormatting>
  <conditionalFormatting sqref="AJ84">
    <cfRule type="cellIs" dxfId="2083" priority="312233" stopIfTrue="1" operator="equal">
      <formula>"En cours"</formula>
    </cfRule>
  </conditionalFormatting>
  <conditionalFormatting sqref="AJ84">
    <cfRule type="cellIs" dxfId="2082" priority="312234" stopIfTrue="1" operator="notEqual">
      <formula>"En cours"</formula>
    </cfRule>
  </conditionalFormatting>
  <conditionalFormatting sqref="AK84">
    <cfRule type="cellIs" dxfId="2081" priority="312235" stopIfTrue="1" operator="equal">
      <formula>"En cours"</formula>
    </cfRule>
  </conditionalFormatting>
  <conditionalFormatting sqref="AK84">
    <cfRule type="cellIs" dxfId="2080" priority="312236" stopIfTrue="1" operator="notEqual">
      <formula>"En cours"</formula>
    </cfRule>
  </conditionalFormatting>
  <conditionalFormatting sqref="AJ89">
    <cfRule type="cellIs" dxfId="2059" priority="312257" stopIfTrue="1" operator="equal">
      <formula>"En cours"</formula>
    </cfRule>
  </conditionalFormatting>
  <conditionalFormatting sqref="AJ89">
    <cfRule type="cellIs" dxfId="2058" priority="312258" stopIfTrue="1" operator="notEqual">
      <formula>"En cours"</formula>
    </cfRule>
  </conditionalFormatting>
  <conditionalFormatting sqref="AK89">
    <cfRule type="cellIs" dxfId="2057" priority="312259" stopIfTrue="1" operator="equal">
      <formula>"En cours"</formula>
    </cfRule>
  </conditionalFormatting>
  <conditionalFormatting sqref="AK89">
    <cfRule type="cellIs" dxfId="2056" priority="312260" stopIfTrue="1" operator="notEqual">
      <formula>"En cours"</formula>
    </cfRule>
  </conditionalFormatting>
  <conditionalFormatting sqref="AJ148">
    <cfRule type="cellIs" dxfId="2047" priority="312269" stopIfTrue="1" operator="equal">
      <formula>"En cours"</formula>
    </cfRule>
  </conditionalFormatting>
  <conditionalFormatting sqref="AJ148">
    <cfRule type="cellIs" dxfId="2046" priority="312270" stopIfTrue="1" operator="notEqual">
      <formula>"En cours"</formula>
    </cfRule>
  </conditionalFormatting>
  <conditionalFormatting sqref="AK148">
    <cfRule type="cellIs" dxfId="2045" priority="312271" stopIfTrue="1" operator="equal">
      <formula>"En cours"</formula>
    </cfRule>
  </conditionalFormatting>
  <conditionalFormatting sqref="AK148">
    <cfRule type="cellIs" dxfId="2044" priority="312272" stopIfTrue="1" operator="notEqual">
      <formula>"En cours"</formula>
    </cfRule>
  </conditionalFormatting>
  <conditionalFormatting sqref="AJ96">
    <cfRule type="cellIs" dxfId="2027" priority="312289" stopIfTrue="1" operator="equal">
      <formula>"En cours"</formula>
    </cfRule>
  </conditionalFormatting>
  <conditionalFormatting sqref="AJ96">
    <cfRule type="cellIs" dxfId="2026" priority="312290" stopIfTrue="1" operator="notEqual">
      <formula>"En cours"</formula>
    </cfRule>
  </conditionalFormatting>
  <conditionalFormatting sqref="AK96">
    <cfRule type="cellIs" dxfId="2025" priority="312291" stopIfTrue="1" operator="equal">
      <formula>"En cours"</formula>
    </cfRule>
  </conditionalFormatting>
  <conditionalFormatting sqref="AK96">
    <cfRule type="cellIs" dxfId="2024" priority="312292" stopIfTrue="1" operator="notEqual">
      <formula>"En cours"</formula>
    </cfRule>
  </conditionalFormatting>
  <conditionalFormatting sqref="AJ101">
    <cfRule type="cellIs" dxfId="2007" priority="312309" stopIfTrue="1" operator="equal">
      <formula>"En cours"</formula>
    </cfRule>
  </conditionalFormatting>
  <conditionalFormatting sqref="AJ101">
    <cfRule type="cellIs" dxfId="2006" priority="312310" stopIfTrue="1" operator="notEqual">
      <formula>"En cours"</formula>
    </cfRule>
  </conditionalFormatting>
  <conditionalFormatting sqref="AK101">
    <cfRule type="cellIs" dxfId="2005" priority="312311" stopIfTrue="1" operator="equal">
      <formula>"En cours"</formula>
    </cfRule>
  </conditionalFormatting>
  <conditionalFormatting sqref="AK101">
    <cfRule type="cellIs" dxfId="2004" priority="312312" stopIfTrue="1" operator="notEqual">
      <formula>"En cours"</formula>
    </cfRule>
  </conditionalFormatting>
  <conditionalFormatting sqref="AJ114">
    <cfRule type="cellIs" dxfId="1999" priority="312317" stopIfTrue="1" operator="equal">
      <formula>"En cours"</formula>
    </cfRule>
  </conditionalFormatting>
  <conditionalFormatting sqref="AJ114">
    <cfRule type="cellIs" dxfId="1998" priority="312318" stopIfTrue="1" operator="notEqual">
      <formula>"En cours"</formula>
    </cfRule>
  </conditionalFormatting>
  <conditionalFormatting sqref="AK114">
    <cfRule type="cellIs" dxfId="1997" priority="312319" stopIfTrue="1" operator="equal">
      <formula>"En cours"</formula>
    </cfRule>
  </conditionalFormatting>
  <conditionalFormatting sqref="AK114">
    <cfRule type="cellIs" dxfId="1996" priority="312320" stopIfTrue="1" operator="notEqual">
      <formula>"En cours"</formula>
    </cfRule>
  </conditionalFormatting>
  <conditionalFormatting sqref="AJ116">
    <cfRule type="cellIs" dxfId="1987" priority="312329" stopIfTrue="1" operator="equal">
      <formula>"En cours"</formula>
    </cfRule>
  </conditionalFormatting>
  <conditionalFormatting sqref="AJ116">
    <cfRule type="cellIs" dxfId="1986" priority="312330" stopIfTrue="1" operator="notEqual">
      <formula>"En cours"</formula>
    </cfRule>
  </conditionalFormatting>
  <conditionalFormatting sqref="AK116">
    <cfRule type="cellIs" dxfId="1985" priority="312331" stopIfTrue="1" operator="equal">
      <formula>"En cours"</formula>
    </cfRule>
  </conditionalFormatting>
  <conditionalFormatting sqref="AK116">
    <cfRule type="cellIs" dxfId="1984" priority="312332" stopIfTrue="1" operator="notEqual">
      <formula>"En cours"</formula>
    </cfRule>
  </conditionalFormatting>
  <conditionalFormatting sqref="AJ159">
    <cfRule type="cellIs" dxfId="1975" priority="312341" stopIfTrue="1" operator="equal">
      <formula>"En cours"</formula>
    </cfRule>
  </conditionalFormatting>
  <conditionalFormatting sqref="AJ159">
    <cfRule type="cellIs" dxfId="1974" priority="312342" stopIfTrue="1" operator="notEqual">
      <formula>"En cours"</formula>
    </cfRule>
  </conditionalFormatting>
  <conditionalFormatting sqref="AK159">
    <cfRule type="cellIs" dxfId="1973" priority="312343" stopIfTrue="1" operator="equal">
      <formula>"En cours"</formula>
    </cfRule>
  </conditionalFormatting>
  <conditionalFormatting sqref="AK159">
    <cfRule type="cellIs" dxfId="1972" priority="312344" stopIfTrue="1" operator="notEqual">
      <formula>"En cours"</formula>
    </cfRule>
  </conditionalFormatting>
  <conditionalFormatting sqref="AJ77">
    <cfRule type="cellIs" dxfId="1967" priority="312349" stopIfTrue="1" operator="equal">
      <formula>"En cours"</formula>
    </cfRule>
  </conditionalFormatting>
  <conditionalFormatting sqref="AJ77">
    <cfRule type="cellIs" dxfId="1966" priority="312350" stopIfTrue="1" operator="notEqual">
      <formula>"En cours"</formula>
    </cfRule>
  </conditionalFormatting>
  <conditionalFormatting sqref="AK77">
    <cfRule type="cellIs" dxfId="1965" priority="312351" stopIfTrue="1" operator="equal">
      <formula>"En cours"</formula>
    </cfRule>
  </conditionalFormatting>
  <conditionalFormatting sqref="AK77">
    <cfRule type="cellIs" dxfId="1964" priority="312352" stopIfTrue="1" operator="notEqual">
      <formula>"En cours"</formula>
    </cfRule>
  </conditionalFormatting>
  <conditionalFormatting sqref="AJ160">
    <cfRule type="cellIs" dxfId="1943" priority="312373" stopIfTrue="1" operator="equal">
      <formula>"En cours"</formula>
    </cfRule>
  </conditionalFormatting>
  <conditionalFormatting sqref="AJ160">
    <cfRule type="cellIs" dxfId="1942" priority="312374" stopIfTrue="1" operator="notEqual">
      <formula>"En cours"</formula>
    </cfRule>
  </conditionalFormatting>
  <conditionalFormatting sqref="AK160">
    <cfRule type="cellIs" dxfId="1941" priority="312375" stopIfTrue="1" operator="equal">
      <formula>"En cours"</formula>
    </cfRule>
  </conditionalFormatting>
  <conditionalFormatting sqref="AK160">
    <cfRule type="cellIs" dxfId="1940" priority="312376" stopIfTrue="1" operator="notEqual">
      <formula>"En cours"</formula>
    </cfRule>
  </conditionalFormatting>
  <conditionalFormatting sqref="AJ6">
    <cfRule type="cellIs" dxfId="1551" priority="312765" stopIfTrue="1" operator="equal">
      <formula>"En cours"</formula>
    </cfRule>
  </conditionalFormatting>
  <conditionalFormatting sqref="AJ6">
    <cfRule type="cellIs" dxfId="1550" priority="312766" stopIfTrue="1" operator="notEqual">
      <formula>"En cours"</formula>
    </cfRule>
  </conditionalFormatting>
  <conditionalFormatting sqref="AK6">
    <cfRule type="cellIs" dxfId="1549" priority="312767" stopIfTrue="1" operator="equal">
      <formula>"En cours"</formula>
    </cfRule>
  </conditionalFormatting>
  <conditionalFormatting sqref="AK6">
    <cfRule type="cellIs" dxfId="1548" priority="312768" stopIfTrue="1" operator="notEqual">
      <formula>"En cours"</formula>
    </cfRule>
  </conditionalFormatting>
  <conditionalFormatting sqref="AJ12">
    <cfRule type="cellIs" dxfId="1547" priority="312769" stopIfTrue="1" operator="equal">
      <formula>"En cours"</formula>
    </cfRule>
  </conditionalFormatting>
  <conditionalFormatting sqref="AJ12">
    <cfRule type="cellIs" dxfId="1546" priority="312770" stopIfTrue="1" operator="notEqual">
      <formula>"En cours"</formula>
    </cfRule>
  </conditionalFormatting>
  <conditionalFormatting sqref="AK12">
    <cfRule type="cellIs" dxfId="1545" priority="312771" stopIfTrue="1" operator="equal">
      <formula>"En cours"</formula>
    </cfRule>
  </conditionalFormatting>
  <conditionalFormatting sqref="AK12">
    <cfRule type="cellIs" dxfId="1544" priority="312772" stopIfTrue="1" operator="notEqual">
      <formula>"En cours"</formula>
    </cfRule>
  </conditionalFormatting>
  <conditionalFormatting sqref="AJ5">
    <cfRule type="cellIs" dxfId="1543" priority="312773" stopIfTrue="1" operator="equal">
      <formula>"En cours"</formula>
    </cfRule>
  </conditionalFormatting>
  <conditionalFormatting sqref="AJ5">
    <cfRule type="cellIs" dxfId="1542" priority="312774" stopIfTrue="1" operator="notEqual">
      <formula>"En cours"</formula>
    </cfRule>
  </conditionalFormatting>
  <conditionalFormatting sqref="AK5">
    <cfRule type="cellIs" dxfId="1541" priority="312775" stopIfTrue="1" operator="equal">
      <formula>"En cours"</formula>
    </cfRule>
  </conditionalFormatting>
  <conditionalFormatting sqref="AK5">
    <cfRule type="cellIs" dxfId="1540" priority="312776" stopIfTrue="1" operator="notEqual">
      <formula>"En cours"</formula>
    </cfRule>
  </conditionalFormatting>
  <conditionalFormatting sqref="AJ20">
    <cfRule type="cellIs" dxfId="1539" priority="312777" stopIfTrue="1" operator="equal">
      <formula>"En cours"</formula>
    </cfRule>
  </conditionalFormatting>
  <conditionalFormatting sqref="AJ20">
    <cfRule type="cellIs" dxfId="1538" priority="312778" stopIfTrue="1" operator="notEqual">
      <formula>"En cours"</formula>
    </cfRule>
  </conditionalFormatting>
  <conditionalFormatting sqref="AK20">
    <cfRule type="cellIs" dxfId="1537" priority="312779" stopIfTrue="1" operator="equal">
      <formula>"En cours"</formula>
    </cfRule>
  </conditionalFormatting>
  <conditionalFormatting sqref="AK20">
    <cfRule type="cellIs" dxfId="1536" priority="312780" stopIfTrue="1" operator="notEqual">
      <formula>"En cours"</formula>
    </cfRule>
  </conditionalFormatting>
  <conditionalFormatting sqref="AJ165">
    <cfRule type="cellIs" dxfId="1535" priority="312781" stopIfTrue="1" operator="equal">
      <formula>"En cours"</formula>
    </cfRule>
  </conditionalFormatting>
  <conditionalFormatting sqref="AJ165">
    <cfRule type="cellIs" dxfId="1534" priority="312782" stopIfTrue="1" operator="notEqual">
      <formula>"En cours"</formula>
    </cfRule>
  </conditionalFormatting>
  <conditionalFormatting sqref="AK165">
    <cfRule type="cellIs" dxfId="1533" priority="312783" stopIfTrue="1" operator="equal">
      <formula>"En cours"</formula>
    </cfRule>
  </conditionalFormatting>
  <conditionalFormatting sqref="AK165">
    <cfRule type="cellIs" dxfId="1532" priority="312784" stopIfTrue="1" operator="notEqual">
      <formula>"En cours"</formula>
    </cfRule>
  </conditionalFormatting>
  <conditionalFormatting sqref="AJ17">
    <cfRule type="cellIs" dxfId="1531" priority="312785" stopIfTrue="1" operator="equal">
      <formula>"En cours"</formula>
    </cfRule>
  </conditionalFormatting>
  <conditionalFormatting sqref="AJ17">
    <cfRule type="cellIs" dxfId="1530" priority="312786" stopIfTrue="1" operator="notEqual">
      <formula>"En cours"</formula>
    </cfRule>
  </conditionalFormatting>
  <conditionalFormatting sqref="AK17">
    <cfRule type="cellIs" dxfId="1529" priority="312787" stopIfTrue="1" operator="equal">
      <formula>"En cours"</formula>
    </cfRule>
  </conditionalFormatting>
  <conditionalFormatting sqref="AK17">
    <cfRule type="cellIs" dxfId="1528" priority="312788" stopIfTrue="1" operator="notEqual">
      <formula>"En cours"</formula>
    </cfRule>
  </conditionalFormatting>
  <conditionalFormatting sqref="AJ13">
    <cfRule type="cellIs" dxfId="1527" priority="312789" stopIfTrue="1" operator="equal">
      <formula>"En cours"</formula>
    </cfRule>
  </conditionalFormatting>
  <conditionalFormatting sqref="AJ13">
    <cfRule type="cellIs" dxfId="1526" priority="312790" stopIfTrue="1" operator="notEqual">
      <formula>"En cours"</formula>
    </cfRule>
  </conditionalFormatting>
  <conditionalFormatting sqref="AK13">
    <cfRule type="cellIs" dxfId="1525" priority="312791" stopIfTrue="1" operator="equal">
      <formula>"En cours"</formula>
    </cfRule>
  </conditionalFormatting>
  <conditionalFormatting sqref="AK13">
    <cfRule type="cellIs" dxfId="1524" priority="312792" stopIfTrue="1" operator="notEqual">
      <formula>"En cours"</formula>
    </cfRule>
  </conditionalFormatting>
  <conditionalFormatting sqref="AJ166">
    <cfRule type="cellIs" dxfId="1523" priority="312793" stopIfTrue="1" operator="equal">
      <formula>"En cours"</formula>
    </cfRule>
  </conditionalFormatting>
  <conditionalFormatting sqref="AJ166">
    <cfRule type="cellIs" dxfId="1522" priority="312794" stopIfTrue="1" operator="notEqual">
      <formula>"En cours"</formula>
    </cfRule>
  </conditionalFormatting>
  <conditionalFormatting sqref="AK166">
    <cfRule type="cellIs" dxfId="1521" priority="312795" stopIfTrue="1" operator="equal">
      <formula>"En cours"</formula>
    </cfRule>
  </conditionalFormatting>
  <conditionalFormatting sqref="AK166">
    <cfRule type="cellIs" dxfId="1520" priority="312796" stopIfTrue="1" operator="notEqual">
      <formula>"En cours"</formula>
    </cfRule>
  </conditionalFormatting>
  <conditionalFormatting sqref="AJ172">
    <cfRule type="cellIs" dxfId="1519" priority="312797" stopIfTrue="1" operator="equal">
      <formula>"En cours"</formula>
    </cfRule>
  </conditionalFormatting>
  <conditionalFormatting sqref="AJ172">
    <cfRule type="cellIs" dxfId="1518" priority="312798" stopIfTrue="1" operator="notEqual">
      <formula>"En cours"</formula>
    </cfRule>
  </conditionalFormatting>
  <conditionalFormatting sqref="AK172">
    <cfRule type="cellIs" dxfId="1517" priority="312799" stopIfTrue="1" operator="equal">
      <formula>"En cours"</formula>
    </cfRule>
  </conditionalFormatting>
  <conditionalFormatting sqref="AK172">
    <cfRule type="cellIs" dxfId="1516" priority="312800" stopIfTrue="1" operator="notEqual">
      <formula>"En cours"</formula>
    </cfRule>
  </conditionalFormatting>
  <conditionalFormatting sqref="AJ173">
    <cfRule type="cellIs" dxfId="1515" priority="312801" stopIfTrue="1" operator="equal">
      <formula>"En cours"</formula>
    </cfRule>
  </conditionalFormatting>
  <conditionalFormatting sqref="AJ173">
    <cfRule type="cellIs" dxfId="1514" priority="312802" stopIfTrue="1" operator="notEqual">
      <formula>"En cours"</formula>
    </cfRule>
  </conditionalFormatting>
  <conditionalFormatting sqref="AK173">
    <cfRule type="cellIs" dxfId="1513" priority="312803" stopIfTrue="1" operator="equal">
      <formula>"En cours"</formula>
    </cfRule>
  </conditionalFormatting>
  <conditionalFormatting sqref="AK173">
    <cfRule type="cellIs" dxfId="1512" priority="312804" stopIfTrue="1" operator="notEqual">
      <formula>"En cours"</formula>
    </cfRule>
  </conditionalFormatting>
  <conditionalFormatting sqref="AJ15">
    <cfRule type="cellIs" dxfId="1511" priority="312805" stopIfTrue="1" operator="equal">
      <formula>"En cours"</formula>
    </cfRule>
  </conditionalFormatting>
  <conditionalFormatting sqref="AJ15">
    <cfRule type="cellIs" dxfId="1510" priority="312806" stopIfTrue="1" operator="notEqual">
      <formula>"En cours"</formula>
    </cfRule>
  </conditionalFormatting>
  <conditionalFormatting sqref="AK15">
    <cfRule type="cellIs" dxfId="1509" priority="312807" stopIfTrue="1" operator="equal">
      <formula>"En cours"</formula>
    </cfRule>
  </conditionalFormatting>
  <conditionalFormatting sqref="AK15">
    <cfRule type="cellIs" dxfId="1508" priority="312808" stopIfTrue="1" operator="notEqual">
      <formula>"En cours"</formula>
    </cfRule>
  </conditionalFormatting>
  <conditionalFormatting sqref="AJ19">
    <cfRule type="cellIs" dxfId="1507" priority="312809" stopIfTrue="1" operator="equal">
      <formula>"En cours"</formula>
    </cfRule>
  </conditionalFormatting>
  <conditionalFormatting sqref="AJ19">
    <cfRule type="cellIs" dxfId="1506" priority="312810" stopIfTrue="1" operator="notEqual">
      <formula>"En cours"</formula>
    </cfRule>
  </conditionalFormatting>
  <conditionalFormatting sqref="AK19">
    <cfRule type="cellIs" dxfId="1505" priority="312811" stopIfTrue="1" operator="equal">
      <formula>"En cours"</formula>
    </cfRule>
  </conditionalFormatting>
  <conditionalFormatting sqref="AK19">
    <cfRule type="cellIs" dxfId="1504" priority="312812" stopIfTrue="1" operator="notEqual">
      <formula>"En cours"</formula>
    </cfRule>
  </conditionalFormatting>
  <conditionalFormatting sqref="AJ4">
    <cfRule type="cellIs" dxfId="1503" priority="312813" stopIfTrue="1" operator="equal">
      <formula>"En cours"</formula>
    </cfRule>
  </conditionalFormatting>
  <conditionalFormatting sqref="AJ4">
    <cfRule type="cellIs" dxfId="1502" priority="312814" stopIfTrue="1" operator="notEqual">
      <formula>"En cours"</formula>
    </cfRule>
  </conditionalFormatting>
  <conditionalFormatting sqref="AK4">
    <cfRule type="cellIs" dxfId="1501" priority="312815" stopIfTrue="1" operator="equal">
      <formula>"En cours"</formula>
    </cfRule>
  </conditionalFormatting>
  <conditionalFormatting sqref="AK4">
    <cfRule type="cellIs" dxfId="1500" priority="312816" stopIfTrue="1" operator="notEqual">
      <formula>"En cours"</formula>
    </cfRule>
  </conditionalFormatting>
  <conditionalFormatting sqref="AJ177">
    <cfRule type="cellIs" dxfId="1499" priority="312817" stopIfTrue="1" operator="equal">
      <formula>"En cours"</formula>
    </cfRule>
  </conditionalFormatting>
  <conditionalFormatting sqref="AJ177">
    <cfRule type="cellIs" dxfId="1498" priority="312818" stopIfTrue="1" operator="notEqual">
      <formula>"En cours"</formula>
    </cfRule>
  </conditionalFormatting>
  <conditionalFormatting sqref="AK177">
    <cfRule type="cellIs" dxfId="1497" priority="312819" stopIfTrue="1" operator="equal">
      <formula>"En cours"</formula>
    </cfRule>
  </conditionalFormatting>
  <conditionalFormatting sqref="AK177">
    <cfRule type="cellIs" dxfId="1496" priority="312820" stopIfTrue="1" operator="notEqual">
      <formula>"En cours"</formula>
    </cfRule>
  </conditionalFormatting>
  <conditionalFormatting sqref="AJ9">
    <cfRule type="cellIs" dxfId="1495" priority="312821" stopIfTrue="1" operator="equal">
      <formula>"En cours"</formula>
    </cfRule>
  </conditionalFormatting>
  <conditionalFormatting sqref="AJ9">
    <cfRule type="cellIs" dxfId="1494" priority="312822" stopIfTrue="1" operator="notEqual">
      <formula>"En cours"</formula>
    </cfRule>
  </conditionalFormatting>
  <conditionalFormatting sqref="AK9">
    <cfRule type="cellIs" dxfId="1493" priority="312823" stopIfTrue="1" operator="equal">
      <formula>"En cours"</formula>
    </cfRule>
  </conditionalFormatting>
  <conditionalFormatting sqref="AK9">
    <cfRule type="cellIs" dxfId="1492" priority="312824" stopIfTrue="1" operator="notEqual">
      <formula>"En cours"</formula>
    </cfRule>
  </conditionalFormatting>
  <conditionalFormatting sqref="AJ30">
    <cfRule type="cellIs" dxfId="1491" priority="312825" stopIfTrue="1" operator="equal">
      <formula>"En cours"</formula>
    </cfRule>
  </conditionalFormatting>
  <conditionalFormatting sqref="AJ30">
    <cfRule type="cellIs" dxfId="1490" priority="312826" stopIfTrue="1" operator="notEqual">
      <formula>"En cours"</formula>
    </cfRule>
  </conditionalFormatting>
  <conditionalFormatting sqref="AK30">
    <cfRule type="cellIs" dxfId="1489" priority="312827" stopIfTrue="1" operator="equal">
      <formula>"En cours"</formula>
    </cfRule>
  </conditionalFormatting>
  <conditionalFormatting sqref="AK30">
    <cfRule type="cellIs" dxfId="1488" priority="312828" stopIfTrue="1" operator="notEqual">
      <formula>"En cours"</formula>
    </cfRule>
  </conditionalFormatting>
  <conditionalFormatting sqref="AJ25">
    <cfRule type="cellIs" dxfId="1487" priority="312829" stopIfTrue="1" operator="equal">
      <formula>"En cours"</formula>
    </cfRule>
  </conditionalFormatting>
  <conditionalFormatting sqref="AJ25">
    <cfRule type="cellIs" dxfId="1486" priority="312830" stopIfTrue="1" operator="notEqual">
      <formula>"En cours"</formula>
    </cfRule>
  </conditionalFormatting>
  <conditionalFormatting sqref="AK25">
    <cfRule type="cellIs" dxfId="1485" priority="312831" stopIfTrue="1" operator="equal">
      <formula>"En cours"</formula>
    </cfRule>
  </conditionalFormatting>
  <conditionalFormatting sqref="AK25">
    <cfRule type="cellIs" dxfId="1484" priority="312832" stopIfTrue="1" operator="notEqual">
      <formula>"En cours"</formula>
    </cfRule>
  </conditionalFormatting>
  <conditionalFormatting sqref="AJ41">
    <cfRule type="cellIs" dxfId="1483" priority="312833" stopIfTrue="1" operator="equal">
      <formula>"En cours"</formula>
    </cfRule>
  </conditionalFormatting>
  <conditionalFormatting sqref="AJ41">
    <cfRule type="cellIs" dxfId="1482" priority="312834" stopIfTrue="1" operator="notEqual">
      <formula>"En cours"</formula>
    </cfRule>
  </conditionalFormatting>
  <conditionalFormatting sqref="AK41">
    <cfRule type="cellIs" dxfId="1481" priority="312835" stopIfTrue="1" operator="equal">
      <formula>"En cours"</formula>
    </cfRule>
  </conditionalFormatting>
  <conditionalFormatting sqref="AK41">
    <cfRule type="cellIs" dxfId="1480" priority="312836" stopIfTrue="1" operator="notEqual">
      <formula>"En cours"</formula>
    </cfRule>
  </conditionalFormatting>
  <conditionalFormatting sqref="AJ174">
    <cfRule type="cellIs" dxfId="1479" priority="312837" stopIfTrue="1" operator="equal">
      <formula>"En cours"</formula>
    </cfRule>
  </conditionalFormatting>
  <conditionalFormatting sqref="AJ174">
    <cfRule type="cellIs" dxfId="1478" priority="312838" stopIfTrue="1" operator="notEqual">
      <formula>"En cours"</formula>
    </cfRule>
  </conditionalFormatting>
  <conditionalFormatting sqref="AK174">
    <cfRule type="cellIs" dxfId="1477" priority="312839" stopIfTrue="1" operator="equal">
      <formula>"En cours"</formula>
    </cfRule>
  </conditionalFormatting>
  <conditionalFormatting sqref="AK174">
    <cfRule type="cellIs" dxfId="1476" priority="312840" stopIfTrue="1" operator="notEqual">
      <formula>"En cours"</formula>
    </cfRule>
  </conditionalFormatting>
  <conditionalFormatting sqref="AJ86">
    <cfRule type="cellIs" dxfId="1475" priority="312841" stopIfTrue="1" operator="equal">
      <formula>"En cours"</formula>
    </cfRule>
  </conditionalFormatting>
  <conditionalFormatting sqref="AJ86">
    <cfRule type="cellIs" dxfId="1474" priority="312842" stopIfTrue="1" operator="notEqual">
      <formula>"En cours"</formula>
    </cfRule>
  </conditionalFormatting>
  <conditionalFormatting sqref="AK86">
    <cfRule type="cellIs" dxfId="1473" priority="312843" stopIfTrue="1" operator="equal">
      <formula>"En cours"</formula>
    </cfRule>
  </conditionalFormatting>
  <conditionalFormatting sqref="AK86">
    <cfRule type="cellIs" dxfId="1472" priority="312844" stopIfTrue="1" operator="notEqual">
      <formula>"En cours"</formula>
    </cfRule>
  </conditionalFormatting>
  <conditionalFormatting sqref="AJ146">
    <cfRule type="cellIs" dxfId="1471" priority="312845" stopIfTrue="1" operator="equal">
      <formula>"En cours"</formula>
    </cfRule>
  </conditionalFormatting>
  <conditionalFormatting sqref="AJ146">
    <cfRule type="cellIs" dxfId="1470" priority="312846" stopIfTrue="1" operator="notEqual">
      <formula>"En cours"</formula>
    </cfRule>
  </conditionalFormatting>
  <conditionalFormatting sqref="AK146">
    <cfRule type="cellIs" dxfId="1469" priority="312847" stopIfTrue="1" operator="equal">
      <formula>"En cours"</formula>
    </cfRule>
  </conditionalFormatting>
  <conditionalFormatting sqref="AK146">
    <cfRule type="cellIs" dxfId="1468" priority="312848" stopIfTrue="1" operator="notEqual">
      <formula>"En cours"</formula>
    </cfRule>
  </conditionalFormatting>
  <conditionalFormatting sqref="AJ40">
    <cfRule type="cellIs" dxfId="1467" priority="312849" stopIfTrue="1" operator="equal">
      <formula>"En cours"</formula>
    </cfRule>
  </conditionalFormatting>
  <conditionalFormatting sqref="AJ40">
    <cfRule type="cellIs" dxfId="1466" priority="312850" stopIfTrue="1" operator="notEqual">
      <formula>"En cours"</formula>
    </cfRule>
  </conditionalFormatting>
  <conditionalFormatting sqref="AK40">
    <cfRule type="cellIs" dxfId="1465" priority="312851" stopIfTrue="1" operator="equal">
      <formula>"En cours"</formula>
    </cfRule>
  </conditionalFormatting>
  <conditionalFormatting sqref="AK40">
    <cfRule type="cellIs" dxfId="1464" priority="312852" stopIfTrue="1" operator="notEqual">
      <formula>"En cours"</formula>
    </cfRule>
  </conditionalFormatting>
  <conditionalFormatting sqref="AJ87">
    <cfRule type="cellIs" dxfId="1463" priority="312853" stopIfTrue="1" operator="equal">
      <formula>"En cours"</formula>
    </cfRule>
  </conditionalFormatting>
  <conditionalFormatting sqref="AJ87">
    <cfRule type="cellIs" dxfId="1462" priority="312854" stopIfTrue="1" operator="notEqual">
      <formula>"En cours"</formula>
    </cfRule>
  </conditionalFormatting>
  <conditionalFormatting sqref="AK87">
    <cfRule type="cellIs" dxfId="1461" priority="312855" stopIfTrue="1" operator="equal">
      <formula>"En cours"</formula>
    </cfRule>
  </conditionalFormatting>
  <conditionalFormatting sqref="AK87">
    <cfRule type="cellIs" dxfId="1460" priority="312856" stopIfTrue="1" operator="notEqual">
      <formula>"En cours"</formula>
    </cfRule>
  </conditionalFormatting>
  <conditionalFormatting sqref="AJ45">
    <cfRule type="cellIs" dxfId="1459" priority="312857" stopIfTrue="1" operator="equal">
      <formula>"En cours"</formula>
    </cfRule>
  </conditionalFormatting>
  <conditionalFormatting sqref="AJ45">
    <cfRule type="cellIs" dxfId="1458" priority="312858" stopIfTrue="1" operator="notEqual">
      <formula>"En cours"</formula>
    </cfRule>
  </conditionalFormatting>
  <conditionalFormatting sqref="AK45">
    <cfRule type="cellIs" dxfId="1457" priority="312859" stopIfTrue="1" operator="equal">
      <formula>"En cours"</formula>
    </cfRule>
  </conditionalFormatting>
  <conditionalFormatting sqref="AK45">
    <cfRule type="cellIs" dxfId="1456" priority="312860" stopIfTrue="1" operator="notEqual">
      <formula>"En cours"</formula>
    </cfRule>
  </conditionalFormatting>
  <conditionalFormatting sqref="AJ168">
    <cfRule type="cellIs" dxfId="1455" priority="312861" stopIfTrue="1" operator="equal">
      <formula>"En cours"</formula>
    </cfRule>
  </conditionalFormatting>
  <conditionalFormatting sqref="AJ168">
    <cfRule type="cellIs" dxfId="1454" priority="312862" stopIfTrue="1" operator="notEqual">
      <formula>"En cours"</formula>
    </cfRule>
  </conditionalFormatting>
  <conditionalFormatting sqref="AK168">
    <cfRule type="cellIs" dxfId="1453" priority="312863" stopIfTrue="1" operator="equal">
      <formula>"En cours"</formula>
    </cfRule>
  </conditionalFormatting>
  <conditionalFormatting sqref="AK168">
    <cfRule type="cellIs" dxfId="1452" priority="312864" stopIfTrue="1" operator="notEqual">
      <formula>"En cours"</formula>
    </cfRule>
  </conditionalFormatting>
  <conditionalFormatting sqref="AJ22">
    <cfRule type="cellIs" dxfId="1451" priority="312865" stopIfTrue="1" operator="equal">
      <formula>"En cours"</formula>
    </cfRule>
  </conditionalFormatting>
  <conditionalFormatting sqref="AJ22">
    <cfRule type="cellIs" dxfId="1450" priority="312866" stopIfTrue="1" operator="notEqual">
      <formula>"En cours"</formula>
    </cfRule>
  </conditionalFormatting>
  <conditionalFormatting sqref="AK22">
    <cfRule type="cellIs" dxfId="1449" priority="312867" stopIfTrue="1" operator="equal">
      <formula>"En cours"</formula>
    </cfRule>
  </conditionalFormatting>
  <conditionalFormatting sqref="AK22">
    <cfRule type="cellIs" dxfId="1448" priority="312868" stopIfTrue="1" operator="notEqual">
      <formula>"En cours"</formula>
    </cfRule>
  </conditionalFormatting>
  <conditionalFormatting sqref="AJ34">
    <cfRule type="cellIs" dxfId="1447" priority="312869" stopIfTrue="1" operator="equal">
      <formula>"En cours"</formula>
    </cfRule>
  </conditionalFormatting>
  <conditionalFormatting sqref="AJ34">
    <cfRule type="cellIs" dxfId="1446" priority="312870" stopIfTrue="1" operator="notEqual">
      <formula>"En cours"</formula>
    </cfRule>
  </conditionalFormatting>
  <conditionalFormatting sqref="AK34">
    <cfRule type="cellIs" dxfId="1445" priority="312871" stopIfTrue="1" operator="equal">
      <formula>"En cours"</formula>
    </cfRule>
  </conditionalFormatting>
  <conditionalFormatting sqref="AK34">
    <cfRule type="cellIs" dxfId="1444" priority="312872" stopIfTrue="1" operator="notEqual">
      <formula>"En cours"</formula>
    </cfRule>
  </conditionalFormatting>
  <conditionalFormatting sqref="AJ144">
    <cfRule type="cellIs" dxfId="1443" priority="312873" stopIfTrue="1" operator="equal">
      <formula>"En cours"</formula>
    </cfRule>
  </conditionalFormatting>
  <conditionalFormatting sqref="AJ144">
    <cfRule type="cellIs" dxfId="1442" priority="312874" stopIfTrue="1" operator="notEqual">
      <formula>"En cours"</formula>
    </cfRule>
  </conditionalFormatting>
  <conditionalFormatting sqref="AK144">
    <cfRule type="cellIs" dxfId="1441" priority="312875" stopIfTrue="1" operator="equal">
      <formula>"En cours"</formula>
    </cfRule>
  </conditionalFormatting>
  <conditionalFormatting sqref="AK144">
    <cfRule type="cellIs" dxfId="1440" priority="312876" stopIfTrue="1" operator="notEqual">
      <formula>"En cours"</formula>
    </cfRule>
  </conditionalFormatting>
  <conditionalFormatting sqref="AJ37">
    <cfRule type="cellIs" dxfId="1439" priority="312877" stopIfTrue="1" operator="equal">
      <formula>"En cours"</formula>
    </cfRule>
  </conditionalFormatting>
  <conditionalFormatting sqref="AJ37">
    <cfRule type="cellIs" dxfId="1438" priority="312878" stopIfTrue="1" operator="notEqual">
      <formula>"En cours"</formula>
    </cfRule>
  </conditionalFormatting>
  <conditionalFormatting sqref="AK37">
    <cfRule type="cellIs" dxfId="1437" priority="312879" stopIfTrue="1" operator="equal">
      <formula>"En cours"</formula>
    </cfRule>
  </conditionalFormatting>
  <conditionalFormatting sqref="AK37">
    <cfRule type="cellIs" dxfId="1436" priority="312880" stopIfTrue="1" operator="notEqual">
      <formula>"En cours"</formula>
    </cfRule>
  </conditionalFormatting>
  <conditionalFormatting sqref="AJ99">
    <cfRule type="cellIs" dxfId="1435" priority="312881" stopIfTrue="1" operator="equal">
      <formula>"En cours"</formula>
    </cfRule>
  </conditionalFormatting>
  <conditionalFormatting sqref="AJ99">
    <cfRule type="cellIs" dxfId="1434" priority="312882" stopIfTrue="1" operator="notEqual">
      <formula>"En cours"</formula>
    </cfRule>
  </conditionalFormatting>
  <conditionalFormatting sqref="AK99">
    <cfRule type="cellIs" dxfId="1433" priority="312883" stopIfTrue="1" operator="equal">
      <formula>"En cours"</formula>
    </cfRule>
  </conditionalFormatting>
  <conditionalFormatting sqref="AK99">
    <cfRule type="cellIs" dxfId="1432" priority="312884" stopIfTrue="1" operator="notEqual">
      <formula>"En cours"</formula>
    </cfRule>
  </conditionalFormatting>
  <conditionalFormatting sqref="AJ90">
    <cfRule type="cellIs" dxfId="1431" priority="312885" stopIfTrue="1" operator="equal">
      <formula>"En cours"</formula>
    </cfRule>
  </conditionalFormatting>
  <conditionalFormatting sqref="AJ90">
    <cfRule type="cellIs" dxfId="1430" priority="312886" stopIfTrue="1" operator="notEqual">
      <formula>"En cours"</formula>
    </cfRule>
  </conditionalFormatting>
  <conditionalFormatting sqref="AK90">
    <cfRule type="cellIs" dxfId="1429" priority="312887" stopIfTrue="1" operator="equal">
      <formula>"En cours"</formula>
    </cfRule>
  </conditionalFormatting>
  <conditionalFormatting sqref="AK90">
    <cfRule type="cellIs" dxfId="1428" priority="312888" stopIfTrue="1" operator="notEqual">
      <formula>"En cours"</formula>
    </cfRule>
  </conditionalFormatting>
  <conditionalFormatting sqref="AJ141">
    <cfRule type="cellIs" dxfId="1427" priority="312889" stopIfTrue="1" operator="equal">
      <formula>"En cours"</formula>
    </cfRule>
  </conditionalFormatting>
  <conditionalFormatting sqref="AJ141">
    <cfRule type="cellIs" dxfId="1426" priority="312890" stopIfTrue="1" operator="notEqual">
      <formula>"En cours"</formula>
    </cfRule>
  </conditionalFormatting>
  <conditionalFormatting sqref="AK141">
    <cfRule type="cellIs" dxfId="1425" priority="312891" stopIfTrue="1" operator="equal">
      <formula>"En cours"</formula>
    </cfRule>
  </conditionalFormatting>
  <conditionalFormatting sqref="AK141">
    <cfRule type="cellIs" dxfId="1424" priority="312892" stopIfTrue="1" operator="notEqual">
      <formula>"En cours"</formula>
    </cfRule>
  </conditionalFormatting>
  <conditionalFormatting sqref="AJ85">
    <cfRule type="cellIs" dxfId="1423" priority="312893" stopIfTrue="1" operator="equal">
      <formula>"En cours"</formula>
    </cfRule>
  </conditionalFormatting>
  <conditionalFormatting sqref="AJ85">
    <cfRule type="cellIs" dxfId="1422" priority="312894" stopIfTrue="1" operator="notEqual">
      <formula>"En cours"</formula>
    </cfRule>
  </conditionalFormatting>
  <conditionalFormatting sqref="AK85">
    <cfRule type="cellIs" dxfId="1421" priority="312895" stopIfTrue="1" operator="equal">
      <formula>"En cours"</formula>
    </cfRule>
  </conditionalFormatting>
  <conditionalFormatting sqref="AK85">
    <cfRule type="cellIs" dxfId="1420" priority="312896" stopIfTrue="1" operator="notEqual">
      <formula>"En cours"</formula>
    </cfRule>
  </conditionalFormatting>
  <conditionalFormatting sqref="AJ36">
    <cfRule type="cellIs" dxfId="1419" priority="312897" stopIfTrue="1" operator="equal">
      <formula>"En cours"</formula>
    </cfRule>
  </conditionalFormatting>
  <conditionalFormatting sqref="AJ36">
    <cfRule type="cellIs" dxfId="1418" priority="312898" stopIfTrue="1" operator="notEqual">
      <formula>"En cours"</formula>
    </cfRule>
  </conditionalFormatting>
  <conditionalFormatting sqref="AK36">
    <cfRule type="cellIs" dxfId="1417" priority="312899" stopIfTrue="1" operator="equal">
      <formula>"En cours"</formula>
    </cfRule>
  </conditionalFormatting>
  <conditionalFormatting sqref="AK36">
    <cfRule type="cellIs" dxfId="1416" priority="312900" stopIfTrue="1" operator="notEqual">
      <formula>"En cours"</formula>
    </cfRule>
  </conditionalFormatting>
  <conditionalFormatting sqref="AJ39">
    <cfRule type="cellIs" dxfId="1415" priority="312901" stopIfTrue="1" operator="equal">
      <formula>"En cours"</formula>
    </cfRule>
  </conditionalFormatting>
  <conditionalFormatting sqref="AJ39">
    <cfRule type="cellIs" dxfId="1414" priority="312902" stopIfTrue="1" operator="notEqual">
      <formula>"En cours"</formula>
    </cfRule>
  </conditionalFormatting>
  <conditionalFormatting sqref="AK39">
    <cfRule type="cellIs" dxfId="1413" priority="312903" stopIfTrue="1" operator="equal">
      <formula>"En cours"</formula>
    </cfRule>
  </conditionalFormatting>
  <conditionalFormatting sqref="AK39">
    <cfRule type="cellIs" dxfId="1412" priority="312904" stopIfTrue="1" operator="notEqual">
      <formula>"En cours"</formula>
    </cfRule>
  </conditionalFormatting>
  <conditionalFormatting sqref="AJ55">
    <cfRule type="cellIs" dxfId="1411" priority="312905" stopIfTrue="1" operator="equal">
      <formula>"En cours"</formula>
    </cfRule>
  </conditionalFormatting>
  <conditionalFormatting sqref="AJ55">
    <cfRule type="cellIs" dxfId="1410" priority="312906" stopIfTrue="1" operator="notEqual">
      <formula>"En cours"</formula>
    </cfRule>
  </conditionalFormatting>
  <conditionalFormatting sqref="AK55">
    <cfRule type="cellIs" dxfId="1409" priority="312907" stopIfTrue="1" operator="equal">
      <formula>"En cours"</formula>
    </cfRule>
  </conditionalFormatting>
  <conditionalFormatting sqref="AK55">
    <cfRule type="cellIs" dxfId="1408" priority="312908" stopIfTrue="1" operator="notEqual">
      <formula>"En cours"</formula>
    </cfRule>
  </conditionalFormatting>
  <conditionalFormatting sqref="AJ91">
    <cfRule type="cellIs" dxfId="1407" priority="312909" stopIfTrue="1" operator="equal">
      <formula>"En cours"</formula>
    </cfRule>
  </conditionalFormatting>
  <conditionalFormatting sqref="AJ91">
    <cfRule type="cellIs" dxfId="1406" priority="312910" stopIfTrue="1" operator="notEqual">
      <formula>"En cours"</formula>
    </cfRule>
  </conditionalFormatting>
  <conditionalFormatting sqref="AK91">
    <cfRule type="cellIs" dxfId="1405" priority="312911" stopIfTrue="1" operator="equal">
      <formula>"En cours"</formula>
    </cfRule>
  </conditionalFormatting>
  <conditionalFormatting sqref="AK91">
    <cfRule type="cellIs" dxfId="1404" priority="312912" stopIfTrue="1" operator="notEqual">
      <formula>"En cours"</formula>
    </cfRule>
  </conditionalFormatting>
  <conditionalFormatting sqref="AJ35">
    <cfRule type="cellIs" dxfId="1403" priority="312913" stopIfTrue="1" operator="equal">
      <formula>"En cours"</formula>
    </cfRule>
  </conditionalFormatting>
  <conditionalFormatting sqref="AJ35">
    <cfRule type="cellIs" dxfId="1402" priority="312914" stopIfTrue="1" operator="notEqual">
      <formula>"En cours"</formula>
    </cfRule>
  </conditionalFormatting>
  <conditionalFormatting sqref="AK35">
    <cfRule type="cellIs" dxfId="1401" priority="312915" stopIfTrue="1" operator="equal">
      <formula>"En cours"</formula>
    </cfRule>
  </conditionalFormatting>
  <conditionalFormatting sqref="AK35">
    <cfRule type="cellIs" dxfId="1400" priority="312916" stopIfTrue="1" operator="notEqual">
      <formula>"En cours"</formula>
    </cfRule>
  </conditionalFormatting>
  <conditionalFormatting sqref="AJ92">
    <cfRule type="cellIs" dxfId="1399" priority="312917" stopIfTrue="1" operator="equal">
      <formula>"En cours"</formula>
    </cfRule>
  </conditionalFormatting>
  <conditionalFormatting sqref="AJ92">
    <cfRule type="cellIs" dxfId="1398" priority="312918" stopIfTrue="1" operator="notEqual">
      <formula>"En cours"</formula>
    </cfRule>
  </conditionalFormatting>
  <conditionalFormatting sqref="AK92">
    <cfRule type="cellIs" dxfId="1397" priority="312919" stopIfTrue="1" operator="equal">
      <formula>"En cours"</formula>
    </cfRule>
  </conditionalFormatting>
  <conditionalFormatting sqref="AK92">
    <cfRule type="cellIs" dxfId="1396" priority="312920" stopIfTrue="1" operator="notEqual">
      <formula>"En cours"</formula>
    </cfRule>
  </conditionalFormatting>
  <conditionalFormatting sqref="AJ31">
    <cfRule type="cellIs" dxfId="1395" priority="312921" stopIfTrue="1" operator="equal">
      <formula>"En cours"</formula>
    </cfRule>
  </conditionalFormatting>
  <conditionalFormatting sqref="AJ31">
    <cfRule type="cellIs" dxfId="1394" priority="312922" stopIfTrue="1" operator="notEqual">
      <formula>"En cours"</formula>
    </cfRule>
  </conditionalFormatting>
  <conditionalFormatting sqref="AK31">
    <cfRule type="cellIs" dxfId="1393" priority="312923" stopIfTrue="1" operator="equal">
      <formula>"En cours"</formula>
    </cfRule>
  </conditionalFormatting>
  <conditionalFormatting sqref="AK31">
    <cfRule type="cellIs" dxfId="1392" priority="312924" stopIfTrue="1" operator="notEqual">
      <formula>"En cours"</formula>
    </cfRule>
  </conditionalFormatting>
  <conditionalFormatting sqref="AJ50">
    <cfRule type="cellIs" dxfId="1391" priority="312925" stopIfTrue="1" operator="equal">
      <formula>"En cours"</formula>
    </cfRule>
  </conditionalFormatting>
  <conditionalFormatting sqref="AJ50">
    <cfRule type="cellIs" dxfId="1390" priority="312926" stopIfTrue="1" operator="notEqual">
      <formula>"En cours"</formula>
    </cfRule>
  </conditionalFormatting>
  <conditionalFormatting sqref="AK50">
    <cfRule type="cellIs" dxfId="1389" priority="312927" stopIfTrue="1" operator="equal">
      <formula>"En cours"</formula>
    </cfRule>
  </conditionalFormatting>
  <conditionalFormatting sqref="AK50">
    <cfRule type="cellIs" dxfId="1388" priority="312928" stopIfTrue="1" operator="notEqual">
      <formula>"En cours"</formula>
    </cfRule>
  </conditionalFormatting>
  <conditionalFormatting sqref="AJ95">
    <cfRule type="cellIs" dxfId="1387" priority="312929" stopIfTrue="1" operator="equal">
      <formula>"En cours"</formula>
    </cfRule>
  </conditionalFormatting>
  <conditionalFormatting sqref="AJ95">
    <cfRule type="cellIs" dxfId="1386" priority="312930" stopIfTrue="1" operator="notEqual">
      <formula>"En cours"</formula>
    </cfRule>
  </conditionalFormatting>
  <conditionalFormatting sqref="AK95">
    <cfRule type="cellIs" dxfId="1385" priority="312931" stopIfTrue="1" operator="equal">
      <formula>"En cours"</formula>
    </cfRule>
  </conditionalFormatting>
  <conditionalFormatting sqref="AK95">
    <cfRule type="cellIs" dxfId="1384" priority="312932" stopIfTrue="1" operator="notEqual">
      <formula>"En cours"</formula>
    </cfRule>
  </conditionalFormatting>
  <conditionalFormatting sqref="AJ178">
    <cfRule type="cellIs" dxfId="1383" priority="312933" stopIfTrue="1" operator="equal">
      <formula>"En cours"</formula>
    </cfRule>
  </conditionalFormatting>
  <conditionalFormatting sqref="AJ178">
    <cfRule type="cellIs" dxfId="1382" priority="312934" stopIfTrue="1" operator="notEqual">
      <formula>"En cours"</formula>
    </cfRule>
  </conditionalFormatting>
  <conditionalFormatting sqref="AK178">
    <cfRule type="cellIs" dxfId="1381" priority="312935" stopIfTrue="1" operator="equal">
      <formula>"En cours"</formula>
    </cfRule>
  </conditionalFormatting>
  <conditionalFormatting sqref="AK178">
    <cfRule type="cellIs" dxfId="1380" priority="312936" stopIfTrue="1" operator="notEqual">
      <formula>"En cours"</formula>
    </cfRule>
  </conditionalFormatting>
  <conditionalFormatting sqref="AJ122">
    <cfRule type="cellIs" dxfId="1379" priority="312937" stopIfTrue="1" operator="equal">
      <formula>"En cours"</formula>
    </cfRule>
  </conditionalFormatting>
  <conditionalFormatting sqref="AJ122">
    <cfRule type="cellIs" dxfId="1378" priority="312938" stopIfTrue="1" operator="notEqual">
      <formula>"En cours"</formula>
    </cfRule>
  </conditionalFormatting>
  <conditionalFormatting sqref="AK122">
    <cfRule type="cellIs" dxfId="1377" priority="312939" stopIfTrue="1" operator="equal">
      <formula>"En cours"</formula>
    </cfRule>
  </conditionalFormatting>
  <conditionalFormatting sqref="AK122">
    <cfRule type="cellIs" dxfId="1376" priority="312940" stopIfTrue="1" operator="notEqual">
      <formula>"En cours"</formula>
    </cfRule>
  </conditionalFormatting>
  <conditionalFormatting sqref="AJ27">
    <cfRule type="cellIs" dxfId="1375" priority="312941" stopIfTrue="1" operator="equal">
      <formula>"En cours"</formula>
    </cfRule>
  </conditionalFormatting>
  <conditionalFormatting sqref="AJ27">
    <cfRule type="cellIs" dxfId="1374" priority="312942" stopIfTrue="1" operator="notEqual">
      <formula>"En cours"</formula>
    </cfRule>
  </conditionalFormatting>
  <conditionalFormatting sqref="AK27">
    <cfRule type="cellIs" dxfId="1373" priority="312943" stopIfTrue="1" operator="equal">
      <formula>"En cours"</formula>
    </cfRule>
  </conditionalFormatting>
  <conditionalFormatting sqref="AK27">
    <cfRule type="cellIs" dxfId="1372" priority="312944" stopIfTrue="1" operator="notEqual">
      <formula>"En cours"</formula>
    </cfRule>
  </conditionalFormatting>
  <conditionalFormatting sqref="AJ147">
    <cfRule type="cellIs" dxfId="1371" priority="312945" stopIfTrue="1" operator="equal">
      <formula>"En cours"</formula>
    </cfRule>
  </conditionalFormatting>
  <conditionalFormatting sqref="AJ147">
    <cfRule type="cellIs" dxfId="1370" priority="312946" stopIfTrue="1" operator="notEqual">
      <formula>"En cours"</formula>
    </cfRule>
  </conditionalFormatting>
  <conditionalFormatting sqref="AK147">
    <cfRule type="cellIs" dxfId="1369" priority="312947" stopIfTrue="1" operator="equal">
      <formula>"En cours"</formula>
    </cfRule>
  </conditionalFormatting>
  <conditionalFormatting sqref="AK147">
    <cfRule type="cellIs" dxfId="1368" priority="312948" stopIfTrue="1" operator="notEqual">
      <formula>"En cours"</formula>
    </cfRule>
  </conditionalFormatting>
  <conditionalFormatting sqref="AJ47">
    <cfRule type="cellIs" dxfId="1367" priority="312949" stopIfTrue="1" operator="equal">
      <formula>"En cours"</formula>
    </cfRule>
  </conditionalFormatting>
  <conditionalFormatting sqref="AJ47">
    <cfRule type="cellIs" dxfId="1366" priority="312950" stopIfTrue="1" operator="notEqual">
      <formula>"En cours"</formula>
    </cfRule>
  </conditionalFormatting>
  <conditionalFormatting sqref="AK47">
    <cfRule type="cellIs" dxfId="1365" priority="312951" stopIfTrue="1" operator="equal">
      <formula>"En cours"</formula>
    </cfRule>
  </conditionalFormatting>
  <conditionalFormatting sqref="AK47">
    <cfRule type="cellIs" dxfId="1364" priority="312952" stopIfTrue="1" operator="notEqual">
      <formula>"En cours"</formula>
    </cfRule>
  </conditionalFormatting>
  <conditionalFormatting sqref="AJ51">
    <cfRule type="cellIs" dxfId="1363" priority="312953" stopIfTrue="1" operator="equal">
      <formula>"En cours"</formula>
    </cfRule>
  </conditionalFormatting>
  <conditionalFormatting sqref="AJ51">
    <cfRule type="cellIs" dxfId="1362" priority="312954" stopIfTrue="1" operator="notEqual">
      <formula>"En cours"</formula>
    </cfRule>
  </conditionalFormatting>
  <conditionalFormatting sqref="AK51">
    <cfRule type="cellIs" dxfId="1361" priority="312955" stopIfTrue="1" operator="equal">
      <formula>"En cours"</formula>
    </cfRule>
  </conditionalFormatting>
  <conditionalFormatting sqref="AK51">
    <cfRule type="cellIs" dxfId="1360" priority="312956" stopIfTrue="1" operator="notEqual">
      <formula>"En cours"</formula>
    </cfRule>
  </conditionalFormatting>
  <conditionalFormatting sqref="AJ46">
    <cfRule type="cellIs" dxfId="1359" priority="312957" stopIfTrue="1" operator="equal">
      <formula>"En cours"</formula>
    </cfRule>
  </conditionalFormatting>
  <conditionalFormatting sqref="AJ46">
    <cfRule type="cellIs" dxfId="1358" priority="312958" stopIfTrue="1" operator="notEqual">
      <formula>"En cours"</formula>
    </cfRule>
  </conditionalFormatting>
  <conditionalFormatting sqref="AK46">
    <cfRule type="cellIs" dxfId="1357" priority="312959" stopIfTrue="1" operator="equal">
      <formula>"En cours"</formula>
    </cfRule>
  </conditionalFormatting>
  <conditionalFormatting sqref="AK46">
    <cfRule type="cellIs" dxfId="1356" priority="312960" stopIfTrue="1" operator="notEqual">
      <formula>"En cours"</formula>
    </cfRule>
  </conditionalFormatting>
  <conditionalFormatting sqref="AJ44">
    <cfRule type="cellIs" dxfId="1355" priority="312961" stopIfTrue="1" operator="equal">
      <formula>"En cours"</formula>
    </cfRule>
  </conditionalFormatting>
  <conditionalFormatting sqref="AJ44">
    <cfRule type="cellIs" dxfId="1354" priority="312962" stopIfTrue="1" operator="notEqual">
      <formula>"En cours"</formula>
    </cfRule>
  </conditionalFormatting>
  <conditionalFormatting sqref="AK44">
    <cfRule type="cellIs" dxfId="1353" priority="312963" stopIfTrue="1" operator="equal">
      <formula>"En cours"</formula>
    </cfRule>
  </conditionalFormatting>
  <conditionalFormatting sqref="AK44">
    <cfRule type="cellIs" dxfId="1352" priority="312964" stopIfTrue="1" operator="notEqual">
      <formula>"En cours"</formula>
    </cfRule>
  </conditionalFormatting>
  <conditionalFormatting sqref="AJ52">
    <cfRule type="cellIs" dxfId="1351" priority="312965" stopIfTrue="1" operator="equal">
      <formula>"En cours"</formula>
    </cfRule>
  </conditionalFormatting>
  <conditionalFormatting sqref="AJ52">
    <cfRule type="cellIs" dxfId="1350" priority="312966" stopIfTrue="1" operator="notEqual">
      <formula>"En cours"</formula>
    </cfRule>
  </conditionalFormatting>
  <conditionalFormatting sqref="AK52">
    <cfRule type="cellIs" dxfId="1349" priority="312967" stopIfTrue="1" operator="equal">
      <formula>"En cours"</formula>
    </cfRule>
  </conditionalFormatting>
  <conditionalFormatting sqref="AK52">
    <cfRule type="cellIs" dxfId="1348" priority="312968" stopIfTrue="1" operator="notEqual">
      <formula>"En cours"</formula>
    </cfRule>
  </conditionalFormatting>
  <conditionalFormatting sqref="AJ54">
    <cfRule type="cellIs" dxfId="1347" priority="312969" stopIfTrue="1" operator="equal">
      <formula>"En cours"</formula>
    </cfRule>
  </conditionalFormatting>
  <conditionalFormatting sqref="AJ54">
    <cfRule type="cellIs" dxfId="1346" priority="312970" stopIfTrue="1" operator="notEqual">
      <formula>"En cours"</formula>
    </cfRule>
  </conditionalFormatting>
  <conditionalFormatting sqref="AK54">
    <cfRule type="cellIs" dxfId="1345" priority="312971" stopIfTrue="1" operator="equal">
      <formula>"En cours"</formula>
    </cfRule>
  </conditionalFormatting>
  <conditionalFormatting sqref="AK54">
    <cfRule type="cellIs" dxfId="1344" priority="312972" stopIfTrue="1" operator="notEqual">
      <formula>"En cours"</formula>
    </cfRule>
  </conditionalFormatting>
  <conditionalFormatting sqref="AJ94">
    <cfRule type="cellIs" dxfId="1343" priority="312973" stopIfTrue="1" operator="equal">
      <formula>"En cours"</formula>
    </cfRule>
  </conditionalFormatting>
  <conditionalFormatting sqref="AJ94">
    <cfRule type="cellIs" dxfId="1342" priority="312974" stopIfTrue="1" operator="notEqual">
      <formula>"En cours"</formula>
    </cfRule>
  </conditionalFormatting>
  <conditionalFormatting sqref="AK94">
    <cfRule type="cellIs" dxfId="1341" priority="312975" stopIfTrue="1" operator="equal">
      <formula>"En cours"</formula>
    </cfRule>
  </conditionalFormatting>
  <conditionalFormatting sqref="AK94">
    <cfRule type="cellIs" dxfId="1340" priority="312976" stopIfTrue="1" operator="notEqual">
      <formula>"En cours"</formula>
    </cfRule>
  </conditionalFormatting>
  <conditionalFormatting sqref="AJ29">
    <cfRule type="cellIs" dxfId="1339" priority="312977" stopIfTrue="1" operator="equal">
      <formula>"En cours"</formula>
    </cfRule>
  </conditionalFormatting>
  <conditionalFormatting sqref="AJ29">
    <cfRule type="cellIs" dxfId="1338" priority="312978" stopIfTrue="1" operator="notEqual">
      <formula>"En cours"</formula>
    </cfRule>
  </conditionalFormatting>
  <conditionalFormatting sqref="AK29">
    <cfRule type="cellIs" dxfId="1337" priority="312979" stopIfTrue="1" operator="equal">
      <formula>"En cours"</formula>
    </cfRule>
  </conditionalFormatting>
  <conditionalFormatting sqref="AK29">
    <cfRule type="cellIs" dxfId="1336" priority="312980" stopIfTrue="1" operator="notEqual">
      <formula>"En cours"</formula>
    </cfRule>
  </conditionalFormatting>
  <conditionalFormatting sqref="AJ21">
    <cfRule type="cellIs" dxfId="1335" priority="312981" stopIfTrue="1" operator="equal">
      <formula>"En cours"</formula>
    </cfRule>
  </conditionalFormatting>
  <conditionalFormatting sqref="AJ21">
    <cfRule type="cellIs" dxfId="1334" priority="312982" stopIfTrue="1" operator="notEqual">
      <formula>"En cours"</formula>
    </cfRule>
  </conditionalFormatting>
  <conditionalFormatting sqref="AK21">
    <cfRule type="cellIs" dxfId="1333" priority="312983" stopIfTrue="1" operator="equal">
      <formula>"En cours"</formula>
    </cfRule>
  </conditionalFormatting>
  <conditionalFormatting sqref="AK21">
    <cfRule type="cellIs" dxfId="1332" priority="312984" stopIfTrue="1" operator="notEqual">
      <formula>"En cours"</formula>
    </cfRule>
  </conditionalFormatting>
  <conditionalFormatting sqref="AJ179">
    <cfRule type="cellIs" dxfId="1331" priority="312985" stopIfTrue="1" operator="equal">
      <formula>"En cours"</formula>
    </cfRule>
  </conditionalFormatting>
  <conditionalFormatting sqref="AJ179">
    <cfRule type="cellIs" dxfId="1330" priority="312986" stopIfTrue="1" operator="notEqual">
      <formula>"En cours"</formula>
    </cfRule>
  </conditionalFormatting>
  <conditionalFormatting sqref="AK179">
    <cfRule type="cellIs" dxfId="1329" priority="312987" stopIfTrue="1" operator="equal">
      <formula>"En cours"</formula>
    </cfRule>
  </conditionalFormatting>
  <conditionalFormatting sqref="AK179">
    <cfRule type="cellIs" dxfId="1328" priority="312988" stopIfTrue="1" operator="notEqual">
      <formula>"En cours"</formula>
    </cfRule>
  </conditionalFormatting>
  <conditionalFormatting sqref="AJ43">
    <cfRule type="cellIs" dxfId="1327" priority="312989" stopIfTrue="1" operator="equal">
      <formula>"En cours"</formula>
    </cfRule>
  </conditionalFormatting>
  <conditionalFormatting sqref="AJ43">
    <cfRule type="cellIs" dxfId="1326" priority="312990" stopIfTrue="1" operator="notEqual">
      <formula>"En cours"</formula>
    </cfRule>
  </conditionalFormatting>
  <conditionalFormatting sqref="AK43">
    <cfRule type="cellIs" dxfId="1325" priority="312991" stopIfTrue="1" operator="equal">
      <formula>"En cours"</formula>
    </cfRule>
  </conditionalFormatting>
  <conditionalFormatting sqref="AK43">
    <cfRule type="cellIs" dxfId="1324" priority="312992" stopIfTrue="1" operator="notEqual">
      <formula>"En cours"</formula>
    </cfRule>
  </conditionalFormatting>
  <conditionalFormatting sqref="AJ53">
    <cfRule type="cellIs" dxfId="1323" priority="312993" stopIfTrue="1" operator="equal">
      <formula>"En cours"</formula>
    </cfRule>
  </conditionalFormatting>
  <conditionalFormatting sqref="AJ53">
    <cfRule type="cellIs" dxfId="1322" priority="312994" stopIfTrue="1" operator="notEqual">
      <formula>"En cours"</formula>
    </cfRule>
  </conditionalFormatting>
  <conditionalFormatting sqref="AK53">
    <cfRule type="cellIs" dxfId="1321" priority="312995" stopIfTrue="1" operator="equal">
      <formula>"En cours"</formula>
    </cfRule>
  </conditionalFormatting>
  <conditionalFormatting sqref="AK53">
    <cfRule type="cellIs" dxfId="1320" priority="312996" stopIfTrue="1" operator="notEqual">
      <formula>"En cours"</formula>
    </cfRule>
  </conditionalFormatting>
  <conditionalFormatting sqref="AJ155">
    <cfRule type="cellIs" dxfId="1319" priority="312997" stopIfTrue="1" operator="equal">
      <formula>"En cours"</formula>
    </cfRule>
  </conditionalFormatting>
  <conditionalFormatting sqref="AJ155">
    <cfRule type="cellIs" dxfId="1318" priority="312998" stopIfTrue="1" operator="notEqual">
      <formula>"En cours"</formula>
    </cfRule>
  </conditionalFormatting>
  <conditionalFormatting sqref="AK155">
    <cfRule type="cellIs" dxfId="1317" priority="312999" stopIfTrue="1" operator="equal">
      <formula>"En cours"</formula>
    </cfRule>
  </conditionalFormatting>
  <conditionalFormatting sqref="AK155">
    <cfRule type="cellIs" dxfId="1316" priority="313000" stopIfTrue="1" operator="notEqual">
      <formula>"En cours"</formula>
    </cfRule>
  </conditionalFormatting>
  <conditionalFormatting sqref="AJ65">
    <cfRule type="cellIs" dxfId="1315" priority="313001" stopIfTrue="1" operator="equal">
      <formula>"En cours"</formula>
    </cfRule>
  </conditionalFormatting>
  <conditionalFormatting sqref="AJ65">
    <cfRule type="cellIs" dxfId="1314" priority="313002" stopIfTrue="1" operator="notEqual">
      <formula>"En cours"</formula>
    </cfRule>
  </conditionalFormatting>
  <conditionalFormatting sqref="AK65">
    <cfRule type="cellIs" dxfId="1313" priority="313003" stopIfTrue="1" operator="equal">
      <formula>"En cours"</formula>
    </cfRule>
  </conditionalFormatting>
  <conditionalFormatting sqref="AK65">
    <cfRule type="cellIs" dxfId="1312" priority="313004" stopIfTrue="1" operator="notEqual">
      <formula>"En cours"</formula>
    </cfRule>
  </conditionalFormatting>
  <conditionalFormatting sqref="AJ102">
    <cfRule type="cellIs" dxfId="1311" priority="313005" stopIfTrue="1" operator="equal">
      <formula>"En cours"</formula>
    </cfRule>
  </conditionalFormatting>
  <conditionalFormatting sqref="AJ102">
    <cfRule type="cellIs" dxfId="1310" priority="313006" stopIfTrue="1" operator="notEqual">
      <formula>"En cours"</formula>
    </cfRule>
  </conditionalFormatting>
  <conditionalFormatting sqref="AK102">
    <cfRule type="cellIs" dxfId="1309" priority="313007" stopIfTrue="1" operator="equal">
      <formula>"En cours"</formula>
    </cfRule>
  </conditionalFormatting>
  <conditionalFormatting sqref="AK102">
    <cfRule type="cellIs" dxfId="1308" priority="313008" stopIfTrue="1" operator="notEqual">
      <formula>"En cours"</formula>
    </cfRule>
  </conditionalFormatting>
  <conditionalFormatting sqref="AJ76">
    <cfRule type="cellIs" dxfId="1307" priority="313009" stopIfTrue="1" operator="equal">
      <formula>"En cours"</formula>
    </cfRule>
  </conditionalFormatting>
  <conditionalFormatting sqref="AJ76">
    <cfRule type="cellIs" dxfId="1306" priority="313010" stopIfTrue="1" operator="notEqual">
      <formula>"En cours"</formula>
    </cfRule>
  </conditionalFormatting>
  <conditionalFormatting sqref="AK76">
    <cfRule type="cellIs" dxfId="1305" priority="313011" stopIfTrue="1" operator="equal">
      <formula>"En cours"</formula>
    </cfRule>
  </conditionalFormatting>
  <conditionalFormatting sqref="AK76">
    <cfRule type="cellIs" dxfId="1304" priority="313012" stopIfTrue="1" operator="notEqual">
      <formula>"En cours"</formula>
    </cfRule>
  </conditionalFormatting>
  <conditionalFormatting sqref="AJ175">
    <cfRule type="cellIs" dxfId="1303" priority="313013" stopIfTrue="1" operator="equal">
      <formula>"En cours"</formula>
    </cfRule>
    <cfRule type="cellIs" dxfId="1302" priority="313014" stopIfTrue="1" operator="notEqual">
      <formula>"En cours"</formula>
    </cfRule>
  </conditionalFormatting>
  <conditionalFormatting sqref="AK175">
    <cfRule type="cellIs" dxfId="1301" priority="313015" stopIfTrue="1" operator="equal">
      <formula>"En cours"</formula>
    </cfRule>
    <cfRule type="cellIs" dxfId="1300" priority="313016" stopIfTrue="1" operator="notEqual">
      <formula>"En cours"</formula>
    </cfRule>
  </conditionalFormatting>
  <conditionalFormatting sqref="AJ176">
    <cfRule type="cellIs" dxfId="1299" priority="313017" stopIfTrue="1" operator="equal">
      <formula>"En cours"</formula>
    </cfRule>
    <cfRule type="cellIs" dxfId="1298" priority="313018" stopIfTrue="1" operator="notEqual">
      <formula>"En cours"</formula>
    </cfRule>
  </conditionalFormatting>
  <conditionalFormatting sqref="AK176">
    <cfRule type="cellIs" dxfId="1297" priority="313019" stopIfTrue="1" operator="equal">
      <formula>"En cours"</formula>
    </cfRule>
    <cfRule type="cellIs" dxfId="1296" priority="313020" stopIfTrue="1" operator="notEqual">
      <formula>"En cours"</formula>
    </cfRule>
  </conditionalFormatting>
  <conditionalFormatting sqref="AJ75">
    <cfRule type="cellIs" dxfId="1295" priority="313021" stopIfTrue="1" operator="equal">
      <formula>"En cours"</formula>
    </cfRule>
  </conditionalFormatting>
  <conditionalFormatting sqref="AJ75">
    <cfRule type="cellIs" dxfId="1294" priority="313022" stopIfTrue="1" operator="notEqual">
      <formula>"En cours"</formula>
    </cfRule>
  </conditionalFormatting>
  <conditionalFormatting sqref="AK75">
    <cfRule type="cellIs" dxfId="1293" priority="313023" stopIfTrue="1" operator="equal">
      <formula>"En cours"</formula>
    </cfRule>
  </conditionalFormatting>
  <conditionalFormatting sqref="AK75">
    <cfRule type="cellIs" dxfId="1292" priority="313024" stopIfTrue="1" operator="notEqual">
      <formula>"En cours"</formula>
    </cfRule>
  </conditionalFormatting>
  <conditionalFormatting sqref="AJ133">
    <cfRule type="cellIs" dxfId="1291" priority="313025" stopIfTrue="1" operator="equal">
      <formula>"En cours"</formula>
    </cfRule>
  </conditionalFormatting>
  <conditionalFormatting sqref="AJ133">
    <cfRule type="cellIs" dxfId="1290" priority="313026" stopIfTrue="1" operator="notEqual">
      <formula>"En cours"</formula>
    </cfRule>
  </conditionalFormatting>
  <conditionalFormatting sqref="AK133">
    <cfRule type="cellIs" dxfId="1289" priority="313027" stopIfTrue="1" operator="equal">
      <formula>"En cours"</formula>
    </cfRule>
  </conditionalFormatting>
  <conditionalFormatting sqref="AK133">
    <cfRule type="cellIs" dxfId="1288" priority="313028" stopIfTrue="1" operator="notEqual">
      <formula>"En cours"</formula>
    </cfRule>
  </conditionalFormatting>
  <conditionalFormatting sqref="AJ158">
    <cfRule type="cellIs" dxfId="1287" priority="313029" stopIfTrue="1" operator="equal">
      <formula>"En cours"</formula>
    </cfRule>
  </conditionalFormatting>
  <conditionalFormatting sqref="AJ158">
    <cfRule type="cellIs" dxfId="1286" priority="313030" stopIfTrue="1" operator="notEqual">
      <formula>"En cours"</formula>
    </cfRule>
  </conditionalFormatting>
  <conditionalFormatting sqref="AK158">
    <cfRule type="cellIs" dxfId="1285" priority="313031" stopIfTrue="1" operator="equal">
      <formula>"En cours"</formula>
    </cfRule>
  </conditionalFormatting>
  <conditionalFormatting sqref="AK158">
    <cfRule type="cellIs" dxfId="1284" priority="313032" stopIfTrue="1" operator="notEqual">
      <formula>"En cours"</formula>
    </cfRule>
  </conditionalFormatting>
  <conditionalFormatting sqref="AJ71">
    <cfRule type="cellIs" dxfId="1283" priority="313033" stopIfTrue="1" operator="equal">
      <formula>"En cours"</formula>
    </cfRule>
  </conditionalFormatting>
  <conditionalFormatting sqref="AJ71">
    <cfRule type="cellIs" dxfId="1282" priority="313034" stopIfTrue="1" operator="notEqual">
      <formula>"En cours"</formula>
    </cfRule>
  </conditionalFormatting>
  <conditionalFormatting sqref="AK71">
    <cfRule type="cellIs" dxfId="1281" priority="313035" stopIfTrue="1" operator="equal">
      <formula>"En cours"</formula>
    </cfRule>
  </conditionalFormatting>
  <conditionalFormatting sqref="AK71">
    <cfRule type="cellIs" dxfId="1280" priority="313036" stopIfTrue="1" operator="notEqual">
      <formula>"En cours"</formula>
    </cfRule>
  </conditionalFormatting>
  <conditionalFormatting sqref="AJ162">
    <cfRule type="cellIs" dxfId="1279" priority="313037" stopIfTrue="1" operator="equal">
      <formula>"En cours"</formula>
    </cfRule>
  </conditionalFormatting>
  <conditionalFormatting sqref="AJ162">
    <cfRule type="cellIs" dxfId="1278" priority="313038" stopIfTrue="1" operator="notEqual">
      <formula>"En cours"</formula>
    </cfRule>
  </conditionalFormatting>
  <conditionalFormatting sqref="AK162">
    <cfRule type="cellIs" dxfId="1277" priority="313039" stopIfTrue="1" operator="equal">
      <formula>"En cours"</formula>
    </cfRule>
  </conditionalFormatting>
  <conditionalFormatting sqref="AK162">
    <cfRule type="cellIs" dxfId="1276" priority="313040" stopIfTrue="1" operator="notEqual">
      <formula>"En cours"</formula>
    </cfRule>
  </conditionalFormatting>
  <conditionalFormatting sqref="AJ70">
    <cfRule type="cellIs" dxfId="1275" priority="313041" stopIfTrue="1" operator="equal">
      <formula>"En cours"</formula>
    </cfRule>
  </conditionalFormatting>
  <conditionalFormatting sqref="AJ70">
    <cfRule type="cellIs" dxfId="1274" priority="313042" stopIfTrue="1" operator="notEqual">
      <formula>"En cours"</formula>
    </cfRule>
  </conditionalFormatting>
  <conditionalFormatting sqref="AK70">
    <cfRule type="cellIs" dxfId="1273" priority="313043" stopIfTrue="1" operator="equal">
      <formula>"En cours"</formula>
    </cfRule>
  </conditionalFormatting>
  <conditionalFormatting sqref="AK70">
    <cfRule type="cellIs" dxfId="1272" priority="313044" stopIfTrue="1" operator="notEqual">
      <formula>"En cours"</formula>
    </cfRule>
  </conditionalFormatting>
  <conditionalFormatting sqref="AJ124">
    <cfRule type="cellIs" dxfId="1271" priority="313045" stopIfTrue="1" operator="equal">
      <formula>"En cours"</formula>
    </cfRule>
  </conditionalFormatting>
  <conditionalFormatting sqref="AJ124">
    <cfRule type="cellIs" dxfId="1270" priority="313046" stopIfTrue="1" operator="notEqual">
      <formula>"En cours"</formula>
    </cfRule>
  </conditionalFormatting>
  <conditionalFormatting sqref="AK124">
    <cfRule type="cellIs" dxfId="1269" priority="313047" stopIfTrue="1" operator="equal">
      <formula>"En cours"</formula>
    </cfRule>
  </conditionalFormatting>
  <conditionalFormatting sqref="AK124">
    <cfRule type="cellIs" dxfId="1268" priority="313048" stopIfTrue="1" operator="notEqual">
      <formula>"En cours"</formula>
    </cfRule>
  </conditionalFormatting>
  <conditionalFormatting sqref="AJ57">
    <cfRule type="cellIs" dxfId="1267" priority="313049" stopIfTrue="1" operator="equal">
      <formula>"En cours"</formula>
    </cfRule>
  </conditionalFormatting>
  <conditionalFormatting sqref="AJ57">
    <cfRule type="cellIs" dxfId="1266" priority="313050" stopIfTrue="1" operator="notEqual">
      <formula>"En cours"</formula>
    </cfRule>
  </conditionalFormatting>
  <conditionalFormatting sqref="AK57">
    <cfRule type="cellIs" dxfId="1265" priority="313051" stopIfTrue="1" operator="equal">
      <formula>"En cours"</formula>
    </cfRule>
  </conditionalFormatting>
  <conditionalFormatting sqref="AK57">
    <cfRule type="cellIs" dxfId="1264" priority="313052" stopIfTrue="1" operator="notEqual">
      <formula>"En cours"</formula>
    </cfRule>
  </conditionalFormatting>
  <conditionalFormatting sqref="AJ61">
    <cfRule type="cellIs" dxfId="1263" priority="313053" stopIfTrue="1" operator="equal">
      <formula>"En cours"</formula>
    </cfRule>
  </conditionalFormatting>
  <conditionalFormatting sqref="AJ61">
    <cfRule type="cellIs" dxfId="1262" priority="313054" stopIfTrue="1" operator="notEqual">
      <formula>"En cours"</formula>
    </cfRule>
  </conditionalFormatting>
  <conditionalFormatting sqref="AK61">
    <cfRule type="cellIs" dxfId="1261" priority="313055" stopIfTrue="1" operator="equal">
      <formula>"En cours"</formula>
    </cfRule>
  </conditionalFormatting>
  <conditionalFormatting sqref="AK61">
    <cfRule type="cellIs" dxfId="1260" priority="313056" stopIfTrue="1" operator="notEqual">
      <formula>"En cours"</formula>
    </cfRule>
  </conditionalFormatting>
  <conditionalFormatting sqref="AJ117">
    <cfRule type="cellIs" dxfId="1259" priority="313057" stopIfTrue="1" operator="equal">
      <formula>"En cours"</formula>
    </cfRule>
  </conditionalFormatting>
  <conditionalFormatting sqref="AJ117">
    <cfRule type="cellIs" dxfId="1258" priority="313058" stopIfTrue="1" operator="notEqual">
      <formula>"En cours"</formula>
    </cfRule>
  </conditionalFormatting>
  <conditionalFormatting sqref="AK117">
    <cfRule type="cellIs" dxfId="1257" priority="313059" stopIfTrue="1" operator="equal">
      <formula>"En cours"</formula>
    </cfRule>
  </conditionalFormatting>
  <conditionalFormatting sqref="AK117">
    <cfRule type="cellIs" dxfId="1256" priority="313060" stopIfTrue="1" operator="notEqual">
      <formula>"En cours"</formula>
    </cfRule>
  </conditionalFormatting>
  <conditionalFormatting sqref="AJ60">
    <cfRule type="cellIs" dxfId="1255" priority="313061" stopIfTrue="1" operator="equal">
      <formula>"En cours"</formula>
    </cfRule>
  </conditionalFormatting>
  <conditionalFormatting sqref="AJ60">
    <cfRule type="cellIs" dxfId="1254" priority="313062" stopIfTrue="1" operator="notEqual">
      <formula>"En cours"</formula>
    </cfRule>
  </conditionalFormatting>
  <conditionalFormatting sqref="AK60">
    <cfRule type="cellIs" dxfId="1253" priority="313063" stopIfTrue="1" operator="equal">
      <formula>"En cours"</formula>
    </cfRule>
  </conditionalFormatting>
  <conditionalFormatting sqref="AK60">
    <cfRule type="cellIs" dxfId="1252" priority="313064" stopIfTrue="1" operator="notEqual">
      <formula>"En cours"</formula>
    </cfRule>
  </conditionalFormatting>
  <conditionalFormatting sqref="AJ110">
    <cfRule type="cellIs" dxfId="1251" priority="313065" stopIfTrue="1" operator="equal">
      <formula>"En cours"</formula>
    </cfRule>
  </conditionalFormatting>
  <conditionalFormatting sqref="AJ110">
    <cfRule type="cellIs" dxfId="1250" priority="313066" stopIfTrue="1" operator="notEqual">
      <formula>"En cours"</formula>
    </cfRule>
  </conditionalFormatting>
  <conditionalFormatting sqref="AK110">
    <cfRule type="cellIs" dxfId="1249" priority="313067" stopIfTrue="1" operator="equal">
      <formula>"En cours"</formula>
    </cfRule>
  </conditionalFormatting>
  <conditionalFormatting sqref="AK110">
    <cfRule type="cellIs" dxfId="1248" priority="313068" stopIfTrue="1" operator="notEqual">
      <formula>"En cours"</formula>
    </cfRule>
  </conditionalFormatting>
  <conditionalFormatting sqref="AJ153">
    <cfRule type="cellIs" dxfId="1247" priority="313069" stopIfTrue="1" operator="equal">
      <formula>"En cours"</formula>
    </cfRule>
  </conditionalFormatting>
  <conditionalFormatting sqref="AJ153">
    <cfRule type="cellIs" dxfId="1246" priority="313070" stopIfTrue="1" operator="notEqual">
      <formula>"En cours"</formula>
    </cfRule>
  </conditionalFormatting>
  <conditionalFormatting sqref="AK153">
    <cfRule type="cellIs" dxfId="1245" priority="313071" stopIfTrue="1" operator="equal">
      <formula>"En cours"</formula>
    </cfRule>
  </conditionalFormatting>
  <conditionalFormatting sqref="AK153">
    <cfRule type="cellIs" dxfId="1244" priority="313072" stopIfTrue="1" operator="notEqual">
      <formula>"En cours"</formula>
    </cfRule>
  </conditionalFormatting>
  <conditionalFormatting sqref="AJ132">
    <cfRule type="cellIs" dxfId="1243" priority="313073" stopIfTrue="1" operator="equal">
      <formula>"En cours"</formula>
    </cfRule>
  </conditionalFormatting>
  <conditionalFormatting sqref="AJ132">
    <cfRule type="cellIs" dxfId="1242" priority="313074" stopIfTrue="1" operator="notEqual">
      <formula>"En cours"</formula>
    </cfRule>
  </conditionalFormatting>
  <conditionalFormatting sqref="AK132">
    <cfRule type="cellIs" dxfId="1241" priority="313075" stopIfTrue="1" operator="equal">
      <formula>"En cours"</formula>
    </cfRule>
  </conditionalFormatting>
  <conditionalFormatting sqref="AK132">
    <cfRule type="cellIs" dxfId="1240" priority="313076" stopIfTrue="1" operator="notEqual">
      <formula>"En cours"</formula>
    </cfRule>
  </conditionalFormatting>
  <conditionalFormatting sqref="AJ127">
    <cfRule type="cellIs" dxfId="1239" priority="313077" stopIfTrue="1" operator="equal">
      <formula>"En cours"</formula>
    </cfRule>
  </conditionalFormatting>
  <conditionalFormatting sqref="AJ127">
    <cfRule type="cellIs" dxfId="1238" priority="313078" stopIfTrue="1" operator="notEqual">
      <formula>"En cours"</formula>
    </cfRule>
  </conditionalFormatting>
  <conditionalFormatting sqref="AK127">
    <cfRule type="cellIs" dxfId="1237" priority="313079" stopIfTrue="1" operator="equal">
      <formula>"En cours"</formula>
    </cfRule>
  </conditionalFormatting>
  <conditionalFormatting sqref="AK127">
    <cfRule type="cellIs" dxfId="1236" priority="313080" stopIfTrue="1" operator="notEqual">
      <formula>"En cours"</formula>
    </cfRule>
  </conditionalFormatting>
  <conditionalFormatting sqref="AJ131">
    <cfRule type="cellIs" dxfId="1235" priority="313081" stopIfTrue="1" operator="equal">
      <formula>"En cours"</formula>
    </cfRule>
  </conditionalFormatting>
  <conditionalFormatting sqref="AJ131">
    <cfRule type="cellIs" dxfId="1234" priority="313082" stopIfTrue="1" operator="notEqual">
      <formula>"En cours"</formula>
    </cfRule>
  </conditionalFormatting>
  <conditionalFormatting sqref="AK131">
    <cfRule type="cellIs" dxfId="1233" priority="313083" stopIfTrue="1" operator="equal">
      <formula>"En cours"</formula>
    </cfRule>
  </conditionalFormatting>
  <conditionalFormatting sqref="AK131">
    <cfRule type="cellIs" dxfId="1232" priority="313084" stopIfTrue="1" operator="notEqual">
      <formula>"En cours"</formula>
    </cfRule>
  </conditionalFormatting>
  <conditionalFormatting sqref="AJ72">
    <cfRule type="cellIs" dxfId="1231" priority="313085" stopIfTrue="1" operator="equal">
      <formula>"En cours"</formula>
    </cfRule>
  </conditionalFormatting>
  <conditionalFormatting sqref="AJ72">
    <cfRule type="cellIs" dxfId="1230" priority="313086" stopIfTrue="1" operator="notEqual">
      <formula>"En cours"</formula>
    </cfRule>
  </conditionalFormatting>
  <conditionalFormatting sqref="AK72">
    <cfRule type="cellIs" dxfId="1229" priority="313087" stopIfTrue="1" operator="equal">
      <formula>"En cours"</formula>
    </cfRule>
  </conditionalFormatting>
  <conditionalFormatting sqref="AK72">
    <cfRule type="cellIs" dxfId="1228" priority="313088" stopIfTrue="1" operator="notEqual">
      <formula>"En cours"</formula>
    </cfRule>
  </conditionalFormatting>
  <conditionalFormatting sqref="AJ66">
    <cfRule type="cellIs" dxfId="1227" priority="313089" stopIfTrue="1" operator="equal">
      <formula>"En cours"</formula>
    </cfRule>
  </conditionalFormatting>
  <conditionalFormatting sqref="AJ66">
    <cfRule type="cellIs" dxfId="1226" priority="313090" stopIfTrue="1" operator="notEqual">
      <formula>"En cours"</formula>
    </cfRule>
  </conditionalFormatting>
  <conditionalFormatting sqref="AK66">
    <cfRule type="cellIs" dxfId="1225" priority="313091" stopIfTrue="1" operator="equal">
      <formula>"En cours"</formula>
    </cfRule>
  </conditionalFormatting>
  <conditionalFormatting sqref="AK66">
    <cfRule type="cellIs" dxfId="1224" priority="313092" stopIfTrue="1" operator="notEqual">
      <formula>"En cours"</formula>
    </cfRule>
  </conditionalFormatting>
  <conditionalFormatting sqref="AJ68">
    <cfRule type="cellIs" dxfId="1223" priority="313093" stopIfTrue="1" operator="equal">
      <formula>"En cours"</formula>
    </cfRule>
  </conditionalFormatting>
  <conditionalFormatting sqref="AJ68">
    <cfRule type="cellIs" dxfId="1222" priority="313094" stopIfTrue="1" operator="notEqual">
      <formula>"En cours"</formula>
    </cfRule>
  </conditionalFormatting>
  <conditionalFormatting sqref="AK68">
    <cfRule type="cellIs" dxfId="1221" priority="313095" stopIfTrue="1" operator="equal">
      <formula>"En cours"</formula>
    </cfRule>
  </conditionalFormatting>
  <conditionalFormatting sqref="AK68">
    <cfRule type="cellIs" dxfId="1220" priority="313096" stopIfTrue="1" operator="notEqual">
      <formula>"En cours"</formula>
    </cfRule>
  </conditionalFormatting>
  <conditionalFormatting sqref="AJ113">
    <cfRule type="cellIs" dxfId="1219" priority="313097" stopIfTrue="1" operator="equal">
      <formula>"En cours"</formula>
    </cfRule>
  </conditionalFormatting>
  <conditionalFormatting sqref="AJ113">
    <cfRule type="cellIs" dxfId="1218" priority="313098" stopIfTrue="1" operator="notEqual">
      <formula>"En cours"</formula>
    </cfRule>
  </conditionalFormatting>
  <conditionalFormatting sqref="AK113">
    <cfRule type="cellIs" dxfId="1217" priority="313099" stopIfTrue="1" operator="equal">
      <formula>"En cours"</formula>
    </cfRule>
  </conditionalFormatting>
  <conditionalFormatting sqref="AK113">
    <cfRule type="cellIs" dxfId="1216" priority="313100" stopIfTrue="1" operator="notEqual">
      <formula>"En cours"</formula>
    </cfRule>
  </conditionalFormatting>
  <conditionalFormatting sqref="AJ64">
    <cfRule type="cellIs" dxfId="1215" priority="313101" stopIfTrue="1" operator="equal">
      <formula>"En cours"</formula>
    </cfRule>
  </conditionalFormatting>
  <conditionalFormatting sqref="AJ64">
    <cfRule type="cellIs" dxfId="1214" priority="313102" stopIfTrue="1" operator="notEqual">
      <formula>"En cours"</formula>
    </cfRule>
  </conditionalFormatting>
  <conditionalFormatting sqref="AK64">
    <cfRule type="cellIs" dxfId="1213" priority="313103" stopIfTrue="1" operator="equal">
      <formula>"En cours"</formula>
    </cfRule>
  </conditionalFormatting>
  <conditionalFormatting sqref="AK64">
    <cfRule type="cellIs" dxfId="1212" priority="313104" stopIfTrue="1" operator="notEqual">
      <formula>"En cours"</formula>
    </cfRule>
  </conditionalFormatting>
  <conditionalFormatting sqref="AJ112">
    <cfRule type="cellIs" dxfId="1211" priority="313105" stopIfTrue="1" operator="equal">
      <formula>"En cours"</formula>
    </cfRule>
  </conditionalFormatting>
  <conditionalFormatting sqref="AJ112">
    <cfRule type="cellIs" dxfId="1210" priority="313106" stopIfTrue="1" operator="notEqual">
      <formula>"En cours"</formula>
    </cfRule>
  </conditionalFormatting>
  <conditionalFormatting sqref="AK112">
    <cfRule type="cellIs" dxfId="1209" priority="313107" stopIfTrue="1" operator="equal">
      <formula>"En cours"</formula>
    </cfRule>
  </conditionalFormatting>
  <conditionalFormatting sqref="AK112">
    <cfRule type="cellIs" dxfId="1208" priority="313108" stopIfTrue="1" operator="notEqual">
      <formula>"En cours"</formula>
    </cfRule>
  </conditionalFormatting>
  <conditionalFormatting sqref="AJ58">
    <cfRule type="cellIs" dxfId="1207" priority="313109" stopIfTrue="1" operator="equal">
      <formula>"En cours"</formula>
    </cfRule>
  </conditionalFormatting>
  <conditionalFormatting sqref="AJ58">
    <cfRule type="cellIs" dxfId="1206" priority="313110" stopIfTrue="1" operator="notEqual">
      <formula>"En cours"</formula>
    </cfRule>
  </conditionalFormatting>
  <conditionalFormatting sqref="AK58">
    <cfRule type="cellIs" dxfId="1205" priority="313111" stopIfTrue="1" operator="equal">
      <formula>"En cours"</formula>
    </cfRule>
  </conditionalFormatting>
  <conditionalFormatting sqref="AK58">
    <cfRule type="cellIs" dxfId="1204" priority="313112" stopIfTrue="1" operator="notEqual">
      <formula>"En cours"</formula>
    </cfRule>
  </conditionalFormatting>
  <conditionalFormatting sqref="AJ118">
    <cfRule type="cellIs" dxfId="1203" priority="313113" stopIfTrue="1" operator="equal">
      <formula>"En cours"</formula>
    </cfRule>
  </conditionalFormatting>
  <conditionalFormatting sqref="AJ118">
    <cfRule type="cellIs" dxfId="1202" priority="313114" stopIfTrue="1" operator="notEqual">
      <formula>"En cours"</formula>
    </cfRule>
  </conditionalFormatting>
  <conditionalFormatting sqref="AK118">
    <cfRule type="cellIs" dxfId="1201" priority="313115" stopIfTrue="1" operator="equal">
      <formula>"En cours"</formula>
    </cfRule>
  </conditionalFormatting>
  <conditionalFormatting sqref="AK118">
    <cfRule type="cellIs" dxfId="1200" priority="313116" stopIfTrue="1" operator="notEqual">
      <formula>"En cours"</formula>
    </cfRule>
  </conditionalFormatting>
  <conditionalFormatting sqref="AJ67">
    <cfRule type="cellIs" dxfId="1199" priority="313117" stopIfTrue="1" operator="equal">
      <formula>"En cours"</formula>
    </cfRule>
  </conditionalFormatting>
  <conditionalFormatting sqref="AJ67">
    <cfRule type="cellIs" dxfId="1198" priority="313118" stopIfTrue="1" operator="notEqual">
      <formula>"En cours"</formula>
    </cfRule>
  </conditionalFormatting>
  <conditionalFormatting sqref="AK67">
    <cfRule type="cellIs" dxfId="1197" priority="313119" stopIfTrue="1" operator="equal">
      <formula>"En cours"</formula>
    </cfRule>
  </conditionalFormatting>
  <conditionalFormatting sqref="AK67">
    <cfRule type="cellIs" dxfId="1196" priority="313120" stopIfTrue="1" operator="notEqual">
      <formula>"En cours"</formula>
    </cfRule>
  </conditionalFormatting>
  <conditionalFormatting sqref="AJ63">
    <cfRule type="cellIs" dxfId="1195" priority="313121" stopIfTrue="1" operator="equal">
      <formula>"En cours"</formula>
    </cfRule>
  </conditionalFormatting>
  <conditionalFormatting sqref="AJ63">
    <cfRule type="cellIs" dxfId="1194" priority="313122" stopIfTrue="1" operator="notEqual">
      <formula>"En cours"</formula>
    </cfRule>
  </conditionalFormatting>
  <conditionalFormatting sqref="AK63">
    <cfRule type="cellIs" dxfId="1193" priority="313123" stopIfTrue="1" operator="equal">
      <formula>"En cours"</formula>
    </cfRule>
  </conditionalFormatting>
  <conditionalFormatting sqref="AK63">
    <cfRule type="cellIs" dxfId="1192" priority="313124" stopIfTrue="1" operator="notEqual">
      <formula>"En cours"</formula>
    </cfRule>
  </conditionalFormatting>
  <conditionalFormatting sqref="AJ73">
    <cfRule type="cellIs" dxfId="1191" priority="313125" stopIfTrue="1" operator="equal">
      <formula>"En cours"</formula>
    </cfRule>
  </conditionalFormatting>
  <conditionalFormatting sqref="AJ73">
    <cfRule type="cellIs" dxfId="1190" priority="313126" stopIfTrue="1" operator="notEqual">
      <formula>"En cours"</formula>
    </cfRule>
  </conditionalFormatting>
  <conditionalFormatting sqref="AK73">
    <cfRule type="cellIs" dxfId="1189" priority="313127" stopIfTrue="1" operator="equal">
      <formula>"En cours"</formula>
    </cfRule>
  </conditionalFormatting>
  <conditionalFormatting sqref="AK73">
    <cfRule type="cellIs" dxfId="1188" priority="313128" stopIfTrue="1" operator="notEqual">
      <formula>"En cours"</formula>
    </cfRule>
  </conditionalFormatting>
  <conditionalFormatting sqref="AJ180">
    <cfRule type="cellIs" dxfId="1187" priority="313129" stopIfTrue="1" operator="equal">
      <formula>"En cours"</formula>
    </cfRule>
  </conditionalFormatting>
  <conditionalFormatting sqref="AJ180">
    <cfRule type="cellIs" dxfId="1186" priority="313130" stopIfTrue="1" operator="notEqual">
      <formula>"En cours"</formula>
    </cfRule>
  </conditionalFormatting>
  <conditionalFormatting sqref="AK180">
    <cfRule type="cellIs" dxfId="1185" priority="313131" stopIfTrue="1" operator="equal">
      <formula>"En cours"</formula>
    </cfRule>
  </conditionalFormatting>
  <conditionalFormatting sqref="AK180">
    <cfRule type="cellIs" dxfId="1184" priority="313132" stopIfTrue="1" operator="notEqual">
      <formula>"En cours"</formula>
    </cfRule>
  </conditionalFormatting>
  <conditionalFormatting sqref="AJ59">
    <cfRule type="cellIs" dxfId="1183" priority="313133" stopIfTrue="1" operator="equal">
      <formula>"En cours"</formula>
    </cfRule>
  </conditionalFormatting>
  <conditionalFormatting sqref="AJ59">
    <cfRule type="cellIs" dxfId="1182" priority="313134" stopIfTrue="1" operator="notEqual">
      <formula>"En cours"</formula>
    </cfRule>
  </conditionalFormatting>
  <conditionalFormatting sqref="AK59">
    <cfRule type="cellIs" dxfId="1181" priority="313135" stopIfTrue="1" operator="equal">
      <formula>"En cours"</formula>
    </cfRule>
  </conditionalFormatting>
  <conditionalFormatting sqref="AK59">
    <cfRule type="cellIs" dxfId="1180" priority="313136" stopIfTrue="1" operator="notEqual">
      <formula>"En cours"</formula>
    </cfRule>
  </conditionalFormatting>
  <conditionalFormatting sqref="AJ108">
    <cfRule type="cellIs" dxfId="1179" priority="313137" stopIfTrue="1" operator="equal">
      <formula>"En cours"</formula>
    </cfRule>
  </conditionalFormatting>
  <conditionalFormatting sqref="AJ108">
    <cfRule type="cellIs" dxfId="1178" priority="313138" stopIfTrue="1" operator="notEqual">
      <formula>"En cours"</formula>
    </cfRule>
  </conditionalFormatting>
  <conditionalFormatting sqref="AK108">
    <cfRule type="cellIs" dxfId="1177" priority="313139" stopIfTrue="1" operator="equal">
      <formula>"En cours"</formula>
    </cfRule>
  </conditionalFormatting>
  <conditionalFormatting sqref="AK108">
    <cfRule type="cellIs" dxfId="1176" priority="313140" stopIfTrue="1" operator="notEqual">
      <formula>"En cours"</formula>
    </cfRule>
  </conditionalFormatting>
  <conditionalFormatting sqref="AJ130">
    <cfRule type="cellIs" dxfId="1175" priority="313141" stopIfTrue="1" operator="equal">
      <formula>"En cours"</formula>
    </cfRule>
  </conditionalFormatting>
  <conditionalFormatting sqref="AJ130">
    <cfRule type="cellIs" dxfId="1174" priority="313142" stopIfTrue="1" operator="notEqual">
      <formula>"En cours"</formula>
    </cfRule>
  </conditionalFormatting>
  <conditionalFormatting sqref="AK130">
    <cfRule type="cellIs" dxfId="1173" priority="313143" stopIfTrue="1" operator="equal">
      <formula>"En cours"</formula>
    </cfRule>
  </conditionalFormatting>
  <conditionalFormatting sqref="AK130">
    <cfRule type="cellIs" dxfId="1172" priority="313144" stopIfTrue="1" operator="notEqual">
      <formula>"En cours"</formula>
    </cfRule>
  </conditionalFormatting>
  <conditionalFormatting sqref="AJ135">
    <cfRule type="cellIs" dxfId="1171" priority="313145" stopIfTrue="1" operator="equal">
      <formula>"En cours"</formula>
    </cfRule>
  </conditionalFormatting>
  <conditionalFormatting sqref="AJ135">
    <cfRule type="cellIs" dxfId="1170" priority="313146" stopIfTrue="1" operator="notEqual">
      <formula>"En cours"</formula>
    </cfRule>
  </conditionalFormatting>
  <conditionalFormatting sqref="AK135">
    <cfRule type="cellIs" dxfId="1169" priority="313147" stopIfTrue="1" operator="equal">
      <formula>"En cours"</formula>
    </cfRule>
  </conditionalFormatting>
  <conditionalFormatting sqref="AK135">
    <cfRule type="cellIs" dxfId="1168" priority="313148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P37" sqref="P37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30</v>
      </c>
      <c r="C2" s="71" t="s">
        <v>37</v>
      </c>
      <c r="E2" s="19"/>
      <c r="F2" s="192" t="s">
        <v>18</v>
      </c>
      <c r="G2" s="193"/>
      <c r="H2" s="193"/>
      <c r="I2" s="194"/>
      <c r="J2" s="195" t="s">
        <v>19</v>
      </c>
      <c r="K2" s="196"/>
      <c r="L2" s="196"/>
      <c r="M2" s="197"/>
      <c r="N2" s="198" t="s">
        <v>20</v>
      </c>
      <c r="O2" s="193"/>
      <c r="P2" s="193"/>
      <c r="Q2" s="194"/>
      <c r="R2" s="195" t="s">
        <v>21</v>
      </c>
      <c r="S2" s="196"/>
      <c r="T2" s="196"/>
      <c r="U2" s="197"/>
      <c r="V2" s="198" t="s">
        <v>22</v>
      </c>
      <c r="W2" s="193"/>
      <c r="X2" s="193"/>
      <c r="Y2" s="194"/>
      <c r="Z2" s="195" t="s">
        <v>23</v>
      </c>
      <c r="AA2" s="196"/>
      <c r="AB2" s="196"/>
      <c r="AC2" s="199"/>
      <c r="AD2" s="185" t="s">
        <v>24</v>
      </c>
      <c r="AE2" s="186"/>
      <c r="AF2" s="187" t="s">
        <v>17</v>
      </c>
      <c r="AG2" s="188"/>
      <c r="AH2" s="188"/>
      <c r="AI2" s="189"/>
      <c r="AJ2" s="190" t="s">
        <v>25</v>
      </c>
      <c r="AK2" s="191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3" t="s">
        <v>188</v>
      </c>
      <c r="C4" s="163" t="s">
        <v>104</v>
      </c>
      <c r="D4" s="163">
        <v>15.7</v>
      </c>
      <c r="E4" s="163" t="s">
        <v>202</v>
      </c>
      <c r="F4" s="163">
        <v>86</v>
      </c>
      <c r="G4" s="163">
        <v>7</v>
      </c>
      <c r="H4" s="163">
        <v>104</v>
      </c>
      <c r="I4" s="163">
        <v>7</v>
      </c>
      <c r="J4" s="163">
        <v>70</v>
      </c>
      <c r="K4" s="163">
        <v>1</v>
      </c>
      <c r="L4" s="163">
        <v>88</v>
      </c>
      <c r="M4" s="163">
        <v>3</v>
      </c>
      <c r="N4" s="163">
        <v>70</v>
      </c>
      <c r="O4" s="163">
        <v>3</v>
      </c>
      <c r="P4" s="163">
        <v>88</v>
      </c>
      <c r="Q4" s="163">
        <v>4</v>
      </c>
      <c r="R4" s="163"/>
      <c r="S4" s="163"/>
      <c r="T4" s="163"/>
      <c r="U4" s="163"/>
      <c r="V4" s="163"/>
      <c r="W4" s="163"/>
      <c r="X4" s="163"/>
      <c r="Y4" s="163"/>
      <c r="Z4" s="163">
        <v>70</v>
      </c>
      <c r="AA4" s="163">
        <v>1</v>
      </c>
      <c r="AB4" s="163">
        <v>88</v>
      </c>
      <c r="AC4" s="163">
        <v>2</v>
      </c>
      <c r="AD4" s="164">
        <f>IF(MIN(F4,J4,N4,R4,V4,Z4)&lt;&gt;0,MIN(F4,J4,N4,R4,V4,Z4),"")</f>
        <v>70</v>
      </c>
      <c r="AE4" s="164">
        <f>IF(MIN(H4,L4,P4,T4,X4,AB4)&lt;&gt;0,MIN(H4,L4,P4,T4,X4,AB4),"")</f>
        <v>88</v>
      </c>
      <c r="AF4" s="164">
        <v>77</v>
      </c>
      <c r="AG4" s="163">
        <v>6</v>
      </c>
      <c r="AH4" s="164">
        <v>95</v>
      </c>
      <c r="AI4" s="163">
        <v>7</v>
      </c>
      <c r="AJ4" s="162">
        <f>IF(AD4="","",IF(ISBLANK(AF4),"En cours",AD4+AF4))</f>
        <v>147</v>
      </c>
      <c r="AK4" s="162">
        <f>IF(AE4="","",IF(ISBLANK(AH4),"En cours",AE4+AH4))</f>
        <v>183</v>
      </c>
    </row>
    <row r="5" spans="2:37" ht="21" x14ac:dyDescent="0.35">
      <c r="B5" s="163" t="s">
        <v>314</v>
      </c>
      <c r="C5" s="163" t="s">
        <v>104</v>
      </c>
      <c r="D5" s="163">
        <v>19.8</v>
      </c>
      <c r="E5" s="163" t="s">
        <v>205</v>
      </c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>
        <v>82</v>
      </c>
      <c r="S5" s="163">
        <v>3</v>
      </c>
      <c r="T5" s="163">
        <v>101</v>
      </c>
      <c r="U5" s="163">
        <v>1</v>
      </c>
      <c r="V5" s="163"/>
      <c r="W5" s="163"/>
      <c r="X5" s="163"/>
      <c r="Y5" s="163"/>
      <c r="Z5" s="163"/>
      <c r="AA5" s="163"/>
      <c r="AB5" s="163"/>
      <c r="AC5" s="163"/>
      <c r="AD5" s="164">
        <f>IF(MIN(F5,J5,N5,R5,V5,Z5)&lt;&gt;0,MIN(F5,J5,N5,R5,V5,Z5),"")</f>
        <v>82</v>
      </c>
      <c r="AE5" s="164">
        <f>IF(MIN(H5,L5,P5,T5,X5,AB5)&lt;&gt;0,MIN(H5,L5,P5,T5,X5,AB5),"")</f>
        <v>101</v>
      </c>
      <c r="AF5" s="164"/>
      <c r="AG5" s="163"/>
      <c r="AH5" s="164"/>
      <c r="AI5" s="163"/>
      <c r="AJ5" s="162" t="str">
        <f>IF(AD5="","",IF(ISBLANK(AF5),"En cours",AD5+AF5))</f>
        <v>En cours</v>
      </c>
      <c r="AK5" s="162" t="str">
        <f>IF(AE5="","",IF(ISBLANK(AH5),"En cours",AE5+AH5))</f>
        <v>En cours</v>
      </c>
    </row>
    <row r="6" spans="2:37" ht="21" x14ac:dyDescent="0.35">
      <c r="B6" s="163" t="s">
        <v>183</v>
      </c>
      <c r="C6" s="163" t="s">
        <v>104</v>
      </c>
      <c r="D6" s="163">
        <v>13.7</v>
      </c>
      <c r="E6" s="163" t="s">
        <v>202</v>
      </c>
      <c r="F6" s="163">
        <v>71</v>
      </c>
      <c r="G6" s="163">
        <v>3</v>
      </c>
      <c r="H6" s="163">
        <v>87</v>
      </c>
      <c r="I6" s="163">
        <v>2</v>
      </c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>
        <v>75</v>
      </c>
      <c r="W6" s="163">
        <v>5</v>
      </c>
      <c r="X6" s="163">
        <v>91</v>
      </c>
      <c r="Y6" s="163">
        <v>4</v>
      </c>
      <c r="Z6" s="163"/>
      <c r="AA6" s="163"/>
      <c r="AB6" s="163"/>
      <c r="AC6" s="163"/>
      <c r="AD6" s="164">
        <f>IF(MIN(F6,J6,N6,R6,V6,Z6)&lt;&gt;0,MIN(F6,J6,N6,R6,V6,Z6),"")</f>
        <v>71</v>
      </c>
      <c r="AE6" s="164">
        <f>IF(MIN(H6,L6,P6,T6,X6,AB6)&lt;&gt;0,MIN(H6,L6,P6,T6,X6,AB6),"")</f>
        <v>87</v>
      </c>
      <c r="AF6" s="164">
        <v>80</v>
      </c>
      <c r="AG6" s="163">
        <v>9</v>
      </c>
      <c r="AH6" s="164">
        <v>96</v>
      </c>
      <c r="AI6" s="163">
        <v>8</v>
      </c>
      <c r="AJ6" s="162">
        <f>IF(AD6="","",IF(ISBLANK(AF6),"En cours",AD6+AF6))</f>
        <v>151</v>
      </c>
      <c r="AK6" s="162">
        <f>IF(AE6="","",IF(ISBLANK(AH6),"En cours",AE6+AH6))</f>
        <v>183</v>
      </c>
    </row>
    <row r="7" spans="2:37" ht="21" x14ac:dyDescent="0.35">
      <c r="B7" s="163" t="s">
        <v>195</v>
      </c>
      <c r="C7" s="163" t="s">
        <v>104</v>
      </c>
      <c r="D7" s="163">
        <v>20.2</v>
      </c>
      <c r="E7" s="163" t="s">
        <v>205</v>
      </c>
      <c r="F7" s="163">
        <v>81</v>
      </c>
      <c r="G7" s="163">
        <v>9</v>
      </c>
      <c r="H7" s="163">
        <v>100</v>
      </c>
      <c r="I7" s="163">
        <v>7</v>
      </c>
      <c r="J7" s="163"/>
      <c r="K7" s="163"/>
      <c r="L7" s="163"/>
      <c r="M7" s="163"/>
      <c r="N7" s="163">
        <v>80</v>
      </c>
      <c r="O7" s="163">
        <v>11</v>
      </c>
      <c r="P7" s="163">
        <v>99</v>
      </c>
      <c r="Q7" s="163">
        <v>8</v>
      </c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4">
        <f>IF(MIN(F7,J7,N7,R7,V7,Z7)&lt;&gt;0,MIN(F7,J7,N7,R7,V7,Z7),"")</f>
        <v>80</v>
      </c>
      <c r="AE7" s="164">
        <f>IF(MIN(H7,L7,P7,T7,X7,AB7)&lt;&gt;0,MIN(H7,L7,P7,T7,X7,AB7),"")</f>
        <v>99</v>
      </c>
      <c r="AF7" s="164">
        <v>78</v>
      </c>
      <c r="AG7" s="163">
        <v>9</v>
      </c>
      <c r="AH7" s="164">
        <v>97</v>
      </c>
      <c r="AI7" s="163">
        <v>5</v>
      </c>
      <c r="AJ7" s="162">
        <f>IF(AD7="","",IF(ISBLANK(AF7),"En cours",AD7+AF7))</f>
        <v>158</v>
      </c>
      <c r="AK7" s="162">
        <f>IF(AE7="","",IF(ISBLANK(AH7),"En cours",AE7+AH7))</f>
        <v>196</v>
      </c>
    </row>
    <row r="8" spans="2:37" ht="21" x14ac:dyDescent="0.35">
      <c r="B8" s="163" t="s">
        <v>279</v>
      </c>
      <c r="C8" s="163" t="s">
        <v>104</v>
      </c>
      <c r="D8" s="163">
        <v>31.5</v>
      </c>
      <c r="E8" s="163" t="s">
        <v>204</v>
      </c>
      <c r="F8" s="163"/>
      <c r="G8" s="163"/>
      <c r="H8" s="163"/>
      <c r="I8" s="163"/>
      <c r="J8" s="163"/>
      <c r="K8" s="163"/>
      <c r="L8" s="163"/>
      <c r="M8" s="163"/>
      <c r="N8" s="163">
        <v>73</v>
      </c>
      <c r="O8" s="163">
        <v>6</v>
      </c>
      <c r="P8" s="163">
        <v>101</v>
      </c>
      <c r="Q8" s="163">
        <v>10</v>
      </c>
      <c r="R8" s="163">
        <v>74</v>
      </c>
      <c r="S8" s="163">
        <v>1</v>
      </c>
      <c r="T8" s="163">
        <v>102</v>
      </c>
      <c r="U8" s="163">
        <v>2</v>
      </c>
      <c r="V8" s="163"/>
      <c r="W8" s="163"/>
      <c r="X8" s="163"/>
      <c r="Y8" s="163"/>
      <c r="Z8" s="163"/>
      <c r="AA8" s="163"/>
      <c r="AB8" s="163"/>
      <c r="AC8" s="163"/>
      <c r="AD8" s="164">
        <f>IF(MIN(F8,J8,N8,R8,V8,Z8)&lt;&gt;0,MIN(F8,J8,N8,R8,V8,Z8),"")</f>
        <v>73</v>
      </c>
      <c r="AE8" s="164">
        <f>IF(MIN(H8,L8,P8,T8,X8,AB8)&lt;&gt;0,MIN(H8,L8,P8,T8,X8,AB8),"")</f>
        <v>101</v>
      </c>
      <c r="AF8" s="164"/>
      <c r="AG8" s="163"/>
      <c r="AH8" s="164"/>
      <c r="AI8" s="163"/>
      <c r="AJ8" s="162" t="str">
        <f>IF(AD8="","",IF(ISBLANK(AF8),"En cours",AD8+AF8))</f>
        <v>En cours</v>
      </c>
      <c r="AK8" s="162" t="str">
        <f>IF(AE8="","",IF(ISBLANK(AH8),"En cours",AE8+AH8))</f>
        <v>En cours</v>
      </c>
    </row>
    <row r="9" spans="2:37" ht="21" x14ac:dyDescent="0.35">
      <c r="B9" s="163" t="s">
        <v>337</v>
      </c>
      <c r="C9" s="163" t="s">
        <v>104</v>
      </c>
      <c r="D9" s="163">
        <v>32.6</v>
      </c>
      <c r="E9" s="163" t="s">
        <v>204</v>
      </c>
      <c r="F9" s="163"/>
      <c r="G9" s="163"/>
      <c r="H9" s="163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4" t="str">
        <f>IF(MIN(F9,J9,N9,R9,V9,Z9)&lt;&gt;0,MIN(F9,J9,N9,R9,V9,Z9),"")</f>
        <v/>
      </c>
      <c r="AE9" s="164" t="str">
        <f>IF(MIN(H9,L9,P9,T9,X9,AB9)&lt;&gt;0,MIN(H9,L9,P9,T9,X9,AB9),"")</f>
        <v/>
      </c>
      <c r="AF9" s="164">
        <v>75</v>
      </c>
      <c r="AG9" s="163">
        <v>6</v>
      </c>
      <c r="AH9" s="164">
        <v>104</v>
      </c>
      <c r="AI9" s="163">
        <v>12</v>
      </c>
      <c r="AJ9" s="162" t="str">
        <f>IF(AD9="","",IF(ISBLANK(AF9),"En cours",AD9+AF9))</f>
        <v/>
      </c>
      <c r="AK9" s="162" t="str">
        <f>IF(AE9="","",IF(ISBLANK(AH9),"En cours",AE9+AH9))</f>
        <v/>
      </c>
    </row>
    <row r="10" spans="2:37" ht="21" x14ac:dyDescent="0.35">
      <c r="B10" s="163" t="s">
        <v>274</v>
      </c>
      <c r="C10" s="163" t="s">
        <v>104</v>
      </c>
      <c r="D10" s="163">
        <v>6.7</v>
      </c>
      <c r="E10" s="163" t="s">
        <v>203</v>
      </c>
      <c r="F10" s="163"/>
      <c r="G10" s="163"/>
      <c r="H10" s="163"/>
      <c r="I10" s="163"/>
      <c r="J10" s="163"/>
      <c r="K10" s="163"/>
      <c r="L10" s="163"/>
      <c r="M10" s="163"/>
      <c r="N10" s="163">
        <v>79</v>
      </c>
      <c r="O10" s="163">
        <v>5</v>
      </c>
      <c r="P10" s="163">
        <v>87</v>
      </c>
      <c r="Q10" s="163">
        <v>3</v>
      </c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4">
        <f>IF(MIN(F10,J10,N10,R10,V10,Z10)&lt;&gt;0,MIN(F10,J10,N10,R10,V10,Z10),"")</f>
        <v>79</v>
      </c>
      <c r="AE10" s="164">
        <f>IF(MIN(H10,L10,P10,T10,X10,AB10)&lt;&gt;0,MIN(H10,L10,P10,T10,X10,AB10),"")</f>
        <v>87</v>
      </c>
      <c r="AF10" s="164"/>
      <c r="AG10" s="163"/>
      <c r="AH10" s="164"/>
      <c r="AI10" s="163"/>
      <c r="AJ10" s="162" t="str">
        <f>IF(AD10="","",IF(ISBLANK(AF10),"En cours",AD10+AF10))</f>
        <v>En cours</v>
      </c>
      <c r="AK10" s="162" t="str">
        <f>IF(AE10="","",IF(ISBLANK(AH10),"En cours",AE10+AH10))</f>
        <v>En cours</v>
      </c>
    </row>
    <row r="11" spans="2:37" ht="21" x14ac:dyDescent="0.35">
      <c r="B11" s="163" t="s">
        <v>254</v>
      </c>
      <c r="C11" s="163" t="s">
        <v>104</v>
      </c>
      <c r="D11" s="163">
        <v>25.6</v>
      </c>
      <c r="E11" s="163" t="s">
        <v>205</v>
      </c>
      <c r="F11" s="163"/>
      <c r="G11" s="163"/>
      <c r="H11" s="163"/>
      <c r="I11" s="163"/>
      <c r="J11" s="163">
        <v>85</v>
      </c>
      <c r="K11" s="163">
        <v>4</v>
      </c>
      <c r="L11" s="163">
        <v>110</v>
      </c>
      <c r="M11" s="163">
        <v>4</v>
      </c>
      <c r="N11" s="163"/>
      <c r="O11" s="163"/>
      <c r="P11" s="163"/>
      <c r="Q11" s="163"/>
      <c r="R11" s="163"/>
      <c r="S11" s="163"/>
      <c r="T11" s="163"/>
      <c r="U11" s="163"/>
      <c r="V11" s="163">
        <v>81</v>
      </c>
      <c r="W11" s="163">
        <v>7</v>
      </c>
      <c r="X11" s="163">
        <v>106</v>
      </c>
      <c r="Y11" s="163">
        <v>7</v>
      </c>
      <c r="Z11" s="163"/>
      <c r="AA11" s="163"/>
      <c r="AB11" s="163"/>
      <c r="AC11" s="163"/>
      <c r="AD11" s="164">
        <f>IF(MIN(F11,J11,N11,R11,V11,Z11)&lt;&gt;0,MIN(F11,J11,N11,R11,V11,Z11),"")</f>
        <v>81</v>
      </c>
      <c r="AE11" s="164">
        <f>IF(MIN(H11,L11,P11,T11,X11,AB11)&lt;&gt;0,MIN(H11,L11,P11,T11,X11,AB11),"")</f>
        <v>106</v>
      </c>
      <c r="AF11" s="164"/>
      <c r="AG11" s="163"/>
      <c r="AH11" s="164"/>
      <c r="AI11" s="163"/>
      <c r="AJ11" s="162" t="str">
        <f>IF(AD11="","",IF(ISBLANK(AF11),"En cours",AD11+AF11))</f>
        <v>En cours</v>
      </c>
      <c r="AK11" s="162" t="str">
        <f>IF(AE11="","",IF(ISBLANK(AH11),"En cours",AE11+AH11))</f>
        <v>En cours</v>
      </c>
    </row>
    <row r="12" spans="2:37" ht="21" x14ac:dyDescent="0.35">
      <c r="B12" s="163" t="s">
        <v>276</v>
      </c>
      <c r="C12" s="163" t="s">
        <v>104</v>
      </c>
      <c r="D12" s="163">
        <v>22.4</v>
      </c>
      <c r="E12" s="163" t="s">
        <v>205</v>
      </c>
      <c r="F12" s="163"/>
      <c r="G12" s="163"/>
      <c r="H12" s="163"/>
      <c r="I12" s="163"/>
      <c r="J12" s="163"/>
      <c r="K12" s="163"/>
      <c r="L12" s="163"/>
      <c r="M12" s="163"/>
      <c r="N12" s="163">
        <v>64</v>
      </c>
      <c r="O12" s="163">
        <v>1</v>
      </c>
      <c r="P12" s="163">
        <v>85</v>
      </c>
      <c r="Q12" s="163">
        <v>1</v>
      </c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4">
        <f>IF(MIN(F12,J12,N12,R12,V12,Z12)&lt;&gt;0,MIN(F12,J12,N12,R12,V12,Z12),"")</f>
        <v>64</v>
      </c>
      <c r="AE12" s="164">
        <f>IF(MIN(H12,L12,P12,T12,X12,AB12)&lt;&gt;0,MIN(H12,L12,P12,T12,X12,AB12),"")</f>
        <v>85</v>
      </c>
      <c r="AF12" s="164">
        <v>75</v>
      </c>
      <c r="AG12" s="163">
        <v>7</v>
      </c>
      <c r="AH12" s="164">
        <v>96</v>
      </c>
      <c r="AI12" s="163">
        <v>4</v>
      </c>
      <c r="AJ12" s="162">
        <f>IF(AD12="","",IF(ISBLANK(AF12),"En cours",AD12+AF12))</f>
        <v>139</v>
      </c>
      <c r="AK12" s="162">
        <f>IF(AE12="","",IF(ISBLANK(AH12),"En cours",AE12+AH12))</f>
        <v>181</v>
      </c>
    </row>
    <row r="13" spans="2:37" ht="21" x14ac:dyDescent="0.35">
      <c r="B13" s="163" t="s">
        <v>251</v>
      </c>
      <c r="C13" s="163" t="s">
        <v>104</v>
      </c>
      <c r="D13" s="163">
        <v>16.899999999999999</v>
      </c>
      <c r="E13" s="163" t="s">
        <v>202</v>
      </c>
      <c r="F13" s="163"/>
      <c r="G13" s="163"/>
      <c r="H13" s="163"/>
      <c r="I13" s="163"/>
      <c r="J13" s="163">
        <v>78</v>
      </c>
      <c r="K13" s="163">
        <v>4</v>
      </c>
      <c r="L13" s="163">
        <v>97</v>
      </c>
      <c r="M13" s="163">
        <v>4</v>
      </c>
      <c r="N13" s="163"/>
      <c r="O13" s="163"/>
      <c r="P13" s="163"/>
      <c r="Q13" s="163"/>
      <c r="R13" s="163">
        <v>79</v>
      </c>
      <c r="S13" s="163">
        <v>2</v>
      </c>
      <c r="T13" s="163">
        <v>98</v>
      </c>
      <c r="U13" s="163">
        <v>2</v>
      </c>
      <c r="V13" s="163">
        <v>74</v>
      </c>
      <c r="W13" s="163">
        <v>4</v>
      </c>
      <c r="X13" s="163">
        <v>93</v>
      </c>
      <c r="Y13" s="163">
        <v>5</v>
      </c>
      <c r="Z13" s="163">
        <v>76</v>
      </c>
      <c r="AA13" s="163">
        <v>3</v>
      </c>
      <c r="AB13" s="163">
        <v>95</v>
      </c>
      <c r="AC13" s="163">
        <v>3</v>
      </c>
      <c r="AD13" s="164">
        <f>IF(MIN(F13,J13,N13,R13,V13,Z13)&lt;&gt;0,MIN(F13,J13,N13,R13,V13,Z13),"")</f>
        <v>74</v>
      </c>
      <c r="AE13" s="164">
        <f>IF(MIN(H13,L13,P13,T13,X13,AB13)&lt;&gt;0,MIN(H13,L13,P13,T13,X13,AB13),"")</f>
        <v>93</v>
      </c>
      <c r="AF13" s="164">
        <v>75</v>
      </c>
      <c r="AG13" s="163">
        <v>5</v>
      </c>
      <c r="AH13" s="164">
        <v>94</v>
      </c>
      <c r="AI13" s="163">
        <v>6</v>
      </c>
      <c r="AJ13" s="162">
        <f>IF(AD13="","",IF(ISBLANK(AF13),"En cours",AD13+AF13))</f>
        <v>149</v>
      </c>
      <c r="AK13" s="162">
        <f>IF(AE13="","",IF(ISBLANK(AH13),"En cours",AE13+AH13))</f>
        <v>187</v>
      </c>
    </row>
    <row r="14" spans="2:37" ht="21" x14ac:dyDescent="0.35">
      <c r="B14" s="163" t="s">
        <v>313</v>
      </c>
      <c r="C14" s="163" t="s">
        <v>104</v>
      </c>
      <c r="D14" s="163">
        <v>9.3000000000000007</v>
      </c>
      <c r="E14" s="163" t="s">
        <v>203</v>
      </c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>
        <v>74</v>
      </c>
      <c r="S14" s="163">
        <v>1</v>
      </c>
      <c r="T14" s="163">
        <v>85</v>
      </c>
      <c r="U14" s="163">
        <v>1</v>
      </c>
      <c r="V14" s="163">
        <v>72</v>
      </c>
      <c r="W14" s="163">
        <v>3</v>
      </c>
      <c r="X14" s="163">
        <v>83</v>
      </c>
      <c r="Y14" s="163">
        <v>1</v>
      </c>
      <c r="Z14" s="163">
        <v>75</v>
      </c>
      <c r="AA14" s="163">
        <v>2</v>
      </c>
      <c r="AB14" s="163">
        <v>86</v>
      </c>
      <c r="AC14" s="163">
        <v>1</v>
      </c>
      <c r="AD14" s="164">
        <f>IF(MIN(F14,J14,N14,R14,V14,Z14)&lt;&gt;0,MIN(F14,J14,N14,R14,V14,Z14),"")</f>
        <v>72</v>
      </c>
      <c r="AE14" s="164">
        <f>IF(MIN(H14,L14,P14,T14,X14,AB14)&lt;&gt;0,MIN(H14,L14,P14,T14,X14,AB14),"")</f>
        <v>83</v>
      </c>
      <c r="AF14" s="164">
        <v>69</v>
      </c>
      <c r="AG14" s="163">
        <v>2</v>
      </c>
      <c r="AH14" s="164">
        <v>80</v>
      </c>
      <c r="AI14" s="163">
        <v>1</v>
      </c>
      <c r="AJ14" s="162">
        <f>IF(AD14="","",IF(ISBLANK(AF14),"En cours",AD14+AF14))</f>
        <v>141</v>
      </c>
      <c r="AK14" s="162">
        <f>IF(AE14="","",IF(ISBLANK(AH14),"En cours",AE14+AH14))</f>
        <v>163</v>
      </c>
    </row>
    <row r="15" spans="2:37" ht="21" x14ac:dyDescent="0.35">
      <c r="B15" s="163" t="s">
        <v>252</v>
      </c>
      <c r="C15" s="163" t="s">
        <v>104</v>
      </c>
      <c r="D15" s="163">
        <v>31.7</v>
      </c>
      <c r="E15" s="163" t="s">
        <v>204</v>
      </c>
      <c r="F15" s="163"/>
      <c r="G15" s="163"/>
      <c r="H15" s="163"/>
      <c r="I15" s="163"/>
      <c r="J15" s="163">
        <v>68</v>
      </c>
      <c r="K15" s="163">
        <v>1</v>
      </c>
      <c r="L15" s="163">
        <v>96</v>
      </c>
      <c r="M15" s="163">
        <v>1</v>
      </c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4">
        <f>IF(MIN(F15,J15,N15,R15,V15,Z15)&lt;&gt;0,MIN(F15,J15,N15,R15,V15,Z15),"")</f>
        <v>68</v>
      </c>
      <c r="AE15" s="164">
        <f>IF(MIN(H15,L15,P15,T15,X15,AB15)&lt;&gt;0,MIN(H15,L15,P15,T15,X15,AB15),"")</f>
        <v>96</v>
      </c>
      <c r="AF15" s="164"/>
      <c r="AG15" s="163"/>
      <c r="AH15" s="164"/>
      <c r="AI15" s="163"/>
      <c r="AJ15" s="162" t="str">
        <f>IF(AD15="","",IF(ISBLANK(AF15),"En cours",AD15+AF15))</f>
        <v>En cours</v>
      </c>
      <c r="AK15" s="162" t="str">
        <f>IF(AE15="","",IF(ISBLANK(AH15),"En cours",AE15+AH15))</f>
        <v>En cours</v>
      </c>
    </row>
    <row r="16" spans="2:37" ht="21" x14ac:dyDescent="0.35">
      <c r="B16" s="163" t="s">
        <v>196</v>
      </c>
      <c r="C16" s="163" t="s">
        <v>104</v>
      </c>
      <c r="D16" s="163">
        <v>23.9</v>
      </c>
      <c r="E16" s="163" t="s">
        <v>205</v>
      </c>
      <c r="F16" s="163">
        <v>77</v>
      </c>
      <c r="G16" s="163">
        <v>7</v>
      </c>
      <c r="H16" s="163">
        <v>100</v>
      </c>
      <c r="I16" s="163">
        <v>8</v>
      </c>
      <c r="J16" s="163"/>
      <c r="K16" s="163"/>
      <c r="L16" s="163"/>
      <c r="M16" s="163"/>
      <c r="N16" s="163">
        <v>75</v>
      </c>
      <c r="O16" s="163">
        <v>9</v>
      </c>
      <c r="P16" s="163">
        <v>98</v>
      </c>
      <c r="Q16" s="163">
        <v>7</v>
      </c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4">
        <f>IF(MIN(F16,J16,N16,R16,V16,Z16)&lt;&gt;0,MIN(F16,J16,N16,R16,V16,Z16),"")</f>
        <v>75</v>
      </c>
      <c r="AE16" s="164">
        <f>IF(MIN(H16,L16,P16,T16,X16,AB16)&lt;&gt;0,MIN(H16,L16,P16,T16,X16,AB16),"")</f>
        <v>98</v>
      </c>
      <c r="AF16" s="164">
        <v>80</v>
      </c>
      <c r="AG16" s="163">
        <v>13</v>
      </c>
      <c r="AH16" s="164">
        <v>103</v>
      </c>
      <c r="AI16" s="163">
        <v>11</v>
      </c>
      <c r="AJ16" s="162">
        <f>IF(AD16="","",IF(ISBLANK(AF16),"En cours",AD16+AF16))</f>
        <v>155</v>
      </c>
      <c r="AK16" s="162">
        <f>IF(AE16="","",IF(ISBLANK(AH16),"En cours",AE16+AH16))</f>
        <v>201</v>
      </c>
    </row>
    <row r="17" spans="2:37" ht="21" x14ac:dyDescent="0.35">
      <c r="B17" s="163" t="s">
        <v>198</v>
      </c>
      <c r="C17" s="163" t="s">
        <v>104</v>
      </c>
      <c r="D17" s="163">
        <v>33</v>
      </c>
      <c r="E17" s="163" t="s">
        <v>204</v>
      </c>
      <c r="F17" s="163">
        <v>80</v>
      </c>
      <c r="G17" s="163">
        <v>8</v>
      </c>
      <c r="H17" s="163">
        <v>110</v>
      </c>
      <c r="I17" s="163">
        <v>10</v>
      </c>
      <c r="J17" s="163"/>
      <c r="K17" s="163"/>
      <c r="L17" s="163"/>
      <c r="M17" s="163"/>
      <c r="N17" s="163">
        <v>86</v>
      </c>
      <c r="O17" s="163">
        <v>12</v>
      </c>
      <c r="P17" s="163">
        <v>116</v>
      </c>
      <c r="Q17" s="163">
        <v>12</v>
      </c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4">
        <f>IF(MIN(F17,J17,N17,R17,V17,Z17)&lt;&gt;0,MIN(F17,J17,N17,R17,V17,Z17),"")</f>
        <v>80</v>
      </c>
      <c r="AE17" s="164">
        <f>IF(MIN(H17,L17,P17,T17,X17,AB17)&lt;&gt;0,MIN(H17,L17,P17,T17,X17,AB17),"")</f>
        <v>110</v>
      </c>
      <c r="AF17" s="164">
        <v>82</v>
      </c>
      <c r="AG17" s="163">
        <v>14</v>
      </c>
      <c r="AH17" s="164">
        <v>112</v>
      </c>
      <c r="AI17" s="163">
        <v>14</v>
      </c>
      <c r="AJ17" s="162">
        <f>IF(AD17="","",IF(ISBLANK(AF17),"En cours",AD17+AF17))</f>
        <v>162</v>
      </c>
      <c r="AK17" s="162">
        <f>IF(AE17="","",IF(ISBLANK(AH17),"En cours",AE17+AH17))</f>
        <v>222</v>
      </c>
    </row>
    <row r="18" spans="2:37" ht="21" x14ac:dyDescent="0.35">
      <c r="B18" s="163" t="s">
        <v>278</v>
      </c>
      <c r="C18" s="163" t="s">
        <v>104</v>
      </c>
      <c r="D18" s="163">
        <v>24.3</v>
      </c>
      <c r="E18" s="163" t="s">
        <v>205</v>
      </c>
      <c r="F18" s="163"/>
      <c r="G18" s="163"/>
      <c r="H18" s="163"/>
      <c r="I18" s="163"/>
      <c r="J18" s="163"/>
      <c r="K18" s="163"/>
      <c r="L18" s="163"/>
      <c r="M18" s="163"/>
      <c r="N18" s="163">
        <v>75</v>
      </c>
      <c r="O18" s="163">
        <v>8</v>
      </c>
      <c r="P18" s="163">
        <v>99</v>
      </c>
      <c r="Q18" s="163">
        <v>9</v>
      </c>
      <c r="R18" s="163"/>
      <c r="S18" s="163"/>
      <c r="T18" s="163"/>
      <c r="U18" s="163"/>
      <c r="V18" s="163">
        <v>71</v>
      </c>
      <c r="W18" s="163">
        <v>4</v>
      </c>
      <c r="X18" s="163">
        <v>95</v>
      </c>
      <c r="Y18" s="163">
        <v>4</v>
      </c>
      <c r="Z18" s="163"/>
      <c r="AA18" s="163"/>
      <c r="AB18" s="163"/>
      <c r="AC18" s="163"/>
      <c r="AD18" s="164">
        <f>IF(MIN(F18,J18,N18,R18,V18,Z18)&lt;&gt;0,MIN(F18,J18,N18,R18,V18,Z18),"")</f>
        <v>71</v>
      </c>
      <c r="AE18" s="164">
        <f>IF(MIN(H18,L18,P18,T18,X18,AB18)&lt;&gt;0,MIN(H18,L18,P18,T18,X18,AB18),"")</f>
        <v>95</v>
      </c>
      <c r="AF18" s="164">
        <v>78</v>
      </c>
      <c r="AG18" s="163">
        <v>10</v>
      </c>
      <c r="AH18" s="164">
        <v>102</v>
      </c>
      <c r="AI18" s="163">
        <v>10</v>
      </c>
      <c r="AJ18" s="162">
        <f>IF(AD18="","",IF(ISBLANK(AF18),"En cours",AD18+AF18))</f>
        <v>149</v>
      </c>
      <c r="AK18" s="162">
        <f>IF(AE18="","",IF(ISBLANK(AH18),"En cours",AE18+AH18))</f>
        <v>197</v>
      </c>
    </row>
    <row r="19" spans="2:37" ht="21" x14ac:dyDescent="0.35">
      <c r="B19" s="163" t="s">
        <v>197</v>
      </c>
      <c r="C19" s="163" t="s">
        <v>104</v>
      </c>
      <c r="D19" s="163">
        <v>27.2</v>
      </c>
      <c r="E19" s="163" t="s">
        <v>204</v>
      </c>
      <c r="F19" s="163">
        <v>83</v>
      </c>
      <c r="G19" s="163">
        <v>10</v>
      </c>
      <c r="H19" s="163">
        <v>107</v>
      </c>
      <c r="I19" s="163">
        <v>9</v>
      </c>
      <c r="J19" s="163"/>
      <c r="K19" s="163"/>
      <c r="L19" s="163"/>
      <c r="M19" s="163"/>
      <c r="N19" s="163">
        <v>71</v>
      </c>
      <c r="O19" s="163">
        <v>3</v>
      </c>
      <c r="P19" s="163">
        <v>95</v>
      </c>
      <c r="Q19" s="163">
        <v>3</v>
      </c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4">
        <f>IF(MIN(F19,J19,N19,R19,V19,Z19)&lt;&gt;0,MIN(F19,J19,N19,R19,V19,Z19),"")</f>
        <v>71</v>
      </c>
      <c r="AE19" s="164">
        <f>IF(MIN(H19,L19,P19,T19,X19,AB19)&lt;&gt;0,MIN(H19,L19,P19,T19,X19,AB19),"")</f>
        <v>95</v>
      </c>
      <c r="AF19" s="164"/>
      <c r="AG19" s="163"/>
      <c r="AH19" s="164"/>
      <c r="AI19" s="163"/>
      <c r="AJ19" s="162" t="str">
        <f>IF(AD19="","",IF(ISBLANK(AF19),"En cours",AD19+AF19))</f>
        <v>En cours</v>
      </c>
      <c r="AK19" s="162" t="str">
        <f>IF(AE19="","",IF(ISBLANK(AH19),"En cours",AE19+AH19))</f>
        <v>En cours</v>
      </c>
    </row>
    <row r="20" spans="2:37" ht="21" x14ac:dyDescent="0.35">
      <c r="B20" s="163" t="s">
        <v>253</v>
      </c>
      <c r="C20" s="163" t="s">
        <v>104</v>
      </c>
      <c r="D20" s="163">
        <v>32.1</v>
      </c>
      <c r="E20" s="163" t="s">
        <v>204</v>
      </c>
      <c r="F20" s="163"/>
      <c r="G20" s="163"/>
      <c r="H20" s="163"/>
      <c r="I20" s="163"/>
      <c r="J20" s="163">
        <v>71</v>
      </c>
      <c r="K20" s="163">
        <v>2</v>
      </c>
      <c r="L20" s="163">
        <v>100</v>
      </c>
      <c r="M20" s="163">
        <v>3</v>
      </c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4">
        <f>IF(MIN(F20,J20,N20,R20,V20,Z20)&lt;&gt;0,MIN(F20,J20,N20,R20,V20,Z20),"")</f>
        <v>71</v>
      </c>
      <c r="AE20" s="164">
        <f>IF(MIN(H20,L20,P20,T20,X20,AB20)&lt;&gt;0,MIN(H20,L20,P20,T20,X20,AB20),"")</f>
        <v>100</v>
      </c>
      <c r="AF20" s="164">
        <v>69</v>
      </c>
      <c r="AG20" s="163">
        <v>3</v>
      </c>
      <c r="AH20" s="164">
        <v>98</v>
      </c>
      <c r="AI20" s="163">
        <v>6</v>
      </c>
      <c r="AJ20" s="162">
        <f>IF(AD20="","",IF(ISBLANK(AF20),"En cours",AD20+AF20))</f>
        <v>140</v>
      </c>
      <c r="AK20" s="162">
        <f>IF(AE20="","",IF(ISBLANK(AH20),"En cours",AE20+AH20))</f>
        <v>198</v>
      </c>
    </row>
    <row r="21" spans="2:37" ht="21" x14ac:dyDescent="0.35">
      <c r="B21" s="163" t="s">
        <v>192</v>
      </c>
      <c r="C21" s="163" t="s">
        <v>104</v>
      </c>
      <c r="D21" s="163">
        <v>26.9</v>
      </c>
      <c r="E21" s="163" t="s">
        <v>204</v>
      </c>
      <c r="F21" s="163">
        <v>73</v>
      </c>
      <c r="G21" s="163">
        <v>3</v>
      </c>
      <c r="H21" s="163">
        <v>96</v>
      </c>
      <c r="I21" s="163">
        <v>4</v>
      </c>
      <c r="J21" s="163"/>
      <c r="K21" s="163"/>
      <c r="L21" s="163"/>
      <c r="M21" s="163"/>
      <c r="N21" s="163">
        <v>72</v>
      </c>
      <c r="O21" s="163">
        <v>5</v>
      </c>
      <c r="P21" s="163">
        <v>95</v>
      </c>
      <c r="Q21" s="163">
        <v>4</v>
      </c>
      <c r="R21" s="163"/>
      <c r="S21" s="163"/>
      <c r="T21" s="163"/>
      <c r="U21" s="163"/>
      <c r="V21" s="163">
        <v>73</v>
      </c>
      <c r="W21" s="163">
        <v>6</v>
      </c>
      <c r="X21" s="163">
        <v>96</v>
      </c>
      <c r="Y21" s="163">
        <v>5</v>
      </c>
      <c r="Z21" s="163"/>
      <c r="AA21" s="163"/>
      <c r="AB21" s="163"/>
      <c r="AC21" s="163"/>
      <c r="AD21" s="164">
        <f>IF(MIN(F21,J21,N21,R21,V21,Z21)&lt;&gt;0,MIN(F21,J21,N21,R21,V21,Z21),"")</f>
        <v>72</v>
      </c>
      <c r="AE21" s="164">
        <f>IF(MIN(H21,L21,P21,T21,X21,AB21)&lt;&gt;0,MIN(H21,L21,P21,T21,X21,AB21),"")</f>
        <v>95</v>
      </c>
      <c r="AF21" s="164">
        <v>77</v>
      </c>
      <c r="AG21" s="163">
        <v>8</v>
      </c>
      <c r="AH21" s="164">
        <v>100</v>
      </c>
      <c r="AI21" s="163">
        <v>9</v>
      </c>
      <c r="AJ21" s="162">
        <f>IF(AD21="","",IF(ISBLANK(AF21),"En cours",AD21+AF21))</f>
        <v>149</v>
      </c>
      <c r="AK21" s="162">
        <f>IF(AE21="","",IF(ISBLANK(AH21),"En cours",AE21+AH21))</f>
        <v>195</v>
      </c>
    </row>
    <row r="22" spans="2:37" ht="21" x14ac:dyDescent="0.35">
      <c r="B22" s="163" t="s">
        <v>185</v>
      </c>
      <c r="C22" s="163" t="s">
        <v>104</v>
      </c>
      <c r="D22" s="163">
        <v>14.7</v>
      </c>
      <c r="E22" s="163" t="s">
        <v>202</v>
      </c>
      <c r="F22" s="163">
        <v>76</v>
      </c>
      <c r="G22" s="163">
        <v>4</v>
      </c>
      <c r="H22" s="163">
        <v>93</v>
      </c>
      <c r="I22" s="163">
        <v>4</v>
      </c>
      <c r="J22" s="163"/>
      <c r="K22" s="163"/>
      <c r="L22" s="163"/>
      <c r="M22" s="163"/>
      <c r="N22" s="163">
        <v>82</v>
      </c>
      <c r="O22" s="163">
        <v>6</v>
      </c>
      <c r="P22" s="163">
        <v>99</v>
      </c>
      <c r="Q22" s="163">
        <v>6</v>
      </c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4">
        <f>IF(MIN(F22,J22,N22,R22,V22,Z22)&lt;&gt;0,MIN(F22,J22,N22,R22,V22,Z22),"")</f>
        <v>76</v>
      </c>
      <c r="AE22" s="164">
        <f>IF(MIN(H22,L22,P22,T22,X22,AB22)&lt;&gt;0,MIN(H22,L22,P22,T22,X22,AB22),"")</f>
        <v>93</v>
      </c>
      <c r="AF22" s="164">
        <v>79</v>
      </c>
      <c r="AG22" s="163">
        <v>8</v>
      </c>
      <c r="AH22" s="164">
        <v>96</v>
      </c>
      <c r="AI22" s="163">
        <v>9</v>
      </c>
      <c r="AJ22" s="162">
        <f>IF(AD22="","",IF(ISBLANK(AF22),"En cours",AD22+AF22))</f>
        <v>155</v>
      </c>
      <c r="AK22" s="162">
        <f>IF(AE22="","",IF(ISBLANK(AH22),"En cours",AE22+AH22))</f>
        <v>189</v>
      </c>
    </row>
    <row r="23" spans="2:37" ht="21" x14ac:dyDescent="0.35">
      <c r="B23" s="163" t="s">
        <v>187</v>
      </c>
      <c r="C23" s="163" t="s">
        <v>104</v>
      </c>
      <c r="D23" s="163">
        <v>13.3</v>
      </c>
      <c r="E23" s="163" t="s">
        <v>202</v>
      </c>
      <c r="F23" s="163">
        <v>83</v>
      </c>
      <c r="G23" s="163">
        <v>6</v>
      </c>
      <c r="H23" s="163">
        <v>98</v>
      </c>
      <c r="I23" s="163">
        <v>6</v>
      </c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4">
        <f>IF(MIN(F23,J23,N23,R23,V23,Z23)&lt;&gt;0,MIN(F23,J23,N23,R23,V23,Z23),"")</f>
        <v>83</v>
      </c>
      <c r="AE23" s="164">
        <f>IF(MIN(H23,L23,P23,T23,X23,AB23)&lt;&gt;0,MIN(H23,L23,P23,T23,X23,AB23),"")</f>
        <v>98</v>
      </c>
      <c r="AF23" s="164">
        <v>79</v>
      </c>
      <c r="AG23" s="163">
        <v>7</v>
      </c>
      <c r="AH23" s="164">
        <v>94</v>
      </c>
      <c r="AI23" s="163">
        <v>5</v>
      </c>
      <c r="AJ23" s="162">
        <f>IF(AD23="","",IF(ISBLANK(AF23),"En cours",AD23+AF23))</f>
        <v>162</v>
      </c>
      <c r="AK23" s="162">
        <f>IF(AE23="","",IF(ISBLANK(AH23),"En cours",AE23+AH23))</f>
        <v>192</v>
      </c>
    </row>
    <row r="24" spans="2:37" ht="21" x14ac:dyDescent="0.35">
      <c r="B24" s="163" t="s">
        <v>193</v>
      </c>
      <c r="C24" s="163" t="s">
        <v>104</v>
      </c>
      <c r="D24" s="163">
        <v>22.1</v>
      </c>
      <c r="E24" s="163" t="s">
        <v>205</v>
      </c>
      <c r="F24" s="163">
        <v>76</v>
      </c>
      <c r="G24" s="163">
        <v>6</v>
      </c>
      <c r="H24" s="163">
        <v>97</v>
      </c>
      <c r="I24" s="163">
        <v>5</v>
      </c>
      <c r="J24" s="163"/>
      <c r="K24" s="163"/>
      <c r="L24" s="163"/>
      <c r="M24" s="163"/>
      <c r="N24" s="163">
        <v>73</v>
      </c>
      <c r="O24" s="163">
        <v>7</v>
      </c>
      <c r="P24" s="163">
        <v>94</v>
      </c>
      <c r="Q24" s="163">
        <v>2</v>
      </c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4">
        <f>IF(MIN(F24,J24,N24,R24,V24,Z24)&lt;&gt;0,MIN(F24,J24,N24,R24,V24,Z24),"")</f>
        <v>73</v>
      </c>
      <c r="AE24" s="164">
        <f>IF(MIN(H24,L24,P24,T24,X24,AB24)&lt;&gt;0,MIN(H24,L24,P24,T24,X24,AB24),"")</f>
        <v>94</v>
      </c>
      <c r="AF24" s="164">
        <v>72</v>
      </c>
      <c r="AG24" s="163">
        <v>4</v>
      </c>
      <c r="AH24" s="164">
        <v>93</v>
      </c>
      <c r="AI24" s="163">
        <v>2</v>
      </c>
      <c r="AJ24" s="162">
        <f>IF(AD24="","",IF(ISBLANK(AF24),"En cours",AD24+AF24))</f>
        <v>145</v>
      </c>
      <c r="AK24" s="162">
        <f>IF(AE24="","",IF(ISBLANK(AH24),"En cours",AE24+AH24))</f>
        <v>187</v>
      </c>
    </row>
    <row r="25" spans="2:37" ht="21" x14ac:dyDescent="0.35">
      <c r="B25" s="163" t="s">
        <v>190</v>
      </c>
      <c r="C25" s="163" t="s">
        <v>104</v>
      </c>
      <c r="D25" s="163">
        <v>29</v>
      </c>
      <c r="E25" s="163" t="s">
        <v>204</v>
      </c>
      <c r="F25" s="163">
        <v>64</v>
      </c>
      <c r="G25" s="163">
        <v>2</v>
      </c>
      <c r="H25" s="163">
        <v>90</v>
      </c>
      <c r="I25" s="163">
        <v>2</v>
      </c>
      <c r="J25" s="163">
        <v>73</v>
      </c>
      <c r="K25" s="163">
        <v>3</v>
      </c>
      <c r="L25" s="163">
        <v>99</v>
      </c>
      <c r="M25" s="163">
        <v>2</v>
      </c>
      <c r="N25" s="163">
        <v>71</v>
      </c>
      <c r="O25" s="163">
        <v>4</v>
      </c>
      <c r="P25" s="163">
        <v>97</v>
      </c>
      <c r="Q25" s="163">
        <v>6</v>
      </c>
      <c r="R25" s="163"/>
      <c r="S25" s="163"/>
      <c r="T25" s="163"/>
      <c r="U25" s="163"/>
      <c r="V25" s="163">
        <v>67</v>
      </c>
      <c r="W25" s="163">
        <v>3</v>
      </c>
      <c r="X25" s="163">
        <v>93</v>
      </c>
      <c r="Y25" s="163">
        <v>3</v>
      </c>
      <c r="Z25" s="163">
        <v>69</v>
      </c>
      <c r="AA25" s="163">
        <v>1</v>
      </c>
      <c r="AB25" s="163">
        <v>95</v>
      </c>
      <c r="AC25" s="163">
        <v>1</v>
      </c>
      <c r="AD25" s="164">
        <f>IF(MIN(F25,J25,N25,R25,V25,Z25)&lt;&gt;0,MIN(F25,J25,N25,R25,V25,Z25),"")</f>
        <v>64</v>
      </c>
      <c r="AE25" s="164">
        <f>IF(MIN(H25,L25,P25,T25,X25,AB25)&lt;&gt;0,MIN(H25,L25,P25,T25,X25,AB25),"")</f>
        <v>90</v>
      </c>
      <c r="AF25" s="164">
        <v>73</v>
      </c>
      <c r="AG25" s="163">
        <v>5</v>
      </c>
      <c r="AH25" s="164">
        <v>99</v>
      </c>
      <c r="AI25" s="163">
        <v>7</v>
      </c>
      <c r="AJ25" s="162">
        <f>IF(AD25="","",IF(ISBLANK(AF25),"En cours",AD25+AF25))</f>
        <v>137</v>
      </c>
      <c r="AK25" s="162">
        <f>IF(AE25="","",IF(ISBLANK(AH25),"En cours",AE25+AH25))</f>
        <v>189</v>
      </c>
    </row>
    <row r="26" spans="2:37" ht="21" x14ac:dyDescent="0.35">
      <c r="B26" s="163" t="s">
        <v>277</v>
      </c>
      <c r="C26" s="163" t="s">
        <v>104</v>
      </c>
      <c r="D26" s="163">
        <v>29.2</v>
      </c>
      <c r="E26" s="163" t="s">
        <v>204</v>
      </c>
      <c r="F26" s="163"/>
      <c r="G26" s="163"/>
      <c r="H26" s="163"/>
      <c r="I26" s="163"/>
      <c r="J26" s="163"/>
      <c r="K26" s="163"/>
      <c r="L26" s="163"/>
      <c r="M26" s="163"/>
      <c r="N26" s="163">
        <v>70</v>
      </c>
      <c r="O26" s="163">
        <v>2</v>
      </c>
      <c r="P26" s="163">
        <v>96</v>
      </c>
      <c r="Q26" s="163">
        <v>5</v>
      </c>
      <c r="R26" s="163"/>
      <c r="S26" s="163"/>
      <c r="T26" s="163"/>
      <c r="U26" s="163"/>
      <c r="V26" s="163">
        <v>72</v>
      </c>
      <c r="W26" s="163">
        <v>5</v>
      </c>
      <c r="X26" s="163">
        <v>98</v>
      </c>
      <c r="Y26" s="163">
        <v>6</v>
      </c>
      <c r="Z26" s="163"/>
      <c r="AA26" s="163"/>
      <c r="AB26" s="163"/>
      <c r="AC26" s="163"/>
      <c r="AD26" s="164">
        <f>IF(MIN(F26,J26,N26,R26,V26,Z26)&lt;&gt;0,MIN(F26,J26,N26,R26,V26,Z26),"")</f>
        <v>70</v>
      </c>
      <c r="AE26" s="164">
        <f>IF(MIN(H26,L26,P26,T26,X26,AB26)&lt;&gt;0,MIN(H26,L26,P26,T26,X26,AB26),"")</f>
        <v>96</v>
      </c>
      <c r="AF26" s="164">
        <v>79</v>
      </c>
      <c r="AG26" s="163">
        <v>11</v>
      </c>
      <c r="AH26" s="164">
        <v>105</v>
      </c>
      <c r="AI26" s="163">
        <v>13</v>
      </c>
      <c r="AJ26" s="162">
        <f>IF(AD26="","",IF(ISBLANK(AF26),"En cours",AD26+AF26))</f>
        <v>149</v>
      </c>
      <c r="AK26" s="162">
        <f>IF(AE26="","",IF(ISBLANK(AH26),"En cours",AE26+AH26))</f>
        <v>201</v>
      </c>
    </row>
    <row r="27" spans="2:37" ht="21" x14ac:dyDescent="0.35">
      <c r="B27" s="163" t="s">
        <v>182</v>
      </c>
      <c r="C27" s="163" t="s">
        <v>104</v>
      </c>
      <c r="D27" s="163">
        <v>8.1999999999999993</v>
      </c>
      <c r="E27" s="163" t="s">
        <v>203</v>
      </c>
      <c r="F27" s="163">
        <v>70</v>
      </c>
      <c r="G27" s="163">
        <v>2</v>
      </c>
      <c r="H27" s="163">
        <v>80</v>
      </c>
      <c r="I27" s="163">
        <v>1</v>
      </c>
      <c r="J27" s="163">
        <v>71</v>
      </c>
      <c r="K27" s="163">
        <v>2</v>
      </c>
      <c r="L27" s="163">
        <v>81</v>
      </c>
      <c r="M27" s="163">
        <v>1</v>
      </c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4">
        <f>IF(MIN(F27,J27,N27,R27,V27,Z27)&lt;&gt;0,MIN(F27,J27,N27,R27,V27,Z27),"")</f>
        <v>70</v>
      </c>
      <c r="AE27" s="164">
        <f>IF(MIN(H27,L27,P27,T27,X27,AB27)&lt;&gt;0,MIN(H27,L27,P27,T27,X27,AB27),"")</f>
        <v>80</v>
      </c>
      <c r="AF27" s="164">
        <v>71</v>
      </c>
      <c r="AG27" s="163">
        <v>3</v>
      </c>
      <c r="AH27" s="164">
        <v>81</v>
      </c>
      <c r="AI27" s="163">
        <v>2</v>
      </c>
      <c r="AJ27" s="162">
        <f>IF(AD27="","",IF(ISBLANK(AF27),"En cours",AD27+AF27))</f>
        <v>141</v>
      </c>
      <c r="AK27" s="162">
        <f>IF(AE27="","",IF(ISBLANK(AH27),"En cours",AE27+AH27))</f>
        <v>161</v>
      </c>
    </row>
    <row r="28" spans="2:37" ht="21" x14ac:dyDescent="0.35">
      <c r="B28" s="163" t="s">
        <v>275</v>
      </c>
      <c r="C28" s="163" t="s">
        <v>104</v>
      </c>
      <c r="D28" s="163">
        <v>16.3</v>
      </c>
      <c r="E28" s="163" t="s">
        <v>202</v>
      </c>
      <c r="F28" s="163"/>
      <c r="G28" s="163"/>
      <c r="H28" s="163"/>
      <c r="I28" s="163"/>
      <c r="J28" s="163"/>
      <c r="K28" s="163"/>
      <c r="L28" s="163"/>
      <c r="M28" s="163"/>
      <c r="N28" s="163">
        <v>71</v>
      </c>
      <c r="O28" s="163">
        <v>4</v>
      </c>
      <c r="P28" s="163">
        <v>90</v>
      </c>
      <c r="Q28" s="163">
        <v>5</v>
      </c>
      <c r="R28" s="163"/>
      <c r="S28" s="163"/>
      <c r="T28" s="163"/>
      <c r="U28" s="163"/>
      <c r="V28" s="163">
        <v>68</v>
      </c>
      <c r="W28" s="163">
        <v>2</v>
      </c>
      <c r="X28" s="163">
        <v>87</v>
      </c>
      <c r="Y28" s="163">
        <v>3</v>
      </c>
      <c r="Z28" s="163"/>
      <c r="AA28" s="163"/>
      <c r="AB28" s="163"/>
      <c r="AC28" s="163"/>
      <c r="AD28" s="164">
        <f>IF(MIN(F28,J28,N28,R28,V28,Z28)&lt;&gt;0,MIN(F28,J28,N28,R28,V28,Z28),"")</f>
        <v>68</v>
      </c>
      <c r="AE28" s="164">
        <f>IF(MIN(H28,L28,P28,T28,X28,AB28)&lt;&gt;0,MIN(H28,L28,P28,T28,X28,AB28),"")</f>
        <v>87</v>
      </c>
      <c r="AF28" s="164">
        <v>72</v>
      </c>
      <c r="AG28" s="163">
        <v>4</v>
      </c>
      <c r="AH28" s="164">
        <v>91</v>
      </c>
      <c r="AI28" s="163">
        <v>4</v>
      </c>
      <c r="AJ28" s="162">
        <f>IF(AD28="","",IF(ISBLANK(AF28),"En cours",AD28+AF28))</f>
        <v>140</v>
      </c>
      <c r="AK28" s="162">
        <f>IF(AE28="","",IF(ISBLANK(AH28),"En cours",AE28+AH28))</f>
        <v>178</v>
      </c>
    </row>
    <row r="29" spans="2:37" ht="21" x14ac:dyDescent="0.35">
      <c r="B29" s="163" t="s">
        <v>189</v>
      </c>
      <c r="C29" s="163" t="s">
        <v>104</v>
      </c>
      <c r="D29" s="163">
        <v>34.799999999999997</v>
      </c>
      <c r="E29" s="163" t="s">
        <v>204</v>
      </c>
      <c r="F29" s="163">
        <v>56</v>
      </c>
      <c r="G29" s="163">
        <v>1</v>
      </c>
      <c r="H29" s="163">
        <v>88</v>
      </c>
      <c r="I29" s="163">
        <v>1</v>
      </c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>
        <v>52</v>
      </c>
      <c r="W29" s="163">
        <v>1</v>
      </c>
      <c r="X29" s="163">
        <v>84</v>
      </c>
      <c r="Y29" s="163">
        <v>1</v>
      </c>
      <c r="Z29" s="163"/>
      <c r="AA29" s="163"/>
      <c r="AB29" s="163"/>
      <c r="AC29" s="163"/>
      <c r="AD29" s="164">
        <f>IF(MIN(F29,J29,N29,R29,V29,Z29)&lt;&gt;0,MIN(F29,J29,N29,R29,V29,Z29),"")</f>
        <v>52</v>
      </c>
      <c r="AE29" s="164">
        <f>IF(MIN(H29,L29,P29,T29,X29,AB29)&lt;&gt;0,MIN(H29,L29,P29,T29,X29,AB29),"")</f>
        <v>84</v>
      </c>
      <c r="AF29" s="164">
        <v>53</v>
      </c>
      <c r="AG29" s="163">
        <v>1</v>
      </c>
      <c r="AH29" s="164">
        <v>85</v>
      </c>
      <c r="AI29" s="163">
        <v>1</v>
      </c>
      <c r="AJ29" s="162">
        <f>IF(AD29="","",IF(ISBLANK(AF29),"En cours",AD29+AF29))</f>
        <v>105</v>
      </c>
      <c r="AK29" s="162">
        <f>IF(AE29="","",IF(ISBLANK(AH29),"En cours",AE29+AH29))</f>
        <v>169</v>
      </c>
    </row>
    <row r="30" spans="2:37" ht="21" x14ac:dyDescent="0.35">
      <c r="B30" s="163" t="s">
        <v>184</v>
      </c>
      <c r="C30" s="163" t="s">
        <v>104</v>
      </c>
      <c r="D30" s="163">
        <v>18.2</v>
      </c>
      <c r="E30" s="163" t="s">
        <v>202</v>
      </c>
      <c r="F30" s="163">
        <v>69</v>
      </c>
      <c r="G30" s="163">
        <v>1</v>
      </c>
      <c r="H30" s="163">
        <v>90</v>
      </c>
      <c r="I30" s="163">
        <v>3</v>
      </c>
      <c r="J30" s="163"/>
      <c r="K30" s="163"/>
      <c r="L30" s="163"/>
      <c r="M30" s="163"/>
      <c r="N30" s="163">
        <v>64</v>
      </c>
      <c r="O30" s="163">
        <v>1</v>
      </c>
      <c r="P30" s="163">
        <v>85</v>
      </c>
      <c r="Q30" s="163">
        <v>2</v>
      </c>
      <c r="R30" s="163"/>
      <c r="S30" s="163"/>
      <c r="T30" s="163"/>
      <c r="U30" s="163"/>
      <c r="V30" s="163">
        <v>64</v>
      </c>
      <c r="W30" s="163">
        <v>1</v>
      </c>
      <c r="X30" s="163">
        <v>85</v>
      </c>
      <c r="Y30" s="163">
        <v>2</v>
      </c>
      <c r="Z30" s="163"/>
      <c r="AA30" s="163"/>
      <c r="AB30" s="163"/>
      <c r="AC30" s="163"/>
      <c r="AD30" s="164">
        <f>IF(MIN(F30,J30,N30,R30,V30,Z30)&lt;&gt;0,MIN(F30,J30,N30,R30,V30,Z30),"")</f>
        <v>64</v>
      </c>
      <c r="AE30" s="164">
        <f>IF(MIN(H30,L30,P30,T30,X30,AB30)&lt;&gt;0,MIN(H30,L30,P30,T30,X30,AB30),"")</f>
        <v>85</v>
      </c>
      <c r="AF30" s="164">
        <v>67</v>
      </c>
      <c r="AG30" s="163">
        <v>1</v>
      </c>
      <c r="AH30" s="164">
        <v>88</v>
      </c>
      <c r="AI30" s="163">
        <v>3</v>
      </c>
      <c r="AJ30" s="162">
        <f>IF(AD30="","",IF(ISBLANK(AF30),"En cours",AD30+AF30))</f>
        <v>131</v>
      </c>
      <c r="AK30" s="162">
        <f>IF(AE30="","",IF(ISBLANK(AH30),"En cours",AE30+AH30))</f>
        <v>173</v>
      </c>
    </row>
    <row r="31" spans="2:37" ht="21" x14ac:dyDescent="0.35">
      <c r="B31" s="163" t="s">
        <v>191</v>
      </c>
      <c r="C31" s="163" t="s">
        <v>104</v>
      </c>
      <c r="D31" s="163">
        <v>20.399999999999999</v>
      </c>
      <c r="E31" s="163" t="s">
        <v>205</v>
      </c>
      <c r="F31" s="163">
        <v>74</v>
      </c>
      <c r="G31" s="163">
        <v>4</v>
      </c>
      <c r="H31" s="163">
        <v>93</v>
      </c>
      <c r="I31" s="163">
        <v>3</v>
      </c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4">
        <f>IF(MIN(F31,J31,N31,R31,V31,Z31)&lt;&gt;0,MIN(F31,J31,N31,R31,V31,Z31),"")</f>
        <v>74</v>
      </c>
      <c r="AE31" s="164">
        <f>IF(MIN(H31,L31,P31,T31,X31,AB31)&lt;&gt;0,MIN(H31,L31,P31,T31,X31,AB31),"")</f>
        <v>93</v>
      </c>
      <c r="AF31" s="164">
        <v>80</v>
      </c>
      <c r="AG31" s="163">
        <v>12</v>
      </c>
      <c r="AH31" s="164">
        <v>99</v>
      </c>
      <c r="AI31" s="163">
        <v>8</v>
      </c>
      <c r="AJ31" s="162">
        <f>IF(AD31="","",IF(ISBLANK(AF31),"En cours",AD31+AF31))</f>
        <v>154</v>
      </c>
      <c r="AK31" s="162">
        <f>IF(AE31="","",IF(ISBLANK(AH31),"En cours",AE31+AH31))</f>
        <v>192</v>
      </c>
    </row>
    <row r="32" spans="2:37" ht="21" x14ac:dyDescent="0.35">
      <c r="B32" s="163" t="s">
        <v>194</v>
      </c>
      <c r="C32" s="163" t="s">
        <v>104</v>
      </c>
      <c r="D32" s="163">
        <v>28.8</v>
      </c>
      <c r="E32" s="163" t="s">
        <v>204</v>
      </c>
      <c r="F32" s="163">
        <v>75</v>
      </c>
      <c r="G32" s="163">
        <v>5</v>
      </c>
      <c r="H32" s="163">
        <v>100</v>
      </c>
      <c r="I32" s="163">
        <v>6</v>
      </c>
      <c r="J32" s="163"/>
      <c r="K32" s="163"/>
      <c r="L32" s="163"/>
      <c r="M32" s="163"/>
      <c r="N32" s="163">
        <v>78</v>
      </c>
      <c r="O32" s="163">
        <v>10</v>
      </c>
      <c r="P32" s="163">
        <v>103</v>
      </c>
      <c r="Q32" s="163">
        <v>11</v>
      </c>
      <c r="R32" s="163">
        <v>77</v>
      </c>
      <c r="S32" s="163">
        <v>2</v>
      </c>
      <c r="T32" s="163">
        <v>102</v>
      </c>
      <c r="U32" s="163">
        <v>3</v>
      </c>
      <c r="V32" s="163">
        <v>65</v>
      </c>
      <c r="W32" s="163">
        <v>2</v>
      </c>
      <c r="X32" s="163">
        <v>90</v>
      </c>
      <c r="Y32" s="163">
        <v>2</v>
      </c>
      <c r="Z32" s="163"/>
      <c r="AA32" s="163"/>
      <c r="AB32" s="163"/>
      <c r="AC32" s="163"/>
      <c r="AD32" s="164">
        <f>IF(MIN(F32,J32,N32,R32,V32,Z32)&lt;&gt;0,MIN(F32,J32,N32,R32,V32,Z32),"")</f>
        <v>65</v>
      </c>
      <c r="AE32" s="164">
        <f>IF(MIN(H32,L32,P32,T32,X32,AB32)&lt;&gt;0,MIN(H32,L32,P32,T32,X32,AB32),"")</f>
        <v>90</v>
      </c>
      <c r="AF32" s="164">
        <v>69</v>
      </c>
      <c r="AG32" s="163">
        <v>2</v>
      </c>
      <c r="AH32" s="164">
        <v>94</v>
      </c>
      <c r="AI32" s="163">
        <v>3</v>
      </c>
      <c r="AJ32" s="162">
        <f>IF(AD32="","",IF(ISBLANK(AF32),"En cours",AD32+AF32))</f>
        <v>134</v>
      </c>
      <c r="AK32" s="162">
        <f>IF(AE32="","",IF(ISBLANK(AH32),"En cours",AE32+AH32))</f>
        <v>184</v>
      </c>
    </row>
    <row r="33" spans="2:37" ht="21" x14ac:dyDescent="0.35">
      <c r="B33" s="163" t="s">
        <v>186</v>
      </c>
      <c r="C33" s="163" t="s">
        <v>104</v>
      </c>
      <c r="D33" s="163">
        <v>14.3</v>
      </c>
      <c r="E33" s="163" t="s">
        <v>202</v>
      </c>
      <c r="F33" s="163">
        <v>80</v>
      </c>
      <c r="G33" s="163">
        <v>5</v>
      </c>
      <c r="H33" s="163">
        <v>96</v>
      </c>
      <c r="I33" s="163">
        <v>5</v>
      </c>
      <c r="J33" s="163">
        <v>71</v>
      </c>
      <c r="K33" s="163">
        <v>3</v>
      </c>
      <c r="L33" s="163">
        <v>87</v>
      </c>
      <c r="M33" s="163">
        <v>2</v>
      </c>
      <c r="N33" s="163">
        <v>69</v>
      </c>
      <c r="O33" s="163">
        <v>2</v>
      </c>
      <c r="P33" s="163">
        <v>85</v>
      </c>
      <c r="Q33" s="163">
        <v>1</v>
      </c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4">
        <f>IF(MIN(F33,J33,N33,R33,V33,Z33)&lt;&gt;0,MIN(F33,J33,N33,R33,V33,Z33),"")</f>
        <v>69</v>
      </c>
      <c r="AE33" s="164">
        <f>IF(MIN(H33,L33,P33,T33,X33,AB33)&lt;&gt;0,MIN(H33,L33,P33,T33,X33,AB33),"")</f>
        <v>85</v>
      </c>
      <c r="AF33" s="164"/>
      <c r="AG33" s="163"/>
      <c r="AH33" s="164"/>
      <c r="AI33" s="163"/>
      <c r="AJ33" s="162" t="str">
        <f>IF(AD33="","",IF(ISBLANK(AF33),"En cours",AD33+AF33))</f>
        <v>En cours</v>
      </c>
      <c r="AK33" s="162" t="str">
        <f>IF(AE33="","",IF(ISBLANK(AH33),"En cours",AE33+AH33))</f>
        <v>En cours</v>
      </c>
    </row>
    <row r="34" spans="2:37" ht="21" x14ac:dyDescent="0.35"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4" t="str">
        <f>IF(MIN(F34,J34,N34,R34,V34,Z34)&lt;&gt;0,MIN(F34,J34,N34,R34,V34,Z34),"")</f>
        <v/>
      </c>
      <c r="AE34" s="164" t="str">
        <f>IF(MIN(H34,L34,P34,T34,X34,AB34)&lt;&gt;0,MIN(H34,L34,P34,T34,X34,AB34),"")</f>
        <v/>
      </c>
      <c r="AF34" s="164"/>
      <c r="AG34" s="163"/>
      <c r="AH34" s="164"/>
      <c r="AI34" s="163"/>
      <c r="AJ34" s="162" t="str">
        <f>IF(AD34="","",IF(ISBLANK(AF34),"En cours",AD34+AF34))</f>
        <v/>
      </c>
      <c r="AK34" s="162" t="str">
        <f>IF(AE34="","",IF(ISBLANK(AH34),"En cours",AE34+AH34))</f>
        <v/>
      </c>
    </row>
    <row r="35" spans="2:37" ht="21" x14ac:dyDescent="0.35">
      <c r="B35" s="163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4" t="str">
        <f>IF(MIN(F35,J35,N35,R35,V35,Z35)&lt;&gt;0,MIN(F35,J35,N35,R35,V35,Z35),"")</f>
        <v/>
      </c>
      <c r="AE35" s="164" t="str">
        <f>IF(MIN(H35,L35,P35,T35,X35,AB35)&lt;&gt;0,MIN(H35,L35,P35,T35,X35,AB35),"")</f>
        <v/>
      </c>
      <c r="AF35" s="164"/>
      <c r="AG35" s="163"/>
      <c r="AH35" s="164"/>
      <c r="AI35" s="163"/>
      <c r="AJ35" s="162" t="str">
        <f>IF(AD35="","",IF(ISBLANK(AF35),"En cours",AD35+AF35))</f>
        <v/>
      </c>
      <c r="AK35" s="162" t="str">
        <f>IF(AE35="","",IF(ISBLANK(AH35),"En cours",AE35+AH35))</f>
        <v/>
      </c>
    </row>
    <row r="36" spans="2:37" ht="21" x14ac:dyDescent="0.35">
      <c r="B36" s="163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4" t="str">
        <f>IF(MIN(F36,J36,N36,R36,V36,Z36)&lt;&gt;0,MIN(F36,J36,N36,R36,V36,Z36),"")</f>
        <v/>
      </c>
      <c r="AE36" s="164" t="str">
        <f>IF(MIN(H36,L36,P36,T36,X36,AB36)&lt;&gt;0,MIN(H36,L36,P36,T36,X36,AB36),"")</f>
        <v/>
      </c>
      <c r="AF36" s="164"/>
      <c r="AG36" s="163"/>
      <c r="AH36" s="164"/>
      <c r="AI36" s="163"/>
      <c r="AJ36" s="162" t="str">
        <f>IF(AD36="","",IF(ISBLANK(AF36),"En cours",AD36+AF36))</f>
        <v/>
      </c>
      <c r="AK36" s="162" t="str">
        <f>IF(AE36="","",IF(ISBLANK(AH36),"En cours",AE36+AH36))</f>
        <v/>
      </c>
    </row>
    <row r="37" spans="2:37" ht="21" x14ac:dyDescent="0.35"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4" t="str">
        <f>IF(MIN(F37,J37,N37,R37,V37,Z37)&lt;&gt;0,MIN(F37,J37,N37,R37,V37,Z37),"")</f>
        <v/>
      </c>
      <c r="AE37" s="164" t="str">
        <f>IF(MIN(H37,L37,P37,T37,X37,AB37)&lt;&gt;0,MIN(H37,L37,P37,T37,X37,AB37),"")</f>
        <v/>
      </c>
      <c r="AF37" s="164"/>
      <c r="AG37" s="163"/>
      <c r="AH37" s="164"/>
      <c r="AI37" s="163"/>
      <c r="AJ37" s="162" t="str">
        <f>IF(AD37="","",IF(ISBLANK(AF37),"En cours",AD37+AF37))</f>
        <v/>
      </c>
      <c r="AK37" s="162" t="str">
        <f>IF(AE37="","",IF(ISBLANK(AH37),"En cours",AE37+AH37))</f>
        <v/>
      </c>
    </row>
    <row r="38" spans="2:37" ht="21" x14ac:dyDescent="0.35"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4" t="str">
        <f>IF(MIN(F38,J38,N38,R38,V38,Z38)&lt;&gt;0,MIN(F38,J38,N38,R38,V38,Z38),"")</f>
        <v/>
      </c>
      <c r="AE38" s="164" t="str">
        <f>IF(MIN(H38,L38,P38,T38,X38,AB38)&lt;&gt;0,MIN(H38,L38,P38,T38,X38,AB38),"")</f>
        <v/>
      </c>
      <c r="AF38" s="164"/>
      <c r="AG38" s="163"/>
      <c r="AH38" s="164"/>
      <c r="AI38" s="163"/>
      <c r="AJ38" s="162" t="str">
        <f>IF(AD38="","",IF(ISBLANK(AF38),"En cours",AD38+AF38))</f>
        <v/>
      </c>
      <c r="AK38" s="162" t="str">
        <f>IF(AE38="","",IF(ISBLANK(AH38),"En cours",AE38+AH38))</f>
        <v/>
      </c>
    </row>
    <row r="39" spans="2:37" ht="21" x14ac:dyDescent="0.35"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4" t="str">
        <f>IF(MIN(F39,J39,N39,R39,V39,Z39)&lt;&gt;0,MIN(F39,J39,N39,R39,V39,Z39),"")</f>
        <v/>
      </c>
      <c r="AE39" s="164" t="str">
        <f>IF(MIN(H39,L39,P39,T39,X39,AB39)&lt;&gt;0,MIN(H39,L39,P39,T39,X39,AB39),"")</f>
        <v/>
      </c>
      <c r="AF39" s="164"/>
      <c r="AG39" s="163"/>
      <c r="AH39" s="164"/>
      <c r="AI39" s="163"/>
      <c r="AJ39" s="162" t="str">
        <f>IF(AD39="","",IF(ISBLANK(AF39),"En cours",AD39+AF39))</f>
        <v/>
      </c>
      <c r="AK39" s="162" t="str">
        <f>IF(AE39="","",IF(ISBLANK(AH39),"En cours",AE39+AH39))</f>
        <v/>
      </c>
    </row>
    <row r="40" spans="2:37" ht="21" x14ac:dyDescent="0.35">
      <c r="B40" s="163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4" t="str">
        <f>IF(MIN(F40,J40,N40,R40,V40,Z40)&lt;&gt;0,MIN(F40,J40,N40,R40,V40,Z40),"")</f>
        <v/>
      </c>
      <c r="AE40" s="164" t="str">
        <f>IF(MIN(H40,L40,P40,T40,X40,AB40)&lt;&gt;0,MIN(H40,L40,P40,T40,X40,AB40),"")</f>
        <v/>
      </c>
      <c r="AF40" s="164"/>
      <c r="AG40" s="163"/>
      <c r="AH40" s="164"/>
      <c r="AI40" s="163"/>
      <c r="AJ40" s="162" t="str">
        <f>IF(AD40="","",IF(ISBLANK(AF40),"En cours",AD40+AF40))</f>
        <v/>
      </c>
      <c r="AK40" s="162" t="str">
        <f>IF(AE40="","",IF(ISBLANK(AH40),"En cours",AE40+AH40))</f>
        <v/>
      </c>
    </row>
    <row r="41" spans="2:37" ht="21" x14ac:dyDescent="0.35">
      <c r="B41" s="163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4" t="str">
        <f>IF(MIN(F41,J41,N41,R41,V41,Z41)&lt;&gt;0,MIN(F41,J41,N41,R41,V41,Z41),"")</f>
        <v/>
      </c>
      <c r="AE41" s="164" t="str">
        <f>IF(MIN(H41,L41,P41,T41,X41,AB41)&lt;&gt;0,MIN(H41,L41,P41,T41,X41,AB41),"")</f>
        <v/>
      </c>
      <c r="AF41" s="164"/>
      <c r="AG41" s="163"/>
      <c r="AH41" s="164"/>
      <c r="AI41" s="163"/>
      <c r="AJ41" s="162" t="str">
        <f>IF(AD41="","",IF(ISBLANK(AF41),"En cours",AD41+AF41))</f>
        <v/>
      </c>
      <c r="AK41" s="162" t="str">
        <f>IF(AE41="","",IF(ISBLANK(AH41),"En cours",AE41+AH41))</f>
        <v/>
      </c>
    </row>
    <row r="42" spans="2:37" ht="21" x14ac:dyDescent="0.35"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4" t="str">
        <f>IF(MIN(F42,J42,N42,R42,V42,Z42)&lt;&gt;0,MIN(F42,J42,N42,R42,V42,Z42),"")</f>
        <v/>
      </c>
      <c r="AE42" s="164" t="str">
        <f>IF(MIN(H42,L42,P42,T42,X42,AB42)&lt;&gt;0,MIN(H42,L42,P42,T42,X42,AB42),"")</f>
        <v/>
      </c>
      <c r="AF42" s="164"/>
      <c r="AG42" s="163"/>
      <c r="AH42" s="164"/>
      <c r="AI42" s="163"/>
      <c r="AJ42" s="162" t="str">
        <f>IF(AD42="","",IF(ISBLANK(AF42),"En cours",AD42+AF42))</f>
        <v/>
      </c>
      <c r="AK42" s="162" t="str">
        <f>IF(AE42="","",IF(ISBLANK(AH42),"En cours",AE42+AH42))</f>
        <v/>
      </c>
    </row>
    <row r="43" spans="2:37" ht="21" x14ac:dyDescent="0.35"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 t="str">
        <f>IF(MIN(F43,J43,N43,R43,V43,Z43)&lt;&gt;0,MIN(F43,J43,N43,R43,V43,Z43),"")</f>
        <v/>
      </c>
      <c r="AE43" s="164" t="str">
        <f>IF(MIN(H43,L43,P43,T43,X43,AB43)&lt;&gt;0,MIN(H43,L43,P43,T43,X43,AB43),"")</f>
        <v/>
      </c>
      <c r="AF43" s="164"/>
      <c r="AG43" s="163"/>
      <c r="AH43" s="164"/>
      <c r="AI43" s="163"/>
      <c r="AJ43" s="162" t="str">
        <f>IF(AD43="","",IF(ISBLANK(AF43),"En cours",AD43+AF43))</f>
        <v/>
      </c>
      <c r="AK43" s="162" t="str">
        <f>IF(AE43="","",IF(ISBLANK(AH43),"En cours",AE43+AH43))</f>
        <v/>
      </c>
    </row>
    <row r="44" spans="2:37" ht="21" x14ac:dyDescent="0.35">
      <c r="B44" s="163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4" t="str">
        <f>IF(MIN(F44,J44,N44,R44,V44,Z44)&lt;&gt;0,MIN(F44,J44,N44,R44,V44,Z44),"")</f>
        <v/>
      </c>
      <c r="AE44" s="164" t="str">
        <f>IF(MIN(H44,L44,P44,T44,X44,AB44)&lt;&gt;0,MIN(H44,L44,P44,T44,X44,AB44),"")</f>
        <v/>
      </c>
      <c r="AF44" s="164"/>
      <c r="AG44" s="163"/>
      <c r="AH44" s="164"/>
      <c r="AI44" s="163"/>
      <c r="AJ44" s="162" t="str">
        <f>IF(AD44="","",IF(ISBLANK(AF44),"En cours",AD44+AF44))</f>
        <v/>
      </c>
      <c r="AK44" s="162" t="str">
        <f>IF(AE44="","",IF(ISBLANK(AH44),"En cours",AE44+AH44))</f>
        <v/>
      </c>
    </row>
    <row r="45" spans="2:37" ht="21" x14ac:dyDescent="0.35"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4" t="str">
        <f>IF(MIN(F45,J45,N45,R45,V45,Z45)&lt;&gt;0,MIN(F45,J45,N45,R45,V45,Z45),"")</f>
        <v/>
      </c>
      <c r="AE45" s="164" t="str">
        <f>IF(MIN(H45,L45,P45,T45,X45,AB45)&lt;&gt;0,MIN(H45,L45,P45,T45,X45,AB45),"")</f>
        <v/>
      </c>
      <c r="AF45" s="164"/>
      <c r="AG45" s="163"/>
      <c r="AH45" s="164"/>
      <c r="AI45" s="163"/>
      <c r="AJ45" s="162" t="str">
        <f>IF(AD45="","",IF(ISBLANK(AF45),"En cours",AD45+AF45))</f>
        <v/>
      </c>
      <c r="AK45" s="162" t="str">
        <f>IF(AE45="","",IF(ISBLANK(AH45),"En cours",AE45+AH45))</f>
        <v/>
      </c>
    </row>
    <row r="46" spans="2:37" ht="21" x14ac:dyDescent="0.35"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4" t="str">
        <f>IF(MIN(F46,J46,N46,R46,V46,Z46)&lt;&gt;0,MIN(F46,J46,N46,R46,V46,Z46),"")</f>
        <v/>
      </c>
      <c r="AE46" s="164" t="str">
        <f>IF(MIN(H46,L46,P46,T46,X46,AB46)&lt;&gt;0,MIN(H46,L46,P46,T46,X46,AB46),"")</f>
        <v/>
      </c>
      <c r="AF46" s="164"/>
      <c r="AG46" s="163"/>
      <c r="AH46" s="164"/>
      <c r="AI46" s="163"/>
      <c r="AJ46" s="162" t="str">
        <f>IF(AD46="","",IF(ISBLANK(AF46),"En cours",AD46+AF46))</f>
        <v/>
      </c>
      <c r="AK46" s="162" t="str">
        <f>IF(AE46="","",IF(ISBLANK(AH46),"En cours",AE46+AH46))</f>
        <v/>
      </c>
    </row>
    <row r="47" spans="2:37" ht="21" x14ac:dyDescent="0.35"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4" t="str">
        <f>IF(MIN(F47,J47,N47,R47,V47,Z47)&lt;&gt;0,MIN(F47,J47,N47,R47,V47,Z47),"")</f>
        <v/>
      </c>
      <c r="AE47" s="164" t="str">
        <f>IF(MIN(H47,L47,P47,T47,X47,AB47)&lt;&gt;0,MIN(H47,L47,P47,T47,X47,AB47),"")</f>
        <v/>
      </c>
      <c r="AF47" s="164"/>
      <c r="AG47" s="163"/>
      <c r="AH47" s="164"/>
      <c r="AI47" s="163"/>
      <c r="AJ47" s="162" t="str">
        <f>IF(AD47="","",IF(ISBLANK(AF47),"En cours",AD47+AF47))</f>
        <v/>
      </c>
      <c r="AK47" s="162" t="str">
        <f>IF(AE47="","",IF(ISBLANK(AH47),"En cours",AE47+AH47))</f>
        <v/>
      </c>
    </row>
    <row r="48" spans="2:37" ht="21" x14ac:dyDescent="0.35">
      <c r="B48" s="163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4" t="str">
        <f>IF(MIN(F48,J48,N48,R48,V48,Z48)&lt;&gt;0,MIN(F48,J48,N48,R48,V48,Z48),"")</f>
        <v/>
      </c>
      <c r="AE48" s="164" t="str">
        <f>IF(MIN(H48,L48,P48,T48,X48,AB48)&lt;&gt;0,MIN(H48,L48,P48,T48,X48,AB48),"")</f>
        <v/>
      </c>
      <c r="AF48" s="164"/>
      <c r="AG48" s="163"/>
      <c r="AH48" s="164"/>
      <c r="AI48" s="163"/>
      <c r="AJ48" s="162" t="str">
        <f>IF(AD48="","",IF(ISBLANK(AF48),"En cours",AD48+AF48))</f>
        <v/>
      </c>
      <c r="AK48" s="162" t="str">
        <f>IF(AE48="","",IF(ISBLANK(AH48),"En cours",AE48+AH48))</f>
        <v/>
      </c>
    </row>
    <row r="49" spans="2:37" ht="21" x14ac:dyDescent="0.35"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4" t="str">
        <f>IF(MIN(F49,J49,N49,R49,V49,Z49)&lt;&gt;0,MIN(F49,J49,N49,R49,V49,Z49),"")</f>
        <v/>
      </c>
      <c r="AE49" s="164" t="str">
        <f>IF(MIN(H49,L49,P49,T49,X49,AB49)&lt;&gt;0,MIN(H49,L49,P49,T49,X49,AB49),"")</f>
        <v/>
      </c>
      <c r="AF49" s="164"/>
      <c r="AG49" s="163"/>
      <c r="AH49" s="164"/>
      <c r="AI49" s="163"/>
      <c r="AJ49" s="162" t="str">
        <f>IF(AD49="","",IF(ISBLANK(AF49),"En cours",AD49+AF49))</f>
        <v/>
      </c>
      <c r="AK49" s="162" t="str">
        <f>IF(AE49="","",IF(ISBLANK(AH49),"En cours",AE49+AH49))</f>
        <v/>
      </c>
    </row>
    <row r="50" spans="2:37" ht="21" x14ac:dyDescent="0.35">
      <c r="B50" s="163"/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4" t="str">
        <f>IF(MIN(F50,J50,N50,R50,V50,Z50)&lt;&gt;0,MIN(F50,J50,N50,R50,V50,Z50),"")</f>
        <v/>
      </c>
      <c r="AE50" s="164" t="str">
        <f>IF(MIN(H50,L50,P50,T50,X50,AB50)&lt;&gt;0,MIN(H50,L50,P50,T50,X50,AB50),"")</f>
        <v/>
      </c>
      <c r="AF50" s="164"/>
      <c r="AG50" s="163"/>
      <c r="AH50" s="164"/>
      <c r="AI50" s="163"/>
      <c r="AJ50" s="162" t="str">
        <f>IF(AD50="","",IF(ISBLANK(AF50),"En cours",AD50+AF50))</f>
        <v/>
      </c>
      <c r="AK50" s="162" t="str">
        <f>IF(AE50="","",IF(ISBLANK(AH50),"En cours",AE50+AH50))</f>
        <v/>
      </c>
    </row>
    <row r="51" spans="2:37" ht="21" x14ac:dyDescent="0.35">
      <c r="B51" s="163"/>
      <c r="C51" s="163"/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4" t="str">
        <f>IF(MIN(F51,J51,N51,R51,V51,Z51)&lt;&gt;0,MIN(F51,J51,N51,R51,V51,Z51),"")</f>
        <v/>
      </c>
      <c r="AE51" s="164" t="str">
        <f>IF(MIN(H51,L51,P51,T51,X51,AB51)&lt;&gt;0,MIN(H51,L51,P51,T51,X51,AB51),"")</f>
        <v/>
      </c>
      <c r="AF51" s="164"/>
      <c r="AG51" s="163"/>
      <c r="AH51" s="164"/>
      <c r="AI51" s="163"/>
      <c r="AJ51" s="162" t="str">
        <f>IF(AD51="","",IF(ISBLANK(AF51),"En cours",AD51+AF51))</f>
        <v/>
      </c>
      <c r="AK51" s="162" t="str">
        <f>IF(AE51="","",IF(ISBLANK(AH51),"En cours",AE51+AH51))</f>
        <v/>
      </c>
    </row>
    <row r="52" spans="2:37" ht="21" x14ac:dyDescent="0.35"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4" t="str">
        <f>IF(MIN(F52,J52,N52,R52,V52,Z52)&lt;&gt;0,MIN(F52,J52,N52,R52,V52,Z52),"")</f>
        <v/>
      </c>
      <c r="AE52" s="164" t="str">
        <f>IF(MIN(H52,L52,P52,T52,X52,AB52)&lt;&gt;0,MIN(H52,L52,P52,T52,X52,AB52),"")</f>
        <v/>
      </c>
      <c r="AF52" s="164"/>
      <c r="AG52" s="163"/>
      <c r="AH52" s="164"/>
      <c r="AI52" s="163"/>
      <c r="AJ52" s="162" t="str">
        <f>IF(AD52="","",IF(ISBLANK(AF52),"En cours",AD52+AF52))</f>
        <v/>
      </c>
      <c r="AK52" s="162" t="str">
        <f>IF(AE52="","",IF(ISBLANK(AH52),"En cours",AE52+AH52))</f>
        <v/>
      </c>
    </row>
    <row r="53" spans="2:37" ht="21" x14ac:dyDescent="0.35"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4" t="str">
        <f>IF(MIN(F53,J53,N53,R53,V53,Z53)&lt;&gt;0,MIN(F53,J53,N53,R53,V53,Z53),"")</f>
        <v/>
      </c>
      <c r="AE53" s="164" t="str">
        <f>IF(MIN(H53,L53,P53,T53,X53,AB53)&lt;&gt;0,MIN(H53,L53,P53,T53,X53,AB53),"")</f>
        <v/>
      </c>
      <c r="AF53" s="164"/>
      <c r="AG53" s="163"/>
      <c r="AH53" s="164"/>
      <c r="AI53" s="163"/>
      <c r="AJ53" s="162" t="str">
        <f>IF(AD53="","",IF(ISBLANK(AF53),"En cours",AD53+AF53))</f>
        <v/>
      </c>
      <c r="AK53" s="162" t="str">
        <f>IF(AE53="","",IF(ISBLANK(AH53),"En cours",AE53+AH53))</f>
        <v/>
      </c>
    </row>
    <row r="54" spans="2:37" ht="21" x14ac:dyDescent="0.35"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4" t="str">
        <f>IF(MIN(F54,J54,N54,R54,V54,Z54)&lt;&gt;0,MIN(F54,J54,N54,R54,V54,Z54),"")</f>
        <v/>
      </c>
      <c r="AE54" s="164" t="str">
        <f>IF(MIN(H54,L54,P54,T54,X54,AB54)&lt;&gt;0,MIN(H54,L54,P54,T54,X54,AB54),"")</f>
        <v/>
      </c>
      <c r="AF54" s="164"/>
      <c r="AG54" s="163"/>
      <c r="AH54" s="164"/>
      <c r="AI54" s="163"/>
      <c r="AJ54" s="162" t="str">
        <f>IF(AD54="","",IF(ISBLANK(AF54),"En cours",AD54+AF54))</f>
        <v/>
      </c>
      <c r="AK54" s="162" t="str">
        <f>IF(AE54="","",IF(ISBLANK(AH54),"En cours",AE54+AH54))</f>
        <v/>
      </c>
    </row>
    <row r="55" spans="2:37" ht="21" x14ac:dyDescent="0.35">
      <c r="B55" s="16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4" t="str">
        <f>IF(MIN(F55,J55,N55,R55,V55,Z55)&lt;&gt;0,MIN(F55,J55,N55,R55,V55,Z55),"")</f>
        <v/>
      </c>
      <c r="AE55" s="164" t="str">
        <f>IF(MIN(H55,L55,P55,T55,X55,AB55)&lt;&gt;0,MIN(H55,L55,P55,T55,X55,AB55),"")</f>
        <v/>
      </c>
      <c r="AF55" s="164"/>
      <c r="AG55" s="163"/>
      <c r="AH55" s="164"/>
      <c r="AI55" s="163"/>
      <c r="AJ55" s="162" t="str">
        <f>IF(AD55="","",IF(ISBLANK(AF55),"En cours",AD55+AF55))</f>
        <v/>
      </c>
      <c r="AK55" s="162" t="str">
        <f>IF(AE55="","",IF(ISBLANK(AH55),"En cours",AE55+AH55))</f>
        <v/>
      </c>
    </row>
    <row r="56" spans="2:37" ht="21" x14ac:dyDescent="0.35">
      <c r="B56" s="163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4" t="str">
        <f>IF(MIN(F56,J56,N56,R56,V56,Z56)&lt;&gt;0,MIN(F56,J56,N56,R56,V56,Z56),"")</f>
        <v/>
      </c>
      <c r="AE56" s="164" t="str">
        <f>IF(MIN(H56,L56,P56,T56,X56,AB56)&lt;&gt;0,MIN(H56,L56,P56,T56,X56,AB56),"")</f>
        <v/>
      </c>
      <c r="AF56" s="164"/>
      <c r="AG56" s="163"/>
      <c r="AH56" s="164"/>
      <c r="AI56" s="163"/>
      <c r="AJ56" s="162" t="str">
        <f>IF(AD56="","",IF(ISBLANK(AF56),"En cours",AD56+AF56))</f>
        <v/>
      </c>
      <c r="AK56" s="162" t="str">
        <f>IF(AE56="","",IF(ISBLANK(AH56),"En cours",AE56+AH56))</f>
        <v/>
      </c>
    </row>
    <row r="57" spans="2:37" ht="21" x14ac:dyDescent="0.35"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4" t="str">
        <f>IF(MIN(F57,J57,N57,R57,V57,Z57)&lt;&gt;0,MIN(F57,J57,N57,R57,V57,Z57),"")</f>
        <v/>
      </c>
      <c r="AE57" s="164" t="str">
        <f>IF(MIN(H57,L57,P57,T57,X57,AB57)&lt;&gt;0,MIN(H57,L57,P57,T57,X57,AB57),"")</f>
        <v/>
      </c>
      <c r="AF57" s="164"/>
      <c r="AG57" s="163"/>
      <c r="AH57" s="164"/>
      <c r="AI57" s="163"/>
      <c r="AJ57" s="162" t="str">
        <f>IF(AD57="","",IF(ISBLANK(AF57),"En cours",AD57+AF57))</f>
        <v/>
      </c>
      <c r="AK57" s="162" t="str">
        <f>IF(AE57="","",IF(ISBLANK(AH57),"En cours",AE57+AH57))</f>
        <v/>
      </c>
    </row>
    <row r="58" spans="2:37" ht="21" x14ac:dyDescent="0.35"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4" t="str">
        <f>IF(MIN(F58,J58,N58,R58,V58,Z58)&lt;&gt;0,MIN(F58,J58,N58,R58,V58,Z58),"")</f>
        <v/>
      </c>
      <c r="AE58" s="164" t="str">
        <f>IF(MIN(H58,L58,P58,T58,X58,AB58)&lt;&gt;0,MIN(H58,L58,P58,T58,X58,AB58),"")</f>
        <v/>
      </c>
      <c r="AF58" s="164"/>
      <c r="AG58" s="163"/>
      <c r="AH58" s="164"/>
      <c r="AI58" s="163"/>
      <c r="AJ58" s="162" t="str">
        <f>IF(AD58="","",IF(ISBLANK(AF58),"En cours",AD58+AF58))</f>
        <v/>
      </c>
      <c r="AK58" s="162" t="str">
        <f>IF(AE58="","",IF(ISBLANK(AH58),"En cours",AE58+AH58))</f>
        <v/>
      </c>
    </row>
    <row r="59" spans="2:37" ht="21" x14ac:dyDescent="0.35"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4" t="str">
        <f>IF(MIN(F59,J59,N59,R59,V59,Z59)&lt;&gt;0,MIN(F59,J59,N59,R59,V59,Z59),"")</f>
        <v/>
      </c>
      <c r="AE59" s="164" t="str">
        <f>IF(MIN(H59,L59,P59,T59,X59,AB59)&lt;&gt;0,MIN(H59,L59,P59,T59,X59,AB59),"")</f>
        <v/>
      </c>
      <c r="AF59" s="164"/>
      <c r="AG59" s="163"/>
      <c r="AH59" s="164"/>
      <c r="AI59" s="163"/>
      <c r="AJ59" s="162" t="str">
        <f>IF(AD59="","",IF(ISBLANK(AF59),"En cours",AD59+AF59))</f>
        <v/>
      </c>
      <c r="AK59" s="162" t="str">
        <f>IF(AE59="","",IF(ISBLANK(AH59),"En cours",AE59+AH59))</f>
        <v/>
      </c>
    </row>
    <row r="60" spans="2:37" ht="21" x14ac:dyDescent="0.35"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4" t="str">
        <f>IF(MIN(F60,J60,N60,R60,V60,Z60)&lt;&gt;0,MIN(F60,J60,N60,R60,V60,Z60),"")</f>
        <v/>
      </c>
      <c r="AE60" s="164" t="str">
        <f>IF(MIN(H60,L60,P60,T60,X60,AB60)&lt;&gt;0,MIN(H60,L60,P60,T60,X60,AB60),"")</f>
        <v/>
      </c>
      <c r="AF60" s="164"/>
      <c r="AG60" s="163"/>
      <c r="AH60" s="164"/>
      <c r="AI60" s="163"/>
      <c r="AJ60" s="162" t="str">
        <f>IF(AD60="","",IF(ISBLANK(AF60),"En cours",AD60+AF60))</f>
        <v/>
      </c>
      <c r="AK60" s="162" t="str">
        <f>IF(AE60="","",IF(ISBLANK(AH60),"En cours",AE60+AH60))</f>
        <v/>
      </c>
    </row>
    <row r="61" spans="2:37" ht="21" x14ac:dyDescent="0.35"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4" t="str">
        <f>IF(MIN(F61,J61,N61,R61,V61,Z61)&lt;&gt;0,MIN(F61,J61,N61,R61,V61,Z61),"")</f>
        <v/>
      </c>
      <c r="AE61" s="164" t="str">
        <f>IF(MIN(H61,L61,P61,T61,X61,AB61)&lt;&gt;0,MIN(H61,L61,P61,T61,X61,AB61),"")</f>
        <v/>
      </c>
      <c r="AF61" s="164"/>
      <c r="AG61" s="163"/>
      <c r="AH61" s="164"/>
      <c r="AI61" s="163"/>
      <c r="AJ61" s="162" t="str">
        <f>IF(AD61="","",IF(ISBLANK(AF61),"En cours",AD61+AF61))</f>
        <v/>
      </c>
      <c r="AK61" s="162" t="str">
        <f>IF(AE61="","",IF(ISBLANK(AH61),"En cours",AE61+AH61))</f>
        <v/>
      </c>
    </row>
    <row r="62" spans="2:37" ht="21" x14ac:dyDescent="0.35"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4" t="str">
        <f>IF(MIN(F62,J62,N62,R62,V62,Z62)&lt;&gt;0,MIN(F62,J62,N62,R62,V62,Z62),"")</f>
        <v/>
      </c>
      <c r="AE62" s="164" t="str">
        <f>IF(MIN(H62,L62,P62,T62,X62,AB62)&lt;&gt;0,MIN(H62,L62,P62,T62,X62,AB62),"")</f>
        <v/>
      </c>
      <c r="AF62" s="164"/>
      <c r="AG62" s="163"/>
      <c r="AH62" s="164"/>
      <c r="AI62" s="163"/>
      <c r="AJ62" s="162" t="str">
        <f>IF(AD62="","",IF(ISBLANK(AF62),"En cours",AD62+AF62))</f>
        <v/>
      </c>
      <c r="AK62" s="162" t="str">
        <f>IF(AE62="","",IF(ISBLANK(AH62),"En cours",AE62+AH62))</f>
        <v/>
      </c>
    </row>
    <row r="63" spans="2:37" ht="21" x14ac:dyDescent="0.35"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4" t="str">
        <f>IF(MIN(F63,J63,N63,R63,V63,Z63)&lt;&gt;0,MIN(F63,J63,N63,R63,V63,Z63),"")</f>
        <v/>
      </c>
      <c r="AE63" s="164" t="str">
        <f>IF(MIN(H63,L63,P63,T63,X63,AB63)&lt;&gt;0,MIN(H63,L63,P63,T63,X63,AB63),"")</f>
        <v/>
      </c>
      <c r="AF63" s="164"/>
      <c r="AG63" s="163"/>
      <c r="AH63" s="164"/>
      <c r="AI63" s="163"/>
      <c r="AJ63" s="162" t="str">
        <f>IF(AD63="","",IF(ISBLANK(AF63),"En cours",AD63+AF63))</f>
        <v/>
      </c>
      <c r="AK63" s="162" t="str">
        <f>IF(AE63="","",IF(ISBLANK(AH63),"En cours",AE63+AH63))</f>
        <v/>
      </c>
    </row>
    <row r="64" spans="2:37" ht="21" x14ac:dyDescent="0.35">
      <c r="B64" s="163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4" t="str">
        <f>IF(MIN(F64,J64,N64,R64,V64,Z64)&lt;&gt;0,MIN(F64,J64,N64,R64,V64,Z64),"")</f>
        <v/>
      </c>
      <c r="AE64" s="164" t="str">
        <f>IF(MIN(H64,L64,P64,T64,X64,AB64)&lt;&gt;0,MIN(H64,L64,P64,T64,X64,AB64),"")</f>
        <v/>
      </c>
      <c r="AF64" s="164"/>
      <c r="AG64" s="163"/>
      <c r="AH64" s="164"/>
      <c r="AI64" s="163"/>
      <c r="AJ64" s="162" t="str">
        <f>IF(AD64="","",IF(ISBLANK(AF64),"En cours",AD64+AF64))</f>
        <v/>
      </c>
      <c r="AK64" s="162" t="str">
        <f>IF(AE64="","",IF(ISBLANK(AH64),"En cours",AE64+AH64))</f>
        <v/>
      </c>
    </row>
    <row r="65" spans="2:37" ht="21" x14ac:dyDescent="0.35"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4" t="str">
        <f>IF(MIN(F65,J65,N65,R65,V65,Z65)&lt;&gt;0,MIN(F65,J65,N65,R65,V65,Z65),"")</f>
        <v/>
      </c>
      <c r="AE65" s="164" t="str">
        <f>IF(MIN(H65,L65,P65,T65,X65,AB65)&lt;&gt;0,MIN(H65,L65,P65,T65,X65,AB65),"")</f>
        <v/>
      </c>
      <c r="AF65" s="164"/>
      <c r="AG65" s="163"/>
      <c r="AH65" s="164"/>
      <c r="AI65" s="163"/>
      <c r="AJ65" s="162" t="str">
        <f>IF(AD65="","",IF(ISBLANK(AF65),"En cours",AD65+AF65))</f>
        <v/>
      </c>
      <c r="AK65" s="162" t="str">
        <f>IF(AE65="","",IF(ISBLANK(AH65),"En cours",AE65+AH65))</f>
        <v/>
      </c>
    </row>
    <row r="66" spans="2:37" ht="21" x14ac:dyDescent="0.35">
      <c r="B66" s="163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4" t="str">
        <f>IF(MIN(F66,J66,N66,R66,V66,Z66)&lt;&gt;0,MIN(F66,J66,N66,R66,V66,Z66),"")</f>
        <v/>
      </c>
      <c r="AE66" s="164" t="str">
        <f>IF(MIN(H66,L66,P66,T66,X66,AB66)&lt;&gt;0,MIN(H66,L66,P66,T66,X66,AB66),"")</f>
        <v/>
      </c>
      <c r="AF66" s="164"/>
      <c r="AG66" s="163"/>
      <c r="AH66" s="164"/>
      <c r="AI66" s="163"/>
      <c r="AJ66" s="162" t="str">
        <f>IF(AD66="","",IF(ISBLANK(AF66),"En cours",AD66+AF66))</f>
        <v/>
      </c>
      <c r="AK66" s="162" t="str">
        <f>IF(AE66="","",IF(ISBLANK(AH66),"En cours",AE66+AH66))</f>
        <v/>
      </c>
    </row>
    <row r="67" spans="2:37" ht="21" x14ac:dyDescent="0.35"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4" t="str">
        <f>IF(MIN(F67,J67,N67,R67,V67,Z67)&lt;&gt;0,MIN(F67,J67,N67,R67,V67,Z67),"")</f>
        <v/>
      </c>
      <c r="AE67" s="164" t="str">
        <f>IF(MIN(H67,L67,P67,T67,X67,AB67)&lt;&gt;0,MIN(H67,L67,P67,T67,X67,AB67),"")</f>
        <v/>
      </c>
      <c r="AF67" s="164"/>
      <c r="AG67" s="163"/>
      <c r="AH67" s="164"/>
      <c r="AI67" s="163"/>
      <c r="AJ67" s="162" t="str">
        <f>IF(AD67="","",IF(ISBLANK(AF67),"En cours",AD67+AF67))</f>
        <v/>
      </c>
      <c r="AK67" s="162" t="str">
        <f>IF(AE67="","",IF(ISBLANK(AH67),"En cours",AE67+AH67))</f>
        <v/>
      </c>
    </row>
    <row r="68" spans="2:37" ht="21" x14ac:dyDescent="0.35">
      <c r="B68" s="163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4" t="str">
        <f>IF(MIN(F68,J68,N68,R68,V68,Z68)&lt;&gt;0,MIN(F68,J68,N68,R68,V68,Z68),"")</f>
        <v/>
      </c>
      <c r="AE68" s="164" t="str">
        <f>IF(MIN(H68,L68,P68,T68,X68,AB68)&lt;&gt;0,MIN(H68,L68,P68,T68,X68,AB68),"")</f>
        <v/>
      </c>
      <c r="AF68" s="164"/>
      <c r="AG68" s="163"/>
      <c r="AH68" s="164"/>
      <c r="AI68" s="163"/>
      <c r="AJ68" s="162" t="str">
        <f>IF(AD68="","",IF(ISBLANK(AF68),"En cours",AD68+AF68))</f>
        <v/>
      </c>
      <c r="AK68" s="162" t="str">
        <f>IF(AE68="","",IF(ISBLANK(AH68),"En cours",AE68+AH68))</f>
        <v/>
      </c>
    </row>
    <row r="69" spans="2:37" ht="21" x14ac:dyDescent="0.35">
      <c r="B69" s="163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4" t="str">
        <f>IF(MIN(F69,J69,N69,R69,V69,Z69)&lt;&gt;0,MIN(F69,J69,N69,R69,V69,Z69),"")</f>
        <v/>
      </c>
      <c r="AE69" s="164" t="str">
        <f>IF(MIN(H69,L69,P69,T69,X69,AB69)&lt;&gt;0,MIN(H69,L69,P69,T69,X69,AB69),"")</f>
        <v/>
      </c>
      <c r="AF69" s="164"/>
      <c r="AG69" s="163"/>
      <c r="AH69" s="164"/>
      <c r="AI69" s="163"/>
      <c r="AJ69" s="162" t="str">
        <f>IF(AD69="","",IF(ISBLANK(AF69),"En cours",AD69+AF69))</f>
        <v/>
      </c>
      <c r="AK69" s="162" t="str">
        <f>IF(AE69="","",IF(ISBLANK(AH69),"En cours",AE69+AH69))</f>
        <v/>
      </c>
    </row>
    <row r="70" spans="2:37" ht="21" x14ac:dyDescent="0.35">
      <c r="B70" s="163"/>
      <c r="C70" s="163"/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4" t="str">
        <f>IF(MIN(F70,J70,N70,R70,V70,Z70)&lt;&gt;0,MIN(F70,J70,N70,R70,V70,Z70),"")</f>
        <v/>
      </c>
      <c r="AE70" s="164" t="str">
        <f>IF(MIN(H70,L70,P70,T70,X70,AB70)&lt;&gt;0,MIN(H70,L70,P70,T70,X70,AB70),"")</f>
        <v/>
      </c>
      <c r="AF70" s="164"/>
      <c r="AG70" s="163"/>
      <c r="AH70" s="164"/>
      <c r="AI70" s="163"/>
      <c r="AJ70" s="162" t="str">
        <f>IF(AD70="","",IF(ISBLANK(AF70),"En cours",AD70+AF70))</f>
        <v/>
      </c>
      <c r="AK70" s="162" t="str">
        <f>IF(AE70="","",IF(ISBLANK(AH70),"En cours",AE70+AH70))</f>
        <v/>
      </c>
    </row>
    <row r="71" spans="2:37" ht="21" x14ac:dyDescent="0.35"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4" t="str">
        <f>IF(MIN(F71,J71,N71,R71,V71,Z71)&lt;&gt;0,MIN(F71,J71,N71,R71,V71,Z71),"")</f>
        <v/>
      </c>
      <c r="AE71" s="164" t="str">
        <f>IF(MIN(H71,L71,P71,T71,X71,AB71)&lt;&gt;0,MIN(H71,L71,P71,T71,X71,AB71),"")</f>
        <v/>
      </c>
      <c r="AF71" s="164"/>
      <c r="AG71" s="163"/>
      <c r="AH71" s="164"/>
      <c r="AI71" s="163"/>
      <c r="AJ71" s="162" t="str">
        <f>IF(AD71="","",IF(ISBLANK(AF71),"En cours",AD71+AF71))</f>
        <v/>
      </c>
      <c r="AK71" s="162" t="str">
        <f>IF(AE71="","",IF(ISBLANK(AH71),"En cours",AE71+AH71))</f>
        <v/>
      </c>
    </row>
    <row r="72" spans="2:37" ht="21" x14ac:dyDescent="0.35">
      <c r="B72" s="163"/>
      <c r="C72" s="163"/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4" t="str">
        <f>IF(MIN(F72,J72,N72,R72,V72,Z72)&lt;&gt;0,MIN(F72,J72,N72,R72,V72,Z72),"")</f>
        <v/>
      </c>
      <c r="AE72" s="164" t="str">
        <f>IF(MIN(H72,L72,P72,T72,X72,AB72)&lt;&gt;0,MIN(H72,L72,P72,T72,X72,AB72),"")</f>
        <v/>
      </c>
      <c r="AF72" s="164"/>
      <c r="AG72" s="163"/>
      <c r="AH72" s="164"/>
      <c r="AI72" s="163"/>
      <c r="AJ72" s="162" t="str">
        <f>IF(AD72="","",IF(ISBLANK(AF72),"En cours",AD72+AF72))</f>
        <v/>
      </c>
      <c r="AK72" s="162" t="str">
        <f>IF(AE72="","",IF(ISBLANK(AH72),"En cours",AE72+AH72))</f>
        <v/>
      </c>
    </row>
    <row r="73" spans="2:37" ht="21" x14ac:dyDescent="0.35">
      <c r="B73" s="163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4" t="str">
        <f>IF(MIN(F73,J73,N73,R73,V73,Z73)&lt;&gt;0,MIN(F73,J73,N73,R73,V73,Z73),"")</f>
        <v/>
      </c>
      <c r="AE73" s="164" t="str">
        <f>IF(MIN(H73,L73,P73,T73,X73,AB73)&lt;&gt;0,MIN(H73,L73,P73,T73,X73,AB73),"")</f>
        <v/>
      </c>
      <c r="AF73" s="164"/>
      <c r="AG73" s="163"/>
      <c r="AH73" s="164"/>
      <c r="AI73" s="163"/>
      <c r="AJ73" s="162" t="str">
        <f>IF(AD73="","",IF(ISBLANK(AF73),"En cours",AD73+AF73))</f>
        <v/>
      </c>
      <c r="AK73" s="162" t="str">
        <f>IF(AE73="","",IF(ISBLANK(AH73),"En cours",AE73+AH73))</f>
        <v/>
      </c>
    </row>
    <row r="74" spans="2:37" ht="21" x14ac:dyDescent="0.35">
      <c r="B74" s="163"/>
      <c r="C74" s="163"/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4" t="str">
        <f>IF(MIN(F74,J74,N74,R74,V74,Z74)&lt;&gt;0,MIN(F74,J74,N74,R74,V74,Z74),"")</f>
        <v/>
      </c>
      <c r="AE74" s="164" t="str">
        <f>IF(MIN(H74,L74,P74,T74,X74,AB74)&lt;&gt;0,MIN(H74,L74,P74,T74,X74,AB74),"")</f>
        <v/>
      </c>
      <c r="AF74" s="164"/>
      <c r="AG74" s="163"/>
      <c r="AH74" s="164"/>
      <c r="AI74" s="163"/>
      <c r="AJ74" s="162" t="str">
        <f>IF(AD74="","",IF(ISBLANK(AF74),"En cours",AD74+AF74))</f>
        <v/>
      </c>
      <c r="AK74" s="162" t="str">
        <f>IF(AE74="","",IF(ISBLANK(AH74),"En cours",AE74+AH74))</f>
        <v/>
      </c>
    </row>
    <row r="75" spans="2:37" ht="21" x14ac:dyDescent="0.35">
      <c r="B75" s="163"/>
      <c r="C75" s="163"/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4" t="str">
        <f>IF(MIN(F75,J75,N75,R75,V75,Z75)&lt;&gt;0,MIN(F75,J75,N75,R75,V75,Z75),"")</f>
        <v/>
      </c>
      <c r="AE75" s="164" t="str">
        <f>IF(MIN(H75,L75,P75,T75,X75,AB75)&lt;&gt;0,MIN(H75,L75,P75,T75,X75,AB75),"")</f>
        <v/>
      </c>
      <c r="AF75" s="164"/>
      <c r="AG75" s="163"/>
      <c r="AH75" s="164"/>
      <c r="AI75" s="163"/>
      <c r="AJ75" s="162" t="str">
        <f>IF(AD75="","",IF(ISBLANK(AF75),"En cours",AD75+AF75))</f>
        <v/>
      </c>
      <c r="AK75" s="162" t="str">
        <f>IF(AE75="","",IF(ISBLANK(AH75),"En cours",AE75+AH75))</f>
        <v/>
      </c>
    </row>
    <row r="76" spans="2:37" ht="21" x14ac:dyDescent="0.35">
      <c r="B76" s="163"/>
      <c r="C76" s="163"/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4" t="str">
        <f>IF(MIN(F76,J76,N76,R76,V76,Z76)&lt;&gt;0,MIN(F76,J76,N76,R76,V76,Z76),"")</f>
        <v/>
      </c>
      <c r="AE76" s="164" t="str">
        <f>IF(MIN(H76,L76,P76,T76,X76,AB76)&lt;&gt;0,MIN(H76,L76,P76,T76,X76,AB76),"")</f>
        <v/>
      </c>
      <c r="AF76" s="164"/>
      <c r="AG76" s="163"/>
      <c r="AH76" s="164"/>
      <c r="AI76" s="163"/>
      <c r="AJ76" s="162" t="str">
        <f>IF(AD76="","",IF(ISBLANK(AF76),"En cours",AD76+AF76))</f>
        <v/>
      </c>
      <c r="AK76" s="162" t="str">
        <f>IF(AE76="","",IF(ISBLANK(AH76),"En cours",AE76+AH76))</f>
        <v/>
      </c>
    </row>
    <row r="77" spans="2:37" ht="21" x14ac:dyDescent="0.35">
      <c r="B77" s="163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4" t="str">
        <f>IF(MIN(F77,J77,N77,R77,V77,Z77)&lt;&gt;0,MIN(F77,J77,N77,R77,V77,Z77),"")</f>
        <v/>
      </c>
      <c r="AE77" s="164" t="str">
        <f>IF(MIN(H77,L77,P77,T77,X77,AB77)&lt;&gt;0,MIN(H77,L77,P77,T77,X77,AB77),"")</f>
        <v/>
      </c>
      <c r="AF77" s="164"/>
      <c r="AG77" s="163"/>
      <c r="AH77" s="164"/>
      <c r="AI77" s="163"/>
      <c r="AJ77" s="162" t="str">
        <f>IF(AD77="","",IF(ISBLANK(AF77),"En cours",AD77+AF77))</f>
        <v/>
      </c>
      <c r="AK77" s="162" t="str">
        <f>IF(AE77="","",IF(ISBLANK(AH77),"En cours",AE77+AH77))</f>
        <v/>
      </c>
    </row>
    <row r="78" spans="2:37" ht="21" x14ac:dyDescent="0.35">
      <c r="B78" s="163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4" t="str">
        <f>IF(MIN(F78,J78,N78,R78,V78,Z78)&lt;&gt;0,MIN(F78,J78,N78,R78,V78,Z78),"")</f>
        <v/>
      </c>
      <c r="AE78" s="164" t="str">
        <f>IF(MIN(H78,L78,P78,T78,X78,AB78)&lt;&gt;0,MIN(H78,L78,P78,T78,X78,AB78),"")</f>
        <v/>
      </c>
      <c r="AF78" s="164"/>
      <c r="AG78" s="163"/>
      <c r="AH78" s="164"/>
      <c r="AI78" s="163"/>
      <c r="AJ78" s="162" t="str">
        <f>IF(AD78="","",IF(ISBLANK(AF78),"En cours",AD78+AF78))</f>
        <v/>
      </c>
      <c r="AK78" s="162" t="str">
        <f>IF(AE78="","",IF(ISBLANK(AH78),"En cours",AE78+AH78))</f>
        <v/>
      </c>
    </row>
    <row r="79" spans="2:37" ht="21" x14ac:dyDescent="0.35">
      <c r="B79" s="163"/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4" t="str">
        <f>IF(MIN(F79,J79,N79,R79,V79,Z79)&lt;&gt;0,MIN(F79,J79,N79,R79,V79,Z79),"")</f>
        <v/>
      </c>
      <c r="AE79" s="164" t="str">
        <f>IF(MIN(H79,L79,P79,T79,X79,AB79)&lt;&gt;0,MIN(H79,L79,P79,T79,X79,AB79),"")</f>
        <v/>
      </c>
      <c r="AF79" s="164"/>
      <c r="AG79" s="163"/>
      <c r="AH79" s="164"/>
      <c r="AI79" s="163"/>
      <c r="AJ79" s="162" t="str">
        <f>IF(AD79="","",IF(ISBLANK(AF79),"En cours",AD79+AF79))</f>
        <v/>
      </c>
      <c r="AK79" s="162" t="str">
        <f>IF(AE79="","",IF(ISBLANK(AH79),"En cours",AE79+AH79))</f>
        <v/>
      </c>
    </row>
    <row r="80" spans="2:37" ht="21" x14ac:dyDescent="0.35">
      <c r="B80" s="163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4" t="str">
        <f>IF(MIN(F80,J80,N80,R80,V80,Z80)&lt;&gt;0,MIN(F80,J80,N80,R80,V80,Z80),"")</f>
        <v/>
      </c>
      <c r="AE80" s="164" t="str">
        <f>IF(MIN(H80,L80,P80,T80,X80,AB80)&lt;&gt;0,MIN(H80,L80,P80,T80,X80,AB80),"")</f>
        <v/>
      </c>
      <c r="AF80" s="164"/>
      <c r="AG80" s="163"/>
      <c r="AH80" s="164"/>
      <c r="AI80" s="163"/>
      <c r="AJ80" s="162" t="str">
        <f>IF(AD80="","",IF(ISBLANK(AF80),"En cours",AD80+AF80))</f>
        <v/>
      </c>
      <c r="AK80" s="162" t="str">
        <f>IF(AE80="","",IF(ISBLANK(AH80),"En cours",AE80+AH80))</f>
        <v/>
      </c>
    </row>
    <row r="81" spans="2:37" ht="21" x14ac:dyDescent="0.35"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4" t="str">
        <f>IF(MIN(F81,J81,N81,R81,V81,Z81)&lt;&gt;0,MIN(F81,J81,N81,R81,V81,Z81),"")</f>
        <v/>
      </c>
      <c r="AE81" s="164" t="str">
        <f>IF(MIN(H81,L81,P81,T81,X81,AB81)&lt;&gt;0,MIN(H81,L81,P81,T81,X81,AB81),"")</f>
        <v/>
      </c>
      <c r="AF81" s="164"/>
      <c r="AG81" s="163"/>
      <c r="AH81" s="164"/>
      <c r="AI81" s="163"/>
      <c r="AJ81" s="162" t="str">
        <f>IF(AD81="","",IF(ISBLANK(AF81),"En cours",AD81+AF81))</f>
        <v/>
      </c>
      <c r="AK81" s="162" t="str">
        <f>IF(AE81="","",IF(ISBLANK(AH81),"En cours",AE81+AH81))</f>
        <v/>
      </c>
    </row>
    <row r="82" spans="2:37" ht="21" x14ac:dyDescent="0.35"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4" t="str">
        <f>IF(MIN(F82,J82,N82,R82,V82,Z82)&lt;&gt;0,MIN(F82,J82,N82,R82,V82,Z82),"")</f>
        <v/>
      </c>
      <c r="AE82" s="164" t="str">
        <f>IF(MIN(H82,L82,P82,T82,X82,AB82)&lt;&gt;0,MIN(H82,L82,P82,T82,X82,AB82),"")</f>
        <v/>
      </c>
      <c r="AF82" s="164"/>
      <c r="AG82" s="163"/>
      <c r="AH82" s="164"/>
      <c r="AI82" s="163"/>
      <c r="AJ82" s="162" t="str">
        <f>IF(AD82="","",IF(ISBLANK(AF82),"En cours",AD82+AF82))</f>
        <v/>
      </c>
      <c r="AK82" s="162" t="str">
        <f>IF(AE82="","",IF(ISBLANK(AH82),"En cours",AE82+AH82))</f>
        <v/>
      </c>
    </row>
    <row r="83" spans="2:37" ht="21" x14ac:dyDescent="0.35">
      <c r="B83" s="163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4" t="str">
        <f>IF(MIN(F83,J83,N83,R83,V83,Z83)&lt;&gt;0,MIN(F83,J83,N83,R83,V83,Z83),"")</f>
        <v/>
      </c>
      <c r="AE83" s="164" t="str">
        <f>IF(MIN(H83,L83,P83,T83,X83,AB83)&lt;&gt;0,MIN(H83,L83,P83,T83,X83,AB83),"")</f>
        <v/>
      </c>
      <c r="AF83" s="164"/>
      <c r="AG83" s="163"/>
      <c r="AH83" s="164"/>
      <c r="AI83" s="163"/>
      <c r="AJ83" s="162" t="str">
        <f>IF(AD83="","",IF(ISBLANK(AF83),"En cours",AD83+AF83))</f>
        <v/>
      </c>
      <c r="AK83" s="162" t="str">
        <f>IF(AE83="","",IF(ISBLANK(AH83),"En cours",AE83+AH83))</f>
        <v/>
      </c>
    </row>
    <row r="84" spans="2:37" ht="21" x14ac:dyDescent="0.35">
      <c r="B84" s="163"/>
      <c r="C84" s="163"/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4" t="str">
        <f>IF(MIN(F84,J84,N84,R84,V84,Z84)&lt;&gt;0,MIN(F84,J84,N84,R84,V84,Z84),"")</f>
        <v/>
      </c>
      <c r="AE84" s="164" t="str">
        <f>IF(MIN(H84,L84,P84,T84,X84,AB84)&lt;&gt;0,MIN(H84,L84,P84,T84,X84,AB84),"")</f>
        <v/>
      </c>
      <c r="AF84" s="164"/>
      <c r="AG84" s="163"/>
      <c r="AH84" s="164"/>
      <c r="AI84" s="163"/>
      <c r="AJ84" s="162" t="str">
        <f>IF(AD84="","",IF(ISBLANK(AF84),"En cours",AD84+AF84))</f>
        <v/>
      </c>
      <c r="AK84" s="162" t="str">
        <f>IF(AE84="","",IF(ISBLANK(AH84),"En cours",AE84+AH84))</f>
        <v/>
      </c>
    </row>
    <row r="85" spans="2:37" ht="21" x14ac:dyDescent="0.35"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4" t="str">
        <f>IF(MIN(F85,J85,N85,R85,V85,Z85)&lt;&gt;0,MIN(F85,J85,N85,R85,V85,Z85),"")</f>
        <v/>
      </c>
      <c r="AE85" s="164" t="str">
        <f>IF(MIN(H85,L85,P85,T85,X85,AB85)&lt;&gt;0,MIN(H85,L85,P85,T85,X85,AB85),"")</f>
        <v/>
      </c>
      <c r="AF85" s="164"/>
      <c r="AG85" s="163"/>
      <c r="AH85" s="164"/>
      <c r="AI85" s="163"/>
      <c r="AJ85" s="162" t="str">
        <f>IF(AD85="","",IF(ISBLANK(AF85),"En cours",AD85+AF85))</f>
        <v/>
      </c>
      <c r="AK85" s="162" t="str">
        <f>IF(AE85="","",IF(ISBLANK(AH85),"En cours",AE85+AH85))</f>
        <v/>
      </c>
    </row>
    <row r="86" spans="2:37" ht="21" x14ac:dyDescent="0.35"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4" t="str">
        <f>IF(MIN(F86,J86,N86,R86,V86,Z86)&lt;&gt;0,MIN(F86,J86,N86,R86,V86,Z86),"")</f>
        <v/>
      </c>
      <c r="AE86" s="164" t="str">
        <f>IF(MIN(H86,L86,P86,T86,X86,AB86)&lt;&gt;0,MIN(H86,L86,P86,T86,X86,AB86),"")</f>
        <v/>
      </c>
      <c r="AF86" s="164"/>
      <c r="AG86" s="163"/>
      <c r="AH86" s="164"/>
      <c r="AI86" s="163"/>
      <c r="AJ86" s="162" t="str">
        <f>IF(AD86="","",IF(ISBLANK(AF86),"En cours",AD86+AF86))</f>
        <v/>
      </c>
      <c r="AK86" s="162" t="str">
        <f>IF(AE86="","",IF(ISBLANK(AH86),"En cours",AE86+AH86))</f>
        <v/>
      </c>
    </row>
    <row r="87" spans="2:37" ht="21" x14ac:dyDescent="0.35"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4" t="str">
        <f>IF(MIN(F87,J87,N87,R87,V87,Z87)&lt;&gt;0,MIN(F87,J87,N87,R87,V87,Z87),"")</f>
        <v/>
      </c>
      <c r="AE87" s="164" t="str">
        <f>IF(MIN(H87,L87,P87,T87,X87,AB87)&lt;&gt;0,MIN(H87,L87,P87,T87,X87,AB87),"")</f>
        <v/>
      </c>
      <c r="AF87" s="164"/>
      <c r="AG87" s="163"/>
      <c r="AH87" s="164"/>
      <c r="AI87" s="163"/>
      <c r="AJ87" s="162" t="str">
        <f>IF(AD87="","",IF(ISBLANK(AF87),"En cours",AD87+AF87))</f>
        <v/>
      </c>
      <c r="AK87" s="162" t="str">
        <f>IF(AE87="","",IF(ISBLANK(AH87),"En cours",AE87+AH87))</f>
        <v/>
      </c>
    </row>
    <row r="88" spans="2:37" ht="21" x14ac:dyDescent="0.35"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4" t="str">
        <f>IF(MIN(F88,J88,N88,R88,V88,Z88)&lt;&gt;0,MIN(F88,J88,N88,R88,V88,Z88),"")</f>
        <v/>
      </c>
      <c r="AE88" s="164" t="str">
        <f>IF(MIN(H88,L88,P88,T88,X88,AB88)&lt;&gt;0,MIN(H88,L88,P88,T88,X88,AB88),"")</f>
        <v/>
      </c>
      <c r="AF88" s="164"/>
      <c r="AG88" s="163"/>
      <c r="AH88" s="164"/>
      <c r="AI88" s="163"/>
      <c r="AJ88" s="162" t="str">
        <f>IF(AD88="","",IF(ISBLANK(AF88),"En cours",AD88+AF88))</f>
        <v/>
      </c>
      <c r="AK88" s="162" t="str">
        <f>IF(AE88="","",IF(ISBLANK(AH88),"En cours",AE88+AH88))</f>
        <v/>
      </c>
    </row>
    <row r="89" spans="2:37" ht="21" x14ac:dyDescent="0.35"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4" t="str">
        <f>IF(MIN(F89,J89,N89,R89,V89,Z89)&lt;&gt;0,MIN(F89,J89,N89,R89,V89,Z89),"")</f>
        <v/>
      </c>
      <c r="AE89" s="164" t="str">
        <f>IF(MIN(H89,L89,P89,T89,X89,AB89)&lt;&gt;0,MIN(H89,L89,P89,T89,X89,AB89),"")</f>
        <v/>
      </c>
      <c r="AF89" s="164"/>
      <c r="AG89" s="163"/>
      <c r="AH89" s="164"/>
      <c r="AI89" s="163"/>
      <c r="AJ89" s="162" t="str">
        <f>IF(AD89="","",IF(ISBLANK(AF89),"En cours",AD89+AF89))</f>
        <v/>
      </c>
      <c r="AK89" s="162" t="str">
        <f>IF(AE89="","",IF(ISBLANK(AH89),"En cours",AE89+AH89))</f>
        <v/>
      </c>
    </row>
    <row r="90" spans="2:37" ht="21" x14ac:dyDescent="0.35">
      <c r="B90" s="163"/>
      <c r="C90" s="163"/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4" t="str">
        <f>IF(MIN(F90,J90,N90,R90,V90,Z90)&lt;&gt;0,MIN(F90,J90,N90,R90,V90,Z90),"")</f>
        <v/>
      </c>
      <c r="AE90" s="164" t="str">
        <f>IF(MIN(H90,L90,P90,T90,X90,AB90)&lt;&gt;0,MIN(H90,L90,P90,T90,X90,AB90),"")</f>
        <v/>
      </c>
      <c r="AF90" s="164"/>
      <c r="AG90" s="163"/>
      <c r="AH90" s="164"/>
      <c r="AI90" s="163"/>
      <c r="AJ90" s="162" t="str">
        <f>IF(AD90="","",IF(ISBLANK(AF90),"En cours",AD90+AF90))</f>
        <v/>
      </c>
      <c r="AK90" s="162" t="str">
        <f>IF(AE90="","",IF(ISBLANK(AH90),"En cours",AE90+AH90))</f>
        <v/>
      </c>
    </row>
    <row r="91" spans="2:37" ht="21" x14ac:dyDescent="0.35"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4" t="str">
        <f>IF(MIN(F91,J91,N91,R91,V91,Z91)&lt;&gt;0,MIN(F91,J91,N91,R91,V91,Z91),"")</f>
        <v/>
      </c>
      <c r="AE91" s="164" t="str">
        <f>IF(MIN(H91,L91,P91,T91,X91,AB91)&lt;&gt;0,MIN(H91,L91,P91,T91,X91,AB91),"")</f>
        <v/>
      </c>
      <c r="AF91" s="164"/>
      <c r="AG91" s="163"/>
      <c r="AH91" s="164"/>
      <c r="AI91" s="163"/>
      <c r="AJ91" s="162" t="str">
        <f>IF(AD91="","",IF(ISBLANK(AF91),"En cours",AD91+AF91))</f>
        <v/>
      </c>
      <c r="AK91" s="162" t="str">
        <f>IF(AE91="","",IF(ISBLANK(AH91),"En cours",AE91+AH91))</f>
        <v/>
      </c>
    </row>
    <row r="92" spans="2:37" ht="21" x14ac:dyDescent="0.35"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4" t="str">
        <f>IF(MIN(F92,J92,N92,R92,V92,Z92)&lt;&gt;0,MIN(F92,J92,N92,R92,V92,Z92),"")</f>
        <v/>
      </c>
      <c r="AE92" s="164" t="str">
        <f>IF(MIN(H92,L92,P92,T92,X92,AB92)&lt;&gt;0,MIN(H92,L92,P92,T92,X92,AB92),"")</f>
        <v/>
      </c>
      <c r="AF92" s="164"/>
      <c r="AG92" s="163"/>
      <c r="AH92" s="164"/>
      <c r="AI92" s="163"/>
      <c r="AJ92" s="162" t="str">
        <f>IF(AD92="","",IF(ISBLANK(AF92),"En cours",AD92+AF92))</f>
        <v/>
      </c>
      <c r="AK92" s="162" t="str">
        <f>IF(AE92="","",IF(ISBLANK(AH92),"En cours",AE92+AH92))</f>
        <v/>
      </c>
    </row>
    <row r="93" spans="2:37" ht="21" x14ac:dyDescent="0.35"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4" t="str">
        <f>IF(MIN(F93,J93,N93,R93,V93,Z93)&lt;&gt;0,MIN(F93,J93,N93,R93,V93,Z93),"")</f>
        <v/>
      </c>
      <c r="AE93" s="164" t="str">
        <f>IF(MIN(H93,L93,P93,T93,X93,AB93)&lt;&gt;0,MIN(H93,L93,P93,T93,X93,AB93),"")</f>
        <v/>
      </c>
      <c r="AF93" s="164"/>
      <c r="AG93" s="163"/>
      <c r="AH93" s="164"/>
      <c r="AI93" s="163"/>
      <c r="AJ93" s="162" t="str">
        <f>IF(AD93="","",IF(ISBLANK(AF93),"En cours",AD93+AF93))</f>
        <v/>
      </c>
      <c r="AK93" s="162" t="str">
        <f>IF(AE93="","",IF(ISBLANK(AH93),"En cours",AE93+AH93))</f>
        <v/>
      </c>
    </row>
    <row r="94" spans="2:37" ht="21" x14ac:dyDescent="0.35"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4" t="str">
        <f>IF(MIN(F94,J94,N94,R94,V94,Z94)&lt;&gt;0,MIN(F94,J94,N94,R94,V94,Z94),"")</f>
        <v/>
      </c>
      <c r="AE94" s="164" t="str">
        <f>IF(MIN(H94,L94,P94,T94,X94,AB94)&lt;&gt;0,MIN(H94,L94,P94,T94,X94,AB94),"")</f>
        <v/>
      </c>
      <c r="AF94" s="164"/>
      <c r="AG94" s="163"/>
      <c r="AH94" s="164"/>
      <c r="AI94" s="163"/>
      <c r="AJ94" s="162" t="str">
        <f>IF(AD94="","",IF(ISBLANK(AF94),"En cours",AD94+AF94))</f>
        <v/>
      </c>
      <c r="AK94" s="162" t="str">
        <f>IF(AE94="","",IF(ISBLANK(AH94),"En cours",AE94+AH94))</f>
        <v/>
      </c>
    </row>
    <row r="95" spans="2:37" ht="21" x14ac:dyDescent="0.35"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4" t="str">
        <f>IF(MIN(F95,J95,N95,R95,V95,Z95)&lt;&gt;0,MIN(F95,J95,N95,R95,V95,Z95),"")</f>
        <v/>
      </c>
      <c r="AE95" s="164" t="str">
        <f>IF(MIN(H95,L95,P95,T95,X95,AB95)&lt;&gt;0,MIN(H95,L95,P95,T95,X95,AB95),"")</f>
        <v/>
      </c>
      <c r="AF95" s="164"/>
      <c r="AG95" s="163"/>
      <c r="AH95" s="164"/>
      <c r="AI95" s="163"/>
      <c r="AJ95" s="162" t="str">
        <f>IF(AD95="","",IF(ISBLANK(AF95),"En cours",AD95+AF95))</f>
        <v/>
      </c>
      <c r="AK95" s="162" t="str">
        <f>IF(AE95="","",IF(ISBLANK(AH95),"En cours",AE95+AH95))</f>
        <v/>
      </c>
    </row>
    <row r="96" spans="2:37" ht="21" x14ac:dyDescent="0.35"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4" t="str">
        <f>IF(MIN(F96,J96,N96,R96,V96,Z96)&lt;&gt;0,MIN(F96,J96,N96,R96,V96,Z96),"")</f>
        <v/>
      </c>
      <c r="AE96" s="164" t="str">
        <f>IF(MIN(H96,L96,P96,T96,X96,AB96)&lt;&gt;0,MIN(H96,L96,P96,T96,X96,AB96),"")</f>
        <v/>
      </c>
      <c r="AF96" s="164"/>
      <c r="AG96" s="163"/>
      <c r="AH96" s="164"/>
      <c r="AI96" s="163"/>
      <c r="AJ96" s="162" t="str">
        <f>IF(AD96="","",IF(ISBLANK(AF96),"En cours",AD96+AF96))</f>
        <v/>
      </c>
      <c r="AK96" s="162" t="str">
        <f>IF(AE96="","",IF(ISBLANK(AH96),"En cours",AE96+AH96))</f>
        <v/>
      </c>
    </row>
    <row r="97" spans="2:37" ht="21" x14ac:dyDescent="0.35"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4" t="str">
        <f>IF(MIN(F97,J97,N97,R97,V97,Z97)&lt;&gt;0,MIN(F97,J97,N97,R97,V97,Z97),"")</f>
        <v/>
      </c>
      <c r="AE97" s="164" t="str">
        <f>IF(MIN(H97,L97,P97,T97,X97,AB97)&lt;&gt;0,MIN(H97,L97,P97,T97,X97,AB97),"")</f>
        <v/>
      </c>
      <c r="AF97" s="164"/>
      <c r="AG97" s="163"/>
      <c r="AH97" s="164"/>
      <c r="AI97" s="163"/>
      <c r="AJ97" s="162" t="str">
        <f>IF(AD97="","",IF(ISBLANK(AF97),"En cours",AD97+AF97))</f>
        <v/>
      </c>
      <c r="AK97" s="162" t="str">
        <f>IF(AE97="","",IF(ISBLANK(AH97),"En cours",AE97+AH97))</f>
        <v/>
      </c>
    </row>
    <row r="98" spans="2:37" ht="21" x14ac:dyDescent="0.35"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4" t="str">
        <f>IF(MIN(F98,J98,N98,R98,V98,Z98)&lt;&gt;0,MIN(F98,J98,N98,R98,V98,Z98),"")</f>
        <v/>
      </c>
      <c r="AE98" s="164" t="str">
        <f>IF(MIN(H98,L98,P98,T98,X98,AB98)&lt;&gt;0,MIN(H98,L98,P98,T98,X98,AB98),"")</f>
        <v/>
      </c>
      <c r="AF98" s="164"/>
      <c r="AG98" s="163"/>
      <c r="AH98" s="164"/>
      <c r="AI98" s="163"/>
      <c r="AJ98" s="162" t="str">
        <f>IF(AD98="","",IF(ISBLANK(AF98),"En cours",AD98+AF98))</f>
        <v/>
      </c>
      <c r="AK98" s="162" t="str">
        <f>IF(AE98="","",IF(ISBLANK(AH98),"En cours",AE98+AH98))</f>
        <v/>
      </c>
    </row>
    <row r="99" spans="2:37" ht="21" x14ac:dyDescent="0.35"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4" t="str">
        <f>IF(MIN(F99,J99,N99,R99,V99,Z99)&lt;&gt;0,MIN(F99,J99,N99,R99,V99,Z99),"")</f>
        <v/>
      </c>
      <c r="AE99" s="164" t="str">
        <f>IF(MIN(H99,L99,P99,T99,X99,AB99)&lt;&gt;0,MIN(H99,L99,P99,T99,X99,AB99),"")</f>
        <v/>
      </c>
      <c r="AF99" s="164"/>
      <c r="AG99" s="163"/>
      <c r="AH99" s="164"/>
      <c r="AI99" s="163"/>
      <c r="AJ99" s="162" t="str">
        <f>IF(AD99="","",IF(ISBLANK(AF99),"En cours",AD99+AF99))</f>
        <v/>
      </c>
      <c r="AK99" s="162" t="str">
        <f>IF(AE99="","",IF(ISBLANK(AH99),"En cours",AE99+AH99))</f>
        <v/>
      </c>
    </row>
    <row r="100" spans="2:37" ht="21" x14ac:dyDescent="0.35"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4" t="str">
        <f>IF(MIN(F100,J100,N100,R100,V100,Z100)&lt;&gt;0,MIN(F100,J100,N100,R100,V100,Z100),"")</f>
        <v/>
      </c>
      <c r="AE100" s="164" t="str">
        <f>IF(MIN(H100,L100,P100,T100,X100,AB100)&lt;&gt;0,MIN(H100,L100,P100,T100,X100,AB100),"")</f>
        <v/>
      </c>
      <c r="AF100" s="164"/>
      <c r="AG100" s="163"/>
      <c r="AH100" s="164"/>
      <c r="AI100" s="163"/>
      <c r="AJ100" s="162" t="str">
        <f>IF(AD100="","",IF(ISBLANK(AF100),"En cours",AD100+AF100))</f>
        <v/>
      </c>
      <c r="AK100" s="162" t="str">
        <f>IF(AE100="","",IF(ISBLANK(AH100),"En cours",AE100+AH100))</f>
        <v/>
      </c>
    </row>
    <row r="101" spans="2:37" ht="21" x14ac:dyDescent="0.35">
      <c r="B101" s="163"/>
      <c r="C101" s="163"/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4" t="str">
        <f>IF(MIN(F101,J101,N101,R101,V101,Z101)&lt;&gt;0,MIN(F101,J101,N101,R101,V101,Z101),"")</f>
        <v/>
      </c>
      <c r="AE101" s="164" t="str">
        <f>IF(MIN(H101,L101,P101,T101,X101,AB101)&lt;&gt;0,MIN(H101,L101,P101,T101,X101,AB101),"")</f>
        <v/>
      </c>
      <c r="AF101" s="164"/>
      <c r="AG101" s="163"/>
      <c r="AH101" s="164"/>
      <c r="AI101" s="163"/>
      <c r="AJ101" s="162" t="str">
        <f>IF(AD101="","",IF(ISBLANK(AF101),"En cours",AD101+AF101))</f>
        <v/>
      </c>
      <c r="AK101" s="162" t="str">
        <f>IF(AE101="","",IF(ISBLANK(AH101),"En cours",AE101+AH101))</f>
        <v/>
      </c>
    </row>
    <row r="102" spans="2:37" ht="21" x14ac:dyDescent="0.35">
      <c r="B102" s="163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4" t="str">
        <f>IF(MIN(F102,J102,N102,R102,V102,Z102)&lt;&gt;0,MIN(F102,J102,N102,R102,V102,Z102),"")</f>
        <v/>
      </c>
      <c r="AE102" s="164" t="str">
        <f>IF(MIN(H102,L102,P102,T102,X102,AB102)&lt;&gt;0,MIN(H102,L102,P102,T102,X102,AB102),"")</f>
        <v/>
      </c>
      <c r="AF102" s="164"/>
      <c r="AG102" s="163"/>
      <c r="AH102" s="164"/>
      <c r="AI102" s="163"/>
      <c r="AJ102" s="162" t="str">
        <f>IF(AD102="","",IF(ISBLANK(AF102),"En cours",AD102+AF102))</f>
        <v/>
      </c>
      <c r="AK102" s="162" t="str">
        <f>IF(AE102="","",IF(ISBLANK(AH102),"En cours",AE102+AH102))</f>
        <v/>
      </c>
    </row>
    <row r="103" spans="2:37" ht="21" x14ac:dyDescent="0.35">
      <c r="B103" s="158"/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60" t="str">
        <f>IF(MIN(F103,J103,N103,R103,V103,Z103)&lt;&gt;0,MIN(F103,J103,N103,R103,V103,Z103),"")</f>
        <v/>
      </c>
      <c r="AE103" s="160" t="str">
        <f>IF(MIN(H103,L103,P103,T103,X103,AB103)&lt;&gt;0,MIN(H103,L103,P103,T103,X103,AB103),"")</f>
        <v/>
      </c>
      <c r="AF103" s="160"/>
      <c r="AG103" s="159"/>
      <c r="AH103" s="160"/>
      <c r="AI103" s="159"/>
      <c r="AJ103" s="161" t="str">
        <f>IF(AD103="","",IF(ISBLANK(AF103),"En cours",AD103+AF103))</f>
        <v/>
      </c>
      <c r="AK103" s="162" t="str">
        <f>IF(AE103="","",IF(ISBLANK(AH103),"En cours",AE103+AH103))</f>
        <v/>
      </c>
    </row>
    <row r="104" spans="2:37" ht="21" x14ac:dyDescent="0.35">
      <c r="B104" s="158"/>
      <c r="C104" s="159"/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  <c r="W104" s="159"/>
      <c r="X104" s="159"/>
      <c r="Y104" s="159"/>
      <c r="Z104" s="159"/>
      <c r="AA104" s="159"/>
      <c r="AB104" s="159"/>
      <c r="AC104" s="159"/>
      <c r="AD104" s="160" t="str">
        <f>IF(MIN(F104,J104,N104,R104,V104,Z104)&lt;&gt;0,MIN(F104,J104,N104,R104,V104,Z104),"")</f>
        <v/>
      </c>
      <c r="AE104" s="160" t="str">
        <f>IF(MIN(H104,L104,P104,T104,X104,AB104)&lt;&gt;0,MIN(H104,L104,P104,T104,X104,AB104),"")</f>
        <v/>
      </c>
      <c r="AF104" s="160"/>
      <c r="AG104" s="159"/>
      <c r="AH104" s="160"/>
      <c r="AI104" s="159"/>
      <c r="AJ104" s="161" t="str">
        <f>IF(AD104="","",IF(ISBLANK(AF104),"En cours",AD104+AF104))</f>
        <v/>
      </c>
      <c r="AK104" s="162" t="str">
        <f>IF(AE104="","",IF(ISBLANK(AH104),"En cours",AE104+AH104))</f>
        <v/>
      </c>
    </row>
    <row r="105" spans="2:37" ht="21" x14ac:dyDescent="0.35">
      <c r="B105" s="158"/>
      <c r="C105" s="159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60" t="str">
        <f>IF(MIN(F105,J105,N105,R105,V105,Z105)&lt;&gt;0,MIN(F105,J105,N105,R105,V105,Z105),"")</f>
        <v/>
      </c>
      <c r="AE105" s="160" t="str">
        <f>IF(MIN(H105,L105,P105,T105,X105,AB105)&lt;&gt;0,MIN(H105,L105,P105,T105,X105,AB105),"")</f>
        <v/>
      </c>
      <c r="AF105" s="160"/>
      <c r="AG105" s="159"/>
      <c r="AH105" s="160"/>
      <c r="AI105" s="159"/>
      <c r="AJ105" s="161" t="str">
        <f>IF(AD105="","",IF(ISBLANK(AF105),"En cours",AD105+AF105))</f>
        <v/>
      </c>
      <c r="AK105" s="162" t="str">
        <f>IF(AE105="","",IF(ISBLANK(AH105),"En cours",AE105+AH105))</f>
        <v/>
      </c>
    </row>
    <row r="106" spans="2:37" ht="21" x14ac:dyDescent="0.35">
      <c r="B106" s="158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  <c r="W106" s="159"/>
      <c r="X106" s="159"/>
      <c r="Y106" s="159"/>
      <c r="Z106" s="159"/>
      <c r="AA106" s="159"/>
      <c r="AB106" s="159"/>
      <c r="AC106" s="159"/>
      <c r="AD106" s="160" t="str">
        <f>IF(MIN(F106,J106,N106,R106,V106,Z106)&lt;&gt;0,MIN(F106,J106,N106,R106,V106,Z106),"")</f>
        <v/>
      </c>
      <c r="AE106" s="160" t="str">
        <f>IF(MIN(H106,L106,P106,T106,X106,AB106)&lt;&gt;0,MIN(H106,L106,P106,T106,X106,AB106),"")</f>
        <v/>
      </c>
      <c r="AF106" s="160"/>
      <c r="AG106" s="159"/>
      <c r="AH106" s="160"/>
      <c r="AI106" s="159"/>
      <c r="AJ106" s="161" t="str">
        <f>IF(AD106="","",IF(ISBLANK(AF106),"En cours",AD106+AF106))</f>
        <v/>
      </c>
      <c r="AK106" s="162" t="str">
        <f>IF(AE106="","",IF(ISBLANK(AH106),"En cours",AE106+AH106))</f>
        <v/>
      </c>
    </row>
    <row r="107" spans="2:37" ht="21" x14ac:dyDescent="0.35">
      <c r="B107" s="158"/>
      <c r="C107" s="159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60" t="str">
        <f>IF(MIN(F107,J107,N107,R107,V107,Z107)&lt;&gt;0,MIN(F107,J107,N107,R107,V107,Z107),"")</f>
        <v/>
      </c>
      <c r="AE107" s="160" t="str">
        <f>IF(MIN(H107,L107,P107,T107,X107,AB107)&lt;&gt;0,MIN(H107,L107,P107,T107,X107,AB107),"")</f>
        <v/>
      </c>
      <c r="AF107" s="160"/>
      <c r="AG107" s="159"/>
      <c r="AH107" s="160"/>
      <c r="AI107" s="159"/>
      <c r="AJ107" s="161" t="str">
        <f>IF(AD107="","",IF(ISBLANK(AF107),"En cours",AD107+AF107))</f>
        <v/>
      </c>
      <c r="AK107" s="162" t="str">
        <f>IF(AE107="","",IF(ISBLANK(AH107),"En cours",AE107+AH107))</f>
        <v/>
      </c>
    </row>
    <row r="108" spans="2:37" ht="21" x14ac:dyDescent="0.35">
      <c r="B108" s="158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60" t="str">
        <f>IF(MIN(F108,J108,N108,R108,V108,Z108)&lt;&gt;0,MIN(F108,J108,N108,R108,V108,Z108),"")</f>
        <v/>
      </c>
      <c r="AE108" s="160" t="str">
        <f>IF(MIN(H108,L108,P108,T108,X108,AB108)&lt;&gt;0,MIN(H108,L108,P108,T108,X108,AB108),"")</f>
        <v/>
      </c>
      <c r="AF108" s="160"/>
      <c r="AG108" s="159"/>
      <c r="AH108" s="160"/>
      <c r="AI108" s="159"/>
      <c r="AJ108" s="161" t="str">
        <f>IF(AD108="","",IF(ISBLANK(AF108),"En cours",AD108+AF108))</f>
        <v/>
      </c>
      <c r="AK108" s="162" t="str">
        <f>IF(AE108="","",IF(ISBLANK(AH108),"En cours",AE108+AH108))</f>
        <v/>
      </c>
    </row>
    <row r="109" spans="2:37" ht="21" x14ac:dyDescent="0.35">
      <c r="B109" s="158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  <c r="W109" s="159"/>
      <c r="X109" s="159"/>
      <c r="Y109" s="159"/>
      <c r="Z109" s="159"/>
      <c r="AA109" s="159"/>
      <c r="AB109" s="159"/>
      <c r="AC109" s="159"/>
      <c r="AD109" s="160" t="str">
        <f>IF(MIN(F109,J109,N109,R109,V109,Z109)&lt;&gt;0,MIN(F109,J109,N109,R109,V109,Z109),"")</f>
        <v/>
      </c>
      <c r="AE109" s="160" t="str">
        <f>IF(MIN(H109,L109,P109,T109,X109,AB109)&lt;&gt;0,MIN(H109,L109,P109,T109,X109,AB109),"")</f>
        <v/>
      </c>
      <c r="AF109" s="160"/>
      <c r="AG109" s="159"/>
      <c r="AH109" s="160"/>
      <c r="AI109" s="159"/>
      <c r="AJ109" s="161" t="str">
        <f>IF(AD109="","",IF(ISBLANK(AF109),"En cours",AD109+AF109))</f>
        <v/>
      </c>
      <c r="AK109" s="162" t="str">
        <f>IF(AE109="","",IF(ISBLANK(AH109),"En cours",AE109+AH109))</f>
        <v/>
      </c>
    </row>
    <row r="110" spans="2:37" ht="21" x14ac:dyDescent="0.35">
      <c r="B110" s="158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60" t="str">
        <f>IF(MIN(F110,J110,N110,R110,V110,Z110)&lt;&gt;0,MIN(F110,J110,N110,R110,V110,Z110),"")</f>
        <v/>
      </c>
      <c r="AE110" s="160" t="str">
        <f>IF(MIN(H110,L110,P110,T110,X110,AB110)&lt;&gt;0,MIN(H110,L110,P110,T110,X110,AB110),"")</f>
        <v/>
      </c>
      <c r="AF110" s="160"/>
      <c r="AG110" s="159"/>
      <c r="AH110" s="160"/>
      <c r="AI110" s="159"/>
      <c r="AJ110" s="161" t="str">
        <f>IF(AD110="","",IF(ISBLANK(AF110),"En cours",AD110+AF110))</f>
        <v/>
      </c>
      <c r="AK110" s="162" t="str">
        <f>IF(AE110="","",IF(ISBLANK(AH110),"En cours",AE110+AH110))</f>
        <v/>
      </c>
    </row>
    <row r="111" spans="2:37" ht="21" x14ac:dyDescent="0.35">
      <c r="B111" s="158"/>
      <c r="C111" s="159"/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60" t="str">
        <f>IF(MIN(F111,J111,N111,R111,V111,Z111)&lt;&gt;0,MIN(F111,J111,N111,R111,V111,Z111),"")</f>
        <v/>
      </c>
      <c r="AE111" s="160" t="str">
        <f>IF(MIN(H111,L111,P111,T111,X111,AB111)&lt;&gt;0,MIN(H111,L111,P111,T111,X111,AB111),"")</f>
        <v/>
      </c>
      <c r="AF111" s="160"/>
      <c r="AG111" s="159"/>
      <c r="AH111" s="160"/>
      <c r="AI111" s="159"/>
      <c r="AJ111" s="161" t="str">
        <f>IF(AD111="","",IF(ISBLANK(AF111),"En cours",AD111+AF111))</f>
        <v/>
      </c>
      <c r="AK111" s="162" t="str">
        <f>IF(AE111="","",IF(ISBLANK(AH111),"En cours",AE111+AH111))</f>
        <v/>
      </c>
    </row>
    <row r="112" spans="2:37" ht="21" x14ac:dyDescent="0.35">
      <c r="B112" s="158"/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60" t="str">
        <f>IF(MIN(F112,J112,N112,R112,V112,Z112)&lt;&gt;0,MIN(F112,J112,N112,R112,V112,Z112),"")</f>
        <v/>
      </c>
      <c r="AE112" s="160" t="str">
        <f>IF(MIN(H112,L112,P112,T112,X112,AB112)&lt;&gt;0,MIN(H112,L112,P112,T112,X112,AB112),"")</f>
        <v/>
      </c>
      <c r="AF112" s="160"/>
      <c r="AG112" s="159"/>
      <c r="AH112" s="160"/>
      <c r="AI112" s="159"/>
      <c r="AJ112" s="161" t="str">
        <f>IF(AD112="","",IF(ISBLANK(AF112),"En cours",AD112+AF112))</f>
        <v/>
      </c>
      <c r="AK112" s="162" t="str">
        <f>IF(AE112="","",IF(ISBLANK(AH112),"En cours",AE112+AH112))</f>
        <v/>
      </c>
    </row>
    <row r="113" spans="2:37" ht="21" x14ac:dyDescent="0.35">
      <c r="B113" s="158"/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60" t="str">
        <f>IF(MIN(F113,J113,N113,R113,V113,Z113)&lt;&gt;0,MIN(F113,J113,N113,R113,V113,Z113),"")</f>
        <v/>
      </c>
      <c r="AE113" s="160" t="str">
        <f>IF(MIN(H113,L113,P113,T113,X113,AB113)&lt;&gt;0,MIN(H113,L113,P113,T113,X113,AB113),"")</f>
        <v/>
      </c>
      <c r="AF113" s="160"/>
      <c r="AG113" s="159"/>
      <c r="AH113" s="160"/>
      <c r="AI113" s="159"/>
      <c r="AJ113" s="161" t="str">
        <f>IF(AD113="","",IF(ISBLANK(AF113),"En cours",AD113+AF113))</f>
        <v/>
      </c>
      <c r="AK113" s="162" t="str">
        <f>IF(AE113="","",IF(ISBLANK(AH113),"En cours",AE113+AH113))</f>
        <v/>
      </c>
    </row>
    <row r="114" spans="2:37" ht="21" x14ac:dyDescent="0.35">
      <c r="B114" s="158"/>
      <c r="C114" s="159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60" t="str">
        <f>IF(MIN(F114,J114,N114,R114,V114,Z114)&lt;&gt;0,MIN(F114,J114,N114,R114,V114,Z114),"")</f>
        <v/>
      </c>
      <c r="AE114" s="160" t="str">
        <f>IF(MIN(H114,L114,P114,T114,X114,AB114)&lt;&gt;0,MIN(H114,L114,P114,T114,X114,AB114),"")</f>
        <v/>
      </c>
      <c r="AF114" s="160"/>
      <c r="AG114" s="159"/>
      <c r="AH114" s="160"/>
      <c r="AI114" s="159"/>
      <c r="AJ114" s="161" t="str">
        <f>IF(AD114="","",IF(ISBLANK(AF114),"En cours",AD114+AF114))</f>
        <v/>
      </c>
      <c r="AK114" s="162" t="str">
        <f>IF(AE114="","",IF(ISBLANK(AH114),"En cours",AE114+AH114))</f>
        <v/>
      </c>
    </row>
    <row r="115" spans="2:37" ht="21" x14ac:dyDescent="0.35">
      <c r="B115" s="158"/>
      <c r="C115" s="159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60" t="str">
        <f>IF(MIN(F115,J115,N115,R115,V115,Z115)&lt;&gt;0,MIN(F115,J115,N115,R115,V115,Z115),"")</f>
        <v/>
      </c>
      <c r="AE115" s="160" t="str">
        <f>IF(MIN(H115,L115,P115,T115,X115,AB115)&lt;&gt;0,MIN(H115,L115,P115,T115,X115,AB115),"")</f>
        <v/>
      </c>
      <c r="AF115" s="160"/>
      <c r="AG115" s="159"/>
      <c r="AH115" s="160"/>
      <c r="AI115" s="159"/>
      <c r="AJ115" s="161" t="str">
        <f>IF(AD115="","",IF(ISBLANK(AF115),"En cours",AD115+AF115))</f>
        <v/>
      </c>
      <c r="AK115" s="162" t="str">
        <f>IF(AE115="","",IF(ISBLANK(AH115),"En cours",AE115+AH115))</f>
        <v/>
      </c>
    </row>
    <row r="116" spans="2:37" ht="21" x14ac:dyDescent="0.35">
      <c r="B116" s="158"/>
      <c r="C116" s="159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60" t="str">
        <f>IF(MIN(F116,J116,N116,R116,V116,Z116)&lt;&gt;0,MIN(F116,J116,N116,R116,V116,Z116),"")</f>
        <v/>
      </c>
      <c r="AE116" s="160" t="str">
        <f>IF(MIN(H116,L116,P116,T116,X116,AB116)&lt;&gt;0,MIN(H116,L116,P116,T116,X116,AB116),"")</f>
        <v/>
      </c>
      <c r="AF116" s="160"/>
      <c r="AG116" s="159"/>
      <c r="AH116" s="160"/>
      <c r="AI116" s="159"/>
      <c r="AJ116" s="161" t="str">
        <f>IF(AD116="","",IF(ISBLANK(AF116),"En cours",AD116+AF116))</f>
        <v/>
      </c>
      <c r="AK116" s="162" t="str">
        <f>IF(AE116="","",IF(ISBLANK(AH116),"En cours",AE116+AH116))</f>
        <v/>
      </c>
    </row>
    <row r="117" spans="2:37" ht="21" x14ac:dyDescent="0.35">
      <c r="B117" s="158"/>
      <c r="C117" s="159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60" t="str">
        <f>IF(MIN(F117,J117,N117,R117,V117,Z117)&lt;&gt;0,MIN(F117,J117,N117,R117,V117,Z117),"")</f>
        <v/>
      </c>
      <c r="AE117" s="160" t="str">
        <f>IF(MIN(H117,L117,P117,T117,X117,AB117)&lt;&gt;0,MIN(H117,L117,P117,T117,X117,AB117),"")</f>
        <v/>
      </c>
      <c r="AF117" s="160"/>
      <c r="AG117" s="159"/>
      <c r="AH117" s="160"/>
      <c r="AI117" s="159"/>
      <c r="AJ117" s="161" t="str">
        <f>IF(AD117="","",IF(ISBLANK(AF117),"En cours",AD117+AF117))</f>
        <v/>
      </c>
      <c r="AK117" s="162" t="str">
        <f>IF(AE117="","",IF(ISBLANK(AH117),"En cours",AE117+AH117))</f>
        <v/>
      </c>
    </row>
    <row r="118" spans="2:37" ht="21" x14ac:dyDescent="0.35">
      <c r="B118" s="158"/>
      <c r="C118" s="159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60" t="str">
        <f>IF(MIN(F118,J118,N118,R118,V118,Z118)&lt;&gt;0,MIN(F118,J118,N118,R118,V118,Z118),"")</f>
        <v/>
      </c>
      <c r="AE118" s="160" t="str">
        <f>IF(MIN(H118,L118,P118,T118,X118,AB118)&lt;&gt;0,MIN(H118,L118,P118,T118,X118,AB118),"")</f>
        <v/>
      </c>
      <c r="AF118" s="160"/>
      <c r="AG118" s="159"/>
      <c r="AH118" s="160"/>
      <c r="AI118" s="159"/>
      <c r="AJ118" s="161" t="str">
        <f>IF(AD118="","",IF(ISBLANK(AF118),"En cours",AD118+AF118))</f>
        <v/>
      </c>
      <c r="AK118" s="162" t="str">
        <f>IF(AE118="","",IF(ISBLANK(AH118),"En cours",AE118+AH118))</f>
        <v/>
      </c>
    </row>
    <row r="119" spans="2:37" ht="21" x14ac:dyDescent="0.35">
      <c r="B119" s="158"/>
      <c r="C119" s="159"/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  <c r="W119" s="159"/>
      <c r="X119" s="159"/>
      <c r="Y119" s="159"/>
      <c r="Z119" s="159"/>
      <c r="AA119" s="159"/>
      <c r="AB119" s="159"/>
      <c r="AC119" s="159"/>
      <c r="AD119" s="160" t="str">
        <f>IF(MIN(F119,J119,N119,R119,V119,Z119)&lt;&gt;0,MIN(F119,J119,N119,R119,V119,Z119),"")</f>
        <v/>
      </c>
      <c r="AE119" s="160" t="str">
        <f>IF(MIN(H119,L119,P119,T119,X119,AB119)&lt;&gt;0,MIN(H119,L119,P119,T119,X119,AB119),"")</f>
        <v/>
      </c>
      <c r="AF119" s="160"/>
      <c r="AG119" s="159"/>
      <c r="AH119" s="160"/>
      <c r="AI119" s="159"/>
      <c r="AJ119" s="161" t="str">
        <f>IF(AD119="","",IF(ISBLANK(AF119),"En cours",AD119+AF119))</f>
        <v/>
      </c>
      <c r="AK119" s="162" t="str">
        <f>IF(AE119="","",IF(ISBLANK(AH119),"En cours",AE119+AH119))</f>
        <v/>
      </c>
    </row>
    <row r="120" spans="2:37" ht="21" x14ac:dyDescent="0.35">
      <c r="B120" s="158"/>
      <c r="C120" s="159"/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60" t="str">
        <f>IF(MIN(F120,J120,N120,R120,V120,Z120)&lt;&gt;0,MIN(F120,J120,N120,R120,V120,Z120),"")</f>
        <v/>
      </c>
      <c r="AE120" s="160" t="str">
        <f>IF(MIN(H120,L120,P120,T120,X120,AB120)&lt;&gt;0,MIN(H120,L120,P120,T120,X120,AB120),"")</f>
        <v/>
      </c>
      <c r="AF120" s="160"/>
      <c r="AG120" s="159"/>
      <c r="AH120" s="160"/>
      <c r="AI120" s="159"/>
      <c r="AJ120" s="161" t="str">
        <f>IF(AD120="","",IF(ISBLANK(AF120),"En cours",AD120+AF120))</f>
        <v/>
      </c>
      <c r="AK120" s="162" t="str">
        <f>IF(AE120="","",IF(ISBLANK(AH120),"En cours",AE120+AH120))</f>
        <v/>
      </c>
    </row>
    <row r="121" spans="2:37" ht="21" x14ac:dyDescent="0.35">
      <c r="B121" s="158"/>
      <c r="C121" s="159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60" t="str">
        <f>IF(MIN(F121,J121,N121,R121,V121,Z121)&lt;&gt;0,MIN(F121,J121,N121,R121,V121,Z121),"")</f>
        <v/>
      </c>
      <c r="AE121" s="160" t="str">
        <f>IF(MIN(H121,L121,P121,T121,X121,AB121)&lt;&gt;0,MIN(H121,L121,P121,T121,X121,AB121),"")</f>
        <v/>
      </c>
      <c r="AF121" s="160"/>
      <c r="AG121" s="159"/>
      <c r="AH121" s="160"/>
      <c r="AI121" s="159"/>
      <c r="AJ121" s="161" t="str">
        <f>IF(AD121="","",IF(ISBLANK(AF121),"En cours",AD121+AF121))</f>
        <v/>
      </c>
      <c r="AK121" s="162" t="str">
        <f>IF(AE121="","",IF(ISBLANK(AH121),"En cours",AE121+AH121))</f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>IF(MIN(F122,J122,N122,R122,V122,Z122)&lt;&gt;0,MIN(F122,J122,N122,R122,V122,Z122),"")</f>
        <v/>
      </c>
      <c r="AE122" s="76" t="str">
        <f>IF(MIN(H122,L122,P122,T122,X122,AB122)&lt;&gt;0,MIN(H122,L122,P122,T122,X122,AB122),"")</f>
        <v/>
      </c>
      <c r="AF122" s="77"/>
      <c r="AG122" s="73"/>
      <c r="AH122" s="77"/>
      <c r="AI122" s="73"/>
      <c r="AJ122" s="78" t="str">
        <f>IF(AD122="","",IF(ISBLANK(AF122),"En cours",AD122+AF122))</f>
        <v/>
      </c>
      <c r="AK122" s="79" t="str">
        <f>IF(AE122="","",IF(ISBLANK(AH122),"En cours",AE122+AH122))</f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>IF(MIN(F123,J123,N123,R123,V123,Z123)&lt;&gt;0,MIN(F123,J123,N123,R123,V123,Z123),"")</f>
        <v/>
      </c>
      <c r="AE123" s="76" t="str">
        <f>IF(MIN(H123,L123,P123,T123,X123,AB123)&lt;&gt;0,MIN(H123,L123,P123,T123,X123,AB123),"")</f>
        <v/>
      </c>
      <c r="AF123" s="77"/>
      <c r="AG123" s="73"/>
      <c r="AH123" s="77"/>
      <c r="AI123" s="73"/>
      <c r="AJ123" s="78" t="str">
        <f>IF(AD123="","",IF(ISBLANK(AF123),"En cours",AD123+AF123))</f>
        <v/>
      </c>
      <c r="AK123" s="79" t="str">
        <f>IF(AE123="","",IF(ISBLANK(AH123),"En cours",AE123+AH123))</f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>IF(MIN(F124,J124,N124,R124,V124,Z124)&lt;&gt;0,MIN(F124,J124,N124,R124,V124,Z124),"")</f>
        <v/>
      </c>
      <c r="AE124" s="76" t="str">
        <f>IF(MIN(H124,L124,P124,T124,X124,AB124)&lt;&gt;0,MIN(H124,L124,P124,T124,X124,AB124),"")</f>
        <v/>
      </c>
      <c r="AF124" s="77"/>
      <c r="AG124" s="73"/>
      <c r="AH124" s="77"/>
      <c r="AI124" s="73"/>
      <c r="AJ124" s="78" t="str">
        <f>IF(AD124="","",IF(ISBLANK(AF124),"En cours",AD124+AF124))</f>
        <v/>
      </c>
      <c r="AK124" s="79" t="str">
        <f>IF(AE124="","",IF(ISBLANK(AH124),"En cours",AE124+AH124))</f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>IF(MIN(F125,J125,N125,R125,V125,Z125)&lt;&gt;0,MIN(F125,J125,N125,R125,V125,Z125),"")</f>
        <v/>
      </c>
      <c r="AE125" s="76" t="str">
        <f>IF(MIN(H125,L125,P125,T125,X125,AB125)&lt;&gt;0,MIN(H125,L125,P125,T125,X125,AB125),"")</f>
        <v/>
      </c>
      <c r="AF125" s="77"/>
      <c r="AG125" s="73"/>
      <c r="AH125" s="77"/>
      <c r="AI125" s="73"/>
      <c r="AJ125" s="78" t="str">
        <f>IF(AD125="","",IF(ISBLANK(AF125),"En cours",AD125+AF125))</f>
        <v/>
      </c>
      <c r="AK125" s="79" t="str">
        <f>IF(AE125="","",IF(ISBLANK(AH125),"En cours",AE125+AH125))</f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>IF(MIN(F126,J126,N126,R126,V126,Z126)&lt;&gt;0,MIN(F126,J126,N126,R126,V126,Z126),"")</f>
        <v/>
      </c>
      <c r="AE126" s="76" t="str">
        <f>IF(MIN(H126,L126,P126,T126,X126,AB126)&lt;&gt;0,MIN(H126,L126,P126,T126,X126,AB126),"")</f>
        <v/>
      </c>
      <c r="AF126" s="77"/>
      <c r="AG126" s="73"/>
      <c r="AH126" s="77"/>
      <c r="AI126" s="73"/>
      <c r="AJ126" s="78" t="str">
        <f>IF(AD126="","",IF(ISBLANK(AF126),"En cours",AD126+AF126))</f>
        <v/>
      </c>
      <c r="AK126" s="79" t="str">
        <f>IF(AE126="","",IF(ISBLANK(AH126),"En cours",AE126+AH126))</f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>IF(MIN(F127,J127,N127,R127,V127,Z127)&lt;&gt;0,MIN(F127,J127,N127,R127,V127,Z127),"")</f>
        <v/>
      </c>
      <c r="AE127" s="76" t="str">
        <f>IF(MIN(H127,L127,P127,T127,X127,AB127)&lt;&gt;0,MIN(H127,L127,P127,T127,X127,AB127),"")</f>
        <v/>
      </c>
      <c r="AF127" s="77"/>
      <c r="AG127" s="73"/>
      <c r="AH127" s="77"/>
      <c r="AI127" s="73"/>
      <c r="AJ127" s="78" t="str">
        <f>IF(AD127="","",IF(ISBLANK(AF127),"En cours",AD127+AF127))</f>
        <v/>
      </c>
      <c r="AK127" s="79" t="str">
        <f>IF(AE127="","",IF(ISBLANK(AH127),"En cours",AE127+AH127))</f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>IF(MIN(F128,J128,N128,R128,V128,Z128)&lt;&gt;0,MIN(F128,J128,N128,R128,V128,Z128),"")</f>
        <v/>
      </c>
      <c r="AE128" s="76" t="str">
        <f>IF(MIN(H128,L128,P128,T128,X128,AB128)&lt;&gt;0,MIN(H128,L128,P128,T128,X128,AB128),"")</f>
        <v/>
      </c>
      <c r="AF128" s="77"/>
      <c r="AG128" s="73"/>
      <c r="AH128" s="77"/>
      <c r="AI128" s="73"/>
      <c r="AJ128" s="78" t="str">
        <f>IF(AD128="","",IF(ISBLANK(AF128),"En cours",AD128+AF128))</f>
        <v/>
      </c>
      <c r="AK128" s="79" t="str">
        <f>IF(AE128="","",IF(ISBLANK(AH128),"En cours",AE128+AH128))</f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>IF(MIN(F129,J129,N129,R129,V129,Z129)&lt;&gt;0,MIN(F129,J129,N129,R129,V129,Z129),"")</f>
        <v/>
      </c>
      <c r="AE129" s="76" t="str">
        <f>IF(MIN(H129,L129,P129,T129,X129,AB129)&lt;&gt;0,MIN(H129,L129,P129,T129,X129,AB129),"")</f>
        <v/>
      </c>
      <c r="AF129" s="77"/>
      <c r="AG129" s="73"/>
      <c r="AH129" s="77"/>
      <c r="AI129" s="73"/>
      <c r="AJ129" s="78" t="str">
        <f>IF(AD129="","",IF(ISBLANK(AF129),"En cours",AD129+AF129))</f>
        <v/>
      </c>
      <c r="AK129" s="79" t="str">
        <f>IF(AE129="","",IF(ISBLANK(AH129),"En cours",AE129+AH129))</f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>IF(MIN(F130,J130,N130,R130,V130,Z130)&lt;&gt;0,MIN(F130,J130,N130,R130,V130,Z130),"")</f>
        <v/>
      </c>
      <c r="AE130" s="76" t="str">
        <f>IF(MIN(H130,L130,P130,T130,X130,AB130)&lt;&gt;0,MIN(H130,L130,P130,T130,X130,AB130),"")</f>
        <v/>
      </c>
      <c r="AF130" s="77"/>
      <c r="AG130" s="73"/>
      <c r="AH130" s="77"/>
      <c r="AI130" s="73"/>
      <c r="AJ130" s="78" t="str">
        <f>IF(AD130="","",IF(ISBLANK(AF130),"En cours",AD130+AF130))</f>
        <v/>
      </c>
      <c r="AK130" s="79" t="str">
        <f>IF(AE130="","",IF(ISBLANK(AH130),"En cours",AE130+AH130))</f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>IF(MIN(F131,J131,N131,R131,V131,Z131)&lt;&gt;0,MIN(F131,J131,N131,R131,V131,Z131),"")</f>
        <v/>
      </c>
      <c r="AE131" s="76" t="str">
        <f>IF(MIN(H131,L131,P131,T131,X131,AB131)&lt;&gt;0,MIN(H131,L131,P131,T131,X131,AB131),"")</f>
        <v/>
      </c>
      <c r="AF131" s="77"/>
      <c r="AG131" s="73"/>
      <c r="AH131" s="77"/>
      <c r="AI131" s="73"/>
      <c r="AJ131" s="78" t="str">
        <f>IF(AD131="","",IF(ISBLANK(AF131),"En cours",AD131+AF131))</f>
        <v/>
      </c>
      <c r="AK131" s="79" t="str">
        <f>IF(AE131="","",IF(ISBLANK(AH131),"En cours",AE131+AH131))</f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>IF(MIN(F132,J132,N132,R132,V132,Z132)&lt;&gt;0,MIN(F132,J132,N132,R132,V132,Z132),"")</f>
        <v/>
      </c>
      <c r="AE132" s="76" t="str">
        <f>IF(MIN(H132,L132,P132,T132,X132,AB132)&lt;&gt;0,MIN(H132,L132,P132,T132,X132,AB132),"")</f>
        <v/>
      </c>
      <c r="AF132" s="77"/>
      <c r="AG132" s="73"/>
      <c r="AH132" s="77"/>
      <c r="AI132" s="73"/>
      <c r="AJ132" s="78" t="str">
        <f>IF(AD132="","",IF(ISBLANK(AF132),"En cours",AD132+AF132))</f>
        <v/>
      </c>
      <c r="AK132" s="79" t="str">
        <f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>IF(MIN(F133,J133,N133,R133,V133,Z133)&lt;&gt;0,MIN(F133,J133,N133,R133,V133,Z133),"")</f>
        <v/>
      </c>
      <c r="AE133" s="76" t="str">
        <f>IF(MIN(H133,L133,P133,T133,X133,AB133)&lt;&gt;0,MIN(H133,L133,P133,T133,X133,AB133),"")</f>
        <v/>
      </c>
      <c r="AF133" s="77"/>
      <c r="AG133" s="73"/>
      <c r="AH133" s="77"/>
      <c r="AI133" s="73"/>
      <c r="AJ133" s="78" t="str">
        <f>IF(AD133="","",IF(ISBLANK(AF133),"En cours",AD133+AF133))</f>
        <v/>
      </c>
      <c r="AK133" s="79" t="str">
        <f>IF(AE133="","",IF(ISBLANK(AH133),"En cours",AE133+AH133))</f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>IF(MIN(F134,J134,N134,R134,V134,Z134)&lt;&gt;0,MIN(F134,J134,N134,R134,V134,Z134),"")</f>
        <v/>
      </c>
      <c r="AE134" s="76" t="str">
        <f>IF(MIN(H134,L134,P134,T134,X134,AB134)&lt;&gt;0,MIN(H134,L134,P134,T134,X134,AB134),"")</f>
        <v/>
      </c>
      <c r="AF134" s="77"/>
      <c r="AG134" s="73"/>
      <c r="AH134" s="77"/>
      <c r="AI134" s="73"/>
      <c r="AJ134" s="78" t="str">
        <f>IF(AD134="","",IF(ISBLANK(AF134),"En cours",AD134+AF134))</f>
        <v/>
      </c>
      <c r="AK134" s="79" t="str">
        <f>IF(AE134="","",IF(ISBLANK(AH134),"En cours",AE134+AH134))</f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>IF(MIN(F135,J135,N135,R135,V135,Z135)&lt;&gt;0,MIN(F135,J135,N135,R135,V135,Z135),"")</f>
        <v/>
      </c>
      <c r="AE135" s="76" t="str">
        <f>IF(MIN(H135,L135,P135,T135,X135,AB135)&lt;&gt;0,MIN(H135,L135,P135,T135,X135,AB135),"")</f>
        <v/>
      </c>
      <c r="AF135" s="77"/>
      <c r="AG135" s="73"/>
      <c r="AH135" s="77"/>
      <c r="AI135" s="73"/>
      <c r="AJ135" s="78" t="str">
        <f>IF(AD135="","",IF(ISBLANK(AF135),"En cours",AD135+AF135))</f>
        <v/>
      </c>
      <c r="AK135" s="79" t="str">
        <f>IF(AE135="","",IF(ISBLANK(AH135),"En cours",AE135+AH135))</f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>IF(MIN(F136,J136,N136,R136,V136,Z136)&lt;&gt;0,MIN(F136,J136,N136,R136,V136,Z136),"")</f>
        <v/>
      </c>
      <c r="AE136" s="76" t="str">
        <f>IF(MIN(H136,L136,P136,T136,X136,AB136)&lt;&gt;0,MIN(H136,L136,P136,T136,X136,AB136),"")</f>
        <v/>
      </c>
      <c r="AF136" s="77"/>
      <c r="AG136" s="73"/>
      <c r="AH136" s="77"/>
      <c r="AI136" s="73"/>
      <c r="AJ136" s="78" t="str">
        <f>IF(AD136="","",IF(ISBLANK(AF136),"En cours",AD136+AF136))</f>
        <v/>
      </c>
      <c r="AK136" s="79" t="str">
        <f>IF(AE136="","",IF(ISBLANK(AH136),"En cours",AE136+AH136))</f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>IF(MIN(F137,J137,N137,R137,V137,Z137)&lt;&gt;0,MIN(F137,J137,N137,R137,V137,Z137),"")</f>
        <v/>
      </c>
      <c r="AE137" s="76" t="str">
        <f>IF(MIN(H137,L137,P137,T137,X137,AB137)&lt;&gt;0,MIN(H137,L137,P137,T137,X137,AB137),"")</f>
        <v/>
      </c>
      <c r="AF137" s="77"/>
      <c r="AG137" s="73"/>
      <c r="AH137" s="77"/>
      <c r="AI137" s="73"/>
      <c r="AJ137" s="78" t="str">
        <f>IF(AD137="","",IF(ISBLANK(AF137),"En cours",AD137+AF137))</f>
        <v/>
      </c>
      <c r="AK137" s="79" t="str">
        <f>IF(AE137="","",IF(ISBLANK(AH137),"En cours",AE137+AH137))</f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>IF(MIN(F138,J138,N138,R138,V138,Z138)&lt;&gt;0,MIN(F138,J138,N138,R138,V138,Z138),"")</f>
        <v/>
      </c>
      <c r="AE138" s="76" t="str">
        <f>IF(MIN(H138,L138,P138,T138,X138,AB138)&lt;&gt;0,MIN(H138,L138,P138,T138,X138,AB138),"")</f>
        <v/>
      </c>
      <c r="AF138" s="77"/>
      <c r="AG138" s="73"/>
      <c r="AH138" s="77"/>
      <c r="AI138" s="73"/>
      <c r="AJ138" s="78" t="str">
        <f>IF(AD138="","",IF(ISBLANK(AF138),"En cours",AD138+AF138))</f>
        <v/>
      </c>
      <c r="AK138" s="79" t="str">
        <f>IF(AE138="","",IF(ISBLANK(AH138),"En cours",AE138+AH138))</f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>IF(MIN(F139,J139,N139,R139,V139,Z139)&lt;&gt;0,MIN(F139,J139,N139,R139,V139,Z139),"")</f>
        <v/>
      </c>
      <c r="AE139" s="76" t="str">
        <f>IF(MIN(H139,L139,P139,T139,X139,AB139)&lt;&gt;0,MIN(H139,L139,P139,T139,X139,AB139),"")</f>
        <v/>
      </c>
      <c r="AF139" s="77"/>
      <c r="AG139" s="73"/>
      <c r="AH139" s="77"/>
      <c r="AI139" s="73"/>
      <c r="AJ139" s="78" t="str">
        <f>IF(AD139="","",IF(ISBLANK(AF139),"En cours",AD139+AF139))</f>
        <v/>
      </c>
      <c r="AK139" s="79" t="str">
        <f>IF(AE139="","",IF(ISBLANK(AH139),"En cours",AE139+AH139))</f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>IF(MIN(F140,J140,N140,R140,V140,Z140)&lt;&gt;0,MIN(F140,J140,N140,R140,V140,Z140),"")</f>
        <v/>
      </c>
      <c r="AE140" s="76" t="str">
        <f>IF(MIN(H140,L140,P140,T140,X140,AB140)&lt;&gt;0,MIN(H140,L140,P140,T140,X140,AB140),"")</f>
        <v/>
      </c>
      <c r="AF140" s="77"/>
      <c r="AG140" s="73"/>
      <c r="AH140" s="77"/>
      <c r="AI140" s="73"/>
      <c r="AJ140" s="78" t="str">
        <f>IF(AD140="","",IF(ISBLANK(AF140),"En cours",AD140+AF140))</f>
        <v/>
      </c>
      <c r="AK140" s="79" t="str">
        <f>IF(AE140="","",IF(ISBLANK(AH140),"En cours",AE140+AH140))</f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>IF(MIN(F141,J141,N141,R141,V141,Z141)&lt;&gt;0,MIN(F141,J141,N141,R141,V141,Z141),"")</f>
        <v/>
      </c>
      <c r="AE141" s="76" t="str">
        <f>IF(MIN(H141,L141,P141,T141,X141,AB141)&lt;&gt;0,MIN(H141,L141,P141,T141,X141,AB141),"")</f>
        <v/>
      </c>
      <c r="AF141" s="77"/>
      <c r="AG141" s="73"/>
      <c r="AH141" s="77"/>
      <c r="AI141" s="73"/>
      <c r="AJ141" s="78" t="str">
        <f>IF(AD141="","",IF(ISBLANK(AF141),"En cours",AD141+AF141))</f>
        <v/>
      </c>
      <c r="AK141" s="79" t="str">
        <f>IF(AE141="","",IF(ISBLANK(AH141),"En cours",AE141+AH141))</f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>IF(MIN(F142,J142,N142,R142,V142,Z142)&lt;&gt;0,MIN(F142,J142,N142,R142,V142,Z142),"")</f>
        <v/>
      </c>
      <c r="AE142" s="76" t="str">
        <f>IF(MIN(H142,L142,P142,T142,X142,AB142)&lt;&gt;0,MIN(H142,L142,P142,T142,X142,AB142),"")</f>
        <v/>
      </c>
      <c r="AF142" s="77"/>
      <c r="AG142" s="73"/>
      <c r="AH142" s="77"/>
      <c r="AI142" s="73"/>
      <c r="AJ142" s="78" t="str">
        <f>IF(AD142="","",IF(ISBLANK(AF142),"En cours",AD142+AF142))</f>
        <v/>
      </c>
      <c r="AK142" s="79" t="str">
        <f>IF(AE142="","",IF(ISBLANK(AH142),"En cours",AE142+AH142))</f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>IF(MIN(F143,J143,N143,R143,V143,Z143)&lt;&gt;0,MIN(F143,J143,N143,R143,V143,Z143),"")</f>
        <v/>
      </c>
      <c r="AE143" s="76" t="str">
        <f>IF(MIN(H143,L143,P143,T143,X143,AB143)&lt;&gt;0,MIN(H143,L143,P143,T143,X143,AB143),"")</f>
        <v/>
      </c>
      <c r="AF143" s="77"/>
      <c r="AG143" s="73"/>
      <c r="AH143" s="77"/>
      <c r="AI143" s="73"/>
      <c r="AJ143" s="78" t="str">
        <f>IF(AD143="","",IF(ISBLANK(AF143),"En cours",AD143+AF143))</f>
        <v/>
      </c>
      <c r="AK143" s="79" t="str">
        <f>IF(AE143="","",IF(ISBLANK(AH143),"En cours",AE143+AH143))</f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>IF(MIN(F144,J144,N144,R144,V144,Z144)&lt;&gt;0,MIN(F144,J144,N144,R144,V144,Z144),"")</f>
        <v/>
      </c>
      <c r="AE144" s="76" t="str">
        <f>IF(MIN(H144,L144,P144,T144,X144,AB144)&lt;&gt;0,MIN(H144,L144,P144,T144,X144,AB144),"")</f>
        <v/>
      </c>
      <c r="AF144" s="77"/>
      <c r="AG144" s="73"/>
      <c r="AH144" s="77"/>
      <c r="AI144" s="73"/>
      <c r="AJ144" s="78" t="str">
        <f>IF(AD144="","",IF(ISBLANK(AF144),"En cours",AD144+AF144))</f>
        <v/>
      </c>
      <c r="AK144" s="79" t="str">
        <f>IF(AE144="","",IF(ISBLANK(AH144),"En cours",AE144+AH144))</f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>IF(MIN(F145,J145,N145,R145,V145,Z145)&lt;&gt;0,MIN(F145,J145,N145,R145,V145,Z145),"")</f>
        <v/>
      </c>
      <c r="AE145" s="76" t="str">
        <f>IF(MIN(H145,L145,P145,T145,X145,AB145)&lt;&gt;0,MIN(H145,L145,P145,T145,X145,AB145),"")</f>
        <v/>
      </c>
      <c r="AF145" s="77"/>
      <c r="AG145" s="73"/>
      <c r="AH145" s="77"/>
      <c r="AI145" s="73"/>
      <c r="AJ145" s="78" t="str">
        <f>IF(AD145="","",IF(ISBLANK(AF145),"En cours",AD145+AF145))</f>
        <v/>
      </c>
      <c r="AK145" s="79" t="str">
        <f>IF(AE145="","",IF(ISBLANK(AH145),"En cours",AE145+AH145))</f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>IF(MIN(F146,J146,N146,R146,V146,Z146)&lt;&gt;0,MIN(F146,J146,N146,R146,V146,Z146),"")</f>
        <v/>
      </c>
      <c r="AE146" s="76" t="str">
        <f>IF(MIN(H146,L146,P146,T146,X146,AB146)&lt;&gt;0,MIN(H146,L146,P146,T146,X146,AB146),"")</f>
        <v/>
      </c>
      <c r="AF146" s="77"/>
      <c r="AG146" s="73"/>
      <c r="AH146" s="77"/>
      <c r="AI146" s="73"/>
      <c r="AJ146" s="78" t="str">
        <f>IF(AD146="","",IF(ISBLANK(AF146),"En cours",AD146+AF146))</f>
        <v/>
      </c>
      <c r="AK146" s="79" t="str">
        <f>IF(AE146="","",IF(ISBLANK(AH146),"En cours",AE146+AH146))</f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>IF(MIN(F147,J147,N147,R147,V147,Z147)&lt;&gt;0,MIN(F147,J147,N147,R147,V147,Z147),"")</f>
        <v/>
      </c>
      <c r="AE147" s="76" t="str">
        <f>IF(MIN(H147,L147,P147,T147,X147,AB147)&lt;&gt;0,MIN(H147,L147,P147,T147,X147,AB147),"")</f>
        <v/>
      </c>
      <c r="AF147" s="77"/>
      <c r="AG147" s="73"/>
      <c r="AH147" s="77"/>
      <c r="AI147" s="73"/>
      <c r="AJ147" s="78" t="str">
        <f>IF(AD147="","",IF(ISBLANK(AF147),"En cours",AD147+AF147))</f>
        <v/>
      </c>
      <c r="AK147" s="79" t="str">
        <f>IF(AE147="","",IF(ISBLANK(AH147),"En cours",AE147+AH147))</f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>IF(MIN(F148,J148,N148,R148,V148,Z148)&lt;&gt;0,MIN(F148,J148,N148,R148,V148,Z148),"")</f>
        <v/>
      </c>
      <c r="AE148" s="76" t="str">
        <f>IF(MIN(H148,L148,P148,T148,X148,AB148)&lt;&gt;0,MIN(H148,L148,P148,T148,X148,AB148),"")</f>
        <v/>
      </c>
      <c r="AF148" s="77"/>
      <c r="AG148" s="73"/>
      <c r="AH148" s="77"/>
      <c r="AI148" s="73"/>
      <c r="AJ148" s="78" t="str">
        <f>IF(AD148="","",IF(ISBLANK(AF148),"En cours",AD148+AF148))</f>
        <v/>
      </c>
      <c r="AK148" s="79" t="str">
        <f>IF(AE148="","",IF(ISBLANK(AH148),"En cours",AE148+AH148))</f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>IF(MIN(F149,J149,N149,R149,V149,Z149)&lt;&gt;0,MIN(F149,J149,N149,R149,V149,Z149),"")</f>
        <v/>
      </c>
      <c r="AE149" s="76" t="str">
        <f>IF(MIN(H149,L149,P149,T149,X149,AB149)&lt;&gt;0,MIN(H149,L149,P149,T149,X149,AB149),"")</f>
        <v/>
      </c>
      <c r="AF149" s="77"/>
      <c r="AG149" s="73"/>
      <c r="AH149" s="77"/>
      <c r="AI149" s="73"/>
      <c r="AJ149" s="78" t="str">
        <f>IF(AD149="","",IF(ISBLANK(AF149),"En cours",AD149+AF149))</f>
        <v/>
      </c>
      <c r="AK149" s="79" t="str">
        <f>IF(AE149="","",IF(ISBLANK(AH149),"En cours",AE149+AH149))</f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>IF(MIN(F150,J150,N150,R150,V150,Z150)&lt;&gt;0,MIN(F150,J150,N150,R150,V150,Z150),"")</f>
        <v/>
      </c>
      <c r="AE150" s="76" t="str">
        <f>IF(MIN(H150,L150,P150,T150,X150,AB150)&lt;&gt;0,MIN(H150,L150,P150,T150,X150,AB150),"")</f>
        <v/>
      </c>
      <c r="AF150" s="77"/>
      <c r="AG150" s="73"/>
      <c r="AH150" s="77"/>
      <c r="AI150" s="73"/>
      <c r="AJ150" s="78" t="str">
        <f>IF(AD150="","",IF(ISBLANK(AF150),"En cours",AD150+AF150))</f>
        <v/>
      </c>
      <c r="AK150" s="79" t="str">
        <f>IF(AE150="","",IF(ISBLANK(AH150),"En cours",AE150+AH150))</f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>IF(MIN(F151,J151,N151,R151,V151,Z151)&lt;&gt;0,MIN(F151,J151,N151,R151,V151,Z151),"")</f>
        <v/>
      </c>
      <c r="AE151" s="76" t="str">
        <f>IF(MIN(H151,L151,P151,T151,X151,AB151)&lt;&gt;0,MIN(H151,L151,P151,T151,X151,AB151),"")</f>
        <v/>
      </c>
      <c r="AF151" s="77"/>
      <c r="AG151" s="73"/>
      <c r="AH151" s="77"/>
      <c r="AI151" s="73"/>
      <c r="AJ151" s="78" t="str">
        <f>IF(AD151="","",IF(ISBLANK(AF151),"En cours",AD151+AF151))</f>
        <v/>
      </c>
      <c r="AK151" s="79" t="str">
        <f>IF(AE151="","",IF(ISBLANK(AH151),"En cours",AE151+AH151))</f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>IF(MIN(F152,J152,N152,R152,V152,Z152)&lt;&gt;0,MIN(F152,J152,N152,R152,V152,Z152),"")</f>
        <v/>
      </c>
      <c r="AE152" s="76" t="str">
        <f>IF(MIN(H152,L152,P152,T152,X152,AB152)&lt;&gt;0,MIN(H152,L152,P152,T152,X152,AB152),"")</f>
        <v/>
      </c>
      <c r="AF152" s="77"/>
      <c r="AG152" s="73"/>
      <c r="AH152" s="77"/>
      <c r="AI152" s="73"/>
      <c r="AJ152" s="78" t="str">
        <f>IF(AD152="","",IF(ISBLANK(AF152),"En cours",AD152+AF152))</f>
        <v/>
      </c>
      <c r="AK152" s="79" t="str">
        <f>IF(AE152="","",IF(ISBLANK(AH152),"En cours",AE152+AH152))</f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>IF(MIN(F153,J153,N153,R153,V153,Z153)&lt;&gt;0,MIN(F153,J153,N153,R153,V153,Z153),"")</f>
        <v/>
      </c>
      <c r="AE153" s="76" t="str">
        <f>IF(MIN(H153,L153,P153,T153,X153,AB153)&lt;&gt;0,MIN(H153,L153,P153,T153,X153,AB153),"")</f>
        <v/>
      </c>
      <c r="AF153" s="77"/>
      <c r="AG153" s="73"/>
      <c r="AH153" s="77"/>
      <c r="AI153" s="73"/>
      <c r="AJ153" s="78" t="str">
        <f>IF(AD153="","",IF(ISBLANK(AF153),"En cours",AD153+AF153))</f>
        <v/>
      </c>
      <c r="AK153" s="79" t="str">
        <f>IF(AE153="","",IF(ISBLANK(AH153),"En cours",AE153+AH153))</f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>IF(MIN(F154,J154,N154,R154,V154,Z154)&lt;&gt;0,MIN(F154,J154,N154,R154,V154,Z154),"")</f>
        <v/>
      </c>
      <c r="AE154" s="76" t="str">
        <f>IF(MIN(H154,L154,P154,T154,X154,AB154)&lt;&gt;0,MIN(H154,L154,P154,T154,X154,AB154),"")</f>
        <v/>
      </c>
      <c r="AF154" s="77"/>
      <c r="AG154" s="73"/>
      <c r="AH154" s="77"/>
      <c r="AI154" s="73"/>
      <c r="AJ154" s="78" t="str">
        <f>IF(AD154="","",IF(ISBLANK(AF154),"En cours",AD154+AF154))</f>
        <v/>
      </c>
      <c r="AK154" s="79" t="str">
        <f>IF(AE154="","",IF(ISBLANK(AH154),"En cours",AE154+AH154))</f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>IF(MIN(F155,J155,N155,R155,V155,Z155)&lt;&gt;0,MIN(F155,J155,N155,R155,V155,Z155),"")</f>
        <v/>
      </c>
      <c r="AE155" s="76" t="str">
        <f>IF(MIN(H155,L155,P155,T155,X155,AB155)&lt;&gt;0,MIN(H155,L155,P155,T155,X155,AB155),"")</f>
        <v/>
      </c>
      <c r="AF155" s="77"/>
      <c r="AG155" s="73"/>
      <c r="AH155" s="77"/>
      <c r="AI155" s="73"/>
      <c r="AJ155" s="78" t="str">
        <f>IF(AD155="","",IF(ISBLANK(AF155),"En cours",AD155+AF155))</f>
        <v/>
      </c>
      <c r="AK155" s="79" t="str">
        <f>IF(AE155="","",IF(ISBLANK(AH155),"En cours",AE155+AH155))</f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>IF(MIN(F156,J156,N156,R156,V156,Z156)&lt;&gt;0,MIN(F156,J156,N156,R156,V156,Z156),"")</f>
        <v/>
      </c>
      <c r="AE156" s="76" t="str">
        <f>IF(MIN(H156,L156,P156,T156,X156,AB156)&lt;&gt;0,MIN(H156,L156,P156,T156,X156,AB156),"")</f>
        <v/>
      </c>
      <c r="AF156" s="77"/>
      <c r="AG156" s="73"/>
      <c r="AH156" s="77"/>
      <c r="AI156" s="73"/>
      <c r="AJ156" s="78" t="str">
        <f>IF(AD156="","",IF(ISBLANK(AF156),"En cours",AD156+AF156))</f>
        <v/>
      </c>
      <c r="AK156" s="79" t="str">
        <f>IF(AE156="","",IF(ISBLANK(AH156),"En cours",AE156+AH156))</f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>IF(MIN(F157,J157,N157,R157,V157,Z157)&lt;&gt;0,MIN(F157,J157,N157,R157,V157,Z157),"")</f>
        <v/>
      </c>
      <c r="AE157" s="76" t="str">
        <f>IF(MIN(H157,L157,P157,T157,X157,AB157)&lt;&gt;0,MIN(H157,L157,P157,T157,X157,AB157),"")</f>
        <v/>
      </c>
      <c r="AF157" s="77"/>
      <c r="AG157" s="73"/>
      <c r="AH157" s="77"/>
      <c r="AI157" s="73"/>
      <c r="AJ157" s="78" t="str">
        <f>IF(AD157="","",IF(ISBLANK(AF157),"En cours",AD157+AF157))</f>
        <v/>
      </c>
      <c r="AK157" s="79" t="str">
        <f>IF(AE157="","",IF(ISBLANK(AH157),"En cours",AE157+AH157))</f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>IF(MIN(F158,J158,N158,R158,V158,Z158)&lt;&gt;0,MIN(F158,J158,N158,R158,V158,Z158),"")</f>
        <v/>
      </c>
      <c r="AE158" s="76" t="str">
        <f>IF(MIN(H158,L158,P158,T158,X158,AB158)&lt;&gt;0,MIN(H158,L158,P158,T158,X158,AB158),"")</f>
        <v/>
      </c>
      <c r="AF158" s="77"/>
      <c r="AG158" s="73"/>
      <c r="AH158" s="77"/>
      <c r="AI158" s="73"/>
      <c r="AJ158" s="78" t="str">
        <f>IF(AD158="","",IF(ISBLANK(AF158),"En cours",AD158+AF158))</f>
        <v/>
      </c>
      <c r="AK158" s="79" t="str">
        <f>IF(AE158="","",IF(ISBLANK(AH158),"En cours",AE158+AH158))</f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>IF(MIN(F159,J159,N159,R159,V159,Z159)&lt;&gt;0,MIN(F159,J159,N159,R159,V159,Z159),"")</f>
        <v/>
      </c>
      <c r="AE159" s="76" t="str">
        <f>IF(MIN(H159,L159,P159,T159,X159,AB159)&lt;&gt;0,MIN(H159,L159,P159,T159,X159,AB159),"")</f>
        <v/>
      </c>
      <c r="AF159" s="77"/>
      <c r="AG159" s="73"/>
      <c r="AH159" s="77"/>
      <c r="AI159" s="73"/>
      <c r="AJ159" s="78" t="str">
        <f>IF(AD159="","",IF(ISBLANK(AF159),"En cours",AD159+AF159))</f>
        <v/>
      </c>
      <c r="AK159" s="79" t="str">
        <f>IF(AE159="","",IF(ISBLANK(AH159),"En cours",AE159+AH159))</f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>IF(MIN(F160,J160,N160,R160,V160,Z160)&lt;&gt;0,MIN(F160,J160,N160,R160,V160,Z160),"")</f>
        <v/>
      </c>
      <c r="AE160" s="76" t="str">
        <f>IF(MIN(H160,L160,P160,T160,X160,AB160)&lt;&gt;0,MIN(H160,L160,P160,T160,X160,AB160),"")</f>
        <v/>
      </c>
      <c r="AF160" s="77"/>
      <c r="AG160" s="73"/>
      <c r="AH160" s="77"/>
      <c r="AI160" s="73"/>
      <c r="AJ160" s="78" t="str">
        <f>IF(AD160="","",IF(ISBLANK(AF160),"En cours",AD160+AF160))</f>
        <v/>
      </c>
      <c r="AK160" s="79" t="str">
        <f>IF(AE160="","",IF(ISBLANK(AH160),"En cours",AE160+AH160))</f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>IF(MIN(F161,J161,N161,R161,V161,Z161)&lt;&gt;0,MIN(F161,J161,N161,R161,V161,Z161),"")</f>
        <v/>
      </c>
      <c r="AE161" s="76" t="str">
        <f>IF(MIN(H161,L161,P161,T161,X161,AB161)&lt;&gt;0,MIN(H161,L161,P161,T161,X161,AB161),"")</f>
        <v/>
      </c>
      <c r="AF161" s="77"/>
      <c r="AG161" s="73"/>
      <c r="AH161" s="77"/>
      <c r="AI161" s="73"/>
      <c r="AJ161" s="78" t="str">
        <f>IF(AD161="","",IF(ISBLANK(AF161),"En cours",AD161+AF161))</f>
        <v/>
      </c>
      <c r="AK161" s="79" t="str">
        <f>IF(AE161="","",IF(ISBLANK(AH161),"En cours",AE161+AH161))</f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>IF(MIN(F162,J162,N162,R162,V162,Z162)&lt;&gt;0,MIN(F162,J162,N162,R162,V162,Z162),"")</f>
        <v/>
      </c>
      <c r="AE162" s="76" t="str">
        <f>IF(MIN(H162,L162,P162,T162,X162,AB162)&lt;&gt;0,MIN(H162,L162,P162,T162,X162,AB162),"")</f>
        <v/>
      </c>
      <c r="AF162" s="77"/>
      <c r="AG162" s="73"/>
      <c r="AH162" s="77"/>
      <c r="AI162" s="73"/>
      <c r="AJ162" s="78" t="str">
        <f>IF(AD162="","",IF(ISBLANK(AF162),"En cours",AD162+AF162))</f>
        <v/>
      </c>
      <c r="AK162" s="79" t="str">
        <f>IF(AE162="","",IF(ISBLANK(AH162),"En cours",AE162+AH162))</f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>IF(MIN(F163,J163,N163,R163,V163,Z163)&lt;&gt;0,MIN(F163,J163,N163,R163,V163,Z163),"")</f>
        <v/>
      </c>
      <c r="AE163" s="76" t="str">
        <f>IF(MIN(H163,L163,P163,T163,X163,AB163)&lt;&gt;0,MIN(H163,L163,P163,T163,X163,AB163),"")</f>
        <v/>
      </c>
      <c r="AF163" s="77"/>
      <c r="AG163" s="73"/>
      <c r="AH163" s="77"/>
      <c r="AI163" s="73"/>
      <c r="AJ163" s="78" t="str">
        <f>IF(AD163="","",IF(ISBLANK(AF163),"En cours",AD163+AF163))</f>
        <v/>
      </c>
      <c r="AK163" s="79" t="str">
        <f>IF(AE163="","",IF(ISBLANK(AH163),"En cours",AE163+AH163))</f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>IF(MIN(F164,J164,N164,R164,V164,Z164)&lt;&gt;0,MIN(F164,J164,N164,R164,V164,Z164),"")</f>
        <v/>
      </c>
      <c r="AE164" s="76" t="str">
        <f>IF(MIN(H164,L164,P164,T164,X164,AB164)&lt;&gt;0,MIN(H164,L164,P164,T164,X164,AB164),"")</f>
        <v/>
      </c>
      <c r="AF164" s="77"/>
      <c r="AG164" s="73"/>
      <c r="AH164" s="77"/>
      <c r="AI164" s="73"/>
      <c r="AJ164" s="78" t="str">
        <f>IF(AD164="","",IF(ISBLANK(AF164),"En cours",AD164+AF164))</f>
        <v/>
      </c>
      <c r="AK164" s="79" t="str">
        <f>IF(AE164="","",IF(ISBLANK(AH164),"En cours",AE164+AH164))</f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>IF(MIN(F165,J165,N165,R165,V165,Z165)&lt;&gt;0,MIN(F165,J165,N165,R165,V165,Z165),"")</f>
        <v/>
      </c>
      <c r="AE165" s="76" t="str">
        <f>IF(MIN(H165,L165,P165,T165,X165,AB165)&lt;&gt;0,MIN(H165,L165,P165,T165,X165,AB165),"")</f>
        <v/>
      </c>
      <c r="AF165" s="77"/>
      <c r="AG165" s="73"/>
      <c r="AH165" s="77"/>
      <c r="AI165" s="73"/>
      <c r="AJ165" s="78" t="str">
        <f>IF(AD165="","",IF(ISBLANK(AF165),"En cours",AD165+AF165))</f>
        <v/>
      </c>
      <c r="AK165" s="79" t="str">
        <f>IF(AE165="","",IF(ISBLANK(AH165),"En cours",AE165+AH165))</f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>IF(MIN(F166,J166,N166,R166,V166,Z166)&lt;&gt;0,MIN(F166,J166,N166,R166,V166,Z166),"")</f>
        <v/>
      </c>
      <c r="AE166" s="76" t="str">
        <f>IF(MIN(H166,L166,P166,T166,X166,AB166)&lt;&gt;0,MIN(H166,L166,P166,T166,X166,AB166),"")</f>
        <v/>
      </c>
      <c r="AF166" s="77"/>
      <c r="AG166" s="73"/>
      <c r="AH166" s="77"/>
      <c r="AI166" s="73"/>
      <c r="AJ166" s="78" t="str">
        <f>IF(AD166="","",IF(ISBLANK(AF166),"En cours",AD166+AF166))</f>
        <v/>
      </c>
      <c r="AK166" s="79" t="str">
        <f>IF(AE166="","",IF(ISBLANK(AH166),"En cours",AE166+AH166))</f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>IF(MIN(F167,J167,N167,R167,V167,Z167)&lt;&gt;0,MIN(F167,J167,N167,R167,V167,Z167),"")</f>
        <v/>
      </c>
      <c r="AE167" s="76" t="str">
        <f>IF(MIN(H167,L167,P167,T167,X167,AB167)&lt;&gt;0,MIN(H167,L167,P167,T167,X167,AB167),"")</f>
        <v/>
      </c>
      <c r="AF167" s="77"/>
      <c r="AG167" s="73"/>
      <c r="AH167" s="77"/>
      <c r="AI167" s="73"/>
      <c r="AJ167" s="78" t="str">
        <f>IF(AD167="","",IF(ISBLANK(AF167),"En cours",AD167+AF167))</f>
        <v/>
      </c>
      <c r="AK167" s="79" t="str">
        <f>IF(AE167="","",IF(ISBLANK(AH167),"En cours",AE167+AH167))</f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>IF(MIN(F168,J168,N168,R168,V168,Z168)&lt;&gt;0,MIN(F168,J168,N168,R168,V168,Z168),"")</f>
        <v/>
      </c>
      <c r="AE168" s="76" t="str">
        <f>IF(MIN(H168,L168,P168,T168,X168,AB168)&lt;&gt;0,MIN(H168,L168,P168,T168,X168,AB168),"")</f>
        <v/>
      </c>
      <c r="AF168" s="77"/>
      <c r="AG168" s="73"/>
      <c r="AH168" s="77"/>
      <c r="AI168" s="73"/>
      <c r="AJ168" s="78" t="str">
        <f>IF(AD168="","",IF(ISBLANK(AF168),"En cours",AD168+AF168))</f>
        <v/>
      </c>
      <c r="AK168" s="79" t="str">
        <f>IF(AE168="","",IF(ISBLANK(AH168),"En cours",AE168+AH168))</f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>IF(MIN(F169,J169,N169,R169,V169,Z169)&lt;&gt;0,MIN(F169,J169,N169,R169,V169,Z169),"")</f>
        <v/>
      </c>
      <c r="AE169" s="76" t="str">
        <f>IF(MIN(H169,L169,P169,T169,X169,AB169)&lt;&gt;0,MIN(H169,L169,P169,T169,X169,AB169),"")</f>
        <v/>
      </c>
      <c r="AF169" s="77"/>
      <c r="AG169" s="73"/>
      <c r="AH169" s="77"/>
      <c r="AI169" s="73"/>
      <c r="AJ169" s="78" t="str">
        <f>IF(AD169="","",IF(ISBLANK(AF169),"En cours",AD169+AF169))</f>
        <v/>
      </c>
      <c r="AK169" s="79" t="str">
        <f>IF(AE169="","",IF(ISBLANK(AH169),"En cours",AE169+AH169))</f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>IF(MIN(F170,J170,N170,R170,V170,Z170)&lt;&gt;0,MIN(F170,J170,N170,R170,V170,Z170),"")</f>
        <v/>
      </c>
      <c r="AE170" s="76" t="str">
        <f>IF(MIN(H170,L170,P170,T170,X170,AB170)&lt;&gt;0,MIN(H170,L170,P170,T170,X170,AB170),"")</f>
        <v/>
      </c>
      <c r="AF170" s="77"/>
      <c r="AG170" s="73"/>
      <c r="AH170" s="77"/>
      <c r="AI170" s="73"/>
      <c r="AJ170" s="78" t="str">
        <f>IF(AD170="","",IF(ISBLANK(AF170),"En cours",AD170+AF170))</f>
        <v/>
      </c>
      <c r="AK170" s="79" t="str">
        <f>IF(AE170="","",IF(ISBLANK(AH170),"En cours",AE170+AH170))</f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>IF(MIN(F171,J171,N171,R171,V171,Z171)&lt;&gt;0,MIN(F171,J171,N171,R171,V171,Z171),"")</f>
        <v/>
      </c>
      <c r="AE171" s="76" t="str">
        <f>IF(MIN(H171,L171,P171,T171,X171,AB171)&lt;&gt;0,MIN(H171,L171,P171,T171,X171,AB171),"")</f>
        <v/>
      </c>
      <c r="AF171" s="77"/>
      <c r="AG171" s="73"/>
      <c r="AH171" s="77"/>
      <c r="AI171" s="73"/>
      <c r="AJ171" s="78" t="str">
        <f>IF(AD171="","",IF(ISBLANK(AF171),"En cours",AD171+AF171))</f>
        <v/>
      </c>
      <c r="AK171" s="79" t="str">
        <f>IF(AE171="","",IF(ISBLANK(AH171),"En cours",AE171+AH171))</f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>IF(MIN(F172,J172,N172,R172,V172,Z172)&lt;&gt;0,MIN(F172,J172,N172,R172,V172,Z172),"")</f>
        <v/>
      </c>
      <c r="AE172" s="76" t="str">
        <f>IF(MIN(H172,L172,P172,T172,X172,AB172)&lt;&gt;0,MIN(H172,L172,P172,T172,X172,AB172),"")</f>
        <v/>
      </c>
      <c r="AF172" s="77"/>
      <c r="AG172" s="73"/>
      <c r="AH172" s="77"/>
      <c r="AI172" s="73"/>
      <c r="AJ172" s="78" t="str">
        <f>IF(AD172="","",IF(ISBLANK(AF172),"En cours",AD172+AF172))</f>
        <v/>
      </c>
      <c r="AK172" s="79" t="str">
        <f>IF(AE172="","",IF(ISBLANK(AH172),"En cours",AE172+AH172))</f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>IF(MIN(F173,J173,N173,R173,V173,Z173)&lt;&gt;0,MIN(F173,J173,N173,R173,V173,Z173),"")</f>
        <v/>
      </c>
      <c r="AE173" s="76" t="str">
        <f>IF(MIN(H173,L173,P173,T173,X173,AB173)&lt;&gt;0,MIN(H173,L173,P173,T173,X173,AB173),"")</f>
        <v/>
      </c>
      <c r="AF173" s="77"/>
      <c r="AG173" s="73"/>
      <c r="AH173" s="77"/>
      <c r="AI173" s="73"/>
      <c r="AJ173" s="78" t="str">
        <f>IF(AD173="","",IF(ISBLANK(AF173),"En cours",AD173+AF173))</f>
        <v/>
      </c>
      <c r="AK173" s="79" t="str">
        <f>IF(AE173="","",IF(ISBLANK(AH173),"En cours",AE173+AH173))</f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>IF(MIN(F174,J174,N174,R174,V174,Z174)&lt;&gt;0,MIN(F174,J174,N174,R174,V174,Z174),"")</f>
        <v/>
      </c>
      <c r="AE174" s="76" t="str">
        <f>IF(MIN(H174,L174,P174,T174,X174,AB174)&lt;&gt;0,MIN(H174,L174,P174,T174,X174,AB174),"")</f>
        <v/>
      </c>
      <c r="AF174" s="77"/>
      <c r="AG174" s="73"/>
      <c r="AH174" s="77"/>
      <c r="AI174" s="73"/>
      <c r="AJ174" s="78" t="str">
        <f>IF(AD174="","",IF(ISBLANK(AF174),"En cours",AD174+AF174))</f>
        <v/>
      </c>
      <c r="AK174" s="79" t="str">
        <f>IF(AE174="","",IF(ISBLANK(AH174),"En cours",AE174+AH174))</f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>IF(MIN(F175,J175,N175,R175,V175,Z175)&lt;&gt;0,MIN(F175,J175,N175,R175,V175,Z175),"")</f>
        <v/>
      </c>
      <c r="AE175" s="76" t="str">
        <f>IF(MIN(H175,L175,P175,T175,X175,AB175)&lt;&gt;0,MIN(H175,L175,P175,T175,X175,AB175),"")</f>
        <v/>
      </c>
      <c r="AF175" s="77"/>
      <c r="AG175" s="73"/>
      <c r="AH175" s="77"/>
      <c r="AI175" s="73"/>
      <c r="AJ175" s="78" t="str">
        <f>IF(AD175="","",IF(ISBLANK(AF175),"En cours",AD175+AF175))</f>
        <v/>
      </c>
      <c r="AK175" s="79" t="str">
        <f>IF(AE175="","",IF(ISBLANK(AH175),"En cours",AE175+AH175))</f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>IF(MIN(F176,J176,N176,R176,V176,Z176)&lt;&gt;0,MIN(F176,J176,N176,R176,V176,Z176),"")</f>
        <v/>
      </c>
      <c r="AE176" s="76" t="str">
        <f>IF(MIN(H176,L176,P176,T176,X176,AB176)&lt;&gt;0,MIN(H176,L176,P176,T176,X176,AB176),"")</f>
        <v/>
      </c>
      <c r="AF176" s="77"/>
      <c r="AG176" s="73"/>
      <c r="AH176" s="77"/>
      <c r="AI176" s="73"/>
      <c r="AJ176" s="78" t="str">
        <f>IF(AD176="","",IF(ISBLANK(AF176),"En cours",AD176+AF176))</f>
        <v/>
      </c>
      <c r="AK176" s="79" t="str">
        <f>IF(AE176="","",IF(ISBLANK(AH176),"En cours",AE176+AH176))</f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>IF(MIN(F177,J177,N177,R177,V177,Z177)&lt;&gt;0,MIN(F177,J177,N177,R177,V177,Z177),"")</f>
        <v/>
      </c>
      <c r="AE177" s="76" t="str">
        <f>IF(MIN(H177,L177,P177,T177,X177,AB177)&lt;&gt;0,MIN(H177,L177,P177,T177,X177,AB177),"")</f>
        <v/>
      </c>
      <c r="AF177" s="77"/>
      <c r="AG177" s="73"/>
      <c r="AH177" s="77"/>
      <c r="AI177" s="73"/>
      <c r="AJ177" s="78" t="str">
        <f>IF(AD177="","",IF(ISBLANK(AF177),"En cours",AD177+AF177))</f>
        <v/>
      </c>
      <c r="AK177" s="79" t="str">
        <f>IF(AE177="","",IF(ISBLANK(AH177),"En cours",AE177+AH177))</f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>IF(MIN(F178,J178,N178,R178,V178,Z178)&lt;&gt;0,MIN(F178,J178,N178,R178,V178,Z178),"")</f>
        <v/>
      </c>
      <c r="AE178" s="76" t="str">
        <f>IF(MIN(H178,L178,P178,T178,X178,AB178)&lt;&gt;0,MIN(H178,L178,P178,T178,X178,AB178),"")</f>
        <v/>
      </c>
      <c r="AF178" s="77"/>
      <c r="AG178" s="73"/>
      <c r="AH178" s="77"/>
      <c r="AI178" s="73"/>
      <c r="AJ178" s="78" t="str">
        <f>IF(AD178="","",IF(ISBLANK(AF178),"En cours",AD178+AF178))</f>
        <v/>
      </c>
      <c r="AK178" s="79" t="str">
        <f>IF(AE178="","",IF(ISBLANK(AH178),"En cours",AE178+AH178))</f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>IF(MIN(F179,J179,N179,R179,V179,Z179)&lt;&gt;0,MIN(F179,J179,N179,R179,V179,Z179),"")</f>
        <v/>
      </c>
      <c r="AE179" s="76" t="str">
        <f>IF(MIN(H179,L179,P179,T179,X179,AB179)&lt;&gt;0,MIN(H179,L179,P179,T179,X179,AB179),"")</f>
        <v/>
      </c>
      <c r="AF179" s="77"/>
      <c r="AG179" s="73"/>
      <c r="AH179" s="77"/>
      <c r="AI179" s="73"/>
      <c r="AJ179" s="78" t="str">
        <f>IF(AD179="","",IF(ISBLANK(AF179),"En cours",AD179+AF179))</f>
        <v/>
      </c>
      <c r="AK179" s="79" t="str">
        <f>IF(AE179="","",IF(ISBLANK(AH179),"En cours",AE179+AH179))</f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>IF(MIN(F180,J180,N180,R180,V180,Z180)&lt;&gt;0,MIN(F180,J180,N180,R180,V180,Z180),"")</f>
        <v/>
      </c>
      <c r="AE180" s="76" t="str">
        <f>IF(MIN(H180,L180,P180,T180,X180,AB180)&lt;&gt;0,MIN(H180,L180,P180,T180,X180,AB180),"")</f>
        <v/>
      </c>
      <c r="AF180" s="77"/>
      <c r="AG180" s="73"/>
      <c r="AH180" s="77"/>
      <c r="AI180" s="73"/>
      <c r="AJ180" s="78" t="str">
        <f>IF(AD180="","",IF(ISBLANK(AF180),"En cours",AD180+AF180))</f>
        <v/>
      </c>
      <c r="AK180" s="79" t="str">
        <f>IF(AE180="","",IF(ISBLANK(AH180),"En cours",AE180+AH180))</f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>IF(MIN(F181,J181,N181,R181,V181,Z181)&lt;&gt;0,MIN(F181,J181,N181,R181,V181,Z181),"")</f>
        <v/>
      </c>
      <c r="AE181" s="76" t="str">
        <f>IF(MIN(H181,L181,P181,T181,X181,AB181)&lt;&gt;0,MIN(H181,L181,P181,T181,X181,AB181),"")</f>
        <v/>
      </c>
      <c r="AF181" s="77"/>
      <c r="AG181" s="73"/>
      <c r="AH181" s="77"/>
      <c r="AI181" s="73"/>
      <c r="AJ181" s="78" t="str">
        <f>IF(AD181="","",IF(ISBLANK(AF181),"En cours",AD181+AF181))</f>
        <v/>
      </c>
      <c r="AK181" s="79" t="str">
        <f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>IF(MIN(F182,J182,N182,R182,V182,Z182)&lt;&gt;0,MIN(F182,J182,N182,R182,V182,Z182),"")</f>
        <v/>
      </c>
      <c r="AE182" s="76" t="str">
        <f>IF(MIN(H182,L182,P182,T182,X182,AB182)&lt;&gt;0,MIN(H182,L182,P182,T182,X182,AB182),"")</f>
        <v/>
      </c>
      <c r="AF182" s="77"/>
      <c r="AG182" s="73"/>
      <c r="AH182" s="77"/>
      <c r="AI182" s="73"/>
      <c r="AJ182" s="78" t="str">
        <f>IF(AD182="","",IF(ISBLANK(AF182),"En cours",AD182+AF182))</f>
        <v/>
      </c>
      <c r="AK182" s="79" t="str">
        <f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>IF(MIN(F183,J183,N183,R183,V183,Z183)&lt;&gt;0,MIN(F183,J183,N183,R183,V183,Z183),"")</f>
        <v/>
      </c>
      <c r="AE183" s="76" t="str">
        <f>IF(MIN(H183,L183,P183,T183,X183,AB183)&lt;&gt;0,MIN(H183,L183,P183,T183,X183,AB183),"")</f>
        <v/>
      </c>
      <c r="AF183" s="77"/>
      <c r="AG183" s="73"/>
      <c r="AH183" s="77"/>
      <c r="AI183" s="73"/>
      <c r="AJ183" s="78" t="str">
        <f>IF(AD183="","",IF(ISBLANK(AF183),"En cours",AD183+AF183))</f>
        <v/>
      </c>
      <c r="AK183" s="79" t="str">
        <f>IF(AE183="","",IF(ISBLANK(AH183),"En cours",AE183+AH183))</f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>IF(MIN(F184,J184,N184,R184,V184,Z184)&lt;&gt;0,MIN(F184,J184,N184,R184,V184,Z184),"")</f>
        <v/>
      </c>
      <c r="AE184" s="76" t="str">
        <f>IF(MIN(H184,L184,P184,T184,X184,AB184)&lt;&gt;0,MIN(H184,L184,P184,T184,X184,AB184),"")</f>
        <v/>
      </c>
      <c r="AF184" s="77"/>
      <c r="AG184" s="73"/>
      <c r="AH184" s="77"/>
      <c r="AI184" s="73"/>
      <c r="AJ184" s="78" t="str">
        <f>IF(AD184="","",IF(ISBLANK(AF184),"En cours",AD184+AF184))</f>
        <v/>
      </c>
      <c r="AK184" s="79" t="str">
        <f>IF(AE184="","",IF(ISBLANK(AH184),"En cours",AE184+AH184))</f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>IF(MIN(F185,J185,N185,R185,V185,Z185)&lt;&gt;0,MIN(F185,J185,N185,R185,V185,Z185),"")</f>
        <v/>
      </c>
      <c r="AE185" s="76" t="str">
        <f>IF(MIN(H185,L185,P185,T185,X185,AB185)&lt;&gt;0,MIN(H185,L185,P185,T185,X185,AB185),"")</f>
        <v/>
      </c>
      <c r="AF185" s="77"/>
      <c r="AG185" s="73"/>
      <c r="AH185" s="77"/>
      <c r="AI185" s="73"/>
      <c r="AJ185" s="78" t="str">
        <f>IF(AD185="","",IF(ISBLANK(AF185),"En cours",AD185+AF185))</f>
        <v/>
      </c>
      <c r="AK185" s="79" t="str">
        <f>IF(AE185="","",IF(ISBLANK(AH185),"En cours",AE185+AH185))</f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>IF(MIN(F186,J186,N186,R186,V186,Z186)&lt;&gt;0,MIN(F186,J186,N186,R186,V186,Z186),"")</f>
        <v/>
      </c>
      <c r="AE186" s="76" t="str">
        <f>IF(MIN(H186,L186,P186,T186,X186,AB186)&lt;&gt;0,MIN(H186,L186,P186,T186,X186,AB186),"")</f>
        <v/>
      </c>
      <c r="AF186" s="77"/>
      <c r="AG186" s="73"/>
      <c r="AH186" s="77"/>
      <c r="AI186" s="73"/>
      <c r="AJ186" s="78" t="str">
        <f>IF(AD186="","",IF(ISBLANK(AF186),"En cours",AD186+AF186))</f>
        <v/>
      </c>
      <c r="AK186" s="79" t="str">
        <f>IF(AE186="","",IF(ISBLANK(AH186),"En cours",AE186+AH186))</f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>IF(MIN(F187,J187,N187,R187,V187,Z187)&lt;&gt;0,MIN(F187,J187,N187,R187,V187,Z187),"")</f>
        <v/>
      </c>
      <c r="AE187" s="76" t="str">
        <f>IF(MIN(H187,L187,P187,T187,X187,AB187)&lt;&gt;0,MIN(H187,L187,P187,T187,X187,AB187),"")</f>
        <v/>
      </c>
      <c r="AF187" s="77"/>
      <c r="AG187" s="73"/>
      <c r="AH187" s="77"/>
      <c r="AI187" s="73"/>
      <c r="AJ187" s="78" t="str">
        <f>IF(AD187="","",IF(ISBLANK(AF187),"En cours",AD187+AF187))</f>
        <v/>
      </c>
      <c r="AK187" s="79" t="str">
        <f>IF(AE187="","",IF(ISBLANK(AH187),"En cours",AE187+AH187))</f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>IF(MIN(F188,J188,N188,R188,V188,Z188)&lt;&gt;0,MIN(F188,J188,N188,R188,V188,Z188),"")</f>
        <v/>
      </c>
      <c r="AE188" s="76" t="str">
        <f>IF(MIN(H188,L188,P188,T188,X188,AB188)&lt;&gt;0,MIN(H188,L188,P188,T188,X188,AB188),"")</f>
        <v/>
      </c>
      <c r="AF188" s="77"/>
      <c r="AG188" s="73"/>
      <c r="AH188" s="77"/>
      <c r="AI188" s="73"/>
      <c r="AJ188" s="78" t="str">
        <f>IF(AD188="","",IF(ISBLANK(AF188),"En cours",AD188+AF188))</f>
        <v/>
      </c>
      <c r="AK188" s="79" t="str">
        <f>IF(AE188="","",IF(ISBLANK(AH188),"En cours",AE188+AH188))</f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>IF(MIN(F189,J189,N189,R189,V189,Z189)&lt;&gt;0,MIN(F189,J189,N189,R189,V189,Z189),"")</f>
        <v/>
      </c>
      <c r="AE189" s="76" t="str">
        <f>IF(MIN(H189,L189,P189,T189,X189,AB189)&lt;&gt;0,MIN(H189,L189,P189,T189,X189,AB189),"")</f>
        <v/>
      </c>
      <c r="AF189" s="77"/>
      <c r="AG189" s="73"/>
      <c r="AH189" s="77"/>
      <c r="AI189" s="73"/>
      <c r="AJ189" s="78" t="str">
        <f>IF(AD189="","",IF(ISBLANK(AF189),"En cours",AD189+AF189))</f>
        <v/>
      </c>
      <c r="AK189" s="79" t="str">
        <f>IF(AE189="","",IF(ISBLANK(AH189),"En cours",AE189+AH189))</f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>IF(MIN(F190,J190,N190,R190,V190,Z190)&lt;&gt;0,MIN(F190,J190,N190,R190,V190,Z190),"")</f>
        <v/>
      </c>
      <c r="AE190" s="76" t="str">
        <f>IF(MIN(H190,L190,P190,T190,X190,AB190)&lt;&gt;0,MIN(H190,L190,P190,T190,X190,AB190),"")</f>
        <v/>
      </c>
      <c r="AF190" s="77"/>
      <c r="AG190" s="73"/>
      <c r="AH190" s="77"/>
      <c r="AI190" s="73"/>
      <c r="AJ190" s="78" t="str">
        <f>IF(AD190="","",IF(ISBLANK(AF190),"En cours",AD190+AF190))</f>
        <v/>
      </c>
      <c r="AK190" s="79" t="str">
        <f>IF(AE190="","",IF(ISBLANK(AH190),"En cours",AE190+AH190))</f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>IF(MIN(F191,J191,N191,R191,V191,Z191)&lt;&gt;0,MIN(F191,J191,N191,R191,V191,Z191),"")</f>
        <v/>
      </c>
      <c r="AE191" s="76" t="str">
        <f>IF(MIN(H191,L191,P191,T191,X191,AB191)&lt;&gt;0,MIN(H191,L191,P191,T191,X191,AB191),"")</f>
        <v/>
      </c>
      <c r="AF191" s="77"/>
      <c r="AG191" s="73"/>
      <c r="AH191" s="77"/>
      <c r="AI191" s="73"/>
      <c r="AJ191" s="78" t="str">
        <f>IF(AD191="","",IF(ISBLANK(AF191),"En cours",AD191+AF191))</f>
        <v/>
      </c>
      <c r="AK191" s="79" t="str">
        <f>IF(AE191="","",IF(ISBLANK(AH191),"En cours",AE191+AH191))</f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>IF(MIN(F192,J192,N192,R192,V192,Z192)&lt;&gt;0,MIN(F192,J192,N192,R192,V192,Z192),"")</f>
        <v/>
      </c>
      <c r="AE192" s="76" t="str">
        <f>IF(MIN(H192,L192,P192,T192,X192,AB192)&lt;&gt;0,MIN(H192,L192,P192,T192,X192,AB192),"")</f>
        <v/>
      </c>
      <c r="AF192" s="77"/>
      <c r="AG192" s="73"/>
      <c r="AH192" s="77"/>
      <c r="AI192" s="73"/>
      <c r="AJ192" s="78" t="str">
        <f>IF(AD192="","",IF(ISBLANK(AF192),"En cours",AD192+AF192))</f>
        <v/>
      </c>
      <c r="AK192" s="79" t="str">
        <f>IF(AE192="","",IF(ISBLANK(AH192),"En cours",AE192+AH192))</f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>IF(MIN(F193,J193,N193,R193,V193,Z193)&lt;&gt;0,MIN(F193,J193,N193,R193,V193,Z193),"")</f>
        <v/>
      </c>
      <c r="AE193" s="76" t="str">
        <f>IF(MIN(H193,L193,P193,T193,X193,AB193)&lt;&gt;0,MIN(H193,L193,P193,T193,X193,AB193),"")</f>
        <v/>
      </c>
      <c r="AF193" s="77"/>
      <c r="AG193" s="73"/>
      <c r="AH193" s="77"/>
      <c r="AI193" s="73"/>
      <c r="AJ193" s="78" t="str">
        <f>IF(AD193="","",IF(ISBLANK(AF193),"En cours",AD193+AF193))</f>
        <v/>
      </c>
      <c r="AK193" s="79" t="str">
        <f>IF(AE193="","",IF(ISBLANK(AH193),"En cours",AE193+AH193))</f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>IF(MIN(F194,J194,N194,R194,V194,Z194)&lt;&gt;0,MIN(F194,J194,N194,R194,V194,Z194),"")</f>
        <v/>
      </c>
      <c r="AE194" s="76" t="str">
        <f>IF(MIN(H194,L194,P194,T194,X194,AB194)&lt;&gt;0,MIN(H194,L194,P194,T194,X194,AB194),"")</f>
        <v/>
      </c>
      <c r="AF194" s="77"/>
      <c r="AG194" s="73"/>
      <c r="AH194" s="77"/>
      <c r="AI194" s="73"/>
      <c r="AJ194" s="78" t="str">
        <f>IF(AD194="","",IF(ISBLANK(AF194),"En cours",AD194+AF194))</f>
        <v/>
      </c>
      <c r="AK194" s="79" t="str">
        <f>IF(AE194="","",IF(ISBLANK(AH194),"En cours",AE194+AH194))</f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>IF(MIN(F195,J195,N195,R195,V195,Z195)&lt;&gt;0,MIN(F195,J195,N195,R195,V195,Z195),"")</f>
        <v/>
      </c>
      <c r="AE195" s="76" t="str">
        <f>IF(MIN(H195,L195,P195,T195,X195,AB195)&lt;&gt;0,MIN(H195,L195,P195,T195,X195,AB195),"")</f>
        <v/>
      </c>
      <c r="AF195" s="77"/>
      <c r="AG195" s="73"/>
      <c r="AH195" s="77"/>
      <c r="AI195" s="73"/>
      <c r="AJ195" s="78" t="str">
        <f>IF(AD195="","",IF(ISBLANK(AF195),"En cours",AD195+AF195))</f>
        <v/>
      </c>
      <c r="AK195" s="79" t="str">
        <f>IF(AE195="","",IF(ISBLANK(AH195),"En cours",AE195+AH195))</f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>IF(MIN(F196,J196,N196,R196,V196,Z196)&lt;&gt;0,MIN(F196,J196,N196,R196,V196,Z196),"")</f>
        <v/>
      </c>
      <c r="AE196" s="76" t="str">
        <f>IF(MIN(H196,L196,P196,T196,X196,AB196)&lt;&gt;0,MIN(H196,L196,P196,T196,X196,AB196),"")</f>
        <v/>
      </c>
      <c r="AF196" s="77"/>
      <c r="AG196" s="73"/>
      <c r="AH196" s="77"/>
      <c r="AI196" s="73"/>
      <c r="AJ196" s="78" t="str">
        <f>IF(AD196="","",IF(ISBLANK(AF196),"En cours",AD196+AF196))</f>
        <v/>
      </c>
      <c r="AK196" s="79" t="str">
        <f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>IF(MIN(F197,J197,N197,R197,V197,Z197)&lt;&gt;0,MIN(F197,J197,N197,R197,V197,Z197),"")</f>
        <v/>
      </c>
      <c r="AE197" s="76" t="str">
        <f>IF(MIN(H197,L197,P197,T197,X197,AB197)&lt;&gt;0,MIN(H197,L197,P197,T197,X197,AB197),"")</f>
        <v/>
      </c>
      <c r="AF197" s="77"/>
      <c r="AG197" s="73"/>
      <c r="AH197" s="77"/>
      <c r="AI197" s="73"/>
      <c r="AJ197" s="78" t="str">
        <f>IF(AD197="","",IF(ISBLANK(AF197),"En cours",AD197+AF197))</f>
        <v/>
      </c>
      <c r="AK197" s="79" t="str">
        <f>IF(AE197="","",IF(ISBLANK(AH197),"En cours",AE197+AH197))</f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>IF(MIN(F198,J198,N198,R198,V198,Z198)&lt;&gt;0,MIN(F198,J198,N198,R198,V198,Z198),"")</f>
        <v/>
      </c>
      <c r="AE198" s="76" t="str">
        <f>IF(MIN(H198,L198,P198,T198,X198,AB198)&lt;&gt;0,MIN(H198,L198,P198,T198,X198,AB198),"")</f>
        <v/>
      </c>
      <c r="AF198" s="77"/>
      <c r="AG198" s="73"/>
      <c r="AH198" s="77"/>
      <c r="AI198" s="73"/>
      <c r="AJ198" s="78" t="str">
        <f>IF(AD198="","",IF(ISBLANK(AF198),"En cours",AD198+AF198))</f>
        <v/>
      </c>
      <c r="AK198" s="79" t="str">
        <f>IF(AE198="","",IF(ISBLANK(AH198),"En cours",AE198+AH198))</f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>IF(MIN(F199,J199,N199,R199,V199,Z199)&lt;&gt;0,MIN(F199,J199,N199,R199,V199,Z199),"")</f>
        <v/>
      </c>
      <c r="AE199" s="76" t="str">
        <f>IF(MIN(H199,L199,P199,T199,X199,AB199)&lt;&gt;0,MIN(H199,L199,P199,T199,X199,AB199),"")</f>
        <v/>
      </c>
      <c r="AF199" s="77"/>
      <c r="AG199" s="73"/>
      <c r="AH199" s="77"/>
      <c r="AI199" s="73"/>
      <c r="AJ199" s="78" t="str">
        <f>IF(AD199="","",IF(ISBLANK(AF199),"En cours",AD199+AF199))</f>
        <v/>
      </c>
      <c r="AK199" s="79" t="str">
        <f>IF(AE199="","",IF(ISBLANK(AH199),"En cours",AE199+AH199))</f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>IF(MIN(F200,J200,N200,R200,V200,Z200)&lt;&gt;0,MIN(F200,J200,N200,R200,V200,Z200),"")</f>
        <v/>
      </c>
      <c r="AE200" s="76" t="str">
        <f>IF(MIN(H200,L200,P200,T200,X200,AB200)&lt;&gt;0,MIN(H200,L200,P200,T200,X200,AB200),"")</f>
        <v/>
      </c>
      <c r="AF200" s="77"/>
      <c r="AG200" s="73"/>
      <c r="AH200" s="77"/>
      <c r="AI200" s="73"/>
      <c r="AJ200" s="78" t="str">
        <f>IF(AD200="","",IF(ISBLANK(AF200),"En cours",AD200+AF200))</f>
        <v/>
      </c>
      <c r="AK200" s="79" t="str">
        <f>IF(AE200="","",IF(ISBLANK(AH200),"En cours",AE200+AH200))</f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>IF(MIN(F201,J201,N201,R201,V201,Z201)&lt;&gt;0,MIN(F201,J201,N201,R201,V201,Z201),"")</f>
        <v/>
      </c>
      <c r="AE201" s="76" t="str">
        <f>IF(MIN(H201,L201,P201,T201,X201,AB201)&lt;&gt;0,MIN(H201,L201,P201,T201,X201,AB201),"")</f>
        <v/>
      </c>
      <c r="AF201" s="77"/>
      <c r="AG201" s="73"/>
      <c r="AH201" s="77"/>
      <c r="AI201" s="73"/>
      <c r="AJ201" s="78" t="str">
        <f>IF(AD201="","",IF(ISBLANK(AF201),"En cours",AD201+AF201))</f>
        <v/>
      </c>
      <c r="AK201" s="79" t="str">
        <f>IF(AE201="","",IF(ISBLANK(AH201),"En cours",AE201+AH201))</f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>IF(MIN(F202,J202,N202,R202,V202,Z202)&lt;&gt;0,MIN(F202,J202,N202,R202,V202,Z202),"")</f>
        <v/>
      </c>
      <c r="AE202" s="76" t="str">
        <f>IF(MIN(H202,L202,P202,T202,X202,AB202)&lt;&gt;0,MIN(H202,L202,P202,T202,X202,AB202),"")</f>
        <v/>
      </c>
      <c r="AF202" s="77"/>
      <c r="AG202" s="73"/>
      <c r="AH202" s="77"/>
      <c r="AI202" s="73"/>
      <c r="AJ202" s="78" t="str">
        <f>IF(AD202="","",IF(ISBLANK(AF202),"En cours",AD202+AF202))</f>
        <v/>
      </c>
      <c r="AK202" s="79" t="str">
        <f>IF(AE202="","",IF(ISBLANK(AH202),"En cours",AE202+AH202))</f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>IF(MIN(F203,J203,N203,R203,V203,Z203)&lt;&gt;0,MIN(F203,J203,N203,R203,V203,Z203),"")</f>
        <v/>
      </c>
      <c r="AE203" s="76" t="str">
        <f>IF(MIN(H203,L203,P203,T203,X203,AB203)&lt;&gt;0,MIN(H203,L203,P203,T203,X203,AB203),"")</f>
        <v/>
      </c>
      <c r="AF203" s="77"/>
      <c r="AG203" s="73"/>
      <c r="AH203" s="77"/>
      <c r="AI203" s="73"/>
      <c r="AJ203" s="78" t="str">
        <f>IF(AD203="","",IF(ISBLANK(AF203),"En cours",AD203+AF203))</f>
        <v/>
      </c>
      <c r="AK203" s="79" t="str">
        <f>IF(AE203="","",IF(ISBLANK(AH203),"En cours",AE203+AH203))</f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>IF(MIN(F204,J204,N204,R204,V204,Z204)&lt;&gt;0,MIN(F204,J204,N204,R204,V204,Z204),"")</f>
        <v/>
      </c>
      <c r="AE204" s="76" t="str">
        <f>IF(MIN(H204,L204,P204,T204,X204,AB204)&lt;&gt;0,MIN(H204,L204,P204,T204,X204,AB204),"")</f>
        <v/>
      </c>
      <c r="AF204" s="77"/>
      <c r="AG204" s="73"/>
      <c r="AH204" s="77"/>
      <c r="AI204" s="73"/>
      <c r="AJ204" s="78" t="str">
        <f>IF(AD204="","",IF(ISBLANK(AF204),"En cours",AD204+AF204))</f>
        <v/>
      </c>
      <c r="AK204" s="79" t="str">
        <f>IF(AE204="","",IF(ISBLANK(AH204),"En cours",AE204+AH204))</f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>IF(MIN(F205,J205,N205,R205,V205,Z205)&lt;&gt;0,MIN(F205,J205,N205,R205,V205,Z205),"")</f>
        <v/>
      </c>
      <c r="AE205" s="76" t="str">
        <f>IF(MIN(H205,L205,P205,T205,X205,AB205)&lt;&gt;0,MIN(H205,L205,P205,T205,X205,AB205),"")</f>
        <v/>
      </c>
      <c r="AF205" s="77"/>
      <c r="AG205" s="73"/>
      <c r="AH205" s="77"/>
      <c r="AI205" s="73"/>
      <c r="AJ205" s="78" t="str">
        <f>IF(AD205="","",IF(ISBLANK(AF205),"En cours",AD205+AF205))</f>
        <v/>
      </c>
      <c r="AK205" s="79" t="str">
        <f>IF(AE205="","",IF(ISBLANK(AH205),"En cours",AE205+AH205))</f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>IF(MIN(F206,J206,N206,R206,V206,Z206)&lt;&gt;0,MIN(F206,J206,N206,R206,V206,Z206),"")</f>
        <v/>
      </c>
      <c r="AE206" s="76" t="str">
        <f>IF(MIN(H206,L206,P206,T206,X206,AB206)&lt;&gt;0,MIN(H206,L206,P206,T206,X206,AB206),"")</f>
        <v/>
      </c>
      <c r="AF206" s="77"/>
      <c r="AG206" s="73"/>
      <c r="AH206" s="77"/>
      <c r="AI206" s="73"/>
      <c r="AJ206" s="78" t="str">
        <f>IF(AD206="","",IF(ISBLANK(AF206),"En cours",AD206+AF206))</f>
        <v/>
      </c>
      <c r="AK206" s="79" t="str">
        <f>IF(AE206="","",IF(ISBLANK(AH206),"En cours",AE206+AH206))</f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>IF(MIN(F207,J207,N207,R207,V207,Z207)&lt;&gt;0,MIN(F207,J207,N207,R207,V207,Z207),"")</f>
        <v/>
      </c>
      <c r="AE207" s="76" t="str">
        <f>IF(MIN(H207,L207,P207,T207,X207,AB207)&lt;&gt;0,MIN(H207,L207,P207,T207,X207,AB207),"")</f>
        <v/>
      </c>
      <c r="AF207" s="77"/>
      <c r="AG207" s="73"/>
      <c r="AH207" s="77"/>
      <c r="AI207" s="73"/>
      <c r="AJ207" s="78" t="str">
        <f>IF(AD207="","",IF(ISBLANK(AF207),"En cours",AD207+AF207))</f>
        <v/>
      </c>
      <c r="AK207" s="79" t="str">
        <f>IF(AE207="","",IF(ISBLANK(AH207),"En cours",AE207+AH207))</f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>IF(MIN(F208,J208,N208,R208,V208,Z208)&lt;&gt;0,MIN(F208,J208,N208,R208,V208,Z208),"")</f>
        <v/>
      </c>
      <c r="AE208" s="76" t="str">
        <f>IF(MIN(H208,L208,P208,T208,X208,AB208)&lt;&gt;0,MIN(H208,L208,P208,T208,X208,AB208),"")</f>
        <v/>
      </c>
      <c r="AF208" s="77"/>
      <c r="AG208" s="73"/>
      <c r="AH208" s="77"/>
      <c r="AI208" s="73"/>
      <c r="AJ208" s="78" t="str">
        <f>IF(AD208="","",IF(ISBLANK(AF208),"En cours",AD208+AF208))</f>
        <v/>
      </c>
      <c r="AK208" s="79" t="str">
        <f>IF(AE208="","",IF(ISBLANK(AH208),"En cours",AE208+AH208))</f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>IF(MIN(F209,J209,N209,R209,V209,Z209)&lt;&gt;0,MIN(F209,J209,N209,R209,V209,Z209),"")</f>
        <v/>
      </c>
      <c r="AE209" s="76" t="str">
        <f>IF(MIN(H209,L209,P209,T209,X209,AB209)&lt;&gt;0,MIN(H209,L209,P209,T209,X209,AB209),"")</f>
        <v/>
      </c>
      <c r="AF209" s="77"/>
      <c r="AG209" s="73"/>
      <c r="AH209" s="77"/>
      <c r="AI209" s="73"/>
      <c r="AJ209" s="78" t="str">
        <f>IF(AD209="","",IF(ISBLANK(AF209),"En cours",AD209+AF209))</f>
        <v/>
      </c>
      <c r="AK209" s="79" t="str">
        <f>IF(AE209="","",IF(ISBLANK(AH209),"En cours",AE209+AH209))</f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>IF(MIN(F210,J210,N210,R210,V210,Z210)&lt;&gt;0,MIN(F210,J210,N210,R210,V210,Z210),"")</f>
        <v/>
      </c>
      <c r="AE210" s="76" t="str">
        <f>IF(MIN(H210,L210,P210,T210,X210,AB210)&lt;&gt;0,MIN(H210,L210,P210,T210,X210,AB210),"")</f>
        <v/>
      </c>
      <c r="AF210" s="77"/>
      <c r="AG210" s="73"/>
      <c r="AH210" s="77"/>
      <c r="AI210" s="73"/>
      <c r="AJ210" s="78" t="str">
        <f>IF(AD210="","",IF(ISBLANK(AF210),"En cours",AD210+AF210))</f>
        <v/>
      </c>
      <c r="AK210" s="79" t="str">
        <f>IF(AE210="","",IF(ISBLANK(AH210),"En cours",AE210+AH210))</f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>IF(MIN(F211,J211,N211,R211,V211,Z211)&lt;&gt;0,MIN(F211,J211,N211,R211,V211,Z211),"")</f>
        <v/>
      </c>
      <c r="AE211" s="76" t="str">
        <f>IF(MIN(H211,L211,P211,T211,X211,AB211)&lt;&gt;0,MIN(H211,L211,P211,T211,X211,AB211),"")</f>
        <v/>
      </c>
      <c r="AF211" s="77"/>
      <c r="AG211" s="73"/>
      <c r="AH211" s="77"/>
      <c r="AI211" s="73"/>
      <c r="AJ211" s="78" t="str">
        <f>IF(AD211="","",IF(ISBLANK(AF211),"En cours",AD211+AF211))</f>
        <v/>
      </c>
      <c r="AK211" s="79" t="str">
        <f>IF(AE211="","",IF(ISBLANK(AH211),"En cours",AE211+AH211))</f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>IF(MIN(F212,J212,N212,R212,V212,Z212)&lt;&gt;0,MIN(F212,J212,N212,R212,V212,Z212),"")</f>
        <v/>
      </c>
      <c r="AE212" s="76" t="str">
        <f>IF(MIN(H212,L212,P212,T212,X212,AB212)&lt;&gt;0,MIN(H212,L212,P212,T212,X212,AB212),"")</f>
        <v/>
      </c>
      <c r="AF212" s="77"/>
      <c r="AG212" s="73"/>
      <c r="AH212" s="77"/>
      <c r="AI212" s="73"/>
      <c r="AJ212" s="78" t="str">
        <f>IF(AD212="","",IF(ISBLANK(AF212),"En cours",AD212+AF212))</f>
        <v/>
      </c>
      <c r="AK212" s="79" t="str">
        <f>IF(AE212="","",IF(ISBLANK(AH212),"En cours",AE212+AH212))</f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>IF(MIN(F213,J213,N213,R213,V213,Z213)&lt;&gt;0,MIN(F213,J213,N213,R213,V213,Z213),"")</f>
        <v/>
      </c>
      <c r="AE213" s="76" t="str">
        <f>IF(MIN(H213,L213,P213,T213,X213,AB213)&lt;&gt;0,MIN(H213,L213,P213,T213,X213,AB213),"")</f>
        <v/>
      </c>
      <c r="AF213" s="77"/>
      <c r="AG213" s="73"/>
      <c r="AH213" s="77"/>
      <c r="AI213" s="73"/>
      <c r="AJ213" s="78" t="str">
        <f>IF(AD213="","",IF(ISBLANK(AF213),"En cours",AD213+AF213))</f>
        <v/>
      </c>
      <c r="AK213" s="79" t="str">
        <f>IF(AE213="","",IF(ISBLANK(AH213),"En cours",AE213+AH213))</f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>IF(MIN(F214,J214,N214,R214,V214,Z214)&lt;&gt;0,MIN(F214,J214,N214,R214,V214,Z214),"")</f>
        <v/>
      </c>
      <c r="AE214" s="76" t="str">
        <f>IF(MIN(H214,L214,P214,T214,X214,AB214)&lt;&gt;0,MIN(H214,L214,P214,T214,X214,AB214),"")</f>
        <v/>
      </c>
      <c r="AF214" s="77"/>
      <c r="AG214" s="73"/>
      <c r="AH214" s="77"/>
      <c r="AI214" s="73"/>
      <c r="AJ214" s="78" t="str">
        <f>IF(AD214="","",IF(ISBLANK(AF214),"En cours",AD214+AF214))</f>
        <v/>
      </c>
      <c r="AK214" s="79" t="str">
        <f>IF(AE214="","",IF(ISBLANK(AH214),"En cours",AE214+AH214))</f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>IF(MIN(F215,J215,N215,R215,V215,Z215)&lt;&gt;0,MIN(F215,J215,N215,R215,V215,Z215),"")</f>
        <v/>
      </c>
      <c r="AE215" s="76" t="str">
        <f>IF(MIN(H215,L215,P215,T215,X215,AB215)&lt;&gt;0,MIN(H215,L215,P215,T215,X215,AB215),"")</f>
        <v/>
      </c>
      <c r="AF215" s="77"/>
      <c r="AG215" s="73"/>
      <c r="AH215" s="77"/>
      <c r="AI215" s="73"/>
      <c r="AJ215" s="78" t="str">
        <f>IF(AD215="","",IF(ISBLANK(AF215),"En cours",AD215+AF215))</f>
        <v/>
      </c>
      <c r="AK215" s="79" t="str">
        <f>IF(AE215="","",IF(ISBLANK(AH215),"En cours",AE215+AH215))</f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>IF(MIN(F216,J216,N216,R216,V216,Z216)&lt;&gt;0,MIN(F216,J216,N216,R216,V216,Z216),"")</f>
        <v/>
      </c>
      <c r="AE216" s="76" t="str">
        <f>IF(MIN(H216,L216,P216,T216,X216,AB216)&lt;&gt;0,MIN(H216,L216,P216,T216,X216,AB216),"")</f>
        <v/>
      </c>
      <c r="AF216" s="77"/>
      <c r="AG216" s="73"/>
      <c r="AH216" s="77"/>
      <c r="AI216" s="73"/>
      <c r="AJ216" s="78" t="str">
        <f>IF(AD216="","",IF(ISBLANK(AF216),"En cours",AD216+AF216))</f>
        <v/>
      </c>
      <c r="AK216" s="79" t="str">
        <f>IF(AE216="","",IF(ISBLANK(AH216),"En cours",AE216+AH216))</f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>IF(MIN(F217,J217,N217,R217,V217,Z217)&lt;&gt;0,MIN(F217,J217,N217,R217,V217,Z217),"")</f>
        <v/>
      </c>
      <c r="AE217" s="76" t="str">
        <f>IF(MIN(H217,L217,P217,T217,X217,AB217)&lt;&gt;0,MIN(H217,L217,P217,T217,X217,AB217),"")</f>
        <v/>
      </c>
      <c r="AF217" s="77"/>
      <c r="AG217" s="73"/>
      <c r="AH217" s="77"/>
      <c r="AI217" s="73"/>
      <c r="AJ217" s="78" t="str">
        <f>IF(AD217="","",IF(ISBLANK(AF217),"En cours",AD217+AF217))</f>
        <v/>
      </c>
      <c r="AK217" s="79" t="str">
        <f>IF(AE217="","",IF(ISBLANK(AH217),"En cours",AE217+AH217))</f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>IF(MIN(F218,J218,N218,R218,V218,Z218)&lt;&gt;0,MIN(F218,J218,N218,R218,V218,Z218),"")</f>
        <v/>
      </c>
      <c r="AE218" s="76" t="str">
        <f>IF(MIN(H218,L218,P218,T218,X218,AB218)&lt;&gt;0,MIN(H218,L218,P218,T218,X218,AB218),"")</f>
        <v/>
      </c>
      <c r="AF218" s="77"/>
      <c r="AG218" s="73"/>
      <c r="AH218" s="77"/>
      <c r="AI218" s="73"/>
      <c r="AJ218" s="78" t="str">
        <f>IF(AD218="","",IF(ISBLANK(AF218),"En cours",AD218+AF218))</f>
        <v/>
      </c>
      <c r="AK218" s="79" t="str">
        <f>IF(AE218="","",IF(ISBLANK(AH218),"En cours",AE218+AH218))</f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>IF(MIN(F219,J219,N219,R219,V219,Z219)&lt;&gt;0,MIN(F219,J219,N219,R219,V219,Z219),"")</f>
        <v/>
      </c>
      <c r="AE219" s="76" t="str">
        <f>IF(MIN(H219,L219,P219,T219,X219,AB219)&lt;&gt;0,MIN(H219,L219,P219,T219,X219,AB219),"")</f>
        <v/>
      </c>
      <c r="AF219" s="77"/>
      <c r="AG219" s="73"/>
      <c r="AH219" s="77"/>
      <c r="AI219" s="73"/>
      <c r="AJ219" s="78" t="str">
        <f>IF(AD219="","",IF(ISBLANK(AF219),"En cours",AD219+AF219))</f>
        <v/>
      </c>
      <c r="AK219" s="79" t="str">
        <f>IF(AE219="","",IF(ISBLANK(AH219),"En cours",AE219+AH219))</f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>IF(MIN(F220,J220,N220,R220,V220,Z220)&lt;&gt;0,MIN(F220,J220,N220,R220,V220,Z220),"")</f>
        <v/>
      </c>
      <c r="AE220" s="76" t="str">
        <f>IF(MIN(H220,L220,P220,T220,X220,AB220)&lt;&gt;0,MIN(H220,L220,P220,T220,X220,AB220),"")</f>
        <v/>
      </c>
      <c r="AF220" s="77"/>
      <c r="AG220" s="73"/>
      <c r="AH220" s="77"/>
      <c r="AI220" s="73"/>
      <c r="AJ220" s="78" t="str">
        <f>IF(AD220="","",IF(ISBLANK(AF220),"En cours",AD220+AF220))</f>
        <v/>
      </c>
      <c r="AK220" s="79" t="str">
        <f>IF(AE220="","",IF(ISBLANK(AH220),"En cours",AE220+AH220))</f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>IF(MIN(F221,J221,N221,R221,V221,Z221)&lt;&gt;0,MIN(F221,J221,N221,R221,V221,Z221),"")</f>
        <v/>
      </c>
      <c r="AE221" s="76" t="str">
        <f>IF(MIN(H221,L221,P221,T221,X221,AB221)&lt;&gt;0,MIN(H221,L221,P221,T221,X221,AB221),"")</f>
        <v/>
      </c>
      <c r="AF221" s="77"/>
      <c r="AG221" s="73"/>
      <c r="AH221" s="77"/>
      <c r="AI221" s="73"/>
      <c r="AJ221" s="78" t="str">
        <f>IF(AD221="","",IF(ISBLANK(AF221),"En cours",AD221+AF221))</f>
        <v/>
      </c>
      <c r="AK221" s="79" t="str">
        <f>IF(AE221="","",IF(ISBLANK(AH221),"En cours",AE221+AH221))</f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>IF(MIN(F222,J222,N222,R222,V222,Z222)&lt;&gt;0,MIN(F222,J222,N222,R222,V222,Z222),"")</f>
        <v/>
      </c>
      <c r="AE222" s="76" t="str">
        <f>IF(MIN(H222,L222,P222,T222,X222,AB222)&lt;&gt;0,MIN(H222,L222,P222,T222,X222,AB222),"")</f>
        <v/>
      </c>
      <c r="AF222" s="77"/>
      <c r="AG222" s="73"/>
      <c r="AH222" s="77"/>
      <c r="AI222" s="73"/>
      <c r="AJ222" s="78" t="str">
        <f>IF(AD222="","",IF(ISBLANK(AF222),"En cours",AD222+AF222))</f>
        <v/>
      </c>
      <c r="AK222" s="79" t="str">
        <f>IF(AE222="","",IF(ISBLANK(AH222),"En cours",AE222+AH222))</f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>IF(MIN(F223,J223,N223,R223,V223,Z223)&lt;&gt;0,MIN(F223,J223,N223,R223,V223,Z223),"")</f>
        <v/>
      </c>
      <c r="AE223" s="76" t="str">
        <f>IF(MIN(H223,L223,P223,T223,X223,AB223)&lt;&gt;0,MIN(H223,L223,P223,T223,X223,AB223),"")</f>
        <v/>
      </c>
      <c r="AF223" s="77"/>
      <c r="AG223" s="73"/>
      <c r="AH223" s="77"/>
      <c r="AI223" s="73"/>
      <c r="AJ223" s="78" t="str">
        <f>IF(AD223="","",IF(ISBLANK(AF223),"En cours",AD223+AF223))</f>
        <v/>
      </c>
      <c r="AK223" s="79" t="str">
        <f>IF(AE223="","",IF(ISBLANK(AH223),"En cours",AE223+AH223))</f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>IF(MIN(F224,J224,N224,R224,V224,Z224)&lt;&gt;0,MIN(F224,J224,N224,R224,V224,Z224),"")</f>
        <v/>
      </c>
      <c r="AE224" s="76" t="str">
        <f>IF(MIN(H224,L224,P224,T224,X224,AB224)&lt;&gt;0,MIN(H224,L224,P224,T224,X224,AB224),"")</f>
        <v/>
      </c>
      <c r="AF224" s="77"/>
      <c r="AG224" s="73"/>
      <c r="AH224" s="77"/>
      <c r="AI224" s="73"/>
      <c r="AJ224" s="78" t="str">
        <f>IF(AD224="","",IF(ISBLANK(AF224),"En cours",AD224+AF224))</f>
        <v/>
      </c>
      <c r="AK224" s="79" t="str">
        <f>IF(AE224="","",IF(ISBLANK(AH224),"En cours",AE224+AH224))</f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>IF(MIN(F225,J225,N225,R225,V225,Z225)&lt;&gt;0,MIN(F225,J225,N225,R225,V225,Z225),"")</f>
        <v/>
      </c>
      <c r="AE225" s="76" t="str">
        <f>IF(MIN(H225,L225,P225,T225,X225,AB225)&lt;&gt;0,MIN(H225,L225,P225,T225,X225,AB225),"")</f>
        <v/>
      </c>
      <c r="AF225" s="77"/>
      <c r="AG225" s="73"/>
      <c r="AH225" s="77"/>
      <c r="AI225" s="73"/>
      <c r="AJ225" s="78" t="str">
        <f>IF(AD225="","",IF(ISBLANK(AF225),"En cours",AD225+AF225))</f>
        <v/>
      </c>
      <c r="AK225" s="79" t="str">
        <f>IF(AE225="","",IF(ISBLANK(AH225),"En cours",AE225+AH225))</f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>IF(MIN(F226,J226,N226,R226,V226,Z226)&lt;&gt;0,MIN(F226,J226,N226,R226,V226,Z226),"")</f>
        <v/>
      </c>
      <c r="AE226" s="76" t="str">
        <f>IF(MIN(H226,L226,P226,T226,X226,AB226)&lt;&gt;0,MIN(H226,L226,P226,T226,X226,AB226),"")</f>
        <v/>
      </c>
      <c r="AF226" s="77"/>
      <c r="AG226" s="73"/>
      <c r="AH226" s="77"/>
      <c r="AI226" s="73"/>
      <c r="AJ226" s="78" t="str">
        <f>IF(AD226="","",IF(ISBLANK(AF226),"En cours",AD226+AF226))</f>
        <v/>
      </c>
      <c r="AK226" s="79" t="str">
        <f>IF(AE226="","",IF(ISBLANK(AH226),"En cours",AE226+AH226))</f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>IF(MIN(F227,J227,N227,R227,V227,Z227)&lt;&gt;0,MIN(F227,J227,N227,R227,V227,Z227),"")</f>
        <v/>
      </c>
      <c r="AE227" s="76" t="str">
        <f>IF(MIN(H227,L227,P227,T227,X227,AB227)&lt;&gt;0,MIN(H227,L227,P227,T227,X227,AB227),"")</f>
        <v/>
      </c>
      <c r="AF227" s="77"/>
      <c r="AG227" s="73"/>
      <c r="AH227" s="77"/>
      <c r="AI227" s="73"/>
      <c r="AJ227" s="78" t="str">
        <f>IF(AD227="","",IF(ISBLANK(AF227),"En cours",AD227+AF227))</f>
        <v/>
      </c>
      <c r="AK227" s="79" t="str">
        <f>IF(AE227="","",IF(ISBLANK(AH227),"En cours",AE227+AH227))</f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>IF(MIN(F228,J228,N228,R228,V228,Z228)&lt;&gt;0,MIN(F228,J228,N228,R228,V228,Z228),"")</f>
        <v/>
      </c>
      <c r="AE228" s="76" t="str">
        <f>IF(MIN(H228,L228,P228,T228,X228,AB228)&lt;&gt;0,MIN(H228,L228,P228,T228,X228,AB228),"")</f>
        <v/>
      </c>
      <c r="AF228" s="77"/>
      <c r="AG228" s="73"/>
      <c r="AH228" s="77"/>
      <c r="AI228" s="73"/>
      <c r="AJ228" s="78" t="str">
        <f>IF(AD228="","",IF(ISBLANK(AF228),"En cours",AD228+AF228))</f>
        <v/>
      </c>
      <c r="AK228" s="79" t="str">
        <f>IF(AE228="","",IF(ISBLANK(AH228),"En cours",AE228+AH228))</f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>IF(MIN(F229,J229,N229,R229,V229,Z229)&lt;&gt;0,MIN(F229,J229,N229,R229,V229,Z229),"")</f>
        <v/>
      </c>
      <c r="AE229" s="76" t="str">
        <f>IF(MIN(H229,L229,P229,T229,X229,AB229)&lt;&gt;0,MIN(H229,L229,P229,T229,X229,AB229),"")</f>
        <v/>
      </c>
      <c r="AF229" s="77"/>
      <c r="AG229" s="73"/>
      <c r="AH229" s="77"/>
      <c r="AI229" s="73"/>
      <c r="AJ229" s="78" t="str">
        <f>IF(AD229="","",IF(ISBLANK(AF229),"En cours",AD229+AF229))</f>
        <v/>
      </c>
      <c r="AK229" s="79" t="str">
        <f>IF(AE229="","",IF(ISBLANK(AH229),"En cours",AE229+AH229))</f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>IF(MIN(F230,J230,N230,R230,V230,Z230)&lt;&gt;0,MIN(F230,J230,N230,R230,V230,Z230),"")</f>
        <v/>
      </c>
      <c r="AE230" s="76" t="str">
        <f>IF(MIN(H230,L230,P230,T230,X230,AB230)&lt;&gt;0,MIN(H230,L230,P230,T230,X230,AB230),"")</f>
        <v/>
      </c>
      <c r="AF230" s="77"/>
      <c r="AG230" s="73"/>
      <c r="AH230" s="77"/>
      <c r="AI230" s="73"/>
      <c r="AJ230" s="78" t="str">
        <f>IF(AD230="","",IF(ISBLANK(AF230),"En cours",AD230+AF230))</f>
        <v/>
      </c>
      <c r="AK230" s="79" t="str">
        <f>IF(AE230="","",IF(ISBLANK(AH230),"En cours",AE230+AH230))</f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>IF(MIN(F231,J231,N231,R231,V231,Z231)&lt;&gt;0,MIN(F231,J231,N231,R231,V231,Z231),"")</f>
        <v/>
      </c>
      <c r="AE231" s="76" t="str">
        <f>IF(MIN(H231,L231,P231,T231,X231,AB231)&lt;&gt;0,MIN(H231,L231,P231,T231,X231,AB231),"")</f>
        <v/>
      </c>
      <c r="AF231" s="77"/>
      <c r="AG231" s="73"/>
      <c r="AH231" s="77"/>
      <c r="AI231" s="73"/>
      <c r="AJ231" s="78" t="str">
        <f>IF(AD231="","",IF(ISBLANK(AF231),"En cours",AD231+AF231))</f>
        <v/>
      </c>
      <c r="AK231" s="79" t="str">
        <f>IF(AE231="","",IF(ISBLANK(AH231),"En cours",AE231+AH231))</f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>IF(MIN(F232,J232,N232,R232,V232,Z232)&lt;&gt;0,MIN(F232,J232,N232,R232,V232,Z232),"")</f>
        <v/>
      </c>
      <c r="AE232" s="76" t="str">
        <f>IF(MIN(H232,L232,P232,T232,X232,AB232)&lt;&gt;0,MIN(H232,L232,P232,T232,X232,AB232),"")</f>
        <v/>
      </c>
      <c r="AF232" s="77"/>
      <c r="AG232" s="73"/>
      <c r="AH232" s="77"/>
      <c r="AI232" s="73"/>
      <c r="AJ232" s="78" t="str">
        <f>IF(AD232="","",IF(ISBLANK(AF232),"En cours",AD232+AF232))</f>
        <v/>
      </c>
      <c r="AK232" s="79" t="str">
        <f>IF(AE232="","",IF(ISBLANK(AH232),"En cours",AE232+AH232))</f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>IF(MIN(F233,J233,N233,R233,V233,Z233)&lt;&gt;0,MIN(F233,J233,N233,R233,V233,Z233),"")</f>
        <v/>
      </c>
      <c r="AE233" s="76" t="str">
        <f>IF(MIN(H233,L233,P233,T233,X233,AB233)&lt;&gt;0,MIN(H233,L233,P233,T233,X233,AB233),"")</f>
        <v/>
      </c>
      <c r="AF233" s="77"/>
      <c r="AG233" s="73"/>
      <c r="AH233" s="77"/>
      <c r="AI233" s="73"/>
      <c r="AJ233" s="78" t="str">
        <f>IF(AD233="","",IF(ISBLANK(AF233),"En cours",AD233+AF233))</f>
        <v/>
      </c>
      <c r="AK233" s="79" t="str">
        <f>IF(AE233="","",IF(ISBLANK(AH233),"En cours",AE233+AH233))</f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>IF(MIN(F234,J234,N234,R234,V234,Z234)&lt;&gt;0,MIN(F234,J234,N234,R234,V234,Z234),"")</f>
        <v/>
      </c>
      <c r="AE234" s="76" t="str">
        <f>IF(MIN(H234,L234,P234,T234,X234,AB234)&lt;&gt;0,MIN(H234,L234,P234,T234,X234,AB234),"")</f>
        <v/>
      </c>
      <c r="AF234" s="77"/>
      <c r="AG234" s="73"/>
      <c r="AH234" s="77"/>
      <c r="AI234" s="73"/>
      <c r="AJ234" s="78" t="str">
        <f>IF(AD234="","",IF(ISBLANK(AF234),"En cours",AD234+AF234))</f>
        <v/>
      </c>
      <c r="AK234" s="79" t="str">
        <f>IF(AE234="","",IF(ISBLANK(AH234),"En cours",AE234+AH234))</f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>IF(MIN(F235,J235,N235,R235,V235,Z235)&lt;&gt;0,MIN(F235,J235,N235,R235,V235,Z235),"")</f>
        <v/>
      </c>
      <c r="AE235" s="76" t="str">
        <f>IF(MIN(H235,L235,P235,T235,X235,AB235)&lt;&gt;0,MIN(H235,L235,P235,T235,X235,AB235),"")</f>
        <v/>
      </c>
      <c r="AF235" s="77"/>
      <c r="AG235" s="73"/>
      <c r="AH235" s="77"/>
      <c r="AI235" s="73"/>
      <c r="AJ235" s="78" t="str">
        <f>IF(AD235="","",IF(ISBLANK(AF235),"En cours",AD235+AF235))</f>
        <v/>
      </c>
      <c r="AK235" s="79" t="str">
        <f>IF(AE235="","",IF(ISBLANK(AH235),"En cours",AE235+AH235))</f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>IF(MIN(F236,J236,N236,R236,V236,Z236)&lt;&gt;0,MIN(F236,J236,N236,R236,V236,Z236),"")</f>
        <v/>
      </c>
      <c r="AE236" s="76" t="str">
        <f>IF(MIN(H236,L236,P236,T236,X236,AB236)&lt;&gt;0,MIN(H236,L236,P236,T236,X236,AB236),"")</f>
        <v/>
      </c>
      <c r="AF236" s="77"/>
      <c r="AG236" s="73"/>
      <c r="AH236" s="77"/>
      <c r="AI236" s="73"/>
      <c r="AJ236" s="78" t="str">
        <f>IF(AD236="","",IF(ISBLANK(AF236),"En cours",AD236+AF236))</f>
        <v/>
      </c>
      <c r="AK236" s="79" t="str">
        <f>IF(AE236="","",IF(ISBLANK(AH236),"En cours",AE236+AH236))</f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>IF(MIN(F237,J237,N237,R237,V237,Z237)&lt;&gt;0,MIN(F237,J237,N237,R237,V237,Z237),"")</f>
        <v/>
      </c>
      <c r="AE237" s="76" t="str">
        <f>IF(MIN(H237,L237,P237,T237,X237,AB237)&lt;&gt;0,MIN(H237,L237,P237,T237,X237,AB237),"")</f>
        <v/>
      </c>
      <c r="AF237" s="77"/>
      <c r="AG237" s="73"/>
      <c r="AH237" s="77"/>
      <c r="AI237" s="73"/>
      <c r="AJ237" s="78" t="str">
        <f>IF(AD237="","",IF(ISBLANK(AF237),"En cours",AD237+AF237))</f>
        <v/>
      </c>
      <c r="AK237" s="79" t="str">
        <f>IF(AE237="","",IF(ISBLANK(AH237),"En cours",AE237+AH237))</f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>IF(MIN(F238,J238,N238,R238,V238,Z238)&lt;&gt;0,MIN(F238,J238,N238,R238,V238,Z238),"")</f>
        <v/>
      </c>
      <c r="AE238" s="76" t="str">
        <f>IF(MIN(H238,L238,P238,T238,X238,AB238)&lt;&gt;0,MIN(H238,L238,P238,T238,X238,AB238),"")</f>
        <v/>
      </c>
      <c r="AF238" s="77"/>
      <c r="AG238" s="73"/>
      <c r="AH238" s="77"/>
      <c r="AI238" s="73"/>
      <c r="AJ238" s="78" t="str">
        <f>IF(AD238="","",IF(ISBLANK(AF238),"En cours",AD238+AF238))</f>
        <v/>
      </c>
      <c r="AK238" s="79" t="str">
        <f>IF(AE238="","",IF(ISBLANK(AH238),"En cours",AE238+AH238))</f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>IF(MIN(F239,J239,N239,R239,V239,Z239)&lt;&gt;0,MIN(F239,J239,N239,R239,V239,Z239),"")</f>
        <v/>
      </c>
      <c r="AE239" s="76" t="str">
        <f>IF(MIN(H239,L239,P239,T239,X239,AB239)&lt;&gt;0,MIN(H239,L239,P239,T239,X239,AB239),"")</f>
        <v/>
      </c>
      <c r="AF239" s="77"/>
      <c r="AG239" s="73"/>
      <c r="AH239" s="77"/>
      <c r="AI239" s="73"/>
      <c r="AJ239" s="78" t="str">
        <f>IF(AD239="","",IF(ISBLANK(AF239),"En cours",AD239+AF239))</f>
        <v/>
      </c>
      <c r="AK239" s="79" t="str">
        <f>IF(AE239="","",IF(ISBLANK(AH239),"En cours",AE239+AH239))</f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>IF(MIN(F240,J240,N240,R240,V240,Z240)&lt;&gt;0,MIN(F240,J240,N240,R240,V240,Z240),"")</f>
        <v/>
      </c>
      <c r="AE240" s="76" t="str">
        <f>IF(MIN(H240,L240,P240,T240,X240,AB240)&lt;&gt;0,MIN(H240,L240,P240,T240,X240,AB240),"")</f>
        <v/>
      </c>
      <c r="AF240" s="77"/>
      <c r="AG240" s="73"/>
      <c r="AH240" s="77"/>
      <c r="AI240" s="73"/>
      <c r="AJ240" s="78" t="str">
        <f>IF(AD240="","",IF(ISBLANK(AF240),"En cours",AD240+AF240))</f>
        <v/>
      </c>
      <c r="AK240" s="79" t="str">
        <f>IF(AE240="","",IF(ISBLANK(AH240),"En cours",AE240+AH240))</f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>IF(MIN(F241,J241,N241,R241,V241,Z241)&lt;&gt;0,MIN(F241,J241,N241,R241,V241,Z241),"")</f>
        <v/>
      </c>
      <c r="AE241" s="76" t="str">
        <f>IF(MIN(H241,L241,P241,T241,X241,AB241)&lt;&gt;0,MIN(H241,L241,P241,T241,X241,AB241),"")</f>
        <v/>
      </c>
      <c r="AF241" s="77"/>
      <c r="AG241" s="73"/>
      <c r="AH241" s="77"/>
      <c r="AI241" s="73"/>
      <c r="AJ241" s="78" t="str">
        <f>IF(AD241="","",IF(ISBLANK(AF241),"En cours",AD241+AF241))</f>
        <v/>
      </c>
      <c r="AK241" s="79" t="str">
        <f>IF(AE241="","",IF(ISBLANK(AH241),"En cours",AE241+AH241))</f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>IF(MIN(F242,J242,N242,R242,V242,Z242)&lt;&gt;0,MIN(F242,J242,N242,R242,V242,Z242),"")</f>
        <v/>
      </c>
      <c r="AE242" s="76" t="str">
        <f>IF(MIN(H242,L242,P242,T242,X242,AB242)&lt;&gt;0,MIN(H242,L242,P242,T242,X242,AB242),"")</f>
        <v/>
      </c>
      <c r="AF242" s="77"/>
      <c r="AG242" s="73"/>
      <c r="AH242" s="77"/>
      <c r="AI242" s="73"/>
      <c r="AJ242" s="78" t="str">
        <f>IF(AD242="","",IF(ISBLANK(AF242),"En cours",AD242+AF242))</f>
        <v/>
      </c>
      <c r="AK242" s="79" t="str">
        <f>IF(AE242="","",IF(ISBLANK(AH242),"En cours",AE242+AH242))</f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>IF(MIN(F243,J243,N243,R243,V243,Z243)&lt;&gt;0,MIN(F243,J243,N243,R243,V243,Z243),"")</f>
        <v/>
      </c>
      <c r="AE243" s="76" t="str">
        <f>IF(MIN(H243,L243,P243,T243,X243,AB243)&lt;&gt;0,MIN(H243,L243,P243,T243,X243,AB243),"")</f>
        <v/>
      </c>
      <c r="AF243" s="77"/>
      <c r="AG243" s="73"/>
      <c r="AH243" s="77"/>
      <c r="AI243" s="73"/>
      <c r="AJ243" s="78" t="str">
        <f>IF(AD243="","",IF(ISBLANK(AF243),"En cours",AD243+AF243))</f>
        <v/>
      </c>
      <c r="AK243" s="79" t="str">
        <f>IF(AE243="","",IF(ISBLANK(AH243),"En cours",AE243+AH243))</f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>IF(MIN(F244,J244,N244,R244,V244,Z244)&lt;&gt;0,MIN(F244,J244,N244,R244,V244,Z244),"")</f>
        <v/>
      </c>
      <c r="AE244" s="76" t="str">
        <f>IF(MIN(H244,L244,P244,T244,X244,AB244)&lt;&gt;0,MIN(H244,L244,P244,T244,X244,AB244),"")</f>
        <v/>
      </c>
      <c r="AF244" s="77"/>
      <c r="AG244" s="73"/>
      <c r="AH244" s="77"/>
      <c r="AI244" s="73"/>
      <c r="AJ244" s="78" t="str">
        <f>IF(AD244="","",IF(ISBLANK(AF244),"En cours",AD244+AF244))</f>
        <v/>
      </c>
      <c r="AK244" s="79" t="str">
        <f>IF(AE244="","",IF(ISBLANK(AH244),"En cours",AE244+AH244))</f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>IF(MIN(F245,J245,N245,R245,V245,Z245)&lt;&gt;0,MIN(F245,J245,N245,R245,V245,Z245),"")</f>
        <v/>
      </c>
      <c r="AE245" s="76" t="str">
        <f>IF(MIN(H245,L245,P245,T245,X245,AB245)&lt;&gt;0,MIN(H245,L245,P245,T245,X245,AB245),"")</f>
        <v/>
      </c>
      <c r="AF245" s="77"/>
      <c r="AG245" s="73"/>
      <c r="AH245" s="77"/>
      <c r="AI245" s="73"/>
      <c r="AJ245" s="78" t="str">
        <f>IF(AD245="","",IF(ISBLANK(AF245),"En cours",AD245+AF245))</f>
        <v/>
      </c>
      <c r="AK245" s="79" t="str">
        <f>IF(AE245="","",IF(ISBLANK(AH245),"En cours",AE245+AH245))</f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>IF(MIN(F246,J246,N246,R246,V246,Z246)&lt;&gt;0,MIN(F246,J246,N246,R246,V246,Z246),"")</f>
        <v/>
      </c>
      <c r="AE246" s="76" t="str">
        <f>IF(MIN(H246,L246,P246,T246,X246,AB246)&lt;&gt;0,MIN(H246,L246,P246,T246,X246,AB246),"")</f>
        <v/>
      </c>
      <c r="AF246" s="77"/>
      <c r="AG246" s="73"/>
      <c r="AH246" s="77"/>
      <c r="AI246" s="73"/>
      <c r="AJ246" s="78" t="str">
        <f>IF(AD246="","",IF(ISBLANK(AF246),"En cours",AD246+AF246))</f>
        <v/>
      </c>
      <c r="AK246" s="79" t="str">
        <f>IF(AE246="","",IF(ISBLANK(AH246),"En cours",AE246+AH246))</f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>IF(MIN(F247,J247,N247,R247,V247,Z247)&lt;&gt;0,MIN(F247,J247,N247,R247,V247,Z247),"")</f>
        <v/>
      </c>
      <c r="AE247" s="76" t="str">
        <f>IF(MIN(H247,L247,P247,T247,X247,AB247)&lt;&gt;0,MIN(H247,L247,P247,T247,X247,AB247),"")</f>
        <v/>
      </c>
      <c r="AF247" s="77"/>
      <c r="AG247" s="73"/>
      <c r="AH247" s="77"/>
      <c r="AI247" s="73"/>
      <c r="AJ247" s="78" t="str">
        <f>IF(AD247="","",IF(ISBLANK(AF247),"En cours",AD247+AF247))</f>
        <v/>
      </c>
      <c r="AK247" s="79" t="str">
        <f>IF(AE247="","",IF(ISBLANK(AH247),"En cours",AE247+AH247))</f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>IF(MIN(F248,J248,N248,R248,V248,Z248)&lt;&gt;0,MIN(F248,J248,N248,R248,V248,Z248),"")</f>
        <v/>
      </c>
      <c r="AE248" s="76" t="str">
        <f>IF(MIN(H248,L248,P248,T248,X248,AB248)&lt;&gt;0,MIN(H248,L248,P248,T248,X248,AB248),"")</f>
        <v/>
      </c>
      <c r="AF248" s="77"/>
      <c r="AG248" s="73"/>
      <c r="AH248" s="77"/>
      <c r="AI248" s="73"/>
      <c r="AJ248" s="78" t="str">
        <f>IF(AD248="","",IF(ISBLANK(AF248),"En cours",AD248+AF248))</f>
        <v/>
      </c>
      <c r="AK248" s="79" t="str">
        <f>IF(AE248="","",IF(ISBLANK(AH248),"En cours",AE248+AH248))</f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>IF(MIN(F249,J249,N249,R249,V249,Z249)&lt;&gt;0,MIN(F249,J249,N249,R249,V249,Z249),"")</f>
        <v/>
      </c>
      <c r="AE249" s="76" t="str">
        <f>IF(MIN(H249,L249,P249,T249,X249,AB249)&lt;&gt;0,MIN(H249,L249,P249,T249,X249,AB249),"")</f>
        <v/>
      </c>
      <c r="AF249" s="77"/>
      <c r="AG249" s="73"/>
      <c r="AH249" s="77"/>
      <c r="AI249" s="73"/>
      <c r="AJ249" s="78" t="str">
        <f>IF(AD249="","",IF(ISBLANK(AF249),"En cours",AD249+AF249))</f>
        <v/>
      </c>
      <c r="AK249" s="79" t="str">
        <f>IF(AE249="","",IF(ISBLANK(AH249),"En cours",AE249+AH249))</f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>IF(MIN(F250,J250,N250,R250,V250,Z250)&lt;&gt;0,MIN(F250,J250,N250,R250,V250,Z250),"")</f>
        <v/>
      </c>
      <c r="AE250" s="76" t="str">
        <f>IF(MIN(H250,L250,P250,T250,X250,AB250)&lt;&gt;0,MIN(H250,L250,P250,T250,X250,AB250),"")</f>
        <v/>
      </c>
      <c r="AF250" s="77"/>
      <c r="AG250" s="73"/>
      <c r="AH250" s="77"/>
      <c r="AI250" s="73"/>
      <c r="AJ250" s="78" t="str">
        <f>IF(AD250="","",IF(ISBLANK(AF250),"En cours",AD250+AF250))</f>
        <v/>
      </c>
      <c r="AK250" s="79" t="str">
        <f>IF(AE250="","",IF(ISBLANK(AH250),"En cours",AE250+AH250))</f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>IF(MIN(F251,J251,N251,R251,V251,Z251)&lt;&gt;0,MIN(F251,J251,N251,R251,V251,Z251),"")</f>
        <v/>
      </c>
      <c r="AE251" s="76" t="str">
        <f>IF(MIN(H251,L251,P251,T251,X251,AB251)&lt;&gt;0,MIN(H251,L251,P251,T251,X251,AB251),"")</f>
        <v/>
      </c>
      <c r="AF251" s="77"/>
      <c r="AG251" s="73"/>
      <c r="AH251" s="77"/>
      <c r="AI251" s="73"/>
      <c r="AJ251" s="78" t="str">
        <f>IF(AD251="","",IF(ISBLANK(AF251),"En cours",AD251+AF251))</f>
        <v/>
      </c>
      <c r="AK251" s="79" t="str">
        <f>IF(AE251="","",IF(ISBLANK(AH251),"En cours",AE251+AH251))</f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>IF(MIN(F252,J252,N252,R252,V252,Z252)&lt;&gt;0,MIN(F252,J252,N252,R252,V252,Z252),"")</f>
        <v/>
      </c>
      <c r="AE252" s="76" t="str">
        <f>IF(MIN(H252,L252,P252,T252,X252,AB252)&lt;&gt;0,MIN(H252,L252,P252,T252,X252,AB252),"")</f>
        <v/>
      </c>
      <c r="AF252" s="77"/>
      <c r="AG252" s="73"/>
      <c r="AH252" s="77"/>
      <c r="AI252" s="73"/>
      <c r="AJ252" s="78" t="str">
        <f>IF(AD252="","",IF(ISBLANK(AF252),"En cours",AD252+AF252))</f>
        <v/>
      </c>
      <c r="AK252" s="79" t="str">
        <f>IF(AE252="","",IF(ISBLANK(AH252),"En cours",AE252+AH252))</f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>IF(MIN(F253,J253,N253,R253,V253,Z253)&lt;&gt;0,MIN(F253,J253,N253,R253,V253,Z253),"")</f>
        <v/>
      </c>
      <c r="AE253" s="76" t="str">
        <f>IF(MIN(H253,L253,P253,T253,X253,AB253)&lt;&gt;0,MIN(H253,L253,P253,T253,X253,AB253),"")</f>
        <v/>
      </c>
      <c r="AF253" s="77"/>
      <c r="AG253" s="73"/>
      <c r="AH253" s="77"/>
      <c r="AI253" s="73"/>
      <c r="AJ253" s="78" t="str">
        <f>IF(AD253="","",IF(ISBLANK(AF253),"En cours",AD253+AF253))</f>
        <v/>
      </c>
      <c r="AK253" s="79" t="str">
        <f>IF(AE253="","",IF(ISBLANK(AH253),"En cours",AE253+AH253))</f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>IF(MIN(F254,J254,N254,R254,V254,Z254)&lt;&gt;0,MIN(F254,J254,N254,R254,V254,Z254),"")</f>
        <v/>
      </c>
      <c r="AE254" s="76" t="str">
        <f>IF(MIN(H254,L254,P254,T254,X254,AB254)&lt;&gt;0,MIN(H254,L254,P254,T254,X254,AB254),"")</f>
        <v/>
      </c>
      <c r="AF254" s="77"/>
      <c r="AG254" s="73"/>
      <c r="AH254" s="77"/>
      <c r="AI254" s="73"/>
      <c r="AJ254" s="78" t="str">
        <f>IF(AD254="","",IF(ISBLANK(AF254),"En cours",AD254+AF254))</f>
        <v/>
      </c>
      <c r="AK254" s="79" t="str">
        <f>IF(AE254="","",IF(ISBLANK(AH254),"En cours",AE254+AH254))</f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>IF(MIN(F255,J255,N255,R255,V255,Z255)&lt;&gt;0,MIN(F255,J255,N255,R255,V255,Z255),"")</f>
        <v/>
      </c>
      <c r="AE255" s="76" t="str">
        <f>IF(MIN(H255,L255,P255,T255,X255,AB255)&lt;&gt;0,MIN(H255,L255,P255,T255,X255,AB255),"")</f>
        <v/>
      </c>
      <c r="AF255" s="77"/>
      <c r="AG255" s="73"/>
      <c r="AH255" s="77"/>
      <c r="AI255" s="73"/>
      <c r="AJ255" s="78" t="str">
        <f>IF(AD255="","",IF(ISBLANK(AF255),"En cours",AD255+AF255))</f>
        <v/>
      </c>
      <c r="AK255" s="79" t="str">
        <f>IF(AE255="","",IF(ISBLANK(AH255),"En cours",AE255+AH255))</f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>IF(MIN(F256,J256,N256,R256,V256,Z256)&lt;&gt;0,MIN(F256,J256,N256,R256,V256,Z256),"")</f>
        <v/>
      </c>
      <c r="AE256" s="76" t="str">
        <f>IF(MIN(H256,L256,P256,T256,X256,AB256)&lt;&gt;0,MIN(H256,L256,P256,T256,X256,AB256),"")</f>
        <v/>
      </c>
      <c r="AF256" s="77"/>
      <c r="AG256" s="73"/>
      <c r="AH256" s="77"/>
      <c r="AI256" s="73"/>
      <c r="AJ256" s="78" t="str">
        <f>IF(AD256="","",IF(ISBLANK(AF256),"En cours",AD256+AF256))</f>
        <v/>
      </c>
      <c r="AK256" s="79" t="str">
        <f>IF(AE256="","",IF(ISBLANK(AH256),"En cours",AE256+AH256))</f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>IF(MIN(F257,J257,N257,R257,V257,Z257)&lt;&gt;0,MIN(F257,J257,N257,R257,V257,Z257),"")</f>
        <v/>
      </c>
      <c r="AE257" s="76" t="str">
        <f>IF(MIN(H257,L257,P257,T257,X257,AB257)&lt;&gt;0,MIN(H257,L257,P257,T257,X257,AB257),"")</f>
        <v/>
      </c>
      <c r="AF257" s="77"/>
      <c r="AG257" s="73"/>
      <c r="AH257" s="77"/>
      <c r="AI257" s="73"/>
      <c r="AJ257" s="78" t="str">
        <f>IF(AD257="","",IF(ISBLANK(AF257),"En cours",AD257+AF257))</f>
        <v/>
      </c>
      <c r="AK257" s="79" t="str">
        <f>IF(AE257="","",IF(ISBLANK(AH257),"En cours",AE257+AH257))</f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>IF(MIN(F258,J258,N258,R258,V258,Z258)&lt;&gt;0,MIN(F258,J258,N258,R258,V258,Z258),"")</f>
        <v/>
      </c>
      <c r="AE258" s="76" t="str">
        <f>IF(MIN(H258,L258,P258,T258,X258,AB258)&lt;&gt;0,MIN(H258,L258,P258,T258,X258,AB258),"")</f>
        <v/>
      </c>
      <c r="AF258" s="77"/>
      <c r="AG258" s="73"/>
      <c r="AH258" s="77"/>
      <c r="AI258" s="73"/>
      <c r="AJ258" s="78" t="str">
        <f>IF(AD258="","",IF(ISBLANK(AF258),"En cours",AD258+AF258))</f>
        <v/>
      </c>
      <c r="AK258" s="79" t="str">
        <f>IF(AE258="","",IF(ISBLANK(AH258),"En cours",AE258+AH258))</f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>IF(MIN(F259,J259,N259,R259,V259,Z259)&lt;&gt;0,MIN(F259,J259,N259,R259,V259,Z259),"")</f>
        <v/>
      </c>
      <c r="AE259" s="76" t="str">
        <f>IF(MIN(H259,L259,P259,T259,X259,AB259)&lt;&gt;0,MIN(H259,L259,P259,T259,X259,AB259),"")</f>
        <v/>
      </c>
      <c r="AF259" s="77"/>
      <c r="AG259" s="73"/>
      <c r="AH259" s="77"/>
      <c r="AI259" s="73"/>
      <c r="AJ259" s="78" t="str">
        <f>IF(AD259="","",IF(ISBLANK(AF259),"En cours",AD259+AF259))</f>
        <v/>
      </c>
      <c r="AK259" s="79" t="str">
        <f>IF(AE259="","",IF(ISBLANK(AH259),"En cours",AE259+AH259))</f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>IF(MIN(F260,J260,N260,R260,V260,Z260)&lt;&gt;0,MIN(F260,J260,N260,R260,V260,Z260),"")</f>
        <v/>
      </c>
      <c r="AE260" s="76" t="str">
        <f>IF(MIN(H260,L260,P260,T260,X260,AB260)&lt;&gt;0,MIN(H260,L260,P260,T260,X260,AB260),"")</f>
        <v/>
      </c>
      <c r="AF260" s="77"/>
      <c r="AG260" s="73"/>
      <c r="AH260" s="77"/>
      <c r="AI260" s="73"/>
      <c r="AJ260" s="78" t="str">
        <f>IF(AD260="","",IF(ISBLANK(AF260),"En cours",AD260+AF260))</f>
        <v/>
      </c>
      <c r="AK260" s="79" t="str">
        <f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>IF(MIN(F261,J261,N261,R261,V261,Z261)&lt;&gt;0,MIN(F261,J261,N261,R261,V261,Z261),"")</f>
        <v/>
      </c>
      <c r="AE261" s="76" t="str">
        <f>IF(MIN(H261,L261,P261,T261,X261,AB261)&lt;&gt;0,MIN(H261,L261,P261,T261,X261,AB261),"")</f>
        <v/>
      </c>
      <c r="AF261" s="77"/>
      <c r="AG261" s="73"/>
      <c r="AH261" s="77"/>
      <c r="AI261" s="73"/>
      <c r="AJ261" s="78" t="str">
        <f>IF(AD261="","",IF(ISBLANK(AF261),"En cours",AD261+AF261))</f>
        <v/>
      </c>
      <c r="AK261" s="79" t="str">
        <f>IF(AE261="","",IF(ISBLANK(AH261),"En cours",AE261+AH261))</f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>IF(MIN(F262,J262,N262,R262,V262,Z262)&lt;&gt;0,MIN(F262,J262,N262,R262,V262,Z262),"")</f>
        <v/>
      </c>
      <c r="AE262" s="76" t="str">
        <f>IF(MIN(H262,L262,P262,T262,X262,AB262)&lt;&gt;0,MIN(H262,L262,P262,T262,X262,AB262),"")</f>
        <v/>
      </c>
      <c r="AF262" s="77"/>
      <c r="AG262" s="73"/>
      <c r="AH262" s="77"/>
      <c r="AI262" s="73"/>
      <c r="AJ262" s="78" t="str">
        <f>IF(AD262="","",IF(ISBLANK(AF262),"En cours",AD262+AF262))</f>
        <v/>
      </c>
      <c r="AK262" s="79" t="str">
        <f>IF(AE262="","",IF(ISBLANK(AH262),"En cours",AE262+AH262))</f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>IF(MIN(F263,J263,N263,R263,V263,Z263)&lt;&gt;0,MIN(F263,J263,N263,R263,V263,Z263),"")</f>
        <v/>
      </c>
      <c r="AE263" s="76" t="str">
        <f>IF(MIN(H263,L263,P263,T263,X263,AB263)&lt;&gt;0,MIN(H263,L263,P263,T263,X263,AB263),"")</f>
        <v/>
      </c>
      <c r="AF263" s="77"/>
      <c r="AG263" s="73"/>
      <c r="AH263" s="77"/>
      <c r="AI263" s="73"/>
      <c r="AJ263" s="78" t="str">
        <f>IF(AD263="","",IF(ISBLANK(AF263),"En cours",AD263+AF263))</f>
        <v/>
      </c>
      <c r="AK263" s="79" t="str">
        <f>IF(AE263="","",IF(ISBLANK(AH263),"En cours",AE263+AH263))</f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>IF(MIN(F264,J264,N264,R264,V264,Z264)&lt;&gt;0,MIN(F264,J264,N264,R264,V264,Z264),"")</f>
        <v/>
      </c>
      <c r="AE264" s="76" t="str">
        <f>IF(MIN(H264,L264,P264,T264,X264,AB264)&lt;&gt;0,MIN(H264,L264,P264,T264,X264,AB264),"")</f>
        <v/>
      </c>
      <c r="AF264" s="77"/>
      <c r="AG264" s="73"/>
      <c r="AH264" s="77"/>
      <c r="AI264" s="73"/>
      <c r="AJ264" s="78" t="str">
        <f>IF(AD264="","",IF(ISBLANK(AF264),"En cours",AD264+AF264))</f>
        <v/>
      </c>
      <c r="AK264" s="79" t="str">
        <f>IF(AE264="","",IF(ISBLANK(AH264),"En cours",AE264+AH264))</f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>IF(MIN(F265,J265,N265,R265,V265,Z265)&lt;&gt;0,MIN(F265,J265,N265,R265,V265,Z265),"")</f>
        <v/>
      </c>
      <c r="AE265" s="76" t="str">
        <f>IF(MIN(H265,L265,P265,T265,X265,AB265)&lt;&gt;0,MIN(H265,L265,P265,T265,X265,AB265),"")</f>
        <v/>
      </c>
      <c r="AF265" s="77"/>
      <c r="AG265" s="73"/>
      <c r="AH265" s="77"/>
      <c r="AI265" s="73"/>
      <c r="AJ265" s="78" t="str">
        <f>IF(AD265="","",IF(ISBLANK(AF265),"En cours",AD265+AF265))</f>
        <v/>
      </c>
      <c r="AK265" s="79" t="str">
        <f>IF(AE265="","",IF(ISBLANK(AH265),"En cours",AE265+AH265))</f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>IF(MIN(F266,J266,N266,R266,V266,Z266)&lt;&gt;0,MIN(F266,J266,N266,R266,V266,Z266),"")</f>
        <v/>
      </c>
      <c r="AE266" s="76" t="str">
        <f>IF(MIN(H266,L266,P266,T266,X266,AB266)&lt;&gt;0,MIN(H266,L266,P266,T266,X266,AB266),"")</f>
        <v/>
      </c>
      <c r="AF266" s="77"/>
      <c r="AG266" s="73"/>
      <c r="AH266" s="77"/>
      <c r="AI266" s="73"/>
      <c r="AJ266" s="78" t="str">
        <f>IF(AD266="","",IF(ISBLANK(AF266),"En cours",AD266+AF266))</f>
        <v/>
      </c>
      <c r="AK266" s="79" t="str">
        <f>IF(AE266="","",IF(ISBLANK(AH266),"En cours",AE266+AH266))</f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>IF(MIN(F267,J267,N267,R267,V267,Z267)&lt;&gt;0,MIN(F267,J267,N267,R267,V267,Z267),"")</f>
        <v/>
      </c>
      <c r="AE267" s="76" t="str">
        <f>IF(MIN(H267,L267,P267,T267,X267,AB267)&lt;&gt;0,MIN(H267,L267,P267,T267,X267,AB267),"")</f>
        <v/>
      </c>
      <c r="AF267" s="77"/>
      <c r="AG267" s="73"/>
      <c r="AH267" s="77"/>
      <c r="AI267" s="73"/>
      <c r="AJ267" s="78" t="str">
        <f>IF(AD267="","",IF(ISBLANK(AF267),"En cours",AD267+AF267))</f>
        <v/>
      </c>
      <c r="AK267" s="79" t="str">
        <f>IF(AE267="","",IF(ISBLANK(AH267),"En cours",AE267+AH267))</f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>IF(MIN(F268,J268,N268,R268,V268,Z268)&lt;&gt;0,MIN(F268,J268,N268,R268,V268,Z268),"")</f>
        <v/>
      </c>
      <c r="AE268" s="76" t="str">
        <f>IF(MIN(H268,L268,P268,T268,X268,AB268)&lt;&gt;0,MIN(H268,L268,P268,T268,X268,AB268),"")</f>
        <v/>
      </c>
      <c r="AF268" s="77"/>
      <c r="AG268" s="73"/>
      <c r="AH268" s="77"/>
      <c r="AI268" s="73"/>
      <c r="AJ268" s="78" t="str">
        <f>IF(AD268="","",IF(ISBLANK(AF268),"En cours",AD268+AF268))</f>
        <v/>
      </c>
      <c r="AK268" s="79" t="str">
        <f>IF(AE268="","",IF(ISBLANK(AH268),"En cours",AE268+AH268))</f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>IF(MIN(F269,J269,N269,R269,V269,Z269)&lt;&gt;0,MIN(F269,J269,N269,R269,V269,Z269),"")</f>
        <v/>
      </c>
      <c r="AE269" s="76" t="str">
        <f>IF(MIN(H269,L269,P269,T269,X269,AB269)&lt;&gt;0,MIN(H269,L269,P269,T269,X269,AB269),"")</f>
        <v/>
      </c>
      <c r="AF269" s="77"/>
      <c r="AG269" s="73"/>
      <c r="AH269" s="77"/>
      <c r="AI269" s="73"/>
      <c r="AJ269" s="78" t="str">
        <f>IF(AD269="","",IF(ISBLANK(AF269),"En cours",AD269+AF269))</f>
        <v/>
      </c>
      <c r="AK269" s="79" t="str">
        <f>IF(AE269="","",IF(ISBLANK(AH269),"En cours",AE269+AH269))</f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>IF(MIN(F270,J270,N270,R270,V270,Z270)&lt;&gt;0,MIN(F270,J270,N270,R270,V270,Z270),"")</f>
        <v/>
      </c>
      <c r="AE270" s="76" t="str">
        <f>IF(MIN(H270,L270,P270,T270,X270,AB270)&lt;&gt;0,MIN(H270,L270,P270,T270,X270,AB270),"")</f>
        <v/>
      </c>
      <c r="AF270" s="77"/>
      <c r="AG270" s="73"/>
      <c r="AH270" s="77"/>
      <c r="AI270" s="73"/>
      <c r="AJ270" s="78" t="str">
        <f>IF(AD270="","",IF(ISBLANK(AF270),"En cours",AD270+AF270))</f>
        <v/>
      </c>
      <c r="AK270" s="79" t="str">
        <f>IF(AE270="","",IF(ISBLANK(AH270),"En cours",AE270+AH270))</f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>IF(MIN(F271,J271,N271,R271,V271,Z271)&lt;&gt;0,MIN(F271,J271,N271,R271,V271,Z271),"")</f>
        <v/>
      </c>
      <c r="AE271" s="76" t="str">
        <f>IF(MIN(H271,L271,P271,T271,X271,AB271)&lt;&gt;0,MIN(H271,L271,P271,T271,X271,AB271),"")</f>
        <v/>
      </c>
      <c r="AF271" s="77"/>
      <c r="AG271" s="73"/>
      <c r="AH271" s="77"/>
      <c r="AI271" s="73"/>
      <c r="AJ271" s="78" t="str">
        <f>IF(AD271="","",IF(ISBLANK(AF271),"En cours",AD271+AF271))</f>
        <v/>
      </c>
      <c r="AK271" s="79" t="str">
        <f>IF(AE271="","",IF(ISBLANK(AH271),"En cours",AE271+AH271))</f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>IF(MIN(F272,J272,N272,R272,V272,Z272)&lt;&gt;0,MIN(F272,J272,N272,R272,V272,Z272),"")</f>
        <v/>
      </c>
      <c r="AE272" s="76" t="str">
        <f>IF(MIN(H272,L272,P272,T272,X272,AB272)&lt;&gt;0,MIN(H272,L272,P272,T272,X272,AB272),"")</f>
        <v/>
      </c>
      <c r="AF272" s="77"/>
      <c r="AG272" s="73"/>
      <c r="AH272" s="77"/>
      <c r="AI272" s="73"/>
      <c r="AJ272" s="78" t="str">
        <f>IF(AD272="","",IF(ISBLANK(AF272),"En cours",AD272+AF272))</f>
        <v/>
      </c>
      <c r="AK272" s="79" t="str">
        <f>IF(AE272="","",IF(ISBLANK(AH272),"En cours",AE272+AH272))</f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>IF(MIN(F273,J273,N273,R273,V273,Z273)&lt;&gt;0,MIN(F273,J273,N273,R273,V273,Z273),"")</f>
        <v/>
      </c>
      <c r="AE273" s="76" t="str">
        <f>IF(MIN(H273,L273,P273,T273,X273,AB273)&lt;&gt;0,MIN(H273,L273,P273,T273,X273,AB273),"")</f>
        <v/>
      </c>
      <c r="AF273" s="77"/>
      <c r="AG273" s="73"/>
      <c r="AH273" s="77"/>
      <c r="AI273" s="73"/>
      <c r="AJ273" s="78" t="str">
        <f>IF(AD273="","",IF(ISBLANK(AF273),"En cours",AD273+AF273))</f>
        <v/>
      </c>
      <c r="AK273" s="79" t="str">
        <f>IF(AE273="","",IF(ISBLANK(AH273),"En cours",AE273+AH273))</f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>IF(MIN(F274,J274,N274,R274,V274,Z274)&lt;&gt;0,MIN(F274,J274,N274,R274,V274,Z274),"")</f>
        <v/>
      </c>
      <c r="AE274" s="76" t="str">
        <f>IF(MIN(H274,L274,P274,T274,X274,AB274)&lt;&gt;0,MIN(H274,L274,P274,T274,X274,AB274),"")</f>
        <v/>
      </c>
      <c r="AF274" s="77"/>
      <c r="AG274" s="73"/>
      <c r="AH274" s="77"/>
      <c r="AI274" s="73"/>
      <c r="AJ274" s="78" t="str">
        <f>IF(AD274="","",IF(ISBLANK(AF274),"En cours",AD274+AF274))</f>
        <v/>
      </c>
      <c r="AK274" s="79" t="str">
        <f>IF(AE274="","",IF(ISBLANK(AH274),"En cours",AE274+AH274))</f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>IF(MIN(F275,J275,N275,R275,V275,Z275)&lt;&gt;0,MIN(F275,J275,N275,R275,V275,Z275),"")</f>
        <v/>
      </c>
      <c r="AE275" s="76" t="str">
        <f>IF(MIN(H275,L275,P275,T275,X275,AB275)&lt;&gt;0,MIN(H275,L275,P275,T275,X275,AB275),"")</f>
        <v/>
      </c>
      <c r="AF275" s="77"/>
      <c r="AG275" s="73"/>
      <c r="AH275" s="77"/>
      <c r="AI275" s="73"/>
      <c r="AJ275" s="78" t="str">
        <f>IF(AD275="","",IF(ISBLANK(AF275),"En cours",AD275+AF275))</f>
        <v/>
      </c>
      <c r="AK275" s="79" t="str">
        <f>IF(AE275="","",IF(ISBLANK(AH275),"En cours",AE275+AH275))</f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>IF(MIN(F276,J276,N276,R276,V276,Z276)&lt;&gt;0,MIN(F276,J276,N276,R276,V276,Z276),"")</f>
        <v/>
      </c>
      <c r="AE276" s="76" t="str">
        <f>IF(MIN(H276,L276,P276,T276,X276,AB276)&lt;&gt;0,MIN(H276,L276,P276,T276,X276,AB276),"")</f>
        <v/>
      </c>
      <c r="AF276" s="77"/>
      <c r="AG276" s="73"/>
      <c r="AH276" s="77"/>
      <c r="AI276" s="73"/>
      <c r="AJ276" s="78" t="str">
        <f>IF(AD276="","",IF(ISBLANK(AF276),"En cours",AD276+AF276))</f>
        <v/>
      </c>
      <c r="AK276" s="79" t="str">
        <f>IF(AE276="","",IF(ISBLANK(AH276),"En cours",AE276+AH276))</f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>IF(MIN(F277,J277,N277,R277,V277,Z277)&lt;&gt;0,MIN(F277,J277,N277,R277,V277,Z277),"")</f>
        <v/>
      </c>
      <c r="AE277" s="76" t="str">
        <f>IF(MIN(H277,L277,P277,T277,X277,AB277)&lt;&gt;0,MIN(H277,L277,P277,T277,X277,AB277),"")</f>
        <v/>
      </c>
      <c r="AF277" s="77"/>
      <c r="AG277" s="73"/>
      <c r="AH277" s="77"/>
      <c r="AI277" s="73"/>
      <c r="AJ277" s="78" t="str">
        <f>IF(AD277="","",IF(ISBLANK(AF277),"En cours",AD277+AF277))</f>
        <v/>
      </c>
      <c r="AK277" s="79" t="str">
        <f>IF(AE277="","",IF(ISBLANK(AH277),"En cours",AE277+AH277))</f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>IF(MIN(F278,J278,N278,R278,V278,Z278)&lt;&gt;0,MIN(F278,J278,N278,R278,V278,Z278),"")</f>
        <v/>
      </c>
      <c r="AE278" s="76" t="str">
        <f>IF(MIN(H278,L278,P278,T278,X278,AB278)&lt;&gt;0,MIN(H278,L278,P278,T278,X278,AB278),"")</f>
        <v/>
      </c>
      <c r="AF278" s="77"/>
      <c r="AG278" s="73"/>
      <c r="AH278" s="77"/>
      <c r="AI278" s="73"/>
      <c r="AJ278" s="78" t="str">
        <f>IF(AD278="","",IF(ISBLANK(AF278),"En cours",AD278+AF278))</f>
        <v/>
      </c>
      <c r="AK278" s="79" t="str">
        <f>IF(AE278="","",IF(ISBLANK(AH278),"En cours",AE278+AH278))</f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>IF(MIN(F279,J279,N279,R279,V279,Z279)&lt;&gt;0,MIN(F279,J279,N279,R279,V279,Z279),"")</f>
        <v/>
      </c>
      <c r="AE279" s="76" t="str">
        <f>IF(MIN(H279,L279,P279,T279,X279,AB279)&lt;&gt;0,MIN(H279,L279,P279,T279,X279,AB279),"")</f>
        <v/>
      </c>
      <c r="AF279" s="77"/>
      <c r="AG279" s="73"/>
      <c r="AH279" s="77"/>
      <c r="AI279" s="73"/>
      <c r="AJ279" s="78" t="str">
        <f>IF(AD279="","",IF(ISBLANK(AF279),"En cours",AD279+AF279))</f>
        <v/>
      </c>
      <c r="AK279" s="79" t="str">
        <f>IF(AE279="","",IF(ISBLANK(AH279),"En cours",AE279+AH279))</f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>IF(MIN(F280,J280,N280,R280,V280,Z280)&lt;&gt;0,MIN(F280,J280,N280,R280,V280,Z280),"")</f>
        <v/>
      </c>
      <c r="AE280" s="76" t="str">
        <f>IF(MIN(H280,L280,P280,T280,X280,AB280)&lt;&gt;0,MIN(H280,L280,P280,T280,X280,AB280),"")</f>
        <v/>
      </c>
      <c r="AF280" s="77"/>
      <c r="AG280" s="73"/>
      <c r="AH280" s="77"/>
      <c r="AI280" s="73"/>
      <c r="AJ280" s="78" t="str">
        <f>IF(AD280="","",IF(ISBLANK(AF280),"En cours",AD280+AF280))</f>
        <v/>
      </c>
      <c r="AK280" s="79" t="str">
        <f>IF(AE280="","",IF(ISBLANK(AH280),"En cours",AE280+AH280))</f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>IF(MIN(F281,J281,N281,R281,V281,Z281)&lt;&gt;0,MIN(F281,J281,N281,R281,V281,Z281),"")</f>
        <v/>
      </c>
      <c r="AE281" s="76" t="str">
        <f>IF(MIN(H281,L281,P281,T281,X281,AB281)&lt;&gt;0,MIN(H281,L281,P281,T281,X281,AB281),"")</f>
        <v/>
      </c>
      <c r="AF281" s="77"/>
      <c r="AG281" s="73"/>
      <c r="AH281" s="77"/>
      <c r="AI281" s="73"/>
      <c r="AJ281" s="78" t="str">
        <f>IF(AD281="","",IF(ISBLANK(AF281),"En cours",AD281+AF281))</f>
        <v/>
      </c>
      <c r="AK281" s="79" t="str">
        <f>IF(AE281="","",IF(ISBLANK(AH281),"En cours",AE281+AH281))</f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>IF(MIN(F282,J282,N282,R282,V282,Z282)&lt;&gt;0,MIN(F282,J282,N282,R282,V282,Z282),"")</f>
        <v/>
      </c>
      <c r="AE282" s="76" t="str">
        <f>IF(MIN(H282,L282,P282,T282,X282,AB282)&lt;&gt;0,MIN(H282,L282,P282,T282,X282,AB282),"")</f>
        <v/>
      </c>
      <c r="AF282" s="77"/>
      <c r="AG282" s="73"/>
      <c r="AH282" s="77"/>
      <c r="AI282" s="73"/>
      <c r="AJ282" s="78" t="str">
        <f>IF(AD282="","",IF(ISBLANK(AF282),"En cours",AD282+AF282))</f>
        <v/>
      </c>
      <c r="AK282" s="79" t="str">
        <f>IF(AE282="","",IF(ISBLANK(AH282),"En cours",AE282+AH282))</f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>IF(MIN(F283,J283,N283,R283,V283,Z283)&lt;&gt;0,MIN(F283,J283,N283,R283,V283,Z283),"")</f>
        <v/>
      </c>
      <c r="AE283" s="76" t="str">
        <f>IF(MIN(H283,L283,P283,T283,X283,AB283)&lt;&gt;0,MIN(H283,L283,P283,T283,X283,AB283),"")</f>
        <v/>
      </c>
      <c r="AF283" s="77"/>
      <c r="AG283" s="73"/>
      <c r="AH283" s="77"/>
      <c r="AI283" s="73"/>
      <c r="AJ283" s="78" t="str">
        <f>IF(AD283="","",IF(ISBLANK(AF283),"En cours",AD283+AF283))</f>
        <v/>
      </c>
      <c r="AK283" s="79" t="str">
        <f>IF(AE283="","",IF(ISBLANK(AH283),"En cours",AE283+AH283))</f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>IF(MIN(F284,J284,N284,R284,V284,Z284)&lt;&gt;0,MIN(F284,J284,N284,R284,V284,Z284),"")</f>
        <v/>
      </c>
      <c r="AE284" s="76" t="str">
        <f>IF(MIN(H284,L284,P284,T284,X284,AB284)&lt;&gt;0,MIN(H284,L284,P284,T284,X284,AB284),"")</f>
        <v/>
      </c>
      <c r="AF284" s="77"/>
      <c r="AG284" s="73"/>
      <c r="AH284" s="77"/>
      <c r="AI284" s="73"/>
      <c r="AJ284" s="78" t="str">
        <f>IF(AD284="","",IF(ISBLANK(AF284),"En cours",AD284+AF284))</f>
        <v/>
      </c>
      <c r="AK284" s="79" t="str">
        <f>IF(AE284="","",IF(ISBLANK(AH284),"En cours",AE284+AH284))</f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>IF(MIN(F285,J285,N285,R285,V285,Z285)&lt;&gt;0,MIN(F285,J285,N285,R285,V285,Z285),"")</f>
        <v/>
      </c>
      <c r="AE285" s="76" t="str">
        <f>IF(MIN(H285,L285,P285,T285,X285,AB285)&lt;&gt;0,MIN(H285,L285,P285,T285,X285,AB285),"")</f>
        <v/>
      </c>
      <c r="AF285" s="77"/>
      <c r="AG285" s="73"/>
      <c r="AH285" s="77"/>
      <c r="AI285" s="73"/>
      <c r="AJ285" s="78" t="str">
        <f>IF(AD285="","",IF(ISBLANK(AF285),"En cours",AD285+AF285))</f>
        <v/>
      </c>
      <c r="AK285" s="79" t="str">
        <f>IF(AE285="","",IF(ISBLANK(AH285),"En cours",AE285+AH285))</f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>IF(MIN(F286,J286,N286,R286,V286,Z286)&lt;&gt;0,MIN(F286,J286,N286,R286,V286,Z286),"")</f>
        <v/>
      </c>
      <c r="AE286" s="76" t="str">
        <f>IF(MIN(H286,L286,P286,T286,X286,AB286)&lt;&gt;0,MIN(H286,L286,P286,T286,X286,AB286),"")</f>
        <v/>
      </c>
      <c r="AF286" s="77"/>
      <c r="AG286" s="73"/>
      <c r="AH286" s="77"/>
      <c r="AI286" s="73"/>
      <c r="AJ286" s="78" t="str">
        <f>IF(AD286="","",IF(ISBLANK(AF286),"En cours",AD286+AF286))</f>
        <v/>
      </c>
      <c r="AK286" s="79" t="str">
        <f>IF(AE286="","",IF(ISBLANK(AH286),"En cours",AE286+AH286))</f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>IF(MIN(F287,J287,N287,R287,V287,Z287)&lt;&gt;0,MIN(F287,J287,N287,R287,V287,Z287),"")</f>
        <v/>
      </c>
      <c r="AE287" s="76" t="str">
        <f>IF(MIN(H287,L287,P287,T287,X287,AB287)&lt;&gt;0,MIN(H287,L287,P287,T287,X287,AB287),"")</f>
        <v/>
      </c>
      <c r="AF287" s="77"/>
      <c r="AG287" s="73"/>
      <c r="AH287" s="77"/>
      <c r="AI287" s="73"/>
      <c r="AJ287" s="78" t="str">
        <f>IF(AD287="","",IF(ISBLANK(AF287),"En cours",AD287+AF287))</f>
        <v/>
      </c>
      <c r="AK287" s="79" t="str">
        <f>IF(AE287="","",IF(ISBLANK(AH287),"En cours",AE287+AH287))</f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>IF(MIN(F288,J288,N288,R288,V288,Z288)&lt;&gt;0,MIN(F288,J288,N288,R288,V288,Z288),"")</f>
        <v/>
      </c>
      <c r="AE288" s="76" t="str">
        <f>IF(MIN(H288,L288,P288,T288,X288,AB288)&lt;&gt;0,MIN(H288,L288,P288,T288,X288,AB288),"")</f>
        <v/>
      </c>
      <c r="AF288" s="77"/>
      <c r="AG288" s="73"/>
      <c r="AH288" s="77"/>
      <c r="AI288" s="73"/>
      <c r="AJ288" s="78" t="str">
        <f>IF(AD288="","",IF(ISBLANK(AF288),"En cours",AD288+AF288))</f>
        <v/>
      </c>
      <c r="AK288" s="79" t="str">
        <f>IF(AE288="","",IF(ISBLANK(AH288),"En cours",AE288+AH288))</f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>IF(MIN(F289,J289,N289,R289,V289,Z289)&lt;&gt;0,MIN(F289,J289,N289,R289,V289,Z289),"")</f>
        <v/>
      </c>
      <c r="AE289" s="76" t="str">
        <f>IF(MIN(H289,L289,P289,T289,X289,AB289)&lt;&gt;0,MIN(H289,L289,P289,T289,X289,AB289),"")</f>
        <v/>
      </c>
      <c r="AF289" s="77"/>
      <c r="AG289" s="73"/>
      <c r="AH289" s="77"/>
      <c r="AI289" s="73"/>
      <c r="AJ289" s="78" t="str">
        <f>IF(AD289="","",IF(ISBLANK(AF289),"En cours",AD289+AF289))</f>
        <v/>
      </c>
      <c r="AK289" s="79" t="str">
        <f>IF(AE289="","",IF(ISBLANK(AH289),"En cours",AE289+AH289))</f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>IF(MIN(F290,J290,N290,R290,V290,Z290)&lt;&gt;0,MIN(F290,J290,N290,R290,V290,Z290),"")</f>
        <v/>
      </c>
      <c r="AE290" s="76" t="str">
        <f>IF(MIN(H290,L290,P290,T290,X290,AB290)&lt;&gt;0,MIN(H290,L290,P290,T290,X290,AB290),"")</f>
        <v/>
      </c>
      <c r="AF290" s="77"/>
      <c r="AG290" s="73"/>
      <c r="AH290" s="77"/>
      <c r="AI290" s="73"/>
      <c r="AJ290" s="78" t="str">
        <f>IF(AD290="","",IF(ISBLANK(AF290),"En cours",AD290+AF290))</f>
        <v/>
      </c>
      <c r="AK290" s="79" t="str">
        <f>IF(AE290="","",IF(ISBLANK(AH290),"En cours",AE290+AH290))</f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>IF(MIN(F291,J291,N291,R291,V291,Z291)&lt;&gt;0,MIN(F291,J291,N291,R291,V291,Z291),"")</f>
        <v/>
      </c>
      <c r="AE291" s="76" t="str">
        <f>IF(MIN(H291,L291,P291,T291,X291,AB291)&lt;&gt;0,MIN(H291,L291,P291,T291,X291,AB291),"")</f>
        <v/>
      </c>
      <c r="AF291" s="77"/>
      <c r="AG291" s="73"/>
      <c r="AH291" s="77"/>
      <c r="AI291" s="73"/>
      <c r="AJ291" s="78" t="str">
        <f>IF(AD291="","",IF(ISBLANK(AF291),"En cours",AD291+AF291))</f>
        <v/>
      </c>
      <c r="AK291" s="79" t="str">
        <f>IF(AE291="","",IF(ISBLANK(AH291),"En cours",AE291+AH291))</f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>IF(MIN(F292,J292,N292,R292,V292,Z292)&lt;&gt;0,MIN(F292,J292,N292,R292,V292,Z292),"")</f>
        <v/>
      </c>
      <c r="AE292" s="76" t="str">
        <f>IF(MIN(H292,L292,P292,T292,X292,AB292)&lt;&gt;0,MIN(H292,L292,P292,T292,X292,AB292),"")</f>
        <v/>
      </c>
      <c r="AF292" s="77"/>
      <c r="AG292" s="73"/>
      <c r="AH292" s="77"/>
      <c r="AI292" s="73"/>
      <c r="AJ292" s="78" t="str">
        <f>IF(AD292="","",IF(ISBLANK(AF292),"En cours",AD292+AF292))</f>
        <v/>
      </c>
      <c r="AK292" s="79" t="str">
        <f>IF(AE292="","",IF(ISBLANK(AH292),"En cours",AE292+AH292))</f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>IF(MIN(F293,J293,N293,R293,V293,Z293)&lt;&gt;0,MIN(F293,J293,N293,R293,V293,Z293),"")</f>
        <v/>
      </c>
      <c r="AE293" s="76" t="str">
        <f>IF(MIN(H293,L293,P293,T293,X293,AB293)&lt;&gt;0,MIN(H293,L293,P293,T293,X293,AB293),"")</f>
        <v/>
      </c>
      <c r="AF293" s="77"/>
      <c r="AG293" s="73"/>
      <c r="AH293" s="77"/>
      <c r="AI293" s="73"/>
      <c r="AJ293" s="78" t="str">
        <f>IF(AD293="","",IF(ISBLANK(AF293),"En cours",AD293+AF293))</f>
        <v/>
      </c>
      <c r="AK293" s="79" t="str">
        <f>IF(AE293="","",IF(ISBLANK(AH293),"En cours",AE293+AH293))</f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>IF(MIN(F294,J294,N294,R294,V294,Z294)&lt;&gt;0,MIN(F294,J294,N294,R294,V294,Z294),"")</f>
        <v/>
      </c>
      <c r="AE294" s="76" t="str">
        <f>IF(MIN(H294,L294,P294,T294,X294,AB294)&lt;&gt;0,MIN(H294,L294,P294,T294,X294,AB294),"")</f>
        <v/>
      </c>
      <c r="AF294" s="77"/>
      <c r="AG294" s="73"/>
      <c r="AH294" s="77"/>
      <c r="AI294" s="73"/>
      <c r="AJ294" s="78" t="str">
        <f>IF(AD294="","",IF(ISBLANK(AF294),"En cours",AD294+AF294))</f>
        <v/>
      </c>
      <c r="AK294" s="79" t="str">
        <f>IF(AE294="","",IF(ISBLANK(AH294),"En cours",AE294+AH294))</f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>IF(MIN(F295,J295,N295,R295,V295,Z295)&lt;&gt;0,MIN(F295,J295,N295,R295,V295,Z295),"")</f>
        <v/>
      </c>
      <c r="AE295" s="76" t="str">
        <f>IF(MIN(H295,L295,P295,T295,X295,AB295)&lt;&gt;0,MIN(H295,L295,P295,T295,X295,AB295),"")</f>
        <v/>
      </c>
      <c r="AF295" s="77"/>
      <c r="AG295" s="73"/>
      <c r="AH295" s="77"/>
      <c r="AI295" s="73"/>
      <c r="AJ295" s="78" t="str">
        <f>IF(AD295="","",IF(ISBLANK(AF295),"En cours",AD295+AF295))</f>
        <v/>
      </c>
      <c r="AK295" s="79" t="str">
        <f>IF(AE295="","",IF(ISBLANK(AH295),"En cours",AE295+AH295))</f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>IF(MIN(F296,J296,N296,R296,V296,Z296)&lt;&gt;0,MIN(F296,J296,N296,R296,V296,Z296),"")</f>
        <v/>
      </c>
      <c r="AE296" s="76" t="str">
        <f>IF(MIN(H296,L296,P296,T296,X296,AB296)&lt;&gt;0,MIN(H296,L296,P296,T296,X296,AB296),"")</f>
        <v/>
      </c>
      <c r="AF296" s="77"/>
      <c r="AG296" s="73"/>
      <c r="AH296" s="77"/>
      <c r="AI296" s="73"/>
      <c r="AJ296" s="78" t="str">
        <f>IF(AD296="","",IF(ISBLANK(AF296),"En cours",AD296+AF296))</f>
        <v/>
      </c>
      <c r="AK296" s="79" t="str">
        <f>IF(AE296="","",IF(ISBLANK(AH296),"En cours",AE296+AH296))</f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>IF(MIN(F297,J297,N297,R297,V297,Z297)&lt;&gt;0,MIN(F297,J297,N297,R297,V297,Z297),"")</f>
        <v/>
      </c>
      <c r="AE297" s="76" t="str">
        <f>IF(MIN(H297,L297,P297,T297,X297,AB297)&lt;&gt;0,MIN(H297,L297,P297,T297,X297,AB297),"")</f>
        <v/>
      </c>
      <c r="AF297" s="77"/>
      <c r="AG297" s="73"/>
      <c r="AH297" s="77"/>
      <c r="AI297" s="73"/>
      <c r="AJ297" s="78" t="str">
        <f>IF(AD297="","",IF(ISBLANK(AF297),"En cours",AD297+AF297))</f>
        <v/>
      </c>
      <c r="AK297" s="79" t="str">
        <f>IF(AE297="","",IF(ISBLANK(AH297),"En cours",AE297+AH297))</f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>IF(MIN(F298,J298,N298,R298,V298,Z298)&lt;&gt;0,MIN(F298,J298,N298,R298,V298,Z298),"")</f>
        <v/>
      </c>
      <c r="AE298" s="76" t="str">
        <f>IF(MIN(H298,L298,P298,T298,X298,AB298)&lt;&gt;0,MIN(H298,L298,P298,T298,X298,AB298),"")</f>
        <v/>
      </c>
      <c r="AF298" s="77"/>
      <c r="AG298" s="73"/>
      <c r="AH298" s="77"/>
      <c r="AI298" s="73"/>
      <c r="AJ298" s="78" t="str">
        <f>IF(AD298="","",IF(ISBLANK(AF298),"En cours",AD298+AF298))</f>
        <v/>
      </c>
      <c r="AK298" s="79" t="str">
        <f>IF(AE298="","",IF(ISBLANK(AH298),"En cours",AE298+AH298))</f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>IF(MIN(F299,J299,N299,R299,V299,Z299)&lt;&gt;0,MIN(F299,J299,N299,R299,V299,Z299),"")</f>
        <v/>
      </c>
      <c r="AE299" s="76" t="str">
        <f>IF(MIN(H299,L299,P299,T299,X299,AB299)&lt;&gt;0,MIN(H299,L299,P299,T299,X299,AB299),"")</f>
        <v/>
      </c>
      <c r="AF299" s="77"/>
      <c r="AG299" s="73"/>
      <c r="AH299" s="77"/>
      <c r="AI299" s="73"/>
      <c r="AJ299" s="78" t="str">
        <f>IF(AD299="","",IF(ISBLANK(AF299),"En cours",AD299+AF299))</f>
        <v/>
      </c>
      <c r="AK299" s="79" t="str">
        <f>IF(AE299="","",IF(ISBLANK(AH299),"En cours",AE299+AH299))</f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>IF(MIN(F300,J300,N300,R300,V300,Z300)&lt;&gt;0,MIN(F300,J300,N300,R300,V300,Z300),"")</f>
        <v/>
      </c>
      <c r="AE300" s="76" t="str">
        <f>IF(MIN(H300,L300,P300,T300,X300,AB300)&lt;&gt;0,MIN(H300,L300,P300,T300,X300,AB300),"")</f>
        <v/>
      </c>
      <c r="AF300" s="77"/>
      <c r="AG300" s="73"/>
      <c r="AH300" s="77"/>
      <c r="AI300" s="73"/>
      <c r="AJ300" s="78" t="str">
        <f>IF(AD300="","",IF(ISBLANK(AF300),"En cours",AD300+AF300))</f>
        <v/>
      </c>
      <c r="AK300" s="79" t="str">
        <f>IF(AE300="","",IF(ISBLANK(AH300),"En cours",AE300+AH300))</f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>IF(MIN(F301,J301,N301,R301,V301,Z301)&lt;&gt;0,MIN(F301,J301,N301,R301,V301,Z301),"")</f>
        <v/>
      </c>
      <c r="AE301" s="76" t="str">
        <f>IF(MIN(H301,L301,P301,T301,X301,AB301)&lt;&gt;0,MIN(H301,L301,P301,T301,X301,AB301),"")</f>
        <v/>
      </c>
      <c r="AF301" s="77"/>
      <c r="AG301" s="73"/>
      <c r="AH301" s="77"/>
      <c r="AI301" s="73"/>
      <c r="AJ301" s="78" t="str">
        <f>IF(AD301="","",IF(ISBLANK(AF301),"En cours",AD301+AF301))</f>
        <v/>
      </c>
      <c r="AK301" s="79" t="str">
        <f>IF(AE301="","",IF(ISBLANK(AH301),"En cours",AE301+AH301))</f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>IF(MIN(F302,J302,N302,R302,V302,Z302)&lt;&gt;0,MIN(F302,J302,N302,R302,V302,Z302),"")</f>
        <v/>
      </c>
      <c r="AE302" s="76" t="str">
        <f>IF(MIN(H302,L302,P302,T302,X302,AB302)&lt;&gt;0,MIN(H302,L302,P302,T302,X302,AB302),"")</f>
        <v/>
      </c>
      <c r="AF302" s="77"/>
      <c r="AG302" s="73"/>
      <c r="AH302" s="77"/>
      <c r="AI302" s="73"/>
      <c r="AJ302" s="78" t="str">
        <f>IF(AD302="","",IF(ISBLANK(AF302),"En cours",AD302+AF302))</f>
        <v/>
      </c>
      <c r="AK302" s="79" t="str">
        <f>IF(AE302="","",IF(ISBLANK(AH302),"En cours",AE302+AH302))</f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>IF(MIN(F303,J303,N303,R303,V303,Z303)&lt;&gt;0,MIN(F303,J303,N303,R303,V303,Z303),"")</f>
        <v/>
      </c>
      <c r="AE303" s="76" t="str">
        <f>IF(MIN(H303,L303,P303,T303,X303,AB303)&lt;&gt;0,MIN(H303,L303,P303,T303,X303,AB303),"")</f>
        <v/>
      </c>
      <c r="AF303" s="77"/>
      <c r="AG303" s="73"/>
      <c r="AH303" s="77"/>
      <c r="AI303" s="73"/>
      <c r="AJ303" s="78" t="str">
        <f>IF(AD303="","",IF(ISBLANK(AF303),"En cours",AD303+AF303))</f>
        <v/>
      </c>
      <c r="AK303" s="79" t="str">
        <f>IF(AE303="","",IF(ISBLANK(AH303),"En cours",AE303+AH303))</f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>IF(MIN(F304,J304,N304,R304,V304,Z304)&lt;&gt;0,MIN(F304,J304,N304,R304,V304,Z304),"")</f>
        <v/>
      </c>
      <c r="AE304" s="76" t="str">
        <f>IF(MIN(H304,L304,P304,T304,X304,AB304)&lt;&gt;0,MIN(H304,L304,P304,T304,X304,AB304),"")</f>
        <v/>
      </c>
      <c r="AF304" s="77"/>
      <c r="AG304" s="73"/>
      <c r="AH304" s="77"/>
      <c r="AI304" s="73"/>
      <c r="AJ304" s="78" t="str">
        <f>IF(AD304="","",IF(ISBLANK(AF304),"En cours",AD304+AF304))</f>
        <v/>
      </c>
      <c r="AK304" s="79" t="str">
        <f>IF(AE304="","",IF(ISBLANK(AH304),"En cours",AE304+AH304))</f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>IF(MIN(F305,J305,N305,R305,V305,Z305)&lt;&gt;0,MIN(F305,J305,N305,R305,V305,Z305),"")</f>
        <v/>
      </c>
      <c r="AE305" s="76" t="str">
        <f>IF(MIN(H305,L305,P305,T305,X305,AB305)&lt;&gt;0,MIN(H305,L305,P305,T305,X305,AB305),"")</f>
        <v/>
      </c>
      <c r="AF305" s="77"/>
      <c r="AG305" s="73"/>
      <c r="AH305" s="77"/>
      <c r="AI305" s="73"/>
      <c r="AJ305" s="78" t="str">
        <f>IF(AD305="","",IF(ISBLANK(AF305),"En cours",AD305+AF305))</f>
        <v/>
      </c>
      <c r="AK305" s="79" t="str">
        <f>IF(AE305="","",IF(ISBLANK(AH305),"En cours",AE305+AH305))</f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>IF(MIN(F306,J306,N306,R306,V306,Z306)&lt;&gt;0,MIN(F306,J306,N306,R306,V306,Z306),"")</f>
        <v/>
      </c>
      <c r="AE306" s="76" t="str">
        <f>IF(MIN(H306,L306,P306,T306,X306,AB306)&lt;&gt;0,MIN(H306,L306,P306,T306,X306,AB306),"")</f>
        <v/>
      </c>
      <c r="AF306" s="77"/>
      <c r="AG306" s="73"/>
      <c r="AH306" s="77"/>
      <c r="AI306" s="73"/>
      <c r="AJ306" s="78" t="str">
        <f>IF(AD306="","",IF(ISBLANK(AF306),"En cours",AD306+AF306))</f>
        <v/>
      </c>
      <c r="AK306" s="79" t="str">
        <f>IF(AE306="","",IF(ISBLANK(AH306),"En cours",AE306+AH306))</f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>IF(MIN(F307,J307,N307,R307,V307,Z307)&lt;&gt;0,MIN(F307,J307,N307,R307,V307,Z307),"")</f>
        <v/>
      </c>
      <c r="AE307" s="76" t="str">
        <f>IF(MIN(H307,L307,P307,T307,X307,AB307)&lt;&gt;0,MIN(H307,L307,P307,T307,X307,AB307),"")</f>
        <v/>
      </c>
      <c r="AF307" s="77"/>
      <c r="AG307" s="73"/>
      <c r="AH307" s="77"/>
      <c r="AI307" s="73"/>
      <c r="AJ307" s="78" t="str">
        <f>IF(AD307="","",IF(ISBLANK(AF307),"En cours",AD307+AF307))</f>
        <v/>
      </c>
      <c r="AK307" s="79" t="str">
        <f>IF(AE307="","",IF(ISBLANK(AH307),"En cours",AE307+AH307))</f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>IF(MIN(F308,J308,N308,R308,V308,Z308)&lt;&gt;0,MIN(F308,J308,N308,R308,V308,Z308),"")</f>
        <v/>
      </c>
      <c r="AE308" s="76" t="str">
        <f>IF(MIN(H308,L308,P308,T308,X308,AB308)&lt;&gt;0,MIN(H308,L308,P308,T308,X308,AB308),"")</f>
        <v/>
      </c>
      <c r="AF308" s="77"/>
      <c r="AG308" s="73"/>
      <c r="AH308" s="77"/>
      <c r="AI308" s="73"/>
      <c r="AJ308" s="78" t="str">
        <f>IF(AD308="","",IF(ISBLANK(AF308),"En cours",AD308+AF308))</f>
        <v/>
      </c>
      <c r="AK308" s="79" t="str">
        <f>IF(AE308="","",IF(ISBLANK(AH308),"En cours",AE308+AH308))</f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>IF(MIN(F309,J309,N309,R309,V309,Z309)&lt;&gt;0,MIN(F309,J309,N309,R309,V309,Z309),"")</f>
        <v/>
      </c>
      <c r="AE309" s="76" t="str">
        <f>IF(MIN(H309,L309,P309,T309,X309,AB309)&lt;&gt;0,MIN(H309,L309,P309,T309,X309,AB309),"")</f>
        <v/>
      </c>
      <c r="AF309" s="77"/>
      <c r="AG309" s="73"/>
      <c r="AH309" s="77"/>
      <c r="AI309" s="73"/>
      <c r="AJ309" s="78" t="str">
        <f>IF(AD309="","",IF(ISBLANK(AF309),"En cours",AD309+AF309))</f>
        <v/>
      </c>
      <c r="AK309" s="79" t="str">
        <f>IF(AE309="","",IF(ISBLANK(AH309),"En cours",AE309+AH309))</f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>IF(MIN(F310,J310,N310,R310,V310,Z310)&lt;&gt;0,MIN(F310,J310,N310,R310,V310,Z310),"")</f>
        <v/>
      </c>
      <c r="AE310" s="76" t="str">
        <f>IF(MIN(H310,L310,P310,T310,X310,AB310)&lt;&gt;0,MIN(H310,L310,P310,T310,X310,AB310),"")</f>
        <v/>
      </c>
      <c r="AF310" s="77"/>
      <c r="AG310" s="73"/>
      <c r="AH310" s="77"/>
      <c r="AI310" s="73"/>
      <c r="AJ310" s="78" t="str">
        <f>IF(AD310="","",IF(ISBLANK(AF310),"En cours",AD310+AF310))</f>
        <v/>
      </c>
      <c r="AK310" s="79" t="str">
        <f>IF(AE310="","",IF(ISBLANK(AH310),"En cours",AE310+AH310))</f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>IF(MIN(F311,J311,N311,R311,V311,Z311)&lt;&gt;0,MIN(F311,J311,N311,R311,V311,Z311),"")</f>
        <v/>
      </c>
      <c r="AE311" s="76" t="str">
        <f>IF(MIN(H311,L311,P311,T311,X311,AB311)&lt;&gt;0,MIN(H311,L311,P311,T311,X311,AB311),"")</f>
        <v/>
      </c>
      <c r="AF311" s="77"/>
      <c r="AG311" s="73"/>
      <c r="AH311" s="77"/>
      <c r="AI311" s="73"/>
      <c r="AJ311" s="78" t="str">
        <f>IF(AD311="","",IF(ISBLANK(AF311),"En cours",AD311+AF311))</f>
        <v/>
      </c>
      <c r="AK311" s="79" t="str">
        <f>IF(AE311="","",IF(ISBLANK(AH311),"En cours",AE311+AH311))</f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>IF(MIN(F312,J312,N312,R312,V312,Z312)&lt;&gt;0,MIN(F312,J312,N312,R312,V312,Z312),"")</f>
        <v/>
      </c>
      <c r="AE312" s="76" t="str">
        <f>IF(MIN(H312,L312,P312,T312,X312,AB312)&lt;&gt;0,MIN(H312,L312,P312,T312,X312,AB312),"")</f>
        <v/>
      </c>
      <c r="AF312" s="77"/>
      <c r="AG312" s="73"/>
      <c r="AH312" s="77"/>
      <c r="AI312" s="73"/>
      <c r="AJ312" s="78" t="str">
        <f>IF(AD312="","",IF(ISBLANK(AF312),"En cours",AD312+AF312))</f>
        <v/>
      </c>
      <c r="AK312" s="79" t="str">
        <f>IF(AE312="","",IF(ISBLANK(AH312),"En cours",AE312+AH312))</f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>IF(MIN(F313,J313,N313,R313,V313,Z313)&lt;&gt;0,MIN(F313,J313,N313,R313,V313,Z313),"")</f>
        <v/>
      </c>
      <c r="AE313" s="76" t="str">
        <f>IF(MIN(H313,L313,P313,T313,X313,AB313)&lt;&gt;0,MIN(H313,L313,P313,T313,X313,AB313),"")</f>
        <v/>
      </c>
      <c r="AF313" s="77"/>
      <c r="AG313" s="73"/>
      <c r="AH313" s="77"/>
      <c r="AI313" s="73"/>
      <c r="AJ313" s="78" t="str">
        <f>IF(AD313="","",IF(ISBLANK(AF313),"En cours",AD313+AF313))</f>
        <v/>
      </c>
      <c r="AK313" s="79" t="str">
        <f>IF(AE313="","",IF(ISBLANK(AH313),"En cours",AE313+AH313))</f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>IF(MIN(F314,J314,N314,R314,V314,Z314)&lt;&gt;0,MIN(F314,J314,N314,R314,V314,Z314),"")</f>
        <v/>
      </c>
      <c r="AE314" s="76" t="str">
        <f>IF(MIN(H314,L314,P314,T314,X314,AB314)&lt;&gt;0,MIN(H314,L314,P314,T314,X314,AB314),"")</f>
        <v/>
      </c>
      <c r="AF314" s="77"/>
      <c r="AG314" s="73"/>
      <c r="AH314" s="77"/>
      <c r="AI314" s="73"/>
      <c r="AJ314" s="78" t="str">
        <f>IF(AD314="","",IF(ISBLANK(AF314),"En cours",AD314+AF314))</f>
        <v/>
      </c>
      <c r="AK314" s="79" t="str">
        <f>IF(AE314="","",IF(ISBLANK(AH314),"En cours",AE314+AH314))</f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>IF(MIN(F315,J315,N315,R315,V315,Z315)&lt;&gt;0,MIN(F315,J315,N315,R315,V315,Z315),"")</f>
        <v/>
      </c>
      <c r="AE315" s="76" t="str">
        <f>IF(MIN(H315,L315,P315,T315,X315,AB315)&lt;&gt;0,MIN(H315,L315,P315,T315,X315,AB315),"")</f>
        <v/>
      </c>
      <c r="AF315" s="77"/>
      <c r="AG315" s="73"/>
      <c r="AH315" s="77"/>
      <c r="AI315" s="73"/>
      <c r="AJ315" s="78" t="str">
        <f>IF(AD315="","",IF(ISBLANK(AF315),"En cours",AD315+AF315))</f>
        <v/>
      </c>
      <c r="AK315" s="79" t="str">
        <f>IF(AE315="","",IF(ISBLANK(AH315),"En cours",AE315+AH315))</f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>IF(MIN(F316,J316,N316,R316,V316,Z316)&lt;&gt;0,MIN(F316,J316,N316,R316,V316,Z316),"")</f>
        <v/>
      </c>
      <c r="AE316" s="76" t="str">
        <f>IF(MIN(H316,L316,P316,T316,X316,AB316)&lt;&gt;0,MIN(H316,L316,P316,T316,X316,AB316),"")</f>
        <v/>
      </c>
      <c r="AF316" s="77"/>
      <c r="AG316" s="73"/>
      <c r="AH316" s="77"/>
      <c r="AI316" s="73"/>
      <c r="AJ316" s="78" t="str">
        <f>IF(AD316="","",IF(ISBLANK(AF316),"En cours",AD316+AF316))</f>
        <v/>
      </c>
      <c r="AK316" s="79" t="str">
        <f>IF(AE316="","",IF(ISBLANK(AH316),"En cours",AE316+AH316))</f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>IF(MIN(F317,J317,N317,R317,V317,Z317)&lt;&gt;0,MIN(F317,J317,N317,R317,V317,Z317),"")</f>
        <v/>
      </c>
      <c r="AE317" s="76" t="str">
        <f>IF(MIN(H317,L317,P317,T317,X317,AB317)&lt;&gt;0,MIN(H317,L317,P317,T317,X317,AB317),"")</f>
        <v/>
      </c>
      <c r="AF317" s="77"/>
      <c r="AG317" s="73"/>
      <c r="AH317" s="77"/>
      <c r="AI317" s="73"/>
      <c r="AJ317" s="78" t="str">
        <f>IF(AD317="","",IF(ISBLANK(AF317),"En cours",AD317+AF317))</f>
        <v/>
      </c>
      <c r="AK317" s="79" t="str">
        <f>IF(AE317="","",IF(ISBLANK(AH317),"En cours",AE317+AH317))</f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>IF(MIN(F318,J318,N318,R318,V318,Z318)&lt;&gt;0,MIN(F318,J318,N318,R318,V318,Z318),"")</f>
        <v/>
      </c>
      <c r="AE318" s="76" t="str">
        <f>IF(MIN(H318,L318,P318,T318,X318,AB318)&lt;&gt;0,MIN(H318,L318,P318,T318,X318,AB318),"")</f>
        <v/>
      </c>
      <c r="AF318" s="77"/>
      <c r="AG318" s="73"/>
      <c r="AH318" s="77"/>
      <c r="AI318" s="73"/>
      <c r="AJ318" s="78" t="str">
        <f>IF(AD318="","",IF(ISBLANK(AF318),"En cours",AD318+AF318))</f>
        <v/>
      </c>
      <c r="AK318" s="79" t="str">
        <f>IF(AE318="","",IF(ISBLANK(AH318),"En cours",AE318+AH318))</f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>IF(MIN(F319,J319,N319,R319,V319,Z319)&lt;&gt;0,MIN(F319,J319,N319,R319,V319,Z319),"")</f>
        <v/>
      </c>
      <c r="AE319" s="76" t="str">
        <f>IF(MIN(H319,L319,P319,T319,X319,AB319)&lt;&gt;0,MIN(H319,L319,P319,T319,X319,AB319),"")</f>
        <v/>
      </c>
      <c r="AF319" s="77"/>
      <c r="AG319" s="73"/>
      <c r="AH319" s="77"/>
      <c r="AI319" s="73"/>
      <c r="AJ319" s="78" t="str">
        <f>IF(AD319="","",IF(ISBLANK(AF319),"En cours",AD319+AF319))</f>
        <v/>
      </c>
      <c r="AK319" s="79" t="str">
        <f>IF(AE319="","",IF(ISBLANK(AH319),"En cours",AE319+AH319))</f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>IF(MIN(F320,J320,N320,R320,V320,Z320)&lt;&gt;0,MIN(F320,J320,N320,R320,V320,Z320),"")</f>
        <v/>
      </c>
      <c r="AE320" s="76" t="str">
        <f>IF(MIN(H320,L320,P320,T320,X320,AB320)&lt;&gt;0,MIN(H320,L320,P320,T320,X320,AB320),"")</f>
        <v/>
      </c>
      <c r="AF320" s="77"/>
      <c r="AG320" s="73"/>
      <c r="AH320" s="77"/>
      <c r="AI320" s="73"/>
      <c r="AJ320" s="78" t="str">
        <f>IF(AD320="","",IF(ISBLANK(AF320),"En cours",AD320+AF320))</f>
        <v/>
      </c>
      <c r="AK320" s="79" t="str">
        <f>IF(AE320="","",IF(ISBLANK(AH320),"En cours",AE320+AH320))</f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>IF(MIN(F321,J321,N321,R321,V321,Z321)&lt;&gt;0,MIN(F321,J321,N321,R321,V321,Z321),"")</f>
        <v/>
      </c>
      <c r="AE321" s="76" t="str">
        <f>IF(MIN(H321,L321,P321,T321,X321,AB321)&lt;&gt;0,MIN(H321,L321,P321,T321,X321,AB321),"")</f>
        <v/>
      </c>
      <c r="AF321" s="77"/>
      <c r="AG321" s="73"/>
      <c r="AH321" s="77"/>
      <c r="AI321" s="73"/>
      <c r="AJ321" s="78" t="str">
        <f>IF(AD321="","",IF(ISBLANK(AF321),"En cours",AD321+AF321))</f>
        <v/>
      </c>
      <c r="AK321" s="79" t="str">
        <f>IF(AE321="","",IF(ISBLANK(AH321),"En cours",AE321+AH321))</f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>IF(MIN(F322,J322,N322,R322,V322,Z322)&lt;&gt;0,MIN(F322,J322,N322,R322,V322,Z322),"")</f>
        <v/>
      </c>
      <c r="AE322" s="76" t="str">
        <f>IF(MIN(H322,L322,P322,T322,X322,AB322)&lt;&gt;0,MIN(H322,L322,P322,T322,X322,AB322),"")</f>
        <v/>
      </c>
      <c r="AF322" s="77"/>
      <c r="AG322" s="73"/>
      <c r="AH322" s="77"/>
      <c r="AI322" s="73"/>
      <c r="AJ322" s="78" t="str">
        <f>IF(AD322="","",IF(ISBLANK(AF322),"En cours",AD322+AF322))</f>
        <v/>
      </c>
      <c r="AK322" s="79" t="str">
        <f>IF(AE322="","",IF(ISBLANK(AH322),"En cours",AE322+AH322))</f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>IF(MIN(F323,J323,N323,R323,V323,Z323)&lt;&gt;0,MIN(F323,J323,N323,R323,V323,Z323),"")</f>
        <v/>
      </c>
      <c r="AE323" s="76" t="str">
        <f>IF(MIN(H323,L323,P323,T323,X323,AB323)&lt;&gt;0,MIN(H323,L323,P323,T323,X323,AB323),"")</f>
        <v/>
      </c>
      <c r="AF323" s="77"/>
      <c r="AG323" s="73"/>
      <c r="AH323" s="77"/>
      <c r="AI323" s="73"/>
      <c r="AJ323" s="78" t="str">
        <f>IF(AD323="","",IF(ISBLANK(AF323),"En cours",AD323+AF323))</f>
        <v/>
      </c>
      <c r="AK323" s="79" t="str">
        <f>IF(AE323="","",IF(ISBLANK(AH323),"En cours",AE323+AH323))</f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>IF(MIN(F324,J324,N324,R324,V324,Z324)&lt;&gt;0,MIN(F324,J324,N324,R324,V324,Z324),"")</f>
        <v/>
      </c>
      <c r="AE324" s="76" t="str">
        <f>IF(MIN(H324,L324,P324,T324,X324,AB324)&lt;&gt;0,MIN(H324,L324,P324,T324,X324,AB324),"")</f>
        <v/>
      </c>
      <c r="AF324" s="77"/>
      <c r="AG324" s="73"/>
      <c r="AH324" s="77"/>
      <c r="AI324" s="73"/>
      <c r="AJ324" s="78" t="str">
        <f>IF(AD324="","",IF(ISBLANK(AF324),"En cours",AD324+AF324))</f>
        <v/>
      </c>
      <c r="AK324" s="79" t="str">
        <f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>IF(MIN(F325,J325,N325,R325,V325,Z325)&lt;&gt;0,MIN(F325,J325,N325,R325,V325,Z325),"")</f>
        <v/>
      </c>
      <c r="AE325" s="76" t="str">
        <f>IF(MIN(H325,L325,P325,T325,X325,AB325)&lt;&gt;0,MIN(H325,L325,P325,T325,X325,AB325),"")</f>
        <v/>
      </c>
      <c r="AF325" s="77"/>
      <c r="AG325" s="73"/>
      <c r="AH325" s="77"/>
      <c r="AI325" s="73"/>
      <c r="AJ325" s="78" t="str">
        <f>IF(AD325="","",IF(ISBLANK(AF325),"En cours",AD325+AF325))</f>
        <v/>
      </c>
      <c r="AK325" s="79" t="str">
        <f>IF(AE325="","",IF(ISBLANK(AH325),"En cours",AE325+AH325))</f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>IF(MIN(F326,J326,N326,R326,V326,Z326)&lt;&gt;0,MIN(F326,J326,N326,R326,V326,Z326),"")</f>
        <v/>
      </c>
      <c r="AE326" s="76" t="str">
        <f>IF(MIN(H326,L326,P326,T326,X326,AB326)&lt;&gt;0,MIN(H326,L326,P326,T326,X326,AB326),"")</f>
        <v/>
      </c>
      <c r="AF326" s="77"/>
      <c r="AG326" s="73"/>
      <c r="AH326" s="77"/>
      <c r="AI326" s="73"/>
      <c r="AJ326" s="78" t="str">
        <f>IF(AD326="","",IF(ISBLANK(AF326),"En cours",AD326+AF326))</f>
        <v/>
      </c>
      <c r="AK326" s="79" t="str">
        <f>IF(AE326="","",IF(ISBLANK(AH326),"En cours",AE326+AH326))</f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>IF(MIN(F327,J327,N327,R327,V327,Z327)&lt;&gt;0,MIN(F327,J327,N327,R327,V327,Z327),"")</f>
        <v/>
      </c>
      <c r="AE327" s="76" t="str">
        <f>IF(MIN(H327,L327,P327,T327,X327,AB327)&lt;&gt;0,MIN(H327,L327,P327,T327,X327,AB327),"")</f>
        <v/>
      </c>
      <c r="AF327" s="77"/>
      <c r="AG327" s="73"/>
      <c r="AH327" s="77"/>
      <c r="AI327" s="73"/>
      <c r="AJ327" s="78" t="str">
        <f>IF(AD327="","",IF(ISBLANK(AF327),"En cours",AD327+AF327))</f>
        <v/>
      </c>
      <c r="AK327" s="79" t="str">
        <f>IF(AE327="","",IF(ISBLANK(AH327),"En cours",AE327+AH327))</f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>IF(MIN(F328,J328,N328,R328,V328,Z328)&lt;&gt;0,MIN(F328,J328,N328,R328,V328,Z328),"")</f>
        <v/>
      </c>
      <c r="AE328" s="76" t="str">
        <f>IF(MIN(H328,L328,P328,T328,X328,AB328)&lt;&gt;0,MIN(H328,L328,P328,T328,X328,AB328),"")</f>
        <v/>
      </c>
      <c r="AF328" s="77"/>
      <c r="AG328" s="73"/>
      <c r="AH328" s="77"/>
      <c r="AI328" s="73"/>
      <c r="AJ328" s="78" t="str">
        <f>IF(AD328="","",IF(ISBLANK(AF328),"En cours",AD328+AF328))</f>
        <v/>
      </c>
      <c r="AK328" s="79" t="str">
        <f>IF(AE328="","",IF(ISBLANK(AH328),"En cours",AE328+AH328))</f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>IF(MIN(F329,J329,N329,R329,V329,Z329)&lt;&gt;0,MIN(F329,J329,N329,R329,V329,Z329),"")</f>
        <v/>
      </c>
      <c r="AE329" s="76" t="str">
        <f>IF(MIN(H329,L329,P329,T329,X329,AB329)&lt;&gt;0,MIN(H329,L329,P329,T329,X329,AB329),"")</f>
        <v/>
      </c>
      <c r="AF329" s="77"/>
      <c r="AG329" s="73"/>
      <c r="AH329" s="77"/>
      <c r="AI329" s="73"/>
      <c r="AJ329" s="78" t="str">
        <f>IF(AD329="","",IF(ISBLANK(AF329),"En cours",AD329+AF329))</f>
        <v/>
      </c>
      <c r="AK329" s="79" t="str">
        <f>IF(AE329="","",IF(ISBLANK(AH329),"En cours",AE329+AH329))</f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>IF(MIN(F330,J330,N330,R330,V330,Z330)&lt;&gt;0,MIN(F330,J330,N330,R330,V330,Z330),"")</f>
        <v/>
      </c>
      <c r="AE330" s="76" t="str">
        <f>IF(MIN(H330,L330,P330,T330,X330,AB330)&lt;&gt;0,MIN(H330,L330,P330,T330,X330,AB330),"")</f>
        <v/>
      </c>
      <c r="AF330" s="77"/>
      <c r="AG330" s="73"/>
      <c r="AH330" s="77"/>
      <c r="AI330" s="73"/>
      <c r="AJ330" s="78" t="str">
        <f>IF(AD330="","",IF(ISBLANK(AF330),"En cours",AD330+AF330))</f>
        <v/>
      </c>
      <c r="AK330" s="79" t="str">
        <f>IF(AE330="","",IF(ISBLANK(AH330),"En cours",AE330+AH330))</f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>IF(MIN(F331,J331,N331,R331,V331,Z331)&lt;&gt;0,MIN(F331,J331,N331,R331,V331,Z331),"")</f>
        <v/>
      </c>
      <c r="AE331" s="76" t="str">
        <f>IF(MIN(H331,L331,P331,T331,X331,AB331)&lt;&gt;0,MIN(H331,L331,P331,T331,X331,AB331),"")</f>
        <v/>
      </c>
      <c r="AF331" s="77"/>
      <c r="AG331" s="73"/>
      <c r="AH331" s="77"/>
      <c r="AI331" s="73"/>
      <c r="AJ331" s="78" t="str">
        <f>IF(AD331="","",IF(ISBLANK(AF331),"En cours",AD331+AF331))</f>
        <v/>
      </c>
      <c r="AK331" s="79" t="str">
        <f>IF(AE331="","",IF(ISBLANK(AH331),"En cours",AE331+AH331))</f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>IF(MIN(F332,J332,N332,R332,V332,Z332)&lt;&gt;0,MIN(F332,J332,N332,R332,V332,Z332),"")</f>
        <v/>
      </c>
      <c r="AE332" s="76" t="str">
        <f>IF(MIN(H332,L332,P332,T332,X332,AB332)&lt;&gt;0,MIN(H332,L332,P332,T332,X332,AB332),"")</f>
        <v/>
      </c>
      <c r="AF332" s="77"/>
      <c r="AG332" s="73"/>
      <c r="AH332" s="77"/>
      <c r="AI332" s="73"/>
      <c r="AJ332" s="78" t="str">
        <f>IF(AD332="","",IF(ISBLANK(AF332),"En cours",AD332+AF332))</f>
        <v/>
      </c>
      <c r="AK332" s="79" t="str">
        <f>IF(AE332="","",IF(ISBLANK(AH332),"En cours",AE332+AH332))</f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>IF(MIN(F333,J333,N333,R333,V333,Z333)&lt;&gt;0,MIN(F333,J333,N333,R333,V333,Z333),"")</f>
        <v/>
      </c>
      <c r="AE333" s="76" t="str">
        <f>IF(MIN(H333,L333,P333,T333,X333,AB333)&lt;&gt;0,MIN(H333,L333,P333,T333,X333,AB333),"")</f>
        <v/>
      </c>
      <c r="AF333" s="77"/>
      <c r="AG333" s="73"/>
      <c r="AH333" s="77"/>
      <c r="AI333" s="73"/>
      <c r="AJ333" s="78" t="str">
        <f>IF(AD333="","",IF(ISBLANK(AF333),"En cours",AD333+AF333))</f>
        <v/>
      </c>
      <c r="AK333" s="79" t="str">
        <f>IF(AE333="","",IF(ISBLANK(AH333),"En cours",AE333+AH333))</f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>IF(MIN(F334,J334,N334,R334,V334,Z334)&lt;&gt;0,MIN(F334,J334,N334,R334,V334,Z334),"")</f>
        <v/>
      </c>
      <c r="AE334" s="76" t="str">
        <f>IF(MIN(H334,L334,P334,T334,X334,AB334)&lt;&gt;0,MIN(H334,L334,P334,T334,X334,AB334),"")</f>
        <v/>
      </c>
      <c r="AF334" s="77"/>
      <c r="AG334" s="73"/>
      <c r="AH334" s="77"/>
      <c r="AI334" s="73"/>
      <c r="AJ334" s="78" t="str">
        <f>IF(AD334="","",IF(ISBLANK(AF334),"En cours",AD334+AF334))</f>
        <v/>
      </c>
      <c r="AK334" s="79" t="str">
        <f>IF(AE334="","",IF(ISBLANK(AH334),"En cours",AE334+AH334))</f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>IF(MIN(F335,J335,N335,R335,V335,Z335)&lt;&gt;0,MIN(F335,J335,N335,R335,V335,Z335),"")</f>
        <v/>
      </c>
      <c r="AE335" s="76" t="str">
        <f>IF(MIN(H335,L335,P335,T335,X335,AB335)&lt;&gt;0,MIN(H335,L335,P335,T335,X335,AB335),"")</f>
        <v/>
      </c>
      <c r="AF335" s="77"/>
      <c r="AG335" s="73"/>
      <c r="AH335" s="77"/>
      <c r="AI335" s="73"/>
      <c r="AJ335" s="78" t="str">
        <f>IF(AD335="","",IF(ISBLANK(AF335),"En cours",AD335+AF335))</f>
        <v/>
      </c>
      <c r="AK335" s="79" t="str">
        <f>IF(AE335="","",IF(ISBLANK(AH335),"En cours",AE335+AH335))</f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>IF(MIN(F336,J336,N336,R336,V336,Z336)&lt;&gt;0,MIN(F336,J336,N336,R336,V336,Z336),"")</f>
        <v/>
      </c>
      <c r="AE336" s="76" t="str">
        <f>IF(MIN(H336,L336,P336,T336,X336,AB336)&lt;&gt;0,MIN(H336,L336,P336,T336,X336,AB336),"")</f>
        <v/>
      </c>
      <c r="AF336" s="77"/>
      <c r="AG336" s="73"/>
      <c r="AH336" s="77"/>
      <c r="AI336" s="73"/>
      <c r="AJ336" s="78" t="str">
        <f>IF(AD336="","",IF(ISBLANK(AF336),"En cours",AD336+AF336))</f>
        <v/>
      </c>
      <c r="AK336" s="79" t="str">
        <f>IF(AE336="","",IF(ISBLANK(AH336),"En cours",AE336+AH336))</f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>IF(MIN(F337,J337,N337,R337,V337,Z337)&lt;&gt;0,MIN(F337,J337,N337,R337,V337,Z337),"")</f>
        <v/>
      </c>
      <c r="AE337" s="76" t="str">
        <f>IF(MIN(H337,L337,P337,T337,X337,AB337)&lt;&gt;0,MIN(H337,L337,P337,T337,X337,AB337),"")</f>
        <v/>
      </c>
      <c r="AF337" s="77"/>
      <c r="AG337" s="73"/>
      <c r="AH337" s="77"/>
      <c r="AI337" s="73"/>
      <c r="AJ337" s="78" t="str">
        <f>IF(AD337="","",IF(ISBLANK(AF337),"En cours",AD337+AF337))</f>
        <v/>
      </c>
      <c r="AK337" s="79" t="str">
        <f>IF(AE337="","",IF(ISBLANK(AH337),"En cours",AE337+AH337))</f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>IF(MIN(F338,J338,N338,R338,V338,Z338)&lt;&gt;0,MIN(F338,J338,N338,R338,V338,Z338),"")</f>
        <v/>
      </c>
      <c r="AE338" s="76" t="str">
        <f>IF(MIN(H338,L338,P338,T338,X338,AB338)&lt;&gt;0,MIN(H338,L338,P338,T338,X338,AB338),"")</f>
        <v/>
      </c>
      <c r="AF338" s="77"/>
      <c r="AG338" s="73"/>
      <c r="AH338" s="77"/>
      <c r="AI338" s="73"/>
      <c r="AJ338" s="78" t="str">
        <f>IF(AD338="","",IF(ISBLANK(AF338),"En cours",AD338+AF338))</f>
        <v/>
      </c>
      <c r="AK338" s="79" t="str">
        <f>IF(AE338="","",IF(ISBLANK(AH338),"En cours",AE338+AH338))</f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>IF(MIN(F339,J339,N339,R339,V339,Z339)&lt;&gt;0,MIN(F339,J339,N339,R339,V339,Z339),"")</f>
        <v/>
      </c>
      <c r="AE339" s="76" t="str">
        <f>IF(MIN(H339,L339,P339,T339,X339,AB339)&lt;&gt;0,MIN(H339,L339,P339,T339,X339,AB339),"")</f>
        <v/>
      </c>
      <c r="AF339" s="77"/>
      <c r="AG339" s="73"/>
      <c r="AH339" s="77"/>
      <c r="AI339" s="73"/>
      <c r="AJ339" s="78" t="str">
        <f>IF(AD339="","",IF(ISBLANK(AF339),"En cours",AD339+AF339))</f>
        <v/>
      </c>
      <c r="AK339" s="79" t="str">
        <f>IF(AE339="","",IF(ISBLANK(AH339),"En cours",AE339+AH339))</f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>IF(MIN(F340,J340,N340,R340,V340,Z340)&lt;&gt;0,MIN(F340,J340,N340,R340,V340,Z340),"")</f>
        <v/>
      </c>
      <c r="AE340" s="76" t="str">
        <f>IF(MIN(H340,L340,P340,T340,X340,AB340)&lt;&gt;0,MIN(H340,L340,P340,T340,X340,AB340),"")</f>
        <v/>
      </c>
      <c r="AF340" s="77"/>
      <c r="AG340" s="73"/>
      <c r="AH340" s="77"/>
      <c r="AI340" s="73"/>
      <c r="AJ340" s="78" t="str">
        <f>IF(AD340="","",IF(ISBLANK(AF340),"En cours",AD340+AF340))</f>
        <v/>
      </c>
      <c r="AK340" s="79" t="str">
        <f>IF(AE340="","",IF(ISBLANK(AH340),"En cours",AE340+AH340))</f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>IF(MIN(F341,J341,N341,R341,V341,Z341)&lt;&gt;0,MIN(F341,J341,N341,R341,V341,Z341),"")</f>
        <v/>
      </c>
      <c r="AE341" s="76" t="str">
        <f>IF(MIN(H341,L341,P341,T341,X341,AB341)&lt;&gt;0,MIN(H341,L341,P341,T341,X341,AB341),"")</f>
        <v/>
      </c>
      <c r="AF341" s="77"/>
      <c r="AG341" s="73"/>
      <c r="AH341" s="77"/>
      <c r="AI341" s="73"/>
      <c r="AJ341" s="78" t="str">
        <f>IF(AD341="","",IF(ISBLANK(AF341),"En cours",AD341+AF341))</f>
        <v/>
      </c>
      <c r="AK341" s="79" t="str">
        <f>IF(AE341="","",IF(ISBLANK(AH341),"En cours",AE341+AH341))</f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>IF(MIN(F342,J342,N342,R342,V342,Z342)&lt;&gt;0,MIN(F342,J342,N342,R342,V342,Z342),"")</f>
        <v/>
      </c>
      <c r="AE342" s="76" t="str">
        <f>IF(MIN(H342,L342,P342,T342,X342,AB342)&lt;&gt;0,MIN(H342,L342,P342,T342,X342,AB342),"")</f>
        <v/>
      </c>
      <c r="AF342" s="77"/>
      <c r="AG342" s="73"/>
      <c r="AH342" s="77"/>
      <c r="AI342" s="73"/>
      <c r="AJ342" s="78" t="str">
        <f>IF(AD342="","",IF(ISBLANK(AF342),"En cours",AD342+AF342))</f>
        <v/>
      </c>
      <c r="AK342" s="79" t="str">
        <f>IF(AE342="","",IF(ISBLANK(AH342),"En cours",AE342+AH342))</f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>IF(MIN(F343,J343,N343,R343,V343,Z343)&lt;&gt;0,MIN(F343,J343,N343,R343,V343,Z343),"")</f>
        <v/>
      </c>
      <c r="AE343" s="76" t="str">
        <f>IF(MIN(H343,L343,P343,T343,X343,AB343)&lt;&gt;0,MIN(H343,L343,P343,T343,X343,AB343),"")</f>
        <v/>
      </c>
      <c r="AF343" s="77"/>
      <c r="AG343" s="73"/>
      <c r="AH343" s="77"/>
      <c r="AI343" s="73"/>
      <c r="AJ343" s="78" t="str">
        <f>IF(AD343="","",IF(ISBLANK(AF343),"En cours",AD343+AF343))</f>
        <v/>
      </c>
      <c r="AK343" s="79" t="str">
        <f>IF(AE343="","",IF(ISBLANK(AH343),"En cours",AE343+AH343))</f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>IF(MIN(F344,J344,N344,R344,V344,Z344)&lt;&gt;0,MIN(F344,J344,N344,R344,V344,Z344),"")</f>
        <v/>
      </c>
      <c r="AE344" s="76" t="str">
        <f>IF(MIN(H344,L344,P344,T344,X344,AB344)&lt;&gt;0,MIN(H344,L344,P344,T344,X344,AB344),"")</f>
        <v/>
      </c>
      <c r="AF344" s="77"/>
      <c r="AG344" s="73"/>
      <c r="AH344" s="77"/>
      <c r="AI344" s="73"/>
      <c r="AJ344" s="78" t="str">
        <f>IF(AD344="","",IF(ISBLANK(AF344),"En cours",AD344+AF344))</f>
        <v/>
      </c>
      <c r="AK344" s="79" t="str">
        <f>IF(AE344="","",IF(ISBLANK(AH344),"En cours",AE344+AH344))</f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>IF(MIN(F345,J345,N345,R345,V345,Z345)&lt;&gt;0,MIN(F345,J345,N345,R345,V345,Z345),"")</f>
        <v/>
      </c>
      <c r="AE345" s="76" t="str">
        <f>IF(MIN(H345,L345,P345,T345,X345,AB345)&lt;&gt;0,MIN(H345,L345,P345,T345,X345,AB345),"")</f>
        <v/>
      </c>
      <c r="AF345" s="77"/>
      <c r="AG345" s="73"/>
      <c r="AH345" s="77"/>
      <c r="AI345" s="73"/>
      <c r="AJ345" s="78" t="str">
        <f>IF(AD345="","",IF(ISBLANK(AF345),"En cours",AD345+AF345))</f>
        <v/>
      </c>
      <c r="AK345" s="79" t="str">
        <f>IF(AE345="","",IF(ISBLANK(AH345),"En cours",AE345+AH345))</f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>IF(MIN(F346,J346,N346,R346,V346,Z346)&lt;&gt;0,MIN(F346,J346,N346,R346,V346,Z346),"")</f>
        <v/>
      </c>
      <c r="AE346" s="76" t="str">
        <f>IF(MIN(H346,L346,P346,T346,X346,AB346)&lt;&gt;0,MIN(H346,L346,P346,T346,X346,AB346),"")</f>
        <v/>
      </c>
      <c r="AF346" s="77"/>
      <c r="AG346" s="73"/>
      <c r="AH346" s="77"/>
      <c r="AI346" s="73"/>
      <c r="AJ346" s="78" t="str">
        <f>IF(AD346="","",IF(ISBLANK(AF346),"En cours",AD346+AF346))</f>
        <v/>
      </c>
      <c r="AK346" s="79" t="str">
        <f>IF(AE346="","",IF(ISBLANK(AH346),"En cours",AE346+AH346))</f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>IF(MIN(F347,J347,N347,R347,V347,Z347)&lt;&gt;0,MIN(F347,J347,N347,R347,V347,Z347),"")</f>
        <v/>
      </c>
      <c r="AE347" s="76" t="str">
        <f>IF(MIN(H347,L347,P347,T347,X347,AB347)&lt;&gt;0,MIN(H347,L347,P347,T347,X347,AB347),"")</f>
        <v/>
      </c>
      <c r="AF347" s="77"/>
      <c r="AG347" s="73"/>
      <c r="AH347" s="77"/>
      <c r="AI347" s="73"/>
      <c r="AJ347" s="78" t="str">
        <f>IF(AD347="","",IF(ISBLANK(AF347),"En cours",AD347+AF347))</f>
        <v/>
      </c>
      <c r="AK347" s="79" t="str">
        <f>IF(AE347="","",IF(ISBLANK(AH347),"En cours",AE347+AH347))</f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>IF(MIN(F348,J348,N348,R348,V348,Z348)&lt;&gt;0,MIN(F348,J348,N348,R348,V348,Z348),"")</f>
        <v/>
      </c>
      <c r="AE348" s="76" t="str">
        <f>IF(MIN(H348,L348,P348,T348,X348,AB348)&lt;&gt;0,MIN(H348,L348,P348,T348,X348,AB348),"")</f>
        <v/>
      </c>
      <c r="AF348" s="77"/>
      <c r="AG348" s="73"/>
      <c r="AH348" s="77"/>
      <c r="AI348" s="73"/>
      <c r="AJ348" s="78" t="str">
        <f>IF(AD348="","",IF(ISBLANK(AF348),"En cours",AD348+AF348))</f>
        <v/>
      </c>
      <c r="AK348" s="79" t="str">
        <f>IF(AE348="","",IF(ISBLANK(AH348),"En cours",AE348+AH348))</f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>IF(MIN(F349,J349,N349,R349,V349,Z349)&lt;&gt;0,MIN(F349,J349,N349,R349,V349,Z349),"")</f>
        <v/>
      </c>
      <c r="AE349" s="76" t="str">
        <f>IF(MIN(H349,L349,P349,T349,X349,AB349)&lt;&gt;0,MIN(H349,L349,P349,T349,X349,AB349),"")</f>
        <v/>
      </c>
      <c r="AF349" s="77"/>
      <c r="AG349" s="73"/>
      <c r="AH349" s="77"/>
      <c r="AI349" s="73"/>
      <c r="AJ349" s="78" t="str">
        <f>IF(AD349="","",IF(ISBLANK(AF349),"En cours",AD349+AF349))</f>
        <v/>
      </c>
      <c r="AK349" s="79" t="str">
        <f>IF(AE349="","",IF(ISBLANK(AH349),"En cours",AE349+AH349))</f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>IF(MIN(F350,J350,N350,R350,V350,Z350)&lt;&gt;0,MIN(F350,J350,N350,R350,V350,Z350),"")</f>
        <v/>
      </c>
      <c r="AE350" s="76" t="str">
        <f>IF(MIN(H350,L350,P350,T350,X350,AB350)&lt;&gt;0,MIN(H350,L350,P350,T350,X350,AB350),"")</f>
        <v/>
      </c>
      <c r="AF350" s="77"/>
      <c r="AG350" s="73"/>
      <c r="AH350" s="77"/>
      <c r="AI350" s="73"/>
      <c r="AJ350" s="78" t="str">
        <f>IF(AD350="","",IF(ISBLANK(AF350),"En cours",AD350+AF350))</f>
        <v/>
      </c>
      <c r="AK350" s="79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103">
    <cfRule type="cellIs" dxfId="1167" priority="74637" stopIfTrue="1" operator="equal">
      <formula>"En cours"</formula>
    </cfRule>
  </conditionalFormatting>
  <conditionalFormatting sqref="AJ103">
    <cfRule type="cellIs" dxfId="1166" priority="74638" stopIfTrue="1" operator="notEqual">
      <formula>"En cours"</formula>
    </cfRule>
  </conditionalFormatting>
  <conditionalFormatting sqref="AK103">
    <cfRule type="cellIs" dxfId="1165" priority="74639" stopIfTrue="1" operator="equal">
      <formula>"En cours"</formula>
    </cfRule>
  </conditionalFormatting>
  <conditionalFormatting sqref="AK103">
    <cfRule type="cellIs" dxfId="1164" priority="74640" stopIfTrue="1" operator="notEqual">
      <formula>"En cours"</formula>
    </cfRule>
  </conditionalFormatting>
  <conditionalFormatting sqref="AJ106">
    <cfRule type="cellIs" dxfId="1163" priority="74641" stopIfTrue="1" operator="equal">
      <formula>"En cours"</formula>
    </cfRule>
  </conditionalFormatting>
  <conditionalFormatting sqref="AJ106">
    <cfRule type="cellIs" dxfId="1162" priority="74642" stopIfTrue="1" operator="notEqual">
      <formula>"En cours"</formula>
    </cfRule>
  </conditionalFormatting>
  <conditionalFormatting sqref="AK106">
    <cfRule type="cellIs" dxfId="1161" priority="74643" stopIfTrue="1" operator="equal">
      <formula>"En cours"</formula>
    </cfRule>
  </conditionalFormatting>
  <conditionalFormatting sqref="AK106">
    <cfRule type="cellIs" dxfId="1160" priority="74644" stopIfTrue="1" operator="notEqual">
      <formula>"En cours"</formula>
    </cfRule>
  </conditionalFormatting>
  <conditionalFormatting sqref="AJ104">
    <cfRule type="cellIs" dxfId="1159" priority="74649" stopIfTrue="1" operator="equal">
      <formula>"En cours"</formula>
    </cfRule>
  </conditionalFormatting>
  <conditionalFormatting sqref="AJ104">
    <cfRule type="cellIs" dxfId="1158" priority="74650" stopIfTrue="1" operator="notEqual">
      <formula>"En cours"</formula>
    </cfRule>
  </conditionalFormatting>
  <conditionalFormatting sqref="AK104">
    <cfRule type="cellIs" dxfId="1157" priority="74651" stopIfTrue="1" operator="equal">
      <formula>"En cours"</formula>
    </cfRule>
  </conditionalFormatting>
  <conditionalFormatting sqref="AK104">
    <cfRule type="cellIs" dxfId="1156" priority="74652" stopIfTrue="1" operator="notEqual">
      <formula>"En cours"</formula>
    </cfRule>
  </conditionalFormatting>
  <conditionalFormatting sqref="AJ110">
    <cfRule type="cellIs" dxfId="1155" priority="74653" stopIfTrue="1" operator="equal">
      <formula>"En cours"</formula>
    </cfRule>
    <cfRule type="cellIs" dxfId="1154" priority="74654" stopIfTrue="1" operator="notEqual">
      <formula>"En cours"</formula>
    </cfRule>
  </conditionalFormatting>
  <conditionalFormatting sqref="AK110">
    <cfRule type="cellIs" dxfId="1153" priority="74655" stopIfTrue="1" operator="equal">
      <formula>"En cours"</formula>
    </cfRule>
    <cfRule type="cellIs" dxfId="1152" priority="74656" stopIfTrue="1" operator="notEqual">
      <formula>"En cours"</formula>
    </cfRule>
  </conditionalFormatting>
  <conditionalFormatting sqref="AJ105">
    <cfRule type="cellIs" dxfId="1151" priority="74661" stopIfTrue="1" operator="equal">
      <formula>"En cours"</formula>
    </cfRule>
  </conditionalFormatting>
  <conditionalFormatting sqref="AJ105">
    <cfRule type="cellIs" dxfId="1150" priority="74662" stopIfTrue="1" operator="notEqual">
      <formula>"En cours"</formula>
    </cfRule>
  </conditionalFormatting>
  <conditionalFormatting sqref="AK105">
    <cfRule type="cellIs" dxfId="1149" priority="74663" stopIfTrue="1" operator="equal">
      <formula>"En cours"</formula>
    </cfRule>
  </conditionalFormatting>
  <conditionalFormatting sqref="AK105">
    <cfRule type="cellIs" dxfId="1148" priority="74664" stopIfTrue="1" operator="notEqual">
      <formula>"En cours"</formula>
    </cfRule>
  </conditionalFormatting>
  <conditionalFormatting sqref="AJ114">
    <cfRule type="cellIs" dxfId="1147" priority="74665" stopIfTrue="1" operator="equal">
      <formula>"En cours"</formula>
    </cfRule>
    <cfRule type="cellIs" dxfId="1146" priority="74666" stopIfTrue="1" operator="notEqual">
      <formula>"En cours"</formula>
    </cfRule>
  </conditionalFormatting>
  <conditionalFormatting sqref="AK114">
    <cfRule type="cellIs" dxfId="1145" priority="74667" stopIfTrue="1" operator="equal">
      <formula>"En cours"</formula>
    </cfRule>
    <cfRule type="cellIs" dxfId="1144" priority="74668" stopIfTrue="1" operator="notEqual">
      <formula>"En cours"</formula>
    </cfRule>
  </conditionalFormatting>
  <conditionalFormatting sqref="AJ109">
    <cfRule type="cellIs" dxfId="1143" priority="74673" stopIfTrue="1" operator="equal">
      <formula>"En cours"</formula>
    </cfRule>
  </conditionalFormatting>
  <conditionalFormatting sqref="AJ109">
    <cfRule type="cellIs" dxfId="1142" priority="74674" stopIfTrue="1" operator="notEqual">
      <formula>"En cours"</formula>
    </cfRule>
  </conditionalFormatting>
  <conditionalFormatting sqref="AK109">
    <cfRule type="cellIs" dxfId="1141" priority="74675" stopIfTrue="1" operator="equal">
      <formula>"En cours"</formula>
    </cfRule>
  </conditionalFormatting>
  <conditionalFormatting sqref="AK109">
    <cfRule type="cellIs" dxfId="1140" priority="74676" stopIfTrue="1" operator="notEqual">
      <formula>"En cours"</formula>
    </cfRule>
  </conditionalFormatting>
  <conditionalFormatting sqref="AJ119">
    <cfRule type="cellIs" dxfId="1139" priority="74681" stopIfTrue="1" operator="equal">
      <formula>"En cours"</formula>
    </cfRule>
  </conditionalFormatting>
  <conditionalFormatting sqref="AJ119">
    <cfRule type="cellIs" dxfId="1138" priority="74682" stopIfTrue="1" operator="notEqual">
      <formula>"En cours"</formula>
    </cfRule>
  </conditionalFormatting>
  <conditionalFormatting sqref="AK119">
    <cfRule type="cellIs" dxfId="1137" priority="74683" stopIfTrue="1" operator="equal">
      <formula>"En cours"</formula>
    </cfRule>
  </conditionalFormatting>
  <conditionalFormatting sqref="AK119">
    <cfRule type="cellIs" dxfId="1136" priority="74684" stopIfTrue="1" operator="notEqual">
      <formula>"En cours"</formula>
    </cfRule>
  </conditionalFormatting>
  <conditionalFormatting sqref="AJ112">
    <cfRule type="cellIs" dxfId="1135" priority="74689" stopIfTrue="1" operator="equal">
      <formula>"En cours"</formula>
    </cfRule>
    <cfRule type="cellIs" dxfId="1134" priority="74690" stopIfTrue="1" operator="notEqual">
      <formula>"En cours"</formula>
    </cfRule>
  </conditionalFormatting>
  <conditionalFormatting sqref="AK112">
    <cfRule type="cellIs" dxfId="1133" priority="74691" stopIfTrue="1" operator="equal">
      <formula>"En cours"</formula>
    </cfRule>
    <cfRule type="cellIs" dxfId="1132" priority="74692" stopIfTrue="1" operator="notEqual">
      <formula>"En cours"</formula>
    </cfRule>
  </conditionalFormatting>
  <conditionalFormatting sqref="AJ115">
    <cfRule type="cellIs" dxfId="1131" priority="74693" stopIfTrue="1" operator="equal">
      <formula>"En cours"</formula>
    </cfRule>
  </conditionalFormatting>
  <conditionalFormatting sqref="AJ115">
    <cfRule type="cellIs" dxfId="1130" priority="74694" stopIfTrue="1" operator="notEqual">
      <formula>"En cours"</formula>
    </cfRule>
  </conditionalFormatting>
  <conditionalFormatting sqref="AK115">
    <cfRule type="cellIs" dxfId="1129" priority="74695" stopIfTrue="1" operator="equal">
      <formula>"En cours"</formula>
    </cfRule>
  </conditionalFormatting>
  <conditionalFormatting sqref="AK115">
    <cfRule type="cellIs" dxfId="1128" priority="74696" stopIfTrue="1" operator="notEqual">
      <formula>"En cours"</formula>
    </cfRule>
  </conditionalFormatting>
  <conditionalFormatting sqref="AJ116">
    <cfRule type="cellIs" dxfId="1127" priority="74697" stopIfTrue="1" operator="equal">
      <formula>"En cours"</formula>
    </cfRule>
  </conditionalFormatting>
  <conditionalFormatting sqref="AJ116">
    <cfRule type="cellIs" dxfId="1126" priority="74698" stopIfTrue="1" operator="notEqual">
      <formula>"En cours"</formula>
    </cfRule>
  </conditionalFormatting>
  <conditionalFormatting sqref="AK116">
    <cfRule type="cellIs" dxfId="1125" priority="74699" stopIfTrue="1" operator="equal">
      <formula>"En cours"</formula>
    </cfRule>
  </conditionalFormatting>
  <conditionalFormatting sqref="AK116">
    <cfRule type="cellIs" dxfId="1124" priority="74700" stopIfTrue="1" operator="notEqual">
      <formula>"En cours"</formula>
    </cfRule>
  </conditionalFormatting>
  <conditionalFormatting sqref="AJ117">
    <cfRule type="cellIs" dxfId="1123" priority="74705" stopIfTrue="1" operator="equal">
      <formula>"En cours"</formula>
    </cfRule>
  </conditionalFormatting>
  <conditionalFormatting sqref="AJ117">
    <cfRule type="cellIs" dxfId="1122" priority="74706" stopIfTrue="1" operator="notEqual">
      <formula>"En cours"</formula>
    </cfRule>
  </conditionalFormatting>
  <conditionalFormatting sqref="AK117">
    <cfRule type="cellIs" dxfId="1121" priority="74707" stopIfTrue="1" operator="equal">
      <formula>"En cours"</formula>
    </cfRule>
  </conditionalFormatting>
  <conditionalFormatting sqref="AK117">
    <cfRule type="cellIs" dxfId="1120" priority="74708" stopIfTrue="1" operator="notEqual">
      <formula>"En cours"</formula>
    </cfRule>
  </conditionalFormatting>
  <conditionalFormatting sqref="AJ113">
    <cfRule type="cellIs" dxfId="1119" priority="74709" stopIfTrue="1" operator="equal">
      <formula>"En cours"</formula>
    </cfRule>
    <cfRule type="cellIs" dxfId="1118" priority="74710" stopIfTrue="1" operator="notEqual">
      <formula>"En cours"</formula>
    </cfRule>
  </conditionalFormatting>
  <conditionalFormatting sqref="AK113">
    <cfRule type="cellIs" dxfId="1117" priority="74711" stopIfTrue="1" operator="equal">
      <formula>"En cours"</formula>
    </cfRule>
    <cfRule type="cellIs" dxfId="1116" priority="74712" stopIfTrue="1" operator="notEqual">
      <formula>"En cours"</formula>
    </cfRule>
  </conditionalFormatting>
  <conditionalFormatting sqref="AJ118">
    <cfRule type="cellIs" dxfId="1115" priority="74713" stopIfTrue="1" operator="equal">
      <formula>"En cours"</formula>
    </cfRule>
    <cfRule type="cellIs" dxfId="1114" priority="74714" stopIfTrue="1" operator="notEqual">
      <formula>"En cours"</formula>
    </cfRule>
  </conditionalFormatting>
  <conditionalFormatting sqref="AK118">
    <cfRule type="cellIs" dxfId="1113" priority="74715" stopIfTrue="1" operator="equal">
      <formula>"En cours"</formula>
    </cfRule>
    <cfRule type="cellIs" dxfId="1112" priority="74716" stopIfTrue="1" operator="notEqual">
      <formula>"En cours"</formula>
    </cfRule>
  </conditionalFormatting>
  <conditionalFormatting sqref="AJ111">
    <cfRule type="cellIs" dxfId="1111" priority="74717" stopIfTrue="1" operator="equal">
      <formula>"En cours"</formula>
    </cfRule>
    <cfRule type="cellIs" dxfId="1110" priority="74718" stopIfTrue="1" operator="notEqual">
      <formula>"En cours"</formula>
    </cfRule>
  </conditionalFormatting>
  <conditionalFormatting sqref="AK111">
    <cfRule type="cellIs" dxfId="1109" priority="74719" stopIfTrue="1" operator="equal">
      <formula>"En cours"</formula>
    </cfRule>
    <cfRule type="cellIs" dxfId="1108" priority="74720" stopIfTrue="1" operator="notEqual">
      <formula>"En cours"</formula>
    </cfRule>
  </conditionalFormatting>
  <conditionalFormatting sqref="AJ108">
    <cfRule type="cellIs" dxfId="1107" priority="74721" stopIfTrue="1" operator="equal">
      <formula>"En cours"</formula>
    </cfRule>
  </conditionalFormatting>
  <conditionalFormatting sqref="AJ108">
    <cfRule type="cellIs" dxfId="1106" priority="74722" stopIfTrue="1" operator="notEqual">
      <formula>"En cours"</formula>
    </cfRule>
  </conditionalFormatting>
  <conditionalFormatting sqref="AK108">
    <cfRule type="cellIs" dxfId="1105" priority="74723" stopIfTrue="1" operator="equal">
      <formula>"En cours"</formula>
    </cfRule>
  </conditionalFormatting>
  <conditionalFormatting sqref="AK108">
    <cfRule type="cellIs" dxfId="1104" priority="74724" stopIfTrue="1" operator="notEqual">
      <formula>"En cours"</formula>
    </cfRule>
  </conditionalFormatting>
  <conditionalFormatting sqref="AJ120">
    <cfRule type="cellIs" dxfId="1103" priority="74729" stopIfTrue="1" operator="equal">
      <formula>"En cours"</formula>
    </cfRule>
  </conditionalFormatting>
  <conditionalFormatting sqref="AJ120">
    <cfRule type="cellIs" dxfId="1102" priority="74730" stopIfTrue="1" operator="notEqual">
      <formula>"En cours"</formula>
    </cfRule>
  </conditionalFormatting>
  <conditionalFormatting sqref="AK120">
    <cfRule type="cellIs" dxfId="1101" priority="74731" stopIfTrue="1" operator="equal">
      <formula>"En cours"</formula>
    </cfRule>
  </conditionalFormatting>
  <conditionalFormatting sqref="AK120">
    <cfRule type="cellIs" dxfId="1100" priority="74732" stopIfTrue="1" operator="notEqual">
      <formula>"En cours"</formula>
    </cfRule>
  </conditionalFormatting>
  <conditionalFormatting sqref="AJ121">
    <cfRule type="cellIs" dxfId="1099" priority="74737" stopIfTrue="1" operator="equal">
      <formula>"En cours"</formula>
    </cfRule>
  </conditionalFormatting>
  <conditionalFormatting sqref="AJ121">
    <cfRule type="cellIs" dxfId="1098" priority="74738" stopIfTrue="1" operator="notEqual">
      <formula>"En cours"</formula>
    </cfRule>
  </conditionalFormatting>
  <conditionalFormatting sqref="AK121">
    <cfRule type="cellIs" dxfId="1097" priority="74739" stopIfTrue="1" operator="equal">
      <formula>"En cours"</formula>
    </cfRule>
  </conditionalFormatting>
  <conditionalFormatting sqref="AK121">
    <cfRule type="cellIs" dxfId="1096" priority="74740" stopIfTrue="1" operator="notEqual">
      <formula>"En cours"</formula>
    </cfRule>
  </conditionalFormatting>
  <conditionalFormatting sqref="AJ107">
    <cfRule type="cellIs" dxfId="1095" priority="74741" stopIfTrue="1" operator="equal">
      <formula>"En cours"</formula>
    </cfRule>
  </conditionalFormatting>
  <conditionalFormatting sqref="AJ107">
    <cfRule type="cellIs" dxfId="1094" priority="74742" stopIfTrue="1" operator="notEqual">
      <formula>"En cours"</formula>
    </cfRule>
  </conditionalFormatting>
  <conditionalFormatting sqref="AK107">
    <cfRule type="cellIs" dxfId="1093" priority="74743" stopIfTrue="1" operator="equal">
      <formula>"En cours"</formula>
    </cfRule>
  </conditionalFormatting>
  <conditionalFormatting sqref="AK107">
    <cfRule type="cellIs" dxfId="1092" priority="74744" stopIfTrue="1" operator="notEqual">
      <formula>"En cours"</formula>
    </cfRule>
  </conditionalFormatting>
  <conditionalFormatting sqref="AJ97">
    <cfRule type="cellIs" dxfId="1091" priority="75565" stopIfTrue="1" operator="equal">
      <formula>"En cours"</formula>
    </cfRule>
  </conditionalFormatting>
  <conditionalFormatting sqref="AJ97">
    <cfRule type="cellIs" dxfId="1090" priority="75566" stopIfTrue="1" operator="notEqual">
      <formula>"En cours"</formula>
    </cfRule>
  </conditionalFormatting>
  <conditionalFormatting sqref="AK97">
    <cfRule type="cellIs" dxfId="1089" priority="75567" stopIfTrue="1" operator="equal">
      <formula>"En cours"</formula>
    </cfRule>
  </conditionalFormatting>
  <conditionalFormatting sqref="AK97">
    <cfRule type="cellIs" dxfId="1088" priority="75568" stopIfTrue="1" operator="notEqual">
      <formula>"En cours"</formula>
    </cfRule>
  </conditionalFormatting>
  <conditionalFormatting sqref="AJ95">
    <cfRule type="cellIs" dxfId="1087" priority="75569" stopIfTrue="1" operator="equal">
      <formula>"En cours"</formula>
    </cfRule>
  </conditionalFormatting>
  <conditionalFormatting sqref="AJ95">
    <cfRule type="cellIs" dxfId="1086" priority="75570" stopIfTrue="1" operator="notEqual">
      <formula>"En cours"</formula>
    </cfRule>
  </conditionalFormatting>
  <conditionalFormatting sqref="AK95">
    <cfRule type="cellIs" dxfId="1085" priority="75571" stopIfTrue="1" operator="equal">
      <formula>"En cours"</formula>
    </cfRule>
  </conditionalFormatting>
  <conditionalFormatting sqref="AK95">
    <cfRule type="cellIs" dxfId="1084" priority="75572" stopIfTrue="1" operator="notEqual">
      <formula>"En cours"</formula>
    </cfRule>
  </conditionalFormatting>
  <conditionalFormatting sqref="AJ99">
    <cfRule type="cellIs" dxfId="1083" priority="75589" stopIfTrue="1" operator="equal">
      <formula>"En cours"</formula>
    </cfRule>
  </conditionalFormatting>
  <conditionalFormatting sqref="AJ99">
    <cfRule type="cellIs" dxfId="1082" priority="75590" stopIfTrue="1" operator="notEqual">
      <formula>"En cours"</formula>
    </cfRule>
  </conditionalFormatting>
  <conditionalFormatting sqref="AK99">
    <cfRule type="cellIs" dxfId="1081" priority="75591" stopIfTrue="1" operator="equal">
      <formula>"En cours"</formula>
    </cfRule>
  </conditionalFormatting>
  <conditionalFormatting sqref="AK99">
    <cfRule type="cellIs" dxfId="1080" priority="75592" stopIfTrue="1" operator="notEqual">
      <formula>"En cours"</formula>
    </cfRule>
  </conditionalFormatting>
  <conditionalFormatting sqref="AJ101">
    <cfRule type="cellIs" dxfId="1079" priority="75613" stopIfTrue="1" operator="equal">
      <formula>"En cours"</formula>
    </cfRule>
  </conditionalFormatting>
  <conditionalFormatting sqref="AJ101">
    <cfRule type="cellIs" dxfId="1078" priority="75614" stopIfTrue="1" operator="notEqual">
      <formula>"En cours"</formula>
    </cfRule>
  </conditionalFormatting>
  <conditionalFormatting sqref="AK101">
    <cfRule type="cellIs" dxfId="1077" priority="75615" stopIfTrue="1" operator="equal">
      <formula>"En cours"</formula>
    </cfRule>
  </conditionalFormatting>
  <conditionalFormatting sqref="AK101">
    <cfRule type="cellIs" dxfId="1076" priority="75616" stopIfTrue="1" operator="notEqual">
      <formula>"En cours"</formula>
    </cfRule>
  </conditionalFormatting>
  <conditionalFormatting sqref="AJ96">
    <cfRule type="cellIs" dxfId="1075" priority="75617" stopIfTrue="1" operator="equal">
      <formula>"En cours"</formula>
    </cfRule>
  </conditionalFormatting>
  <conditionalFormatting sqref="AJ96">
    <cfRule type="cellIs" dxfId="1074" priority="75618" stopIfTrue="1" operator="notEqual">
      <formula>"En cours"</formula>
    </cfRule>
  </conditionalFormatting>
  <conditionalFormatting sqref="AK96">
    <cfRule type="cellIs" dxfId="1073" priority="75619" stopIfTrue="1" operator="equal">
      <formula>"En cours"</formula>
    </cfRule>
  </conditionalFormatting>
  <conditionalFormatting sqref="AK96">
    <cfRule type="cellIs" dxfId="1072" priority="75620" stopIfTrue="1" operator="notEqual">
      <formula>"En cours"</formula>
    </cfRule>
  </conditionalFormatting>
  <conditionalFormatting sqref="AJ100">
    <cfRule type="cellIs" dxfId="1071" priority="75621" stopIfTrue="1" operator="equal">
      <formula>"En cours"</formula>
    </cfRule>
  </conditionalFormatting>
  <conditionalFormatting sqref="AJ100">
    <cfRule type="cellIs" dxfId="1070" priority="75622" stopIfTrue="1" operator="notEqual">
      <formula>"En cours"</formula>
    </cfRule>
  </conditionalFormatting>
  <conditionalFormatting sqref="AK100">
    <cfRule type="cellIs" dxfId="1069" priority="75623" stopIfTrue="1" operator="equal">
      <formula>"En cours"</formula>
    </cfRule>
  </conditionalFormatting>
  <conditionalFormatting sqref="AK100">
    <cfRule type="cellIs" dxfId="1068" priority="75624" stopIfTrue="1" operator="notEqual">
      <formula>"En cours"</formula>
    </cfRule>
  </conditionalFormatting>
  <conditionalFormatting sqref="AJ98">
    <cfRule type="cellIs" dxfId="1067" priority="75625" stopIfTrue="1" operator="equal">
      <formula>"En cours"</formula>
    </cfRule>
  </conditionalFormatting>
  <conditionalFormatting sqref="AJ98">
    <cfRule type="cellIs" dxfId="1066" priority="75626" stopIfTrue="1" operator="notEqual">
      <formula>"En cours"</formula>
    </cfRule>
  </conditionalFormatting>
  <conditionalFormatting sqref="AK98">
    <cfRule type="cellIs" dxfId="1065" priority="75627" stopIfTrue="1" operator="equal">
      <formula>"En cours"</formula>
    </cfRule>
  </conditionalFormatting>
  <conditionalFormatting sqref="AK98">
    <cfRule type="cellIs" dxfId="1064" priority="75628" stopIfTrue="1" operator="notEqual">
      <formula>"En cours"</formula>
    </cfRule>
  </conditionalFormatting>
  <conditionalFormatting sqref="AJ102">
    <cfRule type="cellIs" dxfId="1063" priority="75633" stopIfTrue="1" operator="equal">
      <formula>"En cours"</formula>
    </cfRule>
  </conditionalFormatting>
  <conditionalFormatting sqref="AJ102">
    <cfRule type="cellIs" dxfId="1062" priority="75634" stopIfTrue="1" operator="notEqual">
      <formula>"En cours"</formula>
    </cfRule>
  </conditionalFormatting>
  <conditionalFormatting sqref="AK102">
    <cfRule type="cellIs" dxfId="1061" priority="75635" stopIfTrue="1" operator="equal">
      <formula>"En cours"</formula>
    </cfRule>
  </conditionalFormatting>
  <conditionalFormatting sqref="AK102">
    <cfRule type="cellIs" dxfId="1060" priority="75636" stopIfTrue="1" operator="notEqual">
      <formula>"En cours"</formula>
    </cfRule>
  </conditionalFormatting>
  <conditionalFormatting sqref="AJ37">
    <cfRule type="cellIs" dxfId="1059" priority="82805" stopIfTrue="1" operator="equal">
      <formula>"En cours"</formula>
    </cfRule>
  </conditionalFormatting>
  <conditionalFormatting sqref="AJ37">
    <cfRule type="cellIs" dxfId="1058" priority="82806" stopIfTrue="1" operator="notEqual">
      <formula>"En cours"</formula>
    </cfRule>
  </conditionalFormatting>
  <conditionalFormatting sqref="AK37">
    <cfRule type="cellIs" dxfId="1057" priority="82807" stopIfTrue="1" operator="equal">
      <formula>"En cours"</formula>
    </cfRule>
  </conditionalFormatting>
  <conditionalFormatting sqref="AK37">
    <cfRule type="cellIs" dxfId="1056" priority="82808" stopIfTrue="1" operator="notEqual">
      <formula>"En cours"</formula>
    </cfRule>
  </conditionalFormatting>
  <conditionalFormatting sqref="AJ35">
    <cfRule type="cellIs" dxfId="1055" priority="82833" stopIfTrue="1" operator="equal">
      <formula>"En cours"</formula>
    </cfRule>
  </conditionalFormatting>
  <conditionalFormatting sqref="AJ35">
    <cfRule type="cellIs" dxfId="1054" priority="82834" stopIfTrue="1" operator="notEqual">
      <formula>"En cours"</formula>
    </cfRule>
  </conditionalFormatting>
  <conditionalFormatting sqref="AK35">
    <cfRule type="cellIs" dxfId="1053" priority="82835" stopIfTrue="1" operator="equal">
      <formula>"En cours"</formula>
    </cfRule>
  </conditionalFormatting>
  <conditionalFormatting sqref="AK35">
    <cfRule type="cellIs" dxfId="1052" priority="82836" stopIfTrue="1" operator="notEqual">
      <formula>"En cours"</formula>
    </cfRule>
  </conditionalFormatting>
  <conditionalFormatting sqref="AJ36">
    <cfRule type="cellIs" dxfId="1051" priority="82837" stopIfTrue="1" operator="equal">
      <formula>"En cours"</formula>
    </cfRule>
  </conditionalFormatting>
  <conditionalFormatting sqref="AJ36">
    <cfRule type="cellIs" dxfId="1050" priority="82838" stopIfTrue="1" operator="notEqual">
      <formula>"En cours"</formula>
    </cfRule>
  </conditionalFormatting>
  <conditionalFormatting sqref="AK36">
    <cfRule type="cellIs" dxfId="1049" priority="82839" stopIfTrue="1" operator="equal">
      <formula>"En cours"</formula>
    </cfRule>
  </conditionalFormatting>
  <conditionalFormatting sqref="AK36">
    <cfRule type="cellIs" dxfId="1048" priority="82840" stopIfTrue="1" operator="notEqual">
      <formula>"En cours"</formula>
    </cfRule>
  </conditionalFormatting>
  <conditionalFormatting sqref="AJ34">
    <cfRule type="cellIs" dxfId="1047" priority="82845" stopIfTrue="1" operator="equal">
      <formula>"En cours"</formula>
    </cfRule>
  </conditionalFormatting>
  <conditionalFormatting sqref="AJ34">
    <cfRule type="cellIs" dxfId="1046" priority="82846" stopIfTrue="1" operator="notEqual">
      <formula>"En cours"</formula>
    </cfRule>
  </conditionalFormatting>
  <conditionalFormatting sqref="AK34">
    <cfRule type="cellIs" dxfId="1045" priority="82847" stopIfTrue="1" operator="equal">
      <formula>"En cours"</formula>
    </cfRule>
  </conditionalFormatting>
  <conditionalFormatting sqref="AK34">
    <cfRule type="cellIs" dxfId="1044" priority="82848" stopIfTrue="1" operator="notEqual">
      <formula>"En cours"</formula>
    </cfRule>
  </conditionalFormatting>
  <conditionalFormatting sqref="AJ40">
    <cfRule type="cellIs" dxfId="1043" priority="82849" stopIfTrue="1" operator="equal">
      <formula>"En cours"</formula>
    </cfRule>
  </conditionalFormatting>
  <conditionalFormatting sqref="AJ40">
    <cfRule type="cellIs" dxfId="1042" priority="82850" stopIfTrue="1" operator="notEqual">
      <formula>"En cours"</formula>
    </cfRule>
  </conditionalFormatting>
  <conditionalFormatting sqref="AK40">
    <cfRule type="cellIs" dxfId="1041" priority="82851" stopIfTrue="1" operator="equal">
      <formula>"En cours"</formula>
    </cfRule>
  </conditionalFormatting>
  <conditionalFormatting sqref="AK40">
    <cfRule type="cellIs" dxfId="1040" priority="82852" stopIfTrue="1" operator="notEqual">
      <formula>"En cours"</formula>
    </cfRule>
  </conditionalFormatting>
  <conditionalFormatting sqref="AJ42">
    <cfRule type="cellIs" dxfId="1039" priority="82853" stopIfTrue="1" operator="equal">
      <formula>"En cours"</formula>
    </cfRule>
  </conditionalFormatting>
  <conditionalFormatting sqref="AJ42">
    <cfRule type="cellIs" dxfId="1038" priority="82854" stopIfTrue="1" operator="notEqual">
      <formula>"En cours"</formula>
    </cfRule>
  </conditionalFormatting>
  <conditionalFormatting sqref="AK42">
    <cfRule type="cellIs" dxfId="1037" priority="82855" stopIfTrue="1" operator="equal">
      <formula>"En cours"</formula>
    </cfRule>
  </conditionalFormatting>
  <conditionalFormatting sqref="AK42">
    <cfRule type="cellIs" dxfId="1036" priority="82856" stopIfTrue="1" operator="notEqual">
      <formula>"En cours"</formula>
    </cfRule>
  </conditionalFormatting>
  <conditionalFormatting sqref="AJ41">
    <cfRule type="cellIs" dxfId="1035" priority="82857" stopIfTrue="1" operator="equal">
      <formula>"En cours"</formula>
    </cfRule>
  </conditionalFormatting>
  <conditionalFormatting sqref="AJ41">
    <cfRule type="cellIs" dxfId="1034" priority="82858" stopIfTrue="1" operator="notEqual">
      <formula>"En cours"</formula>
    </cfRule>
  </conditionalFormatting>
  <conditionalFormatting sqref="AK41">
    <cfRule type="cellIs" dxfId="1033" priority="82859" stopIfTrue="1" operator="equal">
      <formula>"En cours"</formula>
    </cfRule>
  </conditionalFormatting>
  <conditionalFormatting sqref="AK41">
    <cfRule type="cellIs" dxfId="1032" priority="82860" stopIfTrue="1" operator="notEqual">
      <formula>"En cours"</formula>
    </cfRule>
  </conditionalFormatting>
  <conditionalFormatting sqref="AJ43">
    <cfRule type="cellIs" dxfId="1031" priority="82861" stopIfTrue="1" operator="equal">
      <formula>"En cours"</formula>
    </cfRule>
  </conditionalFormatting>
  <conditionalFormatting sqref="AJ43">
    <cfRule type="cellIs" dxfId="1030" priority="82862" stopIfTrue="1" operator="notEqual">
      <formula>"En cours"</formula>
    </cfRule>
  </conditionalFormatting>
  <conditionalFormatting sqref="AK43">
    <cfRule type="cellIs" dxfId="1029" priority="82863" stopIfTrue="1" operator="equal">
      <formula>"En cours"</formula>
    </cfRule>
  </conditionalFormatting>
  <conditionalFormatting sqref="AK43">
    <cfRule type="cellIs" dxfId="1028" priority="82864" stopIfTrue="1" operator="notEqual">
      <formula>"En cours"</formula>
    </cfRule>
  </conditionalFormatting>
  <conditionalFormatting sqref="AJ38">
    <cfRule type="cellIs" dxfId="1027" priority="82865" stopIfTrue="1" operator="equal">
      <formula>"En cours"</formula>
    </cfRule>
  </conditionalFormatting>
  <conditionalFormatting sqref="AJ38">
    <cfRule type="cellIs" dxfId="1026" priority="82866" stopIfTrue="1" operator="notEqual">
      <formula>"En cours"</formula>
    </cfRule>
  </conditionalFormatting>
  <conditionalFormatting sqref="AK38">
    <cfRule type="cellIs" dxfId="1025" priority="82867" stopIfTrue="1" operator="equal">
      <formula>"En cours"</formula>
    </cfRule>
  </conditionalFormatting>
  <conditionalFormatting sqref="AK38">
    <cfRule type="cellIs" dxfId="1024" priority="82868" stopIfTrue="1" operator="notEqual">
      <formula>"En cours"</formula>
    </cfRule>
  </conditionalFormatting>
  <conditionalFormatting sqref="AJ45">
    <cfRule type="cellIs" dxfId="1023" priority="82869" stopIfTrue="1" operator="equal">
      <formula>"En cours"</formula>
    </cfRule>
  </conditionalFormatting>
  <conditionalFormatting sqref="AJ45">
    <cfRule type="cellIs" dxfId="1022" priority="82870" stopIfTrue="1" operator="notEqual">
      <formula>"En cours"</formula>
    </cfRule>
  </conditionalFormatting>
  <conditionalFormatting sqref="AK45">
    <cfRule type="cellIs" dxfId="1021" priority="82871" stopIfTrue="1" operator="equal">
      <formula>"En cours"</formula>
    </cfRule>
  </conditionalFormatting>
  <conditionalFormatting sqref="AK45">
    <cfRule type="cellIs" dxfId="1020" priority="82872" stopIfTrue="1" operator="notEqual">
      <formula>"En cours"</formula>
    </cfRule>
  </conditionalFormatting>
  <conditionalFormatting sqref="AJ51">
    <cfRule type="cellIs" dxfId="1019" priority="82873" stopIfTrue="1" operator="equal">
      <formula>"En cours"</formula>
    </cfRule>
  </conditionalFormatting>
  <conditionalFormatting sqref="AJ51">
    <cfRule type="cellIs" dxfId="1018" priority="82874" stopIfTrue="1" operator="notEqual">
      <formula>"En cours"</formula>
    </cfRule>
  </conditionalFormatting>
  <conditionalFormatting sqref="AK51">
    <cfRule type="cellIs" dxfId="1017" priority="82875" stopIfTrue="1" operator="equal">
      <formula>"En cours"</formula>
    </cfRule>
  </conditionalFormatting>
  <conditionalFormatting sqref="AK51">
    <cfRule type="cellIs" dxfId="1016" priority="82876" stopIfTrue="1" operator="notEqual">
      <formula>"En cours"</formula>
    </cfRule>
  </conditionalFormatting>
  <conditionalFormatting sqref="AJ46">
    <cfRule type="cellIs" dxfId="1015" priority="82877" stopIfTrue="1" operator="equal">
      <formula>"En cours"</formula>
    </cfRule>
  </conditionalFormatting>
  <conditionalFormatting sqref="AJ46">
    <cfRule type="cellIs" dxfId="1014" priority="82878" stopIfTrue="1" operator="notEqual">
      <formula>"En cours"</formula>
    </cfRule>
  </conditionalFormatting>
  <conditionalFormatting sqref="AK46">
    <cfRule type="cellIs" dxfId="1013" priority="82879" stopIfTrue="1" operator="equal">
      <formula>"En cours"</formula>
    </cfRule>
  </conditionalFormatting>
  <conditionalFormatting sqref="AK46">
    <cfRule type="cellIs" dxfId="1012" priority="82880" stopIfTrue="1" operator="notEqual">
      <formula>"En cours"</formula>
    </cfRule>
  </conditionalFormatting>
  <conditionalFormatting sqref="AJ47">
    <cfRule type="cellIs" dxfId="1011" priority="82881" stopIfTrue="1" operator="equal">
      <formula>"En cours"</formula>
    </cfRule>
  </conditionalFormatting>
  <conditionalFormatting sqref="AJ47">
    <cfRule type="cellIs" dxfId="1010" priority="82882" stopIfTrue="1" operator="notEqual">
      <formula>"En cours"</formula>
    </cfRule>
  </conditionalFormatting>
  <conditionalFormatting sqref="AK47">
    <cfRule type="cellIs" dxfId="1009" priority="82883" stopIfTrue="1" operator="equal">
      <formula>"En cours"</formula>
    </cfRule>
  </conditionalFormatting>
  <conditionalFormatting sqref="AK47">
    <cfRule type="cellIs" dxfId="1008" priority="82884" stopIfTrue="1" operator="notEqual">
      <formula>"En cours"</formula>
    </cfRule>
  </conditionalFormatting>
  <conditionalFormatting sqref="AJ58">
    <cfRule type="cellIs" dxfId="1007" priority="82885" stopIfTrue="1" operator="equal">
      <formula>"En cours"</formula>
    </cfRule>
  </conditionalFormatting>
  <conditionalFormatting sqref="AJ58">
    <cfRule type="cellIs" dxfId="1006" priority="82886" stopIfTrue="1" operator="notEqual">
      <formula>"En cours"</formula>
    </cfRule>
  </conditionalFormatting>
  <conditionalFormatting sqref="AK58">
    <cfRule type="cellIs" dxfId="1005" priority="82887" stopIfTrue="1" operator="equal">
      <formula>"En cours"</formula>
    </cfRule>
  </conditionalFormatting>
  <conditionalFormatting sqref="AK58">
    <cfRule type="cellIs" dxfId="1004" priority="82888" stopIfTrue="1" operator="notEqual">
      <formula>"En cours"</formula>
    </cfRule>
  </conditionalFormatting>
  <conditionalFormatting sqref="AJ39">
    <cfRule type="cellIs" dxfId="1003" priority="82889" stopIfTrue="1" operator="equal">
      <formula>"En cours"</formula>
    </cfRule>
  </conditionalFormatting>
  <conditionalFormatting sqref="AJ39">
    <cfRule type="cellIs" dxfId="1002" priority="82890" stopIfTrue="1" operator="notEqual">
      <formula>"En cours"</formula>
    </cfRule>
  </conditionalFormatting>
  <conditionalFormatting sqref="AK39">
    <cfRule type="cellIs" dxfId="1001" priority="82891" stopIfTrue="1" operator="equal">
      <formula>"En cours"</formula>
    </cfRule>
  </conditionalFormatting>
  <conditionalFormatting sqref="AK39">
    <cfRule type="cellIs" dxfId="1000" priority="82892" stopIfTrue="1" operator="notEqual">
      <formula>"En cours"</formula>
    </cfRule>
  </conditionalFormatting>
  <conditionalFormatting sqref="AJ54">
    <cfRule type="cellIs" dxfId="999" priority="82893" stopIfTrue="1" operator="equal">
      <formula>"En cours"</formula>
    </cfRule>
  </conditionalFormatting>
  <conditionalFormatting sqref="AJ54">
    <cfRule type="cellIs" dxfId="998" priority="82894" stopIfTrue="1" operator="notEqual">
      <formula>"En cours"</formula>
    </cfRule>
  </conditionalFormatting>
  <conditionalFormatting sqref="AK54">
    <cfRule type="cellIs" dxfId="997" priority="82895" stopIfTrue="1" operator="equal">
      <formula>"En cours"</formula>
    </cfRule>
  </conditionalFormatting>
  <conditionalFormatting sqref="AK54">
    <cfRule type="cellIs" dxfId="996" priority="82896" stopIfTrue="1" operator="notEqual">
      <formula>"En cours"</formula>
    </cfRule>
  </conditionalFormatting>
  <conditionalFormatting sqref="AJ55">
    <cfRule type="cellIs" dxfId="995" priority="82897" stopIfTrue="1" operator="equal">
      <formula>"En cours"</formula>
    </cfRule>
  </conditionalFormatting>
  <conditionalFormatting sqref="AJ55">
    <cfRule type="cellIs" dxfId="994" priority="82898" stopIfTrue="1" operator="notEqual">
      <formula>"En cours"</formula>
    </cfRule>
  </conditionalFormatting>
  <conditionalFormatting sqref="AK55">
    <cfRule type="cellIs" dxfId="993" priority="82899" stopIfTrue="1" operator="equal">
      <formula>"En cours"</formula>
    </cfRule>
  </conditionalFormatting>
  <conditionalFormatting sqref="AK55">
    <cfRule type="cellIs" dxfId="992" priority="82900" stopIfTrue="1" operator="notEqual">
      <formula>"En cours"</formula>
    </cfRule>
  </conditionalFormatting>
  <conditionalFormatting sqref="AJ44">
    <cfRule type="cellIs" dxfId="991" priority="82901" stopIfTrue="1" operator="equal">
      <formula>"En cours"</formula>
    </cfRule>
  </conditionalFormatting>
  <conditionalFormatting sqref="AJ44">
    <cfRule type="cellIs" dxfId="990" priority="82902" stopIfTrue="1" operator="notEqual">
      <formula>"En cours"</formula>
    </cfRule>
  </conditionalFormatting>
  <conditionalFormatting sqref="AK44">
    <cfRule type="cellIs" dxfId="989" priority="82903" stopIfTrue="1" operator="equal">
      <formula>"En cours"</formula>
    </cfRule>
  </conditionalFormatting>
  <conditionalFormatting sqref="AK44">
    <cfRule type="cellIs" dxfId="988" priority="82904" stopIfTrue="1" operator="notEqual">
      <formula>"En cours"</formula>
    </cfRule>
  </conditionalFormatting>
  <conditionalFormatting sqref="AJ52">
    <cfRule type="cellIs" dxfId="987" priority="82905" stopIfTrue="1" operator="equal">
      <formula>"En cours"</formula>
    </cfRule>
  </conditionalFormatting>
  <conditionalFormatting sqref="AJ52">
    <cfRule type="cellIs" dxfId="986" priority="82906" stopIfTrue="1" operator="notEqual">
      <formula>"En cours"</formula>
    </cfRule>
  </conditionalFormatting>
  <conditionalFormatting sqref="AK52">
    <cfRule type="cellIs" dxfId="985" priority="82907" stopIfTrue="1" operator="equal">
      <formula>"En cours"</formula>
    </cfRule>
  </conditionalFormatting>
  <conditionalFormatting sqref="AK52">
    <cfRule type="cellIs" dxfId="984" priority="82908" stopIfTrue="1" operator="notEqual">
      <formula>"En cours"</formula>
    </cfRule>
  </conditionalFormatting>
  <conditionalFormatting sqref="AJ56">
    <cfRule type="cellIs" dxfId="983" priority="82909" stopIfTrue="1" operator="equal">
      <formula>"En cours"</formula>
    </cfRule>
  </conditionalFormatting>
  <conditionalFormatting sqref="AJ56">
    <cfRule type="cellIs" dxfId="982" priority="82910" stopIfTrue="1" operator="notEqual">
      <formula>"En cours"</formula>
    </cfRule>
  </conditionalFormatting>
  <conditionalFormatting sqref="AK56">
    <cfRule type="cellIs" dxfId="981" priority="82911" stopIfTrue="1" operator="equal">
      <formula>"En cours"</formula>
    </cfRule>
  </conditionalFormatting>
  <conditionalFormatting sqref="AK56">
    <cfRule type="cellIs" dxfId="980" priority="82912" stopIfTrue="1" operator="notEqual">
      <formula>"En cours"</formula>
    </cfRule>
  </conditionalFormatting>
  <conditionalFormatting sqref="AJ63">
    <cfRule type="cellIs" dxfId="979" priority="82913" stopIfTrue="1" operator="equal">
      <formula>"En cours"</formula>
    </cfRule>
  </conditionalFormatting>
  <conditionalFormatting sqref="AJ63">
    <cfRule type="cellIs" dxfId="978" priority="82914" stopIfTrue="1" operator="notEqual">
      <formula>"En cours"</formula>
    </cfRule>
  </conditionalFormatting>
  <conditionalFormatting sqref="AK63">
    <cfRule type="cellIs" dxfId="977" priority="82915" stopIfTrue="1" operator="equal">
      <formula>"En cours"</formula>
    </cfRule>
  </conditionalFormatting>
  <conditionalFormatting sqref="AK63">
    <cfRule type="cellIs" dxfId="976" priority="82916" stopIfTrue="1" operator="notEqual">
      <formula>"En cours"</formula>
    </cfRule>
  </conditionalFormatting>
  <conditionalFormatting sqref="AJ48">
    <cfRule type="cellIs" dxfId="975" priority="82917" stopIfTrue="1" operator="equal">
      <formula>"En cours"</formula>
    </cfRule>
  </conditionalFormatting>
  <conditionalFormatting sqref="AJ48">
    <cfRule type="cellIs" dxfId="974" priority="82918" stopIfTrue="1" operator="notEqual">
      <formula>"En cours"</formula>
    </cfRule>
  </conditionalFormatting>
  <conditionalFormatting sqref="AK48">
    <cfRule type="cellIs" dxfId="973" priority="82919" stopIfTrue="1" operator="equal">
      <formula>"En cours"</formula>
    </cfRule>
  </conditionalFormatting>
  <conditionalFormatting sqref="AK48">
    <cfRule type="cellIs" dxfId="972" priority="82920" stopIfTrue="1" operator="notEqual">
      <formula>"En cours"</formula>
    </cfRule>
  </conditionalFormatting>
  <conditionalFormatting sqref="AJ49">
    <cfRule type="cellIs" dxfId="971" priority="82921" stopIfTrue="1" operator="equal">
      <formula>"En cours"</formula>
    </cfRule>
  </conditionalFormatting>
  <conditionalFormatting sqref="AJ49">
    <cfRule type="cellIs" dxfId="970" priority="82922" stopIfTrue="1" operator="notEqual">
      <formula>"En cours"</formula>
    </cfRule>
  </conditionalFormatting>
  <conditionalFormatting sqref="AK49">
    <cfRule type="cellIs" dxfId="969" priority="82923" stopIfTrue="1" operator="equal">
      <formula>"En cours"</formula>
    </cfRule>
  </conditionalFormatting>
  <conditionalFormatting sqref="AK49">
    <cfRule type="cellIs" dxfId="968" priority="82924" stopIfTrue="1" operator="notEqual">
      <formula>"En cours"</formula>
    </cfRule>
  </conditionalFormatting>
  <conditionalFormatting sqref="AJ50">
    <cfRule type="cellIs" dxfId="967" priority="82925" stopIfTrue="1" operator="equal">
      <formula>"En cours"</formula>
    </cfRule>
  </conditionalFormatting>
  <conditionalFormatting sqref="AJ50">
    <cfRule type="cellIs" dxfId="966" priority="82926" stopIfTrue="1" operator="notEqual">
      <formula>"En cours"</formula>
    </cfRule>
  </conditionalFormatting>
  <conditionalFormatting sqref="AK50">
    <cfRule type="cellIs" dxfId="965" priority="82927" stopIfTrue="1" operator="equal">
      <formula>"En cours"</formula>
    </cfRule>
  </conditionalFormatting>
  <conditionalFormatting sqref="AK50">
    <cfRule type="cellIs" dxfId="964" priority="82928" stopIfTrue="1" operator="notEqual">
      <formula>"En cours"</formula>
    </cfRule>
  </conditionalFormatting>
  <conditionalFormatting sqref="AJ57">
    <cfRule type="cellIs" dxfId="963" priority="82929" stopIfTrue="1" operator="equal">
      <formula>"En cours"</formula>
    </cfRule>
  </conditionalFormatting>
  <conditionalFormatting sqref="AJ57">
    <cfRule type="cellIs" dxfId="962" priority="82930" stopIfTrue="1" operator="notEqual">
      <formula>"En cours"</formula>
    </cfRule>
  </conditionalFormatting>
  <conditionalFormatting sqref="AK57">
    <cfRule type="cellIs" dxfId="961" priority="82931" stopIfTrue="1" operator="equal">
      <formula>"En cours"</formula>
    </cfRule>
  </conditionalFormatting>
  <conditionalFormatting sqref="AK57">
    <cfRule type="cellIs" dxfId="960" priority="82932" stopIfTrue="1" operator="notEqual">
      <formula>"En cours"</formula>
    </cfRule>
  </conditionalFormatting>
  <conditionalFormatting sqref="AJ59">
    <cfRule type="cellIs" dxfId="959" priority="82933" stopIfTrue="1" operator="equal">
      <formula>"En cours"</formula>
    </cfRule>
  </conditionalFormatting>
  <conditionalFormatting sqref="AJ59">
    <cfRule type="cellIs" dxfId="958" priority="82934" stopIfTrue="1" operator="notEqual">
      <formula>"En cours"</formula>
    </cfRule>
  </conditionalFormatting>
  <conditionalFormatting sqref="AK59">
    <cfRule type="cellIs" dxfId="957" priority="82935" stopIfTrue="1" operator="equal">
      <formula>"En cours"</formula>
    </cfRule>
  </conditionalFormatting>
  <conditionalFormatting sqref="AK59">
    <cfRule type="cellIs" dxfId="956" priority="82936" stopIfTrue="1" operator="notEqual">
      <formula>"En cours"</formula>
    </cfRule>
  </conditionalFormatting>
  <conditionalFormatting sqref="AJ66">
    <cfRule type="cellIs" dxfId="955" priority="82937" stopIfTrue="1" operator="equal">
      <formula>"En cours"</formula>
    </cfRule>
  </conditionalFormatting>
  <conditionalFormatting sqref="AJ66">
    <cfRule type="cellIs" dxfId="954" priority="82938" stopIfTrue="1" operator="notEqual">
      <formula>"En cours"</formula>
    </cfRule>
  </conditionalFormatting>
  <conditionalFormatting sqref="AK66">
    <cfRule type="cellIs" dxfId="953" priority="82939" stopIfTrue="1" operator="equal">
      <formula>"En cours"</formula>
    </cfRule>
  </conditionalFormatting>
  <conditionalFormatting sqref="AK66">
    <cfRule type="cellIs" dxfId="952" priority="82940" stopIfTrue="1" operator="notEqual">
      <formula>"En cours"</formula>
    </cfRule>
  </conditionalFormatting>
  <conditionalFormatting sqref="AJ53">
    <cfRule type="cellIs" dxfId="951" priority="82941" stopIfTrue="1" operator="equal">
      <formula>"En cours"</formula>
    </cfRule>
  </conditionalFormatting>
  <conditionalFormatting sqref="AJ53">
    <cfRule type="cellIs" dxfId="950" priority="82942" stopIfTrue="1" operator="notEqual">
      <formula>"En cours"</formula>
    </cfRule>
  </conditionalFormatting>
  <conditionalFormatting sqref="AK53">
    <cfRule type="cellIs" dxfId="949" priority="82943" stopIfTrue="1" operator="equal">
      <formula>"En cours"</formula>
    </cfRule>
  </conditionalFormatting>
  <conditionalFormatting sqref="AK53">
    <cfRule type="cellIs" dxfId="948" priority="82944" stopIfTrue="1" operator="notEqual">
      <formula>"En cours"</formula>
    </cfRule>
  </conditionalFormatting>
  <conditionalFormatting sqref="AJ65">
    <cfRule type="cellIs" dxfId="947" priority="82945" stopIfTrue="1" operator="equal">
      <formula>"En cours"</formula>
    </cfRule>
  </conditionalFormatting>
  <conditionalFormatting sqref="AJ65">
    <cfRule type="cellIs" dxfId="946" priority="82946" stopIfTrue="1" operator="notEqual">
      <formula>"En cours"</formula>
    </cfRule>
  </conditionalFormatting>
  <conditionalFormatting sqref="AK65">
    <cfRule type="cellIs" dxfId="945" priority="82947" stopIfTrue="1" operator="equal">
      <formula>"En cours"</formula>
    </cfRule>
  </conditionalFormatting>
  <conditionalFormatting sqref="AK65">
    <cfRule type="cellIs" dxfId="944" priority="82948" stopIfTrue="1" operator="notEqual">
      <formula>"En cours"</formula>
    </cfRule>
  </conditionalFormatting>
  <conditionalFormatting sqref="AJ62">
    <cfRule type="cellIs" dxfId="943" priority="82949" stopIfTrue="1" operator="equal">
      <formula>"En cours"</formula>
    </cfRule>
  </conditionalFormatting>
  <conditionalFormatting sqref="AJ62">
    <cfRule type="cellIs" dxfId="942" priority="82950" stopIfTrue="1" operator="notEqual">
      <formula>"En cours"</formula>
    </cfRule>
  </conditionalFormatting>
  <conditionalFormatting sqref="AK62">
    <cfRule type="cellIs" dxfId="941" priority="82951" stopIfTrue="1" operator="equal">
      <formula>"En cours"</formula>
    </cfRule>
  </conditionalFormatting>
  <conditionalFormatting sqref="AK62">
    <cfRule type="cellIs" dxfId="940" priority="82952" stopIfTrue="1" operator="notEqual">
      <formula>"En cours"</formula>
    </cfRule>
  </conditionalFormatting>
  <conditionalFormatting sqref="AJ61">
    <cfRule type="cellIs" dxfId="939" priority="82953" stopIfTrue="1" operator="equal">
      <formula>"En cours"</formula>
    </cfRule>
  </conditionalFormatting>
  <conditionalFormatting sqref="AJ61">
    <cfRule type="cellIs" dxfId="938" priority="82954" stopIfTrue="1" operator="notEqual">
      <formula>"En cours"</formula>
    </cfRule>
  </conditionalFormatting>
  <conditionalFormatting sqref="AK61">
    <cfRule type="cellIs" dxfId="937" priority="82955" stopIfTrue="1" operator="equal">
      <formula>"En cours"</formula>
    </cfRule>
  </conditionalFormatting>
  <conditionalFormatting sqref="AK61">
    <cfRule type="cellIs" dxfId="936" priority="82956" stopIfTrue="1" operator="notEqual">
      <formula>"En cours"</formula>
    </cfRule>
  </conditionalFormatting>
  <conditionalFormatting sqref="AJ67">
    <cfRule type="cellIs" dxfId="935" priority="82957" stopIfTrue="1" operator="equal">
      <formula>"En cours"</formula>
    </cfRule>
  </conditionalFormatting>
  <conditionalFormatting sqref="AJ67">
    <cfRule type="cellIs" dxfId="934" priority="82958" stopIfTrue="1" operator="notEqual">
      <formula>"En cours"</formula>
    </cfRule>
  </conditionalFormatting>
  <conditionalFormatting sqref="AK67">
    <cfRule type="cellIs" dxfId="933" priority="82959" stopIfTrue="1" operator="equal">
      <formula>"En cours"</formula>
    </cfRule>
  </conditionalFormatting>
  <conditionalFormatting sqref="AK67">
    <cfRule type="cellIs" dxfId="932" priority="82960" stopIfTrue="1" operator="notEqual">
      <formula>"En cours"</formula>
    </cfRule>
  </conditionalFormatting>
  <conditionalFormatting sqref="AJ60">
    <cfRule type="cellIs" dxfId="931" priority="82961" stopIfTrue="1" operator="equal">
      <formula>"En cours"</formula>
    </cfRule>
  </conditionalFormatting>
  <conditionalFormatting sqref="AJ60">
    <cfRule type="cellIs" dxfId="930" priority="82962" stopIfTrue="1" operator="notEqual">
      <formula>"En cours"</formula>
    </cfRule>
  </conditionalFormatting>
  <conditionalFormatting sqref="AK60">
    <cfRule type="cellIs" dxfId="929" priority="82963" stopIfTrue="1" operator="equal">
      <formula>"En cours"</formula>
    </cfRule>
  </conditionalFormatting>
  <conditionalFormatting sqref="AK60">
    <cfRule type="cellIs" dxfId="928" priority="82964" stopIfTrue="1" operator="notEqual">
      <formula>"En cours"</formula>
    </cfRule>
  </conditionalFormatting>
  <conditionalFormatting sqref="AJ64">
    <cfRule type="cellIs" dxfId="927" priority="82965" stopIfTrue="1" operator="equal">
      <formula>"En cours"</formula>
    </cfRule>
  </conditionalFormatting>
  <conditionalFormatting sqref="AJ64">
    <cfRule type="cellIs" dxfId="926" priority="82966" stopIfTrue="1" operator="notEqual">
      <formula>"En cours"</formula>
    </cfRule>
  </conditionalFormatting>
  <conditionalFormatting sqref="AK64">
    <cfRule type="cellIs" dxfId="925" priority="82967" stopIfTrue="1" operator="equal">
      <formula>"En cours"</formula>
    </cfRule>
  </conditionalFormatting>
  <conditionalFormatting sqref="AK64">
    <cfRule type="cellIs" dxfId="924" priority="82968" stopIfTrue="1" operator="notEqual">
      <formula>"En cours"</formula>
    </cfRule>
  </conditionalFormatting>
  <conditionalFormatting sqref="AJ68">
    <cfRule type="cellIs" dxfId="923" priority="82969" stopIfTrue="1" operator="equal">
      <formula>"En cours"</formula>
    </cfRule>
  </conditionalFormatting>
  <conditionalFormatting sqref="AJ68">
    <cfRule type="cellIs" dxfId="922" priority="82970" stopIfTrue="1" operator="notEqual">
      <formula>"En cours"</formula>
    </cfRule>
  </conditionalFormatting>
  <conditionalFormatting sqref="AK68">
    <cfRule type="cellIs" dxfId="921" priority="82971" stopIfTrue="1" operator="equal">
      <formula>"En cours"</formula>
    </cfRule>
  </conditionalFormatting>
  <conditionalFormatting sqref="AK68">
    <cfRule type="cellIs" dxfId="920" priority="82972" stopIfTrue="1" operator="notEqual">
      <formula>"En cours"</formula>
    </cfRule>
  </conditionalFormatting>
  <conditionalFormatting sqref="AJ71">
    <cfRule type="cellIs" dxfId="919" priority="82973" stopIfTrue="1" operator="equal">
      <formula>"En cours"</formula>
    </cfRule>
  </conditionalFormatting>
  <conditionalFormatting sqref="AJ71">
    <cfRule type="cellIs" dxfId="918" priority="82974" stopIfTrue="1" operator="notEqual">
      <formula>"En cours"</formula>
    </cfRule>
  </conditionalFormatting>
  <conditionalFormatting sqref="AK71">
    <cfRule type="cellIs" dxfId="917" priority="82975" stopIfTrue="1" operator="equal">
      <formula>"En cours"</formula>
    </cfRule>
  </conditionalFormatting>
  <conditionalFormatting sqref="AK71">
    <cfRule type="cellIs" dxfId="916" priority="82976" stopIfTrue="1" operator="notEqual">
      <formula>"En cours"</formula>
    </cfRule>
  </conditionalFormatting>
  <conditionalFormatting sqref="AJ69">
    <cfRule type="cellIs" dxfId="915" priority="82977" stopIfTrue="1" operator="equal">
      <formula>"En cours"</formula>
    </cfRule>
  </conditionalFormatting>
  <conditionalFormatting sqref="AJ69">
    <cfRule type="cellIs" dxfId="914" priority="82978" stopIfTrue="1" operator="notEqual">
      <formula>"En cours"</formula>
    </cfRule>
  </conditionalFormatting>
  <conditionalFormatting sqref="AK69">
    <cfRule type="cellIs" dxfId="913" priority="82979" stopIfTrue="1" operator="equal">
      <formula>"En cours"</formula>
    </cfRule>
  </conditionalFormatting>
  <conditionalFormatting sqref="AK69">
    <cfRule type="cellIs" dxfId="912" priority="82980" stopIfTrue="1" operator="notEqual">
      <formula>"En cours"</formula>
    </cfRule>
  </conditionalFormatting>
  <conditionalFormatting sqref="AJ72">
    <cfRule type="cellIs" dxfId="911" priority="82981" stopIfTrue="1" operator="equal">
      <formula>"En cours"</formula>
    </cfRule>
  </conditionalFormatting>
  <conditionalFormatting sqref="AJ72">
    <cfRule type="cellIs" dxfId="910" priority="82982" stopIfTrue="1" operator="notEqual">
      <formula>"En cours"</formula>
    </cfRule>
  </conditionalFormatting>
  <conditionalFormatting sqref="AK72">
    <cfRule type="cellIs" dxfId="909" priority="82983" stopIfTrue="1" operator="equal">
      <formula>"En cours"</formula>
    </cfRule>
  </conditionalFormatting>
  <conditionalFormatting sqref="AK72">
    <cfRule type="cellIs" dxfId="908" priority="82984" stopIfTrue="1" operator="notEqual">
      <formula>"En cours"</formula>
    </cfRule>
  </conditionalFormatting>
  <conditionalFormatting sqref="AJ70">
    <cfRule type="cellIs" dxfId="907" priority="82985" stopIfTrue="1" operator="equal">
      <formula>"En cours"</formula>
    </cfRule>
  </conditionalFormatting>
  <conditionalFormatting sqref="AJ70">
    <cfRule type="cellIs" dxfId="906" priority="82986" stopIfTrue="1" operator="notEqual">
      <formula>"En cours"</formula>
    </cfRule>
  </conditionalFormatting>
  <conditionalFormatting sqref="AK70">
    <cfRule type="cellIs" dxfId="905" priority="82987" stopIfTrue="1" operator="equal">
      <formula>"En cours"</formula>
    </cfRule>
  </conditionalFormatting>
  <conditionalFormatting sqref="AK70">
    <cfRule type="cellIs" dxfId="904" priority="82988" stopIfTrue="1" operator="notEqual">
      <formula>"En cours"</formula>
    </cfRule>
  </conditionalFormatting>
  <conditionalFormatting sqref="AJ74">
    <cfRule type="cellIs" dxfId="903" priority="82989" stopIfTrue="1" operator="equal">
      <formula>"En cours"</formula>
    </cfRule>
  </conditionalFormatting>
  <conditionalFormatting sqref="AJ74">
    <cfRule type="cellIs" dxfId="902" priority="82990" stopIfTrue="1" operator="notEqual">
      <formula>"En cours"</formula>
    </cfRule>
  </conditionalFormatting>
  <conditionalFormatting sqref="AK74">
    <cfRule type="cellIs" dxfId="901" priority="82991" stopIfTrue="1" operator="equal">
      <formula>"En cours"</formula>
    </cfRule>
  </conditionalFormatting>
  <conditionalFormatting sqref="AK74">
    <cfRule type="cellIs" dxfId="900" priority="82992" stopIfTrue="1" operator="notEqual">
      <formula>"En cours"</formula>
    </cfRule>
  </conditionalFormatting>
  <conditionalFormatting sqref="AJ75">
    <cfRule type="cellIs" dxfId="899" priority="82993" stopIfTrue="1" operator="equal">
      <formula>"En cours"</formula>
    </cfRule>
  </conditionalFormatting>
  <conditionalFormatting sqref="AJ75">
    <cfRule type="cellIs" dxfId="898" priority="82994" stopIfTrue="1" operator="notEqual">
      <formula>"En cours"</formula>
    </cfRule>
  </conditionalFormatting>
  <conditionalFormatting sqref="AK75">
    <cfRule type="cellIs" dxfId="897" priority="82995" stopIfTrue="1" operator="equal">
      <formula>"En cours"</formula>
    </cfRule>
  </conditionalFormatting>
  <conditionalFormatting sqref="AK75">
    <cfRule type="cellIs" dxfId="896" priority="82996" stopIfTrue="1" operator="notEqual">
      <formula>"En cours"</formula>
    </cfRule>
  </conditionalFormatting>
  <conditionalFormatting sqref="AJ83">
    <cfRule type="cellIs" dxfId="895" priority="82997" stopIfTrue="1" operator="equal">
      <formula>"En cours"</formula>
    </cfRule>
  </conditionalFormatting>
  <conditionalFormatting sqref="AJ83">
    <cfRule type="cellIs" dxfId="894" priority="82998" stopIfTrue="1" operator="notEqual">
      <formula>"En cours"</formula>
    </cfRule>
  </conditionalFormatting>
  <conditionalFormatting sqref="AK83">
    <cfRule type="cellIs" dxfId="893" priority="82999" stopIfTrue="1" operator="equal">
      <formula>"En cours"</formula>
    </cfRule>
  </conditionalFormatting>
  <conditionalFormatting sqref="AK83">
    <cfRule type="cellIs" dxfId="892" priority="83000" stopIfTrue="1" operator="notEqual">
      <formula>"En cours"</formula>
    </cfRule>
  </conditionalFormatting>
  <conditionalFormatting sqref="AJ77">
    <cfRule type="cellIs" dxfId="891" priority="83001" stopIfTrue="1" operator="equal">
      <formula>"En cours"</formula>
    </cfRule>
  </conditionalFormatting>
  <conditionalFormatting sqref="AJ77">
    <cfRule type="cellIs" dxfId="890" priority="83002" stopIfTrue="1" operator="notEqual">
      <formula>"En cours"</formula>
    </cfRule>
  </conditionalFormatting>
  <conditionalFormatting sqref="AK77">
    <cfRule type="cellIs" dxfId="889" priority="83003" stopIfTrue="1" operator="equal">
      <formula>"En cours"</formula>
    </cfRule>
  </conditionalFormatting>
  <conditionalFormatting sqref="AK77">
    <cfRule type="cellIs" dxfId="888" priority="83004" stopIfTrue="1" operator="notEqual">
      <formula>"En cours"</formula>
    </cfRule>
  </conditionalFormatting>
  <conditionalFormatting sqref="AJ73">
    <cfRule type="cellIs" dxfId="887" priority="83005" stopIfTrue="1" operator="equal">
      <formula>"En cours"</formula>
    </cfRule>
  </conditionalFormatting>
  <conditionalFormatting sqref="AJ73">
    <cfRule type="cellIs" dxfId="886" priority="83006" stopIfTrue="1" operator="notEqual">
      <formula>"En cours"</formula>
    </cfRule>
  </conditionalFormatting>
  <conditionalFormatting sqref="AK73">
    <cfRule type="cellIs" dxfId="885" priority="83007" stopIfTrue="1" operator="equal">
      <formula>"En cours"</formula>
    </cfRule>
  </conditionalFormatting>
  <conditionalFormatting sqref="AK73">
    <cfRule type="cellIs" dxfId="884" priority="83008" stopIfTrue="1" operator="notEqual">
      <formula>"En cours"</formula>
    </cfRule>
  </conditionalFormatting>
  <conditionalFormatting sqref="AJ84">
    <cfRule type="cellIs" dxfId="883" priority="83009" stopIfTrue="1" operator="equal">
      <formula>"En cours"</formula>
    </cfRule>
  </conditionalFormatting>
  <conditionalFormatting sqref="AJ84">
    <cfRule type="cellIs" dxfId="882" priority="83010" stopIfTrue="1" operator="notEqual">
      <formula>"En cours"</formula>
    </cfRule>
  </conditionalFormatting>
  <conditionalFormatting sqref="AK84">
    <cfRule type="cellIs" dxfId="881" priority="83011" stopIfTrue="1" operator="equal">
      <formula>"En cours"</formula>
    </cfRule>
  </conditionalFormatting>
  <conditionalFormatting sqref="AK84">
    <cfRule type="cellIs" dxfId="880" priority="83012" stopIfTrue="1" operator="notEqual">
      <formula>"En cours"</formula>
    </cfRule>
  </conditionalFormatting>
  <conditionalFormatting sqref="AJ76">
    <cfRule type="cellIs" dxfId="879" priority="83013" stopIfTrue="1" operator="equal">
      <formula>"En cours"</formula>
    </cfRule>
  </conditionalFormatting>
  <conditionalFormatting sqref="AJ76">
    <cfRule type="cellIs" dxfId="878" priority="83014" stopIfTrue="1" operator="notEqual">
      <formula>"En cours"</formula>
    </cfRule>
  </conditionalFormatting>
  <conditionalFormatting sqref="AK76">
    <cfRule type="cellIs" dxfId="877" priority="83015" stopIfTrue="1" operator="equal">
      <formula>"En cours"</formula>
    </cfRule>
  </conditionalFormatting>
  <conditionalFormatting sqref="AK76">
    <cfRule type="cellIs" dxfId="876" priority="83016" stopIfTrue="1" operator="notEqual">
      <formula>"En cours"</formula>
    </cfRule>
  </conditionalFormatting>
  <conditionalFormatting sqref="AJ87">
    <cfRule type="cellIs" dxfId="875" priority="83017" stopIfTrue="1" operator="equal">
      <formula>"En cours"</formula>
    </cfRule>
  </conditionalFormatting>
  <conditionalFormatting sqref="AJ87">
    <cfRule type="cellIs" dxfId="874" priority="83018" stopIfTrue="1" operator="notEqual">
      <formula>"En cours"</formula>
    </cfRule>
  </conditionalFormatting>
  <conditionalFormatting sqref="AK87">
    <cfRule type="cellIs" dxfId="873" priority="83019" stopIfTrue="1" operator="equal">
      <formula>"En cours"</formula>
    </cfRule>
  </conditionalFormatting>
  <conditionalFormatting sqref="AK87">
    <cfRule type="cellIs" dxfId="872" priority="83020" stopIfTrue="1" operator="notEqual">
      <formula>"En cours"</formula>
    </cfRule>
  </conditionalFormatting>
  <conditionalFormatting sqref="AJ82">
    <cfRule type="cellIs" dxfId="871" priority="83021" stopIfTrue="1" operator="equal">
      <formula>"En cours"</formula>
    </cfRule>
  </conditionalFormatting>
  <conditionalFormatting sqref="AJ82">
    <cfRule type="cellIs" dxfId="870" priority="83022" stopIfTrue="1" operator="notEqual">
      <formula>"En cours"</formula>
    </cfRule>
  </conditionalFormatting>
  <conditionalFormatting sqref="AK82">
    <cfRule type="cellIs" dxfId="869" priority="83023" stopIfTrue="1" operator="equal">
      <formula>"En cours"</formula>
    </cfRule>
  </conditionalFormatting>
  <conditionalFormatting sqref="AK82">
    <cfRule type="cellIs" dxfId="868" priority="83024" stopIfTrue="1" operator="notEqual">
      <formula>"En cours"</formula>
    </cfRule>
  </conditionalFormatting>
  <conditionalFormatting sqref="AJ79">
    <cfRule type="cellIs" dxfId="867" priority="83025" stopIfTrue="1" operator="equal">
      <formula>"En cours"</formula>
    </cfRule>
  </conditionalFormatting>
  <conditionalFormatting sqref="AJ79">
    <cfRule type="cellIs" dxfId="866" priority="83026" stopIfTrue="1" operator="notEqual">
      <formula>"En cours"</formula>
    </cfRule>
  </conditionalFormatting>
  <conditionalFormatting sqref="AK79">
    <cfRule type="cellIs" dxfId="865" priority="83027" stopIfTrue="1" operator="equal">
      <formula>"En cours"</formula>
    </cfRule>
  </conditionalFormatting>
  <conditionalFormatting sqref="AK79">
    <cfRule type="cellIs" dxfId="864" priority="83028" stopIfTrue="1" operator="notEqual">
      <formula>"En cours"</formula>
    </cfRule>
  </conditionalFormatting>
  <conditionalFormatting sqref="AJ81">
    <cfRule type="cellIs" dxfId="863" priority="83029" stopIfTrue="1" operator="equal">
      <formula>"En cours"</formula>
    </cfRule>
  </conditionalFormatting>
  <conditionalFormatting sqref="AJ81">
    <cfRule type="cellIs" dxfId="862" priority="83030" stopIfTrue="1" operator="notEqual">
      <formula>"En cours"</formula>
    </cfRule>
  </conditionalFormatting>
  <conditionalFormatting sqref="AK81">
    <cfRule type="cellIs" dxfId="861" priority="83031" stopIfTrue="1" operator="equal">
      <formula>"En cours"</formula>
    </cfRule>
  </conditionalFormatting>
  <conditionalFormatting sqref="AK81">
    <cfRule type="cellIs" dxfId="860" priority="83032" stopIfTrue="1" operator="notEqual">
      <formula>"En cours"</formula>
    </cfRule>
  </conditionalFormatting>
  <conditionalFormatting sqref="AJ89">
    <cfRule type="cellIs" dxfId="859" priority="83033" stopIfTrue="1" operator="equal">
      <formula>"En cours"</formula>
    </cfRule>
  </conditionalFormatting>
  <conditionalFormatting sqref="AJ89">
    <cfRule type="cellIs" dxfId="858" priority="83034" stopIfTrue="1" operator="notEqual">
      <formula>"En cours"</formula>
    </cfRule>
  </conditionalFormatting>
  <conditionalFormatting sqref="AK89">
    <cfRule type="cellIs" dxfId="857" priority="83035" stopIfTrue="1" operator="equal">
      <formula>"En cours"</formula>
    </cfRule>
  </conditionalFormatting>
  <conditionalFormatting sqref="AK89">
    <cfRule type="cellIs" dxfId="856" priority="83036" stopIfTrue="1" operator="notEqual">
      <formula>"En cours"</formula>
    </cfRule>
  </conditionalFormatting>
  <conditionalFormatting sqref="AJ78">
    <cfRule type="cellIs" dxfId="855" priority="83037" stopIfTrue="1" operator="equal">
      <formula>"En cours"</formula>
    </cfRule>
  </conditionalFormatting>
  <conditionalFormatting sqref="AJ78">
    <cfRule type="cellIs" dxfId="854" priority="83038" stopIfTrue="1" operator="notEqual">
      <formula>"En cours"</formula>
    </cfRule>
  </conditionalFormatting>
  <conditionalFormatting sqref="AK78">
    <cfRule type="cellIs" dxfId="853" priority="83039" stopIfTrue="1" operator="equal">
      <formula>"En cours"</formula>
    </cfRule>
  </conditionalFormatting>
  <conditionalFormatting sqref="AK78">
    <cfRule type="cellIs" dxfId="852" priority="83040" stopIfTrue="1" operator="notEqual">
      <formula>"En cours"</formula>
    </cfRule>
  </conditionalFormatting>
  <conditionalFormatting sqref="AJ85">
    <cfRule type="cellIs" dxfId="851" priority="83041" stopIfTrue="1" operator="equal">
      <formula>"En cours"</formula>
    </cfRule>
  </conditionalFormatting>
  <conditionalFormatting sqref="AJ85">
    <cfRule type="cellIs" dxfId="850" priority="83042" stopIfTrue="1" operator="notEqual">
      <formula>"En cours"</formula>
    </cfRule>
  </conditionalFormatting>
  <conditionalFormatting sqref="AK85">
    <cfRule type="cellIs" dxfId="849" priority="83043" stopIfTrue="1" operator="equal">
      <formula>"En cours"</formula>
    </cfRule>
  </conditionalFormatting>
  <conditionalFormatting sqref="AK85">
    <cfRule type="cellIs" dxfId="848" priority="83044" stopIfTrue="1" operator="notEqual">
      <formula>"En cours"</formula>
    </cfRule>
  </conditionalFormatting>
  <conditionalFormatting sqref="AJ86">
    <cfRule type="cellIs" dxfId="847" priority="83045" stopIfTrue="1" operator="equal">
      <formula>"En cours"</formula>
    </cfRule>
  </conditionalFormatting>
  <conditionalFormatting sqref="AJ86">
    <cfRule type="cellIs" dxfId="846" priority="83046" stopIfTrue="1" operator="notEqual">
      <formula>"En cours"</formula>
    </cfRule>
  </conditionalFormatting>
  <conditionalFormatting sqref="AK86">
    <cfRule type="cellIs" dxfId="845" priority="83047" stopIfTrue="1" operator="equal">
      <formula>"En cours"</formula>
    </cfRule>
  </conditionalFormatting>
  <conditionalFormatting sqref="AK86">
    <cfRule type="cellIs" dxfId="844" priority="83048" stopIfTrue="1" operator="notEqual">
      <formula>"En cours"</formula>
    </cfRule>
  </conditionalFormatting>
  <conditionalFormatting sqref="AJ80">
    <cfRule type="cellIs" dxfId="843" priority="83049" stopIfTrue="1" operator="equal">
      <formula>"En cours"</formula>
    </cfRule>
  </conditionalFormatting>
  <conditionalFormatting sqref="AJ80">
    <cfRule type="cellIs" dxfId="842" priority="83050" stopIfTrue="1" operator="notEqual">
      <formula>"En cours"</formula>
    </cfRule>
  </conditionalFormatting>
  <conditionalFormatting sqref="AK80">
    <cfRule type="cellIs" dxfId="841" priority="83051" stopIfTrue="1" operator="equal">
      <formula>"En cours"</formula>
    </cfRule>
  </conditionalFormatting>
  <conditionalFormatting sqref="AK80">
    <cfRule type="cellIs" dxfId="840" priority="83052" stopIfTrue="1" operator="notEqual">
      <formula>"En cours"</formula>
    </cfRule>
  </conditionalFormatting>
  <conditionalFormatting sqref="AJ88">
    <cfRule type="cellIs" dxfId="839" priority="83053" stopIfTrue="1" operator="equal">
      <formula>"En cours"</formula>
    </cfRule>
  </conditionalFormatting>
  <conditionalFormatting sqref="AJ88">
    <cfRule type="cellIs" dxfId="838" priority="83054" stopIfTrue="1" operator="notEqual">
      <formula>"En cours"</formula>
    </cfRule>
  </conditionalFormatting>
  <conditionalFormatting sqref="AK88">
    <cfRule type="cellIs" dxfId="837" priority="83055" stopIfTrue="1" operator="equal">
      <formula>"En cours"</formula>
    </cfRule>
  </conditionalFormatting>
  <conditionalFormatting sqref="AK88">
    <cfRule type="cellIs" dxfId="836" priority="83056" stopIfTrue="1" operator="notEqual">
      <formula>"En cours"</formula>
    </cfRule>
  </conditionalFormatting>
  <conditionalFormatting sqref="AJ90">
    <cfRule type="cellIs" dxfId="835" priority="83057" stopIfTrue="1" operator="equal">
      <formula>"En cours"</formula>
    </cfRule>
  </conditionalFormatting>
  <conditionalFormatting sqref="AJ90">
    <cfRule type="cellIs" dxfId="834" priority="83058" stopIfTrue="1" operator="notEqual">
      <formula>"En cours"</formula>
    </cfRule>
  </conditionalFormatting>
  <conditionalFormatting sqref="AK90">
    <cfRule type="cellIs" dxfId="833" priority="83059" stopIfTrue="1" operator="equal">
      <formula>"En cours"</formula>
    </cfRule>
  </conditionalFormatting>
  <conditionalFormatting sqref="AK90">
    <cfRule type="cellIs" dxfId="832" priority="83060" stopIfTrue="1" operator="notEqual">
      <formula>"En cours"</formula>
    </cfRule>
  </conditionalFormatting>
  <conditionalFormatting sqref="AJ93">
    <cfRule type="cellIs" dxfId="831" priority="83061" stopIfTrue="1" operator="equal">
      <formula>"En cours"</formula>
    </cfRule>
  </conditionalFormatting>
  <conditionalFormatting sqref="AJ93">
    <cfRule type="cellIs" dxfId="830" priority="83062" stopIfTrue="1" operator="notEqual">
      <formula>"En cours"</formula>
    </cfRule>
  </conditionalFormatting>
  <conditionalFormatting sqref="AK93">
    <cfRule type="cellIs" dxfId="829" priority="83063" stopIfTrue="1" operator="equal">
      <formula>"En cours"</formula>
    </cfRule>
  </conditionalFormatting>
  <conditionalFormatting sqref="AK93">
    <cfRule type="cellIs" dxfId="828" priority="83064" stopIfTrue="1" operator="notEqual">
      <formula>"En cours"</formula>
    </cfRule>
  </conditionalFormatting>
  <conditionalFormatting sqref="AJ91">
    <cfRule type="cellIs" dxfId="827" priority="83065" stopIfTrue="1" operator="equal">
      <formula>"En cours"</formula>
    </cfRule>
  </conditionalFormatting>
  <conditionalFormatting sqref="AJ91">
    <cfRule type="cellIs" dxfId="826" priority="83066" stopIfTrue="1" operator="notEqual">
      <formula>"En cours"</formula>
    </cfRule>
  </conditionalFormatting>
  <conditionalFormatting sqref="AK91">
    <cfRule type="cellIs" dxfId="825" priority="83067" stopIfTrue="1" operator="equal">
      <formula>"En cours"</formula>
    </cfRule>
  </conditionalFormatting>
  <conditionalFormatting sqref="AK91">
    <cfRule type="cellIs" dxfId="824" priority="83068" stopIfTrue="1" operator="notEqual">
      <formula>"En cours"</formula>
    </cfRule>
  </conditionalFormatting>
  <conditionalFormatting sqref="AJ92">
    <cfRule type="cellIs" dxfId="823" priority="83069" stopIfTrue="1" operator="equal">
      <formula>"En cours"</formula>
    </cfRule>
  </conditionalFormatting>
  <conditionalFormatting sqref="AJ92">
    <cfRule type="cellIs" dxfId="822" priority="83070" stopIfTrue="1" operator="notEqual">
      <formula>"En cours"</formula>
    </cfRule>
  </conditionalFormatting>
  <conditionalFormatting sqref="AK92">
    <cfRule type="cellIs" dxfId="821" priority="83071" stopIfTrue="1" operator="equal">
      <formula>"En cours"</formula>
    </cfRule>
  </conditionalFormatting>
  <conditionalFormatting sqref="AK92">
    <cfRule type="cellIs" dxfId="820" priority="83072" stopIfTrue="1" operator="notEqual">
      <formula>"En cours"</formula>
    </cfRule>
  </conditionalFormatting>
  <conditionalFormatting sqref="AJ94">
    <cfRule type="cellIs" dxfId="819" priority="83073" stopIfTrue="1" operator="equal">
      <formula>"En cours"</formula>
    </cfRule>
  </conditionalFormatting>
  <conditionalFormatting sqref="AJ94">
    <cfRule type="cellIs" dxfId="818" priority="83074" stopIfTrue="1" operator="notEqual">
      <formula>"En cours"</formula>
    </cfRule>
  </conditionalFormatting>
  <conditionalFormatting sqref="AK94">
    <cfRule type="cellIs" dxfId="817" priority="83075" stopIfTrue="1" operator="equal">
      <formula>"En cours"</formula>
    </cfRule>
  </conditionalFormatting>
  <conditionalFormatting sqref="AK94">
    <cfRule type="cellIs" dxfId="816" priority="83076" stopIfTrue="1" operator="notEqual">
      <formula>"En cours"</formula>
    </cfRule>
  </conditionalFormatting>
  <conditionalFormatting sqref="AJ22">
    <cfRule type="cellIs" dxfId="511" priority="94085" stopIfTrue="1" operator="equal">
      <formula>"En cours"</formula>
    </cfRule>
  </conditionalFormatting>
  <conditionalFormatting sqref="AJ22">
    <cfRule type="cellIs" dxfId="510" priority="94086" stopIfTrue="1" operator="notEqual">
      <formula>"En cours"</formula>
    </cfRule>
  </conditionalFormatting>
  <conditionalFormatting sqref="AK22">
    <cfRule type="cellIs" dxfId="509" priority="94087" stopIfTrue="1" operator="equal">
      <formula>"En cours"</formula>
    </cfRule>
  </conditionalFormatting>
  <conditionalFormatting sqref="AK22">
    <cfRule type="cellIs" dxfId="508" priority="94088" stopIfTrue="1" operator="notEqual">
      <formula>"En cours"</formula>
    </cfRule>
  </conditionalFormatting>
  <conditionalFormatting sqref="AJ8">
    <cfRule type="cellIs" dxfId="423" priority="94173" stopIfTrue="1" operator="equal">
      <formula>"En cours"</formula>
    </cfRule>
  </conditionalFormatting>
  <conditionalFormatting sqref="AJ8">
    <cfRule type="cellIs" dxfId="422" priority="94174" stopIfTrue="1" operator="notEqual">
      <formula>"En cours"</formula>
    </cfRule>
  </conditionalFormatting>
  <conditionalFormatting sqref="AK8">
    <cfRule type="cellIs" dxfId="421" priority="94175" stopIfTrue="1" operator="equal">
      <formula>"En cours"</formula>
    </cfRule>
  </conditionalFormatting>
  <conditionalFormatting sqref="AK8">
    <cfRule type="cellIs" dxfId="420" priority="94176" stopIfTrue="1" operator="notEqual">
      <formula>"En cours"</formula>
    </cfRule>
  </conditionalFormatting>
  <conditionalFormatting sqref="AJ26">
    <cfRule type="cellIs" dxfId="415" priority="94181" stopIfTrue="1" operator="equal">
      <formula>"En cours"</formula>
    </cfRule>
  </conditionalFormatting>
  <conditionalFormatting sqref="AJ26">
    <cfRule type="cellIs" dxfId="414" priority="94182" stopIfTrue="1" operator="notEqual">
      <formula>"En cours"</formula>
    </cfRule>
  </conditionalFormatting>
  <conditionalFormatting sqref="AK26">
    <cfRule type="cellIs" dxfId="413" priority="94183" stopIfTrue="1" operator="equal">
      <formula>"En cours"</formula>
    </cfRule>
  </conditionalFormatting>
  <conditionalFormatting sqref="AK26">
    <cfRule type="cellIs" dxfId="412" priority="94184" stopIfTrue="1" operator="notEqual">
      <formula>"En cours"</formula>
    </cfRule>
  </conditionalFormatting>
  <conditionalFormatting sqref="AJ20">
    <cfRule type="cellIs" dxfId="391" priority="94205" stopIfTrue="1" operator="equal">
      <formula>"En cours"</formula>
    </cfRule>
  </conditionalFormatting>
  <conditionalFormatting sqref="AJ20">
    <cfRule type="cellIs" dxfId="390" priority="94206" stopIfTrue="1" operator="notEqual">
      <formula>"En cours"</formula>
    </cfRule>
  </conditionalFormatting>
  <conditionalFormatting sqref="AK20">
    <cfRule type="cellIs" dxfId="389" priority="94207" stopIfTrue="1" operator="equal">
      <formula>"En cours"</formula>
    </cfRule>
  </conditionalFormatting>
  <conditionalFormatting sqref="AK20">
    <cfRule type="cellIs" dxfId="388" priority="94208" stopIfTrue="1" operator="notEqual">
      <formula>"En cours"</formula>
    </cfRule>
  </conditionalFormatting>
  <conditionalFormatting sqref="AJ32">
    <cfRule type="cellIs" dxfId="323" priority="94273" stopIfTrue="1" operator="equal">
      <formula>"En cours"</formula>
    </cfRule>
  </conditionalFormatting>
  <conditionalFormatting sqref="AJ32">
    <cfRule type="cellIs" dxfId="322" priority="94274" stopIfTrue="1" operator="notEqual">
      <formula>"En cours"</formula>
    </cfRule>
  </conditionalFormatting>
  <conditionalFormatting sqref="AK32">
    <cfRule type="cellIs" dxfId="321" priority="94275" stopIfTrue="1" operator="equal">
      <formula>"En cours"</formula>
    </cfRule>
  </conditionalFormatting>
  <conditionalFormatting sqref="AK32">
    <cfRule type="cellIs" dxfId="320" priority="94276" stopIfTrue="1" operator="notEqual">
      <formula>"En cours"</formula>
    </cfRule>
  </conditionalFormatting>
  <conditionalFormatting sqref="AJ29">
    <cfRule type="cellIs" dxfId="319" priority="94277" stopIfTrue="1" operator="equal">
      <formula>"En cours"</formula>
    </cfRule>
  </conditionalFormatting>
  <conditionalFormatting sqref="AJ29">
    <cfRule type="cellIs" dxfId="318" priority="94278" stopIfTrue="1" operator="notEqual">
      <formula>"En cours"</formula>
    </cfRule>
  </conditionalFormatting>
  <conditionalFormatting sqref="AK29">
    <cfRule type="cellIs" dxfId="317" priority="94279" stopIfTrue="1" operator="equal">
      <formula>"En cours"</formula>
    </cfRule>
  </conditionalFormatting>
  <conditionalFormatting sqref="AK29">
    <cfRule type="cellIs" dxfId="316" priority="94280" stopIfTrue="1" operator="notEqual">
      <formula>"En cours"</formula>
    </cfRule>
  </conditionalFormatting>
  <conditionalFormatting sqref="AJ24">
    <cfRule type="cellIs" dxfId="219" priority="94377" stopIfTrue="1" operator="equal">
      <formula>"En cours"</formula>
    </cfRule>
  </conditionalFormatting>
  <conditionalFormatting sqref="AJ24">
    <cfRule type="cellIs" dxfId="218" priority="94378" stopIfTrue="1" operator="notEqual">
      <formula>"En cours"</formula>
    </cfRule>
  </conditionalFormatting>
  <conditionalFormatting sqref="AK24">
    <cfRule type="cellIs" dxfId="217" priority="94379" stopIfTrue="1" operator="equal">
      <formula>"En cours"</formula>
    </cfRule>
  </conditionalFormatting>
  <conditionalFormatting sqref="AK24">
    <cfRule type="cellIs" dxfId="216" priority="94380" stopIfTrue="1" operator="notEqual">
      <formula>"En cours"</formula>
    </cfRule>
  </conditionalFormatting>
  <conditionalFormatting sqref="AJ31">
    <cfRule type="cellIs" dxfId="91" priority="94505" stopIfTrue="1" operator="equal">
      <formula>"En cours"</formula>
    </cfRule>
  </conditionalFormatting>
  <conditionalFormatting sqref="AJ31">
    <cfRule type="cellIs" dxfId="90" priority="94506" stopIfTrue="1" operator="notEqual">
      <formula>"En cours"</formula>
    </cfRule>
  </conditionalFormatting>
  <conditionalFormatting sqref="AK31">
    <cfRule type="cellIs" dxfId="89" priority="94507" stopIfTrue="1" operator="equal">
      <formula>"En cours"</formula>
    </cfRule>
  </conditionalFormatting>
  <conditionalFormatting sqref="AK31">
    <cfRule type="cellIs" dxfId="88" priority="94508" stopIfTrue="1" operator="notEqual">
      <formula>"En cours"</formula>
    </cfRule>
  </conditionalFormatting>
  <conditionalFormatting sqref="AJ5">
    <cfRule type="cellIs" dxfId="87" priority="94509" stopIfTrue="1" operator="equal">
      <formula>"En cours"</formula>
    </cfRule>
  </conditionalFormatting>
  <conditionalFormatting sqref="AJ5">
    <cfRule type="cellIs" dxfId="86" priority="94510" stopIfTrue="1" operator="notEqual">
      <formula>"En cours"</formula>
    </cfRule>
  </conditionalFormatting>
  <conditionalFormatting sqref="AK5">
    <cfRule type="cellIs" dxfId="85" priority="94511" stopIfTrue="1" operator="equal">
      <formula>"En cours"</formula>
    </cfRule>
  </conditionalFormatting>
  <conditionalFormatting sqref="AK5">
    <cfRule type="cellIs" dxfId="84" priority="94512" stopIfTrue="1" operator="notEqual">
      <formula>"En cours"</formula>
    </cfRule>
  </conditionalFormatting>
  <conditionalFormatting sqref="AJ4">
    <cfRule type="cellIs" dxfId="83" priority="94513" stopIfTrue="1" operator="equal">
      <formula>"En cours"</formula>
    </cfRule>
  </conditionalFormatting>
  <conditionalFormatting sqref="AJ4">
    <cfRule type="cellIs" dxfId="82" priority="94514" stopIfTrue="1" operator="notEqual">
      <formula>"En cours"</formula>
    </cfRule>
  </conditionalFormatting>
  <conditionalFormatting sqref="AK4">
    <cfRule type="cellIs" dxfId="81" priority="94515" stopIfTrue="1" operator="equal">
      <formula>"En cours"</formula>
    </cfRule>
  </conditionalFormatting>
  <conditionalFormatting sqref="AK4">
    <cfRule type="cellIs" dxfId="80" priority="94516" stopIfTrue="1" operator="notEqual">
      <formula>"En cours"</formula>
    </cfRule>
  </conditionalFormatting>
  <conditionalFormatting sqref="AJ25">
    <cfRule type="cellIs" dxfId="79" priority="94517" stopIfTrue="1" operator="equal">
      <formula>"En cours"</formula>
    </cfRule>
  </conditionalFormatting>
  <conditionalFormatting sqref="AJ25">
    <cfRule type="cellIs" dxfId="78" priority="94518" stopIfTrue="1" operator="notEqual">
      <formula>"En cours"</formula>
    </cfRule>
  </conditionalFormatting>
  <conditionalFormatting sqref="AK25">
    <cfRule type="cellIs" dxfId="77" priority="94519" stopIfTrue="1" operator="equal">
      <formula>"En cours"</formula>
    </cfRule>
  </conditionalFormatting>
  <conditionalFormatting sqref="AK25">
    <cfRule type="cellIs" dxfId="76" priority="94520" stopIfTrue="1" operator="notEqual">
      <formula>"En cours"</formula>
    </cfRule>
  </conditionalFormatting>
  <conditionalFormatting sqref="AJ9">
    <cfRule type="cellIs" dxfId="75" priority="94521" stopIfTrue="1" operator="equal">
      <formula>"En cours"</formula>
    </cfRule>
  </conditionalFormatting>
  <conditionalFormatting sqref="AJ9">
    <cfRule type="cellIs" dxfId="74" priority="94522" stopIfTrue="1" operator="notEqual">
      <formula>"En cours"</formula>
    </cfRule>
  </conditionalFormatting>
  <conditionalFormatting sqref="AK9">
    <cfRule type="cellIs" dxfId="73" priority="94523" stopIfTrue="1" operator="equal">
      <formula>"En cours"</formula>
    </cfRule>
  </conditionalFormatting>
  <conditionalFormatting sqref="AK9">
    <cfRule type="cellIs" dxfId="72" priority="94524" stopIfTrue="1" operator="notEqual">
      <formula>"En cours"</formula>
    </cfRule>
  </conditionalFormatting>
  <conditionalFormatting sqref="AJ21">
    <cfRule type="cellIs" dxfId="71" priority="94525" stopIfTrue="1" operator="equal">
      <formula>"En cours"</formula>
    </cfRule>
  </conditionalFormatting>
  <conditionalFormatting sqref="AJ21">
    <cfRule type="cellIs" dxfId="70" priority="94526" stopIfTrue="1" operator="notEqual">
      <formula>"En cours"</formula>
    </cfRule>
  </conditionalFormatting>
  <conditionalFormatting sqref="AK21">
    <cfRule type="cellIs" dxfId="69" priority="94527" stopIfTrue="1" operator="equal">
      <formula>"En cours"</formula>
    </cfRule>
  </conditionalFormatting>
  <conditionalFormatting sqref="AK21">
    <cfRule type="cellIs" dxfId="68" priority="94528" stopIfTrue="1" operator="notEqual">
      <formula>"En cours"</formula>
    </cfRule>
  </conditionalFormatting>
  <conditionalFormatting sqref="AJ10">
    <cfRule type="cellIs" dxfId="67" priority="94529" stopIfTrue="1" operator="equal">
      <formula>"En cours"</formula>
    </cfRule>
  </conditionalFormatting>
  <conditionalFormatting sqref="AJ10">
    <cfRule type="cellIs" dxfId="66" priority="94530" stopIfTrue="1" operator="notEqual">
      <formula>"En cours"</formula>
    </cfRule>
  </conditionalFormatting>
  <conditionalFormatting sqref="AK10">
    <cfRule type="cellIs" dxfId="65" priority="94531" stopIfTrue="1" operator="equal">
      <formula>"En cours"</formula>
    </cfRule>
  </conditionalFormatting>
  <conditionalFormatting sqref="AK10">
    <cfRule type="cellIs" dxfId="64" priority="94532" stopIfTrue="1" operator="notEqual">
      <formula>"En cours"</formula>
    </cfRule>
  </conditionalFormatting>
  <conditionalFormatting sqref="AJ6">
    <cfRule type="cellIs" dxfId="63" priority="94533" stopIfTrue="1" operator="equal">
      <formula>"En cours"</formula>
    </cfRule>
  </conditionalFormatting>
  <conditionalFormatting sqref="AJ6">
    <cfRule type="cellIs" dxfId="62" priority="94534" stopIfTrue="1" operator="notEqual">
      <formula>"En cours"</formula>
    </cfRule>
  </conditionalFormatting>
  <conditionalFormatting sqref="AK6">
    <cfRule type="cellIs" dxfId="61" priority="94535" stopIfTrue="1" operator="equal">
      <formula>"En cours"</formula>
    </cfRule>
  </conditionalFormatting>
  <conditionalFormatting sqref="AK6">
    <cfRule type="cellIs" dxfId="60" priority="94536" stopIfTrue="1" operator="notEqual">
      <formula>"En cours"</formula>
    </cfRule>
  </conditionalFormatting>
  <conditionalFormatting sqref="AJ7">
    <cfRule type="cellIs" dxfId="59" priority="94537" stopIfTrue="1" operator="equal">
      <formula>"En cours"</formula>
    </cfRule>
  </conditionalFormatting>
  <conditionalFormatting sqref="AJ7">
    <cfRule type="cellIs" dxfId="58" priority="94538" stopIfTrue="1" operator="notEqual">
      <formula>"En cours"</formula>
    </cfRule>
  </conditionalFormatting>
  <conditionalFormatting sqref="AK7">
    <cfRule type="cellIs" dxfId="57" priority="94539" stopIfTrue="1" operator="equal">
      <formula>"En cours"</formula>
    </cfRule>
  </conditionalFormatting>
  <conditionalFormatting sqref="AK7">
    <cfRule type="cellIs" dxfId="56" priority="94540" stopIfTrue="1" operator="notEqual">
      <formula>"En cours"</formula>
    </cfRule>
  </conditionalFormatting>
  <conditionalFormatting sqref="AJ11">
    <cfRule type="cellIs" dxfId="55" priority="94541" stopIfTrue="1" operator="equal">
      <formula>"En cours"</formula>
    </cfRule>
  </conditionalFormatting>
  <conditionalFormatting sqref="AJ11">
    <cfRule type="cellIs" dxfId="54" priority="94542" stopIfTrue="1" operator="notEqual">
      <formula>"En cours"</formula>
    </cfRule>
  </conditionalFormatting>
  <conditionalFormatting sqref="AK11">
    <cfRule type="cellIs" dxfId="53" priority="94543" stopIfTrue="1" operator="equal">
      <formula>"En cours"</formula>
    </cfRule>
  </conditionalFormatting>
  <conditionalFormatting sqref="AK11">
    <cfRule type="cellIs" dxfId="52" priority="94544" stopIfTrue="1" operator="notEqual">
      <formula>"En cours"</formula>
    </cfRule>
  </conditionalFormatting>
  <conditionalFormatting sqref="AJ16">
    <cfRule type="cellIs" dxfId="51" priority="94545" stopIfTrue="1" operator="equal">
      <formula>"En cours"</formula>
    </cfRule>
  </conditionalFormatting>
  <conditionalFormatting sqref="AJ16">
    <cfRule type="cellIs" dxfId="50" priority="94546" stopIfTrue="1" operator="notEqual">
      <formula>"En cours"</formula>
    </cfRule>
  </conditionalFormatting>
  <conditionalFormatting sqref="AK16">
    <cfRule type="cellIs" dxfId="49" priority="94547" stopIfTrue="1" operator="equal">
      <formula>"En cours"</formula>
    </cfRule>
  </conditionalFormatting>
  <conditionalFormatting sqref="AK16">
    <cfRule type="cellIs" dxfId="48" priority="94548" stopIfTrue="1" operator="notEqual">
      <formula>"En cours"</formula>
    </cfRule>
  </conditionalFormatting>
  <conditionalFormatting sqref="AJ15">
    <cfRule type="cellIs" dxfId="47" priority="94549" stopIfTrue="1" operator="equal">
      <formula>"En cours"</formula>
    </cfRule>
  </conditionalFormatting>
  <conditionalFormatting sqref="AJ15">
    <cfRule type="cellIs" dxfId="46" priority="94550" stopIfTrue="1" operator="notEqual">
      <formula>"En cours"</formula>
    </cfRule>
  </conditionalFormatting>
  <conditionalFormatting sqref="AK15">
    <cfRule type="cellIs" dxfId="45" priority="94551" stopIfTrue="1" operator="equal">
      <formula>"En cours"</formula>
    </cfRule>
  </conditionalFormatting>
  <conditionalFormatting sqref="AK15">
    <cfRule type="cellIs" dxfId="44" priority="94552" stopIfTrue="1" operator="notEqual">
      <formula>"En cours"</formula>
    </cfRule>
  </conditionalFormatting>
  <conditionalFormatting sqref="AJ27">
    <cfRule type="cellIs" dxfId="43" priority="94553" stopIfTrue="1" operator="equal">
      <formula>"En cours"</formula>
    </cfRule>
  </conditionalFormatting>
  <conditionalFormatting sqref="AJ27">
    <cfRule type="cellIs" dxfId="42" priority="94554" stopIfTrue="1" operator="notEqual">
      <formula>"En cours"</formula>
    </cfRule>
  </conditionalFormatting>
  <conditionalFormatting sqref="AK27">
    <cfRule type="cellIs" dxfId="41" priority="94555" stopIfTrue="1" operator="equal">
      <formula>"En cours"</formula>
    </cfRule>
  </conditionalFormatting>
  <conditionalFormatting sqref="AK27">
    <cfRule type="cellIs" dxfId="40" priority="94556" stopIfTrue="1" operator="notEqual">
      <formula>"En cours"</formula>
    </cfRule>
  </conditionalFormatting>
  <conditionalFormatting sqref="AJ19">
    <cfRule type="cellIs" dxfId="39" priority="94557" stopIfTrue="1" operator="equal">
      <formula>"En cours"</formula>
    </cfRule>
  </conditionalFormatting>
  <conditionalFormatting sqref="AJ19">
    <cfRule type="cellIs" dxfId="38" priority="94558" stopIfTrue="1" operator="notEqual">
      <formula>"En cours"</formula>
    </cfRule>
  </conditionalFormatting>
  <conditionalFormatting sqref="AK19">
    <cfRule type="cellIs" dxfId="37" priority="94559" stopIfTrue="1" operator="equal">
      <formula>"En cours"</formula>
    </cfRule>
  </conditionalFormatting>
  <conditionalFormatting sqref="AK19">
    <cfRule type="cellIs" dxfId="36" priority="94560" stopIfTrue="1" operator="notEqual">
      <formula>"En cours"</formula>
    </cfRule>
  </conditionalFormatting>
  <conditionalFormatting sqref="AJ23">
    <cfRule type="cellIs" dxfId="35" priority="94561" stopIfTrue="1" operator="equal">
      <formula>"En cours"</formula>
    </cfRule>
  </conditionalFormatting>
  <conditionalFormatting sqref="AJ23">
    <cfRule type="cellIs" dxfId="34" priority="94562" stopIfTrue="1" operator="notEqual">
      <formula>"En cours"</formula>
    </cfRule>
  </conditionalFormatting>
  <conditionalFormatting sqref="AK23">
    <cfRule type="cellIs" dxfId="33" priority="94563" stopIfTrue="1" operator="equal">
      <formula>"En cours"</formula>
    </cfRule>
  </conditionalFormatting>
  <conditionalFormatting sqref="AK23">
    <cfRule type="cellIs" dxfId="32" priority="94564" stopIfTrue="1" operator="notEqual">
      <formula>"En cours"</formula>
    </cfRule>
  </conditionalFormatting>
  <conditionalFormatting sqref="AJ12">
    <cfRule type="cellIs" dxfId="31" priority="94565" stopIfTrue="1" operator="equal">
      <formula>"En cours"</formula>
    </cfRule>
  </conditionalFormatting>
  <conditionalFormatting sqref="AJ12">
    <cfRule type="cellIs" dxfId="30" priority="94566" stopIfTrue="1" operator="notEqual">
      <formula>"En cours"</formula>
    </cfRule>
  </conditionalFormatting>
  <conditionalFormatting sqref="AK12">
    <cfRule type="cellIs" dxfId="29" priority="94567" stopIfTrue="1" operator="equal">
      <formula>"En cours"</formula>
    </cfRule>
  </conditionalFormatting>
  <conditionalFormatting sqref="AK12">
    <cfRule type="cellIs" dxfId="28" priority="94568" stopIfTrue="1" operator="notEqual">
      <formula>"En cours"</formula>
    </cfRule>
  </conditionalFormatting>
  <conditionalFormatting sqref="AJ14">
    <cfRule type="cellIs" dxfId="27" priority="94569" stopIfTrue="1" operator="equal">
      <formula>"En cours"</formula>
    </cfRule>
  </conditionalFormatting>
  <conditionalFormatting sqref="AJ14">
    <cfRule type="cellIs" dxfId="26" priority="94570" stopIfTrue="1" operator="notEqual">
      <formula>"En cours"</formula>
    </cfRule>
  </conditionalFormatting>
  <conditionalFormatting sqref="AK14">
    <cfRule type="cellIs" dxfId="25" priority="94571" stopIfTrue="1" operator="equal">
      <formula>"En cours"</formula>
    </cfRule>
  </conditionalFormatting>
  <conditionalFormatting sqref="AK14">
    <cfRule type="cellIs" dxfId="24" priority="94572" stopIfTrue="1" operator="notEqual">
      <formula>"En cours"</formula>
    </cfRule>
  </conditionalFormatting>
  <conditionalFormatting sqref="AJ13">
    <cfRule type="cellIs" dxfId="23" priority="94573" stopIfTrue="1" operator="equal">
      <formula>"En cours"</formula>
    </cfRule>
  </conditionalFormatting>
  <conditionalFormatting sqref="AJ13">
    <cfRule type="cellIs" dxfId="22" priority="94574" stopIfTrue="1" operator="notEqual">
      <formula>"En cours"</formula>
    </cfRule>
  </conditionalFormatting>
  <conditionalFormatting sqref="AK13">
    <cfRule type="cellIs" dxfId="21" priority="94575" stopIfTrue="1" operator="equal">
      <formula>"En cours"</formula>
    </cfRule>
  </conditionalFormatting>
  <conditionalFormatting sqref="AK13">
    <cfRule type="cellIs" dxfId="20" priority="94576" stopIfTrue="1" operator="notEqual">
      <formula>"En cours"</formula>
    </cfRule>
  </conditionalFormatting>
  <conditionalFormatting sqref="AJ30">
    <cfRule type="cellIs" dxfId="19" priority="94577" stopIfTrue="1" operator="equal">
      <formula>"En cours"</formula>
    </cfRule>
  </conditionalFormatting>
  <conditionalFormatting sqref="AJ30">
    <cfRule type="cellIs" dxfId="18" priority="94578" stopIfTrue="1" operator="notEqual">
      <formula>"En cours"</formula>
    </cfRule>
  </conditionalFormatting>
  <conditionalFormatting sqref="AK30">
    <cfRule type="cellIs" dxfId="17" priority="94579" stopIfTrue="1" operator="equal">
      <formula>"En cours"</formula>
    </cfRule>
  </conditionalFormatting>
  <conditionalFormatting sqref="AK30">
    <cfRule type="cellIs" dxfId="16" priority="94580" stopIfTrue="1" operator="notEqual">
      <formula>"En cours"</formula>
    </cfRule>
  </conditionalFormatting>
  <conditionalFormatting sqref="AJ17">
    <cfRule type="cellIs" dxfId="15" priority="94581" stopIfTrue="1" operator="equal">
      <formula>"En cours"</formula>
    </cfRule>
  </conditionalFormatting>
  <conditionalFormatting sqref="AJ17">
    <cfRule type="cellIs" dxfId="14" priority="94582" stopIfTrue="1" operator="notEqual">
      <formula>"En cours"</formula>
    </cfRule>
  </conditionalFormatting>
  <conditionalFormatting sqref="AK17">
    <cfRule type="cellIs" dxfId="13" priority="94583" stopIfTrue="1" operator="equal">
      <formula>"En cours"</formula>
    </cfRule>
  </conditionalFormatting>
  <conditionalFormatting sqref="AK17">
    <cfRule type="cellIs" dxfId="12" priority="94584" stopIfTrue="1" operator="notEqual">
      <formula>"En cours"</formula>
    </cfRule>
  </conditionalFormatting>
  <conditionalFormatting sqref="AJ33">
    <cfRule type="cellIs" dxfId="11" priority="94585" stopIfTrue="1" operator="equal">
      <formula>"En cours"</formula>
    </cfRule>
  </conditionalFormatting>
  <conditionalFormatting sqref="AJ33">
    <cfRule type="cellIs" dxfId="10" priority="94586" stopIfTrue="1" operator="notEqual">
      <formula>"En cours"</formula>
    </cfRule>
  </conditionalFormatting>
  <conditionalFormatting sqref="AK33">
    <cfRule type="cellIs" dxfId="9" priority="94587" stopIfTrue="1" operator="equal">
      <formula>"En cours"</formula>
    </cfRule>
  </conditionalFormatting>
  <conditionalFormatting sqref="AK33">
    <cfRule type="cellIs" dxfId="8" priority="94588" stopIfTrue="1" operator="notEqual">
      <formula>"En cours"</formula>
    </cfRule>
  </conditionalFormatting>
  <conditionalFormatting sqref="AJ28">
    <cfRule type="cellIs" dxfId="7" priority="94589" stopIfTrue="1" operator="equal">
      <formula>"En cours"</formula>
    </cfRule>
  </conditionalFormatting>
  <conditionalFormatting sqref="AJ28">
    <cfRule type="cellIs" dxfId="6" priority="94590" stopIfTrue="1" operator="notEqual">
      <formula>"En cours"</formula>
    </cfRule>
  </conditionalFormatting>
  <conditionalFormatting sqref="AK28">
    <cfRule type="cellIs" dxfId="5" priority="94591" stopIfTrue="1" operator="equal">
      <formula>"En cours"</formula>
    </cfRule>
  </conditionalFormatting>
  <conditionalFormatting sqref="AK28">
    <cfRule type="cellIs" dxfId="4" priority="94592" stopIfTrue="1" operator="notEqual">
      <formula>"En cours"</formula>
    </cfRule>
  </conditionalFormatting>
  <conditionalFormatting sqref="AJ18">
    <cfRule type="cellIs" dxfId="3" priority="94593" stopIfTrue="1" operator="equal">
      <formula>"En cours"</formula>
    </cfRule>
  </conditionalFormatting>
  <conditionalFormatting sqref="AJ18">
    <cfRule type="cellIs" dxfId="2" priority="94594" stopIfTrue="1" operator="notEqual">
      <formula>"En cours"</formula>
    </cfRule>
  </conditionalFormatting>
  <conditionalFormatting sqref="AK18">
    <cfRule type="cellIs" dxfId="1" priority="94595" stopIfTrue="1" operator="equal">
      <formula>"En cours"</formula>
    </cfRule>
  </conditionalFormatting>
  <conditionalFormatting sqref="AK18">
    <cfRule type="cellIs" dxfId="0" priority="9459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48"/>
  <sheetViews>
    <sheetView topLeftCell="B1" workbookViewId="0">
      <pane ySplit="4" topLeftCell="A5" activePane="bottomLeft" state="frozen"/>
      <selection pane="bottomLeft" activeCell="B52" sqref="B52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95" t="s">
        <v>70</v>
      </c>
      <c r="C4" s="95" t="s">
        <v>78</v>
      </c>
      <c r="D4" s="95" t="s">
        <v>79</v>
      </c>
      <c r="E4" s="95" t="s">
        <v>71</v>
      </c>
      <c r="F4" s="95" t="s">
        <v>72</v>
      </c>
    </row>
    <row r="5" spans="2:6" x14ac:dyDescent="0.25">
      <c r="B5" s="200" t="s">
        <v>339</v>
      </c>
      <c r="C5" s="200" t="s">
        <v>200</v>
      </c>
      <c r="D5" s="200" t="s">
        <v>200</v>
      </c>
      <c r="E5" s="200" t="s">
        <v>340</v>
      </c>
      <c r="F5" s="201">
        <v>45517.800868055558</v>
      </c>
    </row>
    <row r="6" spans="2:6" x14ac:dyDescent="0.25">
      <c r="B6" s="200" t="s">
        <v>341</v>
      </c>
      <c r="C6" s="200" t="s">
        <v>200</v>
      </c>
      <c r="D6" s="200" t="s">
        <v>200</v>
      </c>
      <c r="E6" s="200" t="s">
        <v>200</v>
      </c>
      <c r="F6" s="201">
        <v>45517.800868055558</v>
      </c>
    </row>
    <row r="7" spans="2:6" x14ac:dyDescent="0.25">
      <c r="B7" s="200" t="s">
        <v>207</v>
      </c>
      <c r="C7" s="200" t="s">
        <v>200</v>
      </c>
      <c r="D7" s="200" t="s">
        <v>200</v>
      </c>
      <c r="E7" s="200" t="s">
        <v>200</v>
      </c>
      <c r="F7" s="201">
        <v>45517.800868055558</v>
      </c>
    </row>
    <row r="8" spans="2:6" x14ac:dyDescent="0.25">
      <c r="B8" s="200" t="s">
        <v>342</v>
      </c>
      <c r="C8" s="200" t="s">
        <v>100</v>
      </c>
      <c r="D8" s="200" t="s">
        <v>100</v>
      </c>
      <c r="E8" s="200" t="s">
        <v>102</v>
      </c>
      <c r="F8" s="201">
        <v>45517.800868055558</v>
      </c>
    </row>
    <row r="9" spans="2:6" x14ac:dyDescent="0.25">
      <c r="B9" s="200" t="s">
        <v>199</v>
      </c>
      <c r="C9" s="200" t="s">
        <v>100</v>
      </c>
      <c r="D9" s="200" t="s">
        <v>200</v>
      </c>
      <c r="E9" s="200" t="s">
        <v>200</v>
      </c>
      <c r="F9" s="201">
        <v>45517.800891203704</v>
      </c>
    </row>
    <row r="10" spans="2:6" x14ac:dyDescent="0.25">
      <c r="B10" s="200" t="s">
        <v>199</v>
      </c>
      <c r="C10" s="200" t="s">
        <v>201</v>
      </c>
      <c r="D10" s="200" t="s">
        <v>91</v>
      </c>
      <c r="E10" s="200" t="s">
        <v>200</v>
      </c>
      <c r="F10" s="201">
        <v>45517.800891203704</v>
      </c>
    </row>
    <row r="11" spans="2:6" x14ac:dyDescent="0.25">
      <c r="B11" s="200" t="s">
        <v>199</v>
      </c>
      <c r="C11" s="200" t="s">
        <v>206</v>
      </c>
      <c r="D11" s="200" t="s">
        <v>92</v>
      </c>
      <c r="E11" s="200" t="s">
        <v>200</v>
      </c>
      <c r="F11" s="201">
        <v>45517.800891203704</v>
      </c>
    </row>
    <row r="12" spans="2:6" x14ac:dyDescent="0.25">
      <c r="B12" s="200" t="s">
        <v>341</v>
      </c>
      <c r="C12" s="200" t="s">
        <v>200</v>
      </c>
      <c r="D12" s="200" t="s">
        <v>200</v>
      </c>
      <c r="E12" s="200" t="s">
        <v>200</v>
      </c>
      <c r="F12" s="201">
        <v>45517.800902777781</v>
      </c>
    </row>
    <row r="13" spans="2:6" x14ac:dyDescent="0.25">
      <c r="B13" s="200" t="s">
        <v>207</v>
      </c>
      <c r="C13" s="200" t="s">
        <v>200</v>
      </c>
      <c r="D13" s="200" t="s">
        <v>200</v>
      </c>
      <c r="E13" s="200" t="s">
        <v>200</v>
      </c>
      <c r="F13" s="201">
        <v>45517.800902777781</v>
      </c>
    </row>
    <row r="14" spans="2:6" x14ac:dyDescent="0.25">
      <c r="B14" s="200" t="s">
        <v>343</v>
      </c>
      <c r="C14" s="200" t="s">
        <v>100</v>
      </c>
      <c r="D14" s="200" t="s">
        <v>100</v>
      </c>
      <c r="E14" s="200" t="s">
        <v>208</v>
      </c>
      <c r="F14" s="201">
        <v>45517.800902777781</v>
      </c>
    </row>
    <row r="15" spans="2:6" x14ac:dyDescent="0.25">
      <c r="B15" s="200" t="s">
        <v>255</v>
      </c>
      <c r="C15" s="200" t="s">
        <v>100</v>
      </c>
      <c r="D15" s="200" t="s">
        <v>200</v>
      </c>
      <c r="E15" s="200" t="s">
        <v>200</v>
      </c>
      <c r="F15" s="201">
        <v>45517.800937499997</v>
      </c>
    </row>
    <row r="16" spans="2:6" x14ac:dyDescent="0.25">
      <c r="B16" s="200" t="s">
        <v>255</v>
      </c>
      <c r="C16" s="200" t="s">
        <v>201</v>
      </c>
      <c r="D16" s="200" t="s">
        <v>91</v>
      </c>
      <c r="E16" s="200" t="s">
        <v>200</v>
      </c>
      <c r="F16" s="201">
        <v>45517.800937499997</v>
      </c>
    </row>
    <row r="17" spans="2:6" x14ac:dyDescent="0.25">
      <c r="B17" s="200" t="s">
        <v>255</v>
      </c>
      <c r="C17" s="200" t="s">
        <v>206</v>
      </c>
      <c r="D17" s="200" t="s">
        <v>92</v>
      </c>
      <c r="E17" s="200" t="s">
        <v>200</v>
      </c>
      <c r="F17" s="201">
        <v>45517.800937499997</v>
      </c>
    </row>
    <row r="18" spans="2:6" x14ac:dyDescent="0.25">
      <c r="B18" s="200" t="s">
        <v>341</v>
      </c>
      <c r="C18" s="200" t="s">
        <v>200</v>
      </c>
      <c r="D18" s="200" t="s">
        <v>200</v>
      </c>
      <c r="E18" s="200" t="s">
        <v>200</v>
      </c>
      <c r="F18" s="201">
        <v>45517.800949074073</v>
      </c>
    </row>
    <row r="19" spans="2:6" x14ac:dyDescent="0.25">
      <c r="B19" s="200" t="s">
        <v>207</v>
      </c>
      <c r="C19" s="200" t="s">
        <v>200</v>
      </c>
      <c r="D19" s="200" t="s">
        <v>200</v>
      </c>
      <c r="E19" s="200" t="s">
        <v>200</v>
      </c>
      <c r="F19" s="201">
        <v>45517.800949074073</v>
      </c>
    </row>
    <row r="20" spans="2:6" x14ac:dyDescent="0.25">
      <c r="B20" s="200" t="s">
        <v>344</v>
      </c>
      <c r="C20" s="200" t="s">
        <v>100</v>
      </c>
      <c r="D20" s="200" t="s">
        <v>100</v>
      </c>
      <c r="E20" s="200" t="s">
        <v>256</v>
      </c>
      <c r="F20" s="201">
        <v>45517.800949074073</v>
      </c>
    </row>
    <row r="21" spans="2:6" x14ac:dyDescent="0.25">
      <c r="B21" s="200" t="s">
        <v>280</v>
      </c>
      <c r="C21" s="200" t="s">
        <v>100</v>
      </c>
      <c r="D21" s="200" t="s">
        <v>200</v>
      </c>
      <c r="E21" s="200" t="s">
        <v>200</v>
      </c>
      <c r="F21" s="201">
        <v>45517.80097222222</v>
      </c>
    </row>
    <row r="22" spans="2:6" x14ac:dyDescent="0.25">
      <c r="B22" s="200" t="s">
        <v>280</v>
      </c>
      <c r="C22" s="200" t="s">
        <v>201</v>
      </c>
      <c r="D22" s="200" t="s">
        <v>91</v>
      </c>
      <c r="E22" s="200" t="s">
        <v>200</v>
      </c>
      <c r="F22" s="201">
        <v>45517.80097222222</v>
      </c>
    </row>
    <row r="23" spans="2:6" x14ac:dyDescent="0.25">
      <c r="B23" s="200" t="s">
        <v>280</v>
      </c>
      <c r="C23" s="200" t="s">
        <v>206</v>
      </c>
      <c r="D23" s="200" t="s">
        <v>92</v>
      </c>
      <c r="E23" s="200" t="s">
        <v>200</v>
      </c>
      <c r="F23" s="201">
        <v>45517.80097222222</v>
      </c>
    </row>
    <row r="24" spans="2:6" x14ac:dyDescent="0.25">
      <c r="B24" s="200" t="s">
        <v>341</v>
      </c>
      <c r="C24" s="200" t="s">
        <v>200</v>
      </c>
      <c r="D24" s="200" t="s">
        <v>200</v>
      </c>
      <c r="E24" s="200" t="s">
        <v>200</v>
      </c>
      <c r="F24" s="201">
        <v>45517.800983796296</v>
      </c>
    </row>
    <row r="25" spans="2:6" x14ac:dyDescent="0.25">
      <c r="B25" s="200" t="s">
        <v>207</v>
      </c>
      <c r="C25" s="200" t="s">
        <v>200</v>
      </c>
      <c r="D25" s="200" t="s">
        <v>200</v>
      </c>
      <c r="E25" s="200" t="s">
        <v>200</v>
      </c>
      <c r="F25" s="201">
        <v>45517.800995370373</v>
      </c>
    </row>
    <row r="26" spans="2:6" x14ac:dyDescent="0.25">
      <c r="B26" s="200" t="s">
        <v>345</v>
      </c>
      <c r="C26" s="200" t="s">
        <v>100</v>
      </c>
      <c r="D26" s="200" t="s">
        <v>100</v>
      </c>
      <c r="E26" s="200" t="s">
        <v>281</v>
      </c>
      <c r="F26" s="201">
        <v>45517.800995370373</v>
      </c>
    </row>
    <row r="27" spans="2:6" x14ac:dyDescent="0.25">
      <c r="B27" s="200" t="s">
        <v>315</v>
      </c>
      <c r="C27" s="200" t="s">
        <v>100</v>
      </c>
      <c r="D27" s="200" t="s">
        <v>200</v>
      </c>
      <c r="E27" s="200" t="s">
        <v>200</v>
      </c>
      <c r="F27" s="201">
        <v>45517.801018518519</v>
      </c>
    </row>
    <row r="28" spans="2:6" x14ac:dyDescent="0.25">
      <c r="B28" s="200" t="s">
        <v>315</v>
      </c>
      <c r="C28" s="200" t="s">
        <v>201</v>
      </c>
      <c r="D28" s="200" t="s">
        <v>91</v>
      </c>
      <c r="E28" s="200" t="s">
        <v>200</v>
      </c>
      <c r="F28" s="201">
        <v>45517.801018518519</v>
      </c>
    </row>
    <row r="29" spans="2:6" x14ac:dyDescent="0.25">
      <c r="B29" s="200" t="s">
        <v>315</v>
      </c>
      <c r="C29" s="200" t="s">
        <v>206</v>
      </c>
      <c r="D29" s="200" t="s">
        <v>92</v>
      </c>
      <c r="E29" s="200" t="s">
        <v>200</v>
      </c>
      <c r="F29" s="201">
        <v>45517.801018518519</v>
      </c>
    </row>
    <row r="30" spans="2:6" x14ac:dyDescent="0.25">
      <c r="B30" s="200" t="s">
        <v>341</v>
      </c>
      <c r="C30" s="200" t="s">
        <v>200</v>
      </c>
      <c r="D30" s="200" t="s">
        <v>200</v>
      </c>
      <c r="E30" s="200" t="s">
        <v>200</v>
      </c>
      <c r="F30" s="201">
        <v>45517.801030092596</v>
      </c>
    </row>
    <row r="31" spans="2:6" x14ac:dyDescent="0.25">
      <c r="B31" s="200" t="s">
        <v>207</v>
      </c>
      <c r="C31" s="200" t="s">
        <v>200</v>
      </c>
      <c r="D31" s="200" t="s">
        <v>200</v>
      </c>
      <c r="E31" s="200" t="s">
        <v>200</v>
      </c>
      <c r="F31" s="201">
        <v>45517.801030092596</v>
      </c>
    </row>
    <row r="32" spans="2:6" x14ac:dyDescent="0.25">
      <c r="B32" s="200" t="s">
        <v>346</v>
      </c>
      <c r="C32" s="200" t="s">
        <v>100</v>
      </c>
      <c r="D32" s="200" t="s">
        <v>100</v>
      </c>
      <c r="E32" s="200" t="s">
        <v>316</v>
      </c>
      <c r="F32" s="201">
        <v>45517.801030092596</v>
      </c>
    </row>
    <row r="33" spans="2:6" x14ac:dyDescent="0.25">
      <c r="B33" s="200" t="s">
        <v>324</v>
      </c>
      <c r="C33" s="200" t="s">
        <v>100</v>
      </c>
      <c r="D33" s="200" t="s">
        <v>200</v>
      </c>
      <c r="E33" s="200" t="s">
        <v>200</v>
      </c>
      <c r="F33" s="201">
        <v>45517.801053240742</v>
      </c>
    </row>
    <row r="34" spans="2:6" x14ac:dyDescent="0.25">
      <c r="B34" s="200" t="s">
        <v>324</v>
      </c>
      <c r="C34" s="200" t="s">
        <v>201</v>
      </c>
      <c r="D34" s="200" t="s">
        <v>91</v>
      </c>
      <c r="E34" s="200" t="s">
        <v>200</v>
      </c>
      <c r="F34" s="201">
        <v>45517.801053240742</v>
      </c>
    </row>
    <row r="35" spans="2:6" x14ac:dyDescent="0.25">
      <c r="B35" s="200" t="s">
        <v>324</v>
      </c>
      <c r="C35" s="200" t="s">
        <v>206</v>
      </c>
      <c r="D35" s="200" t="s">
        <v>92</v>
      </c>
      <c r="E35" s="200" t="s">
        <v>200</v>
      </c>
      <c r="F35" s="201">
        <v>45517.801053240742</v>
      </c>
    </row>
    <row r="36" spans="2:6" x14ac:dyDescent="0.25">
      <c r="B36" s="200" t="s">
        <v>341</v>
      </c>
      <c r="C36" s="200" t="s">
        <v>200</v>
      </c>
      <c r="D36" s="200" t="s">
        <v>200</v>
      </c>
      <c r="E36" s="200" t="s">
        <v>200</v>
      </c>
      <c r="F36" s="201">
        <v>45517.801064814812</v>
      </c>
    </row>
    <row r="37" spans="2:6" x14ac:dyDescent="0.25">
      <c r="B37" s="200" t="s">
        <v>207</v>
      </c>
      <c r="C37" s="200" t="s">
        <v>200</v>
      </c>
      <c r="D37" s="200" t="s">
        <v>200</v>
      </c>
      <c r="E37" s="200" t="s">
        <v>200</v>
      </c>
      <c r="F37" s="201">
        <v>45517.801064814812</v>
      </c>
    </row>
    <row r="38" spans="2:6" x14ac:dyDescent="0.25">
      <c r="B38" s="200" t="s">
        <v>347</v>
      </c>
      <c r="C38" s="200" t="s">
        <v>100</v>
      </c>
      <c r="D38" s="200" t="s">
        <v>100</v>
      </c>
      <c r="E38" s="200" t="s">
        <v>325</v>
      </c>
      <c r="F38" s="201">
        <v>45517.801064814812</v>
      </c>
    </row>
    <row r="39" spans="2:6" x14ac:dyDescent="0.25">
      <c r="B39" s="200" t="s">
        <v>331</v>
      </c>
      <c r="C39" s="200" t="s">
        <v>100</v>
      </c>
      <c r="D39" s="200" t="s">
        <v>200</v>
      </c>
      <c r="E39" s="200" t="s">
        <v>200</v>
      </c>
      <c r="F39" s="201">
        <v>45517.801087962966</v>
      </c>
    </row>
    <row r="40" spans="2:6" x14ac:dyDescent="0.25">
      <c r="B40" s="200" t="s">
        <v>331</v>
      </c>
      <c r="C40" s="200" t="s">
        <v>201</v>
      </c>
      <c r="D40" s="200" t="s">
        <v>91</v>
      </c>
      <c r="E40" s="200" t="s">
        <v>200</v>
      </c>
      <c r="F40" s="201">
        <v>45517.801087962966</v>
      </c>
    </row>
    <row r="41" spans="2:6" x14ac:dyDescent="0.25">
      <c r="B41" s="200" t="s">
        <v>331</v>
      </c>
      <c r="C41" s="200" t="s">
        <v>206</v>
      </c>
      <c r="D41" s="200" t="s">
        <v>92</v>
      </c>
      <c r="E41" s="200" t="s">
        <v>200</v>
      </c>
      <c r="F41" s="201">
        <v>45517.801087962966</v>
      </c>
    </row>
    <row r="42" spans="2:6" x14ac:dyDescent="0.25">
      <c r="B42" s="200" t="s">
        <v>341</v>
      </c>
      <c r="C42" s="200" t="s">
        <v>200</v>
      </c>
      <c r="D42" s="200" t="s">
        <v>200</v>
      </c>
      <c r="E42" s="200" t="s">
        <v>200</v>
      </c>
      <c r="F42" s="201">
        <v>45517.801099537035</v>
      </c>
    </row>
    <row r="43" spans="2:6" x14ac:dyDescent="0.25">
      <c r="B43" s="200" t="s">
        <v>207</v>
      </c>
      <c r="C43" s="200" t="s">
        <v>200</v>
      </c>
      <c r="D43" s="200" t="s">
        <v>200</v>
      </c>
      <c r="E43" s="200" t="s">
        <v>200</v>
      </c>
      <c r="F43" s="201">
        <v>45517.801099537035</v>
      </c>
    </row>
    <row r="44" spans="2:6" x14ac:dyDescent="0.25">
      <c r="B44" s="200" t="s">
        <v>348</v>
      </c>
      <c r="C44" s="200" t="s">
        <v>100</v>
      </c>
      <c r="D44" s="200" t="s">
        <v>100</v>
      </c>
      <c r="E44" s="200" t="s">
        <v>332</v>
      </c>
      <c r="F44" s="201">
        <v>45517.801099537035</v>
      </c>
    </row>
    <row r="45" spans="2:6" x14ac:dyDescent="0.25">
      <c r="B45" s="200" t="s">
        <v>338</v>
      </c>
      <c r="C45" s="200" t="s">
        <v>100</v>
      </c>
      <c r="D45" s="200" t="s">
        <v>200</v>
      </c>
      <c r="E45" s="200" t="s">
        <v>200</v>
      </c>
      <c r="F45" s="201">
        <v>45517.801134259258</v>
      </c>
    </row>
    <row r="46" spans="2:6" x14ac:dyDescent="0.25">
      <c r="B46" s="200" t="s">
        <v>338</v>
      </c>
      <c r="C46" s="200" t="s">
        <v>201</v>
      </c>
      <c r="D46" s="200" t="s">
        <v>91</v>
      </c>
      <c r="E46" s="200" t="s">
        <v>200</v>
      </c>
      <c r="F46" s="201">
        <v>45517.801134259258</v>
      </c>
    </row>
    <row r="47" spans="2:6" x14ac:dyDescent="0.25">
      <c r="B47" s="200" t="s">
        <v>338</v>
      </c>
      <c r="C47" s="200" t="s">
        <v>206</v>
      </c>
      <c r="D47" s="200" t="s">
        <v>92</v>
      </c>
      <c r="E47" s="200" t="s">
        <v>200</v>
      </c>
      <c r="F47" s="201">
        <v>45517.801134259258</v>
      </c>
    </row>
    <row r="48" spans="2:6" x14ac:dyDescent="0.25">
      <c r="B48" s="200" t="s">
        <v>341</v>
      </c>
      <c r="C48" s="200" t="s">
        <v>200</v>
      </c>
      <c r="D48" s="200" t="s">
        <v>200</v>
      </c>
      <c r="E48" s="200" t="s">
        <v>200</v>
      </c>
      <c r="F48" s="201">
        <v>45517.801145833335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2024-08-13T17:17:38Z</dcterms:modified>
</cp:coreProperties>
</file>