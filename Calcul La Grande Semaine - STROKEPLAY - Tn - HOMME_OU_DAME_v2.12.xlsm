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0C21675C-FF73-4080-958C-38A3909F2B45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19" i="4" l="1"/>
  <c r="AK119" i="4" s="1"/>
  <c r="AD119" i="4"/>
  <c r="AJ119" i="4" s="1"/>
  <c r="AE40" i="4"/>
  <c r="AK40" i="4" s="1"/>
  <c r="AD40" i="4"/>
  <c r="AJ40" i="4" s="1"/>
  <c r="AE20" i="4"/>
  <c r="AK20" i="4" s="1"/>
  <c r="AD20" i="4"/>
  <c r="AJ20" i="4" s="1"/>
  <c r="AE145" i="4"/>
  <c r="AK145" i="4" s="1"/>
  <c r="AD145" i="4"/>
  <c r="AJ145" i="4" s="1"/>
  <c r="AE75" i="4"/>
  <c r="AK75" i="4" s="1"/>
  <c r="AD75" i="4"/>
  <c r="AJ7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41" i="4"/>
  <c r="AK41" i="4" s="1"/>
  <c r="AD41" i="4"/>
  <c r="AJ41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K99" i="4"/>
  <c r="AE99" i="4"/>
  <c r="AD99" i="4"/>
  <c r="AJ99" i="4" s="1"/>
  <c r="AE32" i="4"/>
  <c r="AK32" i="4" s="1"/>
  <c r="AD32" i="4"/>
  <c r="AJ32" i="4" s="1"/>
  <c r="AE118" i="4"/>
  <c r="AK118" i="4" s="1"/>
  <c r="AD118" i="4"/>
  <c r="AJ118" i="4" s="1"/>
  <c r="AE68" i="4"/>
  <c r="AK68" i="4" s="1"/>
  <c r="AD68" i="4"/>
  <c r="AJ68" i="4" s="1"/>
  <c r="AE45" i="4"/>
  <c r="AK45" i="4" s="1"/>
  <c r="AD45" i="4"/>
  <c r="AJ45" i="4" s="1"/>
  <c r="AE177" i="4"/>
  <c r="AK177" i="4" s="1"/>
  <c r="AD177" i="4"/>
  <c r="AJ177" i="4" s="1"/>
  <c r="AE24" i="4"/>
  <c r="AK24" i="4" s="1"/>
  <c r="AD24" i="4"/>
  <c r="AJ24" i="4" s="1"/>
  <c r="AE10" i="4"/>
  <c r="AK10" i="4" s="1"/>
  <c r="AD10" i="4"/>
  <c r="AJ10" i="4" s="1"/>
  <c r="AE43" i="4"/>
  <c r="AK43" i="4" s="1"/>
  <c r="AD43" i="4"/>
  <c r="AJ43" i="4" s="1"/>
  <c r="AE161" i="4"/>
  <c r="AK161" i="4" s="1"/>
  <c r="AD161" i="4"/>
  <c r="AJ161" i="4" s="1"/>
  <c r="AE52" i="4"/>
  <c r="AK52" i="4" s="1"/>
  <c r="AD52" i="4"/>
  <c r="AJ52" i="4" s="1"/>
  <c r="AE19" i="4"/>
  <c r="AK19" i="4" s="1"/>
  <c r="AD19" i="4"/>
  <c r="AJ19" i="4" s="1"/>
  <c r="AE93" i="4"/>
  <c r="AK93" i="4" s="1"/>
  <c r="AD93" i="4"/>
  <c r="AJ93" i="4" s="1"/>
  <c r="AE153" i="4"/>
  <c r="AK153" i="4" s="1"/>
  <c r="AD153" i="4"/>
  <c r="AJ153" i="4" s="1"/>
  <c r="AE25" i="4"/>
  <c r="AK25" i="4" s="1"/>
  <c r="AD25" i="4"/>
  <c r="AJ25" i="4" s="1"/>
  <c r="AE147" i="4"/>
  <c r="AK147" i="4" s="1"/>
  <c r="AD147" i="4"/>
  <c r="AJ147" i="4" s="1"/>
  <c r="AE56" i="4"/>
  <c r="AK56" i="4" s="1"/>
  <c r="AD56" i="4"/>
  <c r="AJ56" i="4" s="1"/>
  <c r="AE158" i="4"/>
  <c r="AK158" i="4" s="1"/>
  <c r="AD158" i="4"/>
  <c r="AJ158" i="4" s="1"/>
  <c r="AK77" i="4"/>
  <c r="AE77" i="4"/>
  <c r="AD77" i="4"/>
  <c r="AJ77" i="4" s="1"/>
  <c r="AE67" i="4"/>
  <c r="AK67" i="4" s="1"/>
  <c r="AD67" i="4"/>
  <c r="AJ67" i="4" s="1"/>
  <c r="AE134" i="4"/>
  <c r="AK134" i="4" s="1"/>
  <c r="AD134" i="4"/>
  <c r="AJ134" i="4" s="1"/>
  <c r="AE14" i="4"/>
  <c r="AK14" i="4" s="1"/>
  <c r="AD14" i="4"/>
  <c r="AJ14" i="4" s="1"/>
  <c r="AE31" i="4"/>
  <c r="AK31" i="4" s="1"/>
  <c r="AD31" i="4"/>
  <c r="AJ31" i="4" s="1"/>
  <c r="AE12" i="4"/>
  <c r="AK12" i="4" s="1"/>
  <c r="AD12" i="4"/>
  <c r="AJ12" i="4" s="1"/>
  <c r="AE6" i="4"/>
  <c r="AK6" i="4" s="1"/>
  <c r="AD6" i="4"/>
  <c r="AJ6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76" i="4"/>
  <c r="AK76" i="4" s="1"/>
  <c r="AD76" i="4"/>
  <c r="AJ76" i="4" s="1"/>
  <c r="AE100" i="4"/>
  <c r="AK100" i="4" s="1"/>
  <c r="AD100" i="4"/>
  <c r="AJ100" i="4" s="1"/>
  <c r="AE35" i="4"/>
  <c r="AK35" i="4" s="1"/>
  <c r="AD35" i="4"/>
  <c r="AJ35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65" i="4"/>
  <c r="AK65" i="4" s="1"/>
  <c r="AD65" i="4"/>
  <c r="AJ65" i="4" s="1"/>
  <c r="AE72" i="4"/>
  <c r="AK72" i="4" s="1"/>
  <c r="AD72" i="4"/>
  <c r="AJ72" i="4" s="1"/>
  <c r="AE102" i="4"/>
  <c r="AK102" i="4" s="1"/>
  <c r="AD102" i="4"/>
  <c r="AJ102" i="4" s="1"/>
  <c r="AE28" i="4"/>
  <c r="AK28" i="4" s="1"/>
  <c r="AD28" i="4"/>
  <c r="AJ28" i="4" s="1"/>
  <c r="AE63" i="4"/>
  <c r="AK63" i="4" s="1"/>
  <c r="AD63" i="4"/>
  <c r="AJ63" i="4" s="1"/>
  <c r="AE125" i="4"/>
  <c r="AK125" i="4" s="1"/>
  <c r="AD125" i="4"/>
  <c r="AJ125" i="4" s="1"/>
  <c r="AE34" i="4"/>
  <c r="AK34" i="4" s="1"/>
  <c r="AD34" i="4"/>
  <c r="AJ34" i="4" s="1"/>
  <c r="AE66" i="4"/>
  <c r="AK66" i="4" s="1"/>
  <c r="AD66" i="4"/>
  <c r="AJ66" i="4" s="1"/>
  <c r="AE26" i="4"/>
  <c r="AK26" i="4" s="1"/>
  <c r="AD26" i="4"/>
  <c r="AJ26" i="4" s="1"/>
  <c r="AE133" i="4"/>
  <c r="AK133" i="4" s="1"/>
  <c r="AD133" i="4"/>
  <c r="AJ133" i="4" s="1"/>
  <c r="AE156" i="4"/>
  <c r="AK156" i="4" s="1"/>
  <c r="AD156" i="4"/>
  <c r="AJ156" i="4" s="1"/>
  <c r="AE9" i="4"/>
  <c r="AK9" i="4" s="1"/>
  <c r="AD9" i="4"/>
  <c r="AJ9" i="4" s="1"/>
  <c r="AE29" i="4"/>
  <c r="AK29" i="4" s="1"/>
  <c r="AD29" i="4"/>
  <c r="AJ29" i="4" s="1"/>
  <c r="AE74" i="4"/>
  <c r="AK74" i="4" s="1"/>
  <c r="AD74" i="4"/>
  <c r="AJ74" i="4" s="1"/>
  <c r="AE70" i="4"/>
  <c r="AK70" i="4" s="1"/>
  <c r="AD70" i="4"/>
  <c r="AJ70" i="4" s="1"/>
  <c r="AE111" i="4"/>
  <c r="AK111" i="4" s="1"/>
  <c r="AD111" i="4"/>
  <c r="AJ111" i="4" s="1"/>
  <c r="AE17" i="4"/>
  <c r="AK17" i="4" s="1"/>
  <c r="AD17" i="4"/>
  <c r="AJ17" i="4" s="1"/>
  <c r="AE54" i="4"/>
  <c r="AK54" i="4" s="1"/>
  <c r="AD54" i="4"/>
  <c r="AJ54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21" i="4"/>
  <c r="AK21" i="4" s="1"/>
  <c r="AD21" i="4"/>
  <c r="AJ21" i="4" s="1"/>
  <c r="AE92" i="4"/>
  <c r="AK92" i="4" s="1"/>
  <c r="AD92" i="4"/>
  <c r="AJ92" i="4" s="1"/>
  <c r="AE141" i="4"/>
  <c r="AK141" i="4" s="1"/>
  <c r="AD141" i="4"/>
  <c r="AJ141" i="4" s="1"/>
  <c r="AE71" i="4"/>
  <c r="AK71" i="4" s="1"/>
  <c r="AD71" i="4"/>
  <c r="AJ71" i="4" s="1"/>
  <c r="AE18" i="4"/>
  <c r="AK18" i="4" s="1"/>
  <c r="AD18" i="4"/>
  <c r="AJ18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7" i="4"/>
  <c r="AK7" i="4" s="1"/>
  <c r="AD7" i="4"/>
  <c r="AJ7" i="4" s="1"/>
  <c r="AE179" i="4"/>
  <c r="AK179" i="4" s="1"/>
  <c r="AD179" i="4"/>
  <c r="AJ179" i="4" s="1"/>
  <c r="AE46" i="4"/>
  <c r="AK46" i="4" s="1"/>
  <c r="AD46" i="4"/>
  <c r="AJ46" i="4" s="1"/>
  <c r="AK59" i="4"/>
  <c r="AE59" i="4"/>
  <c r="AD59" i="4"/>
  <c r="AJ59" i="4" s="1"/>
  <c r="AE117" i="4"/>
  <c r="AK117" i="4" s="1"/>
  <c r="AD117" i="4"/>
  <c r="AJ117" i="4" s="1"/>
  <c r="AE53" i="4"/>
  <c r="AK53" i="4" s="1"/>
  <c r="AD53" i="4"/>
  <c r="AJ53" i="4" s="1"/>
  <c r="AE8" i="4"/>
  <c r="AK8" i="4" s="1"/>
  <c r="AD8" i="4"/>
  <c r="AJ8" i="4" s="1"/>
  <c r="AE109" i="4"/>
  <c r="AK109" i="4" s="1"/>
  <c r="AD109" i="4"/>
  <c r="AJ109" i="4" s="1"/>
  <c r="AE159" i="4"/>
  <c r="AK159" i="4" s="1"/>
  <c r="AD159" i="4"/>
  <c r="AJ159" i="4" s="1"/>
  <c r="AE5" i="4"/>
  <c r="AK5" i="4" s="1"/>
  <c r="AD5" i="4"/>
  <c r="AJ5" i="4" s="1"/>
  <c r="AE137" i="4"/>
  <c r="AK137" i="4" s="1"/>
  <c r="AD137" i="4"/>
  <c r="AJ137" i="4" s="1"/>
  <c r="AE106" i="4"/>
  <c r="AK106" i="4" s="1"/>
  <c r="AD106" i="4"/>
  <c r="AJ106" i="4" s="1"/>
  <c r="AE17" i="5"/>
  <c r="AK17" i="5" s="1"/>
  <c r="AD17" i="5"/>
  <c r="AJ17" i="5" s="1"/>
  <c r="AE26" i="5"/>
  <c r="AK26" i="5" s="1"/>
  <c r="AD26" i="5"/>
  <c r="AJ26" i="5" s="1"/>
  <c r="AE9" i="5"/>
  <c r="AK9" i="5" s="1"/>
  <c r="AD9" i="5"/>
  <c r="AJ9" i="5" s="1"/>
  <c r="AE16" i="5"/>
  <c r="AK16" i="5" s="1"/>
  <c r="AD16" i="5"/>
  <c r="AJ16" i="5" s="1"/>
  <c r="AE18" i="5"/>
  <c r="AK18" i="5" s="1"/>
  <c r="AD18" i="5"/>
  <c r="AJ18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20" i="5"/>
  <c r="AK20" i="5" s="1"/>
  <c r="AD20" i="5"/>
  <c r="AJ20" i="5" s="1"/>
  <c r="AE7" i="5"/>
  <c r="AK7" i="5" s="1"/>
  <c r="AD7" i="5"/>
  <c r="AJ7" i="5" s="1"/>
  <c r="AE12" i="5"/>
  <c r="AK12" i="5" s="1"/>
  <c r="AD12" i="5"/>
  <c r="AJ12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6" i="5"/>
  <c r="AK6" i="5" s="1"/>
  <c r="AD6" i="5"/>
  <c r="AJ6" i="5" s="1"/>
  <c r="AE4" i="5"/>
  <c r="AK4" i="5" s="1"/>
  <c r="AD4" i="5"/>
  <c r="AJ4" i="5" s="1"/>
  <c r="AE13" i="5"/>
  <c r="AK13" i="5" s="1"/>
  <c r="AD13" i="5"/>
  <c r="AJ13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14" i="5"/>
  <c r="AK14" i="5" s="1"/>
  <c r="AD14" i="5"/>
  <c r="AJ14" i="5" s="1"/>
  <c r="AE86" i="4"/>
  <c r="AK86" i="4" s="1"/>
  <c r="AD86" i="4"/>
  <c r="AJ86" i="4" s="1"/>
  <c r="AE39" i="4"/>
  <c r="AK39" i="4" s="1"/>
  <c r="AD39" i="4"/>
  <c r="AJ39" i="4" s="1"/>
  <c r="AE27" i="4"/>
  <c r="AK27" i="4" s="1"/>
  <c r="AD27" i="4"/>
  <c r="AJ27" i="4" s="1"/>
  <c r="AE36" i="4"/>
  <c r="AK36" i="4" s="1"/>
  <c r="AD36" i="4"/>
  <c r="AJ36" i="4" s="1"/>
  <c r="AE57" i="4"/>
  <c r="AK57" i="4" s="1"/>
  <c r="AD57" i="4"/>
  <c r="AJ57" i="4" s="1"/>
  <c r="AE84" i="4"/>
  <c r="AK84" i="4" s="1"/>
  <c r="AD84" i="4"/>
  <c r="AJ84" i="4" s="1"/>
  <c r="AE11" i="4"/>
  <c r="AK11" i="4" s="1"/>
  <c r="AD11" i="4"/>
  <c r="AJ11" i="4" s="1"/>
  <c r="AE150" i="4"/>
  <c r="AK150" i="4" s="1"/>
  <c r="AD150" i="4"/>
  <c r="AJ150" i="4" s="1"/>
  <c r="AE38" i="4"/>
  <c r="AK38" i="4" s="1"/>
  <c r="AD38" i="4"/>
  <c r="AJ38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K104" i="4"/>
  <c r="AE104" i="4"/>
  <c r="AD104" i="4"/>
  <c r="AJ104" i="4" s="1"/>
  <c r="AE124" i="4"/>
  <c r="AK124" i="4" s="1"/>
  <c r="AD124" i="4"/>
  <c r="AJ124" i="4" s="1"/>
  <c r="AE175" i="4"/>
  <c r="AK175" i="4" s="1"/>
  <c r="AD175" i="4"/>
  <c r="AJ175" i="4" s="1"/>
  <c r="AE64" i="4"/>
  <c r="AK64" i="4" s="1"/>
  <c r="AD64" i="4"/>
  <c r="AJ64" i="4" s="1"/>
  <c r="AE50" i="4"/>
  <c r="AK50" i="4" s="1"/>
  <c r="AD50" i="4"/>
  <c r="AJ50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48" i="4"/>
  <c r="AK48" i="4" s="1"/>
  <c r="AD48" i="4"/>
  <c r="AJ48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73" i="4"/>
  <c r="AK73" i="4" s="1"/>
  <c r="AD73" i="4"/>
  <c r="AJ73" i="4" s="1"/>
  <c r="AE80" i="4"/>
  <c r="AK80" i="4" s="1"/>
  <c r="AD80" i="4"/>
  <c r="AJ80" i="4" s="1"/>
  <c r="AE33" i="4"/>
  <c r="AK33" i="4" s="1"/>
  <c r="AD33" i="4"/>
  <c r="AJ33" i="4" s="1"/>
  <c r="AE11" i="5"/>
  <c r="AK11" i="5" s="1"/>
  <c r="AD11" i="5"/>
  <c r="AJ11" i="5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42" i="4"/>
  <c r="AK42" i="4" s="1"/>
  <c r="AD42" i="4"/>
  <c r="AJ42" i="4" s="1"/>
  <c r="AE69" i="4"/>
  <c r="AK69" i="4" s="1"/>
  <c r="AD69" i="4"/>
  <c r="AJ69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15" i="4"/>
  <c r="AK15" i="4" s="1"/>
  <c r="AD15" i="4"/>
  <c r="AJ15" i="4" s="1"/>
  <c r="AE83" i="4"/>
  <c r="AK83" i="4" s="1"/>
  <c r="AD83" i="4"/>
  <c r="AJ83" i="4" s="1"/>
  <c r="AE30" i="4"/>
  <c r="AK30" i="4" s="1"/>
  <c r="AD30" i="4"/>
  <c r="AJ30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8" i="5"/>
  <c r="AK8" i="5" s="1"/>
  <c r="AD8" i="5"/>
  <c r="AJ8" i="5" s="1"/>
  <c r="AE5" i="5"/>
  <c r="AK5" i="5" s="1"/>
  <c r="AD5" i="5"/>
  <c r="AJ5" i="5" s="1"/>
  <c r="AE44" i="4"/>
  <c r="AK44" i="4" s="1"/>
  <c r="AD44" i="4"/>
  <c r="AJ44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51" i="4"/>
  <c r="AK51" i="4" s="1"/>
  <c r="AD51" i="4"/>
  <c r="AJ51" i="4" s="1"/>
  <c r="AE55" i="4"/>
  <c r="AK55" i="4" s="1"/>
  <c r="AD55" i="4"/>
  <c r="AJ55" i="4" s="1"/>
  <c r="AE60" i="4"/>
  <c r="AK60" i="4" s="1"/>
  <c r="AD60" i="4"/>
  <c r="AJ60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58" i="4"/>
  <c r="AK58" i="4" s="1"/>
  <c r="AD58" i="4"/>
  <c r="AJ58" i="4" s="1"/>
  <c r="AE49" i="4"/>
  <c r="AK49" i="4" s="1"/>
  <c r="AD49" i="4"/>
  <c r="AJ49" i="4" s="1"/>
  <c r="AE131" i="4"/>
  <c r="AK131" i="4" s="1"/>
  <c r="AD131" i="4"/>
  <c r="AJ131" i="4" s="1"/>
  <c r="AE22" i="4"/>
  <c r="AK22" i="4" s="1"/>
  <c r="AD22" i="4"/>
  <c r="AJ22" i="4" s="1"/>
  <c r="AE169" i="4"/>
  <c r="AK169" i="4" s="1"/>
  <c r="AD169" i="4"/>
  <c r="AJ169" i="4" s="1"/>
  <c r="AE16" i="4"/>
  <c r="AK16" i="4" s="1"/>
  <c r="AD16" i="4"/>
  <c r="AJ16" i="4" s="1"/>
  <c r="AE19" i="5"/>
  <c r="AK19" i="5" s="1"/>
  <c r="AD19" i="5"/>
  <c r="AJ19" i="5" s="1"/>
  <c r="AE10" i="5"/>
  <c r="AK10" i="5" s="1"/>
  <c r="AD10" i="5"/>
  <c r="AJ10" i="5" s="1"/>
  <c r="AE33" i="5"/>
  <c r="AK33" i="5" s="1"/>
  <c r="AD33" i="5"/>
  <c r="AJ33" i="5" s="1"/>
  <c r="AE47" i="4"/>
  <c r="AK47" i="4" s="1"/>
  <c r="AD47" i="4"/>
  <c r="AJ47" i="4" s="1"/>
  <c r="AE13" i="4"/>
  <c r="AK13" i="4" s="1"/>
  <c r="AD13" i="4"/>
  <c r="AJ13" i="4" s="1"/>
  <c r="AE173" i="4"/>
  <c r="AK173" i="4" s="1"/>
  <c r="AD173" i="4"/>
  <c r="AJ173" i="4" s="1"/>
  <c r="AE62" i="4"/>
  <c r="AK62" i="4" s="1"/>
  <c r="AD62" i="4"/>
  <c r="AJ62" i="4" s="1"/>
  <c r="AE132" i="4"/>
  <c r="AK132" i="4" s="1"/>
  <c r="AD132" i="4"/>
  <c r="AJ132" i="4" s="1"/>
  <c r="AE88" i="4"/>
  <c r="AK88" i="4" s="1"/>
  <c r="AD88" i="4"/>
  <c r="AJ88" i="4" s="1"/>
  <c r="AE61" i="4"/>
  <c r="AK61" i="4" s="1"/>
  <c r="AD61" i="4"/>
  <c r="AJ61" i="4" s="1"/>
  <c r="AE142" i="4"/>
  <c r="AK142" i="4" s="1"/>
  <c r="AD142" i="4"/>
  <c r="AJ142" i="4" s="1"/>
  <c r="AE4" i="4"/>
  <c r="AK4" i="4" s="1"/>
  <c r="AD4" i="4"/>
  <c r="AJ4" i="4" s="1"/>
  <c r="AE136" i="4"/>
  <c r="AK136" i="4" s="1"/>
  <c r="AD136" i="4"/>
  <c r="AJ136" i="4" s="1"/>
  <c r="AK138" i="4"/>
  <c r="AE138" i="4"/>
  <c r="AD138" i="4"/>
  <c r="AJ138" i="4" s="1"/>
  <c r="AE15" i="5"/>
  <c r="AK15" i="5" s="1"/>
  <c r="AD15" i="5"/>
  <c r="AJ15" i="5" s="1"/>
  <c r="AE81" i="4"/>
  <c r="AK81" i="4" s="1"/>
  <c r="AD81" i="4"/>
  <c r="AJ81" i="4" s="1"/>
  <c r="AE23" i="4"/>
  <c r="AK23" i="4" s="1"/>
  <c r="AD23" i="4"/>
  <c r="AJ23" i="4" s="1"/>
  <c r="AE105" i="4"/>
  <c r="AK105" i="4" s="1"/>
  <c r="AD105" i="4"/>
  <c r="AJ105" i="4" s="1"/>
  <c r="AE37" i="4"/>
  <c r="AK37" i="4" s="1"/>
  <c r="AD37" i="4"/>
  <c r="AJ37" i="4" s="1"/>
  <c r="AE350" i="5" l="1"/>
  <c r="AK350" i="5" s="1"/>
  <c r="AD350" i="5"/>
  <c r="AJ350" i="5" s="1"/>
  <c r="AE349" i="5"/>
  <c r="AK349" i="5" s="1"/>
  <c r="AD349" i="5"/>
  <c r="AJ349" i="5" s="1"/>
  <c r="AE348" i="5"/>
  <c r="AK348" i="5" s="1"/>
  <c r="AD348" i="5"/>
  <c r="AJ348" i="5" s="1"/>
  <c r="AE347" i="5"/>
  <c r="AK347" i="5" s="1"/>
  <c r="AD347" i="5"/>
  <c r="AJ347" i="5" s="1"/>
  <c r="AE346" i="5"/>
  <c r="AK346" i="5" s="1"/>
  <c r="AD346" i="5"/>
  <c r="AJ346" i="5" s="1"/>
  <c r="AE345" i="5"/>
  <c r="AK345" i="5" s="1"/>
  <c r="AD345" i="5"/>
  <c r="AJ345" i="5" s="1"/>
  <c r="AE344" i="5"/>
  <c r="AK344" i="5" s="1"/>
  <c r="AD344" i="5"/>
  <c r="AJ344" i="5" s="1"/>
  <c r="AE343" i="5"/>
  <c r="AK343" i="5" s="1"/>
  <c r="AD343" i="5"/>
  <c r="AJ343" i="5" s="1"/>
  <c r="AE342" i="5"/>
  <c r="AK342" i="5" s="1"/>
  <c r="AD342" i="5"/>
  <c r="AJ342" i="5" s="1"/>
  <c r="AE341" i="5"/>
  <c r="AK341" i="5" s="1"/>
  <c r="AD341" i="5"/>
  <c r="AJ341" i="5" s="1"/>
  <c r="AE340" i="5"/>
  <c r="AK340" i="5" s="1"/>
  <c r="AD340" i="5"/>
  <c r="AJ340" i="5" s="1"/>
  <c r="AE339" i="5"/>
  <c r="AK339" i="5" s="1"/>
  <c r="AD339" i="5"/>
  <c r="AJ339" i="5" s="1"/>
  <c r="AE338" i="5"/>
  <c r="AK338" i="5" s="1"/>
  <c r="AD338" i="5"/>
  <c r="AJ338" i="5" s="1"/>
  <c r="AE337" i="5"/>
  <c r="AK337" i="5" s="1"/>
  <c r="AD337" i="5"/>
  <c r="AJ337" i="5" s="1"/>
  <c r="AE336" i="5"/>
  <c r="AK336" i="5" s="1"/>
  <c r="AD336" i="5"/>
  <c r="AJ336" i="5" s="1"/>
  <c r="AE335" i="5"/>
  <c r="AK335" i="5" s="1"/>
  <c r="AD335" i="5"/>
  <c r="AJ335" i="5" s="1"/>
  <c r="AE334" i="5"/>
  <c r="AK334" i="5" s="1"/>
  <c r="AD334" i="5"/>
  <c r="AJ334" i="5" s="1"/>
  <c r="AE333" i="5"/>
  <c r="AK333" i="5" s="1"/>
  <c r="AD333" i="5"/>
  <c r="AJ333" i="5" s="1"/>
  <c r="AE332" i="5"/>
  <c r="AK332" i="5" s="1"/>
  <c r="AD332" i="5"/>
  <c r="AJ332" i="5" s="1"/>
  <c r="AE331" i="5"/>
  <c r="AK331" i="5" s="1"/>
  <c r="AD331" i="5"/>
  <c r="AJ331" i="5" s="1"/>
  <c r="AE330" i="5"/>
  <c r="AK330" i="5" s="1"/>
  <c r="AD330" i="5"/>
  <c r="AJ330" i="5" s="1"/>
  <c r="AE329" i="5"/>
  <c r="AK329" i="5" s="1"/>
  <c r="AD329" i="5"/>
  <c r="AJ329" i="5" s="1"/>
  <c r="AE328" i="5"/>
  <c r="AK328" i="5" s="1"/>
  <c r="AD328" i="5"/>
  <c r="AJ328" i="5" s="1"/>
  <c r="AE327" i="5"/>
  <c r="AK327" i="5" s="1"/>
  <c r="AD327" i="5"/>
  <c r="AJ327" i="5" s="1"/>
  <c r="AE326" i="5"/>
  <c r="AK326" i="5" s="1"/>
  <c r="AD326" i="5"/>
  <c r="AJ326" i="5" s="1"/>
  <c r="AE325" i="5"/>
  <c r="AK325" i="5" s="1"/>
  <c r="AD325" i="5"/>
  <c r="AJ325" i="5" s="1"/>
  <c r="AE324" i="5"/>
  <c r="AK324" i="5" s="1"/>
  <c r="AD324" i="5"/>
  <c r="AJ324" i="5" s="1"/>
  <c r="AE323" i="5"/>
  <c r="AK323" i="5" s="1"/>
  <c r="AD323" i="5"/>
  <c r="AJ323" i="5" s="1"/>
  <c r="AE322" i="5"/>
  <c r="AK322" i="5" s="1"/>
  <c r="AD322" i="5"/>
  <c r="AJ322" i="5" s="1"/>
  <c r="AE321" i="5"/>
  <c r="AK321" i="5" s="1"/>
  <c r="AD321" i="5"/>
  <c r="AJ321" i="5" s="1"/>
  <c r="AE320" i="5"/>
  <c r="AK320" i="5" s="1"/>
  <c r="AD320" i="5"/>
  <c r="AJ320" i="5" s="1"/>
  <c r="AE319" i="5"/>
  <c r="AK319" i="5" s="1"/>
  <c r="AD319" i="5"/>
  <c r="AJ319" i="5" s="1"/>
  <c r="AE318" i="5"/>
  <c r="AK318" i="5" s="1"/>
  <c r="AD318" i="5"/>
  <c r="AJ318" i="5" s="1"/>
  <c r="AE317" i="5"/>
  <c r="AK317" i="5" s="1"/>
  <c r="AD317" i="5"/>
  <c r="AJ317" i="5" s="1"/>
  <c r="AE316" i="5"/>
  <c r="AK316" i="5" s="1"/>
  <c r="AD316" i="5"/>
  <c r="AJ316" i="5" s="1"/>
  <c r="AE315" i="5"/>
  <c r="AK315" i="5" s="1"/>
  <c r="AD315" i="5"/>
  <c r="AJ315" i="5" s="1"/>
  <c r="AE314" i="5"/>
  <c r="AK314" i="5" s="1"/>
  <c r="AD314" i="5"/>
  <c r="AJ314" i="5" s="1"/>
  <c r="AE313" i="5"/>
  <c r="AK313" i="5" s="1"/>
  <c r="AD313" i="5"/>
  <c r="AJ313" i="5" s="1"/>
  <c r="AE312" i="5"/>
  <c r="AK312" i="5" s="1"/>
  <c r="AD312" i="5"/>
  <c r="AJ312" i="5" s="1"/>
  <c r="AE311" i="5"/>
  <c r="AK311" i="5" s="1"/>
  <c r="AD311" i="5"/>
  <c r="AJ311" i="5" s="1"/>
  <c r="AE310" i="5"/>
  <c r="AK310" i="5" s="1"/>
  <c r="AD310" i="5"/>
  <c r="AJ310" i="5" s="1"/>
  <c r="AE309" i="5"/>
  <c r="AK309" i="5" s="1"/>
  <c r="AD309" i="5"/>
  <c r="AJ309" i="5" s="1"/>
  <c r="AE308" i="5"/>
  <c r="AK308" i="5" s="1"/>
  <c r="AD308" i="5"/>
  <c r="AJ308" i="5" s="1"/>
  <c r="AE307" i="5"/>
  <c r="AK307" i="5" s="1"/>
  <c r="AD307" i="5"/>
  <c r="AJ307" i="5" s="1"/>
  <c r="AE306" i="5"/>
  <c r="AK306" i="5" s="1"/>
  <c r="AD306" i="5"/>
  <c r="AJ306" i="5" s="1"/>
  <c r="AE305" i="5"/>
  <c r="AK305" i="5" s="1"/>
  <c r="AD305" i="5"/>
  <c r="AJ305" i="5" s="1"/>
  <c r="AE304" i="5"/>
  <c r="AK304" i="5" s="1"/>
  <c r="AD304" i="5"/>
  <c r="AJ304" i="5" s="1"/>
  <c r="AE303" i="5"/>
  <c r="AK303" i="5" s="1"/>
  <c r="AD303" i="5"/>
  <c r="AJ303" i="5" s="1"/>
  <c r="AE302" i="5"/>
  <c r="AK302" i="5" s="1"/>
  <c r="AD302" i="5"/>
  <c r="AJ302" i="5" s="1"/>
  <c r="AE301" i="5"/>
  <c r="AK301" i="5" s="1"/>
  <c r="AD301" i="5"/>
  <c r="AJ301" i="5" s="1"/>
  <c r="AE300" i="5"/>
  <c r="AK300" i="5" s="1"/>
  <c r="AD300" i="5"/>
  <c r="AJ300" i="5" s="1"/>
  <c r="AE299" i="5"/>
  <c r="AK299" i="5" s="1"/>
  <c r="AD299" i="5"/>
  <c r="AJ299" i="5" s="1"/>
  <c r="AE298" i="5"/>
  <c r="AK298" i="5" s="1"/>
  <c r="AD298" i="5"/>
  <c r="AJ298" i="5" s="1"/>
  <c r="AE297" i="5"/>
  <c r="AK297" i="5" s="1"/>
  <c r="AD297" i="5"/>
  <c r="AJ297" i="5" s="1"/>
  <c r="AE296" i="5"/>
  <c r="AK296" i="5" s="1"/>
  <c r="AD296" i="5"/>
  <c r="AJ296" i="5" s="1"/>
  <c r="AE295" i="5"/>
  <c r="AK295" i="5" s="1"/>
  <c r="AD295" i="5"/>
  <c r="AJ295" i="5" s="1"/>
  <c r="AE294" i="5"/>
  <c r="AK294" i="5" s="1"/>
  <c r="AD294" i="5"/>
  <c r="AJ294" i="5" s="1"/>
  <c r="AE293" i="5"/>
  <c r="AK293" i="5" s="1"/>
  <c r="AD293" i="5"/>
  <c r="AJ293" i="5" s="1"/>
  <c r="AE292" i="5"/>
  <c r="AK292" i="5" s="1"/>
  <c r="AD292" i="5"/>
  <c r="AJ292" i="5" s="1"/>
  <c r="AE291" i="5"/>
  <c r="AK291" i="5" s="1"/>
  <c r="AD291" i="5"/>
  <c r="AJ291" i="5" s="1"/>
  <c r="AE290" i="5"/>
  <c r="AK290" i="5" s="1"/>
  <c r="AD290" i="5"/>
  <c r="AJ290" i="5" s="1"/>
  <c r="AE289" i="5"/>
  <c r="AK289" i="5" s="1"/>
  <c r="AD289" i="5"/>
  <c r="AJ289" i="5" s="1"/>
  <c r="AE288" i="5"/>
  <c r="AK288" i="5" s="1"/>
  <c r="AD288" i="5"/>
  <c r="AJ288" i="5" s="1"/>
  <c r="AE287" i="5"/>
  <c r="AK287" i="5" s="1"/>
  <c r="AD287" i="5"/>
  <c r="AJ287" i="5" s="1"/>
  <c r="AE286" i="5"/>
  <c r="AK286" i="5" s="1"/>
  <c r="AD286" i="5"/>
  <c r="AJ286" i="5" s="1"/>
  <c r="AE285" i="5"/>
  <c r="AK285" i="5" s="1"/>
  <c r="AD285" i="5"/>
  <c r="AJ285" i="5" s="1"/>
  <c r="AE284" i="5"/>
  <c r="AK284" i="5" s="1"/>
  <c r="AD284" i="5"/>
  <c r="AJ284" i="5" s="1"/>
  <c r="AE283" i="5"/>
  <c r="AK283" i="5" s="1"/>
  <c r="AD283" i="5"/>
  <c r="AJ283" i="5" s="1"/>
  <c r="AE282" i="5"/>
  <c r="AK282" i="5" s="1"/>
  <c r="AD282" i="5"/>
  <c r="AJ282" i="5" s="1"/>
  <c r="AE281" i="5"/>
  <c r="AK281" i="5" s="1"/>
  <c r="AD281" i="5"/>
  <c r="AJ281" i="5" s="1"/>
  <c r="AE280" i="5"/>
  <c r="AK280" i="5" s="1"/>
  <c r="AD280" i="5"/>
  <c r="AJ280" i="5" s="1"/>
  <c r="AE279" i="5"/>
  <c r="AK279" i="5" s="1"/>
  <c r="AD279" i="5"/>
  <c r="AJ279" i="5" s="1"/>
  <c r="AE278" i="5"/>
  <c r="AK278" i="5" s="1"/>
  <c r="AD278" i="5"/>
  <c r="AJ278" i="5" s="1"/>
  <c r="AE277" i="5"/>
  <c r="AK277" i="5" s="1"/>
  <c r="AD277" i="5"/>
  <c r="AJ277" i="5" s="1"/>
  <c r="AE276" i="5"/>
  <c r="AK276" i="5" s="1"/>
  <c r="AD276" i="5"/>
  <c r="AJ276" i="5" s="1"/>
  <c r="AE275" i="5"/>
  <c r="AK275" i="5" s="1"/>
  <c r="AD275" i="5"/>
  <c r="AJ275" i="5" s="1"/>
  <c r="AE274" i="5"/>
  <c r="AK274" i="5" s="1"/>
  <c r="AD274" i="5"/>
  <c r="AJ274" i="5" s="1"/>
  <c r="AE273" i="5"/>
  <c r="AK273" i="5" s="1"/>
  <c r="AD273" i="5"/>
  <c r="AJ273" i="5" s="1"/>
  <c r="AE272" i="5"/>
  <c r="AK272" i="5" s="1"/>
  <c r="AD272" i="5"/>
  <c r="AJ272" i="5" s="1"/>
  <c r="AE271" i="5"/>
  <c r="AK271" i="5" s="1"/>
  <c r="AD271" i="5"/>
  <c r="AJ271" i="5" s="1"/>
  <c r="AE270" i="5"/>
  <c r="AK270" i="5" s="1"/>
  <c r="AD270" i="5"/>
  <c r="AJ270" i="5" s="1"/>
  <c r="AE269" i="5"/>
  <c r="AK269" i="5" s="1"/>
  <c r="AD269" i="5"/>
  <c r="AJ269" i="5" s="1"/>
  <c r="AE268" i="5"/>
  <c r="AK268" i="5" s="1"/>
  <c r="AD268" i="5"/>
  <c r="AJ268" i="5" s="1"/>
  <c r="AE267" i="5"/>
  <c r="AK267" i="5" s="1"/>
  <c r="AD267" i="5"/>
  <c r="AJ267" i="5" s="1"/>
  <c r="AE266" i="5"/>
  <c r="AK266" i="5" s="1"/>
  <c r="AD266" i="5"/>
  <c r="AJ266" i="5" s="1"/>
  <c r="AE265" i="5"/>
  <c r="AK265" i="5" s="1"/>
  <c r="AD265" i="5"/>
  <c r="AJ265" i="5" s="1"/>
  <c r="AE264" i="5"/>
  <c r="AK264" i="5" s="1"/>
  <c r="AD264" i="5"/>
  <c r="AJ264" i="5" s="1"/>
  <c r="AE263" i="5"/>
  <c r="AK263" i="5" s="1"/>
  <c r="AD263" i="5"/>
  <c r="AJ263" i="5" s="1"/>
  <c r="AE262" i="5"/>
  <c r="AK262" i="5" s="1"/>
  <c r="AD262" i="5"/>
  <c r="AJ262" i="5" s="1"/>
  <c r="AE261" i="5"/>
  <c r="AK261" i="5" s="1"/>
  <c r="AD261" i="5"/>
  <c r="AJ261" i="5" s="1"/>
  <c r="AE260" i="5"/>
  <c r="AK260" i="5" s="1"/>
  <c r="AD260" i="5"/>
  <c r="AJ260" i="5" s="1"/>
  <c r="AE259" i="5"/>
  <c r="AK259" i="5" s="1"/>
  <c r="AD259" i="5"/>
  <c r="AJ259" i="5" s="1"/>
  <c r="AE258" i="5"/>
  <c r="AK258" i="5" s="1"/>
  <c r="AD258" i="5"/>
  <c r="AJ258" i="5" s="1"/>
  <c r="AE257" i="5"/>
  <c r="AK257" i="5" s="1"/>
  <c r="AD257" i="5"/>
  <c r="AJ257" i="5" s="1"/>
  <c r="AE256" i="5"/>
  <c r="AK256" i="5" s="1"/>
  <c r="AD256" i="5"/>
  <c r="AJ256" i="5" s="1"/>
  <c r="AE255" i="5"/>
  <c r="AK255" i="5" s="1"/>
  <c r="AD255" i="5"/>
  <c r="AJ255" i="5" s="1"/>
  <c r="AE254" i="5"/>
  <c r="AK254" i="5" s="1"/>
  <c r="AD254" i="5"/>
  <c r="AJ254" i="5" s="1"/>
  <c r="AE253" i="5"/>
  <c r="AK253" i="5" s="1"/>
  <c r="AD253" i="5"/>
  <c r="AJ253" i="5" s="1"/>
  <c r="AE252" i="5"/>
  <c r="AK252" i="5" s="1"/>
  <c r="AD252" i="5"/>
  <c r="AJ252" i="5" s="1"/>
  <c r="AE251" i="5"/>
  <c r="AK251" i="5" s="1"/>
  <c r="AD251" i="5"/>
  <c r="AJ251" i="5" s="1"/>
  <c r="AE250" i="5"/>
  <c r="AK250" i="5" s="1"/>
  <c r="AD250" i="5"/>
  <c r="AJ250" i="5" s="1"/>
  <c r="AE249" i="5"/>
  <c r="AK249" i="5" s="1"/>
  <c r="AD249" i="5"/>
  <c r="AJ249" i="5" s="1"/>
  <c r="AE248" i="5"/>
  <c r="AK248" i="5" s="1"/>
  <c r="AD248" i="5"/>
  <c r="AJ248" i="5" s="1"/>
  <c r="AE247" i="5"/>
  <c r="AK247" i="5" s="1"/>
  <c r="AD247" i="5"/>
  <c r="AJ247" i="5" s="1"/>
  <c r="AE246" i="5"/>
  <c r="AK246" i="5" s="1"/>
  <c r="AD246" i="5"/>
  <c r="AJ246" i="5" s="1"/>
  <c r="AE245" i="5"/>
  <c r="AK245" i="5" s="1"/>
  <c r="AD245" i="5"/>
  <c r="AJ245" i="5" s="1"/>
  <c r="AE244" i="5"/>
  <c r="AK244" i="5" s="1"/>
  <c r="AD244" i="5"/>
  <c r="AJ244" i="5" s="1"/>
  <c r="AE243" i="5"/>
  <c r="AK243" i="5" s="1"/>
  <c r="AD243" i="5"/>
  <c r="AJ243" i="5" s="1"/>
  <c r="AE242" i="5"/>
  <c r="AK242" i="5" s="1"/>
  <c r="AD242" i="5"/>
  <c r="AJ242" i="5" s="1"/>
  <c r="AE241" i="5"/>
  <c r="AK241" i="5" s="1"/>
  <c r="AD241" i="5"/>
  <c r="AJ241" i="5" s="1"/>
  <c r="AE240" i="5"/>
  <c r="AK240" i="5" s="1"/>
  <c r="AD240" i="5"/>
  <c r="AJ240" i="5" s="1"/>
  <c r="AE239" i="5"/>
  <c r="AK239" i="5" s="1"/>
  <c r="AD239" i="5"/>
  <c r="AJ239" i="5" s="1"/>
  <c r="AE238" i="5"/>
  <c r="AK238" i="5" s="1"/>
  <c r="AD238" i="5"/>
  <c r="AJ238" i="5" s="1"/>
  <c r="AE237" i="5"/>
  <c r="AK237" i="5" s="1"/>
  <c r="AD237" i="5"/>
  <c r="AJ237" i="5" s="1"/>
  <c r="AE236" i="5"/>
  <c r="AK236" i="5" s="1"/>
  <c r="AD236" i="5"/>
  <c r="AJ236" i="5" s="1"/>
  <c r="AE235" i="5"/>
  <c r="AK235" i="5" s="1"/>
  <c r="AD235" i="5"/>
  <c r="AJ235" i="5" s="1"/>
  <c r="AE234" i="5"/>
  <c r="AK234" i="5" s="1"/>
  <c r="AD234" i="5"/>
  <c r="AJ234" i="5" s="1"/>
  <c r="AE233" i="5"/>
  <c r="AK233" i="5" s="1"/>
  <c r="AD233" i="5"/>
  <c r="AJ233" i="5" s="1"/>
  <c r="AE232" i="5"/>
  <c r="AK232" i="5" s="1"/>
  <c r="AD232" i="5"/>
  <c r="AJ232" i="5" s="1"/>
  <c r="AE231" i="5"/>
  <c r="AK231" i="5" s="1"/>
  <c r="AD231" i="5"/>
  <c r="AJ231" i="5" s="1"/>
  <c r="AE230" i="5"/>
  <c r="AK230" i="5" s="1"/>
  <c r="AD230" i="5"/>
  <c r="AJ230" i="5" s="1"/>
  <c r="AE229" i="5"/>
  <c r="AK229" i="5" s="1"/>
  <c r="AD229" i="5"/>
  <c r="AJ229" i="5" s="1"/>
  <c r="AE228" i="5"/>
  <c r="AK228" i="5" s="1"/>
  <c r="AD228" i="5"/>
  <c r="AJ228" i="5" s="1"/>
  <c r="AE227" i="5"/>
  <c r="AK227" i="5" s="1"/>
  <c r="AD227" i="5"/>
  <c r="AJ227" i="5" s="1"/>
  <c r="AE226" i="5"/>
  <c r="AK226" i="5" s="1"/>
  <c r="AD226" i="5"/>
  <c r="AJ226" i="5" s="1"/>
  <c r="AE225" i="5"/>
  <c r="AK225" i="5" s="1"/>
  <c r="AD225" i="5"/>
  <c r="AJ225" i="5" s="1"/>
  <c r="AE224" i="5"/>
  <c r="AK224" i="5" s="1"/>
  <c r="AD224" i="5"/>
  <c r="AJ224" i="5" s="1"/>
  <c r="AE223" i="5"/>
  <c r="AK223" i="5" s="1"/>
  <c r="AD223" i="5"/>
  <c r="AJ223" i="5" s="1"/>
  <c r="AE222" i="5"/>
  <c r="AK222" i="5" s="1"/>
  <c r="AD222" i="5"/>
  <c r="AJ222" i="5" s="1"/>
  <c r="AE221" i="5"/>
  <c r="AK221" i="5" s="1"/>
  <c r="AD221" i="5"/>
  <c r="AJ221" i="5" s="1"/>
  <c r="AE220" i="5"/>
  <c r="AK220" i="5" s="1"/>
  <c r="AD220" i="5"/>
  <c r="AJ220" i="5" s="1"/>
  <c r="AE219" i="5"/>
  <c r="AK219" i="5" s="1"/>
  <c r="AD219" i="5"/>
  <c r="AJ219" i="5" s="1"/>
  <c r="AE218" i="5"/>
  <c r="AK218" i="5" s="1"/>
  <c r="AD218" i="5"/>
  <c r="AJ218" i="5" s="1"/>
  <c r="AE217" i="5"/>
  <c r="AK217" i="5" s="1"/>
  <c r="AD217" i="5"/>
  <c r="AJ217" i="5" s="1"/>
  <c r="AE216" i="5"/>
  <c r="AK216" i="5" s="1"/>
  <c r="AD216" i="5"/>
  <c r="AJ216" i="5" s="1"/>
  <c r="AE215" i="5"/>
  <c r="AK215" i="5" s="1"/>
  <c r="AD215" i="5"/>
  <c r="AJ215" i="5" s="1"/>
  <c r="AE214" i="5"/>
  <c r="AK214" i="5" s="1"/>
  <c r="AD214" i="5"/>
  <c r="AJ214" i="5" s="1"/>
  <c r="AE213" i="5"/>
  <c r="AK213" i="5" s="1"/>
  <c r="AD213" i="5"/>
  <c r="AJ213" i="5" s="1"/>
  <c r="AE212" i="5"/>
  <c r="AK212" i="5" s="1"/>
  <c r="AD212" i="5"/>
  <c r="AJ212" i="5" s="1"/>
  <c r="AE211" i="5"/>
  <c r="AK211" i="5" s="1"/>
  <c r="AD211" i="5"/>
  <c r="AJ211" i="5" s="1"/>
  <c r="AE210" i="5"/>
  <c r="AK210" i="5" s="1"/>
  <c r="AD210" i="5"/>
  <c r="AJ210" i="5" s="1"/>
  <c r="AE209" i="5"/>
  <c r="AK209" i="5" s="1"/>
  <c r="AD209" i="5"/>
  <c r="AJ209" i="5" s="1"/>
  <c r="AE208" i="5"/>
  <c r="AK208" i="5" s="1"/>
  <c r="AD208" i="5"/>
  <c r="AJ208" i="5" s="1"/>
  <c r="AE207" i="5"/>
  <c r="AK207" i="5" s="1"/>
  <c r="AD207" i="5"/>
  <c r="AJ207" i="5" s="1"/>
  <c r="AE206" i="5"/>
  <c r="AK206" i="5" s="1"/>
  <c r="AD206" i="5"/>
  <c r="AJ206" i="5" s="1"/>
  <c r="AE205" i="5"/>
  <c r="AK205" i="5" s="1"/>
  <c r="AD205" i="5"/>
  <c r="AJ205" i="5" s="1"/>
  <c r="AE204" i="5"/>
  <c r="AK204" i="5" s="1"/>
  <c r="AD204" i="5"/>
  <c r="AJ204" i="5" s="1"/>
  <c r="AE203" i="5"/>
  <c r="AK203" i="5" s="1"/>
  <c r="AD203" i="5"/>
  <c r="AJ203" i="5" s="1"/>
  <c r="AE202" i="5"/>
  <c r="AK202" i="5" s="1"/>
  <c r="AD202" i="5"/>
  <c r="AJ202" i="5" s="1"/>
  <c r="AE201" i="5"/>
  <c r="AK201" i="5" s="1"/>
  <c r="AD201" i="5"/>
  <c r="AJ201" i="5" s="1"/>
  <c r="AE200" i="5"/>
  <c r="AK200" i="5" s="1"/>
  <c r="AD200" i="5"/>
  <c r="AJ200" i="5" s="1"/>
  <c r="AE199" i="5"/>
  <c r="AK199" i="5" s="1"/>
  <c r="AD199" i="5"/>
  <c r="AJ199" i="5" s="1"/>
  <c r="AE198" i="5"/>
  <c r="AK198" i="5" s="1"/>
  <c r="AD198" i="5"/>
  <c r="AJ198" i="5" s="1"/>
  <c r="AE197" i="5"/>
  <c r="AK197" i="5" s="1"/>
  <c r="AD197" i="5"/>
  <c r="AJ197" i="5" s="1"/>
  <c r="AE196" i="5"/>
  <c r="AK196" i="5" s="1"/>
  <c r="AD196" i="5"/>
  <c r="AJ196" i="5" s="1"/>
  <c r="AE195" i="5"/>
  <c r="AK195" i="5" s="1"/>
  <c r="AD195" i="5"/>
  <c r="AJ195" i="5" s="1"/>
  <c r="AE194" i="5"/>
  <c r="AK194" i="5" s="1"/>
  <c r="AD194" i="5"/>
  <c r="AJ194" i="5" s="1"/>
  <c r="AE193" i="5"/>
  <c r="AK193" i="5" s="1"/>
  <c r="AD193" i="5"/>
  <c r="AJ193" i="5" s="1"/>
  <c r="AE192" i="5"/>
  <c r="AK192" i="5" s="1"/>
  <c r="AD192" i="5"/>
  <c r="AJ192" i="5" s="1"/>
  <c r="AE191" i="5"/>
  <c r="AK191" i="5" s="1"/>
  <c r="AD191" i="5"/>
  <c r="AJ191" i="5" s="1"/>
  <c r="AE190" i="5"/>
  <c r="AK190" i="5" s="1"/>
  <c r="AD190" i="5"/>
  <c r="AJ190" i="5" s="1"/>
  <c r="AE189" i="5"/>
  <c r="AK189" i="5" s="1"/>
  <c r="AD189" i="5"/>
  <c r="AJ189" i="5" s="1"/>
  <c r="AE188" i="5"/>
  <c r="AK188" i="5" s="1"/>
  <c r="AD188" i="5"/>
  <c r="AJ188" i="5" s="1"/>
  <c r="AE187" i="5"/>
  <c r="AK187" i="5" s="1"/>
  <c r="AD187" i="5"/>
  <c r="AJ187" i="5" s="1"/>
  <c r="AE186" i="5"/>
  <c r="AK186" i="5" s="1"/>
  <c r="AD186" i="5"/>
  <c r="AJ186" i="5" s="1"/>
  <c r="AE185" i="5"/>
  <c r="AK185" i="5" s="1"/>
  <c r="AD185" i="5"/>
  <c r="AJ185" i="5" s="1"/>
  <c r="AE184" i="5"/>
  <c r="AK184" i="5" s="1"/>
  <c r="AD184" i="5"/>
  <c r="AJ184" i="5" s="1"/>
  <c r="AE183" i="5"/>
  <c r="AK183" i="5" s="1"/>
  <c r="AD183" i="5"/>
  <c r="AJ183" i="5" s="1"/>
  <c r="AE182" i="5"/>
  <c r="AK182" i="5" s="1"/>
  <c r="AD182" i="5"/>
  <c r="AJ182" i="5" s="1"/>
  <c r="AE181" i="5"/>
  <c r="AK181" i="5" s="1"/>
  <c r="AD181" i="5"/>
  <c r="AJ181" i="5" s="1"/>
  <c r="AE180" i="5"/>
  <c r="AK180" i="5" s="1"/>
  <c r="AD180" i="5"/>
  <c r="AJ180" i="5" s="1"/>
  <c r="AE179" i="5"/>
  <c r="AK179" i="5" s="1"/>
  <c r="AD179" i="5"/>
  <c r="AJ179" i="5" s="1"/>
  <c r="AE178" i="5"/>
  <c r="AK178" i="5" s="1"/>
  <c r="AD178" i="5"/>
  <c r="AJ178" i="5" s="1"/>
  <c r="AE177" i="5"/>
  <c r="AK177" i="5" s="1"/>
  <c r="AD177" i="5"/>
  <c r="AJ177" i="5" s="1"/>
  <c r="AE176" i="5"/>
  <c r="AK176" i="5" s="1"/>
  <c r="AD176" i="5"/>
  <c r="AJ176" i="5" s="1"/>
  <c r="AE175" i="5"/>
  <c r="AK175" i="5" s="1"/>
  <c r="AD175" i="5"/>
  <c r="AJ175" i="5" s="1"/>
  <c r="AE174" i="5"/>
  <c r="AK174" i="5" s="1"/>
  <c r="AD174" i="5"/>
  <c r="AJ174" i="5" s="1"/>
  <c r="AE173" i="5"/>
  <c r="AK173" i="5" s="1"/>
  <c r="AD173" i="5"/>
  <c r="AJ173" i="5" s="1"/>
  <c r="AE172" i="5"/>
  <c r="AK172" i="5" s="1"/>
  <c r="AD172" i="5"/>
  <c r="AJ172" i="5" s="1"/>
  <c r="AE171" i="5"/>
  <c r="AK171" i="5" s="1"/>
  <c r="AD171" i="5"/>
  <c r="AJ171" i="5" s="1"/>
  <c r="AE170" i="5"/>
  <c r="AK170" i="5" s="1"/>
  <c r="AD170" i="5"/>
  <c r="AJ170" i="5" s="1"/>
  <c r="AE169" i="5"/>
  <c r="AK169" i="5" s="1"/>
  <c r="AD169" i="5"/>
  <c r="AJ169" i="5" s="1"/>
  <c r="AE168" i="5"/>
  <c r="AK168" i="5" s="1"/>
  <c r="AD168" i="5"/>
  <c r="AJ168" i="5" s="1"/>
  <c r="AE167" i="5"/>
  <c r="AK167" i="5" s="1"/>
  <c r="AD167" i="5"/>
  <c r="AJ167" i="5" s="1"/>
  <c r="AE166" i="5"/>
  <c r="AK166" i="5" s="1"/>
  <c r="AD166" i="5"/>
  <c r="AJ166" i="5" s="1"/>
  <c r="AE165" i="5"/>
  <c r="AK165" i="5" s="1"/>
  <c r="AD165" i="5"/>
  <c r="AJ165" i="5" s="1"/>
  <c r="AE164" i="5"/>
  <c r="AK164" i="5" s="1"/>
  <c r="AD164" i="5"/>
  <c r="AJ164" i="5" s="1"/>
  <c r="AE163" i="5"/>
  <c r="AK163" i="5" s="1"/>
  <c r="AD163" i="5"/>
  <c r="AJ163" i="5" s="1"/>
  <c r="AE162" i="5"/>
  <c r="AK162" i="5" s="1"/>
  <c r="AD162" i="5"/>
  <c r="AJ162" i="5" s="1"/>
  <c r="AE161" i="5"/>
  <c r="AK161" i="5" s="1"/>
  <c r="AD161" i="5"/>
  <c r="AJ161" i="5" s="1"/>
  <c r="AE160" i="5"/>
  <c r="AK160" i="5" s="1"/>
  <c r="AD160" i="5"/>
  <c r="AJ160" i="5" s="1"/>
  <c r="AE159" i="5"/>
  <c r="AK159" i="5" s="1"/>
  <c r="AD159" i="5"/>
  <c r="AJ159" i="5" s="1"/>
  <c r="AE158" i="5"/>
  <c r="AK158" i="5" s="1"/>
  <c r="AD158" i="5"/>
  <c r="AJ158" i="5" s="1"/>
  <c r="AE157" i="5"/>
  <c r="AK157" i="5" s="1"/>
  <c r="AD157" i="5"/>
  <c r="AJ157" i="5" s="1"/>
  <c r="AE156" i="5"/>
  <c r="AK156" i="5" s="1"/>
  <c r="AD156" i="5"/>
  <c r="AJ156" i="5" s="1"/>
  <c r="AE155" i="5"/>
  <c r="AK155" i="5" s="1"/>
  <c r="AD155" i="5"/>
  <c r="AJ155" i="5" s="1"/>
  <c r="AE154" i="5"/>
  <c r="AK154" i="5" s="1"/>
  <c r="AD154" i="5"/>
  <c r="AJ154" i="5" s="1"/>
  <c r="AE153" i="5"/>
  <c r="AK153" i="5" s="1"/>
  <c r="AD153" i="5"/>
  <c r="AJ153" i="5" s="1"/>
  <c r="AE152" i="5"/>
  <c r="AK152" i="5" s="1"/>
  <c r="AD152" i="5"/>
  <c r="AJ152" i="5" s="1"/>
  <c r="AE151" i="5"/>
  <c r="AK151" i="5" s="1"/>
  <c r="AD151" i="5"/>
  <c r="AJ151" i="5" s="1"/>
  <c r="AE150" i="5"/>
  <c r="AK150" i="5" s="1"/>
  <c r="AD150" i="5"/>
  <c r="AJ150" i="5" s="1"/>
  <c r="AE149" i="5"/>
  <c r="AK149" i="5" s="1"/>
  <c r="AD149" i="5"/>
  <c r="AJ149" i="5" s="1"/>
  <c r="AE148" i="5"/>
  <c r="AK148" i="5" s="1"/>
  <c r="AD148" i="5"/>
  <c r="AJ148" i="5" s="1"/>
  <c r="AE147" i="5"/>
  <c r="AK147" i="5" s="1"/>
  <c r="AD147" i="5"/>
  <c r="AJ147" i="5" s="1"/>
  <c r="AE146" i="5"/>
  <c r="AK146" i="5" s="1"/>
  <c r="AD146" i="5"/>
  <c r="AJ146" i="5" s="1"/>
  <c r="AE145" i="5"/>
  <c r="AK145" i="5" s="1"/>
  <c r="AD145" i="5"/>
  <c r="AJ145" i="5" s="1"/>
  <c r="AE144" i="5"/>
  <c r="AK144" i="5" s="1"/>
  <c r="AD144" i="5"/>
  <c r="AJ144" i="5" s="1"/>
  <c r="AE143" i="5"/>
  <c r="AK143" i="5" s="1"/>
  <c r="AD143" i="5"/>
  <c r="AJ143" i="5" s="1"/>
  <c r="AE142" i="5"/>
  <c r="AK142" i="5" s="1"/>
  <c r="AD142" i="5"/>
  <c r="AJ142" i="5" s="1"/>
  <c r="AE141" i="5"/>
  <c r="AK141" i="5" s="1"/>
  <c r="AD141" i="5"/>
  <c r="AJ141" i="5" s="1"/>
  <c r="AE140" i="5"/>
  <c r="AK140" i="5" s="1"/>
  <c r="AD140" i="5"/>
  <c r="AJ140" i="5" s="1"/>
  <c r="AE139" i="5"/>
  <c r="AK139" i="5" s="1"/>
  <c r="AD139" i="5"/>
  <c r="AJ139" i="5" s="1"/>
  <c r="AE138" i="5"/>
  <c r="AK138" i="5" s="1"/>
  <c r="AD138" i="5"/>
  <c r="AJ138" i="5" s="1"/>
  <c r="AE137" i="5"/>
  <c r="AK137" i="5" s="1"/>
  <c r="AD137" i="5"/>
  <c r="AJ137" i="5" s="1"/>
  <c r="AE136" i="5"/>
  <c r="AK136" i="5" s="1"/>
  <c r="AD136" i="5"/>
  <c r="AJ136" i="5" s="1"/>
  <c r="AE135" i="5"/>
  <c r="AK135" i="5" s="1"/>
  <c r="AD135" i="5"/>
  <c r="AJ135" i="5" s="1"/>
  <c r="AE134" i="5"/>
  <c r="AK134" i="5" s="1"/>
  <c r="AD134" i="5"/>
  <c r="AJ134" i="5" s="1"/>
  <c r="AE133" i="5"/>
  <c r="AK133" i="5" s="1"/>
  <c r="AD133" i="5"/>
  <c r="AJ133" i="5" s="1"/>
  <c r="AE132" i="5"/>
  <c r="AK132" i="5" s="1"/>
  <c r="AD132" i="5"/>
  <c r="AJ132" i="5" s="1"/>
  <c r="AE131" i="5"/>
  <c r="AK131" i="5" s="1"/>
  <c r="AD131" i="5"/>
  <c r="AJ131" i="5" s="1"/>
  <c r="AE130" i="5"/>
  <c r="AK130" i="5" s="1"/>
  <c r="AD130" i="5"/>
  <c r="AJ130" i="5" s="1"/>
  <c r="AE129" i="5"/>
  <c r="AK129" i="5" s="1"/>
  <c r="AD129" i="5"/>
  <c r="AJ129" i="5" s="1"/>
  <c r="AE128" i="5"/>
  <c r="AK128" i="5" s="1"/>
  <c r="AD128" i="5"/>
  <c r="AJ128" i="5" s="1"/>
  <c r="AE127" i="5"/>
  <c r="AK127" i="5" s="1"/>
  <c r="AD127" i="5"/>
  <c r="AJ127" i="5" s="1"/>
  <c r="AE126" i="5"/>
  <c r="AK126" i="5" s="1"/>
  <c r="AD126" i="5"/>
  <c r="AJ126" i="5" s="1"/>
  <c r="AE125" i="5"/>
  <c r="AK125" i="5" s="1"/>
  <c r="AD125" i="5"/>
  <c r="AJ125" i="5" s="1"/>
  <c r="AE124" i="5"/>
  <c r="AK124" i="5" s="1"/>
  <c r="AD124" i="5"/>
  <c r="AJ124" i="5" s="1"/>
  <c r="AE123" i="5"/>
  <c r="AK123" i="5" s="1"/>
  <c r="AD123" i="5"/>
  <c r="AJ123" i="5" s="1"/>
  <c r="AE122" i="5"/>
  <c r="AK122" i="5" s="1"/>
  <c r="AD122" i="5"/>
  <c r="AJ122" i="5" s="1"/>
  <c r="AE121" i="5"/>
  <c r="AK121" i="5" s="1"/>
  <c r="AD121" i="5"/>
  <c r="AJ121" i="5" s="1"/>
  <c r="AE120" i="5"/>
  <c r="AK120" i="5" s="1"/>
  <c r="AD120" i="5"/>
  <c r="AJ120" i="5" s="1"/>
  <c r="AE119" i="5"/>
  <c r="AK119" i="5" s="1"/>
  <c r="AD119" i="5"/>
  <c r="AJ119" i="5" s="1"/>
  <c r="AE118" i="5"/>
  <c r="AK118" i="5" s="1"/>
  <c r="AD118" i="5"/>
  <c r="AJ118" i="5" s="1"/>
  <c r="AE117" i="5"/>
  <c r="AK117" i="5" s="1"/>
  <c r="AD117" i="5"/>
  <c r="AJ117" i="5" s="1"/>
  <c r="AE116" i="5"/>
  <c r="AK116" i="5" s="1"/>
  <c r="AD116" i="5"/>
  <c r="AJ116" i="5" s="1"/>
  <c r="AE115" i="5"/>
  <c r="AK115" i="5" s="1"/>
  <c r="AD115" i="5"/>
  <c r="AJ115" i="5" s="1"/>
  <c r="AE114" i="5"/>
  <c r="AK114" i="5" s="1"/>
  <c r="AD114" i="5"/>
  <c r="AJ114" i="5" s="1"/>
  <c r="AE113" i="5"/>
  <c r="AK113" i="5" s="1"/>
  <c r="AD113" i="5"/>
  <c r="AJ113" i="5" s="1"/>
  <c r="AE112" i="5"/>
  <c r="AK112" i="5" s="1"/>
  <c r="AD112" i="5"/>
  <c r="AJ112" i="5" s="1"/>
  <c r="AE111" i="5"/>
  <c r="AK111" i="5" s="1"/>
  <c r="AD111" i="5"/>
  <c r="AJ111" i="5" s="1"/>
  <c r="AE110" i="5"/>
  <c r="AK110" i="5" s="1"/>
  <c r="AD110" i="5"/>
  <c r="AJ110" i="5" s="1"/>
  <c r="AE109" i="5"/>
  <c r="AK109" i="5" s="1"/>
  <c r="AD109" i="5"/>
  <c r="AJ109" i="5" s="1"/>
  <c r="AE108" i="5"/>
  <c r="AK108" i="5" s="1"/>
  <c r="AD108" i="5"/>
  <c r="AJ108" i="5" s="1"/>
  <c r="AE107" i="5"/>
  <c r="AK107" i="5" s="1"/>
  <c r="AD107" i="5"/>
  <c r="AJ107" i="5" s="1"/>
  <c r="AE106" i="5"/>
  <c r="AK106" i="5" s="1"/>
  <c r="AD106" i="5"/>
  <c r="AJ106" i="5" s="1"/>
  <c r="AE105" i="5"/>
  <c r="AK105" i="5" s="1"/>
  <c r="AD105" i="5"/>
  <c r="AJ105" i="5" s="1"/>
  <c r="AE104" i="5"/>
  <c r="AK104" i="5" s="1"/>
  <c r="AD104" i="5"/>
  <c r="AJ104" i="5" s="1"/>
  <c r="AE103" i="5"/>
  <c r="AK103" i="5" s="1"/>
  <c r="AD103" i="5"/>
  <c r="AJ103" i="5" s="1"/>
  <c r="AE102" i="5"/>
  <c r="AK102" i="5" s="1"/>
  <c r="AD102" i="5"/>
  <c r="AJ102" i="5" s="1"/>
  <c r="AE101" i="5"/>
  <c r="AK101" i="5" s="1"/>
  <c r="AD101" i="5"/>
  <c r="AJ101" i="5" s="1"/>
  <c r="AE100" i="5"/>
  <c r="AK100" i="5" s="1"/>
  <c r="AD100" i="5"/>
  <c r="AJ100" i="5" s="1"/>
  <c r="AE99" i="5"/>
  <c r="AK99" i="5" s="1"/>
  <c r="AD99" i="5"/>
  <c r="AJ99" i="5" s="1"/>
  <c r="AE98" i="5"/>
  <c r="AK98" i="5" s="1"/>
  <c r="AD98" i="5"/>
  <c r="AJ98" i="5" s="1"/>
  <c r="AE97" i="5"/>
  <c r="AK97" i="5" s="1"/>
  <c r="AD97" i="5"/>
  <c r="AJ97" i="5" s="1"/>
  <c r="AE96" i="5"/>
  <c r="AK96" i="5" s="1"/>
  <c r="AD96" i="5"/>
  <c r="AJ96" i="5" s="1"/>
  <c r="AE95" i="5"/>
  <c r="AK95" i="5" s="1"/>
  <c r="AD95" i="5"/>
  <c r="AJ95" i="5" s="1"/>
  <c r="AE94" i="5"/>
  <c r="AK94" i="5" s="1"/>
  <c r="AD94" i="5"/>
  <c r="AJ94" i="5" s="1"/>
  <c r="AE93" i="5"/>
  <c r="AK93" i="5" s="1"/>
  <c r="AD93" i="5"/>
  <c r="AJ93" i="5" s="1"/>
  <c r="AE92" i="5"/>
  <c r="AK92" i="5" s="1"/>
  <c r="AD92" i="5"/>
  <c r="AJ92" i="5" s="1"/>
  <c r="AE91" i="5"/>
  <c r="AK91" i="5" s="1"/>
  <c r="AD91" i="5"/>
  <c r="AJ91" i="5" s="1"/>
  <c r="AE90" i="5"/>
  <c r="AK90" i="5" s="1"/>
  <c r="AD90" i="5"/>
  <c r="AJ90" i="5" s="1"/>
  <c r="AE89" i="5"/>
  <c r="AK89" i="5" s="1"/>
  <c r="AD89" i="5"/>
  <c r="AJ89" i="5" s="1"/>
  <c r="AE88" i="5"/>
  <c r="AK88" i="5" s="1"/>
  <c r="AD88" i="5"/>
  <c r="AJ88" i="5" s="1"/>
  <c r="AE87" i="5"/>
  <c r="AK87" i="5" s="1"/>
  <c r="AD87" i="5"/>
  <c r="AJ87" i="5" s="1"/>
  <c r="AE86" i="5"/>
  <c r="AK86" i="5" s="1"/>
  <c r="AD86" i="5"/>
  <c r="AJ86" i="5" s="1"/>
  <c r="AE85" i="5"/>
  <c r="AK85" i="5" s="1"/>
  <c r="AD85" i="5"/>
  <c r="AJ85" i="5" s="1"/>
  <c r="AE84" i="5"/>
  <c r="AK84" i="5" s="1"/>
  <c r="AD84" i="5"/>
  <c r="AJ84" i="5" s="1"/>
  <c r="AE83" i="5"/>
  <c r="AK83" i="5" s="1"/>
  <c r="AD83" i="5"/>
  <c r="AJ83" i="5" s="1"/>
  <c r="AE82" i="5"/>
  <c r="AK82" i="5" s="1"/>
  <c r="AD82" i="5"/>
  <c r="AJ82" i="5" s="1"/>
  <c r="AE81" i="5"/>
  <c r="AK81" i="5" s="1"/>
  <c r="AD81" i="5"/>
  <c r="AJ81" i="5" s="1"/>
  <c r="AE80" i="5"/>
  <c r="AK80" i="5" s="1"/>
  <c r="AD80" i="5"/>
  <c r="AJ80" i="5" s="1"/>
  <c r="AE79" i="5"/>
  <c r="AK79" i="5" s="1"/>
  <c r="AD79" i="5"/>
  <c r="AJ79" i="5" s="1"/>
  <c r="AE78" i="5"/>
  <c r="AK78" i="5" s="1"/>
  <c r="AD78" i="5"/>
  <c r="AJ78" i="5" s="1"/>
  <c r="AE77" i="5"/>
  <c r="AK77" i="5" s="1"/>
  <c r="AD77" i="5"/>
  <c r="AJ77" i="5" s="1"/>
  <c r="AE76" i="5"/>
  <c r="AK76" i="5" s="1"/>
  <c r="AD76" i="5"/>
  <c r="AJ76" i="5" s="1"/>
  <c r="AE75" i="5"/>
  <c r="AK75" i="5" s="1"/>
  <c r="AD75" i="5"/>
  <c r="AJ75" i="5" s="1"/>
  <c r="AE74" i="5"/>
  <c r="AK74" i="5" s="1"/>
  <c r="AD74" i="5"/>
  <c r="AJ74" i="5" s="1"/>
  <c r="AE73" i="5"/>
  <c r="AK73" i="5" s="1"/>
  <c r="AD73" i="5"/>
  <c r="AJ73" i="5" s="1"/>
  <c r="AE72" i="5"/>
  <c r="AK72" i="5" s="1"/>
  <c r="AD72" i="5"/>
  <c r="AJ72" i="5" s="1"/>
  <c r="AE71" i="5"/>
  <c r="AK71" i="5" s="1"/>
  <c r="AD71" i="5"/>
  <c r="AJ71" i="5" s="1"/>
  <c r="AE70" i="5"/>
  <c r="AK70" i="5" s="1"/>
  <c r="AD70" i="5"/>
  <c r="AJ70" i="5" s="1"/>
  <c r="AE69" i="5"/>
  <c r="AK69" i="5" s="1"/>
  <c r="AD69" i="5"/>
  <c r="AJ69" i="5" s="1"/>
  <c r="AE68" i="5"/>
  <c r="AK68" i="5" s="1"/>
  <c r="AD68" i="5"/>
  <c r="AJ68" i="5" s="1"/>
  <c r="AE67" i="5"/>
  <c r="AK67" i="5" s="1"/>
  <c r="AD67" i="5"/>
  <c r="AJ67" i="5" s="1"/>
  <c r="AE66" i="5"/>
  <c r="AK66" i="5" s="1"/>
  <c r="AD66" i="5"/>
  <c r="AJ66" i="5" s="1"/>
  <c r="AE65" i="5"/>
  <c r="AK65" i="5" s="1"/>
  <c r="AD65" i="5"/>
  <c r="AJ65" i="5" s="1"/>
  <c r="AE64" i="5"/>
  <c r="AK64" i="5" s="1"/>
  <c r="AD64" i="5"/>
  <c r="AJ64" i="5" s="1"/>
  <c r="AE63" i="5"/>
  <c r="AK63" i="5" s="1"/>
  <c r="AD63" i="5"/>
  <c r="AJ63" i="5" s="1"/>
  <c r="AE62" i="5"/>
  <c r="AK62" i="5" s="1"/>
  <c r="AD62" i="5"/>
  <c r="AJ62" i="5" s="1"/>
  <c r="AE61" i="5"/>
  <c r="AK61" i="5" s="1"/>
  <c r="AD61" i="5"/>
  <c r="AJ61" i="5" s="1"/>
  <c r="AE60" i="5"/>
  <c r="AK60" i="5" s="1"/>
  <c r="AD60" i="5"/>
  <c r="AJ60" i="5" s="1"/>
  <c r="AE59" i="5"/>
  <c r="AK59" i="5" s="1"/>
  <c r="AD59" i="5"/>
  <c r="AJ59" i="5" s="1"/>
  <c r="AE58" i="5"/>
  <c r="AK58" i="5" s="1"/>
  <c r="AD58" i="5"/>
  <c r="AJ58" i="5" s="1"/>
  <c r="AE57" i="5"/>
  <c r="AK57" i="5" s="1"/>
  <c r="AD57" i="5"/>
  <c r="AJ57" i="5" s="1"/>
  <c r="AE56" i="5"/>
  <c r="AK56" i="5" s="1"/>
  <c r="AD56" i="5"/>
  <c r="AJ56" i="5" s="1"/>
  <c r="AE55" i="5"/>
  <c r="AK55" i="5" s="1"/>
  <c r="AD55" i="5"/>
  <c r="AJ55" i="5" s="1"/>
  <c r="AE54" i="5"/>
  <c r="AK54" i="5" s="1"/>
  <c r="AD54" i="5"/>
  <c r="AJ54" i="5" s="1"/>
  <c r="AE53" i="5"/>
  <c r="AK53" i="5" s="1"/>
  <c r="AD53" i="5"/>
  <c r="AJ53" i="5" s="1"/>
  <c r="AE52" i="5"/>
  <c r="AK52" i="5" s="1"/>
  <c r="AD52" i="5"/>
  <c r="AJ52" i="5" s="1"/>
  <c r="AE51" i="5"/>
  <c r="AK51" i="5" s="1"/>
  <c r="AD51" i="5"/>
  <c r="AJ51" i="5" s="1"/>
  <c r="AE50" i="5"/>
  <c r="AK50" i="5" s="1"/>
  <c r="AD50" i="5"/>
  <c r="AJ50" i="5" s="1"/>
  <c r="AE49" i="5"/>
  <c r="AK49" i="5" s="1"/>
  <c r="AD49" i="5"/>
  <c r="AJ49" i="5" s="1"/>
  <c r="AE48" i="5"/>
  <c r="AK48" i="5" s="1"/>
  <c r="AD48" i="5"/>
  <c r="AJ48" i="5" s="1"/>
  <c r="AE47" i="5"/>
  <c r="AK47" i="5" s="1"/>
  <c r="AD47" i="5"/>
  <c r="AJ47" i="5" s="1"/>
  <c r="AE46" i="5"/>
  <c r="AK46" i="5" s="1"/>
  <c r="AD46" i="5"/>
  <c r="AJ46" i="5" s="1"/>
  <c r="AE45" i="5"/>
  <c r="AK45" i="5" s="1"/>
  <c r="AD45" i="5"/>
  <c r="AJ45" i="5" s="1"/>
  <c r="AE44" i="5"/>
  <c r="AK44" i="5" s="1"/>
  <c r="AD44" i="5"/>
  <c r="AJ44" i="5" s="1"/>
  <c r="AE43" i="5"/>
  <c r="AK43" i="5" s="1"/>
  <c r="AD43" i="5"/>
  <c r="AJ43" i="5" s="1"/>
  <c r="AE42" i="5"/>
  <c r="AK42" i="5" s="1"/>
  <c r="AD42" i="5"/>
  <c r="AJ42" i="5" s="1"/>
  <c r="AE41" i="5"/>
  <c r="AK41" i="5" s="1"/>
  <c r="AD41" i="5"/>
  <c r="AJ41" i="5" s="1"/>
  <c r="AE40" i="5"/>
  <c r="AK40" i="5" s="1"/>
  <c r="AD40" i="5"/>
  <c r="AJ40" i="5" s="1"/>
  <c r="AE39" i="5"/>
  <c r="AK39" i="5" s="1"/>
  <c r="AD39" i="5"/>
  <c r="AJ39" i="5" s="1"/>
  <c r="AE38" i="5"/>
  <c r="AK38" i="5" s="1"/>
  <c r="AD38" i="5"/>
  <c r="AJ38" i="5" s="1"/>
  <c r="AE37" i="5"/>
  <c r="AK37" i="5" s="1"/>
  <c r="AD37" i="5"/>
  <c r="AJ37" i="5" s="1"/>
  <c r="AE36" i="5"/>
  <c r="AK36" i="5" s="1"/>
  <c r="AD36" i="5"/>
  <c r="AJ36" i="5" s="1"/>
  <c r="AE35" i="5"/>
  <c r="AK35" i="5" s="1"/>
  <c r="AD35" i="5"/>
  <c r="AJ35" i="5" s="1"/>
  <c r="AE34" i="5"/>
  <c r="AK34" i="5" s="1"/>
  <c r="AD34" i="5"/>
  <c r="AJ34" i="5" s="1"/>
  <c r="B2" i="5"/>
  <c r="AE350" i="4"/>
  <c r="AK350" i="4" s="1"/>
  <c r="AD350" i="4"/>
  <c r="AJ350" i="4" s="1"/>
  <c r="AE349" i="4"/>
  <c r="AK349" i="4" s="1"/>
  <c r="AD349" i="4"/>
  <c r="AJ349" i="4" s="1"/>
  <c r="AE348" i="4"/>
  <c r="AK348" i="4" s="1"/>
  <c r="AD348" i="4"/>
  <c r="AJ348" i="4" s="1"/>
  <c r="AE347" i="4"/>
  <c r="AK347" i="4" s="1"/>
  <c r="AD347" i="4"/>
  <c r="AJ347" i="4" s="1"/>
  <c r="AE346" i="4"/>
  <c r="AK346" i="4" s="1"/>
  <c r="AD346" i="4"/>
  <c r="AJ346" i="4" s="1"/>
  <c r="AE345" i="4"/>
  <c r="AK345" i="4" s="1"/>
  <c r="AD345" i="4"/>
  <c r="AJ345" i="4" s="1"/>
  <c r="AE344" i="4"/>
  <c r="AK344" i="4" s="1"/>
  <c r="AD344" i="4"/>
  <c r="AJ344" i="4" s="1"/>
  <c r="AE343" i="4"/>
  <c r="AK343" i="4" s="1"/>
  <c r="AD343" i="4"/>
  <c r="AJ343" i="4" s="1"/>
  <c r="AE342" i="4"/>
  <c r="AK342" i="4" s="1"/>
  <c r="AD342" i="4"/>
  <c r="AJ342" i="4" s="1"/>
  <c r="AE341" i="4"/>
  <c r="AK341" i="4" s="1"/>
  <c r="AD341" i="4"/>
  <c r="AJ341" i="4" s="1"/>
  <c r="AE340" i="4"/>
  <c r="AK340" i="4" s="1"/>
  <c r="AD340" i="4"/>
  <c r="AJ340" i="4" s="1"/>
  <c r="AE339" i="4"/>
  <c r="AK339" i="4" s="1"/>
  <c r="AD339" i="4"/>
  <c r="AJ339" i="4" s="1"/>
  <c r="AE338" i="4"/>
  <c r="AK338" i="4" s="1"/>
  <c r="AD338" i="4"/>
  <c r="AJ338" i="4" s="1"/>
  <c r="AE337" i="4"/>
  <c r="AK337" i="4" s="1"/>
  <c r="AD337" i="4"/>
  <c r="AJ337" i="4" s="1"/>
  <c r="AE336" i="4"/>
  <c r="AK336" i="4" s="1"/>
  <c r="AD336" i="4"/>
  <c r="AJ336" i="4" s="1"/>
  <c r="AE335" i="4"/>
  <c r="AK335" i="4" s="1"/>
  <c r="AD335" i="4"/>
  <c r="AJ335" i="4" s="1"/>
  <c r="AE334" i="4"/>
  <c r="AK334" i="4" s="1"/>
  <c r="AD334" i="4"/>
  <c r="AJ334" i="4" s="1"/>
  <c r="AE333" i="4"/>
  <c r="AK333" i="4" s="1"/>
  <c r="AD333" i="4"/>
  <c r="AJ333" i="4" s="1"/>
  <c r="AE332" i="4"/>
  <c r="AK332" i="4" s="1"/>
  <c r="AD332" i="4"/>
  <c r="AJ332" i="4" s="1"/>
  <c r="AE331" i="4"/>
  <c r="AK331" i="4" s="1"/>
  <c r="AD331" i="4"/>
  <c r="AJ331" i="4" s="1"/>
  <c r="AE330" i="4"/>
  <c r="AK330" i="4" s="1"/>
  <c r="AD330" i="4"/>
  <c r="AJ330" i="4" s="1"/>
  <c r="AE329" i="4"/>
  <c r="AK329" i="4" s="1"/>
  <c r="AD329" i="4"/>
  <c r="AJ329" i="4" s="1"/>
  <c r="AE328" i="4"/>
  <c r="AK328" i="4" s="1"/>
  <c r="AD328" i="4"/>
  <c r="AJ328" i="4" s="1"/>
  <c r="AE327" i="4"/>
  <c r="AK327" i="4" s="1"/>
  <c r="AD327" i="4"/>
  <c r="AJ327" i="4" s="1"/>
  <c r="AE326" i="4"/>
  <c r="AK326" i="4" s="1"/>
  <c r="AD326" i="4"/>
  <c r="AJ326" i="4" s="1"/>
  <c r="AE325" i="4"/>
  <c r="AK325" i="4" s="1"/>
  <c r="AD325" i="4"/>
  <c r="AJ325" i="4" s="1"/>
  <c r="AE324" i="4"/>
  <c r="AK324" i="4" s="1"/>
  <c r="AD324" i="4"/>
  <c r="AJ324" i="4" s="1"/>
  <c r="AE323" i="4"/>
  <c r="AK323" i="4" s="1"/>
  <c r="AD323" i="4"/>
  <c r="AJ323" i="4" s="1"/>
  <c r="AE322" i="4"/>
  <c r="AK322" i="4" s="1"/>
  <c r="AD322" i="4"/>
  <c r="AJ322" i="4" s="1"/>
  <c r="AE321" i="4"/>
  <c r="AK321" i="4" s="1"/>
  <c r="AD321" i="4"/>
  <c r="AJ321" i="4" s="1"/>
  <c r="AE320" i="4"/>
  <c r="AK320" i="4" s="1"/>
  <c r="AD320" i="4"/>
  <c r="AJ320" i="4" s="1"/>
  <c r="AE319" i="4"/>
  <c r="AK319" i="4" s="1"/>
  <c r="AD319" i="4"/>
  <c r="AJ319" i="4" s="1"/>
  <c r="AE318" i="4"/>
  <c r="AK318" i="4" s="1"/>
  <c r="AD318" i="4"/>
  <c r="AJ318" i="4" s="1"/>
  <c r="AE317" i="4"/>
  <c r="AK317" i="4" s="1"/>
  <c r="AD317" i="4"/>
  <c r="AJ317" i="4" s="1"/>
  <c r="AE316" i="4"/>
  <c r="AK316" i="4" s="1"/>
  <c r="AD316" i="4"/>
  <c r="AJ316" i="4" s="1"/>
  <c r="AE315" i="4"/>
  <c r="AK315" i="4" s="1"/>
  <c r="AD315" i="4"/>
  <c r="AJ315" i="4" s="1"/>
  <c r="AE314" i="4"/>
  <c r="AK314" i="4" s="1"/>
  <c r="AD314" i="4"/>
  <c r="AJ314" i="4" s="1"/>
  <c r="AE313" i="4"/>
  <c r="AK313" i="4" s="1"/>
  <c r="AD313" i="4"/>
  <c r="AJ313" i="4" s="1"/>
  <c r="AE312" i="4"/>
  <c r="AK312" i="4" s="1"/>
  <c r="AD312" i="4"/>
  <c r="AJ312" i="4" s="1"/>
  <c r="AE311" i="4"/>
  <c r="AK311" i="4" s="1"/>
  <c r="AD311" i="4"/>
  <c r="AJ311" i="4" s="1"/>
  <c r="AE310" i="4"/>
  <c r="AK310" i="4" s="1"/>
  <c r="AD310" i="4"/>
  <c r="AJ310" i="4" s="1"/>
  <c r="AE309" i="4"/>
  <c r="AK309" i="4" s="1"/>
  <c r="AD309" i="4"/>
  <c r="AJ309" i="4" s="1"/>
  <c r="AE308" i="4"/>
  <c r="AK308" i="4" s="1"/>
  <c r="AD308" i="4"/>
  <c r="AJ308" i="4" s="1"/>
  <c r="AE307" i="4"/>
  <c r="AK307" i="4" s="1"/>
  <c r="AD307" i="4"/>
  <c r="AJ307" i="4" s="1"/>
  <c r="AE306" i="4"/>
  <c r="AK306" i="4" s="1"/>
  <c r="AD306" i="4"/>
  <c r="AJ306" i="4" s="1"/>
  <c r="AE305" i="4"/>
  <c r="AK305" i="4" s="1"/>
  <c r="AD305" i="4"/>
  <c r="AJ305" i="4" s="1"/>
  <c r="AE304" i="4"/>
  <c r="AK304" i="4" s="1"/>
  <c r="AD304" i="4"/>
  <c r="AJ304" i="4" s="1"/>
  <c r="AE303" i="4"/>
  <c r="AK303" i="4" s="1"/>
  <c r="AD303" i="4"/>
  <c r="AJ303" i="4" s="1"/>
  <c r="AE302" i="4"/>
  <c r="AK302" i="4" s="1"/>
  <c r="AD302" i="4"/>
  <c r="AJ302" i="4" s="1"/>
  <c r="AE301" i="4"/>
  <c r="AK301" i="4" s="1"/>
  <c r="AD301" i="4"/>
  <c r="AJ301" i="4" s="1"/>
  <c r="AE300" i="4"/>
  <c r="AK300" i="4" s="1"/>
  <c r="AD300" i="4"/>
  <c r="AJ300" i="4" s="1"/>
  <c r="AE299" i="4"/>
  <c r="AK299" i="4" s="1"/>
  <c r="AD299" i="4"/>
  <c r="AJ299" i="4" s="1"/>
  <c r="AE298" i="4"/>
  <c r="AK298" i="4" s="1"/>
  <c r="AD298" i="4"/>
  <c r="AJ298" i="4" s="1"/>
  <c r="AE297" i="4"/>
  <c r="AK297" i="4" s="1"/>
  <c r="AD297" i="4"/>
  <c r="AJ297" i="4" s="1"/>
  <c r="AE296" i="4"/>
  <c r="AK296" i="4" s="1"/>
  <c r="AD296" i="4"/>
  <c r="AJ296" i="4" s="1"/>
  <c r="AE295" i="4"/>
  <c r="AK295" i="4" s="1"/>
  <c r="AD295" i="4"/>
  <c r="AJ295" i="4" s="1"/>
  <c r="AE294" i="4"/>
  <c r="AK294" i="4" s="1"/>
  <c r="AD294" i="4"/>
  <c r="AJ294" i="4" s="1"/>
  <c r="AE293" i="4"/>
  <c r="AK293" i="4" s="1"/>
  <c r="AD293" i="4"/>
  <c r="AJ293" i="4" s="1"/>
  <c r="AE292" i="4"/>
  <c r="AK292" i="4" s="1"/>
  <c r="AD292" i="4"/>
  <c r="AJ292" i="4" s="1"/>
  <c r="AE291" i="4"/>
  <c r="AK291" i="4" s="1"/>
  <c r="AD291" i="4"/>
  <c r="AJ291" i="4" s="1"/>
  <c r="AE290" i="4"/>
  <c r="AK290" i="4" s="1"/>
  <c r="AD290" i="4"/>
  <c r="AJ290" i="4" s="1"/>
  <c r="AE289" i="4"/>
  <c r="AK289" i="4" s="1"/>
  <c r="AD289" i="4"/>
  <c r="AJ289" i="4" s="1"/>
  <c r="AE288" i="4"/>
  <c r="AK288" i="4" s="1"/>
  <c r="AD288" i="4"/>
  <c r="AJ288" i="4" s="1"/>
  <c r="AE287" i="4"/>
  <c r="AK287" i="4" s="1"/>
  <c r="AD287" i="4"/>
  <c r="AJ287" i="4" s="1"/>
  <c r="AE286" i="4"/>
  <c r="AK286" i="4" s="1"/>
  <c r="AD286" i="4"/>
  <c r="AJ286" i="4" s="1"/>
  <c r="AE285" i="4"/>
  <c r="AK285" i="4" s="1"/>
  <c r="AD285" i="4"/>
  <c r="AJ285" i="4" s="1"/>
  <c r="AE284" i="4"/>
  <c r="AK284" i="4" s="1"/>
  <c r="AD284" i="4"/>
  <c r="AJ284" i="4" s="1"/>
  <c r="AE283" i="4"/>
  <c r="AK283" i="4" s="1"/>
  <c r="AD283" i="4"/>
  <c r="AJ283" i="4" s="1"/>
  <c r="AE282" i="4"/>
  <c r="AK282" i="4" s="1"/>
  <c r="AD282" i="4"/>
  <c r="AJ282" i="4" s="1"/>
  <c r="AE281" i="4"/>
  <c r="AK281" i="4" s="1"/>
  <c r="AD281" i="4"/>
  <c r="AJ281" i="4" s="1"/>
  <c r="AE280" i="4"/>
  <c r="AK280" i="4" s="1"/>
  <c r="AD280" i="4"/>
  <c r="AJ280" i="4" s="1"/>
  <c r="AE279" i="4"/>
  <c r="AK279" i="4" s="1"/>
  <c r="AD279" i="4"/>
  <c r="AJ279" i="4" s="1"/>
  <c r="AE278" i="4"/>
  <c r="AK278" i="4" s="1"/>
  <c r="AD278" i="4"/>
  <c r="AJ278" i="4" s="1"/>
  <c r="AE277" i="4"/>
  <c r="AK277" i="4" s="1"/>
  <c r="AD277" i="4"/>
  <c r="AJ277" i="4" s="1"/>
  <c r="AE276" i="4"/>
  <c r="AK276" i="4" s="1"/>
  <c r="AD276" i="4"/>
  <c r="AJ276" i="4" s="1"/>
  <c r="AE275" i="4"/>
  <c r="AK275" i="4" s="1"/>
  <c r="AD275" i="4"/>
  <c r="AJ275" i="4" s="1"/>
  <c r="AE274" i="4"/>
  <c r="AK274" i="4" s="1"/>
  <c r="AD274" i="4"/>
  <c r="AJ274" i="4" s="1"/>
  <c r="AE273" i="4"/>
  <c r="AK273" i="4" s="1"/>
  <c r="AD273" i="4"/>
  <c r="AJ273" i="4" s="1"/>
  <c r="AE272" i="4"/>
  <c r="AK272" i="4" s="1"/>
  <c r="AD272" i="4"/>
  <c r="AJ272" i="4" s="1"/>
  <c r="AE271" i="4"/>
  <c r="AK271" i="4" s="1"/>
  <c r="AD271" i="4"/>
  <c r="AJ271" i="4" s="1"/>
  <c r="AE270" i="4"/>
  <c r="AK270" i="4" s="1"/>
  <c r="AD270" i="4"/>
  <c r="AJ270" i="4" s="1"/>
  <c r="AE269" i="4"/>
  <c r="AK269" i="4" s="1"/>
  <c r="AD269" i="4"/>
  <c r="AJ269" i="4" s="1"/>
  <c r="AE268" i="4"/>
  <c r="AK268" i="4" s="1"/>
  <c r="AD268" i="4"/>
  <c r="AJ268" i="4" s="1"/>
  <c r="AE267" i="4"/>
  <c r="AK267" i="4" s="1"/>
  <c r="AD267" i="4"/>
  <c r="AJ267" i="4" s="1"/>
  <c r="AE266" i="4"/>
  <c r="AK266" i="4" s="1"/>
  <c r="AD266" i="4"/>
  <c r="AJ266" i="4" s="1"/>
  <c r="AE265" i="4"/>
  <c r="AK265" i="4" s="1"/>
  <c r="AD265" i="4"/>
  <c r="AJ265" i="4" s="1"/>
  <c r="AE264" i="4"/>
  <c r="AK264" i="4" s="1"/>
  <c r="AD264" i="4"/>
  <c r="AJ264" i="4" s="1"/>
  <c r="AE263" i="4"/>
  <c r="AK263" i="4" s="1"/>
  <c r="AD263" i="4"/>
  <c r="AJ263" i="4" s="1"/>
  <c r="AE262" i="4"/>
  <c r="AK262" i="4" s="1"/>
  <c r="AD262" i="4"/>
  <c r="AJ262" i="4" s="1"/>
  <c r="AE261" i="4"/>
  <c r="AK261" i="4" s="1"/>
  <c r="AD261" i="4"/>
  <c r="AJ261" i="4" s="1"/>
  <c r="AE260" i="4"/>
  <c r="AK260" i="4" s="1"/>
  <c r="AD260" i="4"/>
  <c r="AJ260" i="4" s="1"/>
  <c r="AE259" i="4"/>
  <c r="AK259" i="4" s="1"/>
  <c r="AD259" i="4"/>
  <c r="AJ259" i="4" s="1"/>
  <c r="AE258" i="4"/>
  <c r="AK258" i="4" s="1"/>
  <c r="AD258" i="4"/>
  <c r="AJ258" i="4" s="1"/>
  <c r="AE257" i="4"/>
  <c r="AK257" i="4" s="1"/>
  <c r="AD257" i="4"/>
  <c r="AJ257" i="4" s="1"/>
  <c r="AE256" i="4"/>
  <c r="AK256" i="4" s="1"/>
  <c r="AD256" i="4"/>
  <c r="AJ256" i="4" s="1"/>
  <c r="AE255" i="4"/>
  <c r="AK255" i="4" s="1"/>
  <c r="AD255" i="4"/>
  <c r="AJ255" i="4" s="1"/>
  <c r="AE254" i="4"/>
  <c r="AK254" i="4" s="1"/>
  <c r="AD254" i="4"/>
  <c r="AJ254" i="4" s="1"/>
  <c r="AE253" i="4"/>
  <c r="AK253" i="4" s="1"/>
  <c r="AD253" i="4"/>
  <c r="AJ253" i="4" s="1"/>
  <c r="AE252" i="4"/>
  <c r="AK252" i="4" s="1"/>
  <c r="AD252" i="4"/>
  <c r="AJ252" i="4" s="1"/>
  <c r="AE251" i="4"/>
  <c r="AK251" i="4" s="1"/>
  <c r="AD251" i="4"/>
  <c r="AJ251" i="4" s="1"/>
  <c r="AE250" i="4"/>
  <c r="AK250" i="4" s="1"/>
  <c r="AD250" i="4"/>
  <c r="AJ250" i="4" s="1"/>
  <c r="AE249" i="4"/>
  <c r="AK249" i="4" s="1"/>
  <c r="AD249" i="4"/>
  <c r="AJ249" i="4" s="1"/>
  <c r="AE248" i="4"/>
  <c r="AK248" i="4" s="1"/>
  <c r="AD248" i="4"/>
  <c r="AJ248" i="4" s="1"/>
  <c r="AE247" i="4"/>
  <c r="AK247" i="4" s="1"/>
  <c r="AD247" i="4"/>
  <c r="AJ247" i="4" s="1"/>
  <c r="AE246" i="4"/>
  <c r="AK246" i="4" s="1"/>
  <c r="AD246" i="4"/>
  <c r="AJ246" i="4" s="1"/>
  <c r="AE245" i="4"/>
  <c r="AK245" i="4" s="1"/>
  <c r="AD245" i="4"/>
  <c r="AJ245" i="4" s="1"/>
  <c r="AE244" i="4"/>
  <c r="AK244" i="4" s="1"/>
  <c r="AD244" i="4"/>
  <c r="AJ244" i="4" s="1"/>
  <c r="AE243" i="4"/>
  <c r="AK243" i="4" s="1"/>
  <c r="AD243" i="4"/>
  <c r="AJ243" i="4" s="1"/>
  <c r="AE242" i="4"/>
  <c r="AK242" i="4" s="1"/>
  <c r="AD242" i="4"/>
  <c r="AJ242" i="4" s="1"/>
  <c r="AE241" i="4"/>
  <c r="AK241" i="4" s="1"/>
  <c r="AD241" i="4"/>
  <c r="AJ241" i="4" s="1"/>
  <c r="AE240" i="4"/>
  <c r="AK240" i="4" s="1"/>
  <c r="AD240" i="4"/>
  <c r="AJ240" i="4" s="1"/>
  <c r="AE239" i="4"/>
  <c r="AK239" i="4" s="1"/>
  <c r="AD239" i="4"/>
  <c r="AJ239" i="4" s="1"/>
  <c r="AE238" i="4"/>
  <c r="AK238" i="4" s="1"/>
  <c r="AD238" i="4"/>
  <c r="AJ238" i="4" s="1"/>
  <c r="AE237" i="4"/>
  <c r="AK237" i="4" s="1"/>
  <c r="AD237" i="4"/>
  <c r="AJ237" i="4" s="1"/>
  <c r="AE236" i="4"/>
  <c r="AK236" i="4" s="1"/>
  <c r="AD236" i="4"/>
  <c r="AJ236" i="4" s="1"/>
  <c r="AE235" i="4"/>
  <c r="AK235" i="4" s="1"/>
  <c r="AD235" i="4"/>
  <c r="AJ235" i="4" s="1"/>
  <c r="AE234" i="4"/>
  <c r="AK234" i="4" s="1"/>
  <c r="AD234" i="4"/>
  <c r="AJ234" i="4" s="1"/>
  <c r="AE233" i="4"/>
  <c r="AK233" i="4" s="1"/>
  <c r="AD233" i="4"/>
  <c r="AJ233" i="4" s="1"/>
  <c r="AE232" i="4"/>
  <c r="AK232" i="4" s="1"/>
  <c r="AD232" i="4"/>
  <c r="AJ232" i="4" s="1"/>
  <c r="AE231" i="4"/>
  <c r="AK231" i="4" s="1"/>
  <c r="AD231" i="4"/>
  <c r="AJ231" i="4" s="1"/>
  <c r="AE230" i="4"/>
  <c r="AK230" i="4" s="1"/>
  <c r="AD230" i="4"/>
  <c r="AJ230" i="4" s="1"/>
  <c r="AE229" i="4"/>
  <c r="AK229" i="4" s="1"/>
  <c r="AD229" i="4"/>
  <c r="AJ229" i="4" s="1"/>
  <c r="AE228" i="4"/>
  <c r="AK228" i="4" s="1"/>
  <c r="AD228" i="4"/>
  <c r="AJ228" i="4" s="1"/>
  <c r="AE227" i="4"/>
  <c r="AK227" i="4" s="1"/>
  <c r="AD227" i="4"/>
  <c r="AJ227" i="4" s="1"/>
  <c r="AE226" i="4"/>
  <c r="AK226" i="4" s="1"/>
  <c r="AD226" i="4"/>
  <c r="AJ226" i="4" s="1"/>
  <c r="AE225" i="4"/>
  <c r="AK225" i="4" s="1"/>
  <c r="AD225" i="4"/>
  <c r="AJ225" i="4" s="1"/>
  <c r="AE224" i="4"/>
  <c r="AK224" i="4" s="1"/>
  <c r="AD224" i="4"/>
  <c r="AJ224" i="4" s="1"/>
  <c r="AE223" i="4"/>
  <c r="AK223" i="4" s="1"/>
  <c r="AD223" i="4"/>
  <c r="AJ223" i="4" s="1"/>
  <c r="AE222" i="4"/>
  <c r="AK222" i="4" s="1"/>
  <c r="AD222" i="4"/>
  <c r="AJ222" i="4" s="1"/>
  <c r="AE221" i="4"/>
  <c r="AK221" i="4" s="1"/>
  <c r="AD221" i="4"/>
  <c r="AJ221" i="4" s="1"/>
  <c r="AE220" i="4"/>
  <c r="AK220" i="4" s="1"/>
  <c r="AD220" i="4"/>
  <c r="AJ220" i="4" s="1"/>
  <c r="AE219" i="4"/>
  <c r="AK219" i="4" s="1"/>
  <c r="AD219" i="4"/>
  <c r="AJ219" i="4" s="1"/>
  <c r="AE218" i="4"/>
  <c r="AK218" i="4" s="1"/>
  <c r="AD218" i="4"/>
  <c r="AJ218" i="4" s="1"/>
  <c r="AE217" i="4"/>
  <c r="AK217" i="4" s="1"/>
  <c r="AD217" i="4"/>
  <c r="AJ217" i="4" s="1"/>
  <c r="AE216" i="4"/>
  <c r="AK216" i="4" s="1"/>
  <c r="AD216" i="4"/>
  <c r="AJ216" i="4" s="1"/>
  <c r="AE215" i="4"/>
  <c r="AK215" i="4" s="1"/>
  <c r="AD215" i="4"/>
  <c r="AJ215" i="4" s="1"/>
  <c r="AE214" i="4"/>
  <c r="AK214" i="4" s="1"/>
  <c r="AD214" i="4"/>
  <c r="AJ214" i="4" s="1"/>
  <c r="AE213" i="4"/>
  <c r="AK213" i="4" s="1"/>
  <c r="AD213" i="4"/>
  <c r="AJ213" i="4" s="1"/>
  <c r="AE212" i="4"/>
  <c r="AK212" i="4" s="1"/>
  <c r="AD212" i="4"/>
  <c r="AJ212" i="4" s="1"/>
  <c r="AE211" i="4"/>
  <c r="AK211" i="4" s="1"/>
  <c r="AD211" i="4"/>
  <c r="AJ211" i="4" s="1"/>
  <c r="AE210" i="4"/>
  <c r="AK210" i="4" s="1"/>
  <c r="AD210" i="4"/>
  <c r="AJ210" i="4" s="1"/>
  <c r="AE209" i="4"/>
  <c r="AK209" i="4" s="1"/>
  <c r="AD209" i="4"/>
  <c r="AJ209" i="4" s="1"/>
  <c r="AE208" i="4"/>
  <c r="AK208" i="4" s="1"/>
  <c r="AD208" i="4"/>
  <c r="AJ208" i="4" s="1"/>
  <c r="AE207" i="4"/>
  <c r="AK207" i="4" s="1"/>
  <c r="AD207" i="4"/>
  <c r="AJ207" i="4" s="1"/>
  <c r="AE206" i="4"/>
  <c r="AK206" i="4" s="1"/>
  <c r="AD206" i="4"/>
  <c r="AJ206" i="4" s="1"/>
  <c r="AE205" i="4"/>
  <c r="AK205" i="4" s="1"/>
  <c r="AD205" i="4"/>
  <c r="AJ205" i="4" s="1"/>
  <c r="AE204" i="4"/>
  <c r="AK204" i="4" s="1"/>
  <c r="AD204" i="4"/>
  <c r="AJ204" i="4" s="1"/>
  <c r="AE203" i="4"/>
  <c r="AK203" i="4" s="1"/>
  <c r="AD203" i="4"/>
  <c r="AJ203" i="4" s="1"/>
  <c r="AE202" i="4"/>
  <c r="AK202" i="4" s="1"/>
  <c r="AD202" i="4"/>
  <c r="AJ202" i="4" s="1"/>
  <c r="AE201" i="4"/>
  <c r="AK201" i="4" s="1"/>
  <c r="AD201" i="4"/>
  <c r="AJ201" i="4" s="1"/>
  <c r="AE200" i="4"/>
  <c r="AK200" i="4" s="1"/>
  <c r="AD200" i="4"/>
  <c r="AJ200" i="4" s="1"/>
  <c r="AE199" i="4"/>
  <c r="AK199" i="4" s="1"/>
  <c r="AD199" i="4"/>
  <c r="AJ199" i="4" s="1"/>
  <c r="AE198" i="4"/>
  <c r="AK198" i="4" s="1"/>
  <c r="AD198" i="4"/>
  <c r="AJ198" i="4" s="1"/>
  <c r="AE197" i="4"/>
  <c r="AK197" i="4" s="1"/>
  <c r="AD197" i="4"/>
  <c r="AJ197" i="4" s="1"/>
  <c r="AE196" i="4"/>
  <c r="AK196" i="4" s="1"/>
  <c r="AD196" i="4"/>
  <c r="AJ196" i="4" s="1"/>
  <c r="AE195" i="4"/>
  <c r="AK195" i="4" s="1"/>
  <c r="AD195" i="4"/>
  <c r="AJ195" i="4" s="1"/>
  <c r="AE194" i="4"/>
  <c r="AK194" i="4" s="1"/>
  <c r="AD194" i="4"/>
  <c r="AJ194" i="4" s="1"/>
  <c r="AE193" i="4"/>
  <c r="AK193" i="4" s="1"/>
  <c r="AD193" i="4"/>
  <c r="AJ193" i="4" s="1"/>
  <c r="AE192" i="4"/>
  <c r="AK192" i="4" s="1"/>
  <c r="AD192" i="4"/>
  <c r="AJ192" i="4" s="1"/>
  <c r="AE191" i="4"/>
  <c r="AK191" i="4" s="1"/>
  <c r="AD191" i="4"/>
  <c r="AJ191" i="4" s="1"/>
  <c r="AE190" i="4"/>
  <c r="AK190" i="4" s="1"/>
  <c r="AD190" i="4"/>
  <c r="AJ190" i="4" s="1"/>
  <c r="AE189" i="4"/>
  <c r="AK189" i="4" s="1"/>
  <c r="AD189" i="4"/>
  <c r="AJ189" i="4" s="1"/>
  <c r="AE188" i="4"/>
  <c r="AK188" i="4" s="1"/>
  <c r="AD188" i="4"/>
  <c r="AJ188" i="4" s="1"/>
  <c r="AE187" i="4"/>
  <c r="AK187" i="4" s="1"/>
  <c r="AD187" i="4"/>
  <c r="AJ187" i="4" s="1"/>
  <c r="AE186" i="4"/>
  <c r="AK186" i="4" s="1"/>
  <c r="AD186" i="4"/>
  <c r="AJ186" i="4" s="1"/>
  <c r="AE185" i="4"/>
  <c r="AK185" i="4" s="1"/>
  <c r="AD185" i="4"/>
  <c r="AJ185" i="4" s="1"/>
  <c r="AE184" i="4"/>
  <c r="AK184" i="4" s="1"/>
  <c r="AD184" i="4"/>
  <c r="AJ184" i="4" s="1"/>
  <c r="AE183" i="4"/>
  <c r="AK183" i="4" s="1"/>
  <c r="AD183" i="4"/>
  <c r="AJ183" i="4" s="1"/>
  <c r="AE182" i="4"/>
  <c r="AK182" i="4" s="1"/>
  <c r="AD182" i="4"/>
  <c r="AJ182" i="4" s="1"/>
  <c r="AE181" i="4"/>
  <c r="AK181" i="4" s="1"/>
  <c r="AD181" i="4"/>
  <c r="AJ181" i="4" s="1"/>
  <c r="B2" i="4"/>
  <c r="V37" i="1"/>
  <c r="V34" i="1"/>
  <c r="V33" i="1"/>
  <c r="V32" i="1"/>
  <c r="V29" i="1"/>
  <c r="E13" i="1"/>
  <c r="P7" i="1" s="1"/>
  <c r="U12" i="1"/>
  <c r="U11" i="1"/>
  <c r="U10" i="1"/>
  <c r="U9" i="1"/>
  <c r="U8" i="1"/>
  <c r="K3" i="1"/>
  <c r="E3" i="1"/>
  <c r="D3" i="1"/>
  <c r="B3" i="1"/>
  <c r="P8" i="1" l="1"/>
  <c r="P9" i="1"/>
  <c r="V30" i="1"/>
  <c r="M3" i="1"/>
  <c r="P6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<sst xmlns="http://schemas.openxmlformats.org/spreadsheetml/2006/main" count="167" uniqueCount="102">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</sst>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1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5" fillId="0" borderId="0" xfId="0" applyFont="1"/>
    <xf numFmtId="0" fontId="0" fillId="21" borderId="46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7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29" xfId="0" applyBorder="1"/>
    <xf numFmtId="0" fontId="0" fillId="0" borderId="49" xfId="0" applyBorder="1"/>
    <xf numFmtId="0" fontId="0" fillId="0" borderId="48" xfId="0" applyBorder="1"/>
    <xf numFmtId="0" fontId="0" fillId="0" borderId="30" xfId="0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50" xfId="0" applyFill="1" applyBorder="1"/>
    <xf numFmtId="0" fontId="0" fillId="13" borderId="3" xfId="0" applyFill="1" applyBorder="1"/>
    <xf numFmtId="0" fontId="0" fillId="13" borderId="5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3" borderId="51" xfId="0" applyFill="1" applyBorder="1" applyAlignment="1">
      <alignment horizontal="left" vertical="center"/>
    </xf>
    <xf numFmtId="0" fontId="1" fillId="13" borderId="48" xfId="0" applyFont="1" applyFill="1" applyBorder="1" applyAlignment="1">
      <alignment horizontal="center"/>
    </xf>
    <xf numFmtId="0" fontId="1" fillId="13" borderId="5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5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0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0" xfId="0" applyFont="1" applyFill="1" applyBorder="1" applyAlignment="1">
      <alignment horizontal="center" vertical="center"/>
    </xf>
    <xf numFmtId="0" fontId="17" fillId="22" borderId="55" xfId="0" applyFont="1" applyFill="1" applyBorder="1" applyAlignment="1">
      <alignment horizontal="center" vertical="center"/>
    </xf>
    <xf numFmtId="0" fontId="17" fillId="22" borderId="51" xfId="0" applyFont="1" applyFill="1" applyBorder="1" applyAlignment="1">
      <alignment horizontal="center" vertical="center"/>
    </xf>
    <xf numFmtId="0" fontId="0" fillId="23" borderId="52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5" xfId="0" applyFill="1" applyBorder="1" applyAlignment="1">
      <alignment horizontal="left" vertical="center"/>
    </xf>
    <xf numFmtId="0" fontId="0" fillId="23" borderId="49" xfId="0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1296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22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22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4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836" cy="333376"/>
                <a:chOff x="7724775" y="1544583"/>
                <a:chExt cx="1790836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836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670" y="1535061"/>
                <a:ext cx="1596376" cy="342901"/>
                <a:chOff x="9999670" y="1535061"/>
                <a:chExt cx="1596376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670" y="1535061"/>
                      <a:ext cx="1596376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1295" tableBorderDxfId="1294">
  <tableColumns count="4">
    <tableColumn id="1" xr3:uid="{86185E31-EC52-4ECC-BC3E-33C26B14F7C2}" name="Series" dataDxfId="1293">
      <calculatedColumnFormula>_xlfn.CONCAT($V$7," ",V8)</calculatedColumnFormula>
    </tableColumn>
    <tableColumn id="2" xr3:uid="{788D8AF7-A2FF-4152-9FEC-3D734C94A926}" name="Serie" dataDxfId="1292"/>
    <tableColumn id="3" xr3:uid="{98F42830-BCA0-414B-9FEF-78FCD5DB348B}" name="indexMin" dataDxfId="1291"/>
    <tableColumn id="4" xr3:uid="{E4B94243-8BBE-45E2-AAC0-0D18C5A6695E}" name="indexMax" dataDxfId="129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1289" dataDxfId="1287" headerRowBorderDxfId="1288" tableBorderDxfId="1286">
  <tableColumns count="1">
    <tableColumn id="1" xr3:uid="{8473C081-0E42-4FA9-8C99-E5B7E8CD3209}" name="Tours" dataDxfId="128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1284" headerRowBorderDxfId="1283" tableBorderDxfId="128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1281" dataDxfId="1280" tableBorderDxfId="1279">
  <autoFilter ref="D12:F13" xr:uid="{FCA0E9AA-8BD9-46EB-B07B-67F06EACCB48}"/>
  <tableColumns count="3">
    <tableColumn id="1" xr3:uid="{47561816-2B53-47F6-822E-269C476F3FFD}" name="Tour importé" dataDxfId="1278"/>
    <tableColumn id="2" xr3:uid="{E2C3F515-D8A3-4FC2-B632-32DB6D91A198}" name="Type" dataDxfId="1277">
      <calculatedColumnFormula>INDEX(TableauType[TYPE],Tableau6[[#This Row],[TypeIndex]])</calculatedColumnFormula>
    </tableColumn>
    <tableColumn id="3" xr3:uid="{617E6B65-5E58-4C9B-9DC4-488608A74753}" name="TypeIndex" dataDxfId="127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1275" dataDxfId="1274">
  <autoFilter ref="AD7:AD15" xr:uid="{9029752C-EFC9-4C60-BDF1-B009EF2F440D}"/>
  <tableColumns count="1">
    <tableColumn id="1" xr3:uid="{47EFDC89-116E-4E91-94A2-C4CDC0579100}" name="Fichiers" dataDxfId="127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1272" headerRowBorderDxfId="1271" tableBorderDxfId="1270" totalsRowBorderDxfId="1269">
  <autoFilter ref="U18:V22" xr:uid="{BBFFD128-4797-4BD5-B581-AA8D8277F8F3}"/>
  <tableColumns count="2">
    <tableColumn id="1" xr3:uid="{903026A3-43DC-4900-8F6E-2271BCA97B81}" name="Colonne1" dataDxfId="1268"/>
    <tableColumn id="2" xr3:uid="{C9FC1671-8A12-4C52-9797-E5DB3A7B67E7}" name="Colonne2" dataDxfId="126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1266" tableBorderDxfId="1265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1264"/>
    <tableColumn id="2" xr3:uid="{ECBEFB46-CF2E-4172-8E5C-37DBEC25E1AE}" name="Club" dataDxfId="1263"/>
    <tableColumn id="3" xr3:uid="{FBA83F7F-D4E7-4A15-99EC-CE8D436D7EB3}" name="Index" dataDxfId="1262"/>
    <tableColumn id="4" xr3:uid="{0090B21E-C7ED-4CC4-A4C8-7AED1146F2F9}" name="Série" dataDxfId="1261"/>
    <tableColumn id="5" xr3:uid="{7D4E8E6A-E590-441A-A2B5-664E220061CC}" name="Score     Net1" dataDxfId="1260"/>
    <tableColumn id="6" xr3:uid="{84241967-A195-4D05-9846-F0E084774539}" name="Rang   Net1" dataDxfId="1259"/>
    <tableColumn id="7" xr3:uid="{F27CD3EA-D421-4623-93DF-5DFCAA423771}" name="Score    Brut1" dataDxfId="1258"/>
    <tableColumn id="8" xr3:uid="{62D1F21B-032A-484B-BC39-395CC4756A54}" name="Rang   Brut1" dataDxfId="1257"/>
    <tableColumn id="9" xr3:uid="{D3289CF1-FAC6-4CC0-B2B6-80CBB0406845}" name="Score      Net2" dataDxfId="1256"/>
    <tableColumn id="10" xr3:uid="{2F18A068-FD19-4313-83C9-0AB3AA88EE3F}" name="Rang      Net2" dataDxfId="1255"/>
    <tableColumn id="11" xr3:uid="{A7248FAA-403B-4BFE-B0D4-859E30DE4A95}" name="Score      Brut2" dataDxfId="1254"/>
    <tableColumn id="12" xr3:uid="{4F6F4506-16A0-4352-A12B-8992CD80B9B6}" name="Rang      Brut2" dataDxfId="1253"/>
    <tableColumn id="13" xr3:uid="{68CAD2A6-712A-4B66-A7A3-D58BF5303438}" name="Score      Net3" dataDxfId="1252"/>
    <tableColumn id="14" xr3:uid="{9F172573-6C25-46FC-BE9F-F56834E813D9}" name="Rang      Net3" dataDxfId="1251"/>
    <tableColumn id="15" xr3:uid="{618A094F-BB99-4883-A19C-4EBA6E699BCF}" name="Score      Brut3" dataDxfId="1250"/>
    <tableColumn id="16" xr3:uid="{0E544C66-61C9-46D5-A427-A9677AE96910}" name="Rang      Brut3" dataDxfId="1249"/>
    <tableColumn id="17" xr3:uid="{24730B87-D2CD-487D-99BD-EACD109C443F}" name="Score        Net4" dataDxfId="1248"/>
    <tableColumn id="18" xr3:uid="{F0B85087-E217-4534-9BC7-B04BDDCCA8B9}" name="Rang        Net4" dataDxfId="1247"/>
    <tableColumn id="19" xr3:uid="{7DDCD1A6-A182-48A1-9F3F-836B917D0B07}" name="Score        Brut4" dataDxfId="1246"/>
    <tableColumn id="20" xr3:uid="{8EABA2E9-9ADA-4192-8BB2-2F58072A8E01}" name="Rang        Brut4" dataDxfId="1245"/>
    <tableColumn id="21" xr3:uid="{79E31DB6-4982-4160-9B1D-20DE3F5E1BB8}" name="Score        Net5" dataDxfId="1244"/>
    <tableColumn id="22" xr3:uid="{DB589AF3-34B3-447A-A354-D474E90FDB4F}" name="Rang        Net5" dataDxfId="1243"/>
    <tableColumn id="23" xr3:uid="{EC9FE005-CE9F-448B-81FE-28EDD1A971F9}" name="Score        Brut5" dataDxfId="1242"/>
    <tableColumn id="24" xr3:uid="{220294A2-C79D-45F3-9AE5-D46451BBF584}" name="Rang        Brut5" dataDxfId="1241"/>
    <tableColumn id="25" xr3:uid="{A772CA9D-C689-4C9F-9855-E6A692839D23}" name="Score        Net6" dataDxfId="1240"/>
    <tableColumn id="26" xr3:uid="{D2589416-857A-4C41-AC6D-96D41817DEC7}" name="Rang        Net6" dataDxfId="1239"/>
    <tableColumn id="27" xr3:uid="{27ADC7D0-24DE-4505-9913-856D8DE338A9}" name="Score        Brut6" dataDxfId="1238"/>
    <tableColumn id="28" xr3:uid="{ABDBDCB4-7B27-49F8-BC7A-7843BC9FF7A5}" name="Rang        Brut6" dataDxfId="1237"/>
    <tableColumn id="29" xr3:uid="{941D9336-449B-439E-B469-314E549EA186}" name="Score Net Max" dataDxfId="1236">
      <calculatedColumnFormula>IF(MIN(F4,J4,N4,R4,V4,Z4)&lt;&gt;0,MIN(F4,J4,N4,R4,V4,Z4),"")</calculatedColumnFormula>
    </tableColumn>
    <tableColumn id="30" xr3:uid="{90574FCA-077D-4C2D-95A6-25042040131A}" name="Score Brut Max" dataDxfId="1235">
      <calculatedColumnFormula>IF(MIN(H4,L4,P4,T4,X4,AB4)&lt;&gt;0,MIN(H4,L4,P4,T4,X4,AB4),"")</calculatedColumnFormula>
    </tableColumn>
    <tableColumn id="31" xr3:uid="{7D46739F-AA9F-4F4C-8559-42672BDC3359}" name="Score Net Finale" dataDxfId="1234"/>
    <tableColumn id="32" xr3:uid="{11EAF1CA-8CD4-40A4-91A3-87D38FCF3433}" name="Rang Net Finale" dataDxfId="1233"/>
    <tableColumn id="33" xr3:uid="{66A96B4D-B263-479C-A036-CA0A68FB1450}" name="Score Brut Finale" dataDxfId="1232"/>
    <tableColumn id="34" xr3:uid="{AB46E898-F45B-460F-A38E-C5A2BFD53000}" name="Rang Brut Finale" dataDxfId="1231"/>
    <tableColumn id="35" xr3:uid="{E7B91838-CDE0-4965-B3BE-53C906009CF4}" name="Score Net LGS" dataDxfId="1230">
      <calculatedColumnFormula>IF(AD4="","",IF(ISBLANK(AF4),"En cours",AD4+AF4))</calculatedColumnFormula>
    </tableColumn>
    <tableColumn id="36" xr3:uid="{2A90CEF2-3F60-4761-BD52-022404B7522C}" name="Score Brut LGS" dataDxfId="122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1228" tableBorderDxfId="1227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1226"/>
    <tableColumn id="2" xr3:uid="{6DF6013E-11A9-4F6E-B527-4EB5242D32FC}" name="Club" dataDxfId="1225"/>
    <tableColumn id="3" xr3:uid="{809481FC-1207-4212-8E64-39319F31B86C}" name="Index" dataDxfId="1224"/>
    <tableColumn id="4" xr3:uid="{61BCE2E5-DC5C-48C2-BA39-6573DBA32351}" name="Série" dataDxfId="1223"/>
    <tableColumn id="5" xr3:uid="{5210E73B-D34C-4FAE-A187-64170B309A2C}" name="Score     Net1" dataDxfId="1222"/>
    <tableColumn id="6" xr3:uid="{0C146610-8133-4769-A4EC-4AF4A9EB4EEA}" name="Rang   Net1" dataDxfId="1221"/>
    <tableColumn id="7" xr3:uid="{DC3B3441-4412-46B5-8015-7E44D9FF0A16}" name="Score    Brut1" dataDxfId="1220"/>
    <tableColumn id="8" xr3:uid="{780A2D1B-C1E0-4E66-A641-80609193E5ED}" name="Rang   Brut1" dataDxfId="1219"/>
    <tableColumn id="9" xr3:uid="{A286DE62-5493-4750-8D3A-4E0268951135}" name="Score      Net2" dataDxfId="1218"/>
    <tableColumn id="10" xr3:uid="{9AA9E923-19AE-4E9C-B03E-6CCB420B0DE0}" name="Rang      Net2" dataDxfId="1217"/>
    <tableColumn id="11" xr3:uid="{13D9FCED-A177-4823-BBF5-CB6BBFD92170}" name="Score      Brut2" dataDxfId="1216"/>
    <tableColumn id="12" xr3:uid="{AE79BCC0-99C9-4A29-85F9-06518743CC41}" name="Rang      Brut2" dataDxfId="1215"/>
    <tableColumn id="13" xr3:uid="{6260EBE1-C4F8-4892-8111-6848B59FFDDC}" name="Score      Net3" dataDxfId="1214"/>
    <tableColumn id="14" xr3:uid="{70D3C91B-53A9-4C67-AA7C-86DB6FCC84EA}" name="Rang      Net3" dataDxfId="1213"/>
    <tableColumn id="15" xr3:uid="{316ABADB-80DF-4341-9456-B07A916EE828}" name="Score      Brut3" dataDxfId="1212"/>
    <tableColumn id="16" xr3:uid="{5F33B9A2-6C2B-44A9-B727-D955FDD7A57E}" name="Rang      Brut3" dataDxfId="1211"/>
    <tableColumn id="17" xr3:uid="{7405128E-0D40-44C5-B3B7-9098CE3F571B}" name="Score        Net4" dataDxfId="1210"/>
    <tableColumn id="18" xr3:uid="{57B1622B-69C7-4A1C-8967-6906A0E60401}" name="Rang        Net4" dataDxfId="1209"/>
    <tableColumn id="19" xr3:uid="{765D8E18-32EC-4D78-B6D5-C889630A0B4D}" name="Score        Brut4" dataDxfId="1208"/>
    <tableColumn id="20" xr3:uid="{F9E9BC2E-A9E0-415E-92F8-F007D70D402D}" name="Rang        Brut4" dataDxfId="1207"/>
    <tableColumn id="21" xr3:uid="{56B8C53B-2683-43AB-BA94-98D12846892B}" name="Score        Net5" dataDxfId="1206"/>
    <tableColumn id="22" xr3:uid="{CEE64EB1-2B37-4BE8-AD6C-F73635777200}" name="Rang        Net5" dataDxfId="1205"/>
    <tableColumn id="23" xr3:uid="{08967303-5AA9-43EB-A7B1-57000258446B}" name="Score        Brut5" dataDxfId="1204"/>
    <tableColumn id="24" xr3:uid="{8200C06D-A6A7-4584-BCE4-DE94947CAA08}" name="Rang        Brut5" dataDxfId="1203"/>
    <tableColumn id="25" xr3:uid="{E363B218-F04E-4259-A65F-BE04FA1C15B3}" name="Score        Net6" dataDxfId="1202"/>
    <tableColumn id="26" xr3:uid="{EC92842C-B321-4087-AA25-F376E0579048}" name="Rang        Net6" dataDxfId="1201"/>
    <tableColumn id="27" xr3:uid="{3EF61377-66C7-4D60-AF65-BAFD2DD291D8}" name="Score        Brut6" dataDxfId="1200"/>
    <tableColumn id="28" xr3:uid="{251BB10E-2B2F-4B4A-8805-D7C49FF7D091}" name="Rang        Brut6" dataDxfId="1199"/>
    <tableColumn id="29" xr3:uid="{937492D8-E20B-486F-B289-5EBB929EA97E}" name="Score Net Max" dataDxfId="1198">
      <calculatedColumnFormula>IF(MIN(F4,J4,N4,R4,V4,Z4)&lt;&gt;0,MIN(F4,J4,N4,R4,V4,Z4),"")</calculatedColumnFormula>
    </tableColumn>
    <tableColumn id="30" xr3:uid="{BFCE7449-4F11-49CA-B00B-6CF4C21DE23E}" name="Score Brut Max" dataDxfId="1197">
      <calculatedColumnFormula>IF(MIN(H4,L4,P4,T4,X4,AB4)&lt;&gt;0,MIN(H4,L4,P4,T4,X4,AB4),"")</calculatedColumnFormula>
    </tableColumn>
    <tableColumn id="31" xr3:uid="{061F8C59-D91F-49DB-89E4-FD5BF5DEA2BE}" name="Score Net Finale" dataDxfId="1196"/>
    <tableColumn id="32" xr3:uid="{47CCF636-B700-4893-BB69-C5F49188A737}" name="Rang Net Finale" dataDxfId="1195"/>
    <tableColumn id="33" xr3:uid="{34BE4EC2-EAC1-40DC-82EA-B21BFA645C43}" name="Score Brut Finale" dataDxfId="1194"/>
    <tableColumn id="34" xr3:uid="{B4CC10FB-AE7D-4F7B-B5E6-A21DFBD43F7A}" name="Rang Brut Finale" dataDxfId="1193"/>
    <tableColumn id="35" xr3:uid="{2A85E5CE-D8F3-4ABA-BB20-EF4EC4E5400C}" name="Score Net LGS" dataDxfId="1192">
      <calculatedColumnFormula>IF(AD4="","",IF(ISBLANK(AF4),"En cours",AD4+AF4))</calculatedColumnFormula>
    </tableColumn>
    <tableColumn id="36" xr3:uid="{E2505702-E088-4E30-97F4-10F7B06362C7}" name="Score Brut LGS" dataDxfId="1191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1190" dataDxfId="1189">
  <autoFilter ref="B4:F5" xr:uid="{BEE036B7-08A7-43AF-AC9F-62B639BE2327}"/>
  <tableColumns count="5">
    <tableColumn id="1" xr3:uid="{07F0EE21-57C5-4450-A337-C4E93B37093B}" name="type" dataDxfId="1188"/>
    <tableColumn id="4" xr3:uid="{5D76DE16-D7AC-47BB-8E5C-7D62535B0C45}" name="joueurs" dataDxfId="1187"/>
    <tableColumn id="6" xr3:uid="{AAEF716B-5939-451B-9370-6D6F4B67A6B4}" name="feuille" dataDxfId="1186"/>
    <tableColumn id="2" xr3:uid="{15443A43-A7C3-4E12-8B5A-8DC832EBEFF5}" name="reference" dataDxfId="1185"/>
    <tableColumn id="3" xr3:uid="{C5F94F07-C4F6-41F7-9201-803FDABD5D1F}" name="date" dataDxfId="118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B4" sqref="B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1" t="s">
        <v>81</v>
      </c>
      <c r="Q5" s="172"/>
      <c r="R5" s="17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29</v>
      </c>
      <c r="D6" s="153"/>
      <c r="E6" s="157" t="s">
        <v>0</v>
      </c>
      <c r="F6" s="151"/>
      <c r="G6" s="25"/>
      <c r="H6" s="25"/>
      <c r="I6" s="25"/>
      <c r="J6" s="28"/>
      <c r="L6" s="33"/>
      <c r="M6" s="34"/>
      <c r="N6" s="35"/>
      <c r="P6" s="174">
        <f>IF(Tableau6[Type]=INDEX(TableauType[],1),U19,V19)</f>
        <v>0</v>
      </c>
      <c r="Q6" s="175"/>
      <c r="R6" s="17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55"/>
      <c r="E7" s="25"/>
      <c r="F7" s="25"/>
      <c r="G7" s="25"/>
      <c r="H7" s="25"/>
      <c r="I7" s="25"/>
      <c r="J7" s="28"/>
      <c r="L7" s="36"/>
      <c r="M7" s="37"/>
      <c r="N7" s="38"/>
      <c r="P7" s="177" t="str">
        <f>IF(Tableau6[Type]=INDEX(TableauType[],1),U20,V20)</f>
        <v>export_DAME_Net_12.xlsx</v>
      </c>
      <c r="Q7" s="178"/>
      <c r="R7" s="179"/>
      <c r="T7" s="23"/>
      <c r="U7" s="12" t="s">
        <v>12</v>
      </c>
      <c r="V7" s="107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97" t="s">
        <v>75</v>
      </c>
      <c r="AC7" s="25"/>
      <c r="AD7" s="106" t="s">
        <v>80</v>
      </c>
      <c r="AE7" s="28"/>
    </row>
    <row r="8" spans="1:31" ht="15.75" thickBot="1" x14ac:dyDescent="0.3">
      <c r="C8" s="45"/>
      <c r="D8" s="154"/>
      <c r="E8" s="25"/>
      <c r="F8" s="151"/>
      <c r="G8" s="25"/>
      <c r="H8" s="25"/>
      <c r="I8" s="25"/>
      <c r="J8" s="28"/>
      <c r="L8" s="49"/>
      <c r="M8" s="50"/>
      <c r="N8" s="51"/>
      <c r="P8" s="180" t="str">
        <f>IF(Tableau6[Type]=INDEX(TableauType[],1),U21,V21)</f>
        <v>export_DAME_Brut_34.xlsx</v>
      </c>
      <c r="Q8" s="181"/>
      <c r="R8" s="182"/>
      <c r="T8" s="23"/>
      <c r="U8" s="111" t="str">
        <f>_xlfn.CONCAT($V$7," ",V8)</f>
        <v>Serie 1</v>
      </c>
      <c r="V8" s="108">
        <v>1</v>
      </c>
      <c r="W8" s="6">
        <v>0</v>
      </c>
      <c r="X8" s="10">
        <v>11.4</v>
      </c>
      <c r="Y8" s="25"/>
      <c r="Z8" s="16">
        <v>1</v>
      </c>
      <c r="AA8" s="25"/>
      <c r="AB8" s="96" t="s">
        <v>73</v>
      </c>
      <c r="AC8" s="25"/>
      <c r="AD8" s="105"/>
      <c r="AE8" s="28"/>
    </row>
    <row r="9" spans="1:31" ht="15.75" thickBot="1" x14ac:dyDescent="0.3">
      <c r="C9" s="44"/>
      <c r="D9" s="155"/>
      <c r="E9" s="25"/>
      <c r="F9" s="151"/>
      <c r="G9" s="25"/>
      <c r="H9" s="25"/>
      <c r="I9" s="25"/>
      <c r="J9" s="28"/>
      <c r="L9" s="36"/>
      <c r="M9" s="37"/>
      <c r="N9" s="38"/>
      <c r="P9" s="183" t="str">
        <f>IF(Tableau6[Type]=INDEX(TableauType[],1),U22,V22)</f>
        <v>export_DAME_Net_34.xlsx</v>
      </c>
      <c r="Q9" s="184"/>
      <c r="R9" s="185"/>
      <c r="T9" s="23"/>
      <c r="U9" s="112" t="str">
        <f>_xlfn.CONCAT($V$7," ",V9)</f>
        <v>Serie 2</v>
      </c>
      <c r="V9" s="109">
        <v>2</v>
      </c>
      <c r="W9" s="8">
        <v>11.5</v>
      </c>
      <c r="X9" s="11">
        <v>18.399999999999999</v>
      </c>
      <c r="Y9" s="25"/>
      <c r="Z9" s="17">
        <v>2</v>
      </c>
      <c r="AA9" s="25"/>
      <c r="AB9" s="98" t="s">
        <v>74</v>
      </c>
      <c r="AC9" s="25"/>
      <c r="AD9" s="17"/>
      <c r="AE9" s="28"/>
    </row>
    <row r="10" spans="1:31" ht="41.25" customHeight="1" thickBot="1" x14ac:dyDescent="0.3">
      <c r="C10" s="156" t="s">
        <v>101</v>
      </c>
      <c r="D10" s="154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2" t="str">
        <f>_xlfn.CONCAT($V$7," ",V10)</f>
        <v>Serie 3</v>
      </c>
      <c r="V10" s="109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05"/>
      <c r="AE10" s="28"/>
    </row>
    <row r="11" spans="1:31" x14ac:dyDescent="0.25">
      <c r="T11" s="23"/>
      <c r="U11" s="112" t="str">
        <f>_xlfn.CONCAT($V$7," ",V11)</f>
        <v>Serie 4</v>
      </c>
      <c r="V11" s="109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99" t="s">
        <v>30</v>
      </c>
      <c r="E12" s="100" t="s">
        <v>76</v>
      </c>
      <c r="F12" s="101" t="s">
        <v>77</v>
      </c>
      <c r="T12" s="23"/>
      <c r="U12" s="112" t="str">
        <f>_xlfn.CONCAT($V$7," ",V12)</f>
        <v>Serie 5</v>
      </c>
      <c r="V12" s="110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05"/>
      <c r="AE12" s="28"/>
    </row>
    <row r="13" spans="1:31" ht="15.75" x14ac:dyDescent="0.25">
      <c r="D13" s="102">
        <v>1</v>
      </c>
      <c r="E13" s="103" t="str">
        <f>INDEX(TableauType[TYPE],Tableau6[[#This Row],[TypeIndex]])</f>
        <v>DAME</v>
      </c>
      <c r="F13" s="104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05"/>
      <c r="AE14" s="28"/>
    </row>
    <row r="15" spans="1:31" ht="26.25" x14ac:dyDescent="0.25">
      <c r="B15" s="169" t="s">
        <v>1</v>
      </c>
      <c r="C15" s="169"/>
      <c r="D15" s="169"/>
      <c r="E15" s="169"/>
      <c r="F15" s="169"/>
      <c r="G15" s="169"/>
      <c r="H15" s="169"/>
      <c r="I15" s="169"/>
      <c r="K15" s="170" t="s">
        <v>2</v>
      </c>
      <c r="L15" s="170"/>
      <c r="M15" s="170"/>
      <c r="N15" s="170"/>
      <c r="O15" s="170"/>
      <c r="P15" s="170"/>
      <c r="Q15" s="170"/>
      <c r="R15" s="17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3" t="s">
        <v>89</v>
      </c>
      <c r="V18" s="114" t="s">
        <v>90</v>
      </c>
      <c r="W18" s="25"/>
      <c r="X18" s="166" t="s">
        <v>98</v>
      </c>
      <c r="Y18" s="167"/>
      <c r="Z18" s="167"/>
      <c r="AA18" s="167"/>
      <c r="AB18" s="168"/>
      <c r="AC18" s="25"/>
      <c r="AD18" s="25"/>
      <c r="AE18" s="28"/>
    </row>
    <row r="19" spans="6:31" x14ac:dyDescent="0.25">
      <c r="F19"/>
      <c r="O19"/>
      <c r="T19" s="23"/>
      <c r="U19" s="5"/>
      <c r="V19" s="115"/>
      <c r="W19" s="25"/>
      <c r="X19" s="123" t="s">
        <v>94</v>
      </c>
      <c r="Y19" s="121"/>
      <c r="Z19" s="121" t="s">
        <v>92</v>
      </c>
      <c r="AA19" s="121"/>
      <c r="AB19" s="122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16" t="s">
        <v>84</v>
      </c>
      <c r="W20" s="25"/>
      <c r="X20" s="124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16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17" t="s">
        <v>87</v>
      </c>
      <c r="V22" s="118" t="s">
        <v>88</v>
      </c>
      <c r="W22" s="25"/>
      <c r="X22" s="166" t="s">
        <v>99</v>
      </c>
      <c r="Y22" s="167"/>
      <c r="Z22" s="167"/>
      <c r="AA22" s="167"/>
      <c r="AB22" s="168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25" t="s">
        <v>96</v>
      </c>
      <c r="Y23" s="119"/>
      <c r="Z23" s="119" t="s">
        <v>97</v>
      </c>
      <c r="AA23" s="119"/>
      <c r="AB23" s="120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42"/>
      <c r="U28" s="139"/>
      <c r="V28" s="139"/>
      <c r="W28" s="136"/>
    </row>
    <row r="29" spans="6:31" ht="15.75" thickBot="1" x14ac:dyDescent="0.3">
      <c r="F29"/>
      <c r="O29"/>
      <c r="T29" s="143"/>
      <c r="U29" s="134" t="s">
        <v>35</v>
      </c>
      <c r="V29" s="126" t="str">
        <f ca="1">MID(CELL("nomfichier",A1),FIND("]",CELL("nomfichier",A1))+1,LEN(CELL("nomfichier",A1))-FIND("]",CELL("nomfichier",A1)))</f>
        <v>Import Resultats Tour</v>
      </c>
      <c r="W29" s="137"/>
    </row>
    <row r="30" spans="6:31" ht="15.75" thickBot="1" x14ac:dyDescent="0.3">
      <c r="F30"/>
      <c r="O30"/>
      <c r="T30" s="143"/>
      <c r="U30" s="134" t="s">
        <v>36</v>
      </c>
      <c r="V30" s="126" t="str">
        <f>_xlfn.CONCAT("Resultat LGS (",Tableau6[Type],")")</f>
        <v>Resultat LGS (DAME)</v>
      </c>
      <c r="W30" s="137"/>
    </row>
    <row r="31" spans="6:31" ht="15.75" thickBot="1" x14ac:dyDescent="0.3">
      <c r="F31"/>
      <c r="O31"/>
      <c r="T31" s="143"/>
      <c r="U31" s="140"/>
      <c r="V31" s="141"/>
      <c r="W31" s="137"/>
    </row>
    <row r="32" spans="6:31" x14ac:dyDescent="0.25">
      <c r="F32"/>
      <c r="O32"/>
      <c r="T32" s="143"/>
      <c r="U32" s="133" t="s">
        <v>34</v>
      </c>
      <c r="V32" s="128">
        <f>COUNTA($B$17:$B$7704)</f>
        <v>0</v>
      </c>
      <c r="W32" s="137"/>
    </row>
    <row r="33" spans="6:23" ht="15.75" thickBot="1" x14ac:dyDescent="0.3">
      <c r="F33"/>
      <c r="O33"/>
      <c r="T33" s="143"/>
      <c r="U33" s="131" t="s">
        <v>33</v>
      </c>
      <c r="V33" s="129">
        <f>COUNTA($K$17:$K$7702)</f>
        <v>0</v>
      </c>
      <c r="W33" s="137"/>
    </row>
    <row r="34" spans="6:23" ht="15.75" thickBot="1" x14ac:dyDescent="0.3">
      <c r="F34"/>
      <c r="O34"/>
      <c r="T34" s="143"/>
      <c r="U34" s="132" t="s">
        <v>3</v>
      </c>
      <c r="V34" s="130">
        <f>TourSelected</f>
        <v>1</v>
      </c>
      <c r="W34" s="137"/>
    </row>
    <row r="35" spans="6:23" ht="15.75" thickBot="1" x14ac:dyDescent="0.3">
      <c r="F35"/>
      <c r="O35"/>
      <c r="T35" s="143"/>
      <c r="U35" s="140"/>
      <c r="V35" s="141"/>
      <c r="W35" s="137"/>
    </row>
    <row r="36" spans="6:23" x14ac:dyDescent="0.25">
      <c r="F36"/>
      <c r="O36"/>
      <c r="T36" s="143"/>
      <c r="U36" s="127" t="s">
        <v>31</v>
      </c>
      <c r="V36" s="128"/>
      <c r="W36" s="137"/>
    </row>
    <row r="37" spans="6:23" ht="15.75" thickBot="1" x14ac:dyDescent="0.3">
      <c r="F37"/>
      <c r="O37"/>
      <c r="T37" s="143"/>
      <c r="U37" s="131" t="s">
        <v>32</v>
      </c>
      <c r="V37" s="135">
        <f>DateImport</f>
        <v>45509</v>
      </c>
      <c r="W37" s="137"/>
    </row>
    <row r="38" spans="6:23" ht="15.75" thickBot="1" x14ac:dyDescent="0.3">
      <c r="F38"/>
      <c r="O38"/>
      <c r="T38" s="144"/>
      <c r="U38" s="145"/>
      <c r="V38" s="145"/>
      <c r="W38" s="138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ImportExportFileFor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InsertTourFromImport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ImportFileStaticOrAsk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ImportExportFileForAllTour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opLeftCell="A124" zoomScale="55" zoomScaleNormal="55" workbookViewId="0">
      <pane xSplit="5" topLeftCell="F1" activePane="topRight" state="frozen"/>
      <selection pane="topRight" activeCell="B4" sqref="B4:AK180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3" t="s">
        <v>18</v>
      </c>
      <c r="G2" s="194"/>
      <c r="H2" s="194"/>
      <c r="I2" s="195"/>
      <c r="J2" s="196" t="s">
        <v>19</v>
      </c>
      <c r="K2" s="197"/>
      <c r="L2" s="197"/>
      <c r="M2" s="198"/>
      <c r="N2" s="199" t="s">
        <v>20</v>
      </c>
      <c r="O2" s="194"/>
      <c r="P2" s="194"/>
      <c r="Q2" s="195"/>
      <c r="R2" s="196" t="s">
        <v>21</v>
      </c>
      <c r="S2" s="197"/>
      <c r="T2" s="197"/>
      <c r="U2" s="198"/>
      <c r="V2" s="199" t="s">
        <v>22</v>
      </c>
      <c r="W2" s="194"/>
      <c r="X2" s="194"/>
      <c r="Y2" s="195"/>
      <c r="Z2" s="196" t="s">
        <v>23</v>
      </c>
      <c r="AA2" s="197"/>
      <c r="AB2" s="197"/>
      <c r="AC2" s="200"/>
      <c r="AD2" s="186" t="s">
        <v>82</v>
      </c>
      <c r="AE2" s="187"/>
      <c r="AF2" s="188" t="s">
        <v>17</v>
      </c>
      <c r="AG2" s="189"/>
      <c r="AH2" s="189"/>
      <c r="AI2" s="190"/>
      <c r="AJ2" s="191" t="s">
        <v>25</v>
      </c>
      <c r="AK2" s="192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 t="str">
        <f t="shared" ref="AD4:AD67" si="0">IF(MIN(F4,J4,N4,R4,V4,Z4)&lt;&gt;0,MIN(F4,J4,N4,R4,V4,Z4),"")</f>
        <v/>
      </c>
      <c r="AE4" s="164" t="str">
        <f t="shared" ref="AE4:AE67" si="1">IF(MIN(H4,L4,P4,T4,X4,AB4)&lt;&gt;0,MIN(H4,L4,P4,T4,X4,AB4),"")</f>
        <v/>
      </c>
      <c r="AF4" s="164"/>
      <c r="AG4" s="163"/>
      <c r="AH4" s="164"/>
      <c r="AI4" s="163"/>
      <c r="AJ4" s="162" t="str">
        <f t="shared" ref="AJ4:AJ67" si="2">IF(AD4="","",IF(ISBLANK(AF4),"En cours",AD4+AF4))</f>
        <v/>
      </c>
      <c r="AK4" s="162" t="str">
        <f t="shared" ref="AK4:AK67" si="3">IF(AE4="","",IF(ISBLANK(AH4),"En cours",AE4+AH4))</f>
        <v/>
      </c>
    </row>
    <row r="5" spans="2:37" ht="21" x14ac:dyDescent="0.3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4" t="str">
        <f t="shared" si="0"/>
        <v/>
      </c>
      <c r="AE5" s="164" t="str">
        <f t="shared" si="1"/>
        <v/>
      </c>
      <c r="AF5" s="164"/>
      <c r="AG5" s="163"/>
      <c r="AH5" s="164"/>
      <c r="AI5" s="163"/>
      <c r="AJ5" s="162" t="str">
        <f t="shared" si="2"/>
        <v/>
      </c>
      <c r="AK5" s="162" t="str">
        <f t="shared" si="3"/>
        <v/>
      </c>
    </row>
    <row r="6" spans="2:37" ht="21" x14ac:dyDescent="0.3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4" t="str">
        <f t="shared" si="0"/>
        <v/>
      </c>
      <c r="AE6" s="164" t="str">
        <f t="shared" si="1"/>
        <v/>
      </c>
      <c r="AF6" s="164"/>
      <c r="AG6" s="163"/>
      <c r="AH6" s="164"/>
      <c r="AI6" s="163"/>
      <c r="AJ6" s="162" t="str">
        <f t="shared" si="2"/>
        <v/>
      </c>
      <c r="AK6" s="162" t="str">
        <f t="shared" si="3"/>
        <v/>
      </c>
    </row>
    <row r="7" spans="2:37" ht="21" x14ac:dyDescent="0.35"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 t="str">
        <f t="shared" si="0"/>
        <v/>
      </c>
      <c r="AE7" s="164" t="str">
        <f t="shared" si="1"/>
        <v/>
      </c>
      <c r="AF7" s="164"/>
      <c r="AG7" s="163"/>
      <c r="AH7" s="164"/>
      <c r="AI7" s="163"/>
      <c r="AJ7" s="162" t="str">
        <f t="shared" si="2"/>
        <v/>
      </c>
      <c r="AK7" s="162" t="str">
        <f t="shared" si="3"/>
        <v/>
      </c>
    </row>
    <row r="8" spans="2:37" ht="21" x14ac:dyDescent="0.35"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4" t="str">
        <f t="shared" si="0"/>
        <v/>
      </c>
      <c r="AE8" s="164" t="str">
        <f t="shared" si="1"/>
        <v/>
      </c>
      <c r="AF8" s="164"/>
      <c r="AG8" s="163"/>
      <c r="AH8" s="164"/>
      <c r="AI8" s="163"/>
      <c r="AJ8" s="162" t="str">
        <f t="shared" si="2"/>
        <v/>
      </c>
      <c r="AK8" s="162" t="str">
        <f t="shared" si="3"/>
        <v/>
      </c>
    </row>
    <row r="9" spans="2:37" ht="21" x14ac:dyDescent="0.35"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 t="str">
        <f t="shared" si="0"/>
        <v/>
      </c>
      <c r="AE9" s="164" t="str">
        <f t="shared" si="1"/>
        <v/>
      </c>
      <c r="AF9" s="164"/>
      <c r="AG9" s="163"/>
      <c r="AH9" s="164"/>
      <c r="AI9" s="163"/>
      <c r="AJ9" s="162" t="str">
        <f t="shared" si="2"/>
        <v/>
      </c>
      <c r="AK9" s="162" t="str">
        <f t="shared" si="3"/>
        <v/>
      </c>
    </row>
    <row r="10" spans="2:37" ht="21" x14ac:dyDescent="0.35"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 t="str">
        <f t="shared" si="0"/>
        <v/>
      </c>
      <c r="AE10" s="164" t="str">
        <f t="shared" si="1"/>
        <v/>
      </c>
      <c r="AF10" s="164"/>
      <c r="AG10" s="163"/>
      <c r="AH10" s="164"/>
      <c r="AI10" s="163"/>
      <c r="AJ10" s="162" t="str">
        <f t="shared" si="2"/>
        <v/>
      </c>
      <c r="AK10" s="162" t="str">
        <f t="shared" si="3"/>
        <v/>
      </c>
    </row>
    <row r="11" spans="2:37" ht="21" x14ac:dyDescent="0.35"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4" t="str">
        <f t="shared" si="0"/>
        <v/>
      </c>
      <c r="AE11" s="164" t="str">
        <f t="shared" si="1"/>
        <v/>
      </c>
      <c r="AF11" s="164"/>
      <c r="AG11" s="163"/>
      <c r="AH11" s="164"/>
      <c r="AI11" s="163"/>
      <c r="AJ11" s="162" t="str">
        <f t="shared" si="2"/>
        <v/>
      </c>
      <c r="AK11" s="162" t="str">
        <f t="shared" si="3"/>
        <v/>
      </c>
    </row>
    <row r="12" spans="2:37" ht="21" x14ac:dyDescent="0.35"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 t="str">
        <f t="shared" si="0"/>
        <v/>
      </c>
      <c r="AE12" s="164" t="str">
        <f t="shared" si="1"/>
        <v/>
      </c>
      <c r="AF12" s="164"/>
      <c r="AG12" s="163"/>
      <c r="AH12" s="164"/>
      <c r="AI12" s="163"/>
      <c r="AJ12" s="162" t="str">
        <f t="shared" si="2"/>
        <v/>
      </c>
      <c r="AK12" s="162" t="str">
        <f t="shared" si="3"/>
        <v/>
      </c>
    </row>
    <row r="13" spans="2:37" ht="21" x14ac:dyDescent="0.35">
      <c r="B13" s="163"/>
      <c r="C13" s="16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 t="str">
        <f t="shared" si="0"/>
        <v/>
      </c>
      <c r="AE13" s="164" t="str">
        <f t="shared" si="1"/>
        <v/>
      </c>
      <c r="AF13" s="164"/>
      <c r="AG13" s="163"/>
      <c r="AH13" s="164"/>
      <c r="AI13" s="163"/>
      <c r="AJ13" s="162" t="str">
        <f t="shared" si="2"/>
        <v/>
      </c>
      <c r="AK13" s="162" t="str">
        <f t="shared" si="3"/>
        <v/>
      </c>
    </row>
    <row r="14" spans="2:37" ht="21" x14ac:dyDescent="0.35"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 t="str">
        <f t="shared" si="0"/>
        <v/>
      </c>
      <c r="AE14" s="164" t="str">
        <f t="shared" si="1"/>
        <v/>
      </c>
      <c r="AF14" s="164"/>
      <c r="AG14" s="163"/>
      <c r="AH14" s="164"/>
      <c r="AI14" s="163"/>
      <c r="AJ14" s="162" t="str">
        <f t="shared" si="2"/>
        <v/>
      </c>
      <c r="AK14" s="162" t="str">
        <f t="shared" si="3"/>
        <v/>
      </c>
    </row>
    <row r="15" spans="2:37" ht="21" x14ac:dyDescent="0.35"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 t="str">
        <f t="shared" si="0"/>
        <v/>
      </c>
      <c r="AE15" s="164" t="str">
        <f t="shared" si="1"/>
        <v/>
      </c>
      <c r="AF15" s="164"/>
      <c r="AG15" s="163"/>
      <c r="AH15" s="164"/>
      <c r="AI15" s="163"/>
      <c r="AJ15" s="162" t="str">
        <f t="shared" si="2"/>
        <v/>
      </c>
      <c r="AK15" s="162" t="str">
        <f t="shared" si="3"/>
        <v/>
      </c>
    </row>
    <row r="16" spans="2:37" ht="21" x14ac:dyDescent="0.35"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 t="str">
        <f t="shared" si="0"/>
        <v/>
      </c>
      <c r="AE16" s="164" t="str">
        <f t="shared" si="1"/>
        <v/>
      </c>
      <c r="AF16" s="164"/>
      <c r="AG16" s="163"/>
      <c r="AH16" s="164"/>
      <c r="AI16" s="163"/>
      <c r="AJ16" s="162" t="str">
        <f t="shared" si="2"/>
        <v/>
      </c>
      <c r="AK16" s="162" t="str">
        <f t="shared" si="3"/>
        <v/>
      </c>
    </row>
    <row r="17" spans="2:37" ht="21" x14ac:dyDescent="0.35"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 t="str">
        <f t="shared" si="0"/>
        <v/>
      </c>
      <c r="AE17" s="164" t="str">
        <f t="shared" si="1"/>
        <v/>
      </c>
      <c r="AF17" s="164"/>
      <c r="AG17" s="163"/>
      <c r="AH17" s="164"/>
      <c r="AI17" s="163"/>
      <c r="AJ17" s="162" t="str">
        <f t="shared" si="2"/>
        <v/>
      </c>
      <c r="AK17" s="162" t="str">
        <f t="shared" si="3"/>
        <v/>
      </c>
    </row>
    <row r="18" spans="2:37" ht="21" x14ac:dyDescent="0.35"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 t="str">
        <f t="shared" si="0"/>
        <v/>
      </c>
      <c r="AE18" s="164" t="str">
        <f t="shared" si="1"/>
        <v/>
      </c>
      <c r="AF18" s="164"/>
      <c r="AG18" s="163"/>
      <c r="AH18" s="164"/>
      <c r="AI18" s="163"/>
      <c r="AJ18" s="162" t="str">
        <f t="shared" si="2"/>
        <v/>
      </c>
      <c r="AK18" s="162" t="str">
        <f t="shared" si="3"/>
        <v/>
      </c>
    </row>
    <row r="19" spans="2:37" ht="21" x14ac:dyDescent="0.35"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 t="str">
        <f t="shared" si="0"/>
        <v/>
      </c>
      <c r="AE19" s="164" t="str">
        <f t="shared" si="1"/>
        <v/>
      </c>
      <c r="AF19" s="164"/>
      <c r="AG19" s="163"/>
      <c r="AH19" s="164"/>
      <c r="AI19" s="163"/>
      <c r="AJ19" s="162" t="str">
        <f t="shared" si="2"/>
        <v/>
      </c>
      <c r="AK19" s="162" t="str">
        <f t="shared" si="3"/>
        <v/>
      </c>
    </row>
    <row r="20" spans="2:37" ht="21" x14ac:dyDescent="0.35"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 t="str">
        <f t="shared" si="0"/>
        <v/>
      </c>
      <c r="AE20" s="164" t="str">
        <f t="shared" si="1"/>
        <v/>
      </c>
      <c r="AF20" s="164"/>
      <c r="AG20" s="163"/>
      <c r="AH20" s="164"/>
      <c r="AI20" s="163"/>
      <c r="AJ20" s="162" t="str">
        <f t="shared" si="2"/>
        <v/>
      </c>
      <c r="AK20" s="162" t="str">
        <f t="shared" si="3"/>
        <v/>
      </c>
    </row>
    <row r="21" spans="2:37" ht="21" x14ac:dyDescent="0.35"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4" t="str">
        <f t="shared" si="0"/>
        <v/>
      </c>
      <c r="AE21" s="164" t="str">
        <f t="shared" si="1"/>
        <v/>
      </c>
      <c r="AF21" s="164"/>
      <c r="AG21" s="163"/>
      <c r="AH21" s="164"/>
      <c r="AI21" s="163"/>
      <c r="AJ21" s="162" t="str">
        <f t="shared" si="2"/>
        <v/>
      </c>
      <c r="AK21" s="162" t="str">
        <f t="shared" si="3"/>
        <v/>
      </c>
    </row>
    <row r="22" spans="2:37" ht="21" x14ac:dyDescent="0.35"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 t="str">
        <f t="shared" si="0"/>
        <v/>
      </c>
      <c r="AE22" s="164" t="str">
        <f t="shared" si="1"/>
        <v/>
      </c>
      <c r="AF22" s="164"/>
      <c r="AG22" s="163"/>
      <c r="AH22" s="164"/>
      <c r="AI22" s="163"/>
      <c r="AJ22" s="162" t="str">
        <f t="shared" si="2"/>
        <v/>
      </c>
      <c r="AK22" s="162" t="str">
        <f t="shared" si="3"/>
        <v/>
      </c>
    </row>
    <row r="23" spans="2:37" ht="21" x14ac:dyDescent="0.35"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 t="str">
        <f t="shared" si="0"/>
        <v/>
      </c>
      <c r="AE23" s="164" t="str">
        <f t="shared" si="1"/>
        <v/>
      </c>
      <c r="AF23" s="164"/>
      <c r="AG23" s="163"/>
      <c r="AH23" s="164"/>
      <c r="AI23" s="163"/>
      <c r="AJ23" s="162" t="str">
        <f t="shared" si="2"/>
        <v/>
      </c>
      <c r="AK23" s="162" t="str">
        <f t="shared" si="3"/>
        <v/>
      </c>
    </row>
    <row r="24" spans="2:37" ht="21" x14ac:dyDescent="0.35"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 t="str">
        <f t="shared" si="0"/>
        <v/>
      </c>
      <c r="AE24" s="164" t="str">
        <f t="shared" si="1"/>
        <v/>
      </c>
      <c r="AF24" s="164"/>
      <c r="AG24" s="163"/>
      <c r="AH24" s="164"/>
      <c r="AI24" s="163"/>
      <c r="AJ24" s="162" t="str">
        <f t="shared" si="2"/>
        <v/>
      </c>
      <c r="AK24" s="162" t="str">
        <f t="shared" si="3"/>
        <v/>
      </c>
    </row>
    <row r="25" spans="2:37" ht="21" x14ac:dyDescent="0.35"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4" t="str">
        <f t="shared" si="0"/>
        <v/>
      </c>
      <c r="AE25" s="164" t="str">
        <f t="shared" si="1"/>
        <v/>
      </c>
      <c r="AF25" s="164"/>
      <c r="AG25" s="163"/>
      <c r="AH25" s="164"/>
      <c r="AI25" s="163"/>
      <c r="AJ25" s="162" t="str">
        <f t="shared" si="2"/>
        <v/>
      </c>
      <c r="AK25" s="162" t="str">
        <f t="shared" si="3"/>
        <v/>
      </c>
    </row>
    <row r="26" spans="2:37" ht="21" x14ac:dyDescent="0.35"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4" t="str">
        <f t="shared" si="0"/>
        <v/>
      </c>
      <c r="AE26" s="164" t="str">
        <f t="shared" si="1"/>
        <v/>
      </c>
      <c r="AF26" s="164"/>
      <c r="AG26" s="163"/>
      <c r="AH26" s="164"/>
      <c r="AI26" s="163"/>
      <c r="AJ26" s="162" t="str">
        <f t="shared" si="2"/>
        <v/>
      </c>
      <c r="AK26" s="162" t="str">
        <f t="shared" si="3"/>
        <v/>
      </c>
    </row>
    <row r="27" spans="2:37" ht="21" x14ac:dyDescent="0.35"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 t="str">
        <f t="shared" si="0"/>
        <v/>
      </c>
      <c r="AE27" s="164" t="str">
        <f t="shared" si="1"/>
        <v/>
      </c>
      <c r="AF27" s="164"/>
      <c r="AG27" s="163"/>
      <c r="AH27" s="164"/>
      <c r="AI27" s="163"/>
      <c r="AJ27" s="162" t="str">
        <f t="shared" si="2"/>
        <v/>
      </c>
      <c r="AK27" s="162" t="str">
        <f t="shared" si="3"/>
        <v/>
      </c>
    </row>
    <row r="28" spans="2:37" ht="21" x14ac:dyDescent="0.35"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4" t="str">
        <f t="shared" si="0"/>
        <v/>
      </c>
      <c r="AE28" s="164" t="str">
        <f t="shared" si="1"/>
        <v/>
      </c>
      <c r="AF28" s="164"/>
      <c r="AG28" s="163"/>
      <c r="AH28" s="164"/>
      <c r="AI28" s="163"/>
      <c r="AJ28" s="162" t="str">
        <f t="shared" si="2"/>
        <v/>
      </c>
      <c r="AK28" s="162" t="str">
        <f t="shared" si="3"/>
        <v/>
      </c>
    </row>
    <row r="29" spans="2:37" ht="21" x14ac:dyDescent="0.35"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4" t="str">
        <f t="shared" si="0"/>
        <v/>
      </c>
      <c r="AE29" s="164" t="str">
        <f t="shared" si="1"/>
        <v/>
      </c>
      <c r="AF29" s="164"/>
      <c r="AG29" s="163"/>
      <c r="AH29" s="164"/>
      <c r="AI29" s="163"/>
      <c r="AJ29" s="162" t="str">
        <f t="shared" si="2"/>
        <v/>
      </c>
      <c r="AK29" s="162" t="str">
        <f t="shared" si="3"/>
        <v/>
      </c>
    </row>
    <row r="30" spans="2:37" ht="21" x14ac:dyDescent="0.35"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4" t="str">
        <f t="shared" si="0"/>
        <v/>
      </c>
      <c r="AE30" s="164" t="str">
        <f t="shared" si="1"/>
        <v/>
      </c>
      <c r="AF30" s="164"/>
      <c r="AG30" s="163"/>
      <c r="AH30" s="164"/>
      <c r="AI30" s="163"/>
      <c r="AJ30" s="162" t="str">
        <f t="shared" si="2"/>
        <v/>
      </c>
      <c r="AK30" s="162" t="str">
        <f t="shared" si="3"/>
        <v/>
      </c>
    </row>
    <row r="31" spans="2:37" ht="21" x14ac:dyDescent="0.35"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 t="str">
        <f t="shared" si="0"/>
        <v/>
      </c>
      <c r="AE31" s="164" t="str">
        <f t="shared" si="1"/>
        <v/>
      </c>
      <c r="AF31" s="164"/>
      <c r="AG31" s="163"/>
      <c r="AH31" s="164"/>
      <c r="AI31" s="163"/>
      <c r="AJ31" s="162" t="str">
        <f t="shared" si="2"/>
        <v/>
      </c>
      <c r="AK31" s="162" t="str">
        <f t="shared" si="3"/>
        <v/>
      </c>
    </row>
    <row r="32" spans="2:37" ht="21" x14ac:dyDescent="0.35"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4" t="str">
        <f t="shared" si="0"/>
        <v/>
      </c>
      <c r="AE32" s="164" t="str">
        <f t="shared" si="1"/>
        <v/>
      </c>
      <c r="AF32" s="164"/>
      <c r="AG32" s="163"/>
      <c r="AH32" s="164"/>
      <c r="AI32" s="163"/>
      <c r="AJ32" s="162" t="str">
        <f t="shared" si="2"/>
        <v/>
      </c>
      <c r="AK32" s="162" t="str">
        <f t="shared" si="3"/>
        <v/>
      </c>
    </row>
    <row r="33" spans="2:37" ht="21" x14ac:dyDescent="0.35"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 t="str">
        <f t="shared" si="0"/>
        <v/>
      </c>
      <c r="AE33" s="164" t="str">
        <f t="shared" si="1"/>
        <v/>
      </c>
      <c r="AF33" s="164"/>
      <c r="AG33" s="163"/>
      <c r="AH33" s="164"/>
      <c r="AI33" s="163"/>
      <c r="AJ33" s="162" t="str">
        <f t="shared" si="2"/>
        <v/>
      </c>
      <c r="AK33" s="162" t="str">
        <f t="shared" si="3"/>
        <v/>
      </c>
    </row>
    <row r="34" spans="2:37" ht="21" x14ac:dyDescent="0.35"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 t="str">
        <f t="shared" si="0"/>
        <v/>
      </c>
      <c r="AE34" s="164" t="str">
        <f t="shared" si="1"/>
        <v/>
      </c>
      <c r="AF34" s="164"/>
      <c r="AG34" s="163"/>
      <c r="AH34" s="164"/>
      <c r="AI34" s="163"/>
      <c r="AJ34" s="162" t="str">
        <f t="shared" si="2"/>
        <v/>
      </c>
      <c r="AK34" s="162" t="str">
        <f t="shared" si="3"/>
        <v/>
      </c>
    </row>
    <row r="35" spans="2:37" ht="21" x14ac:dyDescent="0.35"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 t="str">
        <f t="shared" si="0"/>
        <v/>
      </c>
      <c r="AE35" s="164" t="str">
        <f t="shared" si="1"/>
        <v/>
      </c>
      <c r="AF35" s="164"/>
      <c r="AG35" s="163"/>
      <c r="AH35" s="164"/>
      <c r="AI35" s="163"/>
      <c r="AJ35" s="162" t="str">
        <f t="shared" si="2"/>
        <v/>
      </c>
      <c r="AK35" s="162" t="str">
        <f t="shared" si="3"/>
        <v/>
      </c>
    </row>
    <row r="36" spans="2:37" ht="21" x14ac:dyDescent="0.35"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 t="str">
        <f t="shared" si="0"/>
        <v/>
      </c>
      <c r="AE36" s="164" t="str">
        <f t="shared" si="1"/>
        <v/>
      </c>
      <c r="AF36" s="164"/>
      <c r="AG36" s="163"/>
      <c r="AH36" s="164"/>
      <c r="AI36" s="163"/>
      <c r="AJ36" s="162" t="str">
        <f t="shared" si="2"/>
        <v/>
      </c>
      <c r="AK36" s="162" t="str">
        <f t="shared" si="3"/>
        <v/>
      </c>
    </row>
    <row r="37" spans="2:37" ht="21" x14ac:dyDescent="0.35"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 t="str">
        <f t="shared" si="0"/>
        <v/>
      </c>
      <c r="AE37" s="164" t="str">
        <f t="shared" si="1"/>
        <v/>
      </c>
      <c r="AF37" s="164"/>
      <c r="AG37" s="163"/>
      <c r="AH37" s="164"/>
      <c r="AI37" s="163"/>
      <c r="AJ37" s="162" t="str">
        <f t="shared" si="2"/>
        <v/>
      </c>
      <c r="AK37" s="162" t="str">
        <f t="shared" si="3"/>
        <v/>
      </c>
    </row>
    <row r="38" spans="2:37" ht="21" x14ac:dyDescent="0.35"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 t="str">
        <f t="shared" si="0"/>
        <v/>
      </c>
      <c r="AE38" s="164" t="str">
        <f t="shared" si="1"/>
        <v/>
      </c>
      <c r="AF38" s="164"/>
      <c r="AG38" s="163"/>
      <c r="AH38" s="164"/>
      <c r="AI38" s="163"/>
      <c r="AJ38" s="162" t="str">
        <f t="shared" si="2"/>
        <v/>
      </c>
      <c r="AK38" s="162" t="str">
        <f t="shared" si="3"/>
        <v/>
      </c>
    </row>
    <row r="39" spans="2:37" ht="21" x14ac:dyDescent="0.35"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 t="str">
        <f t="shared" si="0"/>
        <v/>
      </c>
      <c r="AE39" s="164" t="str">
        <f t="shared" si="1"/>
        <v/>
      </c>
      <c r="AF39" s="164"/>
      <c r="AG39" s="163"/>
      <c r="AH39" s="164"/>
      <c r="AI39" s="163"/>
      <c r="AJ39" s="162" t="str">
        <f t="shared" si="2"/>
        <v/>
      </c>
      <c r="AK39" s="162" t="str">
        <f t="shared" si="3"/>
        <v/>
      </c>
    </row>
    <row r="40" spans="2:37" ht="21" x14ac:dyDescent="0.35"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 t="str">
        <f t="shared" si="0"/>
        <v/>
      </c>
      <c r="AE40" s="164" t="str">
        <f t="shared" si="1"/>
        <v/>
      </c>
      <c r="AF40" s="164"/>
      <c r="AG40" s="163"/>
      <c r="AH40" s="164"/>
      <c r="AI40" s="163"/>
      <c r="AJ40" s="162" t="str">
        <f t="shared" si="2"/>
        <v/>
      </c>
      <c r="AK40" s="162" t="str">
        <f t="shared" si="3"/>
        <v/>
      </c>
    </row>
    <row r="41" spans="2:37" ht="21" x14ac:dyDescent="0.35"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 t="str">
        <f t="shared" si="0"/>
        <v/>
      </c>
      <c r="AE41" s="164" t="str">
        <f t="shared" si="1"/>
        <v/>
      </c>
      <c r="AF41" s="164"/>
      <c r="AG41" s="163"/>
      <c r="AH41" s="164"/>
      <c r="AI41" s="163"/>
      <c r="AJ41" s="162" t="str">
        <f t="shared" si="2"/>
        <v/>
      </c>
      <c r="AK41" s="162" t="str">
        <f t="shared" si="3"/>
        <v/>
      </c>
    </row>
    <row r="42" spans="2:37" ht="21" x14ac:dyDescent="0.35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 t="str">
        <f t="shared" si="0"/>
        <v/>
      </c>
      <c r="AE42" s="164" t="str">
        <f t="shared" si="1"/>
        <v/>
      </c>
      <c r="AF42" s="164"/>
      <c r="AG42" s="163"/>
      <c r="AH42" s="164"/>
      <c r="AI42" s="163"/>
      <c r="AJ42" s="162" t="str">
        <f t="shared" si="2"/>
        <v/>
      </c>
      <c r="AK42" s="162" t="str">
        <f t="shared" si="3"/>
        <v/>
      </c>
    </row>
    <row r="43" spans="2:37" ht="21" x14ac:dyDescent="0.35"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 t="str">
        <f t="shared" si="0"/>
        <v/>
      </c>
      <c r="AE43" s="164" t="str">
        <f t="shared" si="1"/>
        <v/>
      </c>
      <c r="AF43" s="164"/>
      <c r="AG43" s="163"/>
      <c r="AH43" s="164"/>
      <c r="AI43" s="163"/>
      <c r="AJ43" s="162" t="str">
        <f t="shared" si="2"/>
        <v/>
      </c>
      <c r="AK43" s="162" t="str">
        <f t="shared" si="3"/>
        <v/>
      </c>
    </row>
    <row r="44" spans="2:37" ht="21" x14ac:dyDescent="0.35"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 t="str">
        <f t="shared" si="0"/>
        <v/>
      </c>
      <c r="AE44" s="164" t="str">
        <f t="shared" si="1"/>
        <v/>
      </c>
      <c r="AF44" s="164"/>
      <c r="AG44" s="163"/>
      <c r="AH44" s="164"/>
      <c r="AI44" s="163"/>
      <c r="AJ44" s="162" t="str">
        <f t="shared" si="2"/>
        <v/>
      </c>
      <c r="AK44" s="162" t="str">
        <f t="shared" si="3"/>
        <v/>
      </c>
    </row>
    <row r="45" spans="2:37" ht="21" x14ac:dyDescent="0.35"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 t="str">
        <f t="shared" si="0"/>
        <v/>
      </c>
      <c r="AE45" s="164" t="str">
        <f t="shared" si="1"/>
        <v/>
      </c>
      <c r="AF45" s="164"/>
      <c r="AG45" s="163"/>
      <c r="AH45" s="164"/>
      <c r="AI45" s="163"/>
      <c r="AJ45" s="162" t="str">
        <f t="shared" si="2"/>
        <v/>
      </c>
      <c r="AK45" s="162" t="str">
        <f t="shared" si="3"/>
        <v/>
      </c>
    </row>
    <row r="46" spans="2:37" ht="21" x14ac:dyDescent="0.35"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 t="str">
        <f t="shared" si="0"/>
        <v/>
      </c>
      <c r="AE46" s="164" t="str">
        <f t="shared" si="1"/>
        <v/>
      </c>
      <c r="AF46" s="164"/>
      <c r="AG46" s="163"/>
      <c r="AH46" s="164"/>
      <c r="AI46" s="163"/>
      <c r="AJ46" s="162" t="str">
        <f t="shared" si="2"/>
        <v/>
      </c>
      <c r="AK46" s="162" t="str">
        <f t="shared" si="3"/>
        <v/>
      </c>
    </row>
    <row r="47" spans="2:37" ht="21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 t="str">
        <f t="shared" si="0"/>
        <v/>
      </c>
      <c r="AE47" s="164" t="str">
        <f t="shared" si="1"/>
        <v/>
      </c>
      <c r="AF47" s="164"/>
      <c r="AG47" s="163"/>
      <c r="AH47" s="164"/>
      <c r="AI47" s="163"/>
      <c r="AJ47" s="162" t="str">
        <f t="shared" si="2"/>
        <v/>
      </c>
      <c r="AK47" s="162" t="str">
        <f t="shared" si="3"/>
        <v/>
      </c>
    </row>
    <row r="48" spans="2:37" ht="21" x14ac:dyDescent="0.35"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 t="str">
        <f t="shared" si="0"/>
        <v/>
      </c>
      <c r="AE48" s="164" t="str">
        <f t="shared" si="1"/>
        <v/>
      </c>
      <c r="AF48" s="164"/>
      <c r="AG48" s="163"/>
      <c r="AH48" s="164"/>
      <c r="AI48" s="163"/>
      <c r="AJ48" s="162" t="str">
        <f t="shared" si="2"/>
        <v/>
      </c>
      <c r="AK48" s="162" t="str">
        <f t="shared" si="3"/>
        <v/>
      </c>
    </row>
    <row r="49" spans="2:37" ht="21" x14ac:dyDescent="0.35"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 t="str">
        <f t="shared" si="0"/>
        <v/>
      </c>
      <c r="AE49" s="164" t="str">
        <f t="shared" si="1"/>
        <v/>
      </c>
      <c r="AF49" s="164"/>
      <c r="AG49" s="163"/>
      <c r="AH49" s="164"/>
      <c r="AI49" s="163"/>
      <c r="AJ49" s="162" t="str">
        <f t="shared" si="2"/>
        <v/>
      </c>
      <c r="AK49" s="162" t="str">
        <f t="shared" si="3"/>
        <v/>
      </c>
    </row>
    <row r="50" spans="2:37" ht="21" x14ac:dyDescent="0.35"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 t="str">
        <f t="shared" si="0"/>
        <v/>
      </c>
      <c r="AE50" s="164" t="str">
        <f t="shared" si="1"/>
        <v/>
      </c>
      <c r="AF50" s="164"/>
      <c r="AG50" s="163"/>
      <c r="AH50" s="164"/>
      <c r="AI50" s="163"/>
      <c r="AJ50" s="162" t="str">
        <f t="shared" si="2"/>
        <v/>
      </c>
      <c r="AK50" s="162" t="str">
        <f t="shared" si="3"/>
        <v/>
      </c>
    </row>
    <row r="51" spans="2:37" ht="21" x14ac:dyDescent="0.35"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 t="str">
        <f t="shared" si="0"/>
        <v/>
      </c>
      <c r="AE51" s="164" t="str">
        <f t="shared" si="1"/>
        <v/>
      </c>
      <c r="AF51" s="164"/>
      <c r="AG51" s="163"/>
      <c r="AH51" s="164"/>
      <c r="AI51" s="163"/>
      <c r="AJ51" s="162" t="str">
        <f t="shared" si="2"/>
        <v/>
      </c>
      <c r="AK51" s="162" t="str">
        <f t="shared" si="3"/>
        <v/>
      </c>
    </row>
    <row r="52" spans="2:37" ht="21" x14ac:dyDescent="0.35"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 t="str">
        <f t="shared" si="0"/>
        <v/>
      </c>
      <c r="AE52" s="164" t="str">
        <f t="shared" si="1"/>
        <v/>
      </c>
      <c r="AF52" s="164"/>
      <c r="AG52" s="163"/>
      <c r="AH52" s="164"/>
      <c r="AI52" s="163"/>
      <c r="AJ52" s="162" t="str">
        <f t="shared" si="2"/>
        <v/>
      </c>
      <c r="AK52" s="162" t="str">
        <f t="shared" si="3"/>
        <v/>
      </c>
    </row>
    <row r="53" spans="2:37" ht="21" x14ac:dyDescent="0.35"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 t="str">
        <f t="shared" si="0"/>
        <v/>
      </c>
      <c r="AE53" s="164" t="str">
        <f t="shared" si="1"/>
        <v/>
      </c>
      <c r="AF53" s="164"/>
      <c r="AG53" s="163"/>
      <c r="AH53" s="164"/>
      <c r="AI53" s="163"/>
      <c r="AJ53" s="162" t="str">
        <f t="shared" si="2"/>
        <v/>
      </c>
      <c r="AK53" s="162" t="str">
        <f t="shared" si="3"/>
        <v/>
      </c>
    </row>
    <row r="54" spans="2:37" ht="21" x14ac:dyDescent="0.35"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 t="str">
        <f t="shared" si="0"/>
        <v/>
      </c>
      <c r="AE54" s="164" t="str">
        <f t="shared" si="1"/>
        <v/>
      </c>
      <c r="AF54" s="164"/>
      <c r="AG54" s="163"/>
      <c r="AH54" s="164"/>
      <c r="AI54" s="163"/>
      <c r="AJ54" s="162" t="str">
        <f t="shared" si="2"/>
        <v/>
      </c>
      <c r="AK54" s="162" t="str">
        <f t="shared" si="3"/>
        <v/>
      </c>
    </row>
    <row r="55" spans="2:37" ht="21" x14ac:dyDescent="0.35"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 t="str">
        <f t="shared" si="0"/>
        <v/>
      </c>
      <c r="AE55" s="164" t="str">
        <f t="shared" si="1"/>
        <v/>
      </c>
      <c r="AF55" s="164"/>
      <c r="AG55" s="163"/>
      <c r="AH55" s="164"/>
      <c r="AI55" s="163"/>
      <c r="AJ55" s="162" t="str">
        <f t="shared" si="2"/>
        <v/>
      </c>
      <c r="AK55" s="162" t="str">
        <f t="shared" si="3"/>
        <v/>
      </c>
    </row>
    <row r="56" spans="2:37" ht="21" x14ac:dyDescent="0.35"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 t="str">
        <f t="shared" si="0"/>
        <v/>
      </c>
      <c r="AE56" s="164" t="str">
        <f t="shared" si="1"/>
        <v/>
      </c>
      <c r="AF56" s="164"/>
      <c r="AG56" s="163"/>
      <c r="AH56" s="164"/>
      <c r="AI56" s="163"/>
      <c r="AJ56" s="162" t="str">
        <f t="shared" si="2"/>
        <v/>
      </c>
      <c r="AK56" s="162" t="str">
        <f t="shared" si="3"/>
        <v/>
      </c>
    </row>
    <row r="57" spans="2:37" ht="21" x14ac:dyDescent="0.35"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 t="str">
        <f t="shared" si="0"/>
        <v/>
      </c>
      <c r="AE57" s="164" t="str">
        <f t="shared" si="1"/>
        <v/>
      </c>
      <c r="AF57" s="164"/>
      <c r="AG57" s="163"/>
      <c r="AH57" s="164"/>
      <c r="AI57" s="163"/>
      <c r="AJ57" s="162" t="str">
        <f t="shared" si="2"/>
        <v/>
      </c>
      <c r="AK57" s="162" t="str">
        <f t="shared" si="3"/>
        <v/>
      </c>
    </row>
    <row r="58" spans="2:37" ht="21" x14ac:dyDescent="0.35"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 t="str">
        <f t="shared" si="0"/>
        <v/>
      </c>
      <c r="AE58" s="164" t="str">
        <f t="shared" si="1"/>
        <v/>
      </c>
      <c r="AF58" s="164"/>
      <c r="AG58" s="163"/>
      <c r="AH58" s="164"/>
      <c r="AI58" s="163"/>
      <c r="AJ58" s="162" t="str">
        <f t="shared" si="2"/>
        <v/>
      </c>
      <c r="AK58" s="162" t="str">
        <f t="shared" si="3"/>
        <v/>
      </c>
    </row>
    <row r="59" spans="2:37" ht="21" x14ac:dyDescent="0.35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 t="str">
        <f t="shared" si="0"/>
        <v/>
      </c>
      <c r="AE59" s="164" t="str">
        <f t="shared" si="1"/>
        <v/>
      </c>
      <c r="AF59" s="164"/>
      <c r="AG59" s="163"/>
      <c r="AH59" s="164"/>
      <c r="AI59" s="163"/>
      <c r="AJ59" s="162" t="str">
        <f t="shared" si="2"/>
        <v/>
      </c>
      <c r="AK59" s="162" t="str">
        <f t="shared" si="3"/>
        <v/>
      </c>
    </row>
    <row r="60" spans="2:37" ht="21" x14ac:dyDescent="0.35"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 t="str">
        <f t="shared" si="0"/>
        <v/>
      </c>
      <c r="AE60" s="164" t="str">
        <f t="shared" si="1"/>
        <v/>
      </c>
      <c r="AF60" s="164"/>
      <c r="AG60" s="163"/>
      <c r="AH60" s="164"/>
      <c r="AI60" s="163"/>
      <c r="AJ60" s="162" t="str">
        <f t="shared" si="2"/>
        <v/>
      </c>
      <c r="AK60" s="162" t="str">
        <f t="shared" si="3"/>
        <v/>
      </c>
    </row>
    <row r="61" spans="2:37" ht="21" x14ac:dyDescent="0.35"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 t="str">
        <f t="shared" si="0"/>
        <v/>
      </c>
      <c r="AE61" s="164" t="str">
        <f t="shared" si="1"/>
        <v/>
      </c>
      <c r="AF61" s="164"/>
      <c r="AG61" s="163"/>
      <c r="AH61" s="164"/>
      <c r="AI61" s="163"/>
      <c r="AJ61" s="162" t="str">
        <f t="shared" si="2"/>
        <v/>
      </c>
      <c r="AK61" s="162" t="str">
        <f t="shared" si="3"/>
        <v/>
      </c>
    </row>
    <row r="62" spans="2:37" ht="21" x14ac:dyDescent="0.35"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 t="str">
        <f t="shared" si="0"/>
        <v/>
      </c>
      <c r="AE62" s="164" t="str">
        <f t="shared" si="1"/>
        <v/>
      </c>
      <c r="AF62" s="164"/>
      <c r="AG62" s="163"/>
      <c r="AH62" s="164"/>
      <c r="AI62" s="163"/>
      <c r="AJ62" s="162" t="str">
        <f t="shared" si="2"/>
        <v/>
      </c>
      <c r="AK62" s="162" t="str">
        <f t="shared" si="3"/>
        <v/>
      </c>
    </row>
    <row r="63" spans="2:37" ht="21" x14ac:dyDescent="0.35"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 t="shared" si="0"/>
        <v/>
      </c>
      <c r="AE63" s="164" t="str">
        <f t="shared" si="1"/>
        <v/>
      </c>
      <c r="AF63" s="164"/>
      <c r="AG63" s="163"/>
      <c r="AH63" s="164"/>
      <c r="AI63" s="163"/>
      <c r="AJ63" s="162" t="str">
        <f t="shared" si="2"/>
        <v/>
      </c>
      <c r="AK63" s="162" t="str">
        <f t="shared" si="3"/>
        <v/>
      </c>
    </row>
    <row r="64" spans="2:37" ht="21" x14ac:dyDescent="0.35"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 t="str">
        <f t="shared" si="0"/>
        <v/>
      </c>
      <c r="AE64" s="164" t="str">
        <f t="shared" si="1"/>
        <v/>
      </c>
      <c r="AF64" s="164"/>
      <c r="AG64" s="163"/>
      <c r="AH64" s="164"/>
      <c r="AI64" s="163"/>
      <c r="AJ64" s="162" t="str">
        <f t="shared" si="2"/>
        <v/>
      </c>
      <c r="AK64" s="162" t="str">
        <f t="shared" si="3"/>
        <v/>
      </c>
    </row>
    <row r="65" spans="2:37" ht="21" x14ac:dyDescent="0.35"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 t="str">
        <f t="shared" si="0"/>
        <v/>
      </c>
      <c r="AE65" s="164" t="str">
        <f t="shared" si="1"/>
        <v/>
      </c>
      <c r="AF65" s="164"/>
      <c r="AG65" s="163"/>
      <c r="AH65" s="164"/>
      <c r="AI65" s="163"/>
      <c r="AJ65" s="162" t="str">
        <f t="shared" si="2"/>
        <v/>
      </c>
      <c r="AK65" s="162" t="str">
        <f t="shared" si="3"/>
        <v/>
      </c>
    </row>
    <row r="66" spans="2:37" ht="21" x14ac:dyDescent="0.35"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 t="str">
        <f t="shared" si="0"/>
        <v/>
      </c>
      <c r="AE66" s="164" t="str">
        <f t="shared" si="1"/>
        <v/>
      </c>
      <c r="AF66" s="164"/>
      <c r="AG66" s="163"/>
      <c r="AH66" s="164"/>
      <c r="AI66" s="163"/>
      <c r="AJ66" s="162" t="str">
        <f t="shared" si="2"/>
        <v/>
      </c>
      <c r="AK66" s="162" t="str">
        <f t="shared" si="3"/>
        <v/>
      </c>
    </row>
    <row r="67" spans="2:37" ht="21" x14ac:dyDescent="0.35"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 t="str">
        <f t="shared" si="0"/>
        <v/>
      </c>
      <c r="AE67" s="164" t="str">
        <f t="shared" si="1"/>
        <v/>
      </c>
      <c r="AF67" s="164"/>
      <c r="AG67" s="163"/>
      <c r="AH67" s="164"/>
      <c r="AI67" s="163"/>
      <c r="AJ67" s="162" t="str">
        <f t="shared" si="2"/>
        <v/>
      </c>
      <c r="AK67" s="162" t="str">
        <f t="shared" si="3"/>
        <v/>
      </c>
    </row>
    <row r="68" spans="2:37" ht="21" x14ac:dyDescent="0.35"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 t="str">
        <f t="shared" ref="AD68:AD131" si="4">IF(MIN(F68,J68,N68,R68,V68,Z68)&lt;&gt;0,MIN(F68,J68,N68,R68,V68,Z68),"")</f>
        <v/>
      </c>
      <c r="AE68" s="164" t="str">
        <f t="shared" ref="AE68:AE131" si="5">IF(MIN(H68,L68,P68,T68,X68,AB68)&lt;&gt;0,MIN(H68,L68,P68,T68,X68,AB68),"")</f>
        <v/>
      </c>
      <c r="AF68" s="164"/>
      <c r="AG68" s="163"/>
      <c r="AH68" s="164"/>
      <c r="AI68" s="163"/>
      <c r="AJ68" s="162" t="str">
        <f t="shared" ref="AJ68:AJ131" si="6">IF(AD68="","",IF(ISBLANK(AF68),"En cours",AD68+AF68))</f>
        <v/>
      </c>
      <c r="AK68" s="162" t="str">
        <f t="shared" ref="AK68:AK131" si="7">IF(AE68="","",IF(ISBLANK(AH68),"En cours",AE68+AH68))</f>
        <v/>
      </c>
    </row>
    <row r="69" spans="2:37" ht="21" x14ac:dyDescent="0.35"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 t="str">
        <f t="shared" si="4"/>
        <v/>
      </c>
      <c r="AE69" s="164" t="str">
        <f t="shared" si="5"/>
        <v/>
      </c>
      <c r="AF69" s="164"/>
      <c r="AG69" s="163"/>
      <c r="AH69" s="164"/>
      <c r="AI69" s="163"/>
      <c r="AJ69" s="162" t="str">
        <f t="shared" si="6"/>
        <v/>
      </c>
      <c r="AK69" s="162" t="str">
        <f t="shared" si="7"/>
        <v/>
      </c>
    </row>
    <row r="70" spans="2:37" ht="21" x14ac:dyDescent="0.35"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 t="str">
        <f t="shared" si="4"/>
        <v/>
      </c>
      <c r="AE70" s="164" t="str">
        <f t="shared" si="5"/>
        <v/>
      </c>
      <c r="AF70" s="164"/>
      <c r="AG70" s="163"/>
      <c r="AH70" s="164"/>
      <c r="AI70" s="163"/>
      <c r="AJ70" s="162" t="str">
        <f t="shared" si="6"/>
        <v/>
      </c>
      <c r="AK70" s="162" t="str">
        <f t="shared" si="7"/>
        <v/>
      </c>
    </row>
    <row r="71" spans="2:37" ht="21" x14ac:dyDescent="0.35"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 t="str">
        <f t="shared" si="4"/>
        <v/>
      </c>
      <c r="AE71" s="164" t="str">
        <f t="shared" si="5"/>
        <v/>
      </c>
      <c r="AF71" s="164"/>
      <c r="AG71" s="163"/>
      <c r="AH71" s="164"/>
      <c r="AI71" s="163"/>
      <c r="AJ71" s="162" t="str">
        <f t="shared" si="6"/>
        <v/>
      </c>
      <c r="AK71" s="162" t="str">
        <f t="shared" si="7"/>
        <v/>
      </c>
    </row>
    <row r="72" spans="2:37" ht="21" x14ac:dyDescent="0.35"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 t="str">
        <f t="shared" si="4"/>
        <v/>
      </c>
      <c r="AE72" s="164" t="str">
        <f t="shared" si="5"/>
        <v/>
      </c>
      <c r="AF72" s="164"/>
      <c r="AG72" s="163"/>
      <c r="AH72" s="164"/>
      <c r="AI72" s="163"/>
      <c r="AJ72" s="162" t="str">
        <f t="shared" si="6"/>
        <v/>
      </c>
      <c r="AK72" s="162" t="str">
        <f t="shared" si="7"/>
        <v/>
      </c>
    </row>
    <row r="73" spans="2:37" ht="21" x14ac:dyDescent="0.35"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 t="str">
        <f t="shared" si="4"/>
        <v/>
      </c>
      <c r="AE73" s="164" t="str">
        <f t="shared" si="5"/>
        <v/>
      </c>
      <c r="AF73" s="164"/>
      <c r="AG73" s="163"/>
      <c r="AH73" s="164"/>
      <c r="AI73" s="163"/>
      <c r="AJ73" s="162" t="str">
        <f t="shared" si="6"/>
        <v/>
      </c>
      <c r="AK73" s="162" t="str">
        <f t="shared" si="7"/>
        <v/>
      </c>
    </row>
    <row r="74" spans="2:37" ht="21" x14ac:dyDescent="0.35"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 t="str">
        <f t="shared" si="4"/>
        <v/>
      </c>
      <c r="AE74" s="164" t="str">
        <f t="shared" si="5"/>
        <v/>
      </c>
      <c r="AF74" s="164"/>
      <c r="AG74" s="163"/>
      <c r="AH74" s="164"/>
      <c r="AI74" s="163"/>
      <c r="AJ74" s="162" t="str">
        <f t="shared" si="6"/>
        <v/>
      </c>
      <c r="AK74" s="162" t="str">
        <f t="shared" si="7"/>
        <v/>
      </c>
    </row>
    <row r="75" spans="2:37" ht="21" x14ac:dyDescent="0.35"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 t="shared" si="4"/>
        <v/>
      </c>
      <c r="AE75" s="164" t="str">
        <f t="shared" si="5"/>
        <v/>
      </c>
      <c r="AF75" s="164"/>
      <c r="AG75" s="163"/>
      <c r="AH75" s="164"/>
      <c r="AI75" s="163"/>
      <c r="AJ75" s="162" t="str">
        <f t="shared" si="6"/>
        <v/>
      </c>
      <c r="AK75" s="162" t="str">
        <f t="shared" si="7"/>
        <v/>
      </c>
    </row>
    <row r="76" spans="2:37" ht="21" x14ac:dyDescent="0.35"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 t="str">
        <f t="shared" si="4"/>
        <v/>
      </c>
      <c r="AE76" s="164" t="str">
        <f t="shared" si="5"/>
        <v/>
      </c>
      <c r="AF76" s="164"/>
      <c r="AG76" s="163"/>
      <c r="AH76" s="164"/>
      <c r="AI76" s="163"/>
      <c r="AJ76" s="162" t="str">
        <f t="shared" si="6"/>
        <v/>
      </c>
      <c r="AK76" s="162" t="str">
        <f t="shared" si="7"/>
        <v/>
      </c>
    </row>
    <row r="77" spans="2:37" ht="21" x14ac:dyDescent="0.35"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 t="str">
        <f t="shared" si="4"/>
        <v/>
      </c>
      <c r="AE77" s="164" t="str">
        <f t="shared" si="5"/>
        <v/>
      </c>
      <c r="AF77" s="164"/>
      <c r="AG77" s="163"/>
      <c r="AH77" s="164"/>
      <c r="AI77" s="163"/>
      <c r="AJ77" s="162" t="str">
        <f t="shared" si="6"/>
        <v/>
      </c>
      <c r="AK77" s="162" t="str">
        <f t="shared" si="7"/>
        <v/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 t="shared" si="4"/>
        <v/>
      </c>
      <c r="AE78" s="164" t="str">
        <f t="shared" si="5"/>
        <v/>
      </c>
      <c r="AF78" s="164"/>
      <c r="AG78" s="163"/>
      <c r="AH78" s="164"/>
      <c r="AI78" s="163"/>
      <c r="AJ78" s="162" t="str">
        <f t="shared" si="6"/>
        <v/>
      </c>
      <c r="AK78" s="162" t="str">
        <f t="shared" si="7"/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 t="shared" si="4"/>
        <v/>
      </c>
      <c r="AE79" s="164" t="str">
        <f t="shared" si="5"/>
        <v/>
      </c>
      <c r="AF79" s="164"/>
      <c r="AG79" s="163"/>
      <c r="AH79" s="164"/>
      <c r="AI79" s="163"/>
      <c r="AJ79" s="162" t="str">
        <f t="shared" si="6"/>
        <v/>
      </c>
      <c r="AK79" s="162" t="str">
        <f t="shared" si="7"/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 t="shared" si="4"/>
        <v/>
      </c>
      <c r="AE80" s="164" t="str">
        <f t="shared" si="5"/>
        <v/>
      </c>
      <c r="AF80" s="164"/>
      <c r="AG80" s="163"/>
      <c r="AH80" s="164"/>
      <c r="AI80" s="163"/>
      <c r="AJ80" s="162" t="str">
        <f t="shared" si="6"/>
        <v/>
      </c>
      <c r="AK80" s="162" t="str">
        <f t="shared" si="7"/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 t="shared" si="4"/>
        <v/>
      </c>
      <c r="AE81" s="164" t="str">
        <f t="shared" si="5"/>
        <v/>
      </c>
      <c r="AF81" s="164"/>
      <c r="AG81" s="163"/>
      <c r="AH81" s="164"/>
      <c r="AI81" s="163"/>
      <c r="AJ81" s="162" t="str">
        <f t="shared" si="6"/>
        <v/>
      </c>
      <c r="AK81" s="162" t="str">
        <f t="shared" si="7"/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 t="shared" si="4"/>
        <v/>
      </c>
      <c r="AE82" s="164" t="str">
        <f t="shared" si="5"/>
        <v/>
      </c>
      <c r="AF82" s="164"/>
      <c r="AG82" s="163"/>
      <c r="AH82" s="164"/>
      <c r="AI82" s="163"/>
      <c r="AJ82" s="162" t="str">
        <f t="shared" si="6"/>
        <v/>
      </c>
      <c r="AK82" s="162" t="str">
        <f t="shared" si="7"/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 t="shared" si="4"/>
        <v/>
      </c>
      <c r="AE83" s="164" t="str">
        <f t="shared" si="5"/>
        <v/>
      </c>
      <c r="AF83" s="164"/>
      <c r="AG83" s="163"/>
      <c r="AH83" s="164"/>
      <c r="AI83" s="163"/>
      <c r="AJ83" s="162" t="str">
        <f t="shared" si="6"/>
        <v/>
      </c>
      <c r="AK83" s="162" t="str">
        <f t="shared" si="7"/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 t="shared" si="4"/>
        <v/>
      </c>
      <c r="AE84" s="164" t="str">
        <f t="shared" si="5"/>
        <v/>
      </c>
      <c r="AF84" s="164"/>
      <c r="AG84" s="163"/>
      <c r="AH84" s="164"/>
      <c r="AI84" s="163"/>
      <c r="AJ84" s="162" t="str">
        <f t="shared" si="6"/>
        <v/>
      </c>
      <c r="AK84" s="162" t="str">
        <f t="shared" si="7"/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 t="shared" si="4"/>
        <v/>
      </c>
      <c r="AE85" s="164" t="str">
        <f t="shared" si="5"/>
        <v/>
      </c>
      <c r="AF85" s="164"/>
      <c r="AG85" s="163"/>
      <c r="AH85" s="164"/>
      <c r="AI85" s="163"/>
      <c r="AJ85" s="162" t="str">
        <f t="shared" si="6"/>
        <v/>
      </c>
      <c r="AK85" s="162" t="str">
        <f t="shared" si="7"/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 t="shared" si="4"/>
        <v/>
      </c>
      <c r="AE86" s="164" t="str">
        <f t="shared" si="5"/>
        <v/>
      </c>
      <c r="AF86" s="164"/>
      <c r="AG86" s="163"/>
      <c r="AH86" s="164"/>
      <c r="AI86" s="163"/>
      <c r="AJ86" s="162" t="str">
        <f t="shared" si="6"/>
        <v/>
      </c>
      <c r="AK86" s="162" t="str">
        <f t="shared" si="7"/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 t="shared" si="4"/>
        <v/>
      </c>
      <c r="AE87" s="164" t="str">
        <f t="shared" si="5"/>
        <v/>
      </c>
      <c r="AF87" s="164"/>
      <c r="AG87" s="163"/>
      <c r="AH87" s="164"/>
      <c r="AI87" s="163"/>
      <c r="AJ87" s="162" t="str">
        <f t="shared" si="6"/>
        <v/>
      </c>
      <c r="AK87" s="162" t="str">
        <f t="shared" si="7"/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 t="shared" si="4"/>
        <v/>
      </c>
      <c r="AE88" s="164" t="str">
        <f t="shared" si="5"/>
        <v/>
      </c>
      <c r="AF88" s="164"/>
      <c r="AG88" s="163"/>
      <c r="AH88" s="164"/>
      <c r="AI88" s="163"/>
      <c r="AJ88" s="162" t="str">
        <f t="shared" si="6"/>
        <v/>
      </c>
      <c r="AK88" s="162" t="str">
        <f t="shared" si="7"/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 t="shared" si="4"/>
        <v/>
      </c>
      <c r="AE89" s="164" t="str">
        <f t="shared" si="5"/>
        <v/>
      </c>
      <c r="AF89" s="164"/>
      <c r="AG89" s="163"/>
      <c r="AH89" s="164"/>
      <c r="AI89" s="163"/>
      <c r="AJ89" s="162" t="str">
        <f t="shared" si="6"/>
        <v/>
      </c>
      <c r="AK89" s="162" t="str">
        <f t="shared" si="7"/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 t="shared" si="4"/>
        <v/>
      </c>
      <c r="AE90" s="164" t="str">
        <f t="shared" si="5"/>
        <v/>
      </c>
      <c r="AF90" s="164"/>
      <c r="AG90" s="163"/>
      <c r="AH90" s="164"/>
      <c r="AI90" s="163"/>
      <c r="AJ90" s="162" t="str">
        <f t="shared" si="6"/>
        <v/>
      </c>
      <c r="AK90" s="162" t="str">
        <f t="shared" si="7"/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 t="shared" si="4"/>
        <v/>
      </c>
      <c r="AE91" s="164" t="str">
        <f t="shared" si="5"/>
        <v/>
      </c>
      <c r="AF91" s="164"/>
      <c r="AG91" s="163"/>
      <c r="AH91" s="164"/>
      <c r="AI91" s="163"/>
      <c r="AJ91" s="162" t="str">
        <f t="shared" si="6"/>
        <v/>
      </c>
      <c r="AK91" s="162" t="str">
        <f t="shared" si="7"/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 t="shared" si="4"/>
        <v/>
      </c>
      <c r="AE92" s="164" t="str">
        <f t="shared" si="5"/>
        <v/>
      </c>
      <c r="AF92" s="164"/>
      <c r="AG92" s="163"/>
      <c r="AH92" s="164"/>
      <c r="AI92" s="163"/>
      <c r="AJ92" s="162" t="str">
        <f t="shared" si="6"/>
        <v/>
      </c>
      <c r="AK92" s="162" t="str">
        <f t="shared" si="7"/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 t="shared" si="4"/>
        <v/>
      </c>
      <c r="AE93" s="164" t="str">
        <f t="shared" si="5"/>
        <v/>
      </c>
      <c r="AF93" s="164"/>
      <c r="AG93" s="163"/>
      <c r="AH93" s="164"/>
      <c r="AI93" s="163"/>
      <c r="AJ93" s="162" t="str">
        <f t="shared" si="6"/>
        <v/>
      </c>
      <c r="AK93" s="162" t="str">
        <f t="shared" si="7"/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 t="shared" si="4"/>
        <v/>
      </c>
      <c r="AE94" s="164" t="str">
        <f t="shared" si="5"/>
        <v/>
      </c>
      <c r="AF94" s="164"/>
      <c r="AG94" s="163"/>
      <c r="AH94" s="164"/>
      <c r="AI94" s="163"/>
      <c r="AJ94" s="162" t="str">
        <f t="shared" si="6"/>
        <v/>
      </c>
      <c r="AK94" s="162" t="str">
        <f t="shared" si="7"/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 t="shared" si="4"/>
        <v/>
      </c>
      <c r="AE95" s="164" t="str">
        <f t="shared" si="5"/>
        <v/>
      </c>
      <c r="AF95" s="164"/>
      <c r="AG95" s="163"/>
      <c r="AH95" s="164"/>
      <c r="AI95" s="163"/>
      <c r="AJ95" s="162" t="str">
        <f t="shared" si="6"/>
        <v/>
      </c>
      <c r="AK95" s="162" t="str">
        <f t="shared" si="7"/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 t="shared" si="4"/>
        <v/>
      </c>
      <c r="AE96" s="164" t="str">
        <f t="shared" si="5"/>
        <v/>
      </c>
      <c r="AF96" s="164"/>
      <c r="AG96" s="163"/>
      <c r="AH96" s="164"/>
      <c r="AI96" s="163"/>
      <c r="AJ96" s="162" t="str">
        <f t="shared" si="6"/>
        <v/>
      </c>
      <c r="AK96" s="162" t="str">
        <f t="shared" si="7"/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 t="shared" si="4"/>
        <v/>
      </c>
      <c r="AE97" s="164" t="str">
        <f t="shared" si="5"/>
        <v/>
      </c>
      <c r="AF97" s="164"/>
      <c r="AG97" s="163"/>
      <c r="AH97" s="164"/>
      <c r="AI97" s="163"/>
      <c r="AJ97" s="162" t="str">
        <f t="shared" si="6"/>
        <v/>
      </c>
      <c r="AK97" s="162" t="str">
        <f t="shared" si="7"/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 t="shared" si="4"/>
        <v/>
      </c>
      <c r="AE98" s="164" t="str">
        <f t="shared" si="5"/>
        <v/>
      </c>
      <c r="AF98" s="164"/>
      <c r="AG98" s="163"/>
      <c r="AH98" s="164"/>
      <c r="AI98" s="163"/>
      <c r="AJ98" s="162" t="str">
        <f t="shared" si="6"/>
        <v/>
      </c>
      <c r="AK98" s="162" t="str">
        <f t="shared" si="7"/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 t="shared" si="4"/>
        <v/>
      </c>
      <c r="AE99" s="164" t="str">
        <f t="shared" si="5"/>
        <v/>
      </c>
      <c r="AF99" s="164"/>
      <c r="AG99" s="163"/>
      <c r="AH99" s="164"/>
      <c r="AI99" s="163"/>
      <c r="AJ99" s="162" t="str">
        <f t="shared" si="6"/>
        <v/>
      </c>
      <c r="AK99" s="162" t="str">
        <f t="shared" si="7"/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 t="shared" si="4"/>
        <v/>
      </c>
      <c r="AE100" s="164" t="str">
        <f t="shared" si="5"/>
        <v/>
      </c>
      <c r="AF100" s="164"/>
      <c r="AG100" s="163"/>
      <c r="AH100" s="164"/>
      <c r="AI100" s="163"/>
      <c r="AJ100" s="162" t="str">
        <f t="shared" si="6"/>
        <v/>
      </c>
      <c r="AK100" s="162" t="str">
        <f t="shared" si="7"/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 t="shared" si="4"/>
        <v/>
      </c>
      <c r="AE101" s="164" t="str">
        <f t="shared" si="5"/>
        <v/>
      </c>
      <c r="AF101" s="164"/>
      <c r="AG101" s="163"/>
      <c r="AH101" s="164"/>
      <c r="AI101" s="163"/>
      <c r="AJ101" s="162" t="str">
        <f t="shared" si="6"/>
        <v/>
      </c>
      <c r="AK101" s="162" t="str">
        <f t="shared" si="7"/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 t="shared" si="4"/>
        <v/>
      </c>
      <c r="AE102" s="164" t="str">
        <f t="shared" si="5"/>
        <v/>
      </c>
      <c r="AF102" s="164"/>
      <c r="AG102" s="163"/>
      <c r="AH102" s="164"/>
      <c r="AI102" s="163"/>
      <c r="AJ102" s="162" t="str">
        <f t="shared" si="6"/>
        <v/>
      </c>
      <c r="AK102" s="162" t="str">
        <f t="shared" si="7"/>
        <v/>
      </c>
    </row>
    <row r="103" spans="2:37" ht="21" x14ac:dyDescent="0.35">
      <c r="B103" s="163"/>
      <c r="C103" s="163"/>
      <c r="D103" s="163"/>
      <c r="E103" s="163"/>
      <c r="F103" s="163"/>
      <c r="G103" s="163"/>
      <c r="H103" s="163"/>
      <c r="I103" s="163"/>
      <c r="J103" s="163"/>
      <c r="K103" s="163"/>
      <c r="L103" s="163"/>
      <c r="M103" s="163"/>
      <c r="N103" s="163"/>
      <c r="O103" s="163"/>
      <c r="P103" s="163"/>
      <c r="Q103" s="163"/>
      <c r="R103" s="163"/>
      <c r="S103" s="163"/>
      <c r="T103" s="163"/>
      <c r="U103" s="163"/>
      <c r="V103" s="163"/>
      <c r="W103" s="163"/>
      <c r="X103" s="163"/>
      <c r="Y103" s="163"/>
      <c r="Z103" s="163"/>
      <c r="AA103" s="163"/>
      <c r="AB103" s="163"/>
      <c r="AC103" s="163"/>
      <c r="AD103" s="164" t="str">
        <f t="shared" si="4"/>
        <v/>
      </c>
      <c r="AE103" s="164" t="str">
        <f t="shared" si="5"/>
        <v/>
      </c>
      <c r="AF103" s="164"/>
      <c r="AG103" s="163"/>
      <c r="AH103" s="164"/>
      <c r="AI103" s="163"/>
      <c r="AJ103" s="162" t="str">
        <f t="shared" si="6"/>
        <v/>
      </c>
      <c r="AK103" s="162" t="str">
        <f t="shared" si="7"/>
        <v/>
      </c>
    </row>
    <row r="104" spans="2:37" ht="21" x14ac:dyDescent="0.35">
      <c r="B104" s="163"/>
      <c r="C104" s="163"/>
      <c r="D104" s="163"/>
      <c r="E104" s="163"/>
      <c r="F104" s="163"/>
      <c r="G104" s="163"/>
      <c r="H104" s="163"/>
      <c r="I104" s="163"/>
      <c r="J104" s="163"/>
      <c r="K104" s="163"/>
      <c r="L104" s="163"/>
      <c r="M104" s="163"/>
      <c r="N104" s="163"/>
      <c r="O104" s="163"/>
      <c r="P104" s="163"/>
      <c r="Q104" s="163"/>
      <c r="R104" s="163"/>
      <c r="S104" s="163"/>
      <c r="T104" s="163"/>
      <c r="U104" s="163"/>
      <c r="V104" s="163"/>
      <c r="W104" s="163"/>
      <c r="X104" s="163"/>
      <c r="Y104" s="163"/>
      <c r="Z104" s="163"/>
      <c r="AA104" s="163"/>
      <c r="AB104" s="163"/>
      <c r="AC104" s="163"/>
      <c r="AD104" s="164" t="str">
        <f t="shared" si="4"/>
        <v/>
      </c>
      <c r="AE104" s="164" t="str">
        <f t="shared" si="5"/>
        <v/>
      </c>
      <c r="AF104" s="164"/>
      <c r="AG104" s="163"/>
      <c r="AH104" s="164"/>
      <c r="AI104" s="163"/>
      <c r="AJ104" s="162" t="str">
        <f t="shared" si="6"/>
        <v/>
      </c>
      <c r="AK104" s="162" t="str">
        <f t="shared" si="7"/>
        <v/>
      </c>
    </row>
    <row r="105" spans="2:37" ht="21" x14ac:dyDescent="0.35">
      <c r="B105" s="163"/>
      <c r="C105" s="163"/>
      <c r="D105" s="163"/>
      <c r="E105" s="163"/>
      <c r="F105" s="163"/>
      <c r="G105" s="163"/>
      <c r="H105" s="163"/>
      <c r="I105" s="163"/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4" t="str">
        <f t="shared" si="4"/>
        <v/>
      </c>
      <c r="AE105" s="164" t="str">
        <f t="shared" si="5"/>
        <v/>
      </c>
      <c r="AF105" s="164"/>
      <c r="AG105" s="163"/>
      <c r="AH105" s="164"/>
      <c r="AI105" s="163"/>
      <c r="AJ105" s="162" t="str">
        <f t="shared" si="6"/>
        <v/>
      </c>
      <c r="AK105" s="162" t="str">
        <f t="shared" si="7"/>
        <v/>
      </c>
    </row>
    <row r="106" spans="2:37" ht="21" x14ac:dyDescent="0.35">
      <c r="B106" s="163"/>
      <c r="C106" s="163"/>
      <c r="D106" s="163"/>
      <c r="E106" s="163"/>
      <c r="F106" s="163"/>
      <c r="G106" s="163"/>
      <c r="H106" s="163"/>
      <c r="I106" s="163"/>
      <c r="J106" s="163"/>
      <c r="K106" s="163"/>
      <c r="L106" s="163"/>
      <c r="M106" s="163"/>
      <c r="N106" s="163"/>
      <c r="O106" s="163"/>
      <c r="P106" s="163"/>
      <c r="Q106" s="163"/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4" t="str">
        <f t="shared" si="4"/>
        <v/>
      </c>
      <c r="AE106" s="164" t="str">
        <f t="shared" si="5"/>
        <v/>
      </c>
      <c r="AF106" s="164"/>
      <c r="AG106" s="163"/>
      <c r="AH106" s="164"/>
      <c r="AI106" s="163"/>
      <c r="AJ106" s="162" t="str">
        <f t="shared" si="6"/>
        <v/>
      </c>
      <c r="AK106" s="162" t="str">
        <f t="shared" si="7"/>
        <v/>
      </c>
    </row>
    <row r="107" spans="2:37" ht="21" x14ac:dyDescent="0.35">
      <c r="B107" s="163"/>
      <c r="C107" s="163"/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  <c r="Y107" s="163"/>
      <c r="Z107" s="163"/>
      <c r="AA107" s="163"/>
      <c r="AB107" s="163"/>
      <c r="AC107" s="163"/>
      <c r="AD107" s="164" t="str">
        <f t="shared" si="4"/>
        <v/>
      </c>
      <c r="AE107" s="164" t="str">
        <f t="shared" si="5"/>
        <v/>
      </c>
      <c r="AF107" s="164"/>
      <c r="AG107" s="163"/>
      <c r="AH107" s="164"/>
      <c r="AI107" s="163"/>
      <c r="AJ107" s="162" t="str">
        <f t="shared" si="6"/>
        <v/>
      </c>
      <c r="AK107" s="162" t="str">
        <f t="shared" si="7"/>
        <v/>
      </c>
    </row>
    <row r="108" spans="2:37" ht="21" x14ac:dyDescent="0.35">
      <c r="B108" s="163"/>
      <c r="C108" s="163"/>
      <c r="D108" s="163"/>
      <c r="E108" s="163"/>
      <c r="F108" s="163"/>
      <c r="G108" s="163"/>
      <c r="H108" s="163"/>
      <c r="I108" s="163"/>
      <c r="J108" s="163"/>
      <c r="K108" s="163"/>
      <c r="L108" s="163"/>
      <c r="M108" s="163"/>
      <c r="N108" s="163"/>
      <c r="O108" s="163"/>
      <c r="P108" s="163"/>
      <c r="Q108" s="163"/>
      <c r="R108" s="163"/>
      <c r="S108" s="163"/>
      <c r="T108" s="163"/>
      <c r="U108" s="163"/>
      <c r="V108" s="163"/>
      <c r="W108" s="163"/>
      <c r="X108" s="163"/>
      <c r="Y108" s="163"/>
      <c r="Z108" s="163"/>
      <c r="AA108" s="163"/>
      <c r="AB108" s="163"/>
      <c r="AC108" s="163"/>
      <c r="AD108" s="164" t="str">
        <f t="shared" si="4"/>
        <v/>
      </c>
      <c r="AE108" s="164" t="str">
        <f t="shared" si="5"/>
        <v/>
      </c>
      <c r="AF108" s="164"/>
      <c r="AG108" s="163"/>
      <c r="AH108" s="164"/>
      <c r="AI108" s="163"/>
      <c r="AJ108" s="162" t="str">
        <f t="shared" si="6"/>
        <v/>
      </c>
      <c r="AK108" s="162" t="str">
        <f t="shared" si="7"/>
        <v/>
      </c>
    </row>
    <row r="109" spans="2:37" ht="21" x14ac:dyDescent="0.35">
      <c r="B109" s="163"/>
      <c r="C109" s="163"/>
      <c r="D109" s="163"/>
      <c r="E109" s="163"/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/>
      <c r="W109" s="163"/>
      <c r="X109" s="163"/>
      <c r="Y109" s="163"/>
      <c r="Z109" s="163"/>
      <c r="AA109" s="163"/>
      <c r="AB109" s="163"/>
      <c r="AC109" s="163"/>
      <c r="AD109" s="164" t="str">
        <f t="shared" si="4"/>
        <v/>
      </c>
      <c r="AE109" s="164" t="str">
        <f t="shared" si="5"/>
        <v/>
      </c>
      <c r="AF109" s="164"/>
      <c r="AG109" s="163"/>
      <c r="AH109" s="164"/>
      <c r="AI109" s="163"/>
      <c r="AJ109" s="162" t="str">
        <f t="shared" si="6"/>
        <v/>
      </c>
      <c r="AK109" s="162" t="str">
        <f t="shared" si="7"/>
        <v/>
      </c>
    </row>
    <row r="110" spans="2:37" ht="21" x14ac:dyDescent="0.35">
      <c r="B110" s="163"/>
      <c r="C110" s="163"/>
      <c r="D110" s="163"/>
      <c r="E110" s="163"/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/>
      <c r="S110" s="163"/>
      <c r="T110" s="163"/>
      <c r="U110" s="163"/>
      <c r="V110" s="163"/>
      <c r="W110" s="163"/>
      <c r="X110" s="163"/>
      <c r="Y110" s="163"/>
      <c r="Z110" s="163"/>
      <c r="AA110" s="163"/>
      <c r="AB110" s="163"/>
      <c r="AC110" s="163"/>
      <c r="AD110" s="164" t="str">
        <f t="shared" si="4"/>
        <v/>
      </c>
      <c r="AE110" s="164" t="str">
        <f t="shared" si="5"/>
        <v/>
      </c>
      <c r="AF110" s="164"/>
      <c r="AG110" s="163"/>
      <c r="AH110" s="164"/>
      <c r="AI110" s="163"/>
      <c r="AJ110" s="162" t="str">
        <f t="shared" si="6"/>
        <v/>
      </c>
      <c r="AK110" s="162" t="str">
        <f t="shared" si="7"/>
        <v/>
      </c>
    </row>
    <row r="111" spans="2:37" ht="21" x14ac:dyDescent="0.35">
      <c r="B111" s="163"/>
      <c r="C111" s="163"/>
      <c r="D111" s="163"/>
      <c r="E111" s="163"/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/>
      <c r="S111" s="163"/>
      <c r="T111" s="163"/>
      <c r="U111" s="163"/>
      <c r="V111" s="163"/>
      <c r="W111" s="163"/>
      <c r="X111" s="163"/>
      <c r="Y111" s="163"/>
      <c r="Z111" s="163"/>
      <c r="AA111" s="163"/>
      <c r="AB111" s="163"/>
      <c r="AC111" s="163"/>
      <c r="AD111" s="164" t="str">
        <f t="shared" si="4"/>
        <v/>
      </c>
      <c r="AE111" s="164" t="str">
        <f t="shared" si="5"/>
        <v/>
      </c>
      <c r="AF111" s="164"/>
      <c r="AG111" s="163"/>
      <c r="AH111" s="164"/>
      <c r="AI111" s="163"/>
      <c r="AJ111" s="162" t="str">
        <f t="shared" si="6"/>
        <v/>
      </c>
      <c r="AK111" s="162" t="str">
        <f t="shared" si="7"/>
        <v/>
      </c>
    </row>
    <row r="112" spans="2:37" ht="21" x14ac:dyDescent="0.35">
      <c r="B112" s="163"/>
      <c r="C112" s="163"/>
      <c r="D112" s="163"/>
      <c r="E112" s="163"/>
      <c r="F112" s="163"/>
      <c r="G112" s="163"/>
      <c r="H112" s="163"/>
      <c r="I112" s="163"/>
      <c r="J112" s="163"/>
      <c r="K112" s="163"/>
      <c r="L112" s="163"/>
      <c r="M112" s="163"/>
      <c r="N112" s="163"/>
      <c r="O112" s="163"/>
      <c r="P112" s="163"/>
      <c r="Q112" s="163"/>
      <c r="R112" s="163"/>
      <c r="S112" s="163"/>
      <c r="T112" s="163"/>
      <c r="U112" s="163"/>
      <c r="V112" s="163"/>
      <c r="W112" s="163"/>
      <c r="X112" s="163"/>
      <c r="Y112" s="163"/>
      <c r="Z112" s="163"/>
      <c r="AA112" s="163"/>
      <c r="AB112" s="163"/>
      <c r="AC112" s="163"/>
      <c r="AD112" s="164" t="str">
        <f t="shared" si="4"/>
        <v/>
      </c>
      <c r="AE112" s="164" t="str">
        <f t="shared" si="5"/>
        <v/>
      </c>
      <c r="AF112" s="164"/>
      <c r="AG112" s="163"/>
      <c r="AH112" s="164"/>
      <c r="AI112" s="163"/>
      <c r="AJ112" s="162" t="str">
        <f t="shared" si="6"/>
        <v/>
      </c>
      <c r="AK112" s="162" t="str">
        <f t="shared" si="7"/>
        <v/>
      </c>
    </row>
    <row r="113" spans="2:37" ht="21" x14ac:dyDescent="0.35">
      <c r="B113" s="163"/>
      <c r="C113" s="163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/>
      <c r="S113" s="163"/>
      <c r="T113" s="163"/>
      <c r="U113" s="163"/>
      <c r="V113" s="163"/>
      <c r="W113" s="163"/>
      <c r="X113" s="163"/>
      <c r="Y113" s="163"/>
      <c r="Z113" s="163"/>
      <c r="AA113" s="163"/>
      <c r="AB113" s="163"/>
      <c r="AC113" s="163"/>
      <c r="AD113" s="164" t="str">
        <f t="shared" si="4"/>
        <v/>
      </c>
      <c r="AE113" s="164" t="str">
        <f t="shared" si="5"/>
        <v/>
      </c>
      <c r="AF113" s="164"/>
      <c r="AG113" s="163"/>
      <c r="AH113" s="164"/>
      <c r="AI113" s="163"/>
      <c r="AJ113" s="162" t="str">
        <f t="shared" si="6"/>
        <v/>
      </c>
      <c r="AK113" s="162" t="str">
        <f t="shared" si="7"/>
        <v/>
      </c>
    </row>
    <row r="114" spans="2:37" ht="21" x14ac:dyDescent="0.35">
      <c r="B114" s="163"/>
      <c r="C114" s="163"/>
      <c r="D114" s="163"/>
      <c r="E114" s="163"/>
      <c r="F114" s="163"/>
      <c r="G114" s="163"/>
      <c r="H114" s="163"/>
      <c r="I114" s="163"/>
      <c r="J114" s="163"/>
      <c r="K114" s="163"/>
      <c r="L114" s="163"/>
      <c r="M114" s="163"/>
      <c r="N114" s="163"/>
      <c r="O114" s="163"/>
      <c r="P114" s="163"/>
      <c r="Q114" s="163"/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4" t="str">
        <f t="shared" si="4"/>
        <v/>
      </c>
      <c r="AE114" s="164" t="str">
        <f t="shared" si="5"/>
        <v/>
      </c>
      <c r="AF114" s="164"/>
      <c r="AG114" s="163"/>
      <c r="AH114" s="164"/>
      <c r="AI114" s="163"/>
      <c r="AJ114" s="162" t="str">
        <f t="shared" si="6"/>
        <v/>
      </c>
      <c r="AK114" s="162" t="str">
        <f t="shared" si="7"/>
        <v/>
      </c>
    </row>
    <row r="115" spans="2:37" ht="21" x14ac:dyDescent="0.35">
      <c r="B115" s="163"/>
      <c r="C115" s="163"/>
      <c r="D115" s="163"/>
      <c r="E115" s="163"/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/>
      <c r="S115" s="163"/>
      <c r="T115" s="163"/>
      <c r="U115" s="163"/>
      <c r="V115" s="163"/>
      <c r="W115" s="163"/>
      <c r="X115" s="163"/>
      <c r="Y115" s="163"/>
      <c r="Z115" s="163"/>
      <c r="AA115" s="163"/>
      <c r="AB115" s="163"/>
      <c r="AC115" s="163"/>
      <c r="AD115" s="164" t="str">
        <f t="shared" si="4"/>
        <v/>
      </c>
      <c r="AE115" s="164" t="str">
        <f t="shared" si="5"/>
        <v/>
      </c>
      <c r="AF115" s="164"/>
      <c r="AG115" s="163"/>
      <c r="AH115" s="164"/>
      <c r="AI115" s="163"/>
      <c r="AJ115" s="162" t="str">
        <f t="shared" si="6"/>
        <v/>
      </c>
      <c r="AK115" s="162" t="str">
        <f t="shared" si="7"/>
        <v/>
      </c>
    </row>
    <row r="116" spans="2:37" ht="21" x14ac:dyDescent="0.35">
      <c r="B116" s="163"/>
      <c r="C116" s="163"/>
      <c r="D116" s="163"/>
      <c r="E116" s="163"/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4" t="str">
        <f t="shared" si="4"/>
        <v/>
      </c>
      <c r="AE116" s="164" t="str">
        <f t="shared" si="5"/>
        <v/>
      </c>
      <c r="AF116" s="164"/>
      <c r="AG116" s="163"/>
      <c r="AH116" s="164"/>
      <c r="AI116" s="163"/>
      <c r="AJ116" s="162" t="str">
        <f t="shared" si="6"/>
        <v/>
      </c>
      <c r="AK116" s="162" t="str">
        <f t="shared" si="7"/>
        <v/>
      </c>
    </row>
    <row r="117" spans="2:37" ht="21" x14ac:dyDescent="0.35">
      <c r="B117" s="163"/>
      <c r="C117" s="163"/>
      <c r="D117" s="163"/>
      <c r="E117" s="163"/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/>
      <c r="W117" s="163"/>
      <c r="X117" s="163"/>
      <c r="Y117" s="163"/>
      <c r="Z117" s="163"/>
      <c r="AA117" s="163"/>
      <c r="AB117" s="163"/>
      <c r="AC117" s="163"/>
      <c r="AD117" s="164" t="str">
        <f t="shared" si="4"/>
        <v/>
      </c>
      <c r="AE117" s="164" t="str">
        <f t="shared" si="5"/>
        <v/>
      </c>
      <c r="AF117" s="164"/>
      <c r="AG117" s="163"/>
      <c r="AH117" s="164"/>
      <c r="AI117" s="163"/>
      <c r="AJ117" s="162" t="str">
        <f t="shared" si="6"/>
        <v/>
      </c>
      <c r="AK117" s="162" t="str">
        <f t="shared" si="7"/>
        <v/>
      </c>
    </row>
    <row r="118" spans="2:37" ht="21" x14ac:dyDescent="0.35">
      <c r="B118" s="163"/>
      <c r="C118" s="163"/>
      <c r="D118" s="163"/>
      <c r="E118" s="163"/>
      <c r="F118" s="163"/>
      <c r="G118" s="163"/>
      <c r="H118" s="163"/>
      <c r="I118" s="163"/>
      <c r="J118" s="163"/>
      <c r="K118" s="163"/>
      <c r="L118" s="163"/>
      <c r="M118" s="163"/>
      <c r="N118" s="163"/>
      <c r="O118" s="163"/>
      <c r="P118" s="163"/>
      <c r="Q118" s="163"/>
      <c r="R118" s="163"/>
      <c r="S118" s="163"/>
      <c r="T118" s="163"/>
      <c r="U118" s="163"/>
      <c r="V118" s="163"/>
      <c r="W118" s="163"/>
      <c r="X118" s="163"/>
      <c r="Y118" s="163"/>
      <c r="Z118" s="163"/>
      <c r="AA118" s="163"/>
      <c r="AB118" s="163"/>
      <c r="AC118" s="163"/>
      <c r="AD118" s="164" t="str">
        <f t="shared" si="4"/>
        <v/>
      </c>
      <c r="AE118" s="164" t="str">
        <f t="shared" si="5"/>
        <v/>
      </c>
      <c r="AF118" s="164"/>
      <c r="AG118" s="163"/>
      <c r="AH118" s="164"/>
      <c r="AI118" s="163"/>
      <c r="AJ118" s="162" t="str">
        <f t="shared" si="6"/>
        <v/>
      </c>
      <c r="AK118" s="162" t="str">
        <f t="shared" si="7"/>
        <v/>
      </c>
    </row>
    <row r="119" spans="2:37" ht="21" x14ac:dyDescent="0.35">
      <c r="B119" s="163"/>
      <c r="C119" s="163"/>
      <c r="D119" s="163"/>
      <c r="E119" s="163"/>
      <c r="F119" s="163"/>
      <c r="G119" s="163"/>
      <c r="H119" s="163"/>
      <c r="I119" s="163"/>
      <c r="J119" s="163"/>
      <c r="K119" s="163"/>
      <c r="L119" s="163"/>
      <c r="M119" s="163"/>
      <c r="N119" s="163"/>
      <c r="O119" s="163"/>
      <c r="P119" s="163"/>
      <c r="Q119" s="163"/>
      <c r="R119" s="163"/>
      <c r="S119" s="163"/>
      <c r="T119" s="163"/>
      <c r="U119" s="163"/>
      <c r="V119" s="163"/>
      <c r="W119" s="163"/>
      <c r="X119" s="163"/>
      <c r="Y119" s="163"/>
      <c r="Z119" s="163"/>
      <c r="AA119" s="163"/>
      <c r="AB119" s="163"/>
      <c r="AC119" s="163"/>
      <c r="AD119" s="164" t="str">
        <f t="shared" si="4"/>
        <v/>
      </c>
      <c r="AE119" s="164" t="str">
        <f t="shared" si="5"/>
        <v/>
      </c>
      <c r="AF119" s="164"/>
      <c r="AG119" s="163"/>
      <c r="AH119" s="164"/>
      <c r="AI119" s="163"/>
      <c r="AJ119" s="162" t="str">
        <f t="shared" si="6"/>
        <v/>
      </c>
      <c r="AK119" s="162" t="str">
        <f t="shared" si="7"/>
        <v/>
      </c>
    </row>
    <row r="120" spans="2:37" ht="21" x14ac:dyDescent="0.35">
      <c r="B120" s="163"/>
      <c r="C120" s="163"/>
      <c r="D120" s="163"/>
      <c r="E120" s="163"/>
      <c r="F120" s="163"/>
      <c r="G120" s="163"/>
      <c r="H120" s="163"/>
      <c r="I120" s="163"/>
      <c r="J120" s="163"/>
      <c r="K120" s="163"/>
      <c r="L120" s="163"/>
      <c r="M120" s="163"/>
      <c r="N120" s="163"/>
      <c r="O120" s="163"/>
      <c r="P120" s="163"/>
      <c r="Q120" s="163"/>
      <c r="R120" s="163"/>
      <c r="S120" s="163"/>
      <c r="T120" s="163"/>
      <c r="U120" s="163"/>
      <c r="V120" s="163"/>
      <c r="W120" s="163"/>
      <c r="X120" s="163"/>
      <c r="Y120" s="163"/>
      <c r="Z120" s="163"/>
      <c r="AA120" s="163"/>
      <c r="AB120" s="163"/>
      <c r="AC120" s="163"/>
      <c r="AD120" s="164" t="str">
        <f t="shared" si="4"/>
        <v/>
      </c>
      <c r="AE120" s="164" t="str">
        <f t="shared" si="5"/>
        <v/>
      </c>
      <c r="AF120" s="164"/>
      <c r="AG120" s="163"/>
      <c r="AH120" s="164"/>
      <c r="AI120" s="163"/>
      <c r="AJ120" s="162" t="str">
        <f t="shared" si="6"/>
        <v/>
      </c>
      <c r="AK120" s="162" t="str">
        <f t="shared" si="7"/>
        <v/>
      </c>
    </row>
    <row r="121" spans="2:37" ht="21" x14ac:dyDescent="0.35">
      <c r="B121" s="163"/>
      <c r="C121" s="163"/>
      <c r="D121" s="163"/>
      <c r="E121" s="163"/>
      <c r="F121" s="163"/>
      <c r="G121" s="163"/>
      <c r="H121" s="163"/>
      <c r="I121" s="163"/>
      <c r="J121" s="163"/>
      <c r="K121" s="163"/>
      <c r="L121" s="163"/>
      <c r="M121" s="163"/>
      <c r="N121" s="163"/>
      <c r="O121" s="163"/>
      <c r="P121" s="163"/>
      <c r="Q121" s="163"/>
      <c r="R121" s="163"/>
      <c r="S121" s="163"/>
      <c r="T121" s="163"/>
      <c r="U121" s="163"/>
      <c r="V121" s="163"/>
      <c r="W121" s="163"/>
      <c r="X121" s="163"/>
      <c r="Y121" s="163"/>
      <c r="Z121" s="163"/>
      <c r="AA121" s="163"/>
      <c r="AB121" s="163"/>
      <c r="AC121" s="163"/>
      <c r="AD121" s="164" t="str">
        <f t="shared" si="4"/>
        <v/>
      </c>
      <c r="AE121" s="164" t="str">
        <f t="shared" si="5"/>
        <v/>
      </c>
      <c r="AF121" s="164"/>
      <c r="AG121" s="163"/>
      <c r="AH121" s="164"/>
      <c r="AI121" s="163"/>
      <c r="AJ121" s="162" t="str">
        <f t="shared" si="6"/>
        <v/>
      </c>
      <c r="AK121" s="162" t="str">
        <f t="shared" si="7"/>
        <v/>
      </c>
    </row>
    <row r="122" spans="2:37" ht="21" x14ac:dyDescent="0.35"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  <c r="Y122" s="163"/>
      <c r="Z122" s="163"/>
      <c r="AA122" s="163"/>
      <c r="AB122" s="163"/>
      <c r="AC122" s="163"/>
      <c r="AD122" s="164" t="str">
        <f t="shared" si="4"/>
        <v/>
      </c>
      <c r="AE122" s="164" t="str">
        <f t="shared" si="5"/>
        <v/>
      </c>
      <c r="AF122" s="164"/>
      <c r="AG122" s="163"/>
      <c r="AH122" s="164"/>
      <c r="AI122" s="163"/>
      <c r="AJ122" s="162" t="str">
        <f t="shared" si="6"/>
        <v/>
      </c>
      <c r="AK122" s="162" t="str">
        <f t="shared" si="7"/>
        <v/>
      </c>
    </row>
    <row r="123" spans="2:37" ht="21" x14ac:dyDescent="0.35">
      <c r="B123" s="163"/>
      <c r="C123" s="163"/>
      <c r="D123" s="163"/>
      <c r="E123" s="163"/>
      <c r="F123" s="163"/>
      <c r="G123" s="163"/>
      <c r="H123" s="163"/>
      <c r="I123" s="163"/>
      <c r="J123" s="163"/>
      <c r="K123" s="163"/>
      <c r="L123" s="163"/>
      <c r="M123" s="163"/>
      <c r="N123" s="163"/>
      <c r="O123" s="163"/>
      <c r="P123" s="163"/>
      <c r="Q123" s="163"/>
      <c r="R123" s="163"/>
      <c r="S123" s="163"/>
      <c r="T123" s="163"/>
      <c r="U123" s="163"/>
      <c r="V123" s="163"/>
      <c r="W123" s="163"/>
      <c r="X123" s="163"/>
      <c r="Y123" s="163"/>
      <c r="Z123" s="163"/>
      <c r="AA123" s="163"/>
      <c r="AB123" s="163"/>
      <c r="AC123" s="163"/>
      <c r="AD123" s="164" t="str">
        <f t="shared" si="4"/>
        <v/>
      </c>
      <c r="AE123" s="164" t="str">
        <f t="shared" si="5"/>
        <v/>
      </c>
      <c r="AF123" s="164"/>
      <c r="AG123" s="163"/>
      <c r="AH123" s="164"/>
      <c r="AI123" s="163"/>
      <c r="AJ123" s="162" t="str">
        <f t="shared" si="6"/>
        <v/>
      </c>
      <c r="AK123" s="162" t="str">
        <f t="shared" si="7"/>
        <v/>
      </c>
    </row>
    <row r="124" spans="2:37" ht="21" x14ac:dyDescent="0.35">
      <c r="B124" s="163"/>
      <c r="C124" s="163"/>
      <c r="D124" s="163"/>
      <c r="E124" s="163"/>
      <c r="F124" s="163"/>
      <c r="G124" s="163"/>
      <c r="H124" s="163"/>
      <c r="I124" s="163"/>
      <c r="J124" s="163"/>
      <c r="K124" s="163"/>
      <c r="L124" s="163"/>
      <c r="M124" s="163"/>
      <c r="N124" s="163"/>
      <c r="O124" s="163"/>
      <c r="P124" s="163"/>
      <c r="Q124" s="163"/>
      <c r="R124" s="163"/>
      <c r="S124" s="163"/>
      <c r="T124" s="163"/>
      <c r="U124" s="163"/>
      <c r="V124" s="163"/>
      <c r="W124" s="163"/>
      <c r="X124" s="163"/>
      <c r="Y124" s="163"/>
      <c r="Z124" s="163"/>
      <c r="AA124" s="163"/>
      <c r="AB124" s="163"/>
      <c r="AC124" s="163"/>
      <c r="AD124" s="164" t="str">
        <f t="shared" si="4"/>
        <v/>
      </c>
      <c r="AE124" s="164" t="str">
        <f t="shared" si="5"/>
        <v/>
      </c>
      <c r="AF124" s="164"/>
      <c r="AG124" s="163"/>
      <c r="AH124" s="164"/>
      <c r="AI124" s="163"/>
      <c r="AJ124" s="162" t="str">
        <f t="shared" si="6"/>
        <v/>
      </c>
      <c r="AK124" s="162" t="str">
        <f t="shared" si="7"/>
        <v/>
      </c>
    </row>
    <row r="125" spans="2:37" ht="21" x14ac:dyDescent="0.35">
      <c r="B125" s="163"/>
      <c r="C125" s="163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163"/>
      <c r="T125" s="163"/>
      <c r="U125" s="163"/>
      <c r="V125" s="163"/>
      <c r="W125" s="163"/>
      <c r="X125" s="163"/>
      <c r="Y125" s="163"/>
      <c r="Z125" s="163"/>
      <c r="AA125" s="163"/>
      <c r="AB125" s="163"/>
      <c r="AC125" s="163"/>
      <c r="AD125" s="164" t="str">
        <f t="shared" si="4"/>
        <v/>
      </c>
      <c r="AE125" s="164" t="str">
        <f t="shared" si="5"/>
        <v/>
      </c>
      <c r="AF125" s="164"/>
      <c r="AG125" s="163"/>
      <c r="AH125" s="164"/>
      <c r="AI125" s="163"/>
      <c r="AJ125" s="162" t="str">
        <f t="shared" si="6"/>
        <v/>
      </c>
      <c r="AK125" s="162" t="str">
        <f t="shared" si="7"/>
        <v/>
      </c>
    </row>
    <row r="126" spans="2:37" ht="21" x14ac:dyDescent="0.35">
      <c r="B126" s="163"/>
      <c r="C126" s="163"/>
      <c r="D126" s="163"/>
      <c r="E126" s="163"/>
      <c r="F126" s="163"/>
      <c r="G126" s="163"/>
      <c r="H126" s="163"/>
      <c r="I126" s="163"/>
      <c r="J126" s="163"/>
      <c r="K126" s="163"/>
      <c r="L126" s="163"/>
      <c r="M126" s="163"/>
      <c r="N126" s="163"/>
      <c r="O126" s="163"/>
      <c r="P126" s="163"/>
      <c r="Q126" s="163"/>
      <c r="R126" s="163"/>
      <c r="S126" s="163"/>
      <c r="T126" s="163"/>
      <c r="U126" s="163"/>
      <c r="V126" s="163"/>
      <c r="W126" s="163"/>
      <c r="X126" s="163"/>
      <c r="Y126" s="163"/>
      <c r="Z126" s="163"/>
      <c r="AA126" s="163"/>
      <c r="AB126" s="163"/>
      <c r="AC126" s="163"/>
      <c r="AD126" s="164" t="str">
        <f t="shared" si="4"/>
        <v/>
      </c>
      <c r="AE126" s="164" t="str">
        <f t="shared" si="5"/>
        <v/>
      </c>
      <c r="AF126" s="164"/>
      <c r="AG126" s="163"/>
      <c r="AH126" s="164"/>
      <c r="AI126" s="163"/>
      <c r="AJ126" s="162" t="str">
        <f t="shared" si="6"/>
        <v/>
      </c>
      <c r="AK126" s="162" t="str">
        <f t="shared" si="7"/>
        <v/>
      </c>
    </row>
    <row r="127" spans="2:37" ht="21" x14ac:dyDescent="0.35">
      <c r="B127" s="163"/>
      <c r="C127" s="163"/>
      <c r="D127" s="163"/>
      <c r="E127" s="163"/>
      <c r="F127" s="163"/>
      <c r="G127" s="163"/>
      <c r="H127" s="163"/>
      <c r="I127" s="163"/>
      <c r="J127" s="163"/>
      <c r="K127" s="163"/>
      <c r="L127" s="163"/>
      <c r="M127" s="163"/>
      <c r="N127" s="163"/>
      <c r="O127" s="163"/>
      <c r="P127" s="163"/>
      <c r="Q127" s="163"/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4" t="str">
        <f t="shared" si="4"/>
        <v/>
      </c>
      <c r="AE127" s="164" t="str">
        <f t="shared" si="5"/>
        <v/>
      </c>
      <c r="AF127" s="164"/>
      <c r="AG127" s="163"/>
      <c r="AH127" s="164"/>
      <c r="AI127" s="163"/>
      <c r="AJ127" s="162" t="str">
        <f t="shared" si="6"/>
        <v/>
      </c>
      <c r="AK127" s="162" t="str">
        <f t="shared" si="7"/>
        <v/>
      </c>
    </row>
    <row r="128" spans="2:37" ht="21" x14ac:dyDescent="0.35">
      <c r="B128" s="163"/>
      <c r="C128" s="163"/>
      <c r="D128" s="163"/>
      <c r="E128" s="163"/>
      <c r="F128" s="163"/>
      <c r="G128" s="163"/>
      <c r="H128" s="163"/>
      <c r="I128" s="163"/>
      <c r="J128" s="163"/>
      <c r="K128" s="163"/>
      <c r="L128" s="163"/>
      <c r="M128" s="163"/>
      <c r="N128" s="163"/>
      <c r="O128" s="163"/>
      <c r="P128" s="163"/>
      <c r="Q128" s="163"/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4" t="str">
        <f t="shared" si="4"/>
        <v/>
      </c>
      <c r="AE128" s="164" t="str">
        <f t="shared" si="5"/>
        <v/>
      </c>
      <c r="AF128" s="164"/>
      <c r="AG128" s="163"/>
      <c r="AH128" s="164"/>
      <c r="AI128" s="163"/>
      <c r="AJ128" s="162" t="str">
        <f t="shared" si="6"/>
        <v/>
      </c>
      <c r="AK128" s="162" t="str">
        <f t="shared" si="7"/>
        <v/>
      </c>
    </row>
    <row r="129" spans="2:37" ht="21" x14ac:dyDescent="0.35">
      <c r="B129" s="163"/>
      <c r="C129" s="163"/>
      <c r="D129" s="163"/>
      <c r="E129" s="163"/>
      <c r="F129" s="163"/>
      <c r="G129" s="163"/>
      <c r="H129" s="163"/>
      <c r="I129" s="163"/>
      <c r="J129" s="163"/>
      <c r="K129" s="163"/>
      <c r="L129" s="163"/>
      <c r="M129" s="163"/>
      <c r="N129" s="163"/>
      <c r="O129" s="163"/>
      <c r="P129" s="163"/>
      <c r="Q129" s="163"/>
      <c r="R129" s="163"/>
      <c r="S129" s="163"/>
      <c r="T129" s="163"/>
      <c r="U129" s="163"/>
      <c r="V129" s="163"/>
      <c r="W129" s="163"/>
      <c r="X129" s="163"/>
      <c r="Y129" s="163"/>
      <c r="Z129" s="163"/>
      <c r="AA129" s="163"/>
      <c r="AB129" s="163"/>
      <c r="AC129" s="163"/>
      <c r="AD129" s="164" t="str">
        <f t="shared" si="4"/>
        <v/>
      </c>
      <c r="AE129" s="164" t="str">
        <f t="shared" si="5"/>
        <v/>
      </c>
      <c r="AF129" s="164"/>
      <c r="AG129" s="163"/>
      <c r="AH129" s="164"/>
      <c r="AI129" s="163"/>
      <c r="AJ129" s="162" t="str">
        <f t="shared" si="6"/>
        <v/>
      </c>
      <c r="AK129" s="162" t="str">
        <f t="shared" si="7"/>
        <v/>
      </c>
    </row>
    <row r="130" spans="2:37" ht="21" x14ac:dyDescent="0.35">
      <c r="B130" s="163"/>
      <c r="C130" s="163"/>
      <c r="D130" s="163"/>
      <c r="E130" s="163"/>
      <c r="F130" s="163"/>
      <c r="G130" s="163"/>
      <c r="H130" s="163"/>
      <c r="I130" s="163"/>
      <c r="J130" s="163"/>
      <c r="K130" s="163"/>
      <c r="L130" s="163"/>
      <c r="M130" s="163"/>
      <c r="N130" s="163"/>
      <c r="O130" s="163"/>
      <c r="P130" s="163"/>
      <c r="Q130" s="163"/>
      <c r="R130" s="163"/>
      <c r="S130" s="163"/>
      <c r="T130" s="163"/>
      <c r="U130" s="163"/>
      <c r="V130" s="163"/>
      <c r="W130" s="163"/>
      <c r="X130" s="163"/>
      <c r="Y130" s="163"/>
      <c r="Z130" s="163"/>
      <c r="AA130" s="163"/>
      <c r="AB130" s="163"/>
      <c r="AC130" s="163"/>
      <c r="AD130" s="164" t="str">
        <f t="shared" si="4"/>
        <v/>
      </c>
      <c r="AE130" s="164" t="str">
        <f t="shared" si="5"/>
        <v/>
      </c>
      <c r="AF130" s="164"/>
      <c r="AG130" s="163"/>
      <c r="AH130" s="164"/>
      <c r="AI130" s="163"/>
      <c r="AJ130" s="162" t="str">
        <f t="shared" si="6"/>
        <v/>
      </c>
      <c r="AK130" s="162" t="str">
        <f t="shared" si="7"/>
        <v/>
      </c>
    </row>
    <row r="131" spans="2:37" ht="21" x14ac:dyDescent="0.35">
      <c r="B131" s="163"/>
      <c r="C131" s="163"/>
      <c r="D131" s="163"/>
      <c r="E131" s="163"/>
      <c r="F131" s="163"/>
      <c r="G131" s="163"/>
      <c r="H131" s="163"/>
      <c r="I131" s="163"/>
      <c r="J131" s="163"/>
      <c r="K131" s="163"/>
      <c r="L131" s="163"/>
      <c r="M131" s="163"/>
      <c r="N131" s="163"/>
      <c r="O131" s="163"/>
      <c r="P131" s="163"/>
      <c r="Q131" s="163"/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4" t="str">
        <f t="shared" si="4"/>
        <v/>
      </c>
      <c r="AE131" s="164" t="str">
        <f t="shared" si="5"/>
        <v/>
      </c>
      <c r="AF131" s="164"/>
      <c r="AG131" s="163"/>
      <c r="AH131" s="164"/>
      <c r="AI131" s="163"/>
      <c r="AJ131" s="162" t="str">
        <f t="shared" si="6"/>
        <v/>
      </c>
      <c r="AK131" s="162" t="str">
        <f t="shared" si="7"/>
        <v/>
      </c>
    </row>
    <row r="132" spans="2:37" ht="21" x14ac:dyDescent="0.35"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4" t="str">
        <f t="shared" ref="AD132:AD195" si="8">IF(MIN(F132,J132,N132,R132,V132,Z132)&lt;&gt;0,MIN(F132,J132,N132,R132,V132,Z132),"")</f>
        <v/>
      </c>
      <c r="AE132" s="164" t="str">
        <f t="shared" ref="AE132:AE195" si="9">IF(MIN(H132,L132,P132,T132,X132,AB132)&lt;&gt;0,MIN(H132,L132,P132,T132,X132,AB132),"")</f>
        <v/>
      </c>
      <c r="AF132" s="164"/>
      <c r="AG132" s="163"/>
      <c r="AH132" s="164"/>
      <c r="AI132" s="163"/>
      <c r="AJ132" s="162" t="str">
        <f t="shared" ref="AJ132:AJ195" si="10">IF(AD132="","",IF(ISBLANK(AF132),"En cours",AD132+AF132))</f>
        <v/>
      </c>
      <c r="AK132" s="162" t="str">
        <f t="shared" ref="AK132:AK195" si="11">IF(AE132="","",IF(ISBLANK(AH132),"En cours",AE132+AH132))</f>
        <v/>
      </c>
    </row>
    <row r="133" spans="2:37" ht="21" x14ac:dyDescent="0.35">
      <c r="B133" s="163"/>
      <c r="C133" s="163"/>
      <c r="D133" s="163"/>
      <c r="E133" s="163"/>
      <c r="F133" s="163"/>
      <c r="G133" s="163"/>
      <c r="H133" s="163"/>
      <c r="I133" s="163"/>
      <c r="J133" s="163"/>
      <c r="K133" s="163"/>
      <c r="L133" s="163"/>
      <c r="M133" s="163"/>
      <c r="N133" s="163"/>
      <c r="O133" s="163"/>
      <c r="P133" s="163"/>
      <c r="Q133" s="163"/>
      <c r="R133" s="163"/>
      <c r="S133" s="163"/>
      <c r="T133" s="163"/>
      <c r="U133" s="163"/>
      <c r="V133" s="163"/>
      <c r="W133" s="163"/>
      <c r="X133" s="163"/>
      <c r="Y133" s="163"/>
      <c r="Z133" s="163"/>
      <c r="AA133" s="163"/>
      <c r="AB133" s="163"/>
      <c r="AC133" s="163"/>
      <c r="AD133" s="164" t="str">
        <f t="shared" si="8"/>
        <v/>
      </c>
      <c r="AE133" s="164" t="str">
        <f t="shared" si="9"/>
        <v/>
      </c>
      <c r="AF133" s="164"/>
      <c r="AG133" s="163"/>
      <c r="AH133" s="164"/>
      <c r="AI133" s="163"/>
      <c r="AJ133" s="162" t="str">
        <f t="shared" si="10"/>
        <v/>
      </c>
      <c r="AK133" s="162" t="str">
        <f t="shared" si="11"/>
        <v/>
      </c>
    </row>
    <row r="134" spans="2:37" ht="21" x14ac:dyDescent="0.35">
      <c r="B134" s="163"/>
      <c r="C134" s="163"/>
      <c r="D134" s="163"/>
      <c r="E134" s="163"/>
      <c r="F134" s="163"/>
      <c r="G134" s="163"/>
      <c r="H134" s="163"/>
      <c r="I134" s="163"/>
      <c r="J134" s="163"/>
      <c r="K134" s="163"/>
      <c r="L134" s="163"/>
      <c r="M134" s="163"/>
      <c r="N134" s="163"/>
      <c r="O134" s="163"/>
      <c r="P134" s="163"/>
      <c r="Q134" s="163"/>
      <c r="R134" s="163"/>
      <c r="S134" s="163"/>
      <c r="T134" s="163"/>
      <c r="U134" s="163"/>
      <c r="V134" s="163"/>
      <c r="W134" s="163"/>
      <c r="X134" s="163"/>
      <c r="Y134" s="163"/>
      <c r="Z134" s="163"/>
      <c r="AA134" s="163"/>
      <c r="AB134" s="163"/>
      <c r="AC134" s="163"/>
      <c r="AD134" s="164" t="str">
        <f t="shared" si="8"/>
        <v/>
      </c>
      <c r="AE134" s="164" t="str">
        <f t="shared" si="9"/>
        <v/>
      </c>
      <c r="AF134" s="164"/>
      <c r="AG134" s="163"/>
      <c r="AH134" s="164"/>
      <c r="AI134" s="163"/>
      <c r="AJ134" s="162" t="str">
        <f t="shared" si="10"/>
        <v/>
      </c>
      <c r="AK134" s="162" t="str">
        <f t="shared" si="11"/>
        <v/>
      </c>
    </row>
    <row r="135" spans="2:37" ht="21" x14ac:dyDescent="0.35">
      <c r="B135" s="163"/>
      <c r="C135" s="163"/>
      <c r="D135" s="163"/>
      <c r="E135" s="163"/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/>
      <c r="S135" s="163"/>
      <c r="T135" s="163"/>
      <c r="U135" s="163"/>
      <c r="V135" s="163"/>
      <c r="W135" s="163"/>
      <c r="X135" s="163"/>
      <c r="Y135" s="163"/>
      <c r="Z135" s="163"/>
      <c r="AA135" s="163"/>
      <c r="AB135" s="163"/>
      <c r="AC135" s="163"/>
      <c r="AD135" s="164" t="str">
        <f t="shared" si="8"/>
        <v/>
      </c>
      <c r="AE135" s="164" t="str">
        <f t="shared" si="9"/>
        <v/>
      </c>
      <c r="AF135" s="164"/>
      <c r="AG135" s="163"/>
      <c r="AH135" s="164"/>
      <c r="AI135" s="163"/>
      <c r="AJ135" s="162" t="str">
        <f t="shared" si="10"/>
        <v/>
      </c>
      <c r="AK135" s="162" t="str">
        <f t="shared" si="11"/>
        <v/>
      </c>
    </row>
    <row r="136" spans="2:37" ht="21" x14ac:dyDescent="0.35"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4" t="str">
        <f t="shared" si="8"/>
        <v/>
      </c>
      <c r="AE136" s="164" t="str">
        <f t="shared" si="9"/>
        <v/>
      </c>
      <c r="AF136" s="164"/>
      <c r="AG136" s="163"/>
      <c r="AH136" s="164"/>
      <c r="AI136" s="163"/>
      <c r="AJ136" s="162" t="str">
        <f t="shared" si="10"/>
        <v/>
      </c>
      <c r="AK136" s="162" t="str">
        <f t="shared" si="11"/>
        <v/>
      </c>
    </row>
    <row r="137" spans="2:37" ht="21" x14ac:dyDescent="0.35">
      <c r="B137" s="163"/>
      <c r="C137" s="163"/>
      <c r="D137" s="163"/>
      <c r="E137" s="163"/>
      <c r="F137" s="163"/>
      <c r="G137" s="163"/>
      <c r="H137" s="163"/>
      <c r="I137" s="163"/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/>
      <c r="W137" s="163"/>
      <c r="X137" s="163"/>
      <c r="Y137" s="163"/>
      <c r="Z137" s="163"/>
      <c r="AA137" s="163"/>
      <c r="AB137" s="163"/>
      <c r="AC137" s="163"/>
      <c r="AD137" s="164" t="str">
        <f t="shared" si="8"/>
        <v/>
      </c>
      <c r="AE137" s="164" t="str">
        <f t="shared" si="9"/>
        <v/>
      </c>
      <c r="AF137" s="164"/>
      <c r="AG137" s="163"/>
      <c r="AH137" s="164"/>
      <c r="AI137" s="163"/>
      <c r="AJ137" s="162" t="str">
        <f t="shared" si="10"/>
        <v/>
      </c>
      <c r="AK137" s="162" t="str">
        <f t="shared" si="11"/>
        <v/>
      </c>
    </row>
    <row r="138" spans="2:37" ht="21" x14ac:dyDescent="0.35">
      <c r="B138" s="163"/>
      <c r="C138" s="163"/>
      <c r="D138" s="163"/>
      <c r="E138" s="163"/>
      <c r="F138" s="163"/>
      <c r="G138" s="163"/>
      <c r="H138" s="163"/>
      <c r="I138" s="163"/>
      <c r="J138" s="163"/>
      <c r="K138" s="163"/>
      <c r="L138" s="163"/>
      <c r="M138" s="163"/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4" t="str">
        <f t="shared" si="8"/>
        <v/>
      </c>
      <c r="AE138" s="164" t="str">
        <f t="shared" si="9"/>
        <v/>
      </c>
      <c r="AF138" s="164"/>
      <c r="AG138" s="163"/>
      <c r="AH138" s="164"/>
      <c r="AI138" s="163"/>
      <c r="AJ138" s="162" t="str">
        <f t="shared" si="10"/>
        <v/>
      </c>
      <c r="AK138" s="162" t="str">
        <f t="shared" si="11"/>
        <v/>
      </c>
    </row>
    <row r="139" spans="2:37" ht="21" x14ac:dyDescent="0.35">
      <c r="B139" s="163"/>
      <c r="C139" s="163"/>
      <c r="D139" s="163"/>
      <c r="E139" s="163"/>
      <c r="F139" s="163"/>
      <c r="G139" s="163"/>
      <c r="H139" s="163"/>
      <c r="I139" s="163"/>
      <c r="J139" s="163"/>
      <c r="K139" s="163"/>
      <c r="L139" s="163"/>
      <c r="M139" s="163"/>
      <c r="N139" s="163"/>
      <c r="O139" s="163"/>
      <c r="P139" s="163"/>
      <c r="Q139" s="163"/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4" t="str">
        <f t="shared" si="8"/>
        <v/>
      </c>
      <c r="AE139" s="164" t="str">
        <f t="shared" si="9"/>
        <v/>
      </c>
      <c r="AF139" s="164"/>
      <c r="AG139" s="163"/>
      <c r="AH139" s="164"/>
      <c r="AI139" s="163"/>
      <c r="AJ139" s="162" t="str">
        <f t="shared" si="10"/>
        <v/>
      </c>
      <c r="AK139" s="162" t="str">
        <f t="shared" si="11"/>
        <v/>
      </c>
    </row>
    <row r="140" spans="2:37" ht="21" x14ac:dyDescent="0.35">
      <c r="B140" s="163"/>
      <c r="C140" s="163"/>
      <c r="D140" s="163"/>
      <c r="E140" s="163"/>
      <c r="F140" s="163"/>
      <c r="G140" s="163"/>
      <c r="H140" s="163"/>
      <c r="I140" s="163"/>
      <c r="J140" s="163"/>
      <c r="K140" s="163"/>
      <c r="L140" s="163"/>
      <c r="M140" s="163"/>
      <c r="N140" s="163"/>
      <c r="O140" s="163"/>
      <c r="P140" s="163"/>
      <c r="Q140" s="163"/>
      <c r="R140" s="163"/>
      <c r="S140" s="163"/>
      <c r="T140" s="163"/>
      <c r="U140" s="163"/>
      <c r="V140" s="163"/>
      <c r="W140" s="163"/>
      <c r="X140" s="163"/>
      <c r="Y140" s="163"/>
      <c r="Z140" s="163"/>
      <c r="AA140" s="163"/>
      <c r="AB140" s="163"/>
      <c r="AC140" s="163"/>
      <c r="AD140" s="164" t="str">
        <f t="shared" si="8"/>
        <v/>
      </c>
      <c r="AE140" s="164" t="str">
        <f t="shared" si="9"/>
        <v/>
      </c>
      <c r="AF140" s="164"/>
      <c r="AG140" s="163"/>
      <c r="AH140" s="164"/>
      <c r="AI140" s="163"/>
      <c r="AJ140" s="162" t="str">
        <f t="shared" si="10"/>
        <v/>
      </c>
      <c r="AK140" s="162" t="str">
        <f t="shared" si="11"/>
        <v/>
      </c>
    </row>
    <row r="141" spans="2:37" ht="21" x14ac:dyDescent="0.35">
      <c r="B141" s="163"/>
      <c r="C141" s="163"/>
      <c r="D141" s="163"/>
      <c r="E141" s="163"/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/>
      <c r="AA141" s="163"/>
      <c r="AB141" s="163"/>
      <c r="AC141" s="163"/>
      <c r="AD141" s="164" t="str">
        <f t="shared" si="8"/>
        <v/>
      </c>
      <c r="AE141" s="164" t="str">
        <f t="shared" si="9"/>
        <v/>
      </c>
      <c r="AF141" s="164"/>
      <c r="AG141" s="163"/>
      <c r="AH141" s="164"/>
      <c r="AI141" s="163"/>
      <c r="AJ141" s="162" t="str">
        <f t="shared" si="10"/>
        <v/>
      </c>
      <c r="AK141" s="162" t="str">
        <f t="shared" si="11"/>
        <v/>
      </c>
    </row>
    <row r="142" spans="2:37" ht="21" x14ac:dyDescent="0.35">
      <c r="B142" s="163"/>
      <c r="C142" s="163"/>
      <c r="D142" s="163"/>
      <c r="E142" s="163"/>
      <c r="F142" s="163"/>
      <c r="G142" s="163"/>
      <c r="H142" s="163"/>
      <c r="I142" s="163"/>
      <c r="J142" s="163"/>
      <c r="K142" s="163"/>
      <c r="L142" s="163"/>
      <c r="M142" s="163"/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4" t="str">
        <f t="shared" si="8"/>
        <v/>
      </c>
      <c r="AE142" s="164" t="str">
        <f t="shared" si="9"/>
        <v/>
      </c>
      <c r="AF142" s="164"/>
      <c r="AG142" s="163"/>
      <c r="AH142" s="164"/>
      <c r="AI142" s="163"/>
      <c r="AJ142" s="162" t="str">
        <f t="shared" si="10"/>
        <v/>
      </c>
      <c r="AK142" s="162" t="str">
        <f t="shared" si="11"/>
        <v/>
      </c>
    </row>
    <row r="143" spans="2:37" ht="21" x14ac:dyDescent="0.35">
      <c r="B143" s="163"/>
      <c r="C143" s="163"/>
      <c r="D143" s="163"/>
      <c r="E143" s="163"/>
      <c r="F143" s="163"/>
      <c r="G143" s="163"/>
      <c r="H143" s="163"/>
      <c r="I143" s="163"/>
      <c r="J143" s="163"/>
      <c r="K143" s="163"/>
      <c r="L143" s="163"/>
      <c r="M143" s="163"/>
      <c r="N143" s="163"/>
      <c r="O143" s="163"/>
      <c r="P143" s="163"/>
      <c r="Q143" s="163"/>
      <c r="R143" s="163"/>
      <c r="S143" s="163"/>
      <c r="T143" s="163"/>
      <c r="U143" s="163"/>
      <c r="V143" s="163"/>
      <c r="W143" s="163"/>
      <c r="X143" s="163"/>
      <c r="Y143" s="163"/>
      <c r="Z143" s="163"/>
      <c r="AA143" s="163"/>
      <c r="AB143" s="163"/>
      <c r="AC143" s="163"/>
      <c r="AD143" s="164" t="str">
        <f t="shared" si="8"/>
        <v/>
      </c>
      <c r="AE143" s="164" t="str">
        <f t="shared" si="9"/>
        <v/>
      </c>
      <c r="AF143" s="164"/>
      <c r="AG143" s="163"/>
      <c r="AH143" s="164"/>
      <c r="AI143" s="163"/>
      <c r="AJ143" s="162" t="str">
        <f t="shared" si="10"/>
        <v/>
      </c>
      <c r="AK143" s="162" t="str">
        <f t="shared" si="11"/>
        <v/>
      </c>
    </row>
    <row r="144" spans="2:37" ht="21" x14ac:dyDescent="0.35">
      <c r="B144" s="163"/>
      <c r="C144" s="163"/>
      <c r="D144" s="163"/>
      <c r="E144" s="163"/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/>
      <c r="S144" s="163"/>
      <c r="T144" s="163"/>
      <c r="U144" s="163"/>
      <c r="V144" s="163"/>
      <c r="W144" s="163"/>
      <c r="X144" s="163"/>
      <c r="Y144" s="163"/>
      <c r="Z144" s="163"/>
      <c r="AA144" s="163"/>
      <c r="AB144" s="163"/>
      <c r="AC144" s="163"/>
      <c r="AD144" s="164" t="str">
        <f t="shared" si="8"/>
        <v/>
      </c>
      <c r="AE144" s="164" t="str">
        <f t="shared" si="9"/>
        <v/>
      </c>
      <c r="AF144" s="164"/>
      <c r="AG144" s="163"/>
      <c r="AH144" s="164"/>
      <c r="AI144" s="163"/>
      <c r="AJ144" s="162" t="str">
        <f t="shared" si="10"/>
        <v/>
      </c>
      <c r="AK144" s="162" t="str">
        <f t="shared" si="11"/>
        <v/>
      </c>
    </row>
    <row r="145" spans="2:37" ht="21" x14ac:dyDescent="0.35">
      <c r="B145" s="163"/>
      <c r="C145" s="163"/>
      <c r="D145" s="163"/>
      <c r="E145" s="163"/>
      <c r="F145" s="163"/>
      <c r="G145" s="163"/>
      <c r="H145" s="163"/>
      <c r="I145" s="163"/>
      <c r="J145" s="163"/>
      <c r="K145" s="163"/>
      <c r="L145" s="163"/>
      <c r="M145" s="163"/>
      <c r="N145" s="163"/>
      <c r="O145" s="163"/>
      <c r="P145" s="163"/>
      <c r="Q145" s="163"/>
      <c r="R145" s="163"/>
      <c r="S145" s="163"/>
      <c r="T145" s="163"/>
      <c r="U145" s="163"/>
      <c r="V145" s="163"/>
      <c r="W145" s="163"/>
      <c r="X145" s="163"/>
      <c r="Y145" s="163"/>
      <c r="Z145" s="163"/>
      <c r="AA145" s="163"/>
      <c r="AB145" s="163"/>
      <c r="AC145" s="163"/>
      <c r="AD145" s="164" t="str">
        <f t="shared" si="8"/>
        <v/>
      </c>
      <c r="AE145" s="164" t="str">
        <f t="shared" si="9"/>
        <v/>
      </c>
      <c r="AF145" s="164"/>
      <c r="AG145" s="163"/>
      <c r="AH145" s="164"/>
      <c r="AI145" s="163"/>
      <c r="AJ145" s="162" t="str">
        <f t="shared" si="10"/>
        <v/>
      </c>
      <c r="AK145" s="162" t="str">
        <f t="shared" si="11"/>
        <v/>
      </c>
    </row>
    <row r="146" spans="2:37" ht="21" x14ac:dyDescent="0.35">
      <c r="B146" s="163"/>
      <c r="C146" s="163"/>
      <c r="D146" s="163"/>
      <c r="E146" s="163"/>
      <c r="F146" s="163"/>
      <c r="G146" s="163"/>
      <c r="H146" s="163"/>
      <c r="I146" s="163"/>
      <c r="J146" s="163"/>
      <c r="K146" s="163"/>
      <c r="L146" s="163"/>
      <c r="M146" s="163"/>
      <c r="N146" s="163"/>
      <c r="O146" s="163"/>
      <c r="P146" s="163"/>
      <c r="Q146" s="163"/>
      <c r="R146" s="163"/>
      <c r="S146" s="163"/>
      <c r="T146" s="163"/>
      <c r="U146" s="163"/>
      <c r="V146" s="163"/>
      <c r="W146" s="163"/>
      <c r="X146" s="163"/>
      <c r="Y146" s="163"/>
      <c r="Z146" s="163"/>
      <c r="AA146" s="163"/>
      <c r="AB146" s="163"/>
      <c r="AC146" s="163"/>
      <c r="AD146" s="164" t="str">
        <f t="shared" si="8"/>
        <v/>
      </c>
      <c r="AE146" s="164" t="str">
        <f t="shared" si="9"/>
        <v/>
      </c>
      <c r="AF146" s="164"/>
      <c r="AG146" s="163"/>
      <c r="AH146" s="164"/>
      <c r="AI146" s="163"/>
      <c r="AJ146" s="162" t="str">
        <f t="shared" si="10"/>
        <v/>
      </c>
      <c r="AK146" s="162" t="str">
        <f t="shared" si="11"/>
        <v/>
      </c>
    </row>
    <row r="147" spans="2:37" ht="21" x14ac:dyDescent="0.35">
      <c r="B147" s="163"/>
      <c r="C147" s="163"/>
      <c r="D147" s="163"/>
      <c r="E147" s="163"/>
      <c r="F147" s="163"/>
      <c r="G147" s="163"/>
      <c r="H147" s="163"/>
      <c r="I147" s="163"/>
      <c r="J147" s="163"/>
      <c r="K147" s="163"/>
      <c r="L147" s="163"/>
      <c r="M147" s="163"/>
      <c r="N147" s="163"/>
      <c r="O147" s="163"/>
      <c r="P147" s="163"/>
      <c r="Q147" s="163"/>
      <c r="R147" s="163"/>
      <c r="S147" s="163"/>
      <c r="T147" s="163"/>
      <c r="U147" s="163"/>
      <c r="V147" s="163"/>
      <c r="W147" s="163"/>
      <c r="X147" s="163"/>
      <c r="Y147" s="163"/>
      <c r="Z147" s="163"/>
      <c r="AA147" s="163"/>
      <c r="AB147" s="163"/>
      <c r="AC147" s="163"/>
      <c r="AD147" s="164" t="str">
        <f t="shared" si="8"/>
        <v/>
      </c>
      <c r="AE147" s="164" t="str">
        <f t="shared" si="9"/>
        <v/>
      </c>
      <c r="AF147" s="164"/>
      <c r="AG147" s="163"/>
      <c r="AH147" s="164"/>
      <c r="AI147" s="163"/>
      <c r="AJ147" s="162" t="str">
        <f t="shared" si="10"/>
        <v/>
      </c>
      <c r="AK147" s="162" t="str">
        <f t="shared" si="11"/>
        <v/>
      </c>
    </row>
    <row r="148" spans="2:37" ht="21" x14ac:dyDescent="0.35">
      <c r="B148" s="163"/>
      <c r="C148" s="163"/>
      <c r="D148" s="163"/>
      <c r="E148" s="163"/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/>
      <c r="S148" s="163"/>
      <c r="T148" s="163"/>
      <c r="U148" s="163"/>
      <c r="V148" s="163"/>
      <c r="W148" s="163"/>
      <c r="X148" s="163"/>
      <c r="Y148" s="163"/>
      <c r="Z148" s="163"/>
      <c r="AA148" s="163"/>
      <c r="AB148" s="163"/>
      <c r="AC148" s="163"/>
      <c r="AD148" s="164" t="str">
        <f t="shared" si="8"/>
        <v/>
      </c>
      <c r="AE148" s="164" t="str">
        <f t="shared" si="9"/>
        <v/>
      </c>
      <c r="AF148" s="164"/>
      <c r="AG148" s="163"/>
      <c r="AH148" s="164"/>
      <c r="AI148" s="163"/>
      <c r="AJ148" s="162" t="str">
        <f t="shared" si="10"/>
        <v/>
      </c>
      <c r="AK148" s="162" t="str">
        <f t="shared" si="11"/>
        <v/>
      </c>
    </row>
    <row r="149" spans="2:37" ht="21" x14ac:dyDescent="0.35"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4" t="str">
        <f t="shared" si="8"/>
        <v/>
      </c>
      <c r="AE149" s="164" t="str">
        <f t="shared" si="9"/>
        <v/>
      </c>
      <c r="AF149" s="164"/>
      <c r="AG149" s="163"/>
      <c r="AH149" s="164"/>
      <c r="AI149" s="163"/>
      <c r="AJ149" s="162" t="str">
        <f t="shared" si="10"/>
        <v/>
      </c>
      <c r="AK149" s="162" t="str">
        <f t="shared" si="11"/>
        <v/>
      </c>
    </row>
    <row r="150" spans="2:37" ht="21" x14ac:dyDescent="0.35">
      <c r="B150" s="163"/>
      <c r="C150" s="163"/>
      <c r="D150" s="163"/>
      <c r="E150" s="163"/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/>
      <c r="S150" s="163"/>
      <c r="T150" s="163"/>
      <c r="U150" s="163"/>
      <c r="V150" s="163"/>
      <c r="W150" s="163"/>
      <c r="X150" s="163"/>
      <c r="Y150" s="163"/>
      <c r="Z150" s="163"/>
      <c r="AA150" s="163"/>
      <c r="AB150" s="163"/>
      <c r="AC150" s="163"/>
      <c r="AD150" s="164" t="str">
        <f t="shared" si="8"/>
        <v/>
      </c>
      <c r="AE150" s="164" t="str">
        <f t="shared" si="9"/>
        <v/>
      </c>
      <c r="AF150" s="164"/>
      <c r="AG150" s="163"/>
      <c r="AH150" s="164"/>
      <c r="AI150" s="163"/>
      <c r="AJ150" s="162" t="str">
        <f t="shared" si="10"/>
        <v/>
      </c>
      <c r="AK150" s="162" t="str">
        <f t="shared" si="11"/>
        <v/>
      </c>
    </row>
    <row r="151" spans="2:37" ht="21" x14ac:dyDescent="0.35">
      <c r="B151" s="163"/>
      <c r="C151" s="163"/>
      <c r="D151" s="163"/>
      <c r="E151" s="163"/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/>
      <c r="S151" s="163"/>
      <c r="T151" s="163"/>
      <c r="U151" s="163"/>
      <c r="V151" s="163"/>
      <c r="W151" s="163"/>
      <c r="X151" s="163"/>
      <c r="Y151" s="163"/>
      <c r="Z151" s="163"/>
      <c r="AA151" s="163"/>
      <c r="AB151" s="163"/>
      <c r="AC151" s="163"/>
      <c r="AD151" s="164" t="str">
        <f t="shared" si="8"/>
        <v/>
      </c>
      <c r="AE151" s="164" t="str">
        <f t="shared" si="9"/>
        <v/>
      </c>
      <c r="AF151" s="164"/>
      <c r="AG151" s="163"/>
      <c r="AH151" s="164"/>
      <c r="AI151" s="163"/>
      <c r="AJ151" s="162" t="str">
        <f t="shared" si="10"/>
        <v/>
      </c>
      <c r="AK151" s="162" t="str">
        <f t="shared" si="11"/>
        <v/>
      </c>
    </row>
    <row r="152" spans="2:37" ht="21" x14ac:dyDescent="0.35">
      <c r="B152" s="163"/>
      <c r="C152" s="163"/>
      <c r="D152" s="163"/>
      <c r="E152" s="163"/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4" t="str">
        <f t="shared" si="8"/>
        <v/>
      </c>
      <c r="AE152" s="164" t="str">
        <f t="shared" si="9"/>
        <v/>
      </c>
      <c r="AF152" s="164"/>
      <c r="AG152" s="163"/>
      <c r="AH152" s="164"/>
      <c r="AI152" s="163"/>
      <c r="AJ152" s="162" t="str">
        <f t="shared" si="10"/>
        <v/>
      </c>
      <c r="AK152" s="162" t="str">
        <f t="shared" si="11"/>
        <v/>
      </c>
    </row>
    <row r="153" spans="2:37" ht="21" x14ac:dyDescent="0.35">
      <c r="B153" s="163"/>
      <c r="C153" s="163"/>
      <c r="D153" s="163"/>
      <c r="E153" s="163"/>
      <c r="F153" s="163"/>
      <c r="G153" s="163"/>
      <c r="H153" s="163"/>
      <c r="I153" s="163"/>
      <c r="J153" s="163"/>
      <c r="K153" s="163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3"/>
      <c r="Y153" s="163"/>
      <c r="Z153" s="163"/>
      <c r="AA153" s="163"/>
      <c r="AB153" s="163"/>
      <c r="AC153" s="163"/>
      <c r="AD153" s="164" t="str">
        <f t="shared" si="8"/>
        <v/>
      </c>
      <c r="AE153" s="164" t="str">
        <f t="shared" si="9"/>
        <v/>
      </c>
      <c r="AF153" s="164"/>
      <c r="AG153" s="163"/>
      <c r="AH153" s="164"/>
      <c r="AI153" s="163"/>
      <c r="AJ153" s="162" t="str">
        <f t="shared" si="10"/>
        <v/>
      </c>
      <c r="AK153" s="162" t="str">
        <f t="shared" si="11"/>
        <v/>
      </c>
    </row>
    <row r="154" spans="2:37" ht="21" x14ac:dyDescent="0.35">
      <c r="B154" s="163"/>
      <c r="C154" s="163"/>
      <c r="D154" s="163"/>
      <c r="E154" s="163"/>
      <c r="F154" s="163"/>
      <c r="G154" s="163"/>
      <c r="H154" s="163"/>
      <c r="I154" s="163"/>
      <c r="J154" s="163"/>
      <c r="K154" s="163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3"/>
      <c r="Y154" s="163"/>
      <c r="Z154" s="163"/>
      <c r="AA154" s="163"/>
      <c r="AB154" s="163"/>
      <c r="AC154" s="163"/>
      <c r="AD154" s="164" t="str">
        <f t="shared" si="8"/>
        <v/>
      </c>
      <c r="AE154" s="164" t="str">
        <f t="shared" si="9"/>
        <v/>
      </c>
      <c r="AF154" s="164"/>
      <c r="AG154" s="163"/>
      <c r="AH154" s="164"/>
      <c r="AI154" s="163"/>
      <c r="AJ154" s="162" t="str">
        <f t="shared" si="10"/>
        <v/>
      </c>
      <c r="AK154" s="162" t="str">
        <f t="shared" si="11"/>
        <v/>
      </c>
    </row>
    <row r="155" spans="2:37" ht="21" x14ac:dyDescent="0.35">
      <c r="B155" s="163"/>
      <c r="C155" s="163"/>
      <c r="D155" s="163"/>
      <c r="E155" s="163"/>
      <c r="F155" s="163"/>
      <c r="G155" s="163"/>
      <c r="H155" s="163"/>
      <c r="I155" s="163"/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4" t="str">
        <f t="shared" si="8"/>
        <v/>
      </c>
      <c r="AE155" s="164" t="str">
        <f t="shared" si="9"/>
        <v/>
      </c>
      <c r="AF155" s="164"/>
      <c r="AG155" s="163"/>
      <c r="AH155" s="164"/>
      <c r="AI155" s="163"/>
      <c r="AJ155" s="162" t="str">
        <f t="shared" si="10"/>
        <v/>
      </c>
      <c r="AK155" s="162" t="str">
        <f t="shared" si="11"/>
        <v/>
      </c>
    </row>
    <row r="156" spans="2:37" ht="21" x14ac:dyDescent="0.35">
      <c r="B156" s="163"/>
      <c r="C156" s="163"/>
      <c r="D156" s="163"/>
      <c r="E156" s="163"/>
      <c r="F156" s="163"/>
      <c r="G156" s="163"/>
      <c r="H156" s="163"/>
      <c r="I156" s="163"/>
      <c r="J156" s="163"/>
      <c r="K156" s="163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4" t="str">
        <f t="shared" si="8"/>
        <v/>
      </c>
      <c r="AE156" s="164" t="str">
        <f t="shared" si="9"/>
        <v/>
      </c>
      <c r="AF156" s="164"/>
      <c r="AG156" s="163"/>
      <c r="AH156" s="164"/>
      <c r="AI156" s="163"/>
      <c r="AJ156" s="162" t="str">
        <f t="shared" si="10"/>
        <v/>
      </c>
      <c r="AK156" s="162" t="str">
        <f t="shared" si="11"/>
        <v/>
      </c>
    </row>
    <row r="157" spans="2:37" ht="21" x14ac:dyDescent="0.35">
      <c r="B157" s="163"/>
      <c r="C157" s="163"/>
      <c r="D157" s="163"/>
      <c r="E157" s="163"/>
      <c r="F157" s="163"/>
      <c r="G157" s="163"/>
      <c r="H157" s="163"/>
      <c r="I157" s="163"/>
      <c r="J157" s="163"/>
      <c r="K157" s="163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3"/>
      <c r="Y157" s="163"/>
      <c r="Z157" s="163"/>
      <c r="AA157" s="163"/>
      <c r="AB157" s="163"/>
      <c r="AC157" s="163"/>
      <c r="AD157" s="164" t="str">
        <f t="shared" si="8"/>
        <v/>
      </c>
      <c r="AE157" s="164" t="str">
        <f t="shared" si="9"/>
        <v/>
      </c>
      <c r="AF157" s="164"/>
      <c r="AG157" s="163"/>
      <c r="AH157" s="164"/>
      <c r="AI157" s="163"/>
      <c r="AJ157" s="162" t="str">
        <f t="shared" si="10"/>
        <v/>
      </c>
      <c r="AK157" s="162" t="str">
        <f t="shared" si="11"/>
        <v/>
      </c>
    </row>
    <row r="158" spans="2:37" ht="21" x14ac:dyDescent="0.35">
      <c r="B158" s="163"/>
      <c r="C158" s="163"/>
      <c r="D158" s="163"/>
      <c r="E158" s="163"/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/>
      <c r="AA158" s="163"/>
      <c r="AB158" s="163"/>
      <c r="AC158" s="163"/>
      <c r="AD158" s="164" t="str">
        <f t="shared" si="8"/>
        <v/>
      </c>
      <c r="AE158" s="164" t="str">
        <f t="shared" si="9"/>
        <v/>
      </c>
      <c r="AF158" s="164"/>
      <c r="AG158" s="163"/>
      <c r="AH158" s="164"/>
      <c r="AI158" s="163"/>
      <c r="AJ158" s="162" t="str">
        <f t="shared" si="10"/>
        <v/>
      </c>
      <c r="AK158" s="162" t="str">
        <f t="shared" si="11"/>
        <v/>
      </c>
    </row>
    <row r="159" spans="2:37" ht="21" x14ac:dyDescent="0.35">
      <c r="B159" s="163"/>
      <c r="C159" s="163"/>
      <c r="D159" s="163"/>
      <c r="E159" s="163"/>
      <c r="F159" s="163"/>
      <c r="G159" s="163"/>
      <c r="H159" s="163"/>
      <c r="I159" s="163"/>
      <c r="J159" s="163"/>
      <c r="K159" s="163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3"/>
      <c r="Y159" s="163"/>
      <c r="Z159" s="163"/>
      <c r="AA159" s="163"/>
      <c r="AB159" s="163"/>
      <c r="AC159" s="163"/>
      <c r="AD159" s="164" t="str">
        <f t="shared" si="8"/>
        <v/>
      </c>
      <c r="AE159" s="164" t="str">
        <f t="shared" si="9"/>
        <v/>
      </c>
      <c r="AF159" s="164"/>
      <c r="AG159" s="163"/>
      <c r="AH159" s="164"/>
      <c r="AI159" s="163"/>
      <c r="AJ159" s="162" t="str">
        <f t="shared" si="10"/>
        <v/>
      </c>
      <c r="AK159" s="162" t="str">
        <f t="shared" si="11"/>
        <v/>
      </c>
    </row>
    <row r="160" spans="2:37" ht="21" x14ac:dyDescent="0.35"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  <c r="Y160" s="163"/>
      <c r="Z160" s="163"/>
      <c r="AA160" s="163"/>
      <c r="AB160" s="163"/>
      <c r="AC160" s="163"/>
      <c r="AD160" s="164" t="str">
        <f t="shared" si="8"/>
        <v/>
      </c>
      <c r="AE160" s="164" t="str">
        <f t="shared" si="9"/>
        <v/>
      </c>
      <c r="AF160" s="164"/>
      <c r="AG160" s="163"/>
      <c r="AH160" s="164"/>
      <c r="AI160" s="163"/>
      <c r="AJ160" s="162" t="str">
        <f t="shared" si="10"/>
        <v/>
      </c>
      <c r="AK160" s="162" t="str">
        <f t="shared" si="11"/>
        <v/>
      </c>
    </row>
    <row r="161" spans="2:37" ht="21" x14ac:dyDescent="0.35">
      <c r="B161" s="163"/>
      <c r="C161" s="163"/>
      <c r="D161" s="163"/>
      <c r="E161" s="163"/>
      <c r="F161" s="163"/>
      <c r="G161" s="163"/>
      <c r="H161" s="163"/>
      <c r="I161" s="163"/>
      <c r="J161" s="163"/>
      <c r="K161" s="163"/>
      <c r="L161" s="163"/>
      <c r="M161" s="163"/>
      <c r="N161" s="163"/>
      <c r="O161" s="163"/>
      <c r="P161" s="163"/>
      <c r="Q161" s="163"/>
      <c r="R161" s="163"/>
      <c r="S161" s="163"/>
      <c r="T161" s="163"/>
      <c r="U161" s="163"/>
      <c r="V161" s="163"/>
      <c r="W161" s="163"/>
      <c r="X161" s="163"/>
      <c r="Y161" s="163"/>
      <c r="Z161" s="163"/>
      <c r="AA161" s="163"/>
      <c r="AB161" s="163"/>
      <c r="AC161" s="163"/>
      <c r="AD161" s="164" t="str">
        <f t="shared" si="8"/>
        <v/>
      </c>
      <c r="AE161" s="164" t="str">
        <f t="shared" si="9"/>
        <v/>
      </c>
      <c r="AF161" s="164"/>
      <c r="AG161" s="163"/>
      <c r="AH161" s="164"/>
      <c r="AI161" s="163"/>
      <c r="AJ161" s="162" t="str">
        <f t="shared" si="10"/>
        <v/>
      </c>
      <c r="AK161" s="162" t="str">
        <f t="shared" si="11"/>
        <v/>
      </c>
    </row>
    <row r="162" spans="2:37" ht="21" x14ac:dyDescent="0.35">
      <c r="B162" s="163"/>
      <c r="C162" s="163"/>
      <c r="D162" s="163"/>
      <c r="E162" s="163"/>
      <c r="F162" s="163"/>
      <c r="G162" s="163"/>
      <c r="H162" s="163"/>
      <c r="I162" s="163"/>
      <c r="J162" s="163"/>
      <c r="K162" s="163"/>
      <c r="L162" s="163"/>
      <c r="M162" s="163"/>
      <c r="N162" s="163"/>
      <c r="O162" s="163"/>
      <c r="P162" s="163"/>
      <c r="Q162" s="163"/>
      <c r="R162" s="163"/>
      <c r="S162" s="163"/>
      <c r="T162" s="163"/>
      <c r="U162" s="163"/>
      <c r="V162" s="163"/>
      <c r="W162" s="163"/>
      <c r="X162" s="163"/>
      <c r="Y162" s="163"/>
      <c r="Z162" s="163"/>
      <c r="AA162" s="163"/>
      <c r="AB162" s="163"/>
      <c r="AC162" s="163"/>
      <c r="AD162" s="164" t="str">
        <f t="shared" si="8"/>
        <v/>
      </c>
      <c r="AE162" s="164" t="str">
        <f t="shared" si="9"/>
        <v/>
      </c>
      <c r="AF162" s="164"/>
      <c r="AG162" s="163"/>
      <c r="AH162" s="164"/>
      <c r="AI162" s="163"/>
      <c r="AJ162" s="162" t="str">
        <f t="shared" si="10"/>
        <v/>
      </c>
      <c r="AK162" s="162" t="str">
        <f t="shared" si="11"/>
        <v/>
      </c>
    </row>
    <row r="163" spans="2:37" ht="21" x14ac:dyDescent="0.35">
      <c r="B163" s="163"/>
      <c r="C163" s="163"/>
      <c r="D163" s="163"/>
      <c r="E163" s="163"/>
      <c r="F163" s="163"/>
      <c r="G163" s="163"/>
      <c r="H163" s="163"/>
      <c r="I163" s="163"/>
      <c r="J163" s="163"/>
      <c r="K163" s="163"/>
      <c r="L163" s="163"/>
      <c r="M163" s="163"/>
      <c r="N163" s="163"/>
      <c r="O163" s="163"/>
      <c r="P163" s="163"/>
      <c r="Q163" s="163"/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4" t="str">
        <f t="shared" si="8"/>
        <v/>
      </c>
      <c r="AE163" s="164" t="str">
        <f t="shared" si="9"/>
        <v/>
      </c>
      <c r="AF163" s="164"/>
      <c r="AG163" s="163"/>
      <c r="AH163" s="164"/>
      <c r="AI163" s="163"/>
      <c r="AJ163" s="162" t="str">
        <f t="shared" si="10"/>
        <v/>
      </c>
      <c r="AK163" s="162" t="str">
        <f t="shared" si="11"/>
        <v/>
      </c>
    </row>
    <row r="164" spans="2:37" ht="21" x14ac:dyDescent="0.35">
      <c r="B164" s="163"/>
      <c r="C164" s="163"/>
      <c r="D164" s="163"/>
      <c r="E164" s="163"/>
      <c r="F164" s="163"/>
      <c r="G164" s="163"/>
      <c r="H164" s="163"/>
      <c r="I164" s="163"/>
      <c r="J164" s="163"/>
      <c r="K164" s="163"/>
      <c r="L164" s="163"/>
      <c r="M164" s="163"/>
      <c r="N164" s="163"/>
      <c r="O164" s="163"/>
      <c r="P164" s="163"/>
      <c r="Q164" s="163"/>
      <c r="R164" s="163"/>
      <c r="S164" s="163"/>
      <c r="T164" s="163"/>
      <c r="U164" s="163"/>
      <c r="V164" s="163"/>
      <c r="W164" s="163"/>
      <c r="X164" s="163"/>
      <c r="Y164" s="163"/>
      <c r="Z164" s="163"/>
      <c r="AA164" s="163"/>
      <c r="AB164" s="163"/>
      <c r="AC164" s="163"/>
      <c r="AD164" s="164" t="str">
        <f t="shared" si="8"/>
        <v/>
      </c>
      <c r="AE164" s="164" t="str">
        <f t="shared" si="9"/>
        <v/>
      </c>
      <c r="AF164" s="164"/>
      <c r="AG164" s="163"/>
      <c r="AH164" s="164"/>
      <c r="AI164" s="163"/>
      <c r="AJ164" s="162" t="str">
        <f t="shared" si="10"/>
        <v/>
      </c>
      <c r="AK164" s="162" t="str">
        <f t="shared" si="11"/>
        <v/>
      </c>
    </row>
    <row r="165" spans="2:37" ht="21" x14ac:dyDescent="0.35">
      <c r="B165" s="163"/>
      <c r="C165" s="163"/>
      <c r="D165" s="163"/>
      <c r="E165" s="163"/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/>
      <c r="W165" s="163"/>
      <c r="X165" s="163"/>
      <c r="Y165" s="163"/>
      <c r="Z165" s="163"/>
      <c r="AA165" s="163"/>
      <c r="AB165" s="163"/>
      <c r="AC165" s="163"/>
      <c r="AD165" s="164" t="str">
        <f t="shared" si="8"/>
        <v/>
      </c>
      <c r="AE165" s="164" t="str">
        <f t="shared" si="9"/>
        <v/>
      </c>
      <c r="AF165" s="164"/>
      <c r="AG165" s="163"/>
      <c r="AH165" s="164"/>
      <c r="AI165" s="163"/>
      <c r="AJ165" s="162" t="str">
        <f t="shared" si="10"/>
        <v/>
      </c>
      <c r="AK165" s="162" t="str">
        <f t="shared" si="11"/>
        <v/>
      </c>
    </row>
    <row r="166" spans="2:37" ht="21" x14ac:dyDescent="0.35">
      <c r="B166" s="163"/>
      <c r="C166" s="163"/>
      <c r="D166" s="163"/>
      <c r="E166" s="163"/>
      <c r="F166" s="163"/>
      <c r="G166" s="163"/>
      <c r="H166" s="163"/>
      <c r="I166" s="163"/>
      <c r="J166" s="163"/>
      <c r="K166" s="163"/>
      <c r="L166" s="163"/>
      <c r="M166" s="163"/>
      <c r="N166" s="163"/>
      <c r="O166" s="163"/>
      <c r="P166" s="163"/>
      <c r="Q166" s="163"/>
      <c r="R166" s="163"/>
      <c r="S166" s="163"/>
      <c r="T166" s="163"/>
      <c r="U166" s="163"/>
      <c r="V166" s="163"/>
      <c r="W166" s="163"/>
      <c r="X166" s="163"/>
      <c r="Y166" s="163"/>
      <c r="Z166" s="163"/>
      <c r="AA166" s="163"/>
      <c r="AB166" s="163"/>
      <c r="AC166" s="163"/>
      <c r="AD166" s="164" t="str">
        <f t="shared" si="8"/>
        <v/>
      </c>
      <c r="AE166" s="164" t="str">
        <f t="shared" si="9"/>
        <v/>
      </c>
      <c r="AF166" s="164"/>
      <c r="AG166" s="163"/>
      <c r="AH166" s="164"/>
      <c r="AI166" s="163"/>
      <c r="AJ166" s="162" t="str">
        <f t="shared" si="10"/>
        <v/>
      </c>
      <c r="AK166" s="162" t="str">
        <f t="shared" si="11"/>
        <v/>
      </c>
    </row>
    <row r="167" spans="2:37" ht="21" x14ac:dyDescent="0.35">
      <c r="B167" s="163"/>
      <c r="C167" s="163"/>
      <c r="D167" s="163"/>
      <c r="E167" s="163"/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/>
      <c r="W167" s="163"/>
      <c r="X167" s="163"/>
      <c r="Y167" s="163"/>
      <c r="Z167" s="163"/>
      <c r="AA167" s="163"/>
      <c r="AB167" s="163"/>
      <c r="AC167" s="163"/>
      <c r="AD167" s="164" t="str">
        <f t="shared" si="8"/>
        <v/>
      </c>
      <c r="AE167" s="164" t="str">
        <f t="shared" si="9"/>
        <v/>
      </c>
      <c r="AF167" s="164"/>
      <c r="AG167" s="163"/>
      <c r="AH167" s="164"/>
      <c r="AI167" s="163"/>
      <c r="AJ167" s="162" t="str">
        <f t="shared" si="10"/>
        <v/>
      </c>
      <c r="AK167" s="162" t="str">
        <f t="shared" si="11"/>
        <v/>
      </c>
    </row>
    <row r="168" spans="2:37" ht="21" x14ac:dyDescent="0.35">
      <c r="B168" s="163"/>
      <c r="C168" s="163"/>
      <c r="D168" s="163"/>
      <c r="E168" s="163"/>
      <c r="F168" s="163"/>
      <c r="G168" s="163"/>
      <c r="H168" s="163"/>
      <c r="I168" s="163"/>
      <c r="J168" s="163"/>
      <c r="K168" s="163"/>
      <c r="L168" s="163"/>
      <c r="M168" s="163"/>
      <c r="N168" s="163"/>
      <c r="O168" s="163"/>
      <c r="P168" s="163"/>
      <c r="Q168" s="163"/>
      <c r="R168" s="163"/>
      <c r="S168" s="163"/>
      <c r="T168" s="163"/>
      <c r="U168" s="163"/>
      <c r="V168" s="163"/>
      <c r="W168" s="163"/>
      <c r="X168" s="163"/>
      <c r="Y168" s="163"/>
      <c r="Z168" s="163"/>
      <c r="AA168" s="163"/>
      <c r="AB168" s="163"/>
      <c r="AC168" s="163"/>
      <c r="AD168" s="164" t="str">
        <f t="shared" si="8"/>
        <v/>
      </c>
      <c r="AE168" s="164" t="str">
        <f t="shared" si="9"/>
        <v/>
      </c>
      <c r="AF168" s="164"/>
      <c r="AG168" s="163"/>
      <c r="AH168" s="164"/>
      <c r="AI168" s="163"/>
      <c r="AJ168" s="162" t="str">
        <f t="shared" si="10"/>
        <v/>
      </c>
      <c r="AK168" s="162" t="str">
        <f t="shared" si="11"/>
        <v/>
      </c>
    </row>
    <row r="169" spans="2:37" ht="21" x14ac:dyDescent="0.35">
      <c r="B169" s="163"/>
      <c r="C169" s="163"/>
      <c r="D169" s="163"/>
      <c r="E169" s="163"/>
      <c r="F169" s="163"/>
      <c r="G169" s="163"/>
      <c r="H169" s="163"/>
      <c r="I169" s="163"/>
      <c r="J169" s="163"/>
      <c r="K169" s="163"/>
      <c r="L169" s="163"/>
      <c r="M169" s="163"/>
      <c r="N169" s="163"/>
      <c r="O169" s="163"/>
      <c r="P169" s="163"/>
      <c r="Q169" s="163"/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4" t="str">
        <f t="shared" si="8"/>
        <v/>
      </c>
      <c r="AE169" s="164" t="str">
        <f t="shared" si="9"/>
        <v/>
      </c>
      <c r="AF169" s="164"/>
      <c r="AG169" s="163"/>
      <c r="AH169" s="164"/>
      <c r="AI169" s="163"/>
      <c r="AJ169" s="162" t="str">
        <f t="shared" si="10"/>
        <v/>
      </c>
      <c r="AK169" s="162" t="str">
        <f t="shared" si="11"/>
        <v/>
      </c>
    </row>
    <row r="170" spans="2:37" ht="21" x14ac:dyDescent="0.35">
      <c r="B170" s="163"/>
      <c r="C170" s="163"/>
      <c r="D170" s="163"/>
      <c r="E170" s="163"/>
      <c r="F170" s="163"/>
      <c r="G170" s="163"/>
      <c r="H170" s="163"/>
      <c r="I170" s="163"/>
      <c r="J170" s="163"/>
      <c r="K170" s="163"/>
      <c r="L170" s="163"/>
      <c r="M170" s="163"/>
      <c r="N170" s="163"/>
      <c r="O170" s="163"/>
      <c r="P170" s="163"/>
      <c r="Q170" s="163"/>
      <c r="R170" s="163"/>
      <c r="S170" s="163"/>
      <c r="T170" s="163"/>
      <c r="U170" s="163"/>
      <c r="V170" s="163"/>
      <c r="W170" s="163"/>
      <c r="X170" s="163"/>
      <c r="Y170" s="163"/>
      <c r="Z170" s="163"/>
      <c r="AA170" s="163"/>
      <c r="AB170" s="163"/>
      <c r="AC170" s="163"/>
      <c r="AD170" s="164" t="str">
        <f t="shared" si="8"/>
        <v/>
      </c>
      <c r="AE170" s="164" t="str">
        <f t="shared" si="9"/>
        <v/>
      </c>
      <c r="AF170" s="164"/>
      <c r="AG170" s="163"/>
      <c r="AH170" s="164"/>
      <c r="AI170" s="163"/>
      <c r="AJ170" s="162" t="str">
        <f t="shared" si="10"/>
        <v/>
      </c>
      <c r="AK170" s="162" t="str">
        <f t="shared" si="11"/>
        <v/>
      </c>
    </row>
    <row r="171" spans="2:37" ht="21" x14ac:dyDescent="0.35">
      <c r="B171" s="163"/>
      <c r="C171" s="163"/>
      <c r="D171" s="163"/>
      <c r="E171" s="163"/>
      <c r="F171" s="163"/>
      <c r="G171" s="163"/>
      <c r="H171" s="163"/>
      <c r="I171" s="163"/>
      <c r="J171" s="163"/>
      <c r="K171" s="163"/>
      <c r="L171" s="163"/>
      <c r="M171" s="163"/>
      <c r="N171" s="163"/>
      <c r="O171" s="163"/>
      <c r="P171" s="163"/>
      <c r="Q171" s="163"/>
      <c r="R171" s="163"/>
      <c r="S171" s="163"/>
      <c r="T171" s="163"/>
      <c r="U171" s="163"/>
      <c r="V171" s="163"/>
      <c r="W171" s="163"/>
      <c r="X171" s="163"/>
      <c r="Y171" s="163"/>
      <c r="Z171" s="163"/>
      <c r="AA171" s="163"/>
      <c r="AB171" s="163"/>
      <c r="AC171" s="163"/>
      <c r="AD171" s="164" t="str">
        <f t="shared" si="8"/>
        <v/>
      </c>
      <c r="AE171" s="164" t="str">
        <f t="shared" si="9"/>
        <v/>
      </c>
      <c r="AF171" s="164"/>
      <c r="AG171" s="163"/>
      <c r="AH171" s="164"/>
      <c r="AI171" s="163"/>
      <c r="AJ171" s="162" t="str">
        <f t="shared" si="10"/>
        <v/>
      </c>
      <c r="AK171" s="162" t="str">
        <f t="shared" si="11"/>
        <v/>
      </c>
    </row>
    <row r="172" spans="2:37" ht="21" x14ac:dyDescent="0.35">
      <c r="B172" s="163"/>
      <c r="C172" s="163"/>
      <c r="D172" s="163"/>
      <c r="E172" s="163"/>
      <c r="F172" s="163"/>
      <c r="G172" s="163"/>
      <c r="H172" s="163"/>
      <c r="I172" s="163"/>
      <c r="J172" s="163"/>
      <c r="K172" s="163"/>
      <c r="L172" s="163"/>
      <c r="M172" s="163"/>
      <c r="N172" s="163"/>
      <c r="O172" s="163"/>
      <c r="P172" s="163"/>
      <c r="Q172" s="163"/>
      <c r="R172" s="163"/>
      <c r="S172" s="163"/>
      <c r="T172" s="163"/>
      <c r="U172" s="163"/>
      <c r="V172" s="163"/>
      <c r="W172" s="163"/>
      <c r="X172" s="163"/>
      <c r="Y172" s="163"/>
      <c r="Z172" s="163"/>
      <c r="AA172" s="163"/>
      <c r="AB172" s="163"/>
      <c r="AC172" s="163"/>
      <c r="AD172" s="164" t="str">
        <f t="shared" si="8"/>
        <v/>
      </c>
      <c r="AE172" s="164" t="str">
        <f t="shared" si="9"/>
        <v/>
      </c>
      <c r="AF172" s="164"/>
      <c r="AG172" s="163"/>
      <c r="AH172" s="164"/>
      <c r="AI172" s="163"/>
      <c r="AJ172" s="162" t="str">
        <f t="shared" si="10"/>
        <v/>
      </c>
      <c r="AK172" s="162" t="str">
        <f t="shared" si="11"/>
        <v/>
      </c>
    </row>
    <row r="173" spans="2:37" ht="21" x14ac:dyDescent="0.35">
      <c r="B173" s="163"/>
      <c r="C173" s="163"/>
      <c r="D173" s="163"/>
      <c r="E173" s="163"/>
      <c r="F173" s="163"/>
      <c r="G173" s="163"/>
      <c r="H173" s="163"/>
      <c r="I173" s="163"/>
      <c r="J173" s="163"/>
      <c r="K173" s="163"/>
      <c r="L173" s="163"/>
      <c r="M173" s="163"/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4" t="str">
        <f t="shared" si="8"/>
        <v/>
      </c>
      <c r="AE173" s="164" t="str">
        <f t="shared" si="9"/>
        <v/>
      </c>
      <c r="AF173" s="164"/>
      <c r="AG173" s="163"/>
      <c r="AH173" s="164"/>
      <c r="AI173" s="163"/>
      <c r="AJ173" s="162" t="str">
        <f t="shared" si="10"/>
        <v/>
      </c>
      <c r="AK173" s="162" t="str">
        <f t="shared" si="11"/>
        <v/>
      </c>
    </row>
    <row r="174" spans="2:37" ht="21" x14ac:dyDescent="0.35"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4" t="str">
        <f t="shared" si="8"/>
        <v/>
      </c>
      <c r="AE174" s="164" t="str">
        <f t="shared" si="9"/>
        <v/>
      </c>
      <c r="AF174" s="164"/>
      <c r="AG174" s="163"/>
      <c r="AH174" s="164"/>
      <c r="AI174" s="163"/>
      <c r="AJ174" s="162" t="str">
        <f t="shared" si="10"/>
        <v/>
      </c>
      <c r="AK174" s="162" t="str">
        <f t="shared" si="11"/>
        <v/>
      </c>
    </row>
    <row r="175" spans="2:37" ht="21" x14ac:dyDescent="0.35">
      <c r="B175" s="163"/>
      <c r="C175" s="163"/>
      <c r="D175" s="163"/>
      <c r="E175" s="163"/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/>
      <c r="S175" s="163"/>
      <c r="T175" s="163"/>
      <c r="U175" s="163"/>
      <c r="V175" s="163"/>
      <c r="W175" s="163"/>
      <c r="X175" s="163"/>
      <c r="Y175" s="163"/>
      <c r="Z175" s="163"/>
      <c r="AA175" s="163"/>
      <c r="AB175" s="163"/>
      <c r="AC175" s="163"/>
      <c r="AD175" s="164" t="str">
        <f t="shared" si="8"/>
        <v/>
      </c>
      <c r="AE175" s="164" t="str">
        <f t="shared" si="9"/>
        <v/>
      </c>
      <c r="AF175" s="164"/>
      <c r="AG175" s="163"/>
      <c r="AH175" s="164"/>
      <c r="AI175" s="163"/>
      <c r="AJ175" s="162" t="str">
        <f t="shared" si="10"/>
        <v/>
      </c>
      <c r="AK175" s="162" t="str">
        <f t="shared" si="11"/>
        <v/>
      </c>
    </row>
    <row r="176" spans="2:37" ht="21" x14ac:dyDescent="0.35">
      <c r="B176" s="163"/>
      <c r="C176" s="163"/>
      <c r="D176" s="163"/>
      <c r="E176" s="163"/>
      <c r="F176" s="163"/>
      <c r="G176" s="163"/>
      <c r="H176" s="163"/>
      <c r="I176" s="163"/>
      <c r="J176" s="163"/>
      <c r="K176" s="163"/>
      <c r="L176" s="163"/>
      <c r="M176" s="163"/>
      <c r="N176" s="163"/>
      <c r="O176" s="163"/>
      <c r="P176" s="163"/>
      <c r="Q176" s="163"/>
      <c r="R176" s="163"/>
      <c r="S176" s="163"/>
      <c r="T176" s="163"/>
      <c r="U176" s="163"/>
      <c r="V176" s="163"/>
      <c r="W176" s="163"/>
      <c r="X176" s="163"/>
      <c r="Y176" s="163"/>
      <c r="Z176" s="163"/>
      <c r="AA176" s="163"/>
      <c r="AB176" s="163"/>
      <c r="AC176" s="163"/>
      <c r="AD176" s="164" t="str">
        <f t="shared" si="8"/>
        <v/>
      </c>
      <c r="AE176" s="164" t="str">
        <f t="shared" si="9"/>
        <v/>
      </c>
      <c r="AF176" s="164"/>
      <c r="AG176" s="163"/>
      <c r="AH176" s="164"/>
      <c r="AI176" s="163"/>
      <c r="AJ176" s="162" t="str">
        <f t="shared" si="10"/>
        <v/>
      </c>
      <c r="AK176" s="162" t="str">
        <f t="shared" si="11"/>
        <v/>
      </c>
    </row>
    <row r="177" spans="2:37" ht="21" x14ac:dyDescent="0.35">
      <c r="B177" s="163"/>
      <c r="C177" s="163"/>
      <c r="D177" s="163"/>
      <c r="E177" s="163"/>
      <c r="F177" s="163"/>
      <c r="G177" s="163"/>
      <c r="H177" s="163"/>
      <c r="I177" s="163"/>
      <c r="J177" s="163"/>
      <c r="K177" s="163"/>
      <c r="L177" s="163"/>
      <c r="M177" s="163"/>
      <c r="N177" s="163"/>
      <c r="O177" s="163"/>
      <c r="P177" s="163"/>
      <c r="Q177" s="163"/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4" t="str">
        <f t="shared" si="8"/>
        <v/>
      </c>
      <c r="AE177" s="164" t="str">
        <f t="shared" si="9"/>
        <v/>
      </c>
      <c r="AF177" s="164"/>
      <c r="AG177" s="163"/>
      <c r="AH177" s="164"/>
      <c r="AI177" s="163"/>
      <c r="AJ177" s="162" t="str">
        <f t="shared" si="10"/>
        <v/>
      </c>
      <c r="AK177" s="162" t="str">
        <f t="shared" si="11"/>
        <v/>
      </c>
    </row>
    <row r="178" spans="2:37" ht="21" x14ac:dyDescent="0.35">
      <c r="B178" s="163"/>
      <c r="C178" s="163"/>
      <c r="D178" s="163"/>
      <c r="E178" s="163"/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/>
      <c r="S178" s="163"/>
      <c r="T178" s="163"/>
      <c r="U178" s="163"/>
      <c r="V178" s="163"/>
      <c r="W178" s="163"/>
      <c r="X178" s="163"/>
      <c r="Y178" s="163"/>
      <c r="Z178" s="163"/>
      <c r="AA178" s="163"/>
      <c r="AB178" s="163"/>
      <c r="AC178" s="163"/>
      <c r="AD178" s="164" t="str">
        <f t="shared" si="8"/>
        <v/>
      </c>
      <c r="AE178" s="164" t="str">
        <f t="shared" si="9"/>
        <v/>
      </c>
      <c r="AF178" s="164"/>
      <c r="AG178" s="163"/>
      <c r="AH178" s="164"/>
      <c r="AI178" s="163"/>
      <c r="AJ178" s="162" t="str">
        <f t="shared" si="10"/>
        <v/>
      </c>
      <c r="AK178" s="162" t="str">
        <f t="shared" si="11"/>
        <v/>
      </c>
    </row>
    <row r="179" spans="2:37" ht="21" x14ac:dyDescent="0.35">
      <c r="B179" s="163"/>
      <c r="C179" s="163"/>
      <c r="D179" s="163"/>
      <c r="E179" s="163"/>
      <c r="F179" s="163"/>
      <c r="G179" s="163"/>
      <c r="H179" s="163"/>
      <c r="I179" s="163"/>
      <c r="J179" s="163"/>
      <c r="K179" s="163"/>
      <c r="L179" s="163"/>
      <c r="M179" s="163"/>
      <c r="N179" s="163"/>
      <c r="O179" s="163"/>
      <c r="P179" s="163"/>
      <c r="Q179" s="163"/>
      <c r="R179" s="163"/>
      <c r="S179" s="163"/>
      <c r="T179" s="163"/>
      <c r="U179" s="163"/>
      <c r="V179" s="163"/>
      <c r="W179" s="163"/>
      <c r="X179" s="163"/>
      <c r="Y179" s="163"/>
      <c r="Z179" s="163"/>
      <c r="AA179" s="163"/>
      <c r="AB179" s="163"/>
      <c r="AC179" s="163"/>
      <c r="AD179" s="164" t="str">
        <f t="shared" si="8"/>
        <v/>
      </c>
      <c r="AE179" s="164" t="str">
        <f t="shared" si="9"/>
        <v/>
      </c>
      <c r="AF179" s="164"/>
      <c r="AG179" s="163"/>
      <c r="AH179" s="164"/>
      <c r="AI179" s="163"/>
      <c r="AJ179" s="162" t="str">
        <f t="shared" si="10"/>
        <v/>
      </c>
      <c r="AK179" s="162" t="str">
        <f t="shared" si="11"/>
        <v/>
      </c>
    </row>
    <row r="180" spans="2:37" ht="21" x14ac:dyDescent="0.35">
      <c r="B180" s="163"/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  <c r="M180" s="163"/>
      <c r="N180" s="163"/>
      <c r="O180" s="163"/>
      <c r="P180" s="163"/>
      <c r="Q180" s="163"/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4" t="str">
        <f t="shared" si="8"/>
        <v/>
      </c>
      <c r="AE180" s="164" t="str">
        <f t="shared" si="9"/>
        <v/>
      </c>
      <c r="AF180" s="164"/>
      <c r="AG180" s="163"/>
      <c r="AH180" s="164"/>
      <c r="AI180" s="163"/>
      <c r="AJ180" s="162" t="str">
        <f t="shared" si="10"/>
        <v/>
      </c>
      <c r="AK180" s="162" t="str">
        <f t="shared" si="11"/>
        <v/>
      </c>
    </row>
    <row r="181" spans="2:37" ht="21" x14ac:dyDescent="0.35">
      <c r="B181" s="146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 t="str">
        <f t="shared" si="8"/>
        <v/>
      </c>
      <c r="AE181" s="148" t="str">
        <f t="shared" si="9"/>
        <v/>
      </c>
      <c r="AF181" s="148"/>
      <c r="AG181" s="147"/>
      <c r="AH181" s="148"/>
      <c r="AI181" s="147"/>
      <c r="AJ181" s="149" t="str">
        <f t="shared" si="10"/>
        <v/>
      </c>
      <c r="AK181" s="150" t="str">
        <f t="shared" si="11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8"/>
        <v/>
      </c>
      <c r="AE182" s="76" t="str">
        <f t="shared" si="9"/>
        <v/>
      </c>
      <c r="AF182" s="77"/>
      <c r="AG182" s="73"/>
      <c r="AH182" s="77"/>
      <c r="AI182" s="73"/>
      <c r="AJ182" s="78" t="str">
        <f t="shared" si="10"/>
        <v/>
      </c>
      <c r="AK182" s="79" t="str">
        <f t="shared" si="11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8"/>
        <v/>
      </c>
      <c r="AE183" s="76" t="str">
        <f t="shared" si="9"/>
        <v/>
      </c>
      <c r="AF183" s="77"/>
      <c r="AG183" s="73"/>
      <c r="AH183" s="77"/>
      <c r="AI183" s="73"/>
      <c r="AJ183" s="78" t="str">
        <f t="shared" si="10"/>
        <v/>
      </c>
      <c r="AK183" s="79" t="str">
        <f t="shared" si="11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8"/>
        <v/>
      </c>
      <c r="AE184" s="76" t="str">
        <f t="shared" si="9"/>
        <v/>
      </c>
      <c r="AF184" s="77"/>
      <c r="AG184" s="73"/>
      <c r="AH184" s="77"/>
      <c r="AI184" s="73"/>
      <c r="AJ184" s="78" t="str">
        <f t="shared" si="10"/>
        <v/>
      </c>
      <c r="AK184" s="79" t="str">
        <f t="shared" si="11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8"/>
        <v/>
      </c>
      <c r="AE185" s="76" t="str">
        <f t="shared" si="9"/>
        <v/>
      </c>
      <c r="AF185" s="77"/>
      <c r="AG185" s="73"/>
      <c r="AH185" s="77"/>
      <c r="AI185" s="73"/>
      <c r="AJ185" s="78" t="str">
        <f t="shared" si="10"/>
        <v/>
      </c>
      <c r="AK185" s="79" t="str">
        <f t="shared" si="11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8"/>
        <v/>
      </c>
      <c r="AE186" s="76" t="str">
        <f t="shared" si="9"/>
        <v/>
      </c>
      <c r="AF186" s="77"/>
      <c r="AG186" s="73"/>
      <c r="AH186" s="77"/>
      <c r="AI186" s="73"/>
      <c r="AJ186" s="78" t="str">
        <f t="shared" si="10"/>
        <v/>
      </c>
      <c r="AK186" s="79" t="str">
        <f t="shared" si="11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8"/>
        <v/>
      </c>
      <c r="AE187" s="76" t="str">
        <f t="shared" si="9"/>
        <v/>
      </c>
      <c r="AF187" s="77"/>
      <c r="AG187" s="73"/>
      <c r="AH187" s="77"/>
      <c r="AI187" s="73"/>
      <c r="AJ187" s="78" t="str">
        <f t="shared" si="10"/>
        <v/>
      </c>
      <c r="AK187" s="79" t="str">
        <f t="shared" si="11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8"/>
        <v/>
      </c>
      <c r="AE188" s="76" t="str">
        <f t="shared" si="9"/>
        <v/>
      </c>
      <c r="AF188" s="77"/>
      <c r="AG188" s="73"/>
      <c r="AH188" s="77"/>
      <c r="AI188" s="73"/>
      <c r="AJ188" s="78" t="str">
        <f t="shared" si="10"/>
        <v/>
      </c>
      <c r="AK188" s="79" t="str">
        <f t="shared" si="11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8"/>
        <v/>
      </c>
      <c r="AE189" s="76" t="str">
        <f t="shared" si="9"/>
        <v/>
      </c>
      <c r="AF189" s="77"/>
      <c r="AG189" s="73"/>
      <c r="AH189" s="77"/>
      <c r="AI189" s="73"/>
      <c r="AJ189" s="78" t="str">
        <f t="shared" si="10"/>
        <v/>
      </c>
      <c r="AK189" s="79" t="str">
        <f t="shared" si="11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8"/>
        <v/>
      </c>
      <c r="AE190" s="76" t="str">
        <f t="shared" si="9"/>
        <v/>
      </c>
      <c r="AF190" s="77"/>
      <c r="AG190" s="73"/>
      <c r="AH190" s="77"/>
      <c r="AI190" s="73"/>
      <c r="AJ190" s="78" t="str">
        <f t="shared" si="10"/>
        <v/>
      </c>
      <c r="AK190" s="79" t="str">
        <f t="shared" si="11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8"/>
        <v/>
      </c>
      <c r="AE191" s="76" t="str">
        <f t="shared" si="9"/>
        <v/>
      </c>
      <c r="AF191" s="77"/>
      <c r="AG191" s="73"/>
      <c r="AH191" s="77"/>
      <c r="AI191" s="73"/>
      <c r="AJ191" s="78" t="str">
        <f t="shared" si="10"/>
        <v/>
      </c>
      <c r="AK191" s="79" t="str">
        <f t="shared" si="11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8"/>
        <v/>
      </c>
      <c r="AE192" s="76" t="str">
        <f t="shared" si="9"/>
        <v/>
      </c>
      <c r="AF192" s="77"/>
      <c r="AG192" s="73"/>
      <c r="AH192" s="77"/>
      <c r="AI192" s="73"/>
      <c r="AJ192" s="78" t="str">
        <f t="shared" si="10"/>
        <v/>
      </c>
      <c r="AK192" s="79" t="str">
        <f t="shared" si="11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8"/>
        <v/>
      </c>
      <c r="AE193" s="76" t="str">
        <f t="shared" si="9"/>
        <v/>
      </c>
      <c r="AF193" s="77"/>
      <c r="AG193" s="73"/>
      <c r="AH193" s="77"/>
      <c r="AI193" s="73"/>
      <c r="AJ193" s="78" t="str">
        <f t="shared" si="10"/>
        <v/>
      </c>
      <c r="AK193" s="79" t="str">
        <f t="shared" si="11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8"/>
        <v/>
      </c>
      <c r="AE194" s="76" t="str">
        <f t="shared" si="9"/>
        <v/>
      </c>
      <c r="AF194" s="77"/>
      <c r="AG194" s="73"/>
      <c r="AH194" s="77"/>
      <c r="AI194" s="73"/>
      <c r="AJ194" s="78" t="str">
        <f t="shared" si="10"/>
        <v/>
      </c>
      <c r="AK194" s="79" t="str">
        <f t="shared" si="11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8"/>
        <v/>
      </c>
      <c r="AE195" s="76" t="str">
        <f t="shared" si="9"/>
        <v/>
      </c>
      <c r="AF195" s="77"/>
      <c r="AG195" s="73"/>
      <c r="AH195" s="77"/>
      <c r="AI195" s="73"/>
      <c r="AJ195" s="78" t="str">
        <f t="shared" si="10"/>
        <v/>
      </c>
      <c r="AK195" s="79" t="str">
        <f t="shared" si="11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2">IF(MIN(F196,J196,N196,R196,V196,Z196)&lt;&gt;0,MIN(F196,J196,N196,R196,V196,Z196),"")</f>
        <v/>
      </c>
      <c r="AE196" s="76" t="str">
        <f t="shared" ref="AE196:AE259" si="13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4">IF(AD196="","",IF(ISBLANK(AF196),"En cours",AD196+AF196))</f>
        <v/>
      </c>
      <c r="AK196" s="79" t="str">
        <f t="shared" ref="AK196:AK259" si="15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2"/>
        <v/>
      </c>
      <c r="AE197" s="76" t="str">
        <f t="shared" si="13"/>
        <v/>
      </c>
      <c r="AF197" s="77"/>
      <c r="AG197" s="73"/>
      <c r="AH197" s="77"/>
      <c r="AI197" s="73"/>
      <c r="AJ197" s="78" t="str">
        <f t="shared" si="14"/>
        <v/>
      </c>
      <c r="AK197" s="79" t="str">
        <f t="shared" si="15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2"/>
        <v/>
      </c>
      <c r="AE198" s="76" t="str">
        <f t="shared" si="13"/>
        <v/>
      </c>
      <c r="AF198" s="77"/>
      <c r="AG198" s="73"/>
      <c r="AH198" s="77"/>
      <c r="AI198" s="73"/>
      <c r="AJ198" s="78" t="str">
        <f t="shared" si="14"/>
        <v/>
      </c>
      <c r="AK198" s="79" t="str">
        <f t="shared" si="15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2"/>
        <v/>
      </c>
      <c r="AE199" s="76" t="str">
        <f t="shared" si="13"/>
        <v/>
      </c>
      <c r="AF199" s="77"/>
      <c r="AG199" s="73"/>
      <c r="AH199" s="77"/>
      <c r="AI199" s="73"/>
      <c r="AJ199" s="78" t="str">
        <f t="shared" si="14"/>
        <v/>
      </c>
      <c r="AK199" s="79" t="str">
        <f t="shared" si="15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2"/>
        <v/>
      </c>
      <c r="AE200" s="76" t="str">
        <f t="shared" si="13"/>
        <v/>
      </c>
      <c r="AF200" s="77"/>
      <c r="AG200" s="73"/>
      <c r="AH200" s="77"/>
      <c r="AI200" s="73"/>
      <c r="AJ200" s="78" t="str">
        <f t="shared" si="14"/>
        <v/>
      </c>
      <c r="AK200" s="79" t="str">
        <f t="shared" si="15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2"/>
        <v/>
      </c>
      <c r="AE201" s="76" t="str">
        <f t="shared" si="13"/>
        <v/>
      </c>
      <c r="AF201" s="77"/>
      <c r="AG201" s="73"/>
      <c r="AH201" s="77"/>
      <c r="AI201" s="73"/>
      <c r="AJ201" s="78" t="str">
        <f t="shared" si="14"/>
        <v/>
      </c>
      <c r="AK201" s="79" t="str">
        <f t="shared" si="15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2"/>
        <v/>
      </c>
      <c r="AE202" s="76" t="str">
        <f t="shared" si="13"/>
        <v/>
      </c>
      <c r="AF202" s="77"/>
      <c r="AG202" s="73"/>
      <c r="AH202" s="77"/>
      <c r="AI202" s="73"/>
      <c r="AJ202" s="78" t="str">
        <f t="shared" si="14"/>
        <v/>
      </c>
      <c r="AK202" s="79" t="str">
        <f t="shared" si="15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2"/>
        <v/>
      </c>
      <c r="AE203" s="76" t="str">
        <f t="shared" si="13"/>
        <v/>
      </c>
      <c r="AF203" s="77"/>
      <c r="AG203" s="73"/>
      <c r="AH203" s="77"/>
      <c r="AI203" s="73"/>
      <c r="AJ203" s="78" t="str">
        <f t="shared" si="14"/>
        <v/>
      </c>
      <c r="AK203" s="79" t="str">
        <f t="shared" si="15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2"/>
        <v/>
      </c>
      <c r="AE204" s="76" t="str">
        <f t="shared" si="13"/>
        <v/>
      </c>
      <c r="AF204" s="77"/>
      <c r="AG204" s="73"/>
      <c r="AH204" s="77"/>
      <c r="AI204" s="73"/>
      <c r="AJ204" s="78" t="str">
        <f t="shared" si="14"/>
        <v/>
      </c>
      <c r="AK204" s="79" t="str">
        <f t="shared" si="15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2"/>
        <v/>
      </c>
      <c r="AE205" s="76" t="str">
        <f t="shared" si="13"/>
        <v/>
      </c>
      <c r="AF205" s="77"/>
      <c r="AG205" s="73"/>
      <c r="AH205" s="77"/>
      <c r="AI205" s="73"/>
      <c r="AJ205" s="78" t="str">
        <f t="shared" si="14"/>
        <v/>
      </c>
      <c r="AK205" s="79" t="str">
        <f t="shared" si="15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2"/>
        <v/>
      </c>
      <c r="AE206" s="76" t="str">
        <f t="shared" si="13"/>
        <v/>
      </c>
      <c r="AF206" s="77"/>
      <c r="AG206" s="73"/>
      <c r="AH206" s="77"/>
      <c r="AI206" s="73"/>
      <c r="AJ206" s="78" t="str">
        <f t="shared" si="14"/>
        <v/>
      </c>
      <c r="AK206" s="79" t="str">
        <f t="shared" si="15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2"/>
        <v/>
      </c>
      <c r="AE207" s="76" t="str">
        <f t="shared" si="13"/>
        <v/>
      </c>
      <c r="AF207" s="77"/>
      <c r="AG207" s="73"/>
      <c r="AH207" s="77"/>
      <c r="AI207" s="73"/>
      <c r="AJ207" s="78" t="str">
        <f t="shared" si="14"/>
        <v/>
      </c>
      <c r="AK207" s="79" t="str">
        <f t="shared" si="15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2"/>
        <v/>
      </c>
      <c r="AE208" s="76" t="str">
        <f t="shared" si="13"/>
        <v/>
      </c>
      <c r="AF208" s="77"/>
      <c r="AG208" s="73"/>
      <c r="AH208" s="77"/>
      <c r="AI208" s="73"/>
      <c r="AJ208" s="78" t="str">
        <f t="shared" si="14"/>
        <v/>
      </c>
      <c r="AK208" s="79" t="str">
        <f t="shared" si="15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2"/>
        <v/>
      </c>
      <c r="AE209" s="76" t="str">
        <f t="shared" si="13"/>
        <v/>
      </c>
      <c r="AF209" s="77"/>
      <c r="AG209" s="73"/>
      <c r="AH209" s="77"/>
      <c r="AI209" s="73"/>
      <c r="AJ209" s="78" t="str">
        <f t="shared" si="14"/>
        <v/>
      </c>
      <c r="AK209" s="79" t="str">
        <f t="shared" si="15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2"/>
        <v/>
      </c>
      <c r="AE210" s="76" t="str">
        <f t="shared" si="13"/>
        <v/>
      </c>
      <c r="AF210" s="77"/>
      <c r="AG210" s="73"/>
      <c r="AH210" s="77"/>
      <c r="AI210" s="73"/>
      <c r="AJ210" s="78" t="str">
        <f t="shared" si="14"/>
        <v/>
      </c>
      <c r="AK210" s="79" t="str">
        <f t="shared" si="15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2"/>
        <v/>
      </c>
      <c r="AE211" s="76" t="str">
        <f t="shared" si="13"/>
        <v/>
      </c>
      <c r="AF211" s="77"/>
      <c r="AG211" s="73"/>
      <c r="AH211" s="77"/>
      <c r="AI211" s="73"/>
      <c r="AJ211" s="78" t="str">
        <f t="shared" si="14"/>
        <v/>
      </c>
      <c r="AK211" s="79" t="str">
        <f t="shared" si="15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2"/>
        <v/>
      </c>
      <c r="AE212" s="76" t="str">
        <f t="shared" si="13"/>
        <v/>
      </c>
      <c r="AF212" s="77"/>
      <c r="AG212" s="73"/>
      <c r="AH212" s="77"/>
      <c r="AI212" s="73"/>
      <c r="AJ212" s="78" t="str">
        <f t="shared" si="14"/>
        <v/>
      </c>
      <c r="AK212" s="79" t="str">
        <f t="shared" si="15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2"/>
        <v/>
      </c>
      <c r="AE213" s="76" t="str">
        <f t="shared" si="13"/>
        <v/>
      </c>
      <c r="AF213" s="77"/>
      <c r="AG213" s="73"/>
      <c r="AH213" s="77"/>
      <c r="AI213" s="73"/>
      <c r="AJ213" s="78" t="str">
        <f t="shared" si="14"/>
        <v/>
      </c>
      <c r="AK213" s="79" t="str">
        <f t="shared" si="15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2"/>
        <v/>
      </c>
      <c r="AE214" s="76" t="str">
        <f t="shared" si="13"/>
        <v/>
      </c>
      <c r="AF214" s="77"/>
      <c r="AG214" s="73"/>
      <c r="AH214" s="77"/>
      <c r="AI214" s="73"/>
      <c r="AJ214" s="78" t="str">
        <f t="shared" si="14"/>
        <v/>
      </c>
      <c r="AK214" s="79" t="str">
        <f t="shared" si="15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2"/>
        <v/>
      </c>
      <c r="AE215" s="76" t="str">
        <f t="shared" si="13"/>
        <v/>
      </c>
      <c r="AF215" s="77"/>
      <c r="AG215" s="73"/>
      <c r="AH215" s="77"/>
      <c r="AI215" s="73"/>
      <c r="AJ215" s="78" t="str">
        <f t="shared" si="14"/>
        <v/>
      </c>
      <c r="AK215" s="79" t="str">
        <f t="shared" si="15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2"/>
        <v/>
      </c>
      <c r="AE216" s="76" t="str">
        <f t="shared" si="13"/>
        <v/>
      </c>
      <c r="AF216" s="77"/>
      <c r="AG216" s="73"/>
      <c r="AH216" s="77"/>
      <c r="AI216" s="73"/>
      <c r="AJ216" s="78" t="str">
        <f t="shared" si="14"/>
        <v/>
      </c>
      <c r="AK216" s="79" t="str">
        <f t="shared" si="15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2"/>
        <v/>
      </c>
      <c r="AE217" s="76" t="str">
        <f t="shared" si="13"/>
        <v/>
      </c>
      <c r="AF217" s="77"/>
      <c r="AG217" s="73"/>
      <c r="AH217" s="77"/>
      <c r="AI217" s="73"/>
      <c r="AJ217" s="78" t="str">
        <f t="shared" si="14"/>
        <v/>
      </c>
      <c r="AK217" s="79" t="str">
        <f t="shared" si="15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2"/>
        <v/>
      </c>
      <c r="AE218" s="76" t="str">
        <f t="shared" si="13"/>
        <v/>
      </c>
      <c r="AF218" s="77"/>
      <c r="AG218" s="73"/>
      <c r="AH218" s="77"/>
      <c r="AI218" s="73"/>
      <c r="AJ218" s="78" t="str">
        <f t="shared" si="14"/>
        <v/>
      </c>
      <c r="AK218" s="79" t="str">
        <f t="shared" si="15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2"/>
        <v/>
      </c>
      <c r="AE219" s="76" t="str">
        <f t="shared" si="13"/>
        <v/>
      </c>
      <c r="AF219" s="77"/>
      <c r="AG219" s="73"/>
      <c r="AH219" s="77"/>
      <c r="AI219" s="73"/>
      <c r="AJ219" s="78" t="str">
        <f t="shared" si="14"/>
        <v/>
      </c>
      <c r="AK219" s="79" t="str">
        <f t="shared" si="15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2"/>
        <v/>
      </c>
      <c r="AE220" s="76" t="str">
        <f t="shared" si="13"/>
        <v/>
      </c>
      <c r="AF220" s="77"/>
      <c r="AG220" s="73"/>
      <c r="AH220" s="77"/>
      <c r="AI220" s="73"/>
      <c r="AJ220" s="78" t="str">
        <f t="shared" si="14"/>
        <v/>
      </c>
      <c r="AK220" s="79" t="str">
        <f t="shared" si="15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2"/>
        <v/>
      </c>
      <c r="AE221" s="76" t="str">
        <f t="shared" si="13"/>
        <v/>
      </c>
      <c r="AF221" s="77"/>
      <c r="AG221" s="73"/>
      <c r="AH221" s="77"/>
      <c r="AI221" s="73"/>
      <c r="AJ221" s="78" t="str">
        <f t="shared" si="14"/>
        <v/>
      </c>
      <c r="AK221" s="79" t="str">
        <f t="shared" si="15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2"/>
        <v/>
      </c>
      <c r="AE222" s="76" t="str">
        <f t="shared" si="13"/>
        <v/>
      </c>
      <c r="AF222" s="77"/>
      <c r="AG222" s="73"/>
      <c r="AH222" s="77"/>
      <c r="AI222" s="73"/>
      <c r="AJ222" s="78" t="str">
        <f t="shared" si="14"/>
        <v/>
      </c>
      <c r="AK222" s="79" t="str">
        <f t="shared" si="15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2"/>
        <v/>
      </c>
      <c r="AE223" s="76" t="str">
        <f t="shared" si="13"/>
        <v/>
      </c>
      <c r="AF223" s="77"/>
      <c r="AG223" s="73"/>
      <c r="AH223" s="77"/>
      <c r="AI223" s="73"/>
      <c r="AJ223" s="78" t="str">
        <f t="shared" si="14"/>
        <v/>
      </c>
      <c r="AK223" s="79" t="str">
        <f t="shared" si="15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2"/>
        <v/>
      </c>
      <c r="AE224" s="76" t="str">
        <f t="shared" si="13"/>
        <v/>
      </c>
      <c r="AF224" s="77"/>
      <c r="AG224" s="73"/>
      <c r="AH224" s="77"/>
      <c r="AI224" s="73"/>
      <c r="AJ224" s="78" t="str">
        <f t="shared" si="14"/>
        <v/>
      </c>
      <c r="AK224" s="79" t="str">
        <f t="shared" si="15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2"/>
        <v/>
      </c>
      <c r="AE225" s="76" t="str">
        <f t="shared" si="13"/>
        <v/>
      </c>
      <c r="AF225" s="77"/>
      <c r="AG225" s="73"/>
      <c r="AH225" s="77"/>
      <c r="AI225" s="73"/>
      <c r="AJ225" s="78" t="str">
        <f t="shared" si="14"/>
        <v/>
      </c>
      <c r="AK225" s="79" t="str">
        <f t="shared" si="15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2"/>
        <v/>
      </c>
      <c r="AE226" s="76" t="str">
        <f t="shared" si="13"/>
        <v/>
      </c>
      <c r="AF226" s="77"/>
      <c r="AG226" s="73"/>
      <c r="AH226" s="77"/>
      <c r="AI226" s="73"/>
      <c r="AJ226" s="78" t="str">
        <f t="shared" si="14"/>
        <v/>
      </c>
      <c r="AK226" s="79" t="str">
        <f t="shared" si="15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2"/>
        <v/>
      </c>
      <c r="AE227" s="76" t="str">
        <f t="shared" si="13"/>
        <v/>
      </c>
      <c r="AF227" s="77"/>
      <c r="AG227" s="73"/>
      <c r="AH227" s="77"/>
      <c r="AI227" s="73"/>
      <c r="AJ227" s="78" t="str">
        <f t="shared" si="14"/>
        <v/>
      </c>
      <c r="AK227" s="79" t="str">
        <f t="shared" si="15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2"/>
        <v/>
      </c>
      <c r="AE228" s="76" t="str">
        <f t="shared" si="13"/>
        <v/>
      </c>
      <c r="AF228" s="77"/>
      <c r="AG228" s="73"/>
      <c r="AH228" s="77"/>
      <c r="AI228" s="73"/>
      <c r="AJ228" s="78" t="str">
        <f t="shared" si="14"/>
        <v/>
      </c>
      <c r="AK228" s="79" t="str">
        <f t="shared" si="15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2"/>
        <v/>
      </c>
      <c r="AE229" s="76" t="str">
        <f t="shared" si="13"/>
        <v/>
      </c>
      <c r="AF229" s="77"/>
      <c r="AG229" s="73"/>
      <c r="AH229" s="77"/>
      <c r="AI229" s="73"/>
      <c r="AJ229" s="78" t="str">
        <f t="shared" si="14"/>
        <v/>
      </c>
      <c r="AK229" s="79" t="str">
        <f t="shared" si="15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2"/>
        <v/>
      </c>
      <c r="AE230" s="76" t="str">
        <f t="shared" si="13"/>
        <v/>
      </c>
      <c r="AF230" s="77"/>
      <c r="AG230" s="73"/>
      <c r="AH230" s="77"/>
      <c r="AI230" s="73"/>
      <c r="AJ230" s="78" t="str">
        <f t="shared" si="14"/>
        <v/>
      </c>
      <c r="AK230" s="79" t="str">
        <f t="shared" si="15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2"/>
        <v/>
      </c>
      <c r="AE231" s="76" t="str">
        <f t="shared" si="13"/>
        <v/>
      </c>
      <c r="AF231" s="77"/>
      <c r="AG231" s="73"/>
      <c r="AH231" s="77"/>
      <c r="AI231" s="73"/>
      <c r="AJ231" s="78" t="str">
        <f t="shared" si="14"/>
        <v/>
      </c>
      <c r="AK231" s="79" t="str">
        <f t="shared" si="15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2"/>
        <v/>
      </c>
      <c r="AE232" s="76" t="str">
        <f t="shared" si="13"/>
        <v/>
      </c>
      <c r="AF232" s="77"/>
      <c r="AG232" s="73"/>
      <c r="AH232" s="77"/>
      <c r="AI232" s="73"/>
      <c r="AJ232" s="78" t="str">
        <f t="shared" si="14"/>
        <v/>
      </c>
      <c r="AK232" s="79" t="str">
        <f t="shared" si="15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2"/>
        <v/>
      </c>
      <c r="AE233" s="76" t="str">
        <f t="shared" si="13"/>
        <v/>
      </c>
      <c r="AF233" s="77"/>
      <c r="AG233" s="73"/>
      <c r="AH233" s="77"/>
      <c r="AI233" s="73"/>
      <c r="AJ233" s="78" t="str">
        <f t="shared" si="14"/>
        <v/>
      </c>
      <c r="AK233" s="79" t="str">
        <f t="shared" si="15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2"/>
        <v/>
      </c>
      <c r="AE234" s="76" t="str">
        <f t="shared" si="13"/>
        <v/>
      </c>
      <c r="AF234" s="77"/>
      <c r="AG234" s="73"/>
      <c r="AH234" s="77"/>
      <c r="AI234" s="73"/>
      <c r="AJ234" s="78" t="str">
        <f t="shared" si="14"/>
        <v/>
      </c>
      <c r="AK234" s="79" t="str">
        <f t="shared" si="15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2"/>
        <v/>
      </c>
      <c r="AE235" s="76" t="str">
        <f t="shared" si="13"/>
        <v/>
      </c>
      <c r="AF235" s="77"/>
      <c r="AG235" s="73"/>
      <c r="AH235" s="77"/>
      <c r="AI235" s="73"/>
      <c r="AJ235" s="78" t="str">
        <f t="shared" si="14"/>
        <v/>
      </c>
      <c r="AK235" s="79" t="str">
        <f t="shared" si="15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2"/>
        <v/>
      </c>
      <c r="AE236" s="76" t="str">
        <f t="shared" si="13"/>
        <v/>
      </c>
      <c r="AF236" s="77"/>
      <c r="AG236" s="73"/>
      <c r="AH236" s="77"/>
      <c r="AI236" s="73"/>
      <c r="AJ236" s="78" t="str">
        <f t="shared" si="14"/>
        <v/>
      </c>
      <c r="AK236" s="79" t="str">
        <f t="shared" si="15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2"/>
        <v/>
      </c>
      <c r="AE237" s="76" t="str">
        <f t="shared" si="13"/>
        <v/>
      </c>
      <c r="AF237" s="77"/>
      <c r="AG237" s="73"/>
      <c r="AH237" s="77"/>
      <c r="AI237" s="73"/>
      <c r="AJ237" s="78" t="str">
        <f t="shared" si="14"/>
        <v/>
      </c>
      <c r="AK237" s="79" t="str">
        <f t="shared" si="15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2"/>
        <v/>
      </c>
      <c r="AE238" s="76" t="str">
        <f t="shared" si="13"/>
        <v/>
      </c>
      <c r="AF238" s="77"/>
      <c r="AG238" s="73"/>
      <c r="AH238" s="77"/>
      <c r="AI238" s="73"/>
      <c r="AJ238" s="78" t="str">
        <f t="shared" si="14"/>
        <v/>
      </c>
      <c r="AK238" s="79" t="str">
        <f t="shared" si="15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2"/>
        <v/>
      </c>
      <c r="AE239" s="76" t="str">
        <f t="shared" si="13"/>
        <v/>
      </c>
      <c r="AF239" s="77"/>
      <c r="AG239" s="73"/>
      <c r="AH239" s="77"/>
      <c r="AI239" s="73"/>
      <c r="AJ239" s="78" t="str">
        <f t="shared" si="14"/>
        <v/>
      </c>
      <c r="AK239" s="79" t="str">
        <f t="shared" si="15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2"/>
        <v/>
      </c>
      <c r="AE240" s="76" t="str">
        <f t="shared" si="13"/>
        <v/>
      </c>
      <c r="AF240" s="77"/>
      <c r="AG240" s="73"/>
      <c r="AH240" s="77"/>
      <c r="AI240" s="73"/>
      <c r="AJ240" s="78" t="str">
        <f t="shared" si="14"/>
        <v/>
      </c>
      <c r="AK240" s="79" t="str">
        <f t="shared" si="15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2"/>
        <v/>
      </c>
      <c r="AE241" s="76" t="str">
        <f t="shared" si="13"/>
        <v/>
      </c>
      <c r="AF241" s="77"/>
      <c r="AG241" s="73"/>
      <c r="AH241" s="77"/>
      <c r="AI241" s="73"/>
      <c r="AJ241" s="78" t="str">
        <f t="shared" si="14"/>
        <v/>
      </c>
      <c r="AK241" s="79" t="str">
        <f t="shared" si="15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2"/>
        <v/>
      </c>
      <c r="AE242" s="76" t="str">
        <f t="shared" si="13"/>
        <v/>
      </c>
      <c r="AF242" s="77"/>
      <c r="AG242" s="73"/>
      <c r="AH242" s="77"/>
      <c r="AI242" s="73"/>
      <c r="AJ242" s="78" t="str">
        <f t="shared" si="14"/>
        <v/>
      </c>
      <c r="AK242" s="79" t="str">
        <f t="shared" si="15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2"/>
        <v/>
      </c>
      <c r="AE243" s="76" t="str">
        <f t="shared" si="13"/>
        <v/>
      </c>
      <c r="AF243" s="77"/>
      <c r="AG243" s="73"/>
      <c r="AH243" s="77"/>
      <c r="AI243" s="73"/>
      <c r="AJ243" s="78" t="str">
        <f t="shared" si="14"/>
        <v/>
      </c>
      <c r="AK243" s="79" t="str">
        <f t="shared" si="15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2"/>
        <v/>
      </c>
      <c r="AE244" s="76" t="str">
        <f t="shared" si="13"/>
        <v/>
      </c>
      <c r="AF244" s="77"/>
      <c r="AG244" s="73"/>
      <c r="AH244" s="77"/>
      <c r="AI244" s="73"/>
      <c r="AJ244" s="78" t="str">
        <f t="shared" si="14"/>
        <v/>
      </c>
      <c r="AK244" s="79" t="str">
        <f t="shared" si="15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2"/>
        <v/>
      </c>
      <c r="AE245" s="76" t="str">
        <f t="shared" si="13"/>
        <v/>
      </c>
      <c r="AF245" s="77"/>
      <c r="AG245" s="73"/>
      <c r="AH245" s="77"/>
      <c r="AI245" s="73"/>
      <c r="AJ245" s="78" t="str">
        <f t="shared" si="14"/>
        <v/>
      </c>
      <c r="AK245" s="79" t="str">
        <f t="shared" si="15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2"/>
        <v/>
      </c>
      <c r="AE246" s="76" t="str">
        <f t="shared" si="13"/>
        <v/>
      </c>
      <c r="AF246" s="77"/>
      <c r="AG246" s="73"/>
      <c r="AH246" s="77"/>
      <c r="AI246" s="73"/>
      <c r="AJ246" s="78" t="str">
        <f t="shared" si="14"/>
        <v/>
      </c>
      <c r="AK246" s="79" t="str">
        <f t="shared" si="15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2"/>
        <v/>
      </c>
      <c r="AE247" s="76" t="str">
        <f t="shared" si="13"/>
        <v/>
      </c>
      <c r="AF247" s="77"/>
      <c r="AG247" s="73"/>
      <c r="AH247" s="77"/>
      <c r="AI247" s="73"/>
      <c r="AJ247" s="78" t="str">
        <f t="shared" si="14"/>
        <v/>
      </c>
      <c r="AK247" s="79" t="str">
        <f t="shared" si="15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2"/>
        <v/>
      </c>
      <c r="AE248" s="76" t="str">
        <f t="shared" si="13"/>
        <v/>
      </c>
      <c r="AF248" s="77"/>
      <c r="AG248" s="73"/>
      <c r="AH248" s="77"/>
      <c r="AI248" s="73"/>
      <c r="AJ248" s="78" t="str">
        <f t="shared" si="14"/>
        <v/>
      </c>
      <c r="AK248" s="79" t="str">
        <f t="shared" si="15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2"/>
        <v/>
      </c>
      <c r="AE249" s="76" t="str">
        <f t="shared" si="13"/>
        <v/>
      </c>
      <c r="AF249" s="77"/>
      <c r="AG249" s="73"/>
      <c r="AH249" s="77"/>
      <c r="AI249" s="73"/>
      <c r="AJ249" s="78" t="str">
        <f t="shared" si="14"/>
        <v/>
      </c>
      <c r="AK249" s="79" t="str">
        <f t="shared" si="15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2"/>
        <v/>
      </c>
      <c r="AE250" s="76" t="str">
        <f t="shared" si="13"/>
        <v/>
      </c>
      <c r="AF250" s="77"/>
      <c r="AG250" s="73"/>
      <c r="AH250" s="77"/>
      <c r="AI250" s="73"/>
      <c r="AJ250" s="78" t="str">
        <f t="shared" si="14"/>
        <v/>
      </c>
      <c r="AK250" s="79" t="str">
        <f t="shared" si="15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2"/>
        <v/>
      </c>
      <c r="AE251" s="76" t="str">
        <f t="shared" si="13"/>
        <v/>
      </c>
      <c r="AF251" s="77"/>
      <c r="AG251" s="73"/>
      <c r="AH251" s="77"/>
      <c r="AI251" s="73"/>
      <c r="AJ251" s="78" t="str">
        <f t="shared" si="14"/>
        <v/>
      </c>
      <c r="AK251" s="79" t="str">
        <f t="shared" si="15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2"/>
        <v/>
      </c>
      <c r="AE252" s="76" t="str">
        <f t="shared" si="13"/>
        <v/>
      </c>
      <c r="AF252" s="77"/>
      <c r="AG252" s="73"/>
      <c r="AH252" s="77"/>
      <c r="AI252" s="73"/>
      <c r="AJ252" s="78" t="str">
        <f t="shared" si="14"/>
        <v/>
      </c>
      <c r="AK252" s="79" t="str">
        <f t="shared" si="15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2"/>
        <v/>
      </c>
      <c r="AE253" s="76" t="str">
        <f t="shared" si="13"/>
        <v/>
      </c>
      <c r="AF253" s="77"/>
      <c r="AG253" s="73"/>
      <c r="AH253" s="77"/>
      <c r="AI253" s="73"/>
      <c r="AJ253" s="78" t="str">
        <f t="shared" si="14"/>
        <v/>
      </c>
      <c r="AK253" s="79" t="str">
        <f t="shared" si="15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2"/>
        <v/>
      </c>
      <c r="AE254" s="76" t="str">
        <f t="shared" si="13"/>
        <v/>
      </c>
      <c r="AF254" s="77"/>
      <c r="AG254" s="73"/>
      <c r="AH254" s="77"/>
      <c r="AI254" s="73"/>
      <c r="AJ254" s="78" t="str">
        <f t="shared" si="14"/>
        <v/>
      </c>
      <c r="AK254" s="79" t="str">
        <f t="shared" si="15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2"/>
        <v/>
      </c>
      <c r="AE255" s="76" t="str">
        <f t="shared" si="13"/>
        <v/>
      </c>
      <c r="AF255" s="77"/>
      <c r="AG255" s="73"/>
      <c r="AH255" s="77"/>
      <c r="AI255" s="73"/>
      <c r="AJ255" s="78" t="str">
        <f t="shared" si="14"/>
        <v/>
      </c>
      <c r="AK255" s="79" t="str">
        <f t="shared" si="15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2"/>
        <v/>
      </c>
      <c r="AE256" s="76" t="str">
        <f t="shared" si="13"/>
        <v/>
      </c>
      <c r="AF256" s="77"/>
      <c r="AG256" s="73"/>
      <c r="AH256" s="77"/>
      <c r="AI256" s="73"/>
      <c r="AJ256" s="78" t="str">
        <f t="shared" si="14"/>
        <v/>
      </c>
      <c r="AK256" s="79" t="str">
        <f t="shared" si="15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2"/>
        <v/>
      </c>
      <c r="AE257" s="76" t="str">
        <f t="shared" si="13"/>
        <v/>
      </c>
      <c r="AF257" s="77"/>
      <c r="AG257" s="73"/>
      <c r="AH257" s="77"/>
      <c r="AI257" s="73"/>
      <c r="AJ257" s="78" t="str">
        <f t="shared" si="14"/>
        <v/>
      </c>
      <c r="AK257" s="79" t="str">
        <f t="shared" si="15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2"/>
        <v/>
      </c>
      <c r="AE258" s="76" t="str">
        <f t="shared" si="13"/>
        <v/>
      </c>
      <c r="AF258" s="77"/>
      <c r="AG258" s="73"/>
      <c r="AH258" s="77"/>
      <c r="AI258" s="73"/>
      <c r="AJ258" s="78" t="str">
        <f t="shared" si="14"/>
        <v/>
      </c>
      <c r="AK258" s="79" t="str">
        <f t="shared" si="15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2"/>
        <v/>
      </c>
      <c r="AE259" s="76" t="str">
        <f t="shared" si="13"/>
        <v/>
      </c>
      <c r="AF259" s="77"/>
      <c r="AG259" s="73"/>
      <c r="AH259" s="77"/>
      <c r="AI259" s="73"/>
      <c r="AJ259" s="78" t="str">
        <f t="shared" si="14"/>
        <v/>
      </c>
      <c r="AK259" s="79" t="str">
        <f t="shared" si="15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16">IF(MIN(F260,J260,N260,R260,V260,Z260)&lt;&gt;0,MIN(F260,J260,N260,R260,V260,Z260),"")</f>
        <v/>
      </c>
      <c r="AE260" s="76" t="str">
        <f t="shared" ref="AE260:AE323" si="17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18">IF(AD260="","",IF(ISBLANK(AF260),"En cours",AD260+AF260))</f>
        <v/>
      </c>
      <c r="AK260" s="79" t="str">
        <f t="shared" ref="AK260:AK323" si="19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16"/>
        <v/>
      </c>
      <c r="AE261" s="76" t="str">
        <f t="shared" si="17"/>
        <v/>
      </c>
      <c r="AF261" s="77"/>
      <c r="AG261" s="73"/>
      <c r="AH261" s="77"/>
      <c r="AI261" s="73"/>
      <c r="AJ261" s="78" t="str">
        <f t="shared" si="18"/>
        <v/>
      </c>
      <c r="AK261" s="79" t="str">
        <f t="shared" si="19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16"/>
        <v/>
      </c>
      <c r="AE262" s="76" t="str">
        <f t="shared" si="17"/>
        <v/>
      </c>
      <c r="AF262" s="77"/>
      <c r="AG262" s="73"/>
      <c r="AH262" s="77"/>
      <c r="AI262" s="73"/>
      <c r="AJ262" s="78" t="str">
        <f t="shared" si="18"/>
        <v/>
      </c>
      <c r="AK262" s="79" t="str">
        <f t="shared" si="19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16"/>
        <v/>
      </c>
      <c r="AE263" s="76" t="str">
        <f t="shared" si="17"/>
        <v/>
      </c>
      <c r="AF263" s="77"/>
      <c r="AG263" s="73"/>
      <c r="AH263" s="77"/>
      <c r="AI263" s="73"/>
      <c r="AJ263" s="78" t="str">
        <f t="shared" si="18"/>
        <v/>
      </c>
      <c r="AK263" s="79" t="str">
        <f t="shared" si="19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16"/>
        <v/>
      </c>
      <c r="AE264" s="76" t="str">
        <f t="shared" si="17"/>
        <v/>
      </c>
      <c r="AF264" s="77"/>
      <c r="AG264" s="73"/>
      <c r="AH264" s="77"/>
      <c r="AI264" s="73"/>
      <c r="AJ264" s="78" t="str">
        <f t="shared" si="18"/>
        <v/>
      </c>
      <c r="AK264" s="79" t="str">
        <f t="shared" si="19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16"/>
        <v/>
      </c>
      <c r="AE265" s="76" t="str">
        <f t="shared" si="17"/>
        <v/>
      </c>
      <c r="AF265" s="77"/>
      <c r="AG265" s="73"/>
      <c r="AH265" s="77"/>
      <c r="AI265" s="73"/>
      <c r="AJ265" s="78" t="str">
        <f t="shared" si="18"/>
        <v/>
      </c>
      <c r="AK265" s="79" t="str">
        <f t="shared" si="19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16"/>
        <v/>
      </c>
      <c r="AE266" s="76" t="str">
        <f t="shared" si="17"/>
        <v/>
      </c>
      <c r="AF266" s="77"/>
      <c r="AG266" s="73"/>
      <c r="AH266" s="77"/>
      <c r="AI266" s="73"/>
      <c r="AJ266" s="78" t="str">
        <f t="shared" si="18"/>
        <v/>
      </c>
      <c r="AK266" s="79" t="str">
        <f t="shared" si="19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16"/>
        <v/>
      </c>
      <c r="AE267" s="76" t="str">
        <f t="shared" si="17"/>
        <v/>
      </c>
      <c r="AF267" s="77"/>
      <c r="AG267" s="73"/>
      <c r="AH267" s="77"/>
      <c r="AI267" s="73"/>
      <c r="AJ267" s="78" t="str">
        <f t="shared" si="18"/>
        <v/>
      </c>
      <c r="AK267" s="79" t="str">
        <f t="shared" si="19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16"/>
        <v/>
      </c>
      <c r="AE268" s="76" t="str">
        <f t="shared" si="17"/>
        <v/>
      </c>
      <c r="AF268" s="77"/>
      <c r="AG268" s="73"/>
      <c r="AH268" s="77"/>
      <c r="AI268" s="73"/>
      <c r="AJ268" s="78" t="str">
        <f t="shared" si="18"/>
        <v/>
      </c>
      <c r="AK268" s="79" t="str">
        <f t="shared" si="19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16"/>
        <v/>
      </c>
      <c r="AE269" s="76" t="str">
        <f t="shared" si="17"/>
        <v/>
      </c>
      <c r="AF269" s="77"/>
      <c r="AG269" s="73"/>
      <c r="AH269" s="77"/>
      <c r="AI269" s="73"/>
      <c r="AJ269" s="78" t="str">
        <f t="shared" si="18"/>
        <v/>
      </c>
      <c r="AK269" s="79" t="str">
        <f t="shared" si="19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16"/>
        <v/>
      </c>
      <c r="AE270" s="76" t="str">
        <f t="shared" si="17"/>
        <v/>
      </c>
      <c r="AF270" s="77"/>
      <c r="AG270" s="73"/>
      <c r="AH270" s="77"/>
      <c r="AI270" s="73"/>
      <c r="AJ270" s="78" t="str">
        <f t="shared" si="18"/>
        <v/>
      </c>
      <c r="AK270" s="79" t="str">
        <f t="shared" si="19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16"/>
        <v/>
      </c>
      <c r="AE271" s="76" t="str">
        <f t="shared" si="17"/>
        <v/>
      </c>
      <c r="AF271" s="77"/>
      <c r="AG271" s="73"/>
      <c r="AH271" s="77"/>
      <c r="AI271" s="73"/>
      <c r="AJ271" s="78" t="str">
        <f t="shared" si="18"/>
        <v/>
      </c>
      <c r="AK271" s="79" t="str">
        <f t="shared" si="19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16"/>
        <v/>
      </c>
      <c r="AE272" s="76" t="str">
        <f t="shared" si="17"/>
        <v/>
      </c>
      <c r="AF272" s="77"/>
      <c r="AG272" s="73"/>
      <c r="AH272" s="77"/>
      <c r="AI272" s="73"/>
      <c r="AJ272" s="78" t="str">
        <f t="shared" si="18"/>
        <v/>
      </c>
      <c r="AK272" s="79" t="str">
        <f t="shared" si="19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16"/>
        <v/>
      </c>
      <c r="AE273" s="76" t="str">
        <f t="shared" si="17"/>
        <v/>
      </c>
      <c r="AF273" s="77"/>
      <c r="AG273" s="73"/>
      <c r="AH273" s="77"/>
      <c r="AI273" s="73"/>
      <c r="AJ273" s="78" t="str">
        <f t="shared" si="18"/>
        <v/>
      </c>
      <c r="AK273" s="79" t="str">
        <f t="shared" si="19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16"/>
        <v/>
      </c>
      <c r="AE274" s="76" t="str">
        <f t="shared" si="17"/>
        <v/>
      </c>
      <c r="AF274" s="77"/>
      <c r="AG274" s="73"/>
      <c r="AH274" s="77"/>
      <c r="AI274" s="73"/>
      <c r="AJ274" s="78" t="str">
        <f t="shared" si="18"/>
        <v/>
      </c>
      <c r="AK274" s="79" t="str">
        <f t="shared" si="19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16"/>
        <v/>
      </c>
      <c r="AE275" s="76" t="str">
        <f t="shared" si="17"/>
        <v/>
      </c>
      <c r="AF275" s="77"/>
      <c r="AG275" s="73"/>
      <c r="AH275" s="77"/>
      <c r="AI275" s="73"/>
      <c r="AJ275" s="78" t="str">
        <f t="shared" si="18"/>
        <v/>
      </c>
      <c r="AK275" s="79" t="str">
        <f t="shared" si="19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16"/>
        <v/>
      </c>
      <c r="AE276" s="76" t="str">
        <f t="shared" si="17"/>
        <v/>
      </c>
      <c r="AF276" s="77"/>
      <c r="AG276" s="73"/>
      <c r="AH276" s="77"/>
      <c r="AI276" s="73"/>
      <c r="AJ276" s="78" t="str">
        <f t="shared" si="18"/>
        <v/>
      </c>
      <c r="AK276" s="79" t="str">
        <f t="shared" si="19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16"/>
        <v/>
      </c>
      <c r="AE277" s="76" t="str">
        <f t="shared" si="17"/>
        <v/>
      </c>
      <c r="AF277" s="77"/>
      <c r="AG277" s="73"/>
      <c r="AH277" s="77"/>
      <c r="AI277" s="73"/>
      <c r="AJ277" s="78" t="str">
        <f t="shared" si="18"/>
        <v/>
      </c>
      <c r="AK277" s="79" t="str">
        <f t="shared" si="19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16"/>
        <v/>
      </c>
      <c r="AE278" s="76" t="str">
        <f t="shared" si="17"/>
        <v/>
      </c>
      <c r="AF278" s="77"/>
      <c r="AG278" s="73"/>
      <c r="AH278" s="77"/>
      <c r="AI278" s="73"/>
      <c r="AJ278" s="78" t="str">
        <f t="shared" si="18"/>
        <v/>
      </c>
      <c r="AK278" s="79" t="str">
        <f t="shared" si="19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16"/>
        <v/>
      </c>
      <c r="AE279" s="76" t="str">
        <f t="shared" si="17"/>
        <v/>
      </c>
      <c r="AF279" s="77"/>
      <c r="AG279" s="73"/>
      <c r="AH279" s="77"/>
      <c r="AI279" s="73"/>
      <c r="AJ279" s="78" t="str">
        <f t="shared" si="18"/>
        <v/>
      </c>
      <c r="AK279" s="79" t="str">
        <f t="shared" si="19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16"/>
        <v/>
      </c>
      <c r="AE280" s="76" t="str">
        <f t="shared" si="17"/>
        <v/>
      </c>
      <c r="AF280" s="77"/>
      <c r="AG280" s="73"/>
      <c r="AH280" s="77"/>
      <c r="AI280" s="73"/>
      <c r="AJ280" s="78" t="str">
        <f t="shared" si="18"/>
        <v/>
      </c>
      <c r="AK280" s="79" t="str">
        <f t="shared" si="19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16"/>
        <v/>
      </c>
      <c r="AE281" s="76" t="str">
        <f t="shared" si="17"/>
        <v/>
      </c>
      <c r="AF281" s="77"/>
      <c r="AG281" s="73"/>
      <c r="AH281" s="77"/>
      <c r="AI281" s="73"/>
      <c r="AJ281" s="78" t="str">
        <f t="shared" si="18"/>
        <v/>
      </c>
      <c r="AK281" s="79" t="str">
        <f t="shared" si="19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16"/>
        <v/>
      </c>
      <c r="AE282" s="76" t="str">
        <f t="shared" si="17"/>
        <v/>
      </c>
      <c r="AF282" s="77"/>
      <c r="AG282" s="73"/>
      <c r="AH282" s="77"/>
      <c r="AI282" s="73"/>
      <c r="AJ282" s="78" t="str">
        <f t="shared" si="18"/>
        <v/>
      </c>
      <c r="AK282" s="79" t="str">
        <f t="shared" si="19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16"/>
        <v/>
      </c>
      <c r="AE283" s="76" t="str">
        <f t="shared" si="17"/>
        <v/>
      </c>
      <c r="AF283" s="77"/>
      <c r="AG283" s="73"/>
      <c r="AH283" s="77"/>
      <c r="AI283" s="73"/>
      <c r="AJ283" s="78" t="str">
        <f t="shared" si="18"/>
        <v/>
      </c>
      <c r="AK283" s="79" t="str">
        <f t="shared" si="19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16"/>
        <v/>
      </c>
      <c r="AE284" s="76" t="str">
        <f t="shared" si="17"/>
        <v/>
      </c>
      <c r="AF284" s="77"/>
      <c r="AG284" s="73"/>
      <c r="AH284" s="77"/>
      <c r="AI284" s="73"/>
      <c r="AJ284" s="78" t="str">
        <f t="shared" si="18"/>
        <v/>
      </c>
      <c r="AK284" s="79" t="str">
        <f t="shared" si="19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16"/>
        <v/>
      </c>
      <c r="AE285" s="76" t="str">
        <f t="shared" si="17"/>
        <v/>
      </c>
      <c r="AF285" s="77"/>
      <c r="AG285" s="73"/>
      <c r="AH285" s="77"/>
      <c r="AI285" s="73"/>
      <c r="AJ285" s="78" t="str">
        <f t="shared" si="18"/>
        <v/>
      </c>
      <c r="AK285" s="79" t="str">
        <f t="shared" si="19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16"/>
        <v/>
      </c>
      <c r="AE286" s="76" t="str">
        <f t="shared" si="17"/>
        <v/>
      </c>
      <c r="AF286" s="77"/>
      <c r="AG286" s="73"/>
      <c r="AH286" s="77"/>
      <c r="AI286" s="73"/>
      <c r="AJ286" s="78" t="str">
        <f t="shared" si="18"/>
        <v/>
      </c>
      <c r="AK286" s="79" t="str">
        <f t="shared" si="19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16"/>
        <v/>
      </c>
      <c r="AE287" s="76" t="str">
        <f t="shared" si="17"/>
        <v/>
      </c>
      <c r="AF287" s="77"/>
      <c r="AG287" s="73"/>
      <c r="AH287" s="77"/>
      <c r="AI287" s="73"/>
      <c r="AJ287" s="78" t="str">
        <f t="shared" si="18"/>
        <v/>
      </c>
      <c r="AK287" s="79" t="str">
        <f t="shared" si="19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16"/>
        <v/>
      </c>
      <c r="AE288" s="76" t="str">
        <f t="shared" si="17"/>
        <v/>
      </c>
      <c r="AF288" s="77"/>
      <c r="AG288" s="73"/>
      <c r="AH288" s="77"/>
      <c r="AI288" s="73"/>
      <c r="AJ288" s="78" t="str">
        <f t="shared" si="18"/>
        <v/>
      </c>
      <c r="AK288" s="79" t="str">
        <f t="shared" si="19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16"/>
        <v/>
      </c>
      <c r="AE289" s="76" t="str">
        <f t="shared" si="17"/>
        <v/>
      </c>
      <c r="AF289" s="77"/>
      <c r="AG289" s="73"/>
      <c r="AH289" s="77"/>
      <c r="AI289" s="73"/>
      <c r="AJ289" s="78" t="str">
        <f t="shared" si="18"/>
        <v/>
      </c>
      <c r="AK289" s="79" t="str">
        <f t="shared" si="19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16"/>
        <v/>
      </c>
      <c r="AE290" s="76" t="str">
        <f t="shared" si="17"/>
        <v/>
      </c>
      <c r="AF290" s="77"/>
      <c r="AG290" s="73"/>
      <c r="AH290" s="77"/>
      <c r="AI290" s="73"/>
      <c r="AJ290" s="78" t="str">
        <f t="shared" si="18"/>
        <v/>
      </c>
      <c r="AK290" s="79" t="str">
        <f t="shared" si="19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16"/>
        <v/>
      </c>
      <c r="AE291" s="76" t="str">
        <f t="shared" si="17"/>
        <v/>
      </c>
      <c r="AF291" s="77"/>
      <c r="AG291" s="73"/>
      <c r="AH291" s="77"/>
      <c r="AI291" s="73"/>
      <c r="AJ291" s="78" t="str">
        <f t="shared" si="18"/>
        <v/>
      </c>
      <c r="AK291" s="79" t="str">
        <f t="shared" si="19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16"/>
        <v/>
      </c>
      <c r="AE292" s="76" t="str">
        <f t="shared" si="17"/>
        <v/>
      </c>
      <c r="AF292" s="77"/>
      <c r="AG292" s="73"/>
      <c r="AH292" s="77"/>
      <c r="AI292" s="73"/>
      <c r="AJ292" s="78" t="str">
        <f t="shared" si="18"/>
        <v/>
      </c>
      <c r="AK292" s="79" t="str">
        <f t="shared" si="19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16"/>
        <v/>
      </c>
      <c r="AE293" s="76" t="str">
        <f t="shared" si="17"/>
        <v/>
      </c>
      <c r="AF293" s="77"/>
      <c r="AG293" s="73"/>
      <c r="AH293" s="77"/>
      <c r="AI293" s="73"/>
      <c r="AJ293" s="78" t="str">
        <f t="shared" si="18"/>
        <v/>
      </c>
      <c r="AK293" s="79" t="str">
        <f t="shared" si="19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16"/>
        <v/>
      </c>
      <c r="AE294" s="76" t="str">
        <f t="shared" si="17"/>
        <v/>
      </c>
      <c r="AF294" s="77"/>
      <c r="AG294" s="73"/>
      <c r="AH294" s="77"/>
      <c r="AI294" s="73"/>
      <c r="AJ294" s="78" t="str">
        <f t="shared" si="18"/>
        <v/>
      </c>
      <c r="AK294" s="79" t="str">
        <f t="shared" si="19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16"/>
        <v/>
      </c>
      <c r="AE295" s="76" t="str">
        <f t="shared" si="17"/>
        <v/>
      </c>
      <c r="AF295" s="77"/>
      <c r="AG295" s="73"/>
      <c r="AH295" s="77"/>
      <c r="AI295" s="73"/>
      <c r="AJ295" s="78" t="str">
        <f t="shared" si="18"/>
        <v/>
      </c>
      <c r="AK295" s="79" t="str">
        <f t="shared" si="19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16"/>
        <v/>
      </c>
      <c r="AE296" s="76" t="str">
        <f t="shared" si="17"/>
        <v/>
      </c>
      <c r="AF296" s="77"/>
      <c r="AG296" s="73"/>
      <c r="AH296" s="77"/>
      <c r="AI296" s="73"/>
      <c r="AJ296" s="78" t="str">
        <f t="shared" si="18"/>
        <v/>
      </c>
      <c r="AK296" s="79" t="str">
        <f t="shared" si="19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16"/>
        <v/>
      </c>
      <c r="AE297" s="76" t="str">
        <f t="shared" si="17"/>
        <v/>
      </c>
      <c r="AF297" s="77"/>
      <c r="AG297" s="73"/>
      <c r="AH297" s="77"/>
      <c r="AI297" s="73"/>
      <c r="AJ297" s="78" t="str">
        <f t="shared" si="18"/>
        <v/>
      </c>
      <c r="AK297" s="79" t="str">
        <f t="shared" si="19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16"/>
        <v/>
      </c>
      <c r="AE298" s="76" t="str">
        <f t="shared" si="17"/>
        <v/>
      </c>
      <c r="AF298" s="77"/>
      <c r="AG298" s="73"/>
      <c r="AH298" s="77"/>
      <c r="AI298" s="73"/>
      <c r="AJ298" s="78" t="str">
        <f t="shared" si="18"/>
        <v/>
      </c>
      <c r="AK298" s="79" t="str">
        <f t="shared" si="19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16"/>
        <v/>
      </c>
      <c r="AE299" s="76" t="str">
        <f t="shared" si="17"/>
        <v/>
      </c>
      <c r="AF299" s="77"/>
      <c r="AG299" s="73"/>
      <c r="AH299" s="77"/>
      <c r="AI299" s="73"/>
      <c r="AJ299" s="78" t="str">
        <f t="shared" si="18"/>
        <v/>
      </c>
      <c r="AK299" s="79" t="str">
        <f t="shared" si="19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16"/>
        <v/>
      </c>
      <c r="AE300" s="76" t="str">
        <f t="shared" si="17"/>
        <v/>
      </c>
      <c r="AF300" s="77"/>
      <c r="AG300" s="73"/>
      <c r="AH300" s="77"/>
      <c r="AI300" s="73"/>
      <c r="AJ300" s="78" t="str">
        <f t="shared" si="18"/>
        <v/>
      </c>
      <c r="AK300" s="79" t="str">
        <f t="shared" si="19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16"/>
        <v/>
      </c>
      <c r="AE301" s="76" t="str">
        <f t="shared" si="17"/>
        <v/>
      </c>
      <c r="AF301" s="77"/>
      <c r="AG301" s="73"/>
      <c r="AH301" s="77"/>
      <c r="AI301" s="73"/>
      <c r="AJ301" s="78" t="str">
        <f t="shared" si="18"/>
        <v/>
      </c>
      <c r="AK301" s="79" t="str">
        <f t="shared" si="19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16"/>
        <v/>
      </c>
      <c r="AE302" s="76" t="str">
        <f t="shared" si="17"/>
        <v/>
      </c>
      <c r="AF302" s="77"/>
      <c r="AG302" s="73"/>
      <c r="AH302" s="77"/>
      <c r="AI302" s="73"/>
      <c r="AJ302" s="78" t="str">
        <f t="shared" si="18"/>
        <v/>
      </c>
      <c r="AK302" s="79" t="str">
        <f t="shared" si="19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16"/>
        <v/>
      </c>
      <c r="AE303" s="76" t="str">
        <f t="shared" si="17"/>
        <v/>
      </c>
      <c r="AF303" s="77"/>
      <c r="AG303" s="73"/>
      <c r="AH303" s="77"/>
      <c r="AI303" s="73"/>
      <c r="AJ303" s="78" t="str">
        <f t="shared" si="18"/>
        <v/>
      </c>
      <c r="AK303" s="79" t="str">
        <f t="shared" si="19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16"/>
        <v/>
      </c>
      <c r="AE304" s="76" t="str">
        <f t="shared" si="17"/>
        <v/>
      </c>
      <c r="AF304" s="77"/>
      <c r="AG304" s="73"/>
      <c r="AH304" s="77"/>
      <c r="AI304" s="73"/>
      <c r="AJ304" s="78" t="str">
        <f t="shared" si="18"/>
        <v/>
      </c>
      <c r="AK304" s="79" t="str">
        <f t="shared" si="19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16"/>
        <v/>
      </c>
      <c r="AE305" s="76" t="str">
        <f t="shared" si="17"/>
        <v/>
      </c>
      <c r="AF305" s="77"/>
      <c r="AG305" s="73"/>
      <c r="AH305" s="77"/>
      <c r="AI305" s="73"/>
      <c r="AJ305" s="78" t="str">
        <f t="shared" si="18"/>
        <v/>
      </c>
      <c r="AK305" s="79" t="str">
        <f t="shared" si="19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16"/>
        <v/>
      </c>
      <c r="AE306" s="76" t="str">
        <f t="shared" si="17"/>
        <v/>
      </c>
      <c r="AF306" s="77"/>
      <c r="AG306" s="73"/>
      <c r="AH306" s="77"/>
      <c r="AI306" s="73"/>
      <c r="AJ306" s="78" t="str">
        <f t="shared" si="18"/>
        <v/>
      </c>
      <c r="AK306" s="79" t="str">
        <f t="shared" si="19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16"/>
        <v/>
      </c>
      <c r="AE307" s="76" t="str">
        <f t="shared" si="17"/>
        <v/>
      </c>
      <c r="AF307" s="77"/>
      <c r="AG307" s="73"/>
      <c r="AH307" s="77"/>
      <c r="AI307" s="73"/>
      <c r="AJ307" s="78" t="str">
        <f t="shared" si="18"/>
        <v/>
      </c>
      <c r="AK307" s="79" t="str">
        <f t="shared" si="19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16"/>
        <v/>
      </c>
      <c r="AE308" s="76" t="str">
        <f t="shared" si="17"/>
        <v/>
      </c>
      <c r="AF308" s="77"/>
      <c r="AG308" s="73"/>
      <c r="AH308" s="77"/>
      <c r="AI308" s="73"/>
      <c r="AJ308" s="78" t="str">
        <f t="shared" si="18"/>
        <v/>
      </c>
      <c r="AK308" s="79" t="str">
        <f t="shared" si="19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16"/>
        <v/>
      </c>
      <c r="AE309" s="76" t="str">
        <f t="shared" si="17"/>
        <v/>
      </c>
      <c r="AF309" s="77"/>
      <c r="AG309" s="73"/>
      <c r="AH309" s="77"/>
      <c r="AI309" s="73"/>
      <c r="AJ309" s="78" t="str">
        <f t="shared" si="18"/>
        <v/>
      </c>
      <c r="AK309" s="79" t="str">
        <f t="shared" si="19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16"/>
        <v/>
      </c>
      <c r="AE310" s="76" t="str">
        <f t="shared" si="17"/>
        <v/>
      </c>
      <c r="AF310" s="77"/>
      <c r="AG310" s="73"/>
      <c r="AH310" s="77"/>
      <c r="AI310" s="73"/>
      <c r="AJ310" s="78" t="str">
        <f t="shared" si="18"/>
        <v/>
      </c>
      <c r="AK310" s="79" t="str">
        <f t="shared" si="19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16"/>
        <v/>
      </c>
      <c r="AE311" s="76" t="str">
        <f t="shared" si="17"/>
        <v/>
      </c>
      <c r="AF311" s="77"/>
      <c r="AG311" s="73"/>
      <c r="AH311" s="77"/>
      <c r="AI311" s="73"/>
      <c r="AJ311" s="78" t="str">
        <f t="shared" si="18"/>
        <v/>
      </c>
      <c r="AK311" s="79" t="str">
        <f t="shared" si="19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16"/>
        <v/>
      </c>
      <c r="AE312" s="76" t="str">
        <f t="shared" si="17"/>
        <v/>
      </c>
      <c r="AF312" s="77"/>
      <c r="AG312" s="73"/>
      <c r="AH312" s="77"/>
      <c r="AI312" s="73"/>
      <c r="AJ312" s="78" t="str">
        <f t="shared" si="18"/>
        <v/>
      </c>
      <c r="AK312" s="79" t="str">
        <f t="shared" si="19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16"/>
        <v/>
      </c>
      <c r="AE313" s="76" t="str">
        <f t="shared" si="17"/>
        <v/>
      </c>
      <c r="AF313" s="77"/>
      <c r="AG313" s="73"/>
      <c r="AH313" s="77"/>
      <c r="AI313" s="73"/>
      <c r="AJ313" s="78" t="str">
        <f t="shared" si="18"/>
        <v/>
      </c>
      <c r="AK313" s="79" t="str">
        <f t="shared" si="19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16"/>
        <v/>
      </c>
      <c r="AE314" s="76" t="str">
        <f t="shared" si="17"/>
        <v/>
      </c>
      <c r="AF314" s="77"/>
      <c r="AG314" s="73"/>
      <c r="AH314" s="77"/>
      <c r="AI314" s="73"/>
      <c r="AJ314" s="78" t="str">
        <f t="shared" si="18"/>
        <v/>
      </c>
      <c r="AK314" s="79" t="str">
        <f t="shared" si="19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16"/>
        <v/>
      </c>
      <c r="AE315" s="76" t="str">
        <f t="shared" si="17"/>
        <v/>
      </c>
      <c r="AF315" s="77"/>
      <c r="AG315" s="73"/>
      <c r="AH315" s="77"/>
      <c r="AI315" s="73"/>
      <c r="AJ315" s="78" t="str">
        <f t="shared" si="18"/>
        <v/>
      </c>
      <c r="AK315" s="79" t="str">
        <f t="shared" si="19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16"/>
        <v/>
      </c>
      <c r="AE316" s="76" t="str">
        <f t="shared" si="17"/>
        <v/>
      </c>
      <c r="AF316" s="77"/>
      <c r="AG316" s="73"/>
      <c r="AH316" s="77"/>
      <c r="AI316" s="73"/>
      <c r="AJ316" s="78" t="str">
        <f t="shared" si="18"/>
        <v/>
      </c>
      <c r="AK316" s="79" t="str">
        <f t="shared" si="19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16"/>
        <v/>
      </c>
      <c r="AE317" s="76" t="str">
        <f t="shared" si="17"/>
        <v/>
      </c>
      <c r="AF317" s="77"/>
      <c r="AG317" s="73"/>
      <c r="AH317" s="77"/>
      <c r="AI317" s="73"/>
      <c r="AJ317" s="78" t="str">
        <f t="shared" si="18"/>
        <v/>
      </c>
      <c r="AK317" s="79" t="str">
        <f t="shared" si="19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16"/>
        <v/>
      </c>
      <c r="AE318" s="76" t="str">
        <f t="shared" si="17"/>
        <v/>
      </c>
      <c r="AF318" s="77"/>
      <c r="AG318" s="73"/>
      <c r="AH318" s="77"/>
      <c r="AI318" s="73"/>
      <c r="AJ318" s="78" t="str">
        <f t="shared" si="18"/>
        <v/>
      </c>
      <c r="AK318" s="79" t="str">
        <f t="shared" si="19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16"/>
        <v/>
      </c>
      <c r="AE319" s="76" t="str">
        <f t="shared" si="17"/>
        <v/>
      </c>
      <c r="AF319" s="77"/>
      <c r="AG319" s="73"/>
      <c r="AH319" s="77"/>
      <c r="AI319" s="73"/>
      <c r="AJ319" s="78" t="str">
        <f t="shared" si="18"/>
        <v/>
      </c>
      <c r="AK319" s="79" t="str">
        <f t="shared" si="19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16"/>
        <v/>
      </c>
      <c r="AE320" s="76" t="str">
        <f t="shared" si="17"/>
        <v/>
      </c>
      <c r="AF320" s="77"/>
      <c r="AG320" s="73"/>
      <c r="AH320" s="77"/>
      <c r="AI320" s="73"/>
      <c r="AJ320" s="78" t="str">
        <f t="shared" si="18"/>
        <v/>
      </c>
      <c r="AK320" s="79" t="str">
        <f t="shared" si="19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16"/>
        <v/>
      </c>
      <c r="AE321" s="76" t="str">
        <f t="shared" si="17"/>
        <v/>
      </c>
      <c r="AF321" s="77"/>
      <c r="AG321" s="73"/>
      <c r="AH321" s="77"/>
      <c r="AI321" s="73"/>
      <c r="AJ321" s="78" t="str">
        <f t="shared" si="18"/>
        <v/>
      </c>
      <c r="AK321" s="79" t="str">
        <f t="shared" si="19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16"/>
        <v/>
      </c>
      <c r="AE322" s="76" t="str">
        <f t="shared" si="17"/>
        <v/>
      </c>
      <c r="AF322" s="77"/>
      <c r="AG322" s="73"/>
      <c r="AH322" s="77"/>
      <c r="AI322" s="73"/>
      <c r="AJ322" s="78" t="str">
        <f t="shared" si="18"/>
        <v/>
      </c>
      <c r="AK322" s="79" t="str">
        <f t="shared" si="19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16"/>
        <v/>
      </c>
      <c r="AE323" s="76" t="str">
        <f t="shared" si="17"/>
        <v/>
      </c>
      <c r="AF323" s="77"/>
      <c r="AG323" s="73"/>
      <c r="AH323" s="77"/>
      <c r="AI323" s="73"/>
      <c r="AJ323" s="78" t="str">
        <f t="shared" si="18"/>
        <v/>
      </c>
      <c r="AK323" s="79" t="str">
        <f t="shared" si="19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0">IF(MIN(F324,J324,N324,R324,V324,Z324)&lt;&gt;0,MIN(F324,J324,N324,R324,V324,Z324),"")</f>
        <v/>
      </c>
      <c r="AE324" s="76" t="str">
        <f t="shared" ref="AE324:AE350" si="21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2">IF(AD324="","",IF(ISBLANK(AF324),"En cours",AD324+AF324))</f>
        <v/>
      </c>
      <c r="AK324" s="79" t="str">
        <f t="shared" ref="AK324:AK350" si="23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0"/>
        <v/>
      </c>
      <c r="AE325" s="76" t="str">
        <f t="shared" si="21"/>
        <v/>
      </c>
      <c r="AF325" s="77"/>
      <c r="AG325" s="73"/>
      <c r="AH325" s="77"/>
      <c r="AI325" s="73"/>
      <c r="AJ325" s="78" t="str">
        <f t="shared" si="22"/>
        <v/>
      </c>
      <c r="AK325" s="79" t="str">
        <f t="shared" si="23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0"/>
        <v/>
      </c>
      <c r="AE326" s="76" t="str">
        <f t="shared" si="21"/>
        <v/>
      </c>
      <c r="AF326" s="77"/>
      <c r="AG326" s="73"/>
      <c r="AH326" s="77"/>
      <c r="AI326" s="73"/>
      <c r="AJ326" s="78" t="str">
        <f t="shared" si="22"/>
        <v/>
      </c>
      <c r="AK326" s="79" t="str">
        <f t="shared" si="23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0"/>
        <v/>
      </c>
      <c r="AE327" s="76" t="str">
        <f t="shared" si="21"/>
        <v/>
      </c>
      <c r="AF327" s="77"/>
      <c r="AG327" s="73"/>
      <c r="AH327" s="77"/>
      <c r="AI327" s="73"/>
      <c r="AJ327" s="78" t="str">
        <f t="shared" si="22"/>
        <v/>
      </c>
      <c r="AK327" s="79" t="str">
        <f t="shared" si="23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0"/>
        <v/>
      </c>
      <c r="AE328" s="76" t="str">
        <f t="shared" si="21"/>
        <v/>
      </c>
      <c r="AF328" s="77"/>
      <c r="AG328" s="73"/>
      <c r="AH328" s="77"/>
      <c r="AI328" s="73"/>
      <c r="AJ328" s="78" t="str">
        <f t="shared" si="22"/>
        <v/>
      </c>
      <c r="AK328" s="79" t="str">
        <f t="shared" si="23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0"/>
        <v/>
      </c>
      <c r="AE329" s="76" t="str">
        <f t="shared" si="21"/>
        <v/>
      </c>
      <c r="AF329" s="77"/>
      <c r="AG329" s="73"/>
      <c r="AH329" s="77"/>
      <c r="AI329" s="73"/>
      <c r="AJ329" s="78" t="str">
        <f t="shared" si="22"/>
        <v/>
      </c>
      <c r="AK329" s="79" t="str">
        <f t="shared" si="23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0"/>
        <v/>
      </c>
      <c r="AE330" s="76" t="str">
        <f t="shared" si="21"/>
        <v/>
      </c>
      <c r="AF330" s="77"/>
      <c r="AG330" s="73"/>
      <c r="AH330" s="77"/>
      <c r="AI330" s="73"/>
      <c r="AJ330" s="78" t="str">
        <f t="shared" si="22"/>
        <v/>
      </c>
      <c r="AK330" s="79" t="str">
        <f t="shared" si="23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0"/>
        <v/>
      </c>
      <c r="AE331" s="76" t="str">
        <f t="shared" si="21"/>
        <v/>
      </c>
      <c r="AF331" s="77"/>
      <c r="AG331" s="73"/>
      <c r="AH331" s="77"/>
      <c r="AI331" s="73"/>
      <c r="AJ331" s="78" t="str">
        <f t="shared" si="22"/>
        <v/>
      </c>
      <c r="AK331" s="79" t="str">
        <f t="shared" si="23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0"/>
        <v/>
      </c>
      <c r="AE332" s="76" t="str">
        <f t="shared" si="21"/>
        <v/>
      </c>
      <c r="AF332" s="77"/>
      <c r="AG332" s="73"/>
      <c r="AH332" s="77"/>
      <c r="AI332" s="73"/>
      <c r="AJ332" s="78" t="str">
        <f t="shared" si="22"/>
        <v/>
      </c>
      <c r="AK332" s="79" t="str">
        <f t="shared" si="23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0"/>
        <v/>
      </c>
      <c r="AE333" s="76" t="str">
        <f t="shared" si="21"/>
        <v/>
      </c>
      <c r="AF333" s="77"/>
      <c r="AG333" s="73"/>
      <c r="AH333" s="77"/>
      <c r="AI333" s="73"/>
      <c r="AJ333" s="78" t="str">
        <f t="shared" si="22"/>
        <v/>
      </c>
      <c r="AK333" s="79" t="str">
        <f t="shared" si="23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0"/>
        <v/>
      </c>
      <c r="AE334" s="76" t="str">
        <f t="shared" si="21"/>
        <v/>
      </c>
      <c r="AF334" s="77"/>
      <c r="AG334" s="73"/>
      <c r="AH334" s="77"/>
      <c r="AI334" s="73"/>
      <c r="AJ334" s="78" t="str">
        <f t="shared" si="22"/>
        <v/>
      </c>
      <c r="AK334" s="79" t="str">
        <f t="shared" si="23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0"/>
        <v/>
      </c>
      <c r="AE335" s="76" t="str">
        <f t="shared" si="21"/>
        <v/>
      </c>
      <c r="AF335" s="77"/>
      <c r="AG335" s="73"/>
      <c r="AH335" s="77"/>
      <c r="AI335" s="73"/>
      <c r="AJ335" s="78" t="str">
        <f t="shared" si="22"/>
        <v/>
      </c>
      <c r="AK335" s="79" t="str">
        <f t="shared" si="23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0"/>
        <v/>
      </c>
      <c r="AE336" s="76" t="str">
        <f t="shared" si="21"/>
        <v/>
      </c>
      <c r="AF336" s="77"/>
      <c r="AG336" s="73"/>
      <c r="AH336" s="77"/>
      <c r="AI336" s="73"/>
      <c r="AJ336" s="78" t="str">
        <f t="shared" si="22"/>
        <v/>
      </c>
      <c r="AK336" s="79" t="str">
        <f t="shared" si="23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0"/>
        <v/>
      </c>
      <c r="AE337" s="76" t="str">
        <f t="shared" si="21"/>
        <v/>
      </c>
      <c r="AF337" s="77"/>
      <c r="AG337" s="73"/>
      <c r="AH337" s="77"/>
      <c r="AI337" s="73"/>
      <c r="AJ337" s="78" t="str">
        <f t="shared" si="22"/>
        <v/>
      </c>
      <c r="AK337" s="79" t="str">
        <f t="shared" si="23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0"/>
        <v/>
      </c>
      <c r="AE338" s="76" t="str">
        <f t="shared" si="21"/>
        <v/>
      </c>
      <c r="AF338" s="77"/>
      <c r="AG338" s="73"/>
      <c r="AH338" s="77"/>
      <c r="AI338" s="73"/>
      <c r="AJ338" s="78" t="str">
        <f t="shared" si="22"/>
        <v/>
      </c>
      <c r="AK338" s="79" t="str">
        <f t="shared" si="23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0"/>
        <v/>
      </c>
      <c r="AE339" s="76" t="str">
        <f t="shared" si="21"/>
        <v/>
      </c>
      <c r="AF339" s="77"/>
      <c r="AG339" s="73"/>
      <c r="AH339" s="77"/>
      <c r="AI339" s="73"/>
      <c r="AJ339" s="78" t="str">
        <f t="shared" si="22"/>
        <v/>
      </c>
      <c r="AK339" s="79" t="str">
        <f t="shared" si="23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0"/>
        <v/>
      </c>
      <c r="AE340" s="76" t="str">
        <f t="shared" si="21"/>
        <v/>
      </c>
      <c r="AF340" s="77"/>
      <c r="AG340" s="73"/>
      <c r="AH340" s="77"/>
      <c r="AI340" s="73"/>
      <c r="AJ340" s="78" t="str">
        <f t="shared" si="22"/>
        <v/>
      </c>
      <c r="AK340" s="79" t="str">
        <f t="shared" si="23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0"/>
        <v/>
      </c>
      <c r="AE341" s="76" t="str">
        <f t="shared" si="21"/>
        <v/>
      </c>
      <c r="AF341" s="77"/>
      <c r="AG341" s="73"/>
      <c r="AH341" s="77"/>
      <c r="AI341" s="73"/>
      <c r="AJ341" s="78" t="str">
        <f t="shared" si="22"/>
        <v/>
      </c>
      <c r="AK341" s="79" t="str">
        <f t="shared" si="23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0"/>
        <v/>
      </c>
      <c r="AE342" s="76" t="str">
        <f t="shared" si="21"/>
        <v/>
      </c>
      <c r="AF342" s="77"/>
      <c r="AG342" s="73"/>
      <c r="AH342" s="77"/>
      <c r="AI342" s="73"/>
      <c r="AJ342" s="78" t="str">
        <f t="shared" si="22"/>
        <v/>
      </c>
      <c r="AK342" s="79" t="str">
        <f t="shared" si="23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0"/>
        <v/>
      </c>
      <c r="AE343" s="76" t="str">
        <f t="shared" si="21"/>
        <v/>
      </c>
      <c r="AF343" s="77"/>
      <c r="AG343" s="73"/>
      <c r="AH343" s="77"/>
      <c r="AI343" s="73"/>
      <c r="AJ343" s="78" t="str">
        <f t="shared" si="22"/>
        <v/>
      </c>
      <c r="AK343" s="79" t="str">
        <f t="shared" si="23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0"/>
        <v/>
      </c>
      <c r="AE344" s="76" t="str">
        <f t="shared" si="21"/>
        <v/>
      </c>
      <c r="AF344" s="77"/>
      <c r="AG344" s="73"/>
      <c r="AH344" s="77"/>
      <c r="AI344" s="73"/>
      <c r="AJ344" s="78" t="str">
        <f t="shared" si="22"/>
        <v/>
      </c>
      <c r="AK344" s="79" t="str">
        <f t="shared" si="23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0"/>
        <v/>
      </c>
      <c r="AE345" s="76" t="str">
        <f t="shared" si="21"/>
        <v/>
      </c>
      <c r="AF345" s="77"/>
      <c r="AG345" s="73"/>
      <c r="AH345" s="77"/>
      <c r="AI345" s="73"/>
      <c r="AJ345" s="78" t="str">
        <f t="shared" si="22"/>
        <v/>
      </c>
      <c r="AK345" s="79" t="str">
        <f t="shared" si="23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0"/>
        <v/>
      </c>
      <c r="AE346" s="76" t="str">
        <f t="shared" si="21"/>
        <v/>
      </c>
      <c r="AF346" s="77"/>
      <c r="AG346" s="73"/>
      <c r="AH346" s="77"/>
      <c r="AI346" s="73"/>
      <c r="AJ346" s="78" t="str">
        <f t="shared" si="22"/>
        <v/>
      </c>
      <c r="AK346" s="79" t="str">
        <f t="shared" si="23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0"/>
        <v/>
      </c>
      <c r="AE347" s="76" t="str">
        <f t="shared" si="21"/>
        <v/>
      </c>
      <c r="AF347" s="77"/>
      <c r="AG347" s="73"/>
      <c r="AH347" s="77"/>
      <c r="AI347" s="73"/>
      <c r="AJ347" s="78" t="str">
        <f t="shared" si="22"/>
        <v/>
      </c>
      <c r="AK347" s="79" t="str">
        <f t="shared" si="23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0"/>
        <v/>
      </c>
      <c r="AE348" s="76" t="str">
        <f t="shared" si="21"/>
        <v/>
      </c>
      <c r="AF348" s="77"/>
      <c r="AG348" s="73"/>
      <c r="AH348" s="77"/>
      <c r="AI348" s="73"/>
      <c r="AJ348" s="78" t="str">
        <f t="shared" si="22"/>
        <v/>
      </c>
      <c r="AK348" s="79" t="str">
        <f t="shared" si="23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0"/>
        <v/>
      </c>
      <c r="AE349" s="76" t="str">
        <f t="shared" si="21"/>
        <v/>
      </c>
      <c r="AF349" s="77"/>
      <c r="AG349" s="73"/>
      <c r="AH349" s="77"/>
      <c r="AI349" s="73"/>
      <c r="AJ349" s="78" t="str">
        <f t="shared" si="22"/>
        <v/>
      </c>
      <c r="AK349" s="79" t="str">
        <f t="shared" si="23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0"/>
        <v/>
      </c>
      <c r="AE350" s="76" t="str">
        <f t="shared" si="21"/>
        <v/>
      </c>
      <c r="AF350" s="77"/>
      <c r="AG350" s="73"/>
      <c r="AH350" s="77"/>
      <c r="AI350" s="73"/>
      <c r="AJ350" s="78" t="str">
        <f t="shared" si="22"/>
        <v/>
      </c>
      <c r="AK350" s="79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19" type="noConversion"/>
  <conditionalFormatting sqref="AJ181">
    <cfRule type="cellIs" dxfId="1183" priority="76289" stopIfTrue="1" operator="equal">
      <formula>"En cours"</formula>
    </cfRule>
  </conditionalFormatting>
  <conditionalFormatting sqref="AJ181">
    <cfRule type="cellIs" dxfId="1182" priority="76290" stopIfTrue="1" operator="notEqual">
      <formula>"En cours"</formula>
    </cfRule>
  </conditionalFormatting>
  <conditionalFormatting sqref="AK181">
    <cfRule type="cellIs" dxfId="1181" priority="76291" stopIfTrue="1" operator="equal">
      <formula>"En cours"</formula>
    </cfRule>
  </conditionalFormatting>
  <conditionalFormatting sqref="AK181">
    <cfRule type="cellIs" dxfId="1180" priority="76292" stopIfTrue="1" operator="notEqual">
      <formula>"En cours"</formula>
    </cfRule>
  </conditionalFormatting>
  <conditionalFormatting sqref="AJ7">
    <cfRule type="cellIs" dxfId="1179" priority="309241" stopIfTrue="1" operator="equal">
      <formula>"En cours"</formula>
    </cfRule>
  </conditionalFormatting>
  <conditionalFormatting sqref="AJ7">
    <cfRule type="cellIs" dxfId="1178" priority="309242" stopIfTrue="1" operator="notEqual">
      <formula>"En cours"</formula>
    </cfRule>
  </conditionalFormatting>
  <conditionalFormatting sqref="AK7">
    <cfRule type="cellIs" dxfId="1177" priority="309243" stopIfTrue="1" operator="equal">
      <formula>"En cours"</formula>
    </cfRule>
  </conditionalFormatting>
  <conditionalFormatting sqref="AK7">
    <cfRule type="cellIs" dxfId="1176" priority="309244" stopIfTrue="1" operator="notEqual">
      <formula>"En cours"</formula>
    </cfRule>
  </conditionalFormatting>
  <conditionalFormatting sqref="AJ10">
    <cfRule type="cellIs" dxfId="1175" priority="309245" stopIfTrue="1" operator="equal">
      <formula>"En cours"</formula>
    </cfRule>
  </conditionalFormatting>
  <conditionalFormatting sqref="AJ10">
    <cfRule type="cellIs" dxfId="1174" priority="309246" stopIfTrue="1" operator="notEqual">
      <formula>"En cours"</formula>
    </cfRule>
  </conditionalFormatting>
  <conditionalFormatting sqref="AK10">
    <cfRule type="cellIs" dxfId="1173" priority="309247" stopIfTrue="1" operator="equal">
      <formula>"En cours"</formula>
    </cfRule>
  </conditionalFormatting>
  <conditionalFormatting sqref="AK10">
    <cfRule type="cellIs" dxfId="1172" priority="309248" stopIfTrue="1" operator="notEqual">
      <formula>"En cours"</formula>
    </cfRule>
  </conditionalFormatting>
  <conditionalFormatting sqref="AJ8">
    <cfRule type="cellIs" dxfId="1171" priority="309249" stopIfTrue="1" operator="equal">
      <formula>"En cours"</formula>
    </cfRule>
  </conditionalFormatting>
  <conditionalFormatting sqref="AJ8">
    <cfRule type="cellIs" dxfId="1170" priority="309250" stopIfTrue="1" operator="notEqual">
      <formula>"En cours"</formula>
    </cfRule>
  </conditionalFormatting>
  <conditionalFormatting sqref="AK8">
    <cfRule type="cellIs" dxfId="1169" priority="309251" stopIfTrue="1" operator="equal">
      <formula>"En cours"</formula>
    </cfRule>
  </conditionalFormatting>
  <conditionalFormatting sqref="AK8">
    <cfRule type="cellIs" dxfId="1168" priority="309252" stopIfTrue="1" operator="notEqual">
      <formula>"En cours"</formula>
    </cfRule>
  </conditionalFormatting>
  <conditionalFormatting sqref="AJ18">
    <cfRule type="cellIs" dxfId="1167" priority="309289" stopIfTrue="1" operator="equal">
      <formula>"En cours"</formula>
    </cfRule>
  </conditionalFormatting>
  <conditionalFormatting sqref="AJ18">
    <cfRule type="cellIs" dxfId="1166" priority="309290" stopIfTrue="1" operator="notEqual">
      <formula>"En cours"</formula>
    </cfRule>
  </conditionalFormatting>
  <conditionalFormatting sqref="AK18">
    <cfRule type="cellIs" dxfId="1165" priority="309291" stopIfTrue="1" operator="equal">
      <formula>"En cours"</formula>
    </cfRule>
  </conditionalFormatting>
  <conditionalFormatting sqref="AK18">
    <cfRule type="cellIs" dxfId="1164" priority="309292" stopIfTrue="1" operator="notEqual">
      <formula>"En cours"</formula>
    </cfRule>
  </conditionalFormatting>
  <conditionalFormatting sqref="AJ14">
    <cfRule type="cellIs" dxfId="1163" priority="309877" stopIfTrue="1" operator="equal">
      <formula>"En cours"</formula>
    </cfRule>
  </conditionalFormatting>
  <conditionalFormatting sqref="AJ14">
    <cfRule type="cellIs" dxfId="1162" priority="309878" stopIfTrue="1" operator="notEqual">
      <formula>"En cours"</formula>
    </cfRule>
  </conditionalFormatting>
  <conditionalFormatting sqref="AK14">
    <cfRule type="cellIs" dxfId="1161" priority="309879" stopIfTrue="1" operator="equal">
      <formula>"En cours"</formula>
    </cfRule>
  </conditionalFormatting>
  <conditionalFormatting sqref="AK14">
    <cfRule type="cellIs" dxfId="1160" priority="309880" stopIfTrue="1" operator="notEqual">
      <formula>"En cours"</formula>
    </cfRule>
  </conditionalFormatting>
  <conditionalFormatting sqref="AJ24">
    <cfRule type="cellIs" dxfId="1159" priority="309885" stopIfTrue="1" operator="equal">
      <formula>"En cours"</formula>
    </cfRule>
  </conditionalFormatting>
  <conditionalFormatting sqref="AJ24">
    <cfRule type="cellIs" dxfId="1158" priority="309886" stopIfTrue="1" operator="notEqual">
      <formula>"En cours"</formula>
    </cfRule>
  </conditionalFormatting>
  <conditionalFormatting sqref="AK24">
    <cfRule type="cellIs" dxfId="1157" priority="309887" stopIfTrue="1" operator="equal">
      <formula>"En cours"</formula>
    </cfRule>
  </conditionalFormatting>
  <conditionalFormatting sqref="AK24">
    <cfRule type="cellIs" dxfId="1156" priority="309888" stopIfTrue="1" operator="notEqual">
      <formula>"En cours"</formula>
    </cfRule>
  </conditionalFormatting>
  <conditionalFormatting sqref="AJ98">
    <cfRule type="cellIs" dxfId="1155" priority="310033" stopIfTrue="1" operator="equal">
      <formula>"En cours"</formula>
    </cfRule>
  </conditionalFormatting>
  <conditionalFormatting sqref="AJ98">
    <cfRule type="cellIs" dxfId="1154" priority="310034" stopIfTrue="1" operator="notEqual">
      <formula>"En cours"</formula>
    </cfRule>
  </conditionalFormatting>
  <conditionalFormatting sqref="AK98">
    <cfRule type="cellIs" dxfId="1153" priority="310035" stopIfTrue="1" operator="equal">
      <formula>"En cours"</formula>
    </cfRule>
  </conditionalFormatting>
  <conditionalFormatting sqref="AK98">
    <cfRule type="cellIs" dxfId="1152" priority="310036" stopIfTrue="1" operator="notEqual">
      <formula>"En cours"</formula>
    </cfRule>
  </conditionalFormatting>
  <conditionalFormatting sqref="AJ100">
    <cfRule type="cellIs" dxfId="1151" priority="310041" stopIfTrue="1" operator="equal">
      <formula>"En cours"</formula>
    </cfRule>
  </conditionalFormatting>
  <conditionalFormatting sqref="AJ100">
    <cfRule type="cellIs" dxfId="1150" priority="310042" stopIfTrue="1" operator="notEqual">
      <formula>"En cours"</formula>
    </cfRule>
  </conditionalFormatting>
  <conditionalFormatting sqref="AK100">
    <cfRule type="cellIs" dxfId="1149" priority="310043" stopIfTrue="1" operator="equal">
      <formula>"En cours"</formula>
    </cfRule>
  </conditionalFormatting>
  <conditionalFormatting sqref="AK100">
    <cfRule type="cellIs" dxfId="1148" priority="310044" stopIfTrue="1" operator="notEqual">
      <formula>"En cours"</formula>
    </cfRule>
  </conditionalFormatting>
  <conditionalFormatting sqref="AJ103">
    <cfRule type="cellIs" dxfId="1147" priority="310069" stopIfTrue="1" operator="equal">
      <formula>"En cours"</formula>
    </cfRule>
  </conditionalFormatting>
  <conditionalFormatting sqref="AJ103">
    <cfRule type="cellIs" dxfId="1146" priority="310070" stopIfTrue="1" operator="notEqual">
      <formula>"En cours"</formula>
    </cfRule>
  </conditionalFormatting>
  <conditionalFormatting sqref="AK103">
    <cfRule type="cellIs" dxfId="1145" priority="310071" stopIfTrue="1" operator="equal">
      <formula>"En cours"</formula>
    </cfRule>
  </conditionalFormatting>
  <conditionalFormatting sqref="AK103">
    <cfRule type="cellIs" dxfId="1144" priority="310072" stopIfTrue="1" operator="notEqual">
      <formula>"En cours"</formula>
    </cfRule>
  </conditionalFormatting>
  <conditionalFormatting sqref="AJ111">
    <cfRule type="cellIs" dxfId="1143" priority="310117" stopIfTrue="1" operator="equal">
      <formula>"En cours"</formula>
    </cfRule>
  </conditionalFormatting>
  <conditionalFormatting sqref="AJ111">
    <cfRule type="cellIs" dxfId="1142" priority="310118" stopIfTrue="1" operator="notEqual">
      <formula>"En cours"</formula>
    </cfRule>
  </conditionalFormatting>
  <conditionalFormatting sqref="AK111">
    <cfRule type="cellIs" dxfId="1141" priority="310119" stopIfTrue="1" operator="equal">
      <formula>"En cours"</formula>
    </cfRule>
  </conditionalFormatting>
  <conditionalFormatting sqref="AK111">
    <cfRule type="cellIs" dxfId="1140" priority="310120" stopIfTrue="1" operator="notEqual">
      <formula>"En cours"</formula>
    </cfRule>
  </conditionalFormatting>
  <conditionalFormatting sqref="AJ109">
    <cfRule type="cellIs" dxfId="1139" priority="310125" stopIfTrue="1" operator="equal">
      <formula>"En cours"</formula>
    </cfRule>
  </conditionalFormatting>
  <conditionalFormatting sqref="AJ109">
    <cfRule type="cellIs" dxfId="1138" priority="310126" stopIfTrue="1" operator="notEqual">
      <formula>"En cours"</formula>
    </cfRule>
  </conditionalFormatting>
  <conditionalFormatting sqref="AK109">
    <cfRule type="cellIs" dxfId="1137" priority="310127" stopIfTrue="1" operator="equal">
      <formula>"En cours"</formula>
    </cfRule>
  </conditionalFormatting>
  <conditionalFormatting sqref="AK109">
    <cfRule type="cellIs" dxfId="1136" priority="310128" stopIfTrue="1" operator="notEqual">
      <formula>"En cours"</formula>
    </cfRule>
  </conditionalFormatting>
  <conditionalFormatting sqref="AJ106">
    <cfRule type="cellIs" dxfId="1135" priority="310129" stopIfTrue="1" operator="equal">
      <formula>"En cours"</formula>
    </cfRule>
  </conditionalFormatting>
  <conditionalFormatting sqref="AJ106">
    <cfRule type="cellIs" dxfId="1134" priority="310130" stopIfTrue="1" operator="notEqual">
      <formula>"En cours"</formula>
    </cfRule>
  </conditionalFormatting>
  <conditionalFormatting sqref="AK106">
    <cfRule type="cellIs" dxfId="1133" priority="310131" stopIfTrue="1" operator="equal">
      <formula>"En cours"</formula>
    </cfRule>
  </conditionalFormatting>
  <conditionalFormatting sqref="AK106">
    <cfRule type="cellIs" dxfId="1132" priority="310132" stopIfTrue="1" operator="notEqual">
      <formula>"En cours"</formula>
    </cfRule>
  </conditionalFormatting>
  <conditionalFormatting sqref="AJ119">
    <cfRule type="cellIs" dxfId="1131" priority="310145" stopIfTrue="1" operator="equal">
      <formula>"En cours"</formula>
    </cfRule>
  </conditionalFormatting>
  <conditionalFormatting sqref="AJ119">
    <cfRule type="cellIs" dxfId="1130" priority="310146" stopIfTrue="1" operator="notEqual">
      <formula>"En cours"</formula>
    </cfRule>
  </conditionalFormatting>
  <conditionalFormatting sqref="AK119">
    <cfRule type="cellIs" dxfId="1129" priority="310147" stopIfTrue="1" operator="equal">
      <formula>"En cours"</formula>
    </cfRule>
  </conditionalFormatting>
  <conditionalFormatting sqref="AK119">
    <cfRule type="cellIs" dxfId="1128" priority="310148" stopIfTrue="1" operator="notEqual">
      <formula>"En cours"</formula>
    </cfRule>
  </conditionalFormatting>
  <conditionalFormatting sqref="AJ105">
    <cfRule type="cellIs" dxfId="1127" priority="310149" stopIfTrue="1" operator="equal">
      <formula>"En cours"</formula>
    </cfRule>
  </conditionalFormatting>
  <conditionalFormatting sqref="AJ105">
    <cfRule type="cellIs" dxfId="1126" priority="310150" stopIfTrue="1" operator="notEqual">
      <formula>"En cours"</formula>
    </cfRule>
  </conditionalFormatting>
  <conditionalFormatting sqref="AK105">
    <cfRule type="cellIs" dxfId="1125" priority="310151" stopIfTrue="1" operator="equal">
      <formula>"En cours"</formula>
    </cfRule>
  </conditionalFormatting>
  <conditionalFormatting sqref="AK105">
    <cfRule type="cellIs" dxfId="1124" priority="310152" stopIfTrue="1" operator="notEqual">
      <formula>"En cours"</formula>
    </cfRule>
  </conditionalFormatting>
  <conditionalFormatting sqref="AJ74">
    <cfRule type="cellIs" dxfId="1123" priority="310153" stopIfTrue="1" operator="equal">
      <formula>"En cours"</formula>
    </cfRule>
  </conditionalFormatting>
  <conditionalFormatting sqref="AJ74">
    <cfRule type="cellIs" dxfId="1122" priority="310154" stopIfTrue="1" operator="notEqual">
      <formula>"En cours"</formula>
    </cfRule>
  </conditionalFormatting>
  <conditionalFormatting sqref="AK74">
    <cfRule type="cellIs" dxfId="1121" priority="310155" stopIfTrue="1" operator="equal">
      <formula>"En cours"</formula>
    </cfRule>
  </conditionalFormatting>
  <conditionalFormatting sqref="AK74">
    <cfRule type="cellIs" dxfId="1120" priority="310156" stopIfTrue="1" operator="notEqual">
      <formula>"En cours"</formula>
    </cfRule>
  </conditionalFormatting>
  <conditionalFormatting sqref="AJ79">
    <cfRule type="cellIs" dxfId="1119" priority="310481" stopIfTrue="1" operator="equal">
      <formula>"En cours"</formula>
    </cfRule>
  </conditionalFormatting>
  <conditionalFormatting sqref="AJ79">
    <cfRule type="cellIs" dxfId="1118" priority="310482" stopIfTrue="1" operator="notEqual">
      <formula>"En cours"</formula>
    </cfRule>
  </conditionalFormatting>
  <conditionalFormatting sqref="AK79">
    <cfRule type="cellIs" dxfId="1117" priority="310483" stopIfTrue="1" operator="equal">
      <formula>"En cours"</formula>
    </cfRule>
  </conditionalFormatting>
  <conditionalFormatting sqref="AK79">
    <cfRule type="cellIs" dxfId="1116" priority="310484" stopIfTrue="1" operator="notEqual">
      <formula>"En cours"</formula>
    </cfRule>
  </conditionalFormatting>
  <conditionalFormatting sqref="AJ16">
    <cfRule type="cellIs" dxfId="1115" priority="310489" stopIfTrue="1" operator="equal">
      <formula>"En cours"</formula>
    </cfRule>
    <cfRule type="cellIs" dxfId="1114" priority="310490" stopIfTrue="1" operator="notEqual">
      <formula>"En cours"</formula>
    </cfRule>
  </conditionalFormatting>
  <conditionalFormatting sqref="AK16">
    <cfRule type="cellIs" dxfId="1113" priority="310491" stopIfTrue="1" operator="equal">
      <formula>"En cours"</formula>
    </cfRule>
    <cfRule type="cellIs" dxfId="1112" priority="310492" stopIfTrue="1" operator="notEqual">
      <formula>"En cours"</formula>
    </cfRule>
  </conditionalFormatting>
  <conditionalFormatting sqref="AJ38">
    <cfRule type="cellIs" dxfId="1111" priority="310521" stopIfTrue="1" operator="equal">
      <formula>"En cours"</formula>
    </cfRule>
  </conditionalFormatting>
  <conditionalFormatting sqref="AJ38">
    <cfRule type="cellIs" dxfId="1110" priority="310522" stopIfTrue="1" operator="notEqual">
      <formula>"En cours"</formula>
    </cfRule>
  </conditionalFormatting>
  <conditionalFormatting sqref="AK38">
    <cfRule type="cellIs" dxfId="1109" priority="310523" stopIfTrue="1" operator="equal">
      <formula>"En cours"</formula>
    </cfRule>
  </conditionalFormatting>
  <conditionalFormatting sqref="AK38">
    <cfRule type="cellIs" dxfId="1108" priority="310524" stopIfTrue="1" operator="notEqual">
      <formula>"En cours"</formula>
    </cfRule>
  </conditionalFormatting>
  <conditionalFormatting sqref="AJ23">
    <cfRule type="cellIs" dxfId="1107" priority="310537" stopIfTrue="1" operator="equal">
      <formula>"En cours"</formula>
    </cfRule>
  </conditionalFormatting>
  <conditionalFormatting sqref="AJ23">
    <cfRule type="cellIs" dxfId="1106" priority="310538" stopIfTrue="1" operator="notEqual">
      <formula>"En cours"</formula>
    </cfRule>
  </conditionalFormatting>
  <conditionalFormatting sqref="AK23">
    <cfRule type="cellIs" dxfId="1105" priority="310539" stopIfTrue="1" operator="equal">
      <formula>"En cours"</formula>
    </cfRule>
  </conditionalFormatting>
  <conditionalFormatting sqref="AK23">
    <cfRule type="cellIs" dxfId="1104" priority="310540" stopIfTrue="1" operator="notEqual">
      <formula>"En cours"</formula>
    </cfRule>
  </conditionalFormatting>
  <conditionalFormatting sqref="AJ49">
    <cfRule type="cellIs" dxfId="1103" priority="310561" stopIfTrue="1" operator="equal">
      <formula>"En cours"</formula>
    </cfRule>
  </conditionalFormatting>
  <conditionalFormatting sqref="AJ49">
    <cfRule type="cellIs" dxfId="1102" priority="310562" stopIfTrue="1" operator="notEqual">
      <formula>"En cours"</formula>
    </cfRule>
  </conditionalFormatting>
  <conditionalFormatting sqref="AK49">
    <cfRule type="cellIs" dxfId="1101" priority="310563" stopIfTrue="1" operator="equal">
      <formula>"En cours"</formula>
    </cfRule>
  </conditionalFormatting>
  <conditionalFormatting sqref="AK49">
    <cfRule type="cellIs" dxfId="1100" priority="310564" stopIfTrue="1" operator="notEqual">
      <formula>"En cours"</formula>
    </cfRule>
  </conditionalFormatting>
  <conditionalFormatting sqref="AJ32">
    <cfRule type="cellIs" dxfId="1099" priority="310597" stopIfTrue="1" operator="equal">
      <formula>"En cours"</formula>
    </cfRule>
  </conditionalFormatting>
  <conditionalFormatting sqref="AJ32">
    <cfRule type="cellIs" dxfId="1098" priority="310598" stopIfTrue="1" operator="notEqual">
      <formula>"En cours"</formula>
    </cfRule>
  </conditionalFormatting>
  <conditionalFormatting sqref="AK32">
    <cfRule type="cellIs" dxfId="1097" priority="310599" stopIfTrue="1" operator="equal">
      <formula>"En cours"</formula>
    </cfRule>
  </conditionalFormatting>
  <conditionalFormatting sqref="AK32">
    <cfRule type="cellIs" dxfId="1096" priority="310600" stopIfTrue="1" operator="notEqual">
      <formula>"En cours"</formula>
    </cfRule>
  </conditionalFormatting>
  <conditionalFormatting sqref="AJ82">
    <cfRule type="cellIs" dxfId="1095" priority="310613" stopIfTrue="1" operator="equal">
      <formula>"En cours"</formula>
    </cfRule>
  </conditionalFormatting>
  <conditionalFormatting sqref="AJ82">
    <cfRule type="cellIs" dxfId="1094" priority="310614" stopIfTrue="1" operator="notEqual">
      <formula>"En cours"</formula>
    </cfRule>
  </conditionalFormatting>
  <conditionalFormatting sqref="AK82">
    <cfRule type="cellIs" dxfId="1093" priority="310615" stopIfTrue="1" operator="equal">
      <formula>"En cours"</formula>
    </cfRule>
  </conditionalFormatting>
  <conditionalFormatting sqref="AK82">
    <cfRule type="cellIs" dxfId="1092" priority="310616" stopIfTrue="1" operator="notEqual">
      <formula>"En cours"</formula>
    </cfRule>
  </conditionalFormatting>
  <conditionalFormatting sqref="AJ42">
    <cfRule type="cellIs" dxfId="1091" priority="310621" stopIfTrue="1" operator="equal">
      <formula>"En cours"</formula>
    </cfRule>
  </conditionalFormatting>
  <conditionalFormatting sqref="AJ42">
    <cfRule type="cellIs" dxfId="1090" priority="310622" stopIfTrue="1" operator="notEqual">
      <formula>"En cours"</formula>
    </cfRule>
  </conditionalFormatting>
  <conditionalFormatting sqref="AK42">
    <cfRule type="cellIs" dxfId="1089" priority="310623" stopIfTrue="1" operator="equal">
      <formula>"En cours"</formula>
    </cfRule>
  </conditionalFormatting>
  <conditionalFormatting sqref="AK42">
    <cfRule type="cellIs" dxfId="1088" priority="310624" stopIfTrue="1" operator="notEqual">
      <formula>"En cours"</formula>
    </cfRule>
  </conditionalFormatting>
  <conditionalFormatting sqref="AJ125">
    <cfRule type="cellIs" dxfId="1087" priority="310661" stopIfTrue="1" operator="equal">
      <formula>"En cours"</formula>
    </cfRule>
  </conditionalFormatting>
  <conditionalFormatting sqref="AJ125">
    <cfRule type="cellIs" dxfId="1086" priority="310662" stopIfTrue="1" operator="notEqual">
      <formula>"En cours"</formula>
    </cfRule>
  </conditionalFormatting>
  <conditionalFormatting sqref="AK125">
    <cfRule type="cellIs" dxfId="1085" priority="310663" stopIfTrue="1" operator="equal">
      <formula>"En cours"</formula>
    </cfRule>
  </conditionalFormatting>
  <conditionalFormatting sqref="AK125">
    <cfRule type="cellIs" dxfId="1084" priority="310664" stopIfTrue="1" operator="notEqual">
      <formula>"En cours"</formula>
    </cfRule>
  </conditionalFormatting>
  <conditionalFormatting sqref="AJ69">
    <cfRule type="cellIs" dxfId="1083" priority="310673" stopIfTrue="1" operator="equal">
      <formula>"En cours"</formula>
    </cfRule>
  </conditionalFormatting>
  <conditionalFormatting sqref="AJ69">
    <cfRule type="cellIs" dxfId="1082" priority="310674" stopIfTrue="1" operator="notEqual">
      <formula>"En cours"</formula>
    </cfRule>
  </conditionalFormatting>
  <conditionalFormatting sqref="AK69">
    <cfRule type="cellIs" dxfId="1081" priority="310675" stopIfTrue="1" operator="equal">
      <formula>"En cours"</formula>
    </cfRule>
  </conditionalFormatting>
  <conditionalFormatting sqref="AK69">
    <cfRule type="cellIs" dxfId="1080" priority="310676" stopIfTrue="1" operator="notEqual">
      <formula>"En cours"</formula>
    </cfRule>
  </conditionalFormatting>
  <conditionalFormatting sqref="AJ56">
    <cfRule type="cellIs" dxfId="1079" priority="310685" stopIfTrue="1" operator="equal">
      <formula>"En cours"</formula>
    </cfRule>
  </conditionalFormatting>
  <conditionalFormatting sqref="AJ56">
    <cfRule type="cellIs" dxfId="1078" priority="310686" stopIfTrue="1" operator="notEqual">
      <formula>"En cours"</formula>
    </cfRule>
  </conditionalFormatting>
  <conditionalFormatting sqref="AK56">
    <cfRule type="cellIs" dxfId="1077" priority="310687" stopIfTrue="1" operator="equal">
      <formula>"En cours"</formula>
    </cfRule>
  </conditionalFormatting>
  <conditionalFormatting sqref="AK56">
    <cfRule type="cellIs" dxfId="1076" priority="310688" stopIfTrue="1" operator="notEqual">
      <formula>"En cours"</formula>
    </cfRule>
  </conditionalFormatting>
  <conditionalFormatting sqref="AJ62">
    <cfRule type="cellIs" dxfId="1075" priority="310689" stopIfTrue="1" operator="equal">
      <formula>"En cours"</formula>
    </cfRule>
  </conditionalFormatting>
  <conditionalFormatting sqref="AJ62">
    <cfRule type="cellIs" dxfId="1074" priority="310690" stopIfTrue="1" operator="notEqual">
      <formula>"En cours"</formula>
    </cfRule>
  </conditionalFormatting>
  <conditionalFormatting sqref="AK62">
    <cfRule type="cellIs" dxfId="1073" priority="310691" stopIfTrue="1" operator="equal">
      <formula>"En cours"</formula>
    </cfRule>
  </conditionalFormatting>
  <conditionalFormatting sqref="AK62">
    <cfRule type="cellIs" dxfId="1072" priority="310692" stopIfTrue="1" operator="notEqual">
      <formula>"En cours"</formula>
    </cfRule>
  </conditionalFormatting>
  <conditionalFormatting sqref="AJ128">
    <cfRule type="cellIs" dxfId="1071" priority="310713" stopIfTrue="1" operator="equal">
      <formula>"En cours"</formula>
    </cfRule>
  </conditionalFormatting>
  <conditionalFormatting sqref="AJ128">
    <cfRule type="cellIs" dxfId="1070" priority="310714" stopIfTrue="1" operator="notEqual">
      <formula>"En cours"</formula>
    </cfRule>
  </conditionalFormatting>
  <conditionalFormatting sqref="AK128">
    <cfRule type="cellIs" dxfId="1069" priority="310715" stopIfTrue="1" operator="equal">
      <formula>"En cours"</formula>
    </cfRule>
  </conditionalFormatting>
  <conditionalFormatting sqref="AK128">
    <cfRule type="cellIs" dxfId="1068" priority="310716" stopIfTrue="1" operator="notEqual">
      <formula>"En cours"</formula>
    </cfRule>
  </conditionalFormatting>
  <conditionalFormatting sqref="AJ126">
    <cfRule type="cellIs" dxfId="1067" priority="310721" stopIfTrue="1" operator="equal">
      <formula>"En cours"</formula>
    </cfRule>
  </conditionalFormatting>
  <conditionalFormatting sqref="AJ126">
    <cfRule type="cellIs" dxfId="1066" priority="310722" stopIfTrue="1" operator="notEqual">
      <formula>"En cours"</formula>
    </cfRule>
  </conditionalFormatting>
  <conditionalFormatting sqref="AK126">
    <cfRule type="cellIs" dxfId="1065" priority="310723" stopIfTrue="1" operator="equal">
      <formula>"En cours"</formula>
    </cfRule>
  </conditionalFormatting>
  <conditionalFormatting sqref="AK126">
    <cfRule type="cellIs" dxfId="1064" priority="310724" stopIfTrue="1" operator="notEqual">
      <formula>"En cours"</formula>
    </cfRule>
  </conditionalFormatting>
  <conditionalFormatting sqref="AJ107">
    <cfRule type="cellIs" dxfId="1063" priority="310725" stopIfTrue="1" operator="equal">
      <formula>"En cours"</formula>
    </cfRule>
  </conditionalFormatting>
  <conditionalFormatting sqref="AJ107">
    <cfRule type="cellIs" dxfId="1062" priority="310726" stopIfTrue="1" operator="notEqual">
      <formula>"En cours"</formula>
    </cfRule>
  </conditionalFormatting>
  <conditionalFormatting sqref="AK107">
    <cfRule type="cellIs" dxfId="1061" priority="310727" stopIfTrue="1" operator="equal">
      <formula>"En cours"</formula>
    </cfRule>
  </conditionalFormatting>
  <conditionalFormatting sqref="AK107">
    <cfRule type="cellIs" dxfId="1060" priority="310728" stopIfTrue="1" operator="notEqual">
      <formula>"En cours"</formula>
    </cfRule>
  </conditionalFormatting>
  <conditionalFormatting sqref="AJ134">
    <cfRule type="cellIs" dxfId="1059" priority="310745" stopIfTrue="1" operator="equal">
      <formula>"En cours"</formula>
    </cfRule>
  </conditionalFormatting>
  <conditionalFormatting sqref="AJ134">
    <cfRule type="cellIs" dxfId="1058" priority="310746" stopIfTrue="1" operator="notEqual">
      <formula>"En cours"</formula>
    </cfRule>
  </conditionalFormatting>
  <conditionalFormatting sqref="AK134">
    <cfRule type="cellIs" dxfId="1057" priority="310747" stopIfTrue="1" operator="equal">
      <formula>"En cours"</formula>
    </cfRule>
  </conditionalFormatting>
  <conditionalFormatting sqref="AK134">
    <cfRule type="cellIs" dxfId="1056" priority="310748" stopIfTrue="1" operator="notEqual">
      <formula>"En cours"</formula>
    </cfRule>
  </conditionalFormatting>
  <conditionalFormatting sqref="AJ137">
    <cfRule type="cellIs" dxfId="1055" priority="311097" stopIfTrue="1" operator="equal">
      <formula>"En cours"</formula>
    </cfRule>
  </conditionalFormatting>
  <conditionalFormatting sqref="AJ137">
    <cfRule type="cellIs" dxfId="1054" priority="311098" stopIfTrue="1" operator="notEqual">
      <formula>"En cours"</formula>
    </cfRule>
  </conditionalFormatting>
  <conditionalFormatting sqref="AK137">
    <cfRule type="cellIs" dxfId="1053" priority="311099" stopIfTrue="1" operator="equal">
      <formula>"En cours"</formula>
    </cfRule>
  </conditionalFormatting>
  <conditionalFormatting sqref="AK137">
    <cfRule type="cellIs" dxfId="1052" priority="311100" stopIfTrue="1" operator="notEqual">
      <formula>"En cours"</formula>
    </cfRule>
  </conditionalFormatting>
  <conditionalFormatting sqref="AJ140">
    <cfRule type="cellIs" dxfId="1051" priority="311105" stopIfTrue="1" operator="equal">
      <formula>"En cours"</formula>
    </cfRule>
  </conditionalFormatting>
  <conditionalFormatting sqref="AJ140">
    <cfRule type="cellIs" dxfId="1050" priority="311106" stopIfTrue="1" operator="notEqual">
      <formula>"En cours"</formula>
    </cfRule>
  </conditionalFormatting>
  <conditionalFormatting sqref="AK140">
    <cfRule type="cellIs" dxfId="1049" priority="311107" stopIfTrue="1" operator="equal">
      <formula>"En cours"</formula>
    </cfRule>
  </conditionalFormatting>
  <conditionalFormatting sqref="AK140">
    <cfRule type="cellIs" dxfId="1048" priority="311108" stopIfTrue="1" operator="notEqual">
      <formula>"En cours"</formula>
    </cfRule>
  </conditionalFormatting>
  <conditionalFormatting sqref="AJ139">
    <cfRule type="cellIs" dxfId="1047" priority="311109" stopIfTrue="1" operator="equal">
      <formula>"En cours"</formula>
    </cfRule>
  </conditionalFormatting>
  <conditionalFormatting sqref="AJ139">
    <cfRule type="cellIs" dxfId="1046" priority="311110" stopIfTrue="1" operator="notEqual">
      <formula>"En cours"</formula>
    </cfRule>
  </conditionalFormatting>
  <conditionalFormatting sqref="AK139">
    <cfRule type="cellIs" dxfId="1045" priority="311111" stopIfTrue="1" operator="equal">
      <formula>"En cours"</formula>
    </cfRule>
  </conditionalFormatting>
  <conditionalFormatting sqref="AK139">
    <cfRule type="cellIs" dxfId="1044" priority="311112" stopIfTrue="1" operator="notEqual">
      <formula>"En cours"</formula>
    </cfRule>
  </conditionalFormatting>
  <conditionalFormatting sqref="AJ81">
    <cfRule type="cellIs" dxfId="1043" priority="311121" stopIfTrue="1" operator="equal">
      <formula>"En cours"</formula>
    </cfRule>
  </conditionalFormatting>
  <conditionalFormatting sqref="AJ81">
    <cfRule type="cellIs" dxfId="1042" priority="311122" stopIfTrue="1" operator="notEqual">
      <formula>"En cours"</formula>
    </cfRule>
  </conditionalFormatting>
  <conditionalFormatting sqref="AK81">
    <cfRule type="cellIs" dxfId="1041" priority="311123" stopIfTrue="1" operator="equal">
      <formula>"En cours"</formula>
    </cfRule>
  </conditionalFormatting>
  <conditionalFormatting sqref="AK81">
    <cfRule type="cellIs" dxfId="1040" priority="311124" stopIfTrue="1" operator="notEqual">
      <formula>"En cours"</formula>
    </cfRule>
  </conditionalFormatting>
  <conditionalFormatting sqref="AJ48">
    <cfRule type="cellIs" dxfId="1039" priority="311137" stopIfTrue="1" operator="equal">
      <formula>"En cours"</formula>
    </cfRule>
  </conditionalFormatting>
  <conditionalFormatting sqref="AJ48">
    <cfRule type="cellIs" dxfId="1038" priority="311138" stopIfTrue="1" operator="notEqual">
      <formula>"En cours"</formula>
    </cfRule>
  </conditionalFormatting>
  <conditionalFormatting sqref="AK48">
    <cfRule type="cellIs" dxfId="1037" priority="311139" stopIfTrue="1" operator="equal">
      <formula>"En cours"</formula>
    </cfRule>
  </conditionalFormatting>
  <conditionalFormatting sqref="AK48">
    <cfRule type="cellIs" dxfId="1036" priority="311140" stopIfTrue="1" operator="notEqual">
      <formula>"En cours"</formula>
    </cfRule>
  </conditionalFormatting>
  <conditionalFormatting sqref="AJ143">
    <cfRule type="cellIs" dxfId="1035" priority="311197" stopIfTrue="1" operator="equal">
      <formula>"En cours"</formula>
    </cfRule>
  </conditionalFormatting>
  <conditionalFormatting sqref="AJ143">
    <cfRule type="cellIs" dxfId="1034" priority="311198" stopIfTrue="1" operator="notEqual">
      <formula>"En cours"</formula>
    </cfRule>
  </conditionalFormatting>
  <conditionalFormatting sqref="AK143">
    <cfRule type="cellIs" dxfId="1033" priority="311199" stopIfTrue="1" operator="equal">
      <formula>"En cours"</formula>
    </cfRule>
  </conditionalFormatting>
  <conditionalFormatting sqref="AK143">
    <cfRule type="cellIs" dxfId="1032" priority="311200" stopIfTrue="1" operator="notEqual">
      <formula>"En cours"</formula>
    </cfRule>
  </conditionalFormatting>
  <conditionalFormatting sqref="AJ150">
    <cfRule type="cellIs" dxfId="1031" priority="311233" stopIfTrue="1" operator="equal">
      <formula>"En cours"</formula>
    </cfRule>
  </conditionalFormatting>
  <conditionalFormatting sqref="AJ150">
    <cfRule type="cellIs" dxfId="1030" priority="311234" stopIfTrue="1" operator="notEqual">
      <formula>"En cours"</formula>
    </cfRule>
  </conditionalFormatting>
  <conditionalFormatting sqref="AK150">
    <cfRule type="cellIs" dxfId="1029" priority="311235" stopIfTrue="1" operator="equal">
      <formula>"En cours"</formula>
    </cfRule>
  </conditionalFormatting>
  <conditionalFormatting sqref="AK150">
    <cfRule type="cellIs" dxfId="1028" priority="311236" stopIfTrue="1" operator="notEqual">
      <formula>"En cours"</formula>
    </cfRule>
  </conditionalFormatting>
  <conditionalFormatting sqref="AJ151">
    <cfRule type="cellIs" dxfId="1027" priority="311237" stopIfTrue="1" operator="equal">
      <formula>"En cours"</formula>
    </cfRule>
  </conditionalFormatting>
  <conditionalFormatting sqref="AJ151">
    <cfRule type="cellIs" dxfId="1026" priority="311238" stopIfTrue="1" operator="notEqual">
      <formula>"En cours"</formula>
    </cfRule>
  </conditionalFormatting>
  <conditionalFormatting sqref="AK151">
    <cfRule type="cellIs" dxfId="1025" priority="311239" stopIfTrue="1" operator="equal">
      <formula>"En cours"</formula>
    </cfRule>
  </conditionalFormatting>
  <conditionalFormatting sqref="AK151">
    <cfRule type="cellIs" dxfId="1024" priority="311240" stopIfTrue="1" operator="notEqual">
      <formula>"En cours"</formula>
    </cfRule>
  </conditionalFormatting>
  <conditionalFormatting sqref="AJ149">
    <cfRule type="cellIs" dxfId="1023" priority="311253" stopIfTrue="1" operator="equal">
      <formula>"En cours"</formula>
    </cfRule>
  </conditionalFormatting>
  <conditionalFormatting sqref="AJ149">
    <cfRule type="cellIs" dxfId="1022" priority="311254" stopIfTrue="1" operator="notEqual">
      <formula>"En cours"</formula>
    </cfRule>
  </conditionalFormatting>
  <conditionalFormatting sqref="AK149">
    <cfRule type="cellIs" dxfId="1021" priority="311255" stopIfTrue="1" operator="equal">
      <formula>"En cours"</formula>
    </cfRule>
  </conditionalFormatting>
  <conditionalFormatting sqref="AK149">
    <cfRule type="cellIs" dxfId="1020" priority="311256" stopIfTrue="1" operator="notEqual">
      <formula>"En cours"</formula>
    </cfRule>
  </conditionalFormatting>
  <conditionalFormatting sqref="AJ97">
    <cfRule type="cellIs" dxfId="1019" priority="311281" stopIfTrue="1" operator="equal">
      <formula>"En cours"</formula>
    </cfRule>
  </conditionalFormatting>
  <conditionalFormatting sqref="AJ97">
    <cfRule type="cellIs" dxfId="1018" priority="311282" stopIfTrue="1" operator="notEqual">
      <formula>"En cours"</formula>
    </cfRule>
  </conditionalFormatting>
  <conditionalFormatting sqref="AK97">
    <cfRule type="cellIs" dxfId="1017" priority="311283" stopIfTrue="1" operator="equal">
      <formula>"En cours"</formula>
    </cfRule>
  </conditionalFormatting>
  <conditionalFormatting sqref="AK97">
    <cfRule type="cellIs" dxfId="1016" priority="311284" stopIfTrue="1" operator="notEqual">
      <formula>"En cours"</formula>
    </cfRule>
  </conditionalFormatting>
  <conditionalFormatting sqref="AJ152">
    <cfRule type="cellIs" dxfId="1015" priority="311289" stopIfTrue="1" operator="equal">
      <formula>"En cours"</formula>
    </cfRule>
  </conditionalFormatting>
  <conditionalFormatting sqref="AJ152">
    <cfRule type="cellIs" dxfId="1014" priority="311290" stopIfTrue="1" operator="notEqual">
      <formula>"En cours"</formula>
    </cfRule>
  </conditionalFormatting>
  <conditionalFormatting sqref="AK152">
    <cfRule type="cellIs" dxfId="1013" priority="311291" stopIfTrue="1" operator="equal">
      <formula>"En cours"</formula>
    </cfRule>
  </conditionalFormatting>
  <conditionalFormatting sqref="AK152">
    <cfRule type="cellIs" dxfId="1012" priority="311292" stopIfTrue="1" operator="notEqual">
      <formula>"En cours"</formula>
    </cfRule>
  </conditionalFormatting>
  <conditionalFormatting sqref="AJ115">
    <cfRule type="cellIs" dxfId="1011" priority="311313" stopIfTrue="1" operator="equal">
      <formula>"En cours"</formula>
    </cfRule>
  </conditionalFormatting>
  <conditionalFormatting sqref="AJ115">
    <cfRule type="cellIs" dxfId="1010" priority="311314" stopIfTrue="1" operator="notEqual">
      <formula>"En cours"</formula>
    </cfRule>
  </conditionalFormatting>
  <conditionalFormatting sqref="AK115">
    <cfRule type="cellIs" dxfId="1009" priority="311315" stopIfTrue="1" operator="equal">
      <formula>"En cours"</formula>
    </cfRule>
  </conditionalFormatting>
  <conditionalFormatting sqref="AK115">
    <cfRule type="cellIs" dxfId="1008" priority="311316" stopIfTrue="1" operator="notEqual">
      <formula>"En cours"</formula>
    </cfRule>
  </conditionalFormatting>
  <conditionalFormatting sqref="AJ104">
    <cfRule type="cellIs" dxfId="1007" priority="311321" stopIfTrue="1" operator="equal">
      <formula>"En cours"</formula>
    </cfRule>
  </conditionalFormatting>
  <conditionalFormatting sqref="AJ104">
    <cfRule type="cellIs" dxfId="1006" priority="311322" stopIfTrue="1" operator="notEqual">
      <formula>"En cours"</formula>
    </cfRule>
  </conditionalFormatting>
  <conditionalFormatting sqref="AK104">
    <cfRule type="cellIs" dxfId="1005" priority="311323" stopIfTrue="1" operator="equal">
      <formula>"En cours"</formula>
    </cfRule>
  </conditionalFormatting>
  <conditionalFormatting sqref="AK104">
    <cfRule type="cellIs" dxfId="1004" priority="311324" stopIfTrue="1" operator="notEqual">
      <formula>"En cours"</formula>
    </cfRule>
  </conditionalFormatting>
  <conditionalFormatting sqref="AJ157">
    <cfRule type="cellIs" dxfId="1003" priority="311349" stopIfTrue="1" operator="equal">
      <formula>"En cours"</formula>
    </cfRule>
  </conditionalFormatting>
  <conditionalFormatting sqref="AJ157">
    <cfRule type="cellIs" dxfId="1002" priority="311350" stopIfTrue="1" operator="notEqual">
      <formula>"En cours"</formula>
    </cfRule>
  </conditionalFormatting>
  <conditionalFormatting sqref="AK157">
    <cfRule type="cellIs" dxfId="1001" priority="311351" stopIfTrue="1" operator="equal">
      <formula>"En cours"</formula>
    </cfRule>
  </conditionalFormatting>
  <conditionalFormatting sqref="AK157">
    <cfRule type="cellIs" dxfId="1000" priority="311352" stopIfTrue="1" operator="notEqual">
      <formula>"En cours"</formula>
    </cfRule>
  </conditionalFormatting>
  <conditionalFormatting sqref="AJ161">
    <cfRule type="cellIs" dxfId="999" priority="311385" stopIfTrue="1" operator="equal">
      <formula>"En cours"</formula>
    </cfRule>
  </conditionalFormatting>
  <conditionalFormatting sqref="AJ161">
    <cfRule type="cellIs" dxfId="998" priority="311386" stopIfTrue="1" operator="notEqual">
      <formula>"En cours"</formula>
    </cfRule>
  </conditionalFormatting>
  <conditionalFormatting sqref="AK161">
    <cfRule type="cellIs" dxfId="997" priority="311387" stopIfTrue="1" operator="equal">
      <formula>"En cours"</formula>
    </cfRule>
  </conditionalFormatting>
  <conditionalFormatting sqref="AK161">
    <cfRule type="cellIs" dxfId="996" priority="311388" stopIfTrue="1" operator="notEqual">
      <formula>"En cours"</formula>
    </cfRule>
  </conditionalFormatting>
  <conditionalFormatting sqref="AJ164">
    <cfRule type="cellIs" dxfId="995" priority="311401" stopIfTrue="1" operator="equal">
      <formula>"En cours"</formula>
    </cfRule>
  </conditionalFormatting>
  <conditionalFormatting sqref="AJ164">
    <cfRule type="cellIs" dxfId="994" priority="311402" stopIfTrue="1" operator="notEqual">
      <formula>"En cours"</formula>
    </cfRule>
  </conditionalFormatting>
  <conditionalFormatting sqref="AK164">
    <cfRule type="cellIs" dxfId="993" priority="311403" stopIfTrue="1" operator="equal">
      <formula>"En cours"</formula>
    </cfRule>
  </conditionalFormatting>
  <conditionalFormatting sqref="AK164">
    <cfRule type="cellIs" dxfId="992" priority="311404" stopIfTrue="1" operator="notEqual">
      <formula>"En cours"</formula>
    </cfRule>
  </conditionalFormatting>
  <conditionalFormatting sqref="AJ167">
    <cfRule type="cellIs" dxfId="991" priority="311669" stopIfTrue="1" operator="equal">
      <formula>"En cours"</formula>
    </cfRule>
  </conditionalFormatting>
  <conditionalFormatting sqref="AJ167">
    <cfRule type="cellIs" dxfId="990" priority="311670" stopIfTrue="1" operator="notEqual">
      <formula>"En cours"</formula>
    </cfRule>
  </conditionalFormatting>
  <conditionalFormatting sqref="AK167">
    <cfRule type="cellIs" dxfId="989" priority="311671" stopIfTrue="1" operator="equal">
      <formula>"En cours"</formula>
    </cfRule>
  </conditionalFormatting>
  <conditionalFormatting sqref="AK167">
    <cfRule type="cellIs" dxfId="988" priority="311672" stopIfTrue="1" operator="notEqual">
      <formula>"En cours"</formula>
    </cfRule>
  </conditionalFormatting>
  <conditionalFormatting sqref="AJ78">
    <cfRule type="cellIs" dxfId="987" priority="311677" stopIfTrue="1" operator="equal">
      <formula>"En cours"</formula>
    </cfRule>
  </conditionalFormatting>
  <conditionalFormatting sqref="AJ78">
    <cfRule type="cellIs" dxfId="986" priority="311678" stopIfTrue="1" operator="notEqual">
      <formula>"En cours"</formula>
    </cfRule>
  </conditionalFormatting>
  <conditionalFormatting sqref="AK78">
    <cfRule type="cellIs" dxfId="985" priority="311679" stopIfTrue="1" operator="equal">
      <formula>"En cours"</formula>
    </cfRule>
  </conditionalFormatting>
  <conditionalFormatting sqref="AK78">
    <cfRule type="cellIs" dxfId="984" priority="311680" stopIfTrue="1" operator="notEqual">
      <formula>"En cours"</formula>
    </cfRule>
  </conditionalFormatting>
  <conditionalFormatting sqref="AJ11">
    <cfRule type="cellIs" dxfId="983" priority="311689" stopIfTrue="1" operator="equal">
      <formula>"En cours"</formula>
    </cfRule>
  </conditionalFormatting>
  <conditionalFormatting sqref="AJ11">
    <cfRule type="cellIs" dxfId="982" priority="311690" stopIfTrue="1" operator="notEqual">
      <formula>"En cours"</formula>
    </cfRule>
  </conditionalFormatting>
  <conditionalFormatting sqref="AK11">
    <cfRule type="cellIs" dxfId="981" priority="311691" stopIfTrue="1" operator="equal">
      <formula>"En cours"</formula>
    </cfRule>
  </conditionalFormatting>
  <conditionalFormatting sqref="AK11">
    <cfRule type="cellIs" dxfId="980" priority="311692" stopIfTrue="1" operator="notEqual">
      <formula>"En cours"</formula>
    </cfRule>
  </conditionalFormatting>
  <conditionalFormatting sqref="AJ136">
    <cfRule type="cellIs" dxfId="979" priority="311693" stopIfTrue="1" operator="equal">
      <formula>"En cours"</formula>
    </cfRule>
  </conditionalFormatting>
  <conditionalFormatting sqref="AJ136">
    <cfRule type="cellIs" dxfId="978" priority="311694" stopIfTrue="1" operator="notEqual">
      <formula>"En cours"</formula>
    </cfRule>
  </conditionalFormatting>
  <conditionalFormatting sqref="AK136">
    <cfRule type="cellIs" dxfId="977" priority="311695" stopIfTrue="1" operator="equal">
      <formula>"En cours"</formula>
    </cfRule>
  </conditionalFormatting>
  <conditionalFormatting sqref="AK136">
    <cfRule type="cellIs" dxfId="976" priority="311696" stopIfTrue="1" operator="notEqual">
      <formula>"En cours"</formula>
    </cfRule>
  </conditionalFormatting>
  <conditionalFormatting sqref="AJ169">
    <cfRule type="cellIs" dxfId="975" priority="311709" stopIfTrue="1" operator="equal">
      <formula>"En cours"</formula>
    </cfRule>
  </conditionalFormatting>
  <conditionalFormatting sqref="AJ169">
    <cfRule type="cellIs" dxfId="974" priority="311710" stopIfTrue="1" operator="notEqual">
      <formula>"En cours"</formula>
    </cfRule>
  </conditionalFormatting>
  <conditionalFormatting sqref="AK169">
    <cfRule type="cellIs" dxfId="973" priority="311711" stopIfTrue="1" operator="equal">
      <formula>"En cours"</formula>
    </cfRule>
  </conditionalFormatting>
  <conditionalFormatting sqref="AK169">
    <cfRule type="cellIs" dxfId="972" priority="311712" stopIfTrue="1" operator="notEqual">
      <formula>"En cours"</formula>
    </cfRule>
  </conditionalFormatting>
  <conditionalFormatting sqref="AJ142">
    <cfRule type="cellIs" dxfId="971" priority="311713" stopIfTrue="1" operator="equal">
      <formula>"En cours"</formula>
    </cfRule>
  </conditionalFormatting>
  <conditionalFormatting sqref="AJ142">
    <cfRule type="cellIs" dxfId="970" priority="311714" stopIfTrue="1" operator="notEqual">
      <formula>"En cours"</formula>
    </cfRule>
  </conditionalFormatting>
  <conditionalFormatting sqref="AK142">
    <cfRule type="cellIs" dxfId="969" priority="311715" stopIfTrue="1" operator="equal">
      <formula>"En cours"</formula>
    </cfRule>
  </conditionalFormatting>
  <conditionalFormatting sqref="AK142">
    <cfRule type="cellIs" dxfId="968" priority="311716" stopIfTrue="1" operator="notEqual">
      <formula>"En cours"</formula>
    </cfRule>
  </conditionalFormatting>
  <conditionalFormatting sqref="AJ145">
    <cfRule type="cellIs" dxfId="967" priority="311721" stopIfTrue="1" operator="equal">
      <formula>"En cours"</formula>
    </cfRule>
  </conditionalFormatting>
  <conditionalFormatting sqref="AJ145">
    <cfRule type="cellIs" dxfId="966" priority="311722" stopIfTrue="1" operator="notEqual">
      <formula>"En cours"</formula>
    </cfRule>
  </conditionalFormatting>
  <conditionalFormatting sqref="AK145">
    <cfRule type="cellIs" dxfId="965" priority="311723" stopIfTrue="1" operator="equal">
      <formula>"En cours"</formula>
    </cfRule>
  </conditionalFormatting>
  <conditionalFormatting sqref="AK145">
    <cfRule type="cellIs" dxfId="964" priority="311724" stopIfTrue="1" operator="notEqual">
      <formula>"En cours"</formula>
    </cfRule>
  </conditionalFormatting>
  <conditionalFormatting sqref="AJ28">
    <cfRule type="cellIs" dxfId="963" priority="311765" stopIfTrue="1" operator="equal">
      <formula>"En cours"</formula>
    </cfRule>
  </conditionalFormatting>
  <conditionalFormatting sqref="AJ28">
    <cfRule type="cellIs" dxfId="962" priority="311766" stopIfTrue="1" operator="notEqual">
      <formula>"En cours"</formula>
    </cfRule>
  </conditionalFormatting>
  <conditionalFormatting sqref="AK28">
    <cfRule type="cellIs" dxfId="961" priority="311767" stopIfTrue="1" operator="equal">
      <formula>"En cours"</formula>
    </cfRule>
  </conditionalFormatting>
  <conditionalFormatting sqref="AK28">
    <cfRule type="cellIs" dxfId="960" priority="311768" stopIfTrue="1" operator="notEqual">
      <formula>"En cours"</formula>
    </cfRule>
  </conditionalFormatting>
  <conditionalFormatting sqref="AJ123">
    <cfRule type="cellIs" dxfId="959" priority="311773" stopIfTrue="1" operator="equal">
      <formula>"En cours"</formula>
    </cfRule>
  </conditionalFormatting>
  <conditionalFormatting sqref="AJ123">
    <cfRule type="cellIs" dxfId="958" priority="311774" stopIfTrue="1" operator="notEqual">
      <formula>"En cours"</formula>
    </cfRule>
  </conditionalFormatting>
  <conditionalFormatting sqref="AK123">
    <cfRule type="cellIs" dxfId="957" priority="311775" stopIfTrue="1" operator="equal">
      <formula>"En cours"</formula>
    </cfRule>
  </conditionalFormatting>
  <conditionalFormatting sqref="AK123">
    <cfRule type="cellIs" dxfId="956" priority="311776" stopIfTrue="1" operator="notEqual">
      <formula>"En cours"</formula>
    </cfRule>
  </conditionalFormatting>
  <conditionalFormatting sqref="AJ33">
    <cfRule type="cellIs" dxfId="955" priority="311777" stopIfTrue="1" operator="equal">
      <formula>"En cours"</formula>
    </cfRule>
  </conditionalFormatting>
  <conditionalFormatting sqref="AJ33">
    <cfRule type="cellIs" dxfId="954" priority="311778" stopIfTrue="1" operator="notEqual">
      <formula>"En cours"</formula>
    </cfRule>
  </conditionalFormatting>
  <conditionalFormatting sqref="AK33">
    <cfRule type="cellIs" dxfId="953" priority="311779" stopIfTrue="1" operator="equal">
      <formula>"En cours"</formula>
    </cfRule>
  </conditionalFormatting>
  <conditionalFormatting sqref="AK33">
    <cfRule type="cellIs" dxfId="952" priority="311780" stopIfTrue="1" operator="notEqual">
      <formula>"En cours"</formula>
    </cfRule>
  </conditionalFormatting>
  <conditionalFormatting sqref="AJ88">
    <cfRule type="cellIs" dxfId="951" priority="311781" stopIfTrue="1" operator="equal">
      <formula>"En cours"</formula>
    </cfRule>
  </conditionalFormatting>
  <conditionalFormatting sqref="AJ88">
    <cfRule type="cellIs" dxfId="950" priority="311782" stopIfTrue="1" operator="notEqual">
      <formula>"En cours"</formula>
    </cfRule>
  </conditionalFormatting>
  <conditionalFormatting sqref="AK88">
    <cfRule type="cellIs" dxfId="949" priority="311783" stopIfTrue="1" operator="equal">
      <formula>"En cours"</formula>
    </cfRule>
  </conditionalFormatting>
  <conditionalFormatting sqref="AK88">
    <cfRule type="cellIs" dxfId="948" priority="311784" stopIfTrue="1" operator="notEqual">
      <formula>"En cours"</formula>
    </cfRule>
  </conditionalFormatting>
  <conditionalFormatting sqref="AJ156">
    <cfRule type="cellIs" dxfId="947" priority="311821" stopIfTrue="1" operator="equal">
      <formula>"En cours"</formula>
    </cfRule>
  </conditionalFormatting>
  <conditionalFormatting sqref="AJ156">
    <cfRule type="cellIs" dxfId="946" priority="311822" stopIfTrue="1" operator="notEqual">
      <formula>"En cours"</formula>
    </cfRule>
  </conditionalFormatting>
  <conditionalFormatting sqref="AK156">
    <cfRule type="cellIs" dxfId="945" priority="311823" stopIfTrue="1" operator="equal">
      <formula>"En cours"</formula>
    </cfRule>
  </conditionalFormatting>
  <conditionalFormatting sqref="AK156">
    <cfRule type="cellIs" dxfId="944" priority="311824" stopIfTrue="1" operator="notEqual">
      <formula>"En cours"</formula>
    </cfRule>
  </conditionalFormatting>
  <conditionalFormatting sqref="AJ129">
    <cfRule type="cellIs" dxfId="943" priority="311853" stopIfTrue="1" operator="equal">
      <formula>"En cours"</formula>
    </cfRule>
  </conditionalFormatting>
  <conditionalFormatting sqref="AJ129">
    <cfRule type="cellIs" dxfId="942" priority="311854" stopIfTrue="1" operator="notEqual">
      <formula>"En cours"</formula>
    </cfRule>
  </conditionalFormatting>
  <conditionalFormatting sqref="AK129">
    <cfRule type="cellIs" dxfId="941" priority="311855" stopIfTrue="1" operator="equal">
      <formula>"En cours"</formula>
    </cfRule>
  </conditionalFormatting>
  <conditionalFormatting sqref="AK129">
    <cfRule type="cellIs" dxfId="940" priority="311856" stopIfTrue="1" operator="notEqual">
      <formula>"En cours"</formula>
    </cfRule>
  </conditionalFormatting>
  <conditionalFormatting sqref="AJ163">
    <cfRule type="cellIs" dxfId="939" priority="311861" stopIfTrue="1" operator="equal">
      <formula>"En cours"</formula>
    </cfRule>
  </conditionalFormatting>
  <conditionalFormatting sqref="AJ163">
    <cfRule type="cellIs" dxfId="938" priority="311862" stopIfTrue="1" operator="notEqual">
      <formula>"En cours"</formula>
    </cfRule>
  </conditionalFormatting>
  <conditionalFormatting sqref="AK163">
    <cfRule type="cellIs" dxfId="937" priority="311863" stopIfTrue="1" operator="equal">
      <formula>"En cours"</formula>
    </cfRule>
  </conditionalFormatting>
  <conditionalFormatting sqref="AK163">
    <cfRule type="cellIs" dxfId="936" priority="311864" stopIfTrue="1" operator="notEqual">
      <formula>"En cours"</formula>
    </cfRule>
  </conditionalFormatting>
  <conditionalFormatting sqref="AJ171">
    <cfRule type="cellIs" dxfId="935" priority="311893" stopIfTrue="1" operator="equal">
      <formula>"En cours"</formula>
    </cfRule>
  </conditionalFormatting>
  <conditionalFormatting sqref="AJ171">
    <cfRule type="cellIs" dxfId="934" priority="311894" stopIfTrue="1" operator="notEqual">
      <formula>"En cours"</formula>
    </cfRule>
  </conditionalFormatting>
  <conditionalFormatting sqref="AK171">
    <cfRule type="cellIs" dxfId="933" priority="311895" stopIfTrue="1" operator="equal">
      <formula>"En cours"</formula>
    </cfRule>
  </conditionalFormatting>
  <conditionalFormatting sqref="AK171">
    <cfRule type="cellIs" dxfId="932" priority="311896" stopIfTrue="1" operator="notEqual">
      <formula>"En cours"</formula>
    </cfRule>
  </conditionalFormatting>
  <conditionalFormatting sqref="AJ154">
    <cfRule type="cellIs" dxfId="931" priority="311897" stopIfTrue="1" operator="equal">
      <formula>"En cours"</formula>
    </cfRule>
  </conditionalFormatting>
  <conditionalFormatting sqref="AJ154">
    <cfRule type="cellIs" dxfId="930" priority="311898" stopIfTrue="1" operator="notEqual">
      <formula>"En cours"</formula>
    </cfRule>
  </conditionalFormatting>
  <conditionalFormatting sqref="AK154">
    <cfRule type="cellIs" dxfId="929" priority="311899" stopIfTrue="1" operator="equal">
      <formula>"En cours"</formula>
    </cfRule>
  </conditionalFormatting>
  <conditionalFormatting sqref="AK154">
    <cfRule type="cellIs" dxfId="928" priority="311900" stopIfTrue="1" operator="notEqual">
      <formula>"En cours"</formula>
    </cfRule>
  </conditionalFormatting>
  <conditionalFormatting sqref="AJ120">
    <cfRule type="cellIs" dxfId="927" priority="312149" stopIfTrue="1" operator="equal">
      <formula>"En cours"</formula>
    </cfRule>
  </conditionalFormatting>
  <conditionalFormatting sqref="AJ120">
    <cfRule type="cellIs" dxfId="926" priority="312150" stopIfTrue="1" operator="notEqual">
      <formula>"En cours"</formula>
    </cfRule>
  </conditionalFormatting>
  <conditionalFormatting sqref="AK120">
    <cfRule type="cellIs" dxfId="925" priority="312151" stopIfTrue="1" operator="equal">
      <formula>"En cours"</formula>
    </cfRule>
  </conditionalFormatting>
  <conditionalFormatting sqref="AK120">
    <cfRule type="cellIs" dxfId="924" priority="312152" stopIfTrue="1" operator="notEqual">
      <formula>"En cours"</formula>
    </cfRule>
  </conditionalFormatting>
  <conditionalFormatting sqref="AJ80">
    <cfRule type="cellIs" dxfId="923" priority="312157" stopIfTrue="1" operator="equal">
      <formula>"En cours"</formula>
    </cfRule>
  </conditionalFormatting>
  <conditionalFormatting sqref="AJ80">
    <cfRule type="cellIs" dxfId="922" priority="312158" stopIfTrue="1" operator="notEqual">
      <formula>"En cours"</formula>
    </cfRule>
  </conditionalFormatting>
  <conditionalFormatting sqref="AK80">
    <cfRule type="cellIs" dxfId="921" priority="312159" stopIfTrue="1" operator="equal">
      <formula>"En cours"</formula>
    </cfRule>
  </conditionalFormatting>
  <conditionalFormatting sqref="AK80">
    <cfRule type="cellIs" dxfId="920" priority="312160" stopIfTrue="1" operator="notEqual">
      <formula>"En cours"</formula>
    </cfRule>
  </conditionalFormatting>
  <conditionalFormatting sqref="AJ138">
    <cfRule type="cellIs" dxfId="919" priority="312177" stopIfTrue="1" operator="equal">
      <formula>"En cours"</formula>
    </cfRule>
  </conditionalFormatting>
  <conditionalFormatting sqref="AJ138">
    <cfRule type="cellIs" dxfId="918" priority="312178" stopIfTrue="1" operator="notEqual">
      <formula>"En cours"</formula>
    </cfRule>
  </conditionalFormatting>
  <conditionalFormatting sqref="AK138">
    <cfRule type="cellIs" dxfId="917" priority="312179" stopIfTrue="1" operator="equal">
      <formula>"En cours"</formula>
    </cfRule>
  </conditionalFormatting>
  <conditionalFormatting sqref="AK138">
    <cfRule type="cellIs" dxfId="916" priority="312180" stopIfTrue="1" operator="notEqual">
      <formula>"En cours"</formula>
    </cfRule>
  </conditionalFormatting>
  <conditionalFormatting sqref="AJ121">
    <cfRule type="cellIs" dxfId="915" priority="312189" stopIfTrue="1" operator="equal">
      <formula>"En cours"</formula>
    </cfRule>
  </conditionalFormatting>
  <conditionalFormatting sqref="AJ121">
    <cfRule type="cellIs" dxfId="914" priority="312190" stopIfTrue="1" operator="notEqual">
      <formula>"En cours"</formula>
    </cfRule>
  </conditionalFormatting>
  <conditionalFormatting sqref="AK121">
    <cfRule type="cellIs" dxfId="913" priority="312191" stopIfTrue="1" operator="equal">
      <formula>"En cours"</formula>
    </cfRule>
  </conditionalFormatting>
  <conditionalFormatting sqref="AK121">
    <cfRule type="cellIs" dxfId="912" priority="312192" stopIfTrue="1" operator="notEqual">
      <formula>"En cours"</formula>
    </cfRule>
  </conditionalFormatting>
  <conditionalFormatting sqref="AJ83">
    <cfRule type="cellIs" dxfId="911" priority="312193" stopIfTrue="1" operator="equal">
      <formula>"En cours"</formula>
    </cfRule>
  </conditionalFormatting>
  <conditionalFormatting sqref="AJ83">
    <cfRule type="cellIs" dxfId="910" priority="312194" stopIfTrue="1" operator="notEqual">
      <formula>"En cours"</formula>
    </cfRule>
  </conditionalFormatting>
  <conditionalFormatting sqref="AK83">
    <cfRule type="cellIs" dxfId="909" priority="312195" stopIfTrue="1" operator="equal">
      <formula>"En cours"</formula>
    </cfRule>
  </conditionalFormatting>
  <conditionalFormatting sqref="AK83">
    <cfRule type="cellIs" dxfId="908" priority="312196" stopIfTrue="1" operator="notEqual">
      <formula>"En cours"</formula>
    </cfRule>
  </conditionalFormatting>
  <conditionalFormatting sqref="AJ170">
    <cfRule type="cellIs" dxfId="907" priority="312217" stopIfTrue="1" operator="equal">
      <formula>"En cours"</formula>
    </cfRule>
  </conditionalFormatting>
  <conditionalFormatting sqref="AJ170">
    <cfRule type="cellIs" dxfId="906" priority="312218" stopIfTrue="1" operator="notEqual">
      <formula>"En cours"</formula>
    </cfRule>
  </conditionalFormatting>
  <conditionalFormatting sqref="AK170">
    <cfRule type="cellIs" dxfId="905" priority="312219" stopIfTrue="1" operator="equal">
      <formula>"En cours"</formula>
    </cfRule>
  </conditionalFormatting>
  <conditionalFormatting sqref="AK170">
    <cfRule type="cellIs" dxfId="904" priority="312220" stopIfTrue="1" operator="notEqual">
      <formula>"En cours"</formula>
    </cfRule>
  </conditionalFormatting>
  <conditionalFormatting sqref="AJ26">
    <cfRule type="cellIs" dxfId="903" priority="312225" stopIfTrue="1" operator="equal">
      <formula>"En cours"</formula>
    </cfRule>
  </conditionalFormatting>
  <conditionalFormatting sqref="AJ26">
    <cfRule type="cellIs" dxfId="902" priority="312226" stopIfTrue="1" operator="notEqual">
      <formula>"En cours"</formula>
    </cfRule>
  </conditionalFormatting>
  <conditionalFormatting sqref="AK26">
    <cfRule type="cellIs" dxfId="901" priority="312227" stopIfTrue="1" operator="equal">
      <formula>"En cours"</formula>
    </cfRule>
  </conditionalFormatting>
  <conditionalFormatting sqref="AK26">
    <cfRule type="cellIs" dxfId="900" priority="312228" stopIfTrue="1" operator="notEqual">
      <formula>"En cours"</formula>
    </cfRule>
  </conditionalFormatting>
  <conditionalFormatting sqref="AJ93">
    <cfRule type="cellIs" dxfId="899" priority="312229" stopIfTrue="1" operator="equal">
      <formula>"En cours"</formula>
    </cfRule>
  </conditionalFormatting>
  <conditionalFormatting sqref="AJ93">
    <cfRule type="cellIs" dxfId="898" priority="312230" stopIfTrue="1" operator="notEqual">
      <formula>"En cours"</formula>
    </cfRule>
  </conditionalFormatting>
  <conditionalFormatting sqref="AK93">
    <cfRule type="cellIs" dxfId="897" priority="312231" stopIfTrue="1" operator="equal">
      <formula>"En cours"</formula>
    </cfRule>
  </conditionalFormatting>
  <conditionalFormatting sqref="AK93">
    <cfRule type="cellIs" dxfId="896" priority="312232" stopIfTrue="1" operator="notEqual">
      <formula>"En cours"</formula>
    </cfRule>
  </conditionalFormatting>
  <conditionalFormatting sqref="AJ84">
    <cfRule type="cellIs" dxfId="895" priority="312233" stopIfTrue="1" operator="equal">
      <formula>"En cours"</formula>
    </cfRule>
  </conditionalFormatting>
  <conditionalFormatting sqref="AJ84">
    <cfRule type="cellIs" dxfId="894" priority="312234" stopIfTrue="1" operator="notEqual">
      <formula>"En cours"</formula>
    </cfRule>
  </conditionalFormatting>
  <conditionalFormatting sqref="AK84">
    <cfRule type="cellIs" dxfId="893" priority="312235" stopIfTrue="1" operator="equal">
      <formula>"En cours"</formula>
    </cfRule>
  </conditionalFormatting>
  <conditionalFormatting sqref="AK84">
    <cfRule type="cellIs" dxfId="892" priority="312236" stopIfTrue="1" operator="notEqual">
      <formula>"En cours"</formula>
    </cfRule>
  </conditionalFormatting>
  <conditionalFormatting sqref="AJ89">
    <cfRule type="cellIs" dxfId="891" priority="312257" stopIfTrue="1" operator="equal">
      <formula>"En cours"</formula>
    </cfRule>
  </conditionalFormatting>
  <conditionalFormatting sqref="AJ89">
    <cfRule type="cellIs" dxfId="890" priority="312258" stopIfTrue="1" operator="notEqual">
      <formula>"En cours"</formula>
    </cfRule>
  </conditionalFormatting>
  <conditionalFormatting sqref="AK89">
    <cfRule type="cellIs" dxfId="889" priority="312259" stopIfTrue="1" operator="equal">
      <formula>"En cours"</formula>
    </cfRule>
  </conditionalFormatting>
  <conditionalFormatting sqref="AK89">
    <cfRule type="cellIs" dxfId="888" priority="312260" stopIfTrue="1" operator="notEqual">
      <formula>"En cours"</formula>
    </cfRule>
  </conditionalFormatting>
  <conditionalFormatting sqref="AJ148">
    <cfRule type="cellIs" dxfId="887" priority="312269" stopIfTrue="1" operator="equal">
      <formula>"En cours"</formula>
    </cfRule>
  </conditionalFormatting>
  <conditionalFormatting sqref="AJ148">
    <cfRule type="cellIs" dxfId="886" priority="312270" stopIfTrue="1" operator="notEqual">
      <formula>"En cours"</formula>
    </cfRule>
  </conditionalFormatting>
  <conditionalFormatting sqref="AK148">
    <cfRule type="cellIs" dxfId="885" priority="312271" stopIfTrue="1" operator="equal">
      <formula>"En cours"</formula>
    </cfRule>
  </conditionalFormatting>
  <conditionalFormatting sqref="AK148">
    <cfRule type="cellIs" dxfId="884" priority="312272" stopIfTrue="1" operator="notEqual">
      <formula>"En cours"</formula>
    </cfRule>
  </conditionalFormatting>
  <conditionalFormatting sqref="AJ96">
    <cfRule type="cellIs" dxfId="883" priority="312289" stopIfTrue="1" operator="equal">
      <formula>"En cours"</formula>
    </cfRule>
  </conditionalFormatting>
  <conditionalFormatting sqref="AJ96">
    <cfRule type="cellIs" dxfId="882" priority="312290" stopIfTrue="1" operator="notEqual">
      <formula>"En cours"</formula>
    </cfRule>
  </conditionalFormatting>
  <conditionalFormatting sqref="AK96">
    <cfRule type="cellIs" dxfId="881" priority="312291" stopIfTrue="1" operator="equal">
      <formula>"En cours"</formula>
    </cfRule>
  </conditionalFormatting>
  <conditionalFormatting sqref="AK96">
    <cfRule type="cellIs" dxfId="880" priority="312292" stopIfTrue="1" operator="notEqual">
      <formula>"En cours"</formula>
    </cfRule>
  </conditionalFormatting>
  <conditionalFormatting sqref="AJ101">
    <cfRule type="cellIs" dxfId="879" priority="312309" stopIfTrue="1" operator="equal">
      <formula>"En cours"</formula>
    </cfRule>
  </conditionalFormatting>
  <conditionalFormatting sqref="AJ101">
    <cfRule type="cellIs" dxfId="878" priority="312310" stopIfTrue="1" operator="notEqual">
      <formula>"En cours"</formula>
    </cfRule>
  </conditionalFormatting>
  <conditionalFormatting sqref="AK101">
    <cfRule type="cellIs" dxfId="877" priority="312311" stopIfTrue="1" operator="equal">
      <formula>"En cours"</formula>
    </cfRule>
  </conditionalFormatting>
  <conditionalFormatting sqref="AK101">
    <cfRule type="cellIs" dxfId="876" priority="312312" stopIfTrue="1" operator="notEqual">
      <formula>"En cours"</formula>
    </cfRule>
  </conditionalFormatting>
  <conditionalFormatting sqref="AJ114">
    <cfRule type="cellIs" dxfId="875" priority="312317" stopIfTrue="1" operator="equal">
      <formula>"En cours"</formula>
    </cfRule>
  </conditionalFormatting>
  <conditionalFormatting sqref="AJ114">
    <cfRule type="cellIs" dxfId="874" priority="312318" stopIfTrue="1" operator="notEqual">
      <formula>"En cours"</formula>
    </cfRule>
  </conditionalFormatting>
  <conditionalFormatting sqref="AK114">
    <cfRule type="cellIs" dxfId="873" priority="312319" stopIfTrue="1" operator="equal">
      <formula>"En cours"</formula>
    </cfRule>
  </conditionalFormatting>
  <conditionalFormatting sqref="AK114">
    <cfRule type="cellIs" dxfId="872" priority="312320" stopIfTrue="1" operator="notEqual">
      <formula>"En cours"</formula>
    </cfRule>
  </conditionalFormatting>
  <conditionalFormatting sqref="AJ116">
    <cfRule type="cellIs" dxfId="871" priority="312329" stopIfTrue="1" operator="equal">
      <formula>"En cours"</formula>
    </cfRule>
  </conditionalFormatting>
  <conditionalFormatting sqref="AJ116">
    <cfRule type="cellIs" dxfId="870" priority="312330" stopIfTrue="1" operator="notEqual">
      <formula>"En cours"</formula>
    </cfRule>
  </conditionalFormatting>
  <conditionalFormatting sqref="AK116">
    <cfRule type="cellIs" dxfId="869" priority="312331" stopIfTrue="1" operator="equal">
      <formula>"En cours"</formula>
    </cfRule>
  </conditionalFormatting>
  <conditionalFormatting sqref="AK116">
    <cfRule type="cellIs" dxfId="868" priority="312332" stopIfTrue="1" operator="notEqual">
      <formula>"En cours"</formula>
    </cfRule>
  </conditionalFormatting>
  <conditionalFormatting sqref="AJ159">
    <cfRule type="cellIs" dxfId="867" priority="312341" stopIfTrue="1" operator="equal">
      <formula>"En cours"</formula>
    </cfRule>
  </conditionalFormatting>
  <conditionalFormatting sqref="AJ159">
    <cfRule type="cellIs" dxfId="866" priority="312342" stopIfTrue="1" operator="notEqual">
      <formula>"En cours"</formula>
    </cfRule>
  </conditionalFormatting>
  <conditionalFormatting sqref="AK159">
    <cfRule type="cellIs" dxfId="865" priority="312343" stopIfTrue="1" operator="equal">
      <formula>"En cours"</formula>
    </cfRule>
  </conditionalFormatting>
  <conditionalFormatting sqref="AK159">
    <cfRule type="cellIs" dxfId="864" priority="312344" stopIfTrue="1" operator="notEqual">
      <formula>"En cours"</formula>
    </cfRule>
  </conditionalFormatting>
  <conditionalFormatting sqref="AJ77">
    <cfRule type="cellIs" dxfId="863" priority="312349" stopIfTrue="1" operator="equal">
      <formula>"En cours"</formula>
    </cfRule>
  </conditionalFormatting>
  <conditionalFormatting sqref="AJ77">
    <cfRule type="cellIs" dxfId="862" priority="312350" stopIfTrue="1" operator="notEqual">
      <formula>"En cours"</formula>
    </cfRule>
  </conditionalFormatting>
  <conditionalFormatting sqref="AK77">
    <cfRule type="cellIs" dxfId="861" priority="312351" stopIfTrue="1" operator="equal">
      <formula>"En cours"</formula>
    </cfRule>
  </conditionalFormatting>
  <conditionalFormatting sqref="AK77">
    <cfRule type="cellIs" dxfId="860" priority="312352" stopIfTrue="1" operator="notEqual">
      <formula>"En cours"</formula>
    </cfRule>
  </conditionalFormatting>
  <conditionalFormatting sqref="AJ160">
    <cfRule type="cellIs" dxfId="859" priority="312373" stopIfTrue="1" operator="equal">
      <formula>"En cours"</formula>
    </cfRule>
  </conditionalFormatting>
  <conditionalFormatting sqref="AJ160">
    <cfRule type="cellIs" dxfId="858" priority="312374" stopIfTrue="1" operator="notEqual">
      <formula>"En cours"</formula>
    </cfRule>
  </conditionalFormatting>
  <conditionalFormatting sqref="AK160">
    <cfRule type="cellIs" dxfId="857" priority="312375" stopIfTrue="1" operator="equal">
      <formula>"En cours"</formula>
    </cfRule>
  </conditionalFormatting>
  <conditionalFormatting sqref="AK160">
    <cfRule type="cellIs" dxfId="856" priority="312376" stopIfTrue="1" operator="notEqual">
      <formula>"En cours"</formula>
    </cfRule>
  </conditionalFormatting>
  <conditionalFormatting sqref="AJ6">
    <cfRule type="cellIs" dxfId="855" priority="312765" stopIfTrue="1" operator="equal">
      <formula>"En cours"</formula>
    </cfRule>
  </conditionalFormatting>
  <conditionalFormatting sqref="AJ6">
    <cfRule type="cellIs" dxfId="854" priority="312766" stopIfTrue="1" operator="notEqual">
      <formula>"En cours"</formula>
    </cfRule>
  </conditionalFormatting>
  <conditionalFormatting sqref="AK6">
    <cfRule type="cellIs" dxfId="853" priority="312767" stopIfTrue="1" operator="equal">
      <formula>"En cours"</formula>
    </cfRule>
  </conditionalFormatting>
  <conditionalFormatting sqref="AK6">
    <cfRule type="cellIs" dxfId="852" priority="312768" stopIfTrue="1" operator="notEqual">
      <formula>"En cours"</formula>
    </cfRule>
  </conditionalFormatting>
  <conditionalFormatting sqref="AJ12">
    <cfRule type="cellIs" dxfId="851" priority="312769" stopIfTrue="1" operator="equal">
      <formula>"En cours"</formula>
    </cfRule>
  </conditionalFormatting>
  <conditionalFormatting sqref="AJ12">
    <cfRule type="cellIs" dxfId="850" priority="312770" stopIfTrue="1" operator="notEqual">
      <formula>"En cours"</formula>
    </cfRule>
  </conditionalFormatting>
  <conditionalFormatting sqref="AK12">
    <cfRule type="cellIs" dxfId="849" priority="312771" stopIfTrue="1" operator="equal">
      <formula>"En cours"</formula>
    </cfRule>
  </conditionalFormatting>
  <conditionalFormatting sqref="AK12">
    <cfRule type="cellIs" dxfId="848" priority="312772" stopIfTrue="1" operator="notEqual">
      <formula>"En cours"</formula>
    </cfRule>
  </conditionalFormatting>
  <conditionalFormatting sqref="AJ5">
    <cfRule type="cellIs" dxfId="847" priority="312773" stopIfTrue="1" operator="equal">
      <formula>"En cours"</formula>
    </cfRule>
  </conditionalFormatting>
  <conditionalFormatting sqref="AJ5">
    <cfRule type="cellIs" dxfId="846" priority="312774" stopIfTrue="1" operator="notEqual">
      <formula>"En cours"</formula>
    </cfRule>
  </conditionalFormatting>
  <conditionalFormatting sqref="AK5">
    <cfRule type="cellIs" dxfId="845" priority="312775" stopIfTrue="1" operator="equal">
      <formula>"En cours"</formula>
    </cfRule>
  </conditionalFormatting>
  <conditionalFormatting sqref="AK5">
    <cfRule type="cellIs" dxfId="844" priority="312776" stopIfTrue="1" operator="notEqual">
      <formula>"En cours"</formula>
    </cfRule>
  </conditionalFormatting>
  <conditionalFormatting sqref="AJ20">
    <cfRule type="cellIs" dxfId="843" priority="312777" stopIfTrue="1" operator="equal">
      <formula>"En cours"</formula>
    </cfRule>
  </conditionalFormatting>
  <conditionalFormatting sqref="AJ20">
    <cfRule type="cellIs" dxfId="842" priority="312778" stopIfTrue="1" operator="notEqual">
      <formula>"En cours"</formula>
    </cfRule>
  </conditionalFormatting>
  <conditionalFormatting sqref="AK20">
    <cfRule type="cellIs" dxfId="841" priority="312779" stopIfTrue="1" operator="equal">
      <formula>"En cours"</formula>
    </cfRule>
  </conditionalFormatting>
  <conditionalFormatting sqref="AK20">
    <cfRule type="cellIs" dxfId="840" priority="312780" stopIfTrue="1" operator="notEqual">
      <formula>"En cours"</formula>
    </cfRule>
  </conditionalFormatting>
  <conditionalFormatting sqref="AJ165">
    <cfRule type="cellIs" dxfId="839" priority="312781" stopIfTrue="1" operator="equal">
      <formula>"En cours"</formula>
    </cfRule>
  </conditionalFormatting>
  <conditionalFormatting sqref="AJ165">
    <cfRule type="cellIs" dxfId="838" priority="312782" stopIfTrue="1" operator="notEqual">
      <formula>"En cours"</formula>
    </cfRule>
  </conditionalFormatting>
  <conditionalFormatting sqref="AK165">
    <cfRule type="cellIs" dxfId="837" priority="312783" stopIfTrue="1" operator="equal">
      <formula>"En cours"</formula>
    </cfRule>
  </conditionalFormatting>
  <conditionalFormatting sqref="AK165">
    <cfRule type="cellIs" dxfId="836" priority="312784" stopIfTrue="1" operator="notEqual">
      <formula>"En cours"</formula>
    </cfRule>
  </conditionalFormatting>
  <conditionalFormatting sqref="AJ17">
    <cfRule type="cellIs" dxfId="835" priority="312785" stopIfTrue="1" operator="equal">
      <formula>"En cours"</formula>
    </cfRule>
  </conditionalFormatting>
  <conditionalFormatting sqref="AJ17">
    <cfRule type="cellIs" dxfId="834" priority="312786" stopIfTrue="1" operator="notEqual">
      <formula>"En cours"</formula>
    </cfRule>
  </conditionalFormatting>
  <conditionalFormatting sqref="AK17">
    <cfRule type="cellIs" dxfId="833" priority="312787" stopIfTrue="1" operator="equal">
      <formula>"En cours"</formula>
    </cfRule>
  </conditionalFormatting>
  <conditionalFormatting sqref="AK17">
    <cfRule type="cellIs" dxfId="832" priority="312788" stopIfTrue="1" operator="notEqual">
      <formula>"En cours"</formula>
    </cfRule>
  </conditionalFormatting>
  <conditionalFormatting sqref="AJ13">
    <cfRule type="cellIs" dxfId="831" priority="312789" stopIfTrue="1" operator="equal">
      <formula>"En cours"</formula>
    </cfRule>
  </conditionalFormatting>
  <conditionalFormatting sqref="AJ13">
    <cfRule type="cellIs" dxfId="830" priority="312790" stopIfTrue="1" operator="notEqual">
      <formula>"En cours"</formula>
    </cfRule>
  </conditionalFormatting>
  <conditionalFormatting sqref="AK13">
    <cfRule type="cellIs" dxfId="829" priority="312791" stopIfTrue="1" operator="equal">
      <formula>"En cours"</formula>
    </cfRule>
  </conditionalFormatting>
  <conditionalFormatting sqref="AK13">
    <cfRule type="cellIs" dxfId="828" priority="312792" stopIfTrue="1" operator="notEqual">
      <formula>"En cours"</formula>
    </cfRule>
  </conditionalFormatting>
  <conditionalFormatting sqref="AJ166">
    <cfRule type="cellIs" dxfId="827" priority="312793" stopIfTrue="1" operator="equal">
      <formula>"En cours"</formula>
    </cfRule>
  </conditionalFormatting>
  <conditionalFormatting sqref="AJ166">
    <cfRule type="cellIs" dxfId="826" priority="312794" stopIfTrue="1" operator="notEqual">
      <formula>"En cours"</formula>
    </cfRule>
  </conditionalFormatting>
  <conditionalFormatting sqref="AK166">
    <cfRule type="cellIs" dxfId="825" priority="312795" stopIfTrue="1" operator="equal">
      <formula>"En cours"</formula>
    </cfRule>
  </conditionalFormatting>
  <conditionalFormatting sqref="AK166">
    <cfRule type="cellIs" dxfId="824" priority="312796" stopIfTrue="1" operator="notEqual">
      <formula>"En cours"</formula>
    </cfRule>
  </conditionalFormatting>
  <conditionalFormatting sqref="AJ172">
    <cfRule type="cellIs" dxfId="823" priority="312797" stopIfTrue="1" operator="equal">
      <formula>"En cours"</formula>
    </cfRule>
  </conditionalFormatting>
  <conditionalFormatting sqref="AJ172">
    <cfRule type="cellIs" dxfId="822" priority="312798" stopIfTrue="1" operator="notEqual">
      <formula>"En cours"</formula>
    </cfRule>
  </conditionalFormatting>
  <conditionalFormatting sqref="AK172">
    <cfRule type="cellIs" dxfId="821" priority="312799" stopIfTrue="1" operator="equal">
      <formula>"En cours"</formula>
    </cfRule>
  </conditionalFormatting>
  <conditionalFormatting sqref="AK172">
    <cfRule type="cellIs" dxfId="820" priority="312800" stopIfTrue="1" operator="notEqual">
      <formula>"En cours"</formula>
    </cfRule>
  </conditionalFormatting>
  <conditionalFormatting sqref="AJ173">
    <cfRule type="cellIs" dxfId="819" priority="312801" stopIfTrue="1" operator="equal">
      <formula>"En cours"</formula>
    </cfRule>
  </conditionalFormatting>
  <conditionalFormatting sqref="AJ173">
    <cfRule type="cellIs" dxfId="818" priority="312802" stopIfTrue="1" operator="notEqual">
      <formula>"En cours"</formula>
    </cfRule>
  </conditionalFormatting>
  <conditionalFormatting sqref="AK173">
    <cfRule type="cellIs" dxfId="817" priority="312803" stopIfTrue="1" operator="equal">
      <formula>"En cours"</formula>
    </cfRule>
  </conditionalFormatting>
  <conditionalFormatting sqref="AK173">
    <cfRule type="cellIs" dxfId="816" priority="312804" stopIfTrue="1" operator="notEqual">
      <formula>"En cours"</formula>
    </cfRule>
  </conditionalFormatting>
  <conditionalFormatting sqref="AJ15">
    <cfRule type="cellIs" dxfId="815" priority="312805" stopIfTrue="1" operator="equal">
      <formula>"En cours"</formula>
    </cfRule>
  </conditionalFormatting>
  <conditionalFormatting sqref="AJ15">
    <cfRule type="cellIs" dxfId="814" priority="312806" stopIfTrue="1" operator="notEqual">
      <formula>"En cours"</formula>
    </cfRule>
  </conditionalFormatting>
  <conditionalFormatting sqref="AK15">
    <cfRule type="cellIs" dxfId="813" priority="312807" stopIfTrue="1" operator="equal">
      <formula>"En cours"</formula>
    </cfRule>
  </conditionalFormatting>
  <conditionalFormatting sqref="AK15">
    <cfRule type="cellIs" dxfId="812" priority="312808" stopIfTrue="1" operator="notEqual">
      <formula>"En cours"</formula>
    </cfRule>
  </conditionalFormatting>
  <conditionalFormatting sqref="AJ19">
    <cfRule type="cellIs" dxfId="811" priority="312809" stopIfTrue="1" operator="equal">
      <formula>"En cours"</formula>
    </cfRule>
  </conditionalFormatting>
  <conditionalFormatting sqref="AJ19">
    <cfRule type="cellIs" dxfId="810" priority="312810" stopIfTrue="1" operator="notEqual">
      <formula>"En cours"</formula>
    </cfRule>
  </conditionalFormatting>
  <conditionalFormatting sqref="AK19">
    <cfRule type="cellIs" dxfId="809" priority="312811" stopIfTrue="1" operator="equal">
      <formula>"En cours"</formula>
    </cfRule>
  </conditionalFormatting>
  <conditionalFormatting sqref="AK19">
    <cfRule type="cellIs" dxfId="808" priority="312812" stopIfTrue="1" operator="notEqual">
      <formula>"En cours"</formula>
    </cfRule>
  </conditionalFormatting>
  <conditionalFormatting sqref="AJ4">
    <cfRule type="cellIs" dxfId="807" priority="312813" stopIfTrue="1" operator="equal">
      <formula>"En cours"</formula>
    </cfRule>
  </conditionalFormatting>
  <conditionalFormatting sqref="AJ4">
    <cfRule type="cellIs" dxfId="806" priority="312814" stopIfTrue="1" operator="notEqual">
      <formula>"En cours"</formula>
    </cfRule>
  </conditionalFormatting>
  <conditionalFormatting sqref="AK4">
    <cfRule type="cellIs" dxfId="805" priority="312815" stopIfTrue="1" operator="equal">
      <formula>"En cours"</formula>
    </cfRule>
  </conditionalFormatting>
  <conditionalFormatting sqref="AK4">
    <cfRule type="cellIs" dxfId="804" priority="312816" stopIfTrue="1" operator="notEqual">
      <formula>"En cours"</formula>
    </cfRule>
  </conditionalFormatting>
  <conditionalFormatting sqref="AJ177">
    <cfRule type="cellIs" dxfId="803" priority="312817" stopIfTrue="1" operator="equal">
      <formula>"En cours"</formula>
    </cfRule>
  </conditionalFormatting>
  <conditionalFormatting sqref="AJ177">
    <cfRule type="cellIs" dxfId="802" priority="312818" stopIfTrue="1" operator="notEqual">
      <formula>"En cours"</formula>
    </cfRule>
  </conditionalFormatting>
  <conditionalFormatting sqref="AK177">
    <cfRule type="cellIs" dxfId="801" priority="312819" stopIfTrue="1" operator="equal">
      <formula>"En cours"</formula>
    </cfRule>
  </conditionalFormatting>
  <conditionalFormatting sqref="AK177">
    <cfRule type="cellIs" dxfId="800" priority="312820" stopIfTrue="1" operator="notEqual">
      <formula>"En cours"</formula>
    </cfRule>
  </conditionalFormatting>
  <conditionalFormatting sqref="AJ9">
    <cfRule type="cellIs" dxfId="799" priority="312821" stopIfTrue="1" operator="equal">
      <formula>"En cours"</formula>
    </cfRule>
  </conditionalFormatting>
  <conditionalFormatting sqref="AJ9">
    <cfRule type="cellIs" dxfId="798" priority="312822" stopIfTrue="1" operator="notEqual">
      <formula>"En cours"</formula>
    </cfRule>
  </conditionalFormatting>
  <conditionalFormatting sqref="AK9">
    <cfRule type="cellIs" dxfId="797" priority="312823" stopIfTrue="1" operator="equal">
      <formula>"En cours"</formula>
    </cfRule>
  </conditionalFormatting>
  <conditionalFormatting sqref="AK9">
    <cfRule type="cellIs" dxfId="796" priority="312824" stopIfTrue="1" operator="notEqual">
      <formula>"En cours"</formula>
    </cfRule>
  </conditionalFormatting>
  <conditionalFormatting sqref="AJ30">
    <cfRule type="cellIs" dxfId="795" priority="312825" stopIfTrue="1" operator="equal">
      <formula>"En cours"</formula>
    </cfRule>
  </conditionalFormatting>
  <conditionalFormatting sqref="AJ30">
    <cfRule type="cellIs" dxfId="794" priority="312826" stopIfTrue="1" operator="notEqual">
      <formula>"En cours"</formula>
    </cfRule>
  </conditionalFormatting>
  <conditionalFormatting sqref="AK30">
    <cfRule type="cellIs" dxfId="793" priority="312827" stopIfTrue="1" operator="equal">
      <formula>"En cours"</formula>
    </cfRule>
  </conditionalFormatting>
  <conditionalFormatting sqref="AK30">
    <cfRule type="cellIs" dxfId="792" priority="312828" stopIfTrue="1" operator="notEqual">
      <formula>"En cours"</formula>
    </cfRule>
  </conditionalFormatting>
  <conditionalFormatting sqref="AJ25">
    <cfRule type="cellIs" dxfId="791" priority="312829" stopIfTrue="1" operator="equal">
      <formula>"En cours"</formula>
    </cfRule>
  </conditionalFormatting>
  <conditionalFormatting sqref="AJ25">
    <cfRule type="cellIs" dxfId="790" priority="312830" stopIfTrue="1" operator="notEqual">
      <formula>"En cours"</formula>
    </cfRule>
  </conditionalFormatting>
  <conditionalFormatting sqref="AK25">
    <cfRule type="cellIs" dxfId="789" priority="312831" stopIfTrue="1" operator="equal">
      <formula>"En cours"</formula>
    </cfRule>
  </conditionalFormatting>
  <conditionalFormatting sqref="AK25">
    <cfRule type="cellIs" dxfId="788" priority="312832" stopIfTrue="1" operator="notEqual">
      <formula>"En cours"</formula>
    </cfRule>
  </conditionalFormatting>
  <conditionalFormatting sqref="AJ41">
    <cfRule type="cellIs" dxfId="787" priority="312833" stopIfTrue="1" operator="equal">
      <formula>"En cours"</formula>
    </cfRule>
  </conditionalFormatting>
  <conditionalFormatting sqref="AJ41">
    <cfRule type="cellIs" dxfId="786" priority="312834" stopIfTrue="1" operator="notEqual">
      <formula>"En cours"</formula>
    </cfRule>
  </conditionalFormatting>
  <conditionalFormatting sqref="AK41">
    <cfRule type="cellIs" dxfId="785" priority="312835" stopIfTrue="1" operator="equal">
      <formula>"En cours"</formula>
    </cfRule>
  </conditionalFormatting>
  <conditionalFormatting sqref="AK41">
    <cfRule type="cellIs" dxfId="784" priority="312836" stopIfTrue="1" operator="notEqual">
      <formula>"En cours"</formula>
    </cfRule>
  </conditionalFormatting>
  <conditionalFormatting sqref="AJ174">
    <cfRule type="cellIs" dxfId="783" priority="312837" stopIfTrue="1" operator="equal">
      <formula>"En cours"</formula>
    </cfRule>
  </conditionalFormatting>
  <conditionalFormatting sqref="AJ174">
    <cfRule type="cellIs" dxfId="782" priority="312838" stopIfTrue="1" operator="notEqual">
      <formula>"En cours"</formula>
    </cfRule>
  </conditionalFormatting>
  <conditionalFormatting sqref="AK174">
    <cfRule type="cellIs" dxfId="781" priority="312839" stopIfTrue="1" operator="equal">
      <formula>"En cours"</formula>
    </cfRule>
  </conditionalFormatting>
  <conditionalFormatting sqref="AK174">
    <cfRule type="cellIs" dxfId="780" priority="312840" stopIfTrue="1" operator="notEqual">
      <formula>"En cours"</formula>
    </cfRule>
  </conditionalFormatting>
  <conditionalFormatting sqref="AJ86">
    <cfRule type="cellIs" dxfId="779" priority="312841" stopIfTrue="1" operator="equal">
      <formula>"En cours"</formula>
    </cfRule>
  </conditionalFormatting>
  <conditionalFormatting sqref="AJ86">
    <cfRule type="cellIs" dxfId="778" priority="312842" stopIfTrue="1" operator="notEqual">
      <formula>"En cours"</formula>
    </cfRule>
  </conditionalFormatting>
  <conditionalFormatting sqref="AK86">
    <cfRule type="cellIs" dxfId="777" priority="312843" stopIfTrue="1" operator="equal">
      <formula>"En cours"</formula>
    </cfRule>
  </conditionalFormatting>
  <conditionalFormatting sqref="AK86">
    <cfRule type="cellIs" dxfId="776" priority="312844" stopIfTrue="1" operator="notEqual">
      <formula>"En cours"</formula>
    </cfRule>
  </conditionalFormatting>
  <conditionalFormatting sqref="AJ146">
    <cfRule type="cellIs" dxfId="775" priority="312845" stopIfTrue="1" operator="equal">
      <formula>"En cours"</formula>
    </cfRule>
  </conditionalFormatting>
  <conditionalFormatting sqref="AJ146">
    <cfRule type="cellIs" dxfId="774" priority="312846" stopIfTrue="1" operator="notEqual">
      <formula>"En cours"</formula>
    </cfRule>
  </conditionalFormatting>
  <conditionalFormatting sqref="AK146">
    <cfRule type="cellIs" dxfId="773" priority="312847" stopIfTrue="1" operator="equal">
      <formula>"En cours"</formula>
    </cfRule>
  </conditionalFormatting>
  <conditionalFormatting sqref="AK146">
    <cfRule type="cellIs" dxfId="772" priority="312848" stopIfTrue="1" operator="notEqual">
      <formula>"En cours"</formula>
    </cfRule>
  </conditionalFormatting>
  <conditionalFormatting sqref="AJ40">
    <cfRule type="cellIs" dxfId="771" priority="312849" stopIfTrue="1" operator="equal">
      <formula>"En cours"</formula>
    </cfRule>
  </conditionalFormatting>
  <conditionalFormatting sqref="AJ40">
    <cfRule type="cellIs" dxfId="770" priority="312850" stopIfTrue="1" operator="notEqual">
      <formula>"En cours"</formula>
    </cfRule>
  </conditionalFormatting>
  <conditionalFormatting sqref="AK40">
    <cfRule type="cellIs" dxfId="769" priority="312851" stopIfTrue="1" operator="equal">
      <formula>"En cours"</formula>
    </cfRule>
  </conditionalFormatting>
  <conditionalFormatting sqref="AK40">
    <cfRule type="cellIs" dxfId="768" priority="312852" stopIfTrue="1" operator="notEqual">
      <formula>"En cours"</formula>
    </cfRule>
  </conditionalFormatting>
  <conditionalFormatting sqref="AJ87">
    <cfRule type="cellIs" dxfId="767" priority="312853" stopIfTrue="1" operator="equal">
      <formula>"En cours"</formula>
    </cfRule>
  </conditionalFormatting>
  <conditionalFormatting sqref="AJ87">
    <cfRule type="cellIs" dxfId="766" priority="312854" stopIfTrue="1" operator="notEqual">
      <formula>"En cours"</formula>
    </cfRule>
  </conditionalFormatting>
  <conditionalFormatting sqref="AK87">
    <cfRule type="cellIs" dxfId="765" priority="312855" stopIfTrue="1" operator="equal">
      <formula>"En cours"</formula>
    </cfRule>
  </conditionalFormatting>
  <conditionalFormatting sqref="AK87">
    <cfRule type="cellIs" dxfId="764" priority="312856" stopIfTrue="1" operator="notEqual">
      <formula>"En cours"</formula>
    </cfRule>
  </conditionalFormatting>
  <conditionalFormatting sqref="AJ45">
    <cfRule type="cellIs" dxfId="763" priority="312857" stopIfTrue="1" operator="equal">
      <formula>"En cours"</formula>
    </cfRule>
  </conditionalFormatting>
  <conditionalFormatting sqref="AJ45">
    <cfRule type="cellIs" dxfId="762" priority="312858" stopIfTrue="1" operator="notEqual">
      <formula>"En cours"</formula>
    </cfRule>
  </conditionalFormatting>
  <conditionalFormatting sqref="AK45">
    <cfRule type="cellIs" dxfId="761" priority="312859" stopIfTrue="1" operator="equal">
      <formula>"En cours"</formula>
    </cfRule>
  </conditionalFormatting>
  <conditionalFormatting sqref="AK45">
    <cfRule type="cellIs" dxfId="760" priority="312860" stopIfTrue="1" operator="notEqual">
      <formula>"En cours"</formula>
    </cfRule>
  </conditionalFormatting>
  <conditionalFormatting sqref="AJ168">
    <cfRule type="cellIs" dxfId="759" priority="312861" stopIfTrue="1" operator="equal">
      <formula>"En cours"</formula>
    </cfRule>
  </conditionalFormatting>
  <conditionalFormatting sqref="AJ168">
    <cfRule type="cellIs" dxfId="758" priority="312862" stopIfTrue="1" operator="notEqual">
      <formula>"En cours"</formula>
    </cfRule>
  </conditionalFormatting>
  <conditionalFormatting sqref="AK168">
    <cfRule type="cellIs" dxfId="757" priority="312863" stopIfTrue="1" operator="equal">
      <formula>"En cours"</formula>
    </cfRule>
  </conditionalFormatting>
  <conditionalFormatting sqref="AK168">
    <cfRule type="cellIs" dxfId="756" priority="312864" stopIfTrue="1" operator="notEqual">
      <formula>"En cours"</formula>
    </cfRule>
  </conditionalFormatting>
  <conditionalFormatting sqref="AJ22">
    <cfRule type="cellIs" dxfId="755" priority="312865" stopIfTrue="1" operator="equal">
      <formula>"En cours"</formula>
    </cfRule>
  </conditionalFormatting>
  <conditionalFormatting sqref="AJ22">
    <cfRule type="cellIs" dxfId="754" priority="312866" stopIfTrue="1" operator="notEqual">
      <formula>"En cours"</formula>
    </cfRule>
  </conditionalFormatting>
  <conditionalFormatting sqref="AK22">
    <cfRule type="cellIs" dxfId="753" priority="312867" stopIfTrue="1" operator="equal">
      <formula>"En cours"</formula>
    </cfRule>
  </conditionalFormatting>
  <conditionalFormatting sqref="AK22">
    <cfRule type="cellIs" dxfId="752" priority="312868" stopIfTrue="1" operator="notEqual">
      <formula>"En cours"</formula>
    </cfRule>
  </conditionalFormatting>
  <conditionalFormatting sqref="AJ34">
    <cfRule type="cellIs" dxfId="751" priority="312869" stopIfTrue="1" operator="equal">
      <formula>"En cours"</formula>
    </cfRule>
  </conditionalFormatting>
  <conditionalFormatting sqref="AJ34">
    <cfRule type="cellIs" dxfId="750" priority="312870" stopIfTrue="1" operator="notEqual">
      <formula>"En cours"</formula>
    </cfRule>
  </conditionalFormatting>
  <conditionalFormatting sqref="AK34">
    <cfRule type="cellIs" dxfId="749" priority="312871" stopIfTrue="1" operator="equal">
      <formula>"En cours"</formula>
    </cfRule>
  </conditionalFormatting>
  <conditionalFormatting sqref="AK34">
    <cfRule type="cellIs" dxfId="748" priority="312872" stopIfTrue="1" operator="notEqual">
      <formula>"En cours"</formula>
    </cfRule>
  </conditionalFormatting>
  <conditionalFormatting sqref="AJ144">
    <cfRule type="cellIs" dxfId="747" priority="312873" stopIfTrue="1" operator="equal">
      <formula>"En cours"</formula>
    </cfRule>
  </conditionalFormatting>
  <conditionalFormatting sqref="AJ144">
    <cfRule type="cellIs" dxfId="746" priority="312874" stopIfTrue="1" operator="notEqual">
      <formula>"En cours"</formula>
    </cfRule>
  </conditionalFormatting>
  <conditionalFormatting sqref="AK144">
    <cfRule type="cellIs" dxfId="745" priority="312875" stopIfTrue="1" operator="equal">
      <formula>"En cours"</formula>
    </cfRule>
  </conditionalFormatting>
  <conditionalFormatting sqref="AK144">
    <cfRule type="cellIs" dxfId="744" priority="312876" stopIfTrue="1" operator="notEqual">
      <formula>"En cours"</formula>
    </cfRule>
  </conditionalFormatting>
  <conditionalFormatting sqref="AJ37">
    <cfRule type="cellIs" dxfId="743" priority="312877" stopIfTrue="1" operator="equal">
      <formula>"En cours"</formula>
    </cfRule>
  </conditionalFormatting>
  <conditionalFormatting sqref="AJ37">
    <cfRule type="cellIs" dxfId="742" priority="312878" stopIfTrue="1" operator="notEqual">
      <formula>"En cours"</formula>
    </cfRule>
  </conditionalFormatting>
  <conditionalFormatting sqref="AK37">
    <cfRule type="cellIs" dxfId="741" priority="312879" stopIfTrue="1" operator="equal">
      <formula>"En cours"</formula>
    </cfRule>
  </conditionalFormatting>
  <conditionalFormatting sqref="AK37">
    <cfRule type="cellIs" dxfId="740" priority="312880" stopIfTrue="1" operator="notEqual">
      <formula>"En cours"</formula>
    </cfRule>
  </conditionalFormatting>
  <conditionalFormatting sqref="AJ99">
    <cfRule type="cellIs" dxfId="739" priority="312881" stopIfTrue="1" operator="equal">
      <formula>"En cours"</formula>
    </cfRule>
  </conditionalFormatting>
  <conditionalFormatting sqref="AJ99">
    <cfRule type="cellIs" dxfId="738" priority="312882" stopIfTrue="1" operator="notEqual">
      <formula>"En cours"</formula>
    </cfRule>
  </conditionalFormatting>
  <conditionalFormatting sqref="AK99">
    <cfRule type="cellIs" dxfId="737" priority="312883" stopIfTrue="1" operator="equal">
      <formula>"En cours"</formula>
    </cfRule>
  </conditionalFormatting>
  <conditionalFormatting sqref="AK99">
    <cfRule type="cellIs" dxfId="736" priority="312884" stopIfTrue="1" operator="notEqual">
      <formula>"En cours"</formula>
    </cfRule>
  </conditionalFormatting>
  <conditionalFormatting sqref="AJ90">
    <cfRule type="cellIs" dxfId="735" priority="312885" stopIfTrue="1" operator="equal">
      <formula>"En cours"</formula>
    </cfRule>
  </conditionalFormatting>
  <conditionalFormatting sqref="AJ90">
    <cfRule type="cellIs" dxfId="734" priority="312886" stopIfTrue="1" operator="notEqual">
      <formula>"En cours"</formula>
    </cfRule>
  </conditionalFormatting>
  <conditionalFormatting sqref="AK90">
    <cfRule type="cellIs" dxfId="733" priority="312887" stopIfTrue="1" operator="equal">
      <formula>"En cours"</formula>
    </cfRule>
  </conditionalFormatting>
  <conditionalFormatting sqref="AK90">
    <cfRule type="cellIs" dxfId="732" priority="312888" stopIfTrue="1" operator="notEqual">
      <formula>"En cours"</formula>
    </cfRule>
  </conditionalFormatting>
  <conditionalFormatting sqref="AJ141">
    <cfRule type="cellIs" dxfId="731" priority="312889" stopIfTrue="1" operator="equal">
      <formula>"En cours"</formula>
    </cfRule>
  </conditionalFormatting>
  <conditionalFormatting sqref="AJ141">
    <cfRule type="cellIs" dxfId="730" priority="312890" stopIfTrue="1" operator="notEqual">
      <formula>"En cours"</formula>
    </cfRule>
  </conditionalFormatting>
  <conditionalFormatting sqref="AK141">
    <cfRule type="cellIs" dxfId="729" priority="312891" stopIfTrue="1" operator="equal">
      <formula>"En cours"</formula>
    </cfRule>
  </conditionalFormatting>
  <conditionalFormatting sqref="AK141">
    <cfRule type="cellIs" dxfId="728" priority="312892" stopIfTrue="1" operator="notEqual">
      <formula>"En cours"</formula>
    </cfRule>
  </conditionalFormatting>
  <conditionalFormatting sqref="AJ85">
    <cfRule type="cellIs" dxfId="727" priority="312893" stopIfTrue="1" operator="equal">
      <formula>"En cours"</formula>
    </cfRule>
  </conditionalFormatting>
  <conditionalFormatting sqref="AJ85">
    <cfRule type="cellIs" dxfId="726" priority="312894" stopIfTrue="1" operator="notEqual">
      <formula>"En cours"</formula>
    </cfRule>
  </conditionalFormatting>
  <conditionalFormatting sqref="AK85">
    <cfRule type="cellIs" dxfId="725" priority="312895" stopIfTrue="1" operator="equal">
      <formula>"En cours"</formula>
    </cfRule>
  </conditionalFormatting>
  <conditionalFormatting sqref="AK85">
    <cfRule type="cellIs" dxfId="724" priority="312896" stopIfTrue="1" operator="notEqual">
      <formula>"En cours"</formula>
    </cfRule>
  </conditionalFormatting>
  <conditionalFormatting sqref="AJ36">
    <cfRule type="cellIs" dxfId="723" priority="312897" stopIfTrue="1" operator="equal">
      <formula>"En cours"</formula>
    </cfRule>
  </conditionalFormatting>
  <conditionalFormatting sqref="AJ36">
    <cfRule type="cellIs" dxfId="722" priority="312898" stopIfTrue="1" operator="notEqual">
      <formula>"En cours"</formula>
    </cfRule>
  </conditionalFormatting>
  <conditionalFormatting sqref="AK36">
    <cfRule type="cellIs" dxfId="721" priority="312899" stopIfTrue="1" operator="equal">
      <formula>"En cours"</formula>
    </cfRule>
  </conditionalFormatting>
  <conditionalFormatting sqref="AK36">
    <cfRule type="cellIs" dxfId="720" priority="312900" stopIfTrue="1" operator="notEqual">
      <formula>"En cours"</formula>
    </cfRule>
  </conditionalFormatting>
  <conditionalFormatting sqref="AJ39">
    <cfRule type="cellIs" dxfId="719" priority="312901" stopIfTrue="1" operator="equal">
      <formula>"En cours"</formula>
    </cfRule>
  </conditionalFormatting>
  <conditionalFormatting sqref="AJ39">
    <cfRule type="cellIs" dxfId="718" priority="312902" stopIfTrue="1" operator="notEqual">
      <formula>"En cours"</formula>
    </cfRule>
  </conditionalFormatting>
  <conditionalFormatting sqref="AK39">
    <cfRule type="cellIs" dxfId="717" priority="312903" stopIfTrue="1" operator="equal">
      <formula>"En cours"</formula>
    </cfRule>
  </conditionalFormatting>
  <conditionalFormatting sqref="AK39">
    <cfRule type="cellIs" dxfId="716" priority="312904" stopIfTrue="1" operator="notEqual">
      <formula>"En cours"</formula>
    </cfRule>
  </conditionalFormatting>
  <conditionalFormatting sqref="AJ55">
    <cfRule type="cellIs" dxfId="715" priority="312905" stopIfTrue="1" operator="equal">
      <formula>"En cours"</formula>
    </cfRule>
  </conditionalFormatting>
  <conditionalFormatting sqref="AJ55">
    <cfRule type="cellIs" dxfId="714" priority="312906" stopIfTrue="1" operator="notEqual">
      <formula>"En cours"</formula>
    </cfRule>
  </conditionalFormatting>
  <conditionalFormatting sqref="AK55">
    <cfRule type="cellIs" dxfId="713" priority="312907" stopIfTrue="1" operator="equal">
      <formula>"En cours"</formula>
    </cfRule>
  </conditionalFormatting>
  <conditionalFormatting sqref="AK55">
    <cfRule type="cellIs" dxfId="712" priority="312908" stopIfTrue="1" operator="notEqual">
      <formula>"En cours"</formula>
    </cfRule>
  </conditionalFormatting>
  <conditionalFormatting sqref="AJ91">
    <cfRule type="cellIs" dxfId="711" priority="312909" stopIfTrue="1" operator="equal">
      <formula>"En cours"</formula>
    </cfRule>
  </conditionalFormatting>
  <conditionalFormatting sqref="AJ91">
    <cfRule type="cellIs" dxfId="710" priority="312910" stopIfTrue="1" operator="notEqual">
      <formula>"En cours"</formula>
    </cfRule>
  </conditionalFormatting>
  <conditionalFormatting sqref="AK91">
    <cfRule type="cellIs" dxfId="709" priority="312911" stopIfTrue="1" operator="equal">
      <formula>"En cours"</formula>
    </cfRule>
  </conditionalFormatting>
  <conditionalFormatting sqref="AK91">
    <cfRule type="cellIs" dxfId="708" priority="312912" stopIfTrue="1" operator="notEqual">
      <formula>"En cours"</formula>
    </cfRule>
  </conditionalFormatting>
  <conditionalFormatting sqref="AJ35">
    <cfRule type="cellIs" dxfId="707" priority="312913" stopIfTrue="1" operator="equal">
      <formula>"En cours"</formula>
    </cfRule>
  </conditionalFormatting>
  <conditionalFormatting sqref="AJ35">
    <cfRule type="cellIs" dxfId="706" priority="312914" stopIfTrue="1" operator="notEqual">
      <formula>"En cours"</formula>
    </cfRule>
  </conditionalFormatting>
  <conditionalFormatting sqref="AK35">
    <cfRule type="cellIs" dxfId="705" priority="312915" stopIfTrue="1" operator="equal">
      <formula>"En cours"</formula>
    </cfRule>
  </conditionalFormatting>
  <conditionalFormatting sqref="AK35">
    <cfRule type="cellIs" dxfId="704" priority="312916" stopIfTrue="1" operator="notEqual">
      <formula>"En cours"</formula>
    </cfRule>
  </conditionalFormatting>
  <conditionalFormatting sqref="AJ92">
    <cfRule type="cellIs" dxfId="703" priority="312917" stopIfTrue="1" operator="equal">
      <formula>"En cours"</formula>
    </cfRule>
  </conditionalFormatting>
  <conditionalFormatting sqref="AJ92">
    <cfRule type="cellIs" dxfId="702" priority="312918" stopIfTrue="1" operator="notEqual">
      <formula>"En cours"</formula>
    </cfRule>
  </conditionalFormatting>
  <conditionalFormatting sqref="AK92">
    <cfRule type="cellIs" dxfId="701" priority="312919" stopIfTrue="1" operator="equal">
      <formula>"En cours"</formula>
    </cfRule>
  </conditionalFormatting>
  <conditionalFormatting sqref="AK92">
    <cfRule type="cellIs" dxfId="700" priority="312920" stopIfTrue="1" operator="notEqual">
      <formula>"En cours"</formula>
    </cfRule>
  </conditionalFormatting>
  <conditionalFormatting sqref="AJ31">
    <cfRule type="cellIs" dxfId="699" priority="312921" stopIfTrue="1" operator="equal">
      <formula>"En cours"</formula>
    </cfRule>
  </conditionalFormatting>
  <conditionalFormatting sqref="AJ31">
    <cfRule type="cellIs" dxfId="698" priority="312922" stopIfTrue="1" operator="notEqual">
      <formula>"En cours"</formula>
    </cfRule>
  </conditionalFormatting>
  <conditionalFormatting sqref="AK31">
    <cfRule type="cellIs" dxfId="697" priority="312923" stopIfTrue="1" operator="equal">
      <formula>"En cours"</formula>
    </cfRule>
  </conditionalFormatting>
  <conditionalFormatting sqref="AK31">
    <cfRule type="cellIs" dxfId="696" priority="312924" stopIfTrue="1" operator="notEqual">
      <formula>"En cours"</formula>
    </cfRule>
  </conditionalFormatting>
  <conditionalFormatting sqref="AJ50">
    <cfRule type="cellIs" dxfId="695" priority="312925" stopIfTrue="1" operator="equal">
      <formula>"En cours"</formula>
    </cfRule>
  </conditionalFormatting>
  <conditionalFormatting sqref="AJ50">
    <cfRule type="cellIs" dxfId="694" priority="312926" stopIfTrue="1" operator="notEqual">
      <formula>"En cours"</formula>
    </cfRule>
  </conditionalFormatting>
  <conditionalFormatting sqref="AK50">
    <cfRule type="cellIs" dxfId="693" priority="312927" stopIfTrue="1" operator="equal">
      <formula>"En cours"</formula>
    </cfRule>
  </conditionalFormatting>
  <conditionalFormatting sqref="AK50">
    <cfRule type="cellIs" dxfId="692" priority="312928" stopIfTrue="1" operator="notEqual">
      <formula>"En cours"</formula>
    </cfRule>
  </conditionalFormatting>
  <conditionalFormatting sqref="AJ95">
    <cfRule type="cellIs" dxfId="691" priority="312929" stopIfTrue="1" operator="equal">
      <formula>"En cours"</formula>
    </cfRule>
  </conditionalFormatting>
  <conditionalFormatting sqref="AJ95">
    <cfRule type="cellIs" dxfId="690" priority="312930" stopIfTrue="1" operator="notEqual">
      <formula>"En cours"</formula>
    </cfRule>
  </conditionalFormatting>
  <conditionalFormatting sqref="AK95">
    <cfRule type="cellIs" dxfId="689" priority="312931" stopIfTrue="1" operator="equal">
      <formula>"En cours"</formula>
    </cfRule>
  </conditionalFormatting>
  <conditionalFormatting sqref="AK95">
    <cfRule type="cellIs" dxfId="688" priority="312932" stopIfTrue="1" operator="notEqual">
      <formula>"En cours"</formula>
    </cfRule>
  </conditionalFormatting>
  <conditionalFormatting sqref="AJ178">
    <cfRule type="cellIs" dxfId="687" priority="312933" stopIfTrue="1" operator="equal">
      <formula>"En cours"</formula>
    </cfRule>
  </conditionalFormatting>
  <conditionalFormatting sqref="AJ178">
    <cfRule type="cellIs" dxfId="686" priority="312934" stopIfTrue="1" operator="notEqual">
      <formula>"En cours"</formula>
    </cfRule>
  </conditionalFormatting>
  <conditionalFormatting sqref="AK178">
    <cfRule type="cellIs" dxfId="685" priority="312935" stopIfTrue="1" operator="equal">
      <formula>"En cours"</formula>
    </cfRule>
  </conditionalFormatting>
  <conditionalFormatting sqref="AK178">
    <cfRule type="cellIs" dxfId="684" priority="312936" stopIfTrue="1" operator="notEqual">
      <formula>"En cours"</formula>
    </cfRule>
  </conditionalFormatting>
  <conditionalFormatting sqref="AJ122">
    <cfRule type="cellIs" dxfId="683" priority="312937" stopIfTrue="1" operator="equal">
      <formula>"En cours"</formula>
    </cfRule>
  </conditionalFormatting>
  <conditionalFormatting sqref="AJ122">
    <cfRule type="cellIs" dxfId="682" priority="312938" stopIfTrue="1" operator="notEqual">
      <formula>"En cours"</formula>
    </cfRule>
  </conditionalFormatting>
  <conditionalFormatting sqref="AK122">
    <cfRule type="cellIs" dxfId="681" priority="312939" stopIfTrue="1" operator="equal">
      <formula>"En cours"</formula>
    </cfRule>
  </conditionalFormatting>
  <conditionalFormatting sqref="AK122">
    <cfRule type="cellIs" dxfId="680" priority="312940" stopIfTrue="1" operator="notEqual">
      <formula>"En cours"</formula>
    </cfRule>
  </conditionalFormatting>
  <conditionalFormatting sqref="AJ27">
    <cfRule type="cellIs" dxfId="679" priority="312941" stopIfTrue="1" operator="equal">
      <formula>"En cours"</formula>
    </cfRule>
  </conditionalFormatting>
  <conditionalFormatting sqref="AJ27">
    <cfRule type="cellIs" dxfId="678" priority="312942" stopIfTrue="1" operator="notEqual">
      <formula>"En cours"</formula>
    </cfRule>
  </conditionalFormatting>
  <conditionalFormatting sqref="AK27">
    <cfRule type="cellIs" dxfId="677" priority="312943" stopIfTrue="1" operator="equal">
      <formula>"En cours"</formula>
    </cfRule>
  </conditionalFormatting>
  <conditionalFormatting sqref="AK27">
    <cfRule type="cellIs" dxfId="676" priority="312944" stopIfTrue="1" operator="notEqual">
      <formula>"En cours"</formula>
    </cfRule>
  </conditionalFormatting>
  <conditionalFormatting sqref="AJ147">
    <cfRule type="cellIs" dxfId="675" priority="312945" stopIfTrue="1" operator="equal">
      <formula>"En cours"</formula>
    </cfRule>
  </conditionalFormatting>
  <conditionalFormatting sqref="AJ147">
    <cfRule type="cellIs" dxfId="674" priority="312946" stopIfTrue="1" operator="notEqual">
      <formula>"En cours"</formula>
    </cfRule>
  </conditionalFormatting>
  <conditionalFormatting sqref="AK147">
    <cfRule type="cellIs" dxfId="673" priority="312947" stopIfTrue="1" operator="equal">
      <formula>"En cours"</formula>
    </cfRule>
  </conditionalFormatting>
  <conditionalFormatting sqref="AK147">
    <cfRule type="cellIs" dxfId="672" priority="312948" stopIfTrue="1" operator="notEqual">
      <formula>"En cours"</formula>
    </cfRule>
  </conditionalFormatting>
  <conditionalFormatting sqref="AJ47">
    <cfRule type="cellIs" dxfId="671" priority="312949" stopIfTrue="1" operator="equal">
      <formula>"En cours"</formula>
    </cfRule>
  </conditionalFormatting>
  <conditionalFormatting sqref="AJ47">
    <cfRule type="cellIs" dxfId="670" priority="312950" stopIfTrue="1" operator="notEqual">
      <formula>"En cours"</formula>
    </cfRule>
  </conditionalFormatting>
  <conditionalFormatting sqref="AK47">
    <cfRule type="cellIs" dxfId="669" priority="312951" stopIfTrue="1" operator="equal">
      <formula>"En cours"</formula>
    </cfRule>
  </conditionalFormatting>
  <conditionalFormatting sqref="AK47">
    <cfRule type="cellIs" dxfId="668" priority="312952" stopIfTrue="1" operator="notEqual">
      <formula>"En cours"</formula>
    </cfRule>
  </conditionalFormatting>
  <conditionalFormatting sqref="AJ51">
    <cfRule type="cellIs" dxfId="667" priority="312953" stopIfTrue="1" operator="equal">
      <formula>"En cours"</formula>
    </cfRule>
  </conditionalFormatting>
  <conditionalFormatting sqref="AJ51">
    <cfRule type="cellIs" dxfId="666" priority="312954" stopIfTrue="1" operator="notEqual">
      <formula>"En cours"</formula>
    </cfRule>
  </conditionalFormatting>
  <conditionalFormatting sqref="AK51">
    <cfRule type="cellIs" dxfId="665" priority="312955" stopIfTrue="1" operator="equal">
      <formula>"En cours"</formula>
    </cfRule>
  </conditionalFormatting>
  <conditionalFormatting sqref="AK51">
    <cfRule type="cellIs" dxfId="664" priority="312956" stopIfTrue="1" operator="notEqual">
      <formula>"En cours"</formula>
    </cfRule>
  </conditionalFormatting>
  <conditionalFormatting sqref="AJ46">
    <cfRule type="cellIs" dxfId="663" priority="312957" stopIfTrue="1" operator="equal">
      <formula>"En cours"</formula>
    </cfRule>
  </conditionalFormatting>
  <conditionalFormatting sqref="AJ46">
    <cfRule type="cellIs" dxfId="662" priority="312958" stopIfTrue="1" operator="notEqual">
      <formula>"En cours"</formula>
    </cfRule>
  </conditionalFormatting>
  <conditionalFormatting sqref="AK46">
    <cfRule type="cellIs" dxfId="661" priority="312959" stopIfTrue="1" operator="equal">
      <formula>"En cours"</formula>
    </cfRule>
  </conditionalFormatting>
  <conditionalFormatting sqref="AK46">
    <cfRule type="cellIs" dxfId="660" priority="312960" stopIfTrue="1" operator="notEqual">
      <formula>"En cours"</formula>
    </cfRule>
  </conditionalFormatting>
  <conditionalFormatting sqref="AJ44">
    <cfRule type="cellIs" dxfId="659" priority="312961" stopIfTrue="1" operator="equal">
      <formula>"En cours"</formula>
    </cfRule>
  </conditionalFormatting>
  <conditionalFormatting sqref="AJ44">
    <cfRule type="cellIs" dxfId="658" priority="312962" stopIfTrue="1" operator="notEqual">
      <formula>"En cours"</formula>
    </cfRule>
  </conditionalFormatting>
  <conditionalFormatting sqref="AK44">
    <cfRule type="cellIs" dxfId="657" priority="312963" stopIfTrue="1" operator="equal">
      <formula>"En cours"</formula>
    </cfRule>
  </conditionalFormatting>
  <conditionalFormatting sqref="AK44">
    <cfRule type="cellIs" dxfId="656" priority="312964" stopIfTrue="1" operator="notEqual">
      <formula>"En cours"</formula>
    </cfRule>
  </conditionalFormatting>
  <conditionalFormatting sqref="AJ52">
    <cfRule type="cellIs" dxfId="655" priority="312965" stopIfTrue="1" operator="equal">
      <formula>"En cours"</formula>
    </cfRule>
  </conditionalFormatting>
  <conditionalFormatting sqref="AJ52">
    <cfRule type="cellIs" dxfId="654" priority="312966" stopIfTrue="1" operator="notEqual">
      <formula>"En cours"</formula>
    </cfRule>
  </conditionalFormatting>
  <conditionalFormatting sqref="AK52">
    <cfRule type="cellIs" dxfId="653" priority="312967" stopIfTrue="1" operator="equal">
      <formula>"En cours"</formula>
    </cfRule>
  </conditionalFormatting>
  <conditionalFormatting sqref="AK52">
    <cfRule type="cellIs" dxfId="652" priority="312968" stopIfTrue="1" operator="notEqual">
      <formula>"En cours"</formula>
    </cfRule>
  </conditionalFormatting>
  <conditionalFormatting sqref="AJ54">
    <cfRule type="cellIs" dxfId="651" priority="312969" stopIfTrue="1" operator="equal">
      <formula>"En cours"</formula>
    </cfRule>
  </conditionalFormatting>
  <conditionalFormatting sqref="AJ54">
    <cfRule type="cellIs" dxfId="650" priority="312970" stopIfTrue="1" operator="notEqual">
      <formula>"En cours"</formula>
    </cfRule>
  </conditionalFormatting>
  <conditionalFormatting sqref="AK54">
    <cfRule type="cellIs" dxfId="649" priority="312971" stopIfTrue="1" operator="equal">
      <formula>"En cours"</formula>
    </cfRule>
  </conditionalFormatting>
  <conditionalFormatting sqref="AK54">
    <cfRule type="cellIs" dxfId="648" priority="312972" stopIfTrue="1" operator="notEqual">
      <formula>"En cours"</formula>
    </cfRule>
  </conditionalFormatting>
  <conditionalFormatting sqref="AJ94">
    <cfRule type="cellIs" dxfId="647" priority="312973" stopIfTrue="1" operator="equal">
      <formula>"En cours"</formula>
    </cfRule>
  </conditionalFormatting>
  <conditionalFormatting sqref="AJ94">
    <cfRule type="cellIs" dxfId="646" priority="312974" stopIfTrue="1" operator="notEqual">
      <formula>"En cours"</formula>
    </cfRule>
  </conditionalFormatting>
  <conditionalFormatting sqref="AK94">
    <cfRule type="cellIs" dxfId="645" priority="312975" stopIfTrue="1" operator="equal">
      <formula>"En cours"</formula>
    </cfRule>
  </conditionalFormatting>
  <conditionalFormatting sqref="AK94">
    <cfRule type="cellIs" dxfId="644" priority="312976" stopIfTrue="1" operator="notEqual">
      <formula>"En cours"</formula>
    </cfRule>
  </conditionalFormatting>
  <conditionalFormatting sqref="AJ29">
    <cfRule type="cellIs" dxfId="643" priority="312977" stopIfTrue="1" operator="equal">
      <formula>"En cours"</formula>
    </cfRule>
  </conditionalFormatting>
  <conditionalFormatting sqref="AJ29">
    <cfRule type="cellIs" dxfId="642" priority="312978" stopIfTrue="1" operator="notEqual">
      <formula>"En cours"</formula>
    </cfRule>
  </conditionalFormatting>
  <conditionalFormatting sqref="AK29">
    <cfRule type="cellIs" dxfId="641" priority="312979" stopIfTrue="1" operator="equal">
      <formula>"En cours"</formula>
    </cfRule>
  </conditionalFormatting>
  <conditionalFormatting sqref="AK29">
    <cfRule type="cellIs" dxfId="640" priority="312980" stopIfTrue="1" operator="notEqual">
      <formula>"En cours"</formula>
    </cfRule>
  </conditionalFormatting>
  <conditionalFormatting sqref="AJ21">
    <cfRule type="cellIs" dxfId="639" priority="312981" stopIfTrue="1" operator="equal">
      <formula>"En cours"</formula>
    </cfRule>
  </conditionalFormatting>
  <conditionalFormatting sqref="AJ21">
    <cfRule type="cellIs" dxfId="638" priority="312982" stopIfTrue="1" operator="notEqual">
      <formula>"En cours"</formula>
    </cfRule>
  </conditionalFormatting>
  <conditionalFormatting sqref="AK21">
    <cfRule type="cellIs" dxfId="637" priority="312983" stopIfTrue="1" operator="equal">
      <formula>"En cours"</formula>
    </cfRule>
  </conditionalFormatting>
  <conditionalFormatting sqref="AK21">
    <cfRule type="cellIs" dxfId="636" priority="312984" stopIfTrue="1" operator="notEqual">
      <formula>"En cours"</formula>
    </cfRule>
  </conditionalFormatting>
  <conditionalFormatting sqref="AJ179">
    <cfRule type="cellIs" dxfId="635" priority="312985" stopIfTrue="1" operator="equal">
      <formula>"En cours"</formula>
    </cfRule>
  </conditionalFormatting>
  <conditionalFormatting sqref="AJ179">
    <cfRule type="cellIs" dxfId="634" priority="312986" stopIfTrue="1" operator="notEqual">
      <formula>"En cours"</formula>
    </cfRule>
  </conditionalFormatting>
  <conditionalFormatting sqref="AK179">
    <cfRule type="cellIs" dxfId="633" priority="312987" stopIfTrue="1" operator="equal">
      <formula>"En cours"</formula>
    </cfRule>
  </conditionalFormatting>
  <conditionalFormatting sqref="AK179">
    <cfRule type="cellIs" dxfId="632" priority="312988" stopIfTrue="1" operator="notEqual">
      <formula>"En cours"</formula>
    </cfRule>
  </conditionalFormatting>
  <conditionalFormatting sqref="AJ43">
    <cfRule type="cellIs" dxfId="631" priority="312989" stopIfTrue="1" operator="equal">
      <formula>"En cours"</formula>
    </cfRule>
  </conditionalFormatting>
  <conditionalFormatting sqref="AJ43">
    <cfRule type="cellIs" dxfId="630" priority="312990" stopIfTrue="1" operator="notEqual">
      <formula>"En cours"</formula>
    </cfRule>
  </conditionalFormatting>
  <conditionalFormatting sqref="AK43">
    <cfRule type="cellIs" dxfId="629" priority="312991" stopIfTrue="1" operator="equal">
      <formula>"En cours"</formula>
    </cfRule>
  </conditionalFormatting>
  <conditionalFormatting sqref="AK43">
    <cfRule type="cellIs" dxfId="628" priority="312992" stopIfTrue="1" operator="notEqual">
      <formula>"En cours"</formula>
    </cfRule>
  </conditionalFormatting>
  <conditionalFormatting sqref="AJ53">
    <cfRule type="cellIs" dxfId="627" priority="312993" stopIfTrue="1" operator="equal">
      <formula>"En cours"</formula>
    </cfRule>
  </conditionalFormatting>
  <conditionalFormatting sqref="AJ53">
    <cfRule type="cellIs" dxfId="626" priority="312994" stopIfTrue="1" operator="notEqual">
      <formula>"En cours"</formula>
    </cfRule>
  </conditionalFormatting>
  <conditionalFormatting sqref="AK53">
    <cfRule type="cellIs" dxfId="625" priority="312995" stopIfTrue="1" operator="equal">
      <formula>"En cours"</formula>
    </cfRule>
  </conditionalFormatting>
  <conditionalFormatting sqref="AK53">
    <cfRule type="cellIs" dxfId="624" priority="312996" stopIfTrue="1" operator="notEqual">
      <formula>"En cours"</formula>
    </cfRule>
  </conditionalFormatting>
  <conditionalFormatting sqref="AJ155">
    <cfRule type="cellIs" dxfId="623" priority="312997" stopIfTrue="1" operator="equal">
      <formula>"En cours"</formula>
    </cfRule>
  </conditionalFormatting>
  <conditionalFormatting sqref="AJ155">
    <cfRule type="cellIs" dxfId="622" priority="312998" stopIfTrue="1" operator="notEqual">
      <formula>"En cours"</formula>
    </cfRule>
  </conditionalFormatting>
  <conditionalFormatting sqref="AK155">
    <cfRule type="cellIs" dxfId="621" priority="312999" stopIfTrue="1" operator="equal">
      <formula>"En cours"</formula>
    </cfRule>
  </conditionalFormatting>
  <conditionalFormatting sqref="AK155">
    <cfRule type="cellIs" dxfId="620" priority="313000" stopIfTrue="1" operator="notEqual">
      <formula>"En cours"</formula>
    </cfRule>
  </conditionalFormatting>
  <conditionalFormatting sqref="AJ65">
    <cfRule type="cellIs" dxfId="619" priority="313001" stopIfTrue="1" operator="equal">
      <formula>"En cours"</formula>
    </cfRule>
  </conditionalFormatting>
  <conditionalFormatting sqref="AJ65">
    <cfRule type="cellIs" dxfId="618" priority="313002" stopIfTrue="1" operator="notEqual">
      <formula>"En cours"</formula>
    </cfRule>
  </conditionalFormatting>
  <conditionalFormatting sqref="AK65">
    <cfRule type="cellIs" dxfId="617" priority="313003" stopIfTrue="1" operator="equal">
      <formula>"En cours"</formula>
    </cfRule>
  </conditionalFormatting>
  <conditionalFormatting sqref="AK65">
    <cfRule type="cellIs" dxfId="616" priority="313004" stopIfTrue="1" operator="notEqual">
      <formula>"En cours"</formula>
    </cfRule>
  </conditionalFormatting>
  <conditionalFormatting sqref="AJ102">
    <cfRule type="cellIs" dxfId="615" priority="313005" stopIfTrue="1" operator="equal">
      <formula>"En cours"</formula>
    </cfRule>
  </conditionalFormatting>
  <conditionalFormatting sqref="AJ102">
    <cfRule type="cellIs" dxfId="614" priority="313006" stopIfTrue="1" operator="notEqual">
      <formula>"En cours"</formula>
    </cfRule>
  </conditionalFormatting>
  <conditionalFormatting sqref="AK102">
    <cfRule type="cellIs" dxfId="613" priority="313007" stopIfTrue="1" operator="equal">
      <formula>"En cours"</formula>
    </cfRule>
  </conditionalFormatting>
  <conditionalFormatting sqref="AK102">
    <cfRule type="cellIs" dxfId="612" priority="313008" stopIfTrue="1" operator="notEqual">
      <formula>"En cours"</formula>
    </cfRule>
  </conditionalFormatting>
  <conditionalFormatting sqref="AJ76">
    <cfRule type="cellIs" dxfId="611" priority="313009" stopIfTrue="1" operator="equal">
      <formula>"En cours"</formula>
    </cfRule>
  </conditionalFormatting>
  <conditionalFormatting sqref="AJ76">
    <cfRule type="cellIs" dxfId="610" priority="313010" stopIfTrue="1" operator="notEqual">
      <formula>"En cours"</formula>
    </cfRule>
  </conditionalFormatting>
  <conditionalFormatting sqref="AK76">
    <cfRule type="cellIs" dxfId="609" priority="313011" stopIfTrue="1" operator="equal">
      <formula>"En cours"</formula>
    </cfRule>
  </conditionalFormatting>
  <conditionalFormatting sqref="AK76">
    <cfRule type="cellIs" dxfId="608" priority="313012" stopIfTrue="1" operator="notEqual">
      <formula>"En cours"</formula>
    </cfRule>
  </conditionalFormatting>
  <conditionalFormatting sqref="AJ175">
    <cfRule type="cellIs" dxfId="607" priority="313013" stopIfTrue="1" operator="equal">
      <formula>"En cours"</formula>
    </cfRule>
    <cfRule type="cellIs" dxfId="606" priority="313014" stopIfTrue="1" operator="notEqual">
      <formula>"En cours"</formula>
    </cfRule>
  </conditionalFormatting>
  <conditionalFormatting sqref="AK175">
    <cfRule type="cellIs" dxfId="605" priority="313015" stopIfTrue="1" operator="equal">
      <formula>"En cours"</formula>
    </cfRule>
    <cfRule type="cellIs" dxfId="604" priority="313016" stopIfTrue="1" operator="notEqual">
      <formula>"En cours"</formula>
    </cfRule>
  </conditionalFormatting>
  <conditionalFormatting sqref="AJ176">
    <cfRule type="cellIs" dxfId="603" priority="313017" stopIfTrue="1" operator="equal">
      <formula>"En cours"</formula>
    </cfRule>
    <cfRule type="cellIs" dxfId="602" priority="313018" stopIfTrue="1" operator="notEqual">
      <formula>"En cours"</formula>
    </cfRule>
  </conditionalFormatting>
  <conditionalFormatting sqref="AK176">
    <cfRule type="cellIs" dxfId="601" priority="313019" stopIfTrue="1" operator="equal">
      <formula>"En cours"</formula>
    </cfRule>
    <cfRule type="cellIs" dxfId="600" priority="313020" stopIfTrue="1" operator="notEqual">
      <formula>"En cours"</formula>
    </cfRule>
  </conditionalFormatting>
  <conditionalFormatting sqref="AJ75">
    <cfRule type="cellIs" dxfId="599" priority="313021" stopIfTrue="1" operator="equal">
      <formula>"En cours"</formula>
    </cfRule>
  </conditionalFormatting>
  <conditionalFormatting sqref="AJ75">
    <cfRule type="cellIs" dxfId="598" priority="313022" stopIfTrue="1" operator="notEqual">
      <formula>"En cours"</formula>
    </cfRule>
  </conditionalFormatting>
  <conditionalFormatting sqref="AK75">
    <cfRule type="cellIs" dxfId="597" priority="313023" stopIfTrue="1" operator="equal">
      <formula>"En cours"</formula>
    </cfRule>
  </conditionalFormatting>
  <conditionalFormatting sqref="AK75">
    <cfRule type="cellIs" dxfId="596" priority="313024" stopIfTrue="1" operator="notEqual">
      <formula>"En cours"</formula>
    </cfRule>
  </conditionalFormatting>
  <conditionalFormatting sqref="AJ133">
    <cfRule type="cellIs" dxfId="595" priority="313025" stopIfTrue="1" operator="equal">
      <formula>"En cours"</formula>
    </cfRule>
  </conditionalFormatting>
  <conditionalFormatting sqref="AJ133">
    <cfRule type="cellIs" dxfId="594" priority="313026" stopIfTrue="1" operator="notEqual">
      <formula>"En cours"</formula>
    </cfRule>
  </conditionalFormatting>
  <conditionalFormatting sqref="AK133">
    <cfRule type="cellIs" dxfId="593" priority="313027" stopIfTrue="1" operator="equal">
      <formula>"En cours"</formula>
    </cfRule>
  </conditionalFormatting>
  <conditionalFormatting sqref="AK133">
    <cfRule type="cellIs" dxfId="592" priority="313028" stopIfTrue="1" operator="notEqual">
      <formula>"En cours"</formula>
    </cfRule>
  </conditionalFormatting>
  <conditionalFormatting sqref="AJ158">
    <cfRule type="cellIs" dxfId="591" priority="313029" stopIfTrue="1" operator="equal">
      <formula>"En cours"</formula>
    </cfRule>
  </conditionalFormatting>
  <conditionalFormatting sqref="AJ158">
    <cfRule type="cellIs" dxfId="590" priority="313030" stopIfTrue="1" operator="notEqual">
      <formula>"En cours"</formula>
    </cfRule>
  </conditionalFormatting>
  <conditionalFormatting sqref="AK158">
    <cfRule type="cellIs" dxfId="589" priority="313031" stopIfTrue="1" operator="equal">
      <formula>"En cours"</formula>
    </cfRule>
  </conditionalFormatting>
  <conditionalFormatting sqref="AK158">
    <cfRule type="cellIs" dxfId="588" priority="313032" stopIfTrue="1" operator="notEqual">
      <formula>"En cours"</formula>
    </cfRule>
  </conditionalFormatting>
  <conditionalFormatting sqref="AJ71">
    <cfRule type="cellIs" dxfId="587" priority="313033" stopIfTrue="1" operator="equal">
      <formula>"En cours"</formula>
    </cfRule>
  </conditionalFormatting>
  <conditionalFormatting sqref="AJ71">
    <cfRule type="cellIs" dxfId="586" priority="313034" stopIfTrue="1" operator="notEqual">
      <formula>"En cours"</formula>
    </cfRule>
  </conditionalFormatting>
  <conditionalFormatting sqref="AK71">
    <cfRule type="cellIs" dxfId="585" priority="313035" stopIfTrue="1" operator="equal">
      <formula>"En cours"</formula>
    </cfRule>
  </conditionalFormatting>
  <conditionalFormatting sqref="AK71">
    <cfRule type="cellIs" dxfId="584" priority="313036" stopIfTrue="1" operator="notEqual">
      <formula>"En cours"</formula>
    </cfRule>
  </conditionalFormatting>
  <conditionalFormatting sqref="AJ162">
    <cfRule type="cellIs" dxfId="583" priority="313037" stopIfTrue="1" operator="equal">
      <formula>"En cours"</formula>
    </cfRule>
  </conditionalFormatting>
  <conditionalFormatting sqref="AJ162">
    <cfRule type="cellIs" dxfId="582" priority="313038" stopIfTrue="1" operator="notEqual">
      <formula>"En cours"</formula>
    </cfRule>
  </conditionalFormatting>
  <conditionalFormatting sqref="AK162">
    <cfRule type="cellIs" dxfId="581" priority="313039" stopIfTrue="1" operator="equal">
      <formula>"En cours"</formula>
    </cfRule>
  </conditionalFormatting>
  <conditionalFormatting sqref="AK162">
    <cfRule type="cellIs" dxfId="580" priority="313040" stopIfTrue="1" operator="notEqual">
      <formula>"En cours"</formula>
    </cfRule>
  </conditionalFormatting>
  <conditionalFormatting sqref="AJ70">
    <cfRule type="cellIs" dxfId="579" priority="313041" stopIfTrue="1" operator="equal">
      <formula>"En cours"</formula>
    </cfRule>
  </conditionalFormatting>
  <conditionalFormatting sqref="AJ70">
    <cfRule type="cellIs" dxfId="578" priority="313042" stopIfTrue="1" operator="notEqual">
      <formula>"En cours"</formula>
    </cfRule>
  </conditionalFormatting>
  <conditionalFormatting sqref="AK70">
    <cfRule type="cellIs" dxfId="577" priority="313043" stopIfTrue="1" operator="equal">
      <formula>"En cours"</formula>
    </cfRule>
  </conditionalFormatting>
  <conditionalFormatting sqref="AK70">
    <cfRule type="cellIs" dxfId="576" priority="313044" stopIfTrue="1" operator="notEqual">
      <formula>"En cours"</formula>
    </cfRule>
  </conditionalFormatting>
  <conditionalFormatting sqref="AJ124">
    <cfRule type="cellIs" dxfId="575" priority="313045" stopIfTrue="1" operator="equal">
      <formula>"En cours"</formula>
    </cfRule>
  </conditionalFormatting>
  <conditionalFormatting sqref="AJ124">
    <cfRule type="cellIs" dxfId="574" priority="313046" stopIfTrue="1" operator="notEqual">
      <formula>"En cours"</formula>
    </cfRule>
  </conditionalFormatting>
  <conditionalFormatting sqref="AK124">
    <cfRule type="cellIs" dxfId="573" priority="313047" stopIfTrue="1" operator="equal">
      <formula>"En cours"</formula>
    </cfRule>
  </conditionalFormatting>
  <conditionalFormatting sqref="AK124">
    <cfRule type="cellIs" dxfId="572" priority="313048" stopIfTrue="1" operator="notEqual">
      <formula>"En cours"</formula>
    </cfRule>
  </conditionalFormatting>
  <conditionalFormatting sqref="AJ57">
    <cfRule type="cellIs" dxfId="571" priority="313049" stopIfTrue="1" operator="equal">
      <formula>"En cours"</formula>
    </cfRule>
  </conditionalFormatting>
  <conditionalFormatting sqref="AJ57">
    <cfRule type="cellIs" dxfId="570" priority="313050" stopIfTrue="1" operator="notEqual">
      <formula>"En cours"</formula>
    </cfRule>
  </conditionalFormatting>
  <conditionalFormatting sqref="AK57">
    <cfRule type="cellIs" dxfId="569" priority="313051" stopIfTrue="1" operator="equal">
      <formula>"En cours"</formula>
    </cfRule>
  </conditionalFormatting>
  <conditionalFormatting sqref="AK57">
    <cfRule type="cellIs" dxfId="568" priority="313052" stopIfTrue="1" operator="notEqual">
      <formula>"En cours"</formula>
    </cfRule>
  </conditionalFormatting>
  <conditionalFormatting sqref="AJ61">
    <cfRule type="cellIs" dxfId="567" priority="313053" stopIfTrue="1" operator="equal">
      <formula>"En cours"</formula>
    </cfRule>
  </conditionalFormatting>
  <conditionalFormatting sqref="AJ61">
    <cfRule type="cellIs" dxfId="566" priority="313054" stopIfTrue="1" operator="notEqual">
      <formula>"En cours"</formula>
    </cfRule>
  </conditionalFormatting>
  <conditionalFormatting sqref="AK61">
    <cfRule type="cellIs" dxfId="565" priority="313055" stopIfTrue="1" operator="equal">
      <formula>"En cours"</formula>
    </cfRule>
  </conditionalFormatting>
  <conditionalFormatting sqref="AK61">
    <cfRule type="cellIs" dxfId="564" priority="313056" stopIfTrue="1" operator="notEqual">
      <formula>"En cours"</formula>
    </cfRule>
  </conditionalFormatting>
  <conditionalFormatting sqref="AJ117">
    <cfRule type="cellIs" dxfId="563" priority="313057" stopIfTrue="1" operator="equal">
      <formula>"En cours"</formula>
    </cfRule>
  </conditionalFormatting>
  <conditionalFormatting sqref="AJ117">
    <cfRule type="cellIs" dxfId="562" priority="313058" stopIfTrue="1" operator="notEqual">
      <formula>"En cours"</formula>
    </cfRule>
  </conditionalFormatting>
  <conditionalFormatting sqref="AK117">
    <cfRule type="cellIs" dxfId="561" priority="313059" stopIfTrue="1" operator="equal">
      <formula>"En cours"</formula>
    </cfRule>
  </conditionalFormatting>
  <conditionalFormatting sqref="AK117">
    <cfRule type="cellIs" dxfId="560" priority="313060" stopIfTrue="1" operator="notEqual">
      <formula>"En cours"</formula>
    </cfRule>
  </conditionalFormatting>
  <conditionalFormatting sqref="AJ60">
    <cfRule type="cellIs" dxfId="559" priority="313061" stopIfTrue="1" operator="equal">
      <formula>"En cours"</formula>
    </cfRule>
  </conditionalFormatting>
  <conditionalFormatting sqref="AJ60">
    <cfRule type="cellIs" dxfId="558" priority="313062" stopIfTrue="1" operator="notEqual">
      <formula>"En cours"</formula>
    </cfRule>
  </conditionalFormatting>
  <conditionalFormatting sqref="AK60">
    <cfRule type="cellIs" dxfId="557" priority="313063" stopIfTrue="1" operator="equal">
      <formula>"En cours"</formula>
    </cfRule>
  </conditionalFormatting>
  <conditionalFormatting sqref="AK60">
    <cfRule type="cellIs" dxfId="556" priority="313064" stopIfTrue="1" operator="notEqual">
      <formula>"En cours"</formula>
    </cfRule>
  </conditionalFormatting>
  <conditionalFormatting sqref="AJ110">
    <cfRule type="cellIs" dxfId="555" priority="313065" stopIfTrue="1" operator="equal">
      <formula>"En cours"</formula>
    </cfRule>
  </conditionalFormatting>
  <conditionalFormatting sqref="AJ110">
    <cfRule type="cellIs" dxfId="554" priority="313066" stopIfTrue="1" operator="notEqual">
      <formula>"En cours"</formula>
    </cfRule>
  </conditionalFormatting>
  <conditionalFormatting sqref="AK110">
    <cfRule type="cellIs" dxfId="553" priority="313067" stopIfTrue="1" operator="equal">
      <formula>"En cours"</formula>
    </cfRule>
  </conditionalFormatting>
  <conditionalFormatting sqref="AK110">
    <cfRule type="cellIs" dxfId="552" priority="313068" stopIfTrue="1" operator="notEqual">
      <formula>"En cours"</formula>
    </cfRule>
  </conditionalFormatting>
  <conditionalFormatting sqref="AJ153">
    <cfRule type="cellIs" dxfId="551" priority="313069" stopIfTrue="1" operator="equal">
      <formula>"En cours"</formula>
    </cfRule>
  </conditionalFormatting>
  <conditionalFormatting sqref="AJ153">
    <cfRule type="cellIs" dxfId="550" priority="313070" stopIfTrue="1" operator="notEqual">
      <formula>"En cours"</formula>
    </cfRule>
  </conditionalFormatting>
  <conditionalFormatting sqref="AK153">
    <cfRule type="cellIs" dxfId="549" priority="313071" stopIfTrue="1" operator="equal">
      <formula>"En cours"</formula>
    </cfRule>
  </conditionalFormatting>
  <conditionalFormatting sqref="AK153">
    <cfRule type="cellIs" dxfId="548" priority="313072" stopIfTrue="1" operator="notEqual">
      <formula>"En cours"</formula>
    </cfRule>
  </conditionalFormatting>
  <conditionalFormatting sqref="AJ132">
    <cfRule type="cellIs" dxfId="547" priority="313073" stopIfTrue="1" operator="equal">
      <formula>"En cours"</formula>
    </cfRule>
  </conditionalFormatting>
  <conditionalFormatting sqref="AJ132">
    <cfRule type="cellIs" dxfId="546" priority="313074" stopIfTrue="1" operator="notEqual">
      <formula>"En cours"</formula>
    </cfRule>
  </conditionalFormatting>
  <conditionalFormatting sqref="AK132">
    <cfRule type="cellIs" dxfId="545" priority="313075" stopIfTrue="1" operator="equal">
      <formula>"En cours"</formula>
    </cfRule>
  </conditionalFormatting>
  <conditionalFormatting sqref="AK132">
    <cfRule type="cellIs" dxfId="544" priority="313076" stopIfTrue="1" operator="notEqual">
      <formula>"En cours"</formula>
    </cfRule>
  </conditionalFormatting>
  <conditionalFormatting sqref="AJ127">
    <cfRule type="cellIs" dxfId="543" priority="313077" stopIfTrue="1" operator="equal">
      <formula>"En cours"</formula>
    </cfRule>
  </conditionalFormatting>
  <conditionalFormatting sqref="AJ127">
    <cfRule type="cellIs" dxfId="542" priority="313078" stopIfTrue="1" operator="notEqual">
      <formula>"En cours"</formula>
    </cfRule>
  </conditionalFormatting>
  <conditionalFormatting sqref="AK127">
    <cfRule type="cellIs" dxfId="541" priority="313079" stopIfTrue="1" operator="equal">
      <formula>"En cours"</formula>
    </cfRule>
  </conditionalFormatting>
  <conditionalFormatting sqref="AK127">
    <cfRule type="cellIs" dxfId="540" priority="313080" stopIfTrue="1" operator="notEqual">
      <formula>"En cours"</formula>
    </cfRule>
  </conditionalFormatting>
  <conditionalFormatting sqref="AJ131">
    <cfRule type="cellIs" dxfId="539" priority="313081" stopIfTrue="1" operator="equal">
      <formula>"En cours"</formula>
    </cfRule>
  </conditionalFormatting>
  <conditionalFormatting sqref="AJ131">
    <cfRule type="cellIs" dxfId="538" priority="313082" stopIfTrue="1" operator="notEqual">
      <formula>"En cours"</formula>
    </cfRule>
  </conditionalFormatting>
  <conditionalFormatting sqref="AK131">
    <cfRule type="cellIs" dxfId="537" priority="313083" stopIfTrue="1" operator="equal">
      <formula>"En cours"</formula>
    </cfRule>
  </conditionalFormatting>
  <conditionalFormatting sqref="AK131">
    <cfRule type="cellIs" dxfId="536" priority="313084" stopIfTrue="1" operator="notEqual">
      <formula>"En cours"</formula>
    </cfRule>
  </conditionalFormatting>
  <conditionalFormatting sqref="AJ72">
    <cfRule type="cellIs" dxfId="535" priority="313085" stopIfTrue="1" operator="equal">
      <formula>"En cours"</formula>
    </cfRule>
  </conditionalFormatting>
  <conditionalFormatting sqref="AJ72">
    <cfRule type="cellIs" dxfId="534" priority="313086" stopIfTrue="1" operator="notEqual">
      <formula>"En cours"</formula>
    </cfRule>
  </conditionalFormatting>
  <conditionalFormatting sqref="AK72">
    <cfRule type="cellIs" dxfId="533" priority="313087" stopIfTrue="1" operator="equal">
      <formula>"En cours"</formula>
    </cfRule>
  </conditionalFormatting>
  <conditionalFormatting sqref="AK72">
    <cfRule type="cellIs" dxfId="532" priority="313088" stopIfTrue="1" operator="notEqual">
      <formula>"En cours"</formula>
    </cfRule>
  </conditionalFormatting>
  <conditionalFormatting sqref="AJ66">
    <cfRule type="cellIs" dxfId="531" priority="313089" stopIfTrue="1" operator="equal">
      <formula>"En cours"</formula>
    </cfRule>
  </conditionalFormatting>
  <conditionalFormatting sqref="AJ66">
    <cfRule type="cellIs" dxfId="530" priority="313090" stopIfTrue="1" operator="notEqual">
      <formula>"En cours"</formula>
    </cfRule>
  </conditionalFormatting>
  <conditionalFormatting sqref="AK66">
    <cfRule type="cellIs" dxfId="529" priority="313091" stopIfTrue="1" operator="equal">
      <formula>"En cours"</formula>
    </cfRule>
  </conditionalFormatting>
  <conditionalFormatting sqref="AK66">
    <cfRule type="cellIs" dxfId="528" priority="313092" stopIfTrue="1" operator="notEqual">
      <formula>"En cours"</formula>
    </cfRule>
  </conditionalFormatting>
  <conditionalFormatting sqref="AJ68">
    <cfRule type="cellIs" dxfId="527" priority="313093" stopIfTrue="1" operator="equal">
      <formula>"En cours"</formula>
    </cfRule>
  </conditionalFormatting>
  <conditionalFormatting sqref="AJ68">
    <cfRule type="cellIs" dxfId="526" priority="313094" stopIfTrue="1" operator="notEqual">
      <formula>"En cours"</formula>
    </cfRule>
  </conditionalFormatting>
  <conditionalFormatting sqref="AK68">
    <cfRule type="cellIs" dxfId="525" priority="313095" stopIfTrue="1" operator="equal">
      <formula>"En cours"</formula>
    </cfRule>
  </conditionalFormatting>
  <conditionalFormatting sqref="AK68">
    <cfRule type="cellIs" dxfId="524" priority="313096" stopIfTrue="1" operator="notEqual">
      <formula>"En cours"</formula>
    </cfRule>
  </conditionalFormatting>
  <conditionalFormatting sqref="AJ113">
    <cfRule type="cellIs" dxfId="523" priority="313097" stopIfTrue="1" operator="equal">
      <formula>"En cours"</formula>
    </cfRule>
  </conditionalFormatting>
  <conditionalFormatting sqref="AJ113">
    <cfRule type="cellIs" dxfId="522" priority="313098" stopIfTrue="1" operator="notEqual">
      <formula>"En cours"</formula>
    </cfRule>
  </conditionalFormatting>
  <conditionalFormatting sqref="AK113">
    <cfRule type="cellIs" dxfId="521" priority="313099" stopIfTrue="1" operator="equal">
      <formula>"En cours"</formula>
    </cfRule>
  </conditionalFormatting>
  <conditionalFormatting sqref="AK113">
    <cfRule type="cellIs" dxfId="520" priority="313100" stopIfTrue="1" operator="notEqual">
      <formula>"En cours"</formula>
    </cfRule>
  </conditionalFormatting>
  <conditionalFormatting sqref="AJ64">
    <cfRule type="cellIs" dxfId="519" priority="313101" stopIfTrue="1" operator="equal">
      <formula>"En cours"</formula>
    </cfRule>
  </conditionalFormatting>
  <conditionalFormatting sqref="AJ64">
    <cfRule type="cellIs" dxfId="518" priority="313102" stopIfTrue="1" operator="notEqual">
      <formula>"En cours"</formula>
    </cfRule>
  </conditionalFormatting>
  <conditionalFormatting sqref="AK64">
    <cfRule type="cellIs" dxfId="517" priority="313103" stopIfTrue="1" operator="equal">
      <formula>"En cours"</formula>
    </cfRule>
  </conditionalFormatting>
  <conditionalFormatting sqref="AK64">
    <cfRule type="cellIs" dxfId="516" priority="313104" stopIfTrue="1" operator="notEqual">
      <formula>"En cours"</formula>
    </cfRule>
  </conditionalFormatting>
  <conditionalFormatting sqref="AJ112">
    <cfRule type="cellIs" dxfId="515" priority="313105" stopIfTrue="1" operator="equal">
      <formula>"En cours"</formula>
    </cfRule>
  </conditionalFormatting>
  <conditionalFormatting sqref="AJ112">
    <cfRule type="cellIs" dxfId="514" priority="313106" stopIfTrue="1" operator="notEqual">
      <formula>"En cours"</formula>
    </cfRule>
  </conditionalFormatting>
  <conditionalFormatting sqref="AK112">
    <cfRule type="cellIs" dxfId="513" priority="313107" stopIfTrue="1" operator="equal">
      <formula>"En cours"</formula>
    </cfRule>
  </conditionalFormatting>
  <conditionalFormatting sqref="AK112">
    <cfRule type="cellIs" dxfId="512" priority="313108" stopIfTrue="1" operator="notEqual">
      <formula>"En cours"</formula>
    </cfRule>
  </conditionalFormatting>
  <conditionalFormatting sqref="AJ58">
    <cfRule type="cellIs" dxfId="511" priority="313109" stopIfTrue="1" operator="equal">
      <formula>"En cours"</formula>
    </cfRule>
  </conditionalFormatting>
  <conditionalFormatting sqref="AJ58">
    <cfRule type="cellIs" dxfId="510" priority="313110" stopIfTrue="1" operator="notEqual">
      <formula>"En cours"</formula>
    </cfRule>
  </conditionalFormatting>
  <conditionalFormatting sqref="AK58">
    <cfRule type="cellIs" dxfId="509" priority="313111" stopIfTrue="1" operator="equal">
      <formula>"En cours"</formula>
    </cfRule>
  </conditionalFormatting>
  <conditionalFormatting sqref="AK58">
    <cfRule type="cellIs" dxfId="508" priority="313112" stopIfTrue="1" operator="notEqual">
      <formula>"En cours"</formula>
    </cfRule>
  </conditionalFormatting>
  <conditionalFormatting sqref="AJ118">
    <cfRule type="cellIs" dxfId="507" priority="313113" stopIfTrue="1" operator="equal">
      <formula>"En cours"</formula>
    </cfRule>
  </conditionalFormatting>
  <conditionalFormatting sqref="AJ118">
    <cfRule type="cellIs" dxfId="506" priority="313114" stopIfTrue="1" operator="notEqual">
      <formula>"En cours"</formula>
    </cfRule>
  </conditionalFormatting>
  <conditionalFormatting sqref="AK118">
    <cfRule type="cellIs" dxfId="505" priority="313115" stopIfTrue="1" operator="equal">
      <formula>"En cours"</formula>
    </cfRule>
  </conditionalFormatting>
  <conditionalFormatting sqref="AK118">
    <cfRule type="cellIs" dxfId="504" priority="313116" stopIfTrue="1" operator="notEqual">
      <formula>"En cours"</formula>
    </cfRule>
  </conditionalFormatting>
  <conditionalFormatting sqref="AJ67">
    <cfRule type="cellIs" dxfId="503" priority="313117" stopIfTrue="1" operator="equal">
      <formula>"En cours"</formula>
    </cfRule>
  </conditionalFormatting>
  <conditionalFormatting sqref="AJ67">
    <cfRule type="cellIs" dxfId="502" priority="313118" stopIfTrue="1" operator="notEqual">
      <formula>"En cours"</formula>
    </cfRule>
  </conditionalFormatting>
  <conditionalFormatting sqref="AK67">
    <cfRule type="cellIs" dxfId="501" priority="313119" stopIfTrue="1" operator="equal">
      <formula>"En cours"</formula>
    </cfRule>
  </conditionalFormatting>
  <conditionalFormatting sqref="AK67">
    <cfRule type="cellIs" dxfId="500" priority="313120" stopIfTrue="1" operator="notEqual">
      <formula>"En cours"</formula>
    </cfRule>
  </conditionalFormatting>
  <conditionalFormatting sqref="AJ63">
    <cfRule type="cellIs" dxfId="499" priority="313121" stopIfTrue="1" operator="equal">
      <formula>"En cours"</formula>
    </cfRule>
  </conditionalFormatting>
  <conditionalFormatting sqref="AJ63">
    <cfRule type="cellIs" dxfId="498" priority="313122" stopIfTrue="1" operator="notEqual">
      <formula>"En cours"</formula>
    </cfRule>
  </conditionalFormatting>
  <conditionalFormatting sqref="AK63">
    <cfRule type="cellIs" dxfId="497" priority="313123" stopIfTrue="1" operator="equal">
      <formula>"En cours"</formula>
    </cfRule>
  </conditionalFormatting>
  <conditionalFormatting sqref="AK63">
    <cfRule type="cellIs" dxfId="496" priority="313124" stopIfTrue="1" operator="notEqual">
      <formula>"En cours"</formula>
    </cfRule>
  </conditionalFormatting>
  <conditionalFormatting sqref="AJ73">
    <cfRule type="cellIs" dxfId="495" priority="313125" stopIfTrue="1" operator="equal">
      <formula>"En cours"</formula>
    </cfRule>
  </conditionalFormatting>
  <conditionalFormatting sqref="AJ73">
    <cfRule type="cellIs" dxfId="494" priority="313126" stopIfTrue="1" operator="notEqual">
      <formula>"En cours"</formula>
    </cfRule>
  </conditionalFormatting>
  <conditionalFormatting sqref="AK73">
    <cfRule type="cellIs" dxfId="493" priority="313127" stopIfTrue="1" operator="equal">
      <formula>"En cours"</formula>
    </cfRule>
  </conditionalFormatting>
  <conditionalFormatting sqref="AK73">
    <cfRule type="cellIs" dxfId="492" priority="313128" stopIfTrue="1" operator="notEqual">
      <formula>"En cours"</formula>
    </cfRule>
  </conditionalFormatting>
  <conditionalFormatting sqref="AJ180">
    <cfRule type="cellIs" dxfId="491" priority="313129" stopIfTrue="1" operator="equal">
      <formula>"En cours"</formula>
    </cfRule>
  </conditionalFormatting>
  <conditionalFormatting sqref="AJ180">
    <cfRule type="cellIs" dxfId="490" priority="313130" stopIfTrue="1" operator="notEqual">
      <formula>"En cours"</formula>
    </cfRule>
  </conditionalFormatting>
  <conditionalFormatting sqref="AK180">
    <cfRule type="cellIs" dxfId="489" priority="313131" stopIfTrue="1" operator="equal">
      <formula>"En cours"</formula>
    </cfRule>
  </conditionalFormatting>
  <conditionalFormatting sqref="AK180">
    <cfRule type="cellIs" dxfId="488" priority="313132" stopIfTrue="1" operator="notEqual">
      <formula>"En cours"</formula>
    </cfRule>
  </conditionalFormatting>
  <conditionalFormatting sqref="AJ59">
    <cfRule type="cellIs" dxfId="487" priority="313133" stopIfTrue="1" operator="equal">
      <formula>"En cours"</formula>
    </cfRule>
  </conditionalFormatting>
  <conditionalFormatting sqref="AJ59">
    <cfRule type="cellIs" dxfId="486" priority="313134" stopIfTrue="1" operator="notEqual">
      <formula>"En cours"</formula>
    </cfRule>
  </conditionalFormatting>
  <conditionalFormatting sqref="AK59">
    <cfRule type="cellIs" dxfId="485" priority="313135" stopIfTrue="1" operator="equal">
      <formula>"En cours"</formula>
    </cfRule>
  </conditionalFormatting>
  <conditionalFormatting sqref="AK59">
    <cfRule type="cellIs" dxfId="484" priority="313136" stopIfTrue="1" operator="notEqual">
      <formula>"En cours"</formula>
    </cfRule>
  </conditionalFormatting>
  <conditionalFormatting sqref="AJ108">
    <cfRule type="cellIs" dxfId="483" priority="313137" stopIfTrue="1" operator="equal">
      <formula>"En cours"</formula>
    </cfRule>
  </conditionalFormatting>
  <conditionalFormatting sqref="AJ108">
    <cfRule type="cellIs" dxfId="482" priority="313138" stopIfTrue="1" operator="notEqual">
      <formula>"En cours"</formula>
    </cfRule>
  </conditionalFormatting>
  <conditionalFormatting sqref="AK108">
    <cfRule type="cellIs" dxfId="481" priority="313139" stopIfTrue="1" operator="equal">
      <formula>"En cours"</formula>
    </cfRule>
  </conditionalFormatting>
  <conditionalFormatting sqref="AK108">
    <cfRule type="cellIs" dxfId="480" priority="313140" stopIfTrue="1" operator="notEqual">
      <formula>"En cours"</formula>
    </cfRule>
  </conditionalFormatting>
  <conditionalFormatting sqref="AJ130">
    <cfRule type="cellIs" dxfId="479" priority="313141" stopIfTrue="1" operator="equal">
      <formula>"En cours"</formula>
    </cfRule>
  </conditionalFormatting>
  <conditionalFormatting sqref="AJ130">
    <cfRule type="cellIs" dxfId="478" priority="313142" stopIfTrue="1" operator="notEqual">
      <formula>"En cours"</formula>
    </cfRule>
  </conditionalFormatting>
  <conditionalFormatting sqref="AK130">
    <cfRule type="cellIs" dxfId="477" priority="313143" stopIfTrue="1" operator="equal">
      <formula>"En cours"</formula>
    </cfRule>
  </conditionalFormatting>
  <conditionalFormatting sqref="AK130">
    <cfRule type="cellIs" dxfId="476" priority="313144" stopIfTrue="1" operator="notEqual">
      <formula>"En cours"</formula>
    </cfRule>
  </conditionalFormatting>
  <conditionalFormatting sqref="AJ135">
    <cfRule type="cellIs" dxfId="475" priority="313145" stopIfTrue="1" operator="equal">
      <formula>"En cours"</formula>
    </cfRule>
  </conditionalFormatting>
  <conditionalFormatting sqref="AJ135">
    <cfRule type="cellIs" dxfId="474" priority="313146" stopIfTrue="1" operator="notEqual">
      <formula>"En cours"</formula>
    </cfRule>
  </conditionalFormatting>
  <conditionalFormatting sqref="AK135">
    <cfRule type="cellIs" dxfId="473" priority="313147" stopIfTrue="1" operator="equal">
      <formula>"En cours"</formula>
    </cfRule>
  </conditionalFormatting>
  <conditionalFormatting sqref="AK135">
    <cfRule type="cellIs" dxfId="472" priority="313148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P37" sqref="P37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3" t="s">
        <v>18</v>
      </c>
      <c r="G2" s="194"/>
      <c r="H2" s="194"/>
      <c r="I2" s="195"/>
      <c r="J2" s="196" t="s">
        <v>19</v>
      </c>
      <c r="K2" s="197"/>
      <c r="L2" s="197"/>
      <c r="M2" s="198"/>
      <c r="N2" s="199" t="s">
        <v>20</v>
      </c>
      <c r="O2" s="194"/>
      <c r="P2" s="194"/>
      <c r="Q2" s="195"/>
      <c r="R2" s="196" t="s">
        <v>21</v>
      </c>
      <c r="S2" s="197"/>
      <c r="T2" s="197"/>
      <c r="U2" s="198"/>
      <c r="V2" s="199" t="s">
        <v>22</v>
      </c>
      <c r="W2" s="194"/>
      <c r="X2" s="194"/>
      <c r="Y2" s="195"/>
      <c r="Z2" s="196" t="s">
        <v>23</v>
      </c>
      <c r="AA2" s="197"/>
      <c r="AB2" s="197"/>
      <c r="AC2" s="200"/>
      <c r="AD2" s="186" t="s">
        <v>24</v>
      </c>
      <c r="AE2" s="187"/>
      <c r="AF2" s="188" t="s">
        <v>17</v>
      </c>
      <c r="AG2" s="189"/>
      <c r="AH2" s="189"/>
      <c r="AI2" s="190"/>
      <c r="AJ2" s="191" t="s">
        <v>25</v>
      </c>
      <c r="AK2" s="192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 t="str">
        <f t="shared" ref="AD4:AD67" si="0">IF(MIN(F4,J4,N4,R4,V4,Z4)&lt;&gt;0,MIN(F4,J4,N4,R4,V4,Z4),"")</f>
        <v/>
      </c>
      <c r="AE4" s="164" t="str">
        <f t="shared" ref="AE4:AE67" si="1">IF(MIN(H4,L4,P4,T4,X4,AB4)&lt;&gt;0,MIN(H4,L4,P4,T4,X4,AB4),"")</f>
        <v/>
      </c>
      <c r="AF4" s="164"/>
      <c r="AG4" s="163"/>
      <c r="AH4" s="164"/>
      <c r="AI4" s="163"/>
      <c r="AJ4" s="162" t="str">
        <f t="shared" ref="AJ4:AJ67" si="2">IF(AD4="","",IF(ISBLANK(AF4),"En cours",AD4+AF4))</f>
        <v/>
      </c>
      <c r="AK4" s="162" t="str">
        <f t="shared" ref="AK4:AK67" si="3">IF(AE4="","",IF(ISBLANK(AH4),"En cours",AE4+AH4))</f>
        <v/>
      </c>
    </row>
    <row r="5" spans="2:37" ht="21" x14ac:dyDescent="0.3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4" t="str">
        <f t="shared" si="0"/>
        <v/>
      </c>
      <c r="AE5" s="164" t="str">
        <f t="shared" si="1"/>
        <v/>
      </c>
      <c r="AF5" s="164"/>
      <c r="AG5" s="163"/>
      <c r="AH5" s="164"/>
      <c r="AI5" s="163"/>
      <c r="AJ5" s="162" t="str">
        <f t="shared" si="2"/>
        <v/>
      </c>
      <c r="AK5" s="162" t="str">
        <f t="shared" si="3"/>
        <v/>
      </c>
    </row>
    <row r="6" spans="2:37" ht="21" x14ac:dyDescent="0.3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4" t="str">
        <f t="shared" si="0"/>
        <v/>
      </c>
      <c r="AE6" s="164" t="str">
        <f t="shared" si="1"/>
        <v/>
      </c>
      <c r="AF6" s="164"/>
      <c r="AG6" s="163"/>
      <c r="AH6" s="164"/>
      <c r="AI6" s="163"/>
      <c r="AJ6" s="162" t="str">
        <f t="shared" si="2"/>
        <v/>
      </c>
      <c r="AK6" s="162" t="str">
        <f t="shared" si="3"/>
        <v/>
      </c>
    </row>
    <row r="7" spans="2:37" ht="21" x14ac:dyDescent="0.35">
      <c r="B7" s="163"/>
      <c r="C7" s="163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 t="str">
        <f t="shared" si="0"/>
        <v/>
      </c>
      <c r="AE7" s="164" t="str">
        <f t="shared" si="1"/>
        <v/>
      </c>
      <c r="AF7" s="164"/>
      <c r="AG7" s="163"/>
      <c r="AH7" s="164"/>
      <c r="AI7" s="163"/>
      <c r="AJ7" s="162" t="str">
        <f t="shared" si="2"/>
        <v/>
      </c>
      <c r="AK7" s="162" t="str">
        <f t="shared" si="3"/>
        <v/>
      </c>
    </row>
    <row r="8" spans="2:37" ht="21" x14ac:dyDescent="0.35">
      <c r="B8" s="163"/>
      <c r="C8" s="163"/>
      <c r="D8" s="163"/>
      <c r="E8" s="163"/>
      <c r="F8" s="163"/>
      <c r="G8" s="163"/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  <c r="AC8" s="163"/>
      <c r="AD8" s="164" t="str">
        <f t="shared" si="0"/>
        <v/>
      </c>
      <c r="AE8" s="164" t="str">
        <f t="shared" si="1"/>
        <v/>
      </c>
      <c r="AF8" s="164"/>
      <c r="AG8" s="163"/>
      <c r="AH8" s="164"/>
      <c r="AI8" s="163"/>
      <c r="AJ8" s="162" t="str">
        <f t="shared" si="2"/>
        <v/>
      </c>
      <c r="AK8" s="162" t="str">
        <f t="shared" si="3"/>
        <v/>
      </c>
    </row>
    <row r="9" spans="2:37" ht="21" x14ac:dyDescent="0.35">
      <c r="B9" s="163"/>
      <c r="C9" s="163"/>
      <c r="D9" s="163"/>
      <c r="E9" s="163"/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 t="str">
        <f t="shared" si="0"/>
        <v/>
      </c>
      <c r="AE9" s="164" t="str">
        <f t="shared" si="1"/>
        <v/>
      </c>
      <c r="AF9" s="164"/>
      <c r="AG9" s="163"/>
      <c r="AH9" s="164"/>
      <c r="AI9" s="163"/>
      <c r="AJ9" s="162" t="str">
        <f t="shared" si="2"/>
        <v/>
      </c>
      <c r="AK9" s="162" t="str">
        <f t="shared" si="3"/>
        <v/>
      </c>
    </row>
    <row r="10" spans="2:37" ht="21" x14ac:dyDescent="0.35"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 t="str">
        <f t="shared" si="0"/>
        <v/>
      </c>
      <c r="AE10" s="164" t="str">
        <f t="shared" si="1"/>
        <v/>
      </c>
      <c r="AF10" s="164"/>
      <c r="AG10" s="163"/>
      <c r="AH10" s="164"/>
      <c r="AI10" s="163"/>
      <c r="AJ10" s="162" t="str">
        <f t="shared" si="2"/>
        <v/>
      </c>
      <c r="AK10" s="162" t="str">
        <f t="shared" si="3"/>
        <v/>
      </c>
    </row>
    <row r="11" spans="2:37" ht="21" x14ac:dyDescent="0.35"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  <c r="AC11" s="163"/>
      <c r="AD11" s="164" t="str">
        <f t="shared" si="0"/>
        <v/>
      </c>
      <c r="AE11" s="164" t="str">
        <f t="shared" si="1"/>
        <v/>
      </c>
      <c r="AF11" s="164"/>
      <c r="AG11" s="163"/>
      <c r="AH11" s="164"/>
      <c r="AI11" s="163"/>
      <c r="AJ11" s="162" t="str">
        <f t="shared" si="2"/>
        <v/>
      </c>
      <c r="AK11" s="162" t="str">
        <f t="shared" si="3"/>
        <v/>
      </c>
    </row>
    <row r="12" spans="2:37" ht="21" x14ac:dyDescent="0.35">
      <c r="B12" s="163"/>
      <c r="C12" s="163"/>
      <c r="D12" s="163"/>
      <c r="E12" s="163"/>
      <c r="F12" s="163"/>
      <c r="G12" s="163"/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 t="str">
        <f t="shared" si="0"/>
        <v/>
      </c>
      <c r="AE12" s="164" t="str">
        <f t="shared" si="1"/>
        <v/>
      </c>
      <c r="AF12" s="164"/>
      <c r="AG12" s="163"/>
      <c r="AH12" s="164"/>
      <c r="AI12" s="163"/>
      <c r="AJ12" s="162" t="str">
        <f t="shared" si="2"/>
        <v/>
      </c>
      <c r="AK12" s="162" t="str">
        <f t="shared" si="3"/>
        <v/>
      </c>
    </row>
    <row r="13" spans="2:37" ht="21" x14ac:dyDescent="0.35">
      <c r="B13" s="163"/>
      <c r="C13" s="163"/>
      <c r="D13" s="163"/>
      <c r="E13" s="163"/>
      <c r="F13" s="163"/>
      <c r="G13" s="163"/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 t="str">
        <f t="shared" si="0"/>
        <v/>
      </c>
      <c r="AE13" s="164" t="str">
        <f t="shared" si="1"/>
        <v/>
      </c>
      <c r="AF13" s="164"/>
      <c r="AG13" s="163"/>
      <c r="AH13" s="164"/>
      <c r="AI13" s="163"/>
      <c r="AJ13" s="162" t="str">
        <f t="shared" si="2"/>
        <v/>
      </c>
      <c r="AK13" s="162" t="str">
        <f t="shared" si="3"/>
        <v/>
      </c>
    </row>
    <row r="14" spans="2:37" ht="21" x14ac:dyDescent="0.35">
      <c r="B14" s="163"/>
      <c r="C14" s="163"/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 t="str">
        <f t="shared" si="0"/>
        <v/>
      </c>
      <c r="AE14" s="164" t="str">
        <f t="shared" si="1"/>
        <v/>
      </c>
      <c r="AF14" s="164"/>
      <c r="AG14" s="163"/>
      <c r="AH14" s="164"/>
      <c r="AI14" s="163"/>
      <c r="AJ14" s="162" t="str">
        <f t="shared" si="2"/>
        <v/>
      </c>
      <c r="AK14" s="162" t="str">
        <f t="shared" si="3"/>
        <v/>
      </c>
    </row>
    <row r="15" spans="2:37" ht="21" x14ac:dyDescent="0.35">
      <c r="B15" s="163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 t="str">
        <f t="shared" si="0"/>
        <v/>
      </c>
      <c r="AE15" s="164" t="str">
        <f t="shared" si="1"/>
        <v/>
      </c>
      <c r="AF15" s="164"/>
      <c r="AG15" s="163"/>
      <c r="AH15" s="164"/>
      <c r="AI15" s="163"/>
      <c r="AJ15" s="162" t="str">
        <f t="shared" si="2"/>
        <v/>
      </c>
      <c r="AK15" s="162" t="str">
        <f t="shared" si="3"/>
        <v/>
      </c>
    </row>
    <row r="16" spans="2:37" ht="21" x14ac:dyDescent="0.35"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 t="str">
        <f t="shared" si="0"/>
        <v/>
      </c>
      <c r="AE16" s="164" t="str">
        <f t="shared" si="1"/>
        <v/>
      </c>
      <c r="AF16" s="164"/>
      <c r="AG16" s="163"/>
      <c r="AH16" s="164"/>
      <c r="AI16" s="163"/>
      <c r="AJ16" s="162" t="str">
        <f t="shared" si="2"/>
        <v/>
      </c>
      <c r="AK16" s="162" t="str">
        <f t="shared" si="3"/>
        <v/>
      </c>
    </row>
    <row r="17" spans="2:37" ht="21" x14ac:dyDescent="0.35">
      <c r="B17" s="163"/>
      <c r="C17" s="163"/>
      <c r="D17" s="163"/>
      <c r="E17" s="163"/>
      <c r="F17" s="163"/>
      <c r="G17" s="163"/>
      <c r="H17" s="163"/>
      <c r="I17" s="163"/>
      <c r="J17" s="163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 t="str">
        <f t="shared" si="0"/>
        <v/>
      </c>
      <c r="AE17" s="164" t="str">
        <f t="shared" si="1"/>
        <v/>
      </c>
      <c r="AF17" s="164"/>
      <c r="AG17" s="163"/>
      <c r="AH17" s="164"/>
      <c r="AI17" s="163"/>
      <c r="AJ17" s="162" t="str">
        <f t="shared" si="2"/>
        <v/>
      </c>
      <c r="AK17" s="162" t="str">
        <f t="shared" si="3"/>
        <v/>
      </c>
    </row>
    <row r="18" spans="2:37" ht="21" x14ac:dyDescent="0.35">
      <c r="B18" s="163"/>
      <c r="C18" s="163"/>
      <c r="D18" s="163"/>
      <c r="E18" s="163"/>
      <c r="F18" s="163"/>
      <c r="G18" s="163"/>
      <c r="H18" s="163"/>
      <c r="I18" s="163"/>
      <c r="J18" s="163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 t="str">
        <f t="shared" si="0"/>
        <v/>
      </c>
      <c r="AE18" s="164" t="str">
        <f t="shared" si="1"/>
        <v/>
      </c>
      <c r="AF18" s="164"/>
      <c r="AG18" s="163"/>
      <c r="AH18" s="164"/>
      <c r="AI18" s="163"/>
      <c r="AJ18" s="162" t="str">
        <f t="shared" si="2"/>
        <v/>
      </c>
      <c r="AK18" s="162" t="str">
        <f t="shared" si="3"/>
        <v/>
      </c>
    </row>
    <row r="19" spans="2:37" ht="21" x14ac:dyDescent="0.35">
      <c r="B19" s="163"/>
      <c r="C19" s="163"/>
      <c r="D19" s="163"/>
      <c r="E19" s="163"/>
      <c r="F19" s="163"/>
      <c r="G19" s="163"/>
      <c r="H19" s="163"/>
      <c r="I19" s="163"/>
      <c r="J19" s="163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 t="str">
        <f t="shared" si="0"/>
        <v/>
      </c>
      <c r="AE19" s="164" t="str">
        <f t="shared" si="1"/>
        <v/>
      </c>
      <c r="AF19" s="164"/>
      <c r="AG19" s="163"/>
      <c r="AH19" s="164"/>
      <c r="AI19" s="163"/>
      <c r="AJ19" s="162" t="str">
        <f t="shared" si="2"/>
        <v/>
      </c>
      <c r="AK19" s="162" t="str">
        <f t="shared" si="3"/>
        <v/>
      </c>
    </row>
    <row r="20" spans="2:37" ht="21" x14ac:dyDescent="0.35">
      <c r="B20" s="163"/>
      <c r="C20" s="163"/>
      <c r="D20" s="163"/>
      <c r="E20" s="163"/>
      <c r="F20" s="163"/>
      <c r="G20" s="163"/>
      <c r="H20" s="163"/>
      <c r="I20" s="163"/>
      <c r="J20" s="163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 t="str">
        <f t="shared" si="0"/>
        <v/>
      </c>
      <c r="AE20" s="164" t="str">
        <f t="shared" si="1"/>
        <v/>
      </c>
      <c r="AF20" s="164"/>
      <c r="AG20" s="163"/>
      <c r="AH20" s="164"/>
      <c r="AI20" s="163"/>
      <c r="AJ20" s="162" t="str">
        <f t="shared" si="2"/>
        <v/>
      </c>
      <c r="AK20" s="162" t="str">
        <f t="shared" si="3"/>
        <v/>
      </c>
    </row>
    <row r="21" spans="2:37" ht="21" x14ac:dyDescent="0.35">
      <c r="B21" s="163"/>
      <c r="C21" s="163"/>
      <c r="D21" s="163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  <c r="AC21" s="163"/>
      <c r="AD21" s="164" t="str">
        <f t="shared" si="0"/>
        <v/>
      </c>
      <c r="AE21" s="164" t="str">
        <f t="shared" si="1"/>
        <v/>
      </c>
      <c r="AF21" s="164"/>
      <c r="AG21" s="163"/>
      <c r="AH21" s="164"/>
      <c r="AI21" s="163"/>
      <c r="AJ21" s="162" t="str">
        <f t="shared" si="2"/>
        <v/>
      </c>
      <c r="AK21" s="162" t="str">
        <f t="shared" si="3"/>
        <v/>
      </c>
    </row>
    <row r="22" spans="2:37" ht="21" x14ac:dyDescent="0.35">
      <c r="B22" s="163"/>
      <c r="C22" s="163"/>
      <c r="D22" s="163"/>
      <c r="E22" s="163"/>
      <c r="F22" s="163"/>
      <c r="G22" s="163"/>
      <c r="H22" s="163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 t="str">
        <f t="shared" si="0"/>
        <v/>
      </c>
      <c r="AE22" s="164" t="str">
        <f t="shared" si="1"/>
        <v/>
      </c>
      <c r="AF22" s="164"/>
      <c r="AG22" s="163"/>
      <c r="AH22" s="164"/>
      <c r="AI22" s="163"/>
      <c r="AJ22" s="162" t="str">
        <f t="shared" si="2"/>
        <v/>
      </c>
      <c r="AK22" s="162" t="str">
        <f t="shared" si="3"/>
        <v/>
      </c>
    </row>
    <row r="23" spans="2:37" ht="21" x14ac:dyDescent="0.35">
      <c r="B23" s="163"/>
      <c r="C23" s="163"/>
      <c r="D23" s="163"/>
      <c r="E23" s="163"/>
      <c r="F23" s="163"/>
      <c r="G23" s="163"/>
      <c r="H23" s="163"/>
      <c r="I23" s="163"/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 t="str">
        <f t="shared" si="0"/>
        <v/>
      </c>
      <c r="AE23" s="164" t="str">
        <f t="shared" si="1"/>
        <v/>
      </c>
      <c r="AF23" s="164"/>
      <c r="AG23" s="163"/>
      <c r="AH23" s="164"/>
      <c r="AI23" s="163"/>
      <c r="AJ23" s="162" t="str">
        <f t="shared" si="2"/>
        <v/>
      </c>
      <c r="AK23" s="162" t="str">
        <f t="shared" si="3"/>
        <v/>
      </c>
    </row>
    <row r="24" spans="2:37" ht="21" x14ac:dyDescent="0.35">
      <c r="B24" s="163"/>
      <c r="C24" s="163"/>
      <c r="D24" s="163"/>
      <c r="E24" s="163"/>
      <c r="F24" s="163"/>
      <c r="G24" s="163"/>
      <c r="H24" s="163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 t="str">
        <f t="shared" si="0"/>
        <v/>
      </c>
      <c r="AE24" s="164" t="str">
        <f t="shared" si="1"/>
        <v/>
      </c>
      <c r="AF24" s="164"/>
      <c r="AG24" s="163"/>
      <c r="AH24" s="164"/>
      <c r="AI24" s="163"/>
      <c r="AJ24" s="162" t="str">
        <f t="shared" si="2"/>
        <v/>
      </c>
      <c r="AK24" s="162" t="str">
        <f t="shared" si="3"/>
        <v/>
      </c>
    </row>
    <row r="25" spans="2:37" ht="21" x14ac:dyDescent="0.35">
      <c r="B25" s="163"/>
      <c r="C25" s="163"/>
      <c r="D25" s="163"/>
      <c r="E25" s="163"/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  <c r="AC25" s="163"/>
      <c r="AD25" s="164" t="str">
        <f t="shared" si="0"/>
        <v/>
      </c>
      <c r="AE25" s="164" t="str">
        <f t="shared" si="1"/>
        <v/>
      </c>
      <c r="AF25" s="164"/>
      <c r="AG25" s="163"/>
      <c r="AH25" s="164"/>
      <c r="AI25" s="163"/>
      <c r="AJ25" s="162" t="str">
        <f t="shared" si="2"/>
        <v/>
      </c>
      <c r="AK25" s="162" t="str">
        <f t="shared" si="3"/>
        <v/>
      </c>
    </row>
    <row r="26" spans="2:37" ht="21" x14ac:dyDescent="0.35">
      <c r="B26" s="163"/>
      <c r="C26" s="163"/>
      <c r="D26" s="163"/>
      <c r="E26" s="163"/>
      <c r="F26" s="163"/>
      <c r="G26" s="163"/>
      <c r="H26" s="163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  <c r="AC26" s="163"/>
      <c r="AD26" s="164" t="str">
        <f t="shared" si="0"/>
        <v/>
      </c>
      <c r="AE26" s="164" t="str">
        <f t="shared" si="1"/>
        <v/>
      </c>
      <c r="AF26" s="164"/>
      <c r="AG26" s="163"/>
      <c r="AH26" s="164"/>
      <c r="AI26" s="163"/>
      <c r="AJ26" s="162" t="str">
        <f t="shared" si="2"/>
        <v/>
      </c>
      <c r="AK26" s="162" t="str">
        <f t="shared" si="3"/>
        <v/>
      </c>
    </row>
    <row r="27" spans="2:37" ht="21" x14ac:dyDescent="0.35">
      <c r="B27" s="163"/>
      <c r="C27" s="163"/>
      <c r="D27" s="163"/>
      <c r="E27" s="163"/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 t="str">
        <f t="shared" si="0"/>
        <v/>
      </c>
      <c r="AE27" s="164" t="str">
        <f t="shared" si="1"/>
        <v/>
      </c>
      <c r="AF27" s="164"/>
      <c r="AG27" s="163"/>
      <c r="AH27" s="164"/>
      <c r="AI27" s="163"/>
      <c r="AJ27" s="162" t="str">
        <f t="shared" si="2"/>
        <v/>
      </c>
      <c r="AK27" s="162" t="str">
        <f t="shared" si="3"/>
        <v/>
      </c>
    </row>
    <row r="28" spans="2:37" ht="21" x14ac:dyDescent="0.35">
      <c r="B28" s="163"/>
      <c r="C28" s="163"/>
      <c r="D28" s="163"/>
      <c r="E28" s="163"/>
      <c r="F28" s="163"/>
      <c r="G28" s="163"/>
      <c r="H28" s="163"/>
      <c r="I28" s="163"/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  <c r="AC28" s="163"/>
      <c r="AD28" s="164" t="str">
        <f t="shared" si="0"/>
        <v/>
      </c>
      <c r="AE28" s="164" t="str">
        <f t="shared" si="1"/>
        <v/>
      </c>
      <c r="AF28" s="164"/>
      <c r="AG28" s="163"/>
      <c r="AH28" s="164"/>
      <c r="AI28" s="163"/>
      <c r="AJ28" s="162" t="str">
        <f t="shared" si="2"/>
        <v/>
      </c>
      <c r="AK28" s="162" t="str">
        <f t="shared" si="3"/>
        <v/>
      </c>
    </row>
    <row r="29" spans="2:37" ht="21" x14ac:dyDescent="0.35">
      <c r="B29" s="163"/>
      <c r="C29" s="163"/>
      <c r="D29" s="163"/>
      <c r="E29" s="163"/>
      <c r="F29" s="163"/>
      <c r="G29" s="163"/>
      <c r="H29" s="163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  <c r="AC29" s="163"/>
      <c r="AD29" s="164" t="str">
        <f t="shared" si="0"/>
        <v/>
      </c>
      <c r="AE29" s="164" t="str">
        <f t="shared" si="1"/>
        <v/>
      </c>
      <c r="AF29" s="164"/>
      <c r="AG29" s="163"/>
      <c r="AH29" s="164"/>
      <c r="AI29" s="163"/>
      <c r="AJ29" s="162" t="str">
        <f t="shared" si="2"/>
        <v/>
      </c>
      <c r="AK29" s="162" t="str">
        <f t="shared" si="3"/>
        <v/>
      </c>
    </row>
    <row r="30" spans="2:37" ht="21" x14ac:dyDescent="0.35">
      <c r="B30" s="163"/>
      <c r="C30" s="163"/>
      <c r="D30" s="163"/>
      <c r="E30" s="163"/>
      <c r="F30" s="163"/>
      <c r="G30" s="163"/>
      <c r="H30" s="163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  <c r="AC30" s="163"/>
      <c r="AD30" s="164" t="str">
        <f t="shared" si="0"/>
        <v/>
      </c>
      <c r="AE30" s="164" t="str">
        <f t="shared" si="1"/>
        <v/>
      </c>
      <c r="AF30" s="164"/>
      <c r="AG30" s="163"/>
      <c r="AH30" s="164"/>
      <c r="AI30" s="163"/>
      <c r="AJ30" s="162" t="str">
        <f t="shared" si="2"/>
        <v/>
      </c>
      <c r="AK30" s="162" t="str">
        <f t="shared" si="3"/>
        <v/>
      </c>
    </row>
    <row r="31" spans="2:37" ht="21" x14ac:dyDescent="0.35">
      <c r="B31" s="163"/>
      <c r="C31" s="163"/>
      <c r="D31" s="163"/>
      <c r="E31" s="163"/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 t="str">
        <f t="shared" si="0"/>
        <v/>
      </c>
      <c r="AE31" s="164" t="str">
        <f t="shared" si="1"/>
        <v/>
      </c>
      <c r="AF31" s="164"/>
      <c r="AG31" s="163"/>
      <c r="AH31" s="164"/>
      <c r="AI31" s="163"/>
      <c r="AJ31" s="162" t="str">
        <f t="shared" si="2"/>
        <v/>
      </c>
      <c r="AK31" s="162" t="str">
        <f t="shared" si="3"/>
        <v/>
      </c>
    </row>
    <row r="32" spans="2:37" ht="21" x14ac:dyDescent="0.35">
      <c r="B32" s="163"/>
      <c r="C32" s="163"/>
      <c r="D32" s="163"/>
      <c r="E32" s="163"/>
      <c r="F32" s="163"/>
      <c r="G32" s="163"/>
      <c r="H32" s="163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  <c r="AC32" s="163"/>
      <c r="AD32" s="164" t="str">
        <f t="shared" si="0"/>
        <v/>
      </c>
      <c r="AE32" s="164" t="str">
        <f t="shared" si="1"/>
        <v/>
      </c>
      <c r="AF32" s="164"/>
      <c r="AG32" s="163"/>
      <c r="AH32" s="164"/>
      <c r="AI32" s="163"/>
      <c r="AJ32" s="162" t="str">
        <f t="shared" si="2"/>
        <v/>
      </c>
      <c r="AK32" s="162" t="str">
        <f t="shared" si="3"/>
        <v/>
      </c>
    </row>
    <row r="33" spans="2:37" ht="21" x14ac:dyDescent="0.35"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 t="str">
        <f t="shared" si="0"/>
        <v/>
      </c>
      <c r="AE33" s="164" t="str">
        <f t="shared" si="1"/>
        <v/>
      </c>
      <c r="AF33" s="164"/>
      <c r="AG33" s="163"/>
      <c r="AH33" s="164"/>
      <c r="AI33" s="163"/>
      <c r="AJ33" s="162" t="str">
        <f t="shared" si="2"/>
        <v/>
      </c>
      <c r="AK33" s="162" t="str">
        <f t="shared" si="3"/>
        <v/>
      </c>
    </row>
    <row r="34" spans="2:37" ht="21" x14ac:dyDescent="0.35"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 t="str">
        <f t="shared" si="0"/>
        <v/>
      </c>
      <c r="AE34" s="164" t="str">
        <f t="shared" si="1"/>
        <v/>
      </c>
      <c r="AF34" s="164"/>
      <c r="AG34" s="163"/>
      <c r="AH34" s="164"/>
      <c r="AI34" s="163"/>
      <c r="AJ34" s="162" t="str">
        <f t="shared" si="2"/>
        <v/>
      </c>
      <c r="AK34" s="162" t="str">
        <f t="shared" si="3"/>
        <v/>
      </c>
    </row>
    <row r="35" spans="2:37" ht="21" x14ac:dyDescent="0.35"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 t="str">
        <f t="shared" si="0"/>
        <v/>
      </c>
      <c r="AE35" s="164" t="str">
        <f t="shared" si="1"/>
        <v/>
      </c>
      <c r="AF35" s="164"/>
      <c r="AG35" s="163"/>
      <c r="AH35" s="164"/>
      <c r="AI35" s="163"/>
      <c r="AJ35" s="162" t="str">
        <f t="shared" si="2"/>
        <v/>
      </c>
      <c r="AK35" s="162" t="str">
        <f t="shared" si="3"/>
        <v/>
      </c>
    </row>
    <row r="36" spans="2:37" ht="21" x14ac:dyDescent="0.35"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 t="str">
        <f t="shared" si="0"/>
        <v/>
      </c>
      <c r="AE36" s="164" t="str">
        <f t="shared" si="1"/>
        <v/>
      </c>
      <c r="AF36" s="164"/>
      <c r="AG36" s="163"/>
      <c r="AH36" s="164"/>
      <c r="AI36" s="163"/>
      <c r="AJ36" s="162" t="str">
        <f t="shared" si="2"/>
        <v/>
      </c>
      <c r="AK36" s="162" t="str">
        <f t="shared" si="3"/>
        <v/>
      </c>
    </row>
    <row r="37" spans="2:37" ht="21" x14ac:dyDescent="0.35"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 t="str">
        <f t="shared" si="0"/>
        <v/>
      </c>
      <c r="AE37" s="164" t="str">
        <f t="shared" si="1"/>
        <v/>
      </c>
      <c r="AF37" s="164"/>
      <c r="AG37" s="163"/>
      <c r="AH37" s="164"/>
      <c r="AI37" s="163"/>
      <c r="AJ37" s="162" t="str">
        <f t="shared" si="2"/>
        <v/>
      </c>
      <c r="AK37" s="162" t="str">
        <f t="shared" si="3"/>
        <v/>
      </c>
    </row>
    <row r="38" spans="2:37" ht="21" x14ac:dyDescent="0.35"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 t="str">
        <f t="shared" si="0"/>
        <v/>
      </c>
      <c r="AE38" s="164" t="str">
        <f t="shared" si="1"/>
        <v/>
      </c>
      <c r="AF38" s="164"/>
      <c r="AG38" s="163"/>
      <c r="AH38" s="164"/>
      <c r="AI38" s="163"/>
      <c r="AJ38" s="162" t="str">
        <f t="shared" si="2"/>
        <v/>
      </c>
      <c r="AK38" s="162" t="str">
        <f t="shared" si="3"/>
        <v/>
      </c>
    </row>
    <row r="39" spans="2:37" ht="21" x14ac:dyDescent="0.35"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 t="str">
        <f t="shared" si="0"/>
        <v/>
      </c>
      <c r="AE39" s="164" t="str">
        <f t="shared" si="1"/>
        <v/>
      </c>
      <c r="AF39" s="164"/>
      <c r="AG39" s="163"/>
      <c r="AH39" s="164"/>
      <c r="AI39" s="163"/>
      <c r="AJ39" s="162" t="str">
        <f t="shared" si="2"/>
        <v/>
      </c>
      <c r="AK39" s="162" t="str">
        <f t="shared" si="3"/>
        <v/>
      </c>
    </row>
    <row r="40" spans="2:37" ht="21" x14ac:dyDescent="0.35"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 t="str">
        <f t="shared" si="0"/>
        <v/>
      </c>
      <c r="AE40" s="164" t="str">
        <f t="shared" si="1"/>
        <v/>
      </c>
      <c r="AF40" s="164"/>
      <c r="AG40" s="163"/>
      <c r="AH40" s="164"/>
      <c r="AI40" s="163"/>
      <c r="AJ40" s="162" t="str">
        <f t="shared" si="2"/>
        <v/>
      </c>
      <c r="AK40" s="162" t="str">
        <f t="shared" si="3"/>
        <v/>
      </c>
    </row>
    <row r="41" spans="2:37" ht="21" x14ac:dyDescent="0.35"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 t="str">
        <f t="shared" si="0"/>
        <v/>
      </c>
      <c r="AE41" s="164" t="str">
        <f t="shared" si="1"/>
        <v/>
      </c>
      <c r="AF41" s="164"/>
      <c r="AG41" s="163"/>
      <c r="AH41" s="164"/>
      <c r="AI41" s="163"/>
      <c r="AJ41" s="162" t="str">
        <f t="shared" si="2"/>
        <v/>
      </c>
      <c r="AK41" s="162" t="str">
        <f t="shared" si="3"/>
        <v/>
      </c>
    </row>
    <row r="42" spans="2:37" ht="21" x14ac:dyDescent="0.35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 t="str">
        <f t="shared" si="0"/>
        <v/>
      </c>
      <c r="AE42" s="164" t="str">
        <f t="shared" si="1"/>
        <v/>
      </c>
      <c r="AF42" s="164"/>
      <c r="AG42" s="163"/>
      <c r="AH42" s="164"/>
      <c r="AI42" s="163"/>
      <c r="AJ42" s="162" t="str">
        <f t="shared" si="2"/>
        <v/>
      </c>
      <c r="AK42" s="162" t="str">
        <f t="shared" si="3"/>
        <v/>
      </c>
    </row>
    <row r="43" spans="2:37" ht="21" x14ac:dyDescent="0.35"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 t="str">
        <f t="shared" si="0"/>
        <v/>
      </c>
      <c r="AE43" s="164" t="str">
        <f t="shared" si="1"/>
        <v/>
      </c>
      <c r="AF43" s="164"/>
      <c r="AG43" s="163"/>
      <c r="AH43" s="164"/>
      <c r="AI43" s="163"/>
      <c r="AJ43" s="162" t="str">
        <f t="shared" si="2"/>
        <v/>
      </c>
      <c r="AK43" s="162" t="str">
        <f t="shared" si="3"/>
        <v/>
      </c>
    </row>
    <row r="44" spans="2:37" ht="21" x14ac:dyDescent="0.35"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 t="str">
        <f t="shared" si="0"/>
        <v/>
      </c>
      <c r="AE44" s="164" t="str">
        <f t="shared" si="1"/>
        <v/>
      </c>
      <c r="AF44" s="164"/>
      <c r="AG44" s="163"/>
      <c r="AH44" s="164"/>
      <c r="AI44" s="163"/>
      <c r="AJ44" s="162" t="str">
        <f t="shared" si="2"/>
        <v/>
      </c>
      <c r="AK44" s="162" t="str">
        <f t="shared" si="3"/>
        <v/>
      </c>
    </row>
    <row r="45" spans="2:37" ht="21" x14ac:dyDescent="0.35"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 t="str">
        <f t="shared" si="0"/>
        <v/>
      </c>
      <c r="AE45" s="164" t="str">
        <f t="shared" si="1"/>
        <v/>
      </c>
      <c r="AF45" s="164"/>
      <c r="AG45" s="163"/>
      <c r="AH45" s="164"/>
      <c r="AI45" s="163"/>
      <c r="AJ45" s="162" t="str">
        <f t="shared" si="2"/>
        <v/>
      </c>
      <c r="AK45" s="162" t="str">
        <f t="shared" si="3"/>
        <v/>
      </c>
    </row>
    <row r="46" spans="2:37" ht="21" x14ac:dyDescent="0.35"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 t="str">
        <f t="shared" si="0"/>
        <v/>
      </c>
      <c r="AE46" s="164" t="str">
        <f t="shared" si="1"/>
        <v/>
      </c>
      <c r="AF46" s="164"/>
      <c r="AG46" s="163"/>
      <c r="AH46" s="164"/>
      <c r="AI46" s="163"/>
      <c r="AJ46" s="162" t="str">
        <f t="shared" si="2"/>
        <v/>
      </c>
      <c r="AK46" s="162" t="str">
        <f t="shared" si="3"/>
        <v/>
      </c>
    </row>
    <row r="47" spans="2:37" ht="21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 t="str">
        <f t="shared" si="0"/>
        <v/>
      </c>
      <c r="AE47" s="164" t="str">
        <f t="shared" si="1"/>
        <v/>
      </c>
      <c r="AF47" s="164"/>
      <c r="AG47" s="163"/>
      <c r="AH47" s="164"/>
      <c r="AI47" s="163"/>
      <c r="AJ47" s="162" t="str">
        <f t="shared" si="2"/>
        <v/>
      </c>
      <c r="AK47" s="162" t="str">
        <f t="shared" si="3"/>
        <v/>
      </c>
    </row>
    <row r="48" spans="2:37" ht="21" x14ac:dyDescent="0.35"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 t="str">
        <f t="shared" si="0"/>
        <v/>
      </c>
      <c r="AE48" s="164" t="str">
        <f t="shared" si="1"/>
        <v/>
      </c>
      <c r="AF48" s="164"/>
      <c r="AG48" s="163"/>
      <c r="AH48" s="164"/>
      <c r="AI48" s="163"/>
      <c r="AJ48" s="162" t="str">
        <f t="shared" si="2"/>
        <v/>
      </c>
      <c r="AK48" s="162" t="str">
        <f t="shared" si="3"/>
        <v/>
      </c>
    </row>
    <row r="49" spans="2:37" ht="21" x14ac:dyDescent="0.35"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 t="str">
        <f t="shared" si="0"/>
        <v/>
      </c>
      <c r="AE49" s="164" t="str">
        <f t="shared" si="1"/>
        <v/>
      </c>
      <c r="AF49" s="164"/>
      <c r="AG49" s="163"/>
      <c r="AH49" s="164"/>
      <c r="AI49" s="163"/>
      <c r="AJ49" s="162" t="str">
        <f t="shared" si="2"/>
        <v/>
      </c>
      <c r="AK49" s="162" t="str">
        <f t="shared" si="3"/>
        <v/>
      </c>
    </row>
    <row r="50" spans="2:37" ht="21" x14ac:dyDescent="0.35"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 t="str">
        <f t="shared" si="0"/>
        <v/>
      </c>
      <c r="AE50" s="164" t="str">
        <f t="shared" si="1"/>
        <v/>
      </c>
      <c r="AF50" s="164"/>
      <c r="AG50" s="163"/>
      <c r="AH50" s="164"/>
      <c r="AI50" s="163"/>
      <c r="AJ50" s="162" t="str">
        <f t="shared" si="2"/>
        <v/>
      </c>
      <c r="AK50" s="162" t="str">
        <f t="shared" si="3"/>
        <v/>
      </c>
    </row>
    <row r="51" spans="2:37" ht="21" x14ac:dyDescent="0.35"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 t="str">
        <f t="shared" si="0"/>
        <v/>
      </c>
      <c r="AE51" s="164" t="str">
        <f t="shared" si="1"/>
        <v/>
      </c>
      <c r="AF51" s="164"/>
      <c r="AG51" s="163"/>
      <c r="AH51" s="164"/>
      <c r="AI51" s="163"/>
      <c r="AJ51" s="162" t="str">
        <f t="shared" si="2"/>
        <v/>
      </c>
      <c r="AK51" s="162" t="str">
        <f t="shared" si="3"/>
        <v/>
      </c>
    </row>
    <row r="52" spans="2:37" ht="21" x14ac:dyDescent="0.35"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 t="str">
        <f t="shared" si="0"/>
        <v/>
      </c>
      <c r="AE52" s="164" t="str">
        <f t="shared" si="1"/>
        <v/>
      </c>
      <c r="AF52" s="164"/>
      <c r="AG52" s="163"/>
      <c r="AH52" s="164"/>
      <c r="AI52" s="163"/>
      <c r="AJ52" s="162" t="str">
        <f t="shared" si="2"/>
        <v/>
      </c>
      <c r="AK52" s="162" t="str">
        <f t="shared" si="3"/>
        <v/>
      </c>
    </row>
    <row r="53" spans="2:37" ht="21" x14ac:dyDescent="0.35"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 t="str">
        <f t="shared" si="0"/>
        <v/>
      </c>
      <c r="AE53" s="164" t="str">
        <f t="shared" si="1"/>
        <v/>
      </c>
      <c r="AF53" s="164"/>
      <c r="AG53" s="163"/>
      <c r="AH53" s="164"/>
      <c r="AI53" s="163"/>
      <c r="AJ53" s="162" t="str">
        <f t="shared" si="2"/>
        <v/>
      </c>
      <c r="AK53" s="162" t="str">
        <f t="shared" si="3"/>
        <v/>
      </c>
    </row>
    <row r="54" spans="2:37" ht="21" x14ac:dyDescent="0.35"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 t="str">
        <f t="shared" si="0"/>
        <v/>
      </c>
      <c r="AE54" s="164" t="str">
        <f t="shared" si="1"/>
        <v/>
      </c>
      <c r="AF54" s="164"/>
      <c r="AG54" s="163"/>
      <c r="AH54" s="164"/>
      <c r="AI54" s="163"/>
      <c r="AJ54" s="162" t="str">
        <f t="shared" si="2"/>
        <v/>
      </c>
      <c r="AK54" s="162" t="str">
        <f t="shared" si="3"/>
        <v/>
      </c>
    </row>
    <row r="55" spans="2:37" ht="21" x14ac:dyDescent="0.35"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 t="str">
        <f t="shared" si="0"/>
        <v/>
      </c>
      <c r="AE55" s="164" t="str">
        <f t="shared" si="1"/>
        <v/>
      </c>
      <c r="AF55" s="164"/>
      <c r="AG55" s="163"/>
      <c r="AH55" s="164"/>
      <c r="AI55" s="163"/>
      <c r="AJ55" s="162" t="str">
        <f t="shared" si="2"/>
        <v/>
      </c>
      <c r="AK55" s="162" t="str">
        <f t="shared" si="3"/>
        <v/>
      </c>
    </row>
    <row r="56" spans="2:37" ht="21" x14ac:dyDescent="0.35"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 t="str">
        <f t="shared" si="0"/>
        <v/>
      </c>
      <c r="AE56" s="164" t="str">
        <f t="shared" si="1"/>
        <v/>
      </c>
      <c r="AF56" s="164"/>
      <c r="AG56" s="163"/>
      <c r="AH56" s="164"/>
      <c r="AI56" s="163"/>
      <c r="AJ56" s="162" t="str">
        <f t="shared" si="2"/>
        <v/>
      </c>
      <c r="AK56" s="162" t="str">
        <f t="shared" si="3"/>
        <v/>
      </c>
    </row>
    <row r="57" spans="2:37" ht="21" x14ac:dyDescent="0.35"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 t="str">
        <f t="shared" si="0"/>
        <v/>
      </c>
      <c r="AE57" s="164" t="str">
        <f t="shared" si="1"/>
        <v/>
      </c>
      <c r="AF57" s="164"/>
      <c r="AG57" s="163"/>
      <c r="AH57" s="164"/>
      <c r="AI57" s="163"/>
      <c r="AJ57" s="162" t="str">
        <f t="shared" si="2"/>
        <v/>
      </c>
      <c r="AK57" s="162" t="str">
        <f t="shared" si="3"/>
        <v/>
      </c>
    </row>
    <row r="58" spans="2:37" ht="21" x14ac:dyDescent="0.35"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 t="str">
        <f t="shared" si="0"/>
        <v/>
      </c>
      <c r="AE58" s="164" t="str">
        <f t="shared" si="1"/>
        <v/>
      </c>
      <c r="AF58" s="164"/>
      <c r="AG58" s="163"/>
      <c r="AH58" s="164"/>
      <c r="AI58" s="163"/>
      <c r="AJ58" s="162" t="str">
        <f t="shared" si="2"/>
        <v/>
      </c>
      <c r="AK58" s="162" t="str">
        <f t="shared" si="3"/>
        <v/>
      </c>
    </row>
    <row r="59" spans="2:37" ht="21" x14ac:dyDescent="0.35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 t="str">
        <f t="shared" si="0"/>
        <v/>
      </c>
      <c r="AE59" s="164" t="str">
        <f t="shared" si="1"/>
        <v/>
      </c>
      <c r="AF59" s="164"/>
      <c r="AG59" s="163"/>
      <c r="AH59" s="164"/>
      <c r="AI59" s="163"/>
      <c r="AJ59" s="162" t="str">
        <f t="shared" si="2"/>
        <v/>
      </c>
      <c r="AK59" s="162" t="str">
        <f t="shared" si="3"/>
        <v/>
      </c>
    </row>
    <row r="60" spans="2:37" ht="21" x14ac:dyDescent="0.35"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 t="str">
        <f t="shared" si="0"/>
        <v/>
      </c>
      <c r="AE60" s="164" t="str">
        <f t="shared" si="1"/>
        <v/>
      </c>
      <c r="AF60" s="164"/>
      <c r="AG60" s="163"/>
      <c r="AH60" s="164"/>
      <c r="AI60" s="163"/>
      <c r="AJ60" s="162" t="str">
        <f t="shared" si="2"/>
        <v/>
      </c>
      <c r="AK60" s="162" t="str">
        <f t="shared" si="3"/>
        <v/>
      </c>
    </row>
    <row r="61" spans="2:37" ht="21" x14ac:dyDescent="0.35"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 t="str">
        <f t="shared" si="0"/>
        <v/>
      </c>
      <c r="AE61" s="164" t="str">
        <f t="shared" si="1"/>
        <v/>
      </c>
      <c r="AF61" s="164"/>
      <c r="AG61" s="163"/>
      <c r="AH61" s="164"/>
      <c r="AI61" s="163"/>
      <c r="AJ61" s="162" t="str">
        <f t="shared" si="2"/>
        <v/>
      </c>
      <c r="AK61" s="162" t="str">
        <f t="shared" si="3"/>
        <v/>
      </c>
    </row>
    <row r="62" spans="2:37" ht="21" x14ac:dyDescent="0.35"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 t="str">
        <f t="shared" si="0"/>
        <v/>
      </c>
      <c r="AE62" s="164" t="str">
        <f t="shared" si="1"/>
        <v/>
      </c>
      <c r="AF62" s="164"/>
      <c r="AG62" s="163"/>
      <c r="AH62" s="164"/>
      <c r="AI62" s="163"/>
      <c r="AJ62" s="162" t="str">
        <f t="shared" si="2"/>
        <v/>
      </c>
      <c r="AK62" s="162" t="str">
        <f t="shared" si="3"/>
        <v/>
      </c>
    </row>
    <row r="63" spans="2:37" ht="21" x14ac:dyDescent="0.35"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 t="shared" si="0"/>
        <v/>
      </c>
      <c r="AE63" s="164" t="str">
        <f t="shared" si="1"/>
        <v/>
      </c>
      <c r="AF63" s="164"/>
      <c r="AG63" s="163"/>
      <c r="AH63" s="164"/>
      <c r="AI63" s="163"/>
      <c r="AJ63" s="162" t="str">
        <f t="shared" si="2"/>
        <v/>
      </c>
      <c r="AK63" s="162" t="str">
        <f t="shared" si="3"/>
        <v/>
      </c>
    </row>
    <row r="64" spans="2:37" ht="21" x14ac:dyDescent="0.35"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 t="str">
        <f t="shared" si="0"/>
        <v/>
      </c>
      <c r="AE64" s="164" t="str">
        <f t="shared" si="1"/>
        <v/>
      </c>
      <c r="AF64" s="164"/>
      <c r="AG64" s="163"/>
      <c r="AH64" s="164"/>
      <c r="AI64" s="163"/>
      <c r="AJ64" s="162" t="str">
        <f t="shared" si="2"/>
        <v/>
      </c>
      <c r="AK64" s="162" t="str">
        <f t="shared" si="3"/>
        <v/>
      </c>
    </row>
    <row r="65" spans="2:37" ht="21" x14ac:dyDescent="0.35"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 t="str">
        <f t="shared" si="0"/>
        <v/>
      </c>
      <c r="AE65" s="164" t="str">
        <f t="shared" si="1"/>
        <v/>
      </c>
      <c r="AF65" s="164"/>
      <c r="AG65" s="163"/>
      <c r="AH65" s="164"/>
      <c r="AI65" s="163"/>
      <c r="AJ65" s="162" t="str">
        <f t="shared" si="2"/>
        <v/>
      </c>
      <c r="AK65" s="162" t="str">
        <f t="shared" si="3"/>
        <v/>
      </c>
    </row>
    <row r="66" spans="2:37" ht="21" x14ac:dyDescent="0.35"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 t="str">
        <f t="shared" si="0"/>
        <v/>
      </c>
      <c r="AE66" s="164" t="str">
        <f t="shared" si="1"/>
        <v/>
      </c>
      <c r="AF66" s="164"/>
      <c r="AG66" s="163"/>
      <c r="AH66" s="164"/>
      <c r="AI66" s="163"/>
      <c r="AJ66" s="162" t="str">
        <f t="shared" si="2"/>
        <v/>
      </c>
      <c r="AK66" s="162" t="str">
        <f t="shared" si="3"/>
        <v/>
      </c>
    </row>
    <row r="67" spans="2:37" ht="21" x14ac:dyDescent="0.35"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 t="str">
        <f t="shared" si="0"/>
        <v/>
      </c>
      <c r="AE67" s="164" t="str">
        <f t="shared" si="1"/>
        <v/>
      </c>
      <c r="AF67" s="164"/>
      <c r="AG67" s="163"/>
      <c r="AH67" s="164"/>
      <c r="AI67" s="163"/>
      <c r="AJ67" s="162" t="str">
        <f t="shared" si="2"/>
        <v/>
      </c>
      <c r="AK67" s="162" t="str">
        <f t="shared" si="3"/>
        <v/>
      </c>
    </row>
    <row r="68" spans="2:37" ht="21" x14ac:dyDescent="0.35"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 t="str">
        <f t="shared" ref="AD68:AD131" si="4">IF(MIN(F68,J68,N68,R68,V68,Z68)&lt;&gt;0,MIN(F68,J68,N68,R68,V68,Z68),"")</f>
        <v/>
      </c>
      <c r="AE68" s="164" t="str">
        <f t="shared" ref="AE68:AE131" si="5">IF(MIN(H68,L68,P68,T68,X68,AB68)&lt;&gt;0,MIN(H68,L68,P68,T68,X68,AB68),"")</f>
        <v/>
      </c>
      <c r="AF68" s="164"/>
      <c r="AG68" s="163"/>
      <c r="AH68" s="164"/>
      <c r="AI68" s="163"/>
      <c r="AJ68" s="162" t="str">
        <f t="shared" ref="AJ68:AJ131" si="6">IF(AD68="","",IF(ISBLANK(AF68),"En cours",AD68+AF68))</f>
        <v/>
      </c>
      <c r="AK68" s="162" t="str">
        <f t="shared" ref="AK68:AK131" si="7">IF(AE68="","",IF(ISBLANK(AH68),"En cours",AE68+AH68))</f>
        <v/>
      </c>
    </row>
    <row r="69" spans="2:37" ht="21" x14ac:dyDescent="0.35"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 t="str">
        <f t="shared" si="4"/>
        <v/>
      </c>
      <c r="AE69" s="164" t="str">
        <f t="shared" si="5"/>
        <v/>
      </c>
      <c r="AF69" s="164"/>
      <c r="AG69" s="163"/>
      <c r="AH69" s="164"/>
      <c r="AI69" s="163"/>
      <c r="AJ69" s="162" t="str">
        <f t="shared" si="6"/>
        <v/>
      </c>
      <c r="AK69" s="162" t="str">
        <f t="shared" si="7"/>
        <v/>
      </c>
    </row>
    <row r="70" spans="2:37" ht="21" x14ac:dyDescent="0.35"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 t="str">
        <f t="shared" si="4"/>
        <v/>
      </c>
      <c r="AE70" s="164" t="str">
        <f t="shared" si="5"/>
        <v/>
      </c>
      <c r="AF70" s="164"/>
      <c r="AG70" s="163"/>
      <c r="AH70" s="164"/>
      <c r="AI70" s="163"/>
      <c r="AJ70" s="162" t="str">
        <f t="shared" si="6"/>
        <v/>
      </c>
      <c r="AK70" s="162" t="str">
        <f t="shared" si="7"/>
        <v/>
      </c>
    </row>
    <row r="71" spans="2:37" ht="21" x14ac:dyDescent="0.35"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 t="str">
        <f t="shared" si="4"/>
        <v/>
      </c>
      <c r="AE71" s="164" t="str">
        <f t="shared" si="5"/>
        <v/>
      </c>
      <c r="AF71" s="164"/>
      <c r="AG71" s="163"/>
      <c r="AH71" s="164"/>
      <c r="AI71" s="163"/>
      <c r="AJ71" s="162" t="str">
        <f t="shared" si="6"/>
        <v/>
      </c>
      <c r="AK71" s="162" t="str">
        <f t="shared" si="7"/>
        <v/>
      </c>
    </row>
    <row r="72" spans="2:37" ht="21" x14ac:dyDescent="0.35"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 t="str">
        <f t="shared" si="4"/>
        <v/>
      </c>
      <c r="AE72" s="164" t="str">
        <f t="shared" si="5"/>
        <v/>
      </c>
      <c r="AF72" s="164"/>
      <c r="AG72" s="163"/>
      <c r="AH72" s="164"/>
      <c r="AI72" s="163"/>
      <c r="AJ72" s="162" t="str">
        <f t="shared" si="6"/>
        <v/>
      </c>
      <c r="AK72" s="162" t="str">
        <f t="shared" si="7"/>
        <v/>
      </c>
    </row>
    <row r="73" spans="2:37" ht="21" x14ac:dyDescent="0.35"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 t="str">
        <f t="shared" si="4"/>
        <v/>
      </c>
      <c r="AE73" s="164" t="str">
        <f t="shared" si="5"/>
        <v/>
      </c>
      <c r="AF73" s="164"/>
      <c r="AG73" s="163"/>
      <c r="AH73" s="164"/>
      <c r="AI73" s="163"/>
      <c r="AJ73" s="162" t="str">
        <f t="shared" si="6"/>
        <v/>
      </c>
      <c r="AK73" s="162" t="str">
        <f t="shared" si="7"/>
        <v/>
      </c>
    </row>
    <row r="74" spans="2:37" ht="21" x14ac:dyDescent="0.35"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 t="str">
        <f t="shared" si="4"/>
        <v/>
      </c>
      <c r="AE74" s="164" t="str">
        <f t="shared" si="5"/>
        <v/>
      </c>
      <c r="AF74" s="164"/>
      <c r="AG74" s="163"/>
      <c r="AH74" s="164"/>
      <c r="AI74" s="163"/>
      <c r="AJ74" s="162" t="str">
        <f t="shared" si="6"/>
        <v/>
      </c>
      <c r="AK74" s="162" t="str">
        <f t="shared" si="7"/>
        <v/>
      </c>
    </row>
    <row r="75" spans="2:37" ht="21" x14ac:dyDescent="0.35"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 t="shared" si="4"/>
        <v/>
      </c>
      <c r="AE75" s="164" t="str">
        <f t="shared" si="5"/>
        <v/>
      </c>
      <c r="AF75" s="164"/>
      <c r="AG75" s="163"/>
      <c r="AH75" s="164"/>
      <c r="AI75" s="163"/>
      <c r="AJ75" s="162" t="str">
        <f t="shared" si="6"/>
        <v/>
      </c>
      <c r="AK75" s="162" t="str">
        <f t="shared" si="7"/>
        <v/>
      </c>
    </row>
    <row r="76" spans="2:37" ht="21" x14ac:dyDescent="0.35"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 t="str">
        <f t="shared" si="4"/>
        <v/>
      </c>
      <c r="AE76" s="164" t="str">
        <f t="shared" si="5"/>
        <v/>
      </c>
      <c r="AF76" s="164"/>
      <c r="AG76" s="163"/>
      <c r="AH76" s="164"/>
      <c r="AI76" s="163"/>
      <c r="AJ76" s="162" t="str">
        <f t="shared" si="6"/>
        <v/>
      </c>
      <c r="AK76" s="162" t="str">
        <f t="shared" si="7"/>
        <v/>
      </c>
    </row>
    <row r="77" spans="2:37" ht="21" x14ac:dyDescent="0.35"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 t="str">
        <f t="shared" si="4"/>
        <v/>
      </c>
      <c r="AE77" s="164" t="str">
        <f t="shared" si="5"/>
        <v/>
      </c>
      <c r="AF77" s="164"/>
      <c r="AG77" s="163"/>
      <c r="AH77" s="164"/>
      <c r="AI77" s="163"/>
      <c r="AJ77" s="162" t="str">
        <f t="shared" si="6"/>
        <v/>
      </c>
      <c r="AK77" s="162" t="str">
        <f t="shared" si="7"/>
        <v/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 t="shared" si="4"/>
        <v/>
      </c>
      <c r="AE78" s="164" t="str">
        <f t="shared" si="5"/>
        <v/>
      </c>
      <c r="AF78" s="164"/>
      <c r="AG78" s="163"/>
      <c r="AH78" s="164"/>
      <c r="AI78" s="163"/>
      <c r="AJ78" s="162" t="str">
        <f t="shared" si="6"/>
        <v/>
      </c>
      <c r="AK78" s="162" t="str">
        <f t="shared" si="7"/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 t="shared" si="4"/>
        <v/>
      </c>
      <c r="AE79" s="164" t="str">
        <f t="shared" si="5"/>
        <v/>
      </c>
      <c r="AF79" s="164"/>
      <c r="AG79" s="163"/>
      <c r="AH79" s="164"/>
      <c r="AI79" s="163"/>
      <c r="AJ79" s="162" t="str">
        <f t="shared" si="6"/>
        <v/>
      </c>
      <c r="AK79" s="162" t="str">
        <f t="shared" si="7"/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 t="shared" si="4"/>
        <v/>
      </c>
      <c r="AE80" s="164" t="str">
        <f t="shared" si="5"/>
        <v/>
      </c>
      <c r="AF80" s="164"/>
      <c r="AG80" s="163"/>
      <c r="AH80" s="164"/>
      <c r="AI80" s="163"/>
      <c r="AJ80" s="162" t="str">
        <f t="shared" si="6"/>
        <v/>
      </c>
      <c r="AK80" s="162" t="str">
        <f t="shared" si="7"/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 t="shared" si="4"/>
        <v/>
      </c>
      <c r="AE81" s="164" t="str">
        <f t="shared" si="5"/>
        <v/>
      </c>
      <c r="AF81" s="164"/>
      <c r="AG81" s="163"/>
      <c r="AH81" s="164"/>
      <c r="AI81" s="163"/>
      <c r="AJ81" s="162" t="str">
        <f t="shared" si="6"/>
        <v/>
      </c>
      <c r="AK81" s="162" t="str">
        <f t="shared" si="7"/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 t="shared" si="4"/>
        <v/>
      </c>
      <c r="AE82" s="164" t="str">
        <f t="shared" si="5"/>
        <v/>
      </c>
      <c r="AF82" s="164"/>
      <c r="AG82" s="163"/>
      <c r="AH82" s="164"/>
      <c r="AI82" s="163"/>
      <c r="AJ82" s="162" t="str">
        <f t="shared" si="6"/>
        <v/>
      </c>
      <c r="AK82" s="162" t="str">
        <f t="shared" si="7"/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 t="shared" si="4"/>
        <v/>
      </c>
      <c r="AE83" s="164" t="str">
        <f t="shared" si="5"/>
        <v/>
      </c>
      <c r="AF83" s="164"/>
      <c r="AG83" s="163"/>
      <c r="AH83" s="164"/>
      <c r="AI83" s="163"/>
      <c r="AJ83" s="162" t="str">
        <f t="shared" si="6"/>
        <v/>
      </c>
      <c r="AK83" s="162" t="str">
        <f t="shared" si="7"/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 t="shared" si="4"/>
        <v/>
      </c>
      <c r="AE84" s="164" t="str">
        <f t="shared" si="5"/>
        <v/>
      </c>
      <c r="AF84" s="164"/>
      <c r="AG84" s="163"/>
      <c r="AH84" s="164"/>
      <c r="AI84" s="163"/>
      <c r="AJ84" s="162" t="str">
        <f t="shared" si="6"/>
        <v/>
      </c>
      <c r="AK84" s="162" t="str">
        <f t="shared" si="7"/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 t="shared" si="4"/>
        <v/>
      </c>
      <c r="AE85" s="164" t="str">
        <f t="shared" si="5"/>
        <v/>
      </c>
      <c r="AF85" s="164"/>
      <c r="AG85" s="163"/>
      <c r="AH85" s="164"/>
      <c r="AI85" s="163"/>
      <c r="AJ85" s="162" t="str">
        <f t="shared" si="6"/>
        <v/>
      </c>
      <c r="AK85" s="162" t="str">
        <f t="shared" si="7"/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 t="shared" si="4"/>
        <v/>
      </c>
      <c r="AE86" s="164" t="str">
        <f t="shared" si="5"/>
        <v/>
      </c>
      <c r="AF86" s="164"/>
      <c r="AG86" s="163"/>
      <c r="AH86" s="164"/>
      <c r="AI86" s="163"/>
      <c r="AJ86" s="162" t="str">
        <f t="shared" si="6"/>
        <v/>
      </c>
      <c r="AK86" s="162" t="str">
        <f t="shared" si="7"/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 t="shared" si="4"/>
        <v/>
      </c>
      <c r="AE87" s="164" t="str">
        <f t="shared" si="5"/>
        <v/>
      </c>
      <c r="AF87" s="164"/>
      <c r="AG87" s="163"/>
      <c r="AH87" s="164"/>
      <c r="AI87" s="163"/>
      <c r="AJ87" s="162" t="str">
        <f t="shared" si="6"/>
        <v/>
      </c>
      <c r="AK87" s="162" t="str">
        <f t="shared" si="7"/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 t="shared" si="4"/>
        <v/>
      </c>
      <c r="AE88" s="164" t="str">
        <f t="shared" si="5"/>
        <v/>
      </c>
      <c r="AF88" s="164"/>
      <c r="AG88" s="163"/>
      <c r="AH88" s="164"/>
      <c r="AI88" s="163"/>
      <c r="AJ88" s="162" t="str">
        <f t="shared" si="6"/>
        <v/>
      </c>
      <c r="AK88" s="162" t="str">
        <f t="shared" si="7"/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 t="shared" si="4"/>
        <v/>
      </c>
      <c r="AE89" s="164" t="str">
        <f t="shared" si="5"/>
        <v/>
      </c>
      <c r="AF89" s="164"/>
      <c r="AG89" s="163"/>
      <c r="AH89" s="164"/>
      <c r="AI89" s="163"/>
      <c r="AJ89" s="162" t="str">
        <f t="shared" si="6"/>
        <v/>
      </c>
      <c r="AK89" s="162" t="str">
        <f t="shared" si="7"/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 t="shared" si="4"/>
        <v/>
      </c>
      <c r="AE90" s="164" t="str">
        <f t="shared" si="5"/>
        <v/>
      </c>
      <c r="AF90" s="164"/>
      <c r="AG90" s="163"/>
      <c r="AH90" s="164"/>
      <c r="AI90" s="163"/>
      <c r="AJ90" s="162" t="str">
        <f t="shared" si="6"/>
        <v/>
      </c>
      <c r="AK90" s="162" t="str">
        <f t="shared" si="7"/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 t="shared" si="4"/>
        <v/>
      </c>
      <c r="AE91" s="164" t="str">
        <f t="shared" si="5"/>
        <v/>
      </c>
      <c r="AF91" s="164"/>
      <c r="AG91" s="163"/>
      <c r="AH91" s="164"/>
      <c r="AI91" s="163"/>
      <c r="AJ91" s="162" t="str">
        <f t="shared" si="6"/>
        <v/>
      </c>
      <c r="AK91" s="162" t="str">
        <f t="shared" si="7"/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 t="shared" si="4"/>
        <v/>
      </c>
      <c r="AE92" s="164" t="str">
        <f t="shared" si="5"/>
        <v/>
      </c>
      <c r="AF92" s="164"/>
      <c r="AG92" s="163"/>
      <c r="AH92" s="164"/>
      <c r="AI92" s="163"/>
      <c r="AJ92" s="162" t="str">
        <f t="shared" si="6"/>
        <v/>
      </c>
      <c r="AK92" s="162" t="str">
        <f t="shared" si="7"/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 t="shared" si="4"/>
        <v/>
      </c>
      <c r="AE93" s="164" t="str">
        <f t="shared" si="5"/>
        <v/>
      </c>
      <c r="AF93" s="164"/>
      <c r="AG93" s="163"/>
      <c r="AH93" s="164"/>
      <c r="AI93" s="163"/>
      <c r="AJ93" s="162" t="str">
        <f t="shared" si="6"/>
        <v/>
      </c>
      <c r="AK93" s="162" t="str">
        <f t="shared" si="7"/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 t="shared" si="4"/>
        <v/>
      </c>
      <c r="AE94" s="164" t="str">
        <f t="shared" si="5"/>
        <v/>
      </c>
      <c r="AF94" s="164"/>
      <c r="AG94" s="163"/>
      <c r="AH94" s="164"/>
      <c r="AI94" s="163"/>
      <c r="AJ94" s="162" t="str">
        <f t="shared" si="6"/>
        <v/>
      </c>
      <c r="AK94" s="162" t="str">
        <f t="shared" si="7"/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 t="shared" si="4"/>
        <v/>
      </c>
      <c r="AE95" s="164" t="str">
        <f t="shared" si="5"/>
        <v/>
      </c>
      <c r="AF95" s="164"/>
      <c r="AG95" s="163"/>
      <c r="AH95" s="164"/>
      <c r="AI95" s="163"/>
      <c r="AJ95" s="162" t="str">
        <f t="shared" si="6"/>
        <v/>
      </c>
      <c r="AK95" s="162" t="str">
        <f t="shared" si="7"/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 t="shared" si="4"/>
        <v/>
      </c>
      <c r="AE96" s="164" t="str">
        <f t="shared" si="5"/>
        <v/>
      </c>
      <c r="AF96" s="164"/>
      <c r="AG96" s="163"/>
      <c r="AH96" s="164"/>
      <c r="AI96" s="163"/>
      <c r="AJ96" s="162" t="str">
        <f t="shared" si="6"/>
        <v/>
      </c>
      <c r="AK96" s="162" t="str">
        <f t="shared" si="7"/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 t="shared" si="4"/>
        <v/>
      </c>
      <c r="AE97" s="164" t="str">
        <f t="shared" si="5"/>
        <v/>
      </c>
      <c r="AF97" s="164"/>
      <c r="AG97" s="163"/>
      <c r="AH97" s="164"/>
      <c r="AI97" s="163"/>
      <c r="AJ97" s="162" t="str">
        <f t="shared" si="6"/>
        <v/>
      </c>
      <c r="AK97" s="162" t="str">
        <f t="shared" si="7"/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 t="shared" si="4"/>
        <v/>
      </c>
      <c r="AE98" s="164" t="str">
        <f t="shared" si="5"/>
        <v/>
      </c>
      <c r="AF98" s="164"/>
      <c r="AG98" s="163"/>
      <c r="AH98" s="164"/>
      <c r="AI98" s="163"/>
      <c r="AJ98" s="162" t="str">
        <f t="shared" si="6"/>
        <v/>
      </c>
      <c r="AK98" s="162" t="str">
        <f t="shared" si="7"/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 t="shared" si="4"/>
        <v/>
      </c>
      <c r="AE99" s="164" t="str">
        <f t="shared" si="5"/>
        <v/>
      </c>
      <c r="AF99" s="164"/>
      <c r="AG99" s="163"/>
      <c r="AH99" s="164"/>
      <c r="AI99" s="163"/>
      <c r="AJ99" s="162" t="str">
        <f t="shared" si="6"/>
        <v/>
      </c>
      <c r="AK99" s="162" t="str">
        <f t="shared" si="7"/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 t="shared" si="4"/>
        <v/>
      </c>
      <c r="AE100" s="164" t="str">
        <f t="shared" si="5"/>
        <v/>
      </c>
      <c r="AF100" s="164"/>
      <c r="AG100" s="163"/>
      <c r="AH100" s="164"/>
      <c r="AI100" s="163"/>
      <c r="AJ100" s="162" t="str">
        <f t="shared" si="6"/>
        <v/>
      </c>
      <c r="AK100" s="162" t="str">
        <f t="shared" si="7"/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 t="shared" si="4"/>
        <v/>
      </c>
      <c r="AE101" s="164" t="str">
        <f t="shared" si="5"/>
        <v/>
      </c>
      <c r="AF101" s="164"/>
      <c r="AG101" s="163"/>
      <c r="AH101" s="164"/>
      <c r="AI101" s="163"/>
      <c r="AJ101" s="162" t="str">
        <f t="shared" si="6"/>
        <v/>
      </c>
      <c r="AK101" s="162" t="str">
        <f t="shared" si="7"/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 t="shared" si="4"/>
        <v/>
      </c>
      <c r="AE102" s="164" t="str">
        <f t="shared" si="5"/>
        <v/>
      </c>
      <c r="AF102" s="164"/>
      <c r="AG102" s="163"/>
      <c r="AH102" s="164"/>
      <c r="AI102" s="163"/>
      <c r="AJ102" s="162" t="str">
        <f t="shared" si="6"/>
        <v/>
      </c>
      <c r="AK102" s="162" t="str">
        <f t="shared" si="7"/>
        <v/>
      </c>
    </row>
    <row r="103" spans="2:37" ht="2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60" t="str">
        <f t="shared" si="4"/>
        <v/>
      </c>
      <c r="AE103" s="160" t="str">
        <f t="shared" si="5"/>
        <v/>
      </c>
      <c r="AF103" s="160"/>
      <c r="AG103" s="159"/>
      <c r="AH103" s="160"/>
      <c r="AI103" s="159"/>
      <c r="AJ103" s="161" t="str">
        <f t="shared" si="6"/>
        <v/>
      </c>
      <c r="AK103" s="162" t="str">
        <f t="shared" si="7"/>
        <v/>
      </c>
    </row>
    <row r="104" spans="2:37" ht="2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60" t="str">
        <f t="shared" si="4"/>
        <v/>
      </c>
      <c r="AE104" s="160" t="str">
        <f t="shared" si="5"/>
        <v/>
      </c>
      <c r="AF104" s="160"/>
      <c r="AG104" s="159"/>
      <c r="AH104" s="160"/>
      <c r="AI104" s="159"/>
      <c r="AJ104" s="161" t="str">
        <f t="shared" si="6"/>
        <v/>
      </c>
      <c r="AK104" s="162" t="str">
        <f t="shared" si="7"/>
        <v/>
      </c>
    </row>
    <row r="105" spans="2:37" ht="2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60" t="str">
        <f t="shared" si="4"/>
        <v/>
      </c>
      <c r="AE105" s="160" t="str">
        <f t="shared" si="5"/>
        <v/>
      </c>
      <c r="AF105" s="160"/>
      <c r="AG105" s="159"/>
      <c r="AH105" s="160"/>
      <c r="AI105" s="159"/>
      <c r="AJ105" s="161" t="str">
        <f t="shared" si="6"/>
        <v/>
      </c>
      <c r="AK105" s="162" t="str">
        <f t="shared" si="7"/>
        <v/>
      </c>
    </row>
    <row r="106" spans="2:37" ht="2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60" t="str">
        <f t="shared" si="4"/>
        <v/>
      </c>
      <c r="AE106" s="160" t="str">
        <f t="shared" si="5"/>
        <v/>
      </c>
      <c r="AF106" s="160"/>
      <c r="AG106" s="159"/>
      <c r="AH106" s="160"/>
      <c r="AI106" s="159"/>
      <c r="AJ106" s="161" t="str">
        <f t="shared" si="6"/>
        <v/>
      </c>
      <c r="AK106" s="162" t="str">
        <f t="shared" si="7"/>
        <v/>
      </c>
    </row>
    <row r="107" spans="2:37" ht="2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60" t="str">
        <f t="shared" si="4"/>
        <v/>
      </c>
      <c r="AE107" s="160" t="str">
        <f t="shared" si="5"/>
        <v/>
      </c>
      <c r="AF107" s="160"/>
      <c r="AG107" s="159"/>
      <c r="AH107" s="160"/>
      <c r="AI107" s="159"/>
      <c r="AJ107" s="161" t="str">
        <f t="shared" si="6"/>
        <v/>
      </c>
      <c r="AK107" s="162" t="str">
        <f t="shared" si="7"/>
        <v/>
      </c>
    </row>
    <row r="108" spans="2:37" ht="2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60" t="str">
        <f t="shared" si="4"/>
        <v/>
      </c>
      <c r="AE108" s="160" t="str">
        <f t="shared" si="5"/>
        <v/>
      </c>
      <c r="AF108" s="160"/>
      <c r="AG108" s="159"/>
      <c r="AH108" s="160"/>
      <c r="AI108" s="159"/>
      <c r="AJ108" s="161" t="str">
        <f t="shared" si="6"/>
        <v/>
      </c>
      <c r="AK108" s="162" t="str">
        <f t="shared" si="7"/>
        <v/>
      </c>
    </row>
    <row r="109" spans="2:37" ht="2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60" t="str">
        <f t="shared" si="4"/>
        <v/>
      </c>
      <c r="AE109" s="160" t="str">
        <f t="shared" si="5"/>
        <v/>
      </c>
      <c r="AF109" s="160"/>
      <c r="AG109" s="159"/>
      <c r="AH109" s="160"/>
      <c r="AI109" s="159"/>
      <c r="AJ109" s="161" t="str">
        <f t="shared" si="6"/>
        <v/>
      </c>
      <c r="AK109" s="162" t="str">
        <f t="shared" si="7"/>
        <v/>
      </c>
    </row>
    <row r="110" spans="2:37" ht="2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60" t="str">
        <f t="shared" si="4"/>
        <v/>
      </c>
      <c r="AE110" s="160" t="str">
        <f t="shared" si="5"/>
        <v/>
      </c>
      <c r="AF110" s="160"/>
      <c r="AG110" s="159"/>
      <c r="AH110" s="160"/>
      <c r="AI110" s="159"/>
      <c r="AJ110" s="161" t="str">
        <f t="shared" si="6"/>
        <v/>
      </c>
      <c r="AK110" s="162" t="str">
        <f t="shared" si="7"/>
        <v/>
      </c>
    </row>
    <row r="111" spans="2:37" ht="2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60" t="str">
        <f t="shared" si="4"/>
        <v/>
      </c>
      <c r="AE111" s="160" t="str">
        <f t="shared" si="5"/>
        <v/>
      </c>
      <c r="AF111" s="160"/>
      <c r="AG111" s="159"/>
      <c r="AH111" s="160"/>
      <c r="AI111" s="159"/>
      <c r="AJ111" s="161" t="str">
        <f t="shared" si="6"/>
        <v/>
      </c>
      <c r="AK111" s="162" t="str">
        <f t="shared" si="7"/>
        <v/>
      </c>
    </row>
    <row r="112" spans="2:37" ht="2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60" t="str">
        <f t="shared" si="4"/>
        <v/>
      </c>
      <c r="AE112" s="160" t="str">
        <f t="shared" si="5"/>
        <v/>
      </c>
      <c r="AF112" s="160"/>
      <c r="AG112" s="159"/>
      <c r="AH112" s="160"/>
      <c r="AI112" s="159"/>
      <c r="AJ112" s="161" t="str">
        <f t="shared" si="6"/>
        <v/>
      </c>
      <c r="AK112" s="162" t="str">
        <f t="shared" si="7"/>
        <v/>
      </c>
    </row>
    <row r="113" spans="2:37" ht="2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60" t="str">
        <f t="shared" si="4"/>
        <v/>
      </c>
      <c r="AE113" s="160" t="str">
        <f t="shared" si="5"/>
        <v/>
      </c>
      <c r="AF113" s="160"/>
      <c r="AG113" s="159"/>
      <c r="AH113" s="160"/>
      <c r="AI113" s="159"/>
      <c r="AJ113" s="161" t="str">
        <f t="shared" si="6"/>
        <v/>
      </c>
      <c r="AK113" s="162" t="str">
        <f t="shared" si="7"/>
        <v/>
      </c>
    </row>
    <row r="114" spans="2:37" ht="2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60" t="str">
        <f t="shared" si="4"/>
        <v/>
      </c>
      <c r="AE114" s="160" t="str">
        <f t="shared" si="5"/>
        <v/>
      </c>
      <c r="AF114" s="160"/>
      <c r="AG114" s="159"/>
      <c r="AH114" s="160"/>
      <c r="AI114" s="159"/>
      <c r="AJ114" s="161" t="str">
        <f t="shared" si="6"/>
        <v/>
      </c>
      <c r="AK114" s="162" t="str">
        <f t="shared" si="7"/>
        <v/>
      </c>
    </row>
    <row r="115" spans="2:37" ht="2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60" t="str">
        <f t="shared" si="4"/>
        <v/>
      </c>
      <c r="AE115" s="160" t="str">
        <f t="shared" si="5"/>
        <v/>
      </c>
      <c r="AF115" s="160"/>
      <c r="AG115" s="159"/>
      <c r="AH115" s="160"/>
      <c r="AI115" s="159"/>
      <c r="AJ115" s="161" t="str">
        <f t="shared" si="6"/>
        <v/>
      </c>
      <c r="AK115" s="162" t="str">
        <f t="shared" si="7"/>
        <v/>
      </c>
    </row>
    <row r="116" spans="2:37" ht="2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60" t="str">
        <f t="shared" si="4"/>
        <v/>
      </c>
      <c r="AE116" s="160" t="str">
        <f t="shared" si="5"/>
        <v/>
      </c>
      <c r="AF116" s="160"/>
      <c r="AG116" s="159"/>
      <c r="AH116" s="160"/>
      <c r="AI116" s="159"/>
      <c r="AJ116" s="161" t="str">
        <f t="shared" si="6"/>
        <v/>
      </c>
      <c r="AK116" s="162" t="str">
        <f t="shared" si="7"/>
        <v/>
      </c>
    </row>
    <row r="117" spans="2:37" ht="2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60" t="str">
        <f t="shared" si="4"/>
        <v/>
      </c>
      <c r="AE117" s="160" t="str">
        <f t="shared" si="5"/>
        <v/>
      </c>
      <c r="AF117" s="160"/>
      <c r="AG117" s="159"/>
      <c r="AH117" s="160"/>
      <c r="AI117" s="159"/>
      <c r="AJ117" s="161" t="str">
        <f t="shared" si="6"/>
        <v/>
      </c>
      <c r="AK117" s="162" t="str">
        <f t="shared" si="7"/>
        <v/>
      </c>
    </row>
    <row r="118" spans="2:37" ht="2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60" t="str">
        <f t="shared" si="4"/>
        <v/>
      </c>
      <c r="AE118" s="160" t="str">
        <f t="shared" si="5"/>
        <v/>
      </c>
      <c r="AF118" s="160"/>
      <c r="AG118" s="159"/>
      <c r="AH118" s="160"/>
      <c r="AI118" s="159"/>
      <c r="AJ118" s="161" t="str">
        <f t="shared" si="6"/>
        <v/>
      </c>
      <c r="AK118" s="162" t="str">
        <f t="shared" si="7"/>
        <v/>
      </c>
    </row>
    <row r="119" spans="2:37" ht="2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60" t="str">
        <f t="shared" si="4"/>
        <v/>
      </c>
      <c r="AE119" s="160" t="str">
        <f t="shared" si="5"/>
        <v/>
      </c>
      <c r="AF119" s="160"/>
      <c r="AG119" s="159"/>
      <c r="AH119" s="160"/>
      <c r="AI119" s="159"/>
      <c r="AJ119" s="161" t="str">
        <f t="shared" si="6"/>
        <v/>
      </c>
      <c r="AK119" s="162" t="str">
        <f t="shared" si="7"/>
        <v/>
      </c>
    </row>
    <row r="120" spans="2:37" ht="2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60" t="str">
        <f t="shared" si="4"/>
        <v/>
      </c>
      <c r="AE120" s="160" t="str">
        <f t="shared" si="5"/>
        <v/>
      </c>
      <c r="AF120" s="160"/>
      <c r="AG120" s="159"/>
      <c r="AH120" s="160"/>
      <c r="AI120" s="159"/>
      <c r="AJ120" s="161" t="str">
        <f t="shared" si="6"/>
        <v/>
      </c>
      <c r="AK120" s="162" t="str">
        <f t="shared" si="7"/>
        <v/>
      </c>
    </row>
    <row r="121" spans="2:37" ht="2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60" t="str">
        <f t="shared" si="4"/>
        <v/>
      </c>
      <c r="AE121" s="160" t="str">
        <f t="shared" si="5"/>
        <v/>
      </c>
      <c r="AF121" s="160"/>
      <c r="AG121" s="159"/>
      <c r="AH121" s="160"/>
      <c r="AI121" s="159"/>
      <c r="AJ121" s="161" t="str">
        <f t="shared" si="6"/>
        <v/>
      </c>
      <c r="AK121" s="162" t="str">
        <f t="shared" si="7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4"/>
        <v/>
      </c>
      <c r="AE122" s="76" t="str">
        <f t="shared" si="5"/>
        <v/>
      </c>
      <c r="AF122" s="77"/>
      <c r="AG122" s="73"/>
      <c r="AH122" s="77"/>
      <c r="AI122" s="73"/>
      <c r="AJ122" s="78" t="str">
        <f t="shared" si="6"/>
        <v/>
      </c>
      <c r="AK122" s="79" t="str">
        <f t="shared" si="7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4"/>
        <v/>
      </c>
      <c r="AE123" s="76" t="str">
        <f t="shared" si="5"/>
        <v/>
      </c>
      <c r="AF123" s="77"/>
      <c r="AG123" s="73"/>
      <c r="AH123" s="77"/>
      <c r="AI123" s="73"/>
      <c r="AJ123" s="78" t="str">
        <f t="shared" si="6"/>
        <v/>
      </c>
      <c r="AK123" s="79" t="str">
        <f t="shared" si="7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4"/>
        <v/>
      </c>
      <c r="AE124" s="76" t="str">
        <f t="shared" si="5"/>
        <v/>
      </c>
      <c r="AF124" s="77"/>
      <c r="AG124" s="73"/>
      <c r="AH124" s="77"/>
      <c r="AI124" s="73"/>
      <c r="AJ124" s="78" t="str">
        <f t="shared" si="6"/>
        <v/>
      </c>
      <c r="AK124" s="79" t="str">
        <f t="shared" si="7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4"/>
        <v/>
      </c>
      <c r="AE125" s="76" t="str">
        <f t="shared" si="5"/>
        <v/>
      </c>
      <c r="AF125" s="77"/>
      <c r="AG125" s="73"/>
      <c r="AH125" s="77"/>
      <c r="AI125" s="73"/>
      <c r="AJ125" s="78" t="str">
        <f t="shared" si="6"/>
        <v/>
      </c>
      <c r="AK125" s="79" t="str">
        <f t="shared" si="7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4"/>
        <v/>
      </c>
      <c r="AE126" s="76" t="str">
        <f t="shared" si="5"/>
        <v/>
      </c>
      <c r="AF126" s="77"/>
      <c r="AG126" s="73"/>
      <c r="AH126" s="77"/>
      <c r="AI126" s="73"/>
      <c r="AJ126" s="78" t="str">
        <f t="shared" si="6"/>
        <v/>
      </c>
      <c r="AK126" s="79" t="str">
        <f t="shared" si="7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4"/>
        <v/>
      </c>
      <c r="AE127" s="76" t="str">
        <f t="shared" si="5"/>
        <v/>
      </c>
      <c r="AF127" s="77"/>
      <c r="AG127" s="73"/>
      <c r="AH127" s="77"/>
      <c r="AI127" s="73"/>
      <c r="AJ127" s="78" t="str">
        <f t="shared" si="6"/>
        <v/>
      </c>
      <c r="AK127" s="79" t="str">
        <f t="shared" si="7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4"/>
        <v/>
      </c>
      <c r="AE128" s="76" t="str">
        <f t="shared" si="5"/>
        <v/>
      </c>
      <c r="AF128" s="77"/>
      <c r="AG128" s="73"/>
      <c r="AH128" s="77"/>
      <c r="AI128" s="73"/>
      <c r="AJ128" s="78" t="str">
        <f t="shared" si="6"/>
        <v/>
      </c>
      <c r="AK128" s="79" t="str">
        <f t="shared" si="7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4"/>
        <v/>
      </c>
      <c r="AE129" s="76" t="str">
        <f t="shared" si="5"/>
        <v/>
      </c>
      <c r="AF129" s="77"/>
      <c r="AG129" s="73"/>
      <c r="AH129" s="77"/>
      <c r="AI129" s="73"/>
      <c r="AJ129" s="78" t="str">
        <f t="shared" si="6"/>
        <v/>
      </c>
      <c r="AK129" s="79" t="str">
        <f t="shared" si="7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4"/>
        <v/>
      </c>
      <c r="AE130" s="76" t="str">
        <f t="shared" si="5"/>
        <v/>
      </c>
      <c r="AF130" s="77"/>
      <c r="AG130" s="73"/>
      <c r="AH130" s="77"/>
      <c r="AI130" s="73"/>
      <c r="AJ130" s="78" t="str">
        <f t="shared" si="6"/>
        <v/>
      </c>
      <c r="AK130" s="79" t="str">
        <f t="shared" si="7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4"/>
        <v/>
      </c>
      <c r="AE131" s="76" t="str">
        <f t="shared" si="5"/>
        <v/>
      </c>
      <c r="AF131" s="77"/>
      <c r="AG131" s="73"/>
      <c r="AH131" s="77"/>
      <c r="AI131" s="73"/>
      <c r="AJ131" s="78" t="str">
        <f t="shared" si="6"/>
        <v/>
      </c>
      <c r="AK131" s="79" t="str">
        <f t="shared" si="7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8">IF(MIN(F132,J132,N132,R132,V132,Z132)&lt;&gt;0,MIN(F132,J132,N132,R132,V132,Z132),"")</f>
        <v/>
      </c>
      <c r="AE132" s="76" t="str">
        <f t="shared" ref="AE132:AE195" si="9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0">IF(AD132="","",IF(ISBLANK(AF132),"En cours",AD132+AF132))</f>
        <v/>
      </c>
      <c r="AK132" s="79" t="str">
        <f t="shared" ref="AK132:AK195" si="11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8"/>
        <v/>
      </c>
      <c r="AE133" s="76" t="str">
        <f t="shared" si="9"/>
        <v/>
      </c>
      <c r="AF133" s="77"/>
      <c r="AG133" s="73"/>
      <c r="AH133" s="77"/>
      <c r="AI133" s="73"/>
      <c r="AJ133" s="78" t="str">
        <f t="shared" si="10"/>
        <v/>
      </c>
      <c r="AK133" s="79" t="str">
        <f t="shared" si="11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8"/>
        <v/>
      </c>
      <c r="AE134" s="76" t="str">
        <f t="shared" si="9"/>
        <v/>
      </c>
      <c r="AF134" s="77"/>
      <c r="AG134" s="73"/>
      <c r="AH134" s="77"/>
      <c r="AI134" s="73"/>
      <c r="AJ134" s="78" t="str">
        <f t="shared" si="10"/>
        <v/>
      </c>
      <c r="AK134" s="79" t="str">
        <f t="shared" si="11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8"/>
        <v/>
      </c>
      <c r="AE135" s="76" t="str">
        <f t="shared" si="9"/>
        <v/>
      </c>
      <c r="AF135" s="77"/>
      <c r="AG135" s="73"/>
      <c r="AH135" s="77"/>
      <c r="AI135" s="73"/>
      <c r="AJ135" s="78" t="str">
        <f t="shared" si="10"/>
        <v/>
      </c>
      <c r="AK135" s="79" t="str">
        <f t="shared" si="11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8"/>
        <v/>
      </c>
      <c r="AE136" s="76" t="str">
        <f t="shared" si="9"/>
        <v/>
      </c>
      <c r="AF136" s="77"/>
      <c r="AG136" s="73"/>
      <c r="AH136" s="77"/>
      <c r="AI136" s="73"/>
      <c r="AJ136" s="78" t="str">
        <f t="shared" si="10"/>
        <v/>
      </c>
      <c r="AK136" s="79" t="str">
        <f t="shared" si="11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8"/>
        <v/>
      </c>
      <c r="AE137" s="76" t="str">
        <f t="shared" si="9"/>
        <v/>
      </c>
      <c r="AF137" s="77"/>
      <c r="AG137" s="73"/>
      <c r="AH137" s="77"/>
      <c r="AI137" s="73"/>
      <c r="AJ137" s="78" t="str">
        <f t="shared" si="10"/>
        <v/>
      </c>
      <c r="AK137" s="79" t="str">
        <f t="shared" si="11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8"/>
        <v/>
      </c>
      <c r="AE138" s="76" t="str">
        <f t="shared" si="9"/>
        <v/>
      </c>
      <c r="AF138" s="77"/>
      <c r="AG138" s="73"/>
      <c r="AH138" s="77"/>
      <c r="AI138" s="73"/>
      <c r="AJ138" s="78" t="str">
        <f t="shared" si="10"/>
        <v/>
      </c>
      <c r="AK138" s="79" t="str">
        <f t="shared" si="11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8"/>
        <v/>
      </c>
      <c r="AE139" s="76" t="str">
        <f t="shared" si="9"/>
        <v/>
      </c>
      <c r="AF139" s="77"/>
      <c r="AG139" s="73"/>
      <c r="AH139" s="77"/>
      <c r="AI139" s="73"/>
      <c r="AJ139" s="78" t="str">
        <f t="shared" si="10"/>
        <v/>
      </c>
      <c r="AK139" s="79" t="str">
        <f t="shared" si="11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8"/>
        <v/>
      </c>
      <c r="AE140" s="76" t="str">
        <f t="shared" si="9"/>
        <v/>
      </c>
      <c r="AF140" s="77"/>
      <c r="AG140" s="73"/>
      <c r="AH140" s="77"/>
      <c r="AI140" s="73"/>
      <c r="AJ140" s="78" t="str">
        <f t="shared" si="10"/>
        <v/>
      </c>
      <c r="AK140" s="79" t="str">
        <f t="shared" si="11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8"/>
        <v/>
      </c>
      <c r="AE141" s="76" t="str">
        <f t="shared" si="9"/>
        <v/>
      </c>
      <c r="AF141" s="77"/>
      <c r="AG141" s="73"/>
      <c r="AH141" s="77"/>
      <c r="AI141" s="73"/>
      <c r="AJ141" s="78" t="str">
        <f t="shared" si="10"/>
        <v/>
      </c>
      <c r="AK141" s="79" t="str">
        <f t="shared" si="11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8"/>
        <v/>
      </c>
      <c r="AE142" s="76" t="str">
        <f t="shared" si="9"/>
        <v/>
      </c>
      <c r="AF142" s="77"/>
      <c r="AG142" s="73"/>
      <c r="AH142" s="77"/>
      <c r="AI142" s="73"/>
      <c r="AJ142" s="78" t="str">
        <f t="shared" si="10"/>
        <v/>
      </c>
      <c r="AK142" s="79" t="str">
        <f t="shared" si="11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8"/>
        <v/>
      </c>
      <c r="AE143" s="76" t="str">
        <f t="shared" si="9"/>
        <v/>
      </c>
      <c r="AF143" s="77"/>
      <c r="AG143" s="73"/>
      <c r="AH143" s="77"/>
      <c r="AI143" s="73"/>
      <c r="AJ143" s="78" t="str">
        <f t="shared" si="10"/>
        <v/>
      </c>
      <c r="AK143" s="79" t="str">
        <f t="shared" si="11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8"/>
        <v/>
      </c>
      <c r="AE144" s="76" t="str">
        <f t="shared" si="9"/>
        <v/>
      </c>
      <c r="AF144" s="77"/>
      <c r="AG144" s="73"/>
      <c r="AH144" s="77"/>
      <c r="AI144" s="73"/>
      <c r="AJ144" s="78" t="str">
        <f t="shared" si="10"/>
        <v/>
      </c>
      <c r="AK144" s="79" t="str">
        <f t="shared" si="11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8"/>
        <v/>
      </c>
      <c r="AE145" s="76" t="str">
        <f t="shared" si="9"/>
        <v/>
      </c>
      <c r="AF145" s="77"/>
      <c r="AG145" s="73"/>
      <c r="AH145" s="77"/>
      <c r="AI145" s="73"/>
      <c r="AJ145" s="78" t="str">
        <f t="shared" si="10"/>
        <v/>
      </c>
      <c r="AK145" s="79" t="str">
        <f t="shared" si="11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8"/>
        <v/>
      </c>
      <c r="AE146" s="76" t="str">
        <f t="shared" si="9"/>
        <v/>
      </c>
      <c r="AF146" s="77"/>
      <c r="AG146" s="73"/>
      <c r="AH146" s="77"/>
      <c r="AI146" s="73"/>
      <c r="AJ146" s="78" t="str">
        <f t="shared" si="10"/>
        <v/>
      </c>
      <c r="AK146" s="79" t="str">
        <f t="shared" si="11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8"/>
        <v/>
      </c>
      <c r="AE147" s="76" t="str">
        <f t="shared" si="9"/>
        <v/>
      </c>
      <c r="AF147" s="77"/>
      <c r="AG147" s="73"/>
      <c r="AH147" s="77"/>
      <c r="AI147" s="73"/>
      <c r="AJ147" s="78" t="str">
        <f t="shared" si="10"/>
        <v/>
      </c>
      <c r="AK147" s="79" t="str">
        <f t="shared" si="11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8"/>
        <v/>
      </c>
      <c r="AE148" s="76" t="str">
        <f t="shared" si="9"/>
        <v/>
      </c>
      <c r="AF148" s="77"/>
      <c r="AG148" s="73"/>
      <c r="AH148" s="77"/>
      <c r="AI148" s="73"/>
      <c r="AJ148" s="78" t="str">
        <f t="shared" si="10"/>
        <v/>
      </c>
      <c r="AK148" s="79" t="str">
        <f t="shared" si="11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8"/>
        <v/>
      </c>
      <c r="AE149" s="76" t="str">
        <f t="shared" si="9"/>
        <v/>
      </c>
      <c r="AF149" s="77"/>
      <c r="AG149" s="73"/>
      <c r="AH149" s="77"/>
      <c r="AI149" s="73"/>
      <c r="AJ149" s="78" t="str">
        <f t="shared" si="10"/>
        <v/>
      </c>
      <c r="AK149" s="79" t="str">
        <f t="shared" si="11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8"/>
        <v/>
      </c>
      <c r="AE150" s="76" t="str">
        <f t="shared" si="9"/>
        <v/>
      </c>
      <c r="AF150" s="77"/>
      <c r="AG150" s="73"/>
      <c r="AH150" s="77"/>
      <c r="AI150" s="73"/>
      <c r="AJ150" s="78" t="str">
        <f t="shared" si="10"/>
        <v/>
      </c>
      <c r="AK150" s="79" t="str">
        <f t="shared" si="11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8"/>
        <v/>
      </c>
      <c r="AE151" s="76" t="str">
        <f t="shared" si="9"/>
        <v/>
      </c>
      <c r="AF151" s="77"/>
      <c r="AG151" s="73"/>
      <c r="AH151" s="77"/>
      <c r="AI151" s="73"/>
      <c r="AJ151" s="78" t="str">
        <f t="shared" si="10"/>
        <v/>
      </c>
      <c r="AK151" s="79" t="str">
        <f t="shared" si="11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8"/>
        <v/>
      </c>
      <c r="AE152" s="76" t="str">
        <f t="shared" si="9"/>
        <v/>
      </c>
      <c r="AF152" s="77"/>
      <c r="AG152" s="73"/>
      <c r="AH152" s="77"/>
      <c r="AI152" s="73"/>
      <c r="AJ152" s="78" t="str">
        <f t="shared" si="10"/>
        <v/>
      </c>
      <c r="AK152" s="79" t="str">
        <f t="shared" si="11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8"/>
        <v/>
      </c>
      <c r="AE153" s="76" t="str">
        <f t="shared" si="9"/>
        <v/>
      </c>
      <c r="AF153" s="77"/>
      <c r="AG153" s="73"/>
      <c r="AH153" s="77"/>
      <c r="AI153" s="73"/>
      <c r="AJ153" s="78" t="str">
        <f t="shared" si="10"/>
        <v/>
      </c>
      <c r="AK153" s="79" t="str">
        <f t="shared" si="11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8"/>
        <v/>
      </c>
      <c r="AE154" s="76" t="str">
        <f t="shared" si="9"/>
        <v/>
      </c>
      <c r="AF154" s="77"/>
      <c r="AG154" s="73"/>
      <c r="AH154" s="77"/>
      <c r="AI154" s="73"/>
      <c r="AJ154" s="78" t="str">
        <f t="shared" si="10"/>
        <v/>
      </c>
      <c r="AK154" s="79" t="str">
        <f t="shared" si="11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8"/>
        <v/>
      </c>
      <c r="AE155" s="76" t="str">
        <f t="shared" si="9"/>
        <v/>
      </c>
      <c r="AF155" s="77"/>
      <c r="AG155" s="73"/>
      <c r="AH155" s="77"/>
      <c r="AI155" s="73"/>
      <c r="AJ155" s="78" t="str">
        <f t="shared" si="10"/>
        <v/>
      </c>
      <c r="AK155" s="79" t="str">
        <f t="shared" si="11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8"/>
        <v/>
      </c>
      <c r="AE156" s="76" t="str">
        <f t="shared" si="9"/>
        <v/>
      </c>
      <c r="AF156" s="77"/>
      <c r="AG156" s="73"/>
      <c r="AH156" s="77"/>
      <c r="AI156" s="73"/>
      <c r="AJ156" s="78" t="str">
        <f t="shared" si="10"/>
        <v/>
      </c>
      <c r="AK156" s="79" t="str">
        <f t="shared" si="11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8"/>
        <v/>
      </c>
      <c r="AE157" s="76" t="str">
        <f t="shared" si="9"/>
        <v/>
      </c>
      <c r="AF157" s="77"/>
      <c r="AG157" s="73"/>
      <c r="AH157" s="77"/>
      <c r="AI157" s="73"/>
      <c r="AJ157" s="78" t="str">
        <f t="shared" si="10"/>
        <v/>
      </c>
      <c r="AK157" s="79" t="str">
        <f t="shared" si="11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8"/>
        <v/>
      </c>
      <c r="AE158" s="76" t="str">
        <f t="shared" si="9"/>
        <v/>
      </c>
      <c r="AF158" s="77"/>
      <c r="AG158" s="73"/>
      <c r="AH158" s="77"/>
      <c r="AI158" s="73"/>
      <c r="AJ158" s="78" t="str">
        <f t="shared" si="10"/>
        <v/>
      </c>
      <c r="AK158" s="79" t="str">
        <f t="shared" si="11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8"/>
        <v/>
      </c>
      <c r="AE159" s="76" t="str">
        <f t="shared" si="9"/>
        <v/>
      </c>
      <c r="AF159" s="77"/>
      <c r="AG159" s="73"/>
      <c r="AH159" s="77"/>
      <c r="AI159" s="73"/>
      <c r="AJ159" s="78" t="str">
        <f t="shared" si="10"/>
        <v/>
      </c>
      <c r="AK159" s="79" t="str">
        <f t="shared" si="11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8"/>
        <v/>
      </c>
      <c r="AE160" s="76" t="str">
        <f t="shared" si="9"/>
        <v/>
      </c>
      <c r="AF160" s="77"/>
      <c r="AG160" s="73"/>
      <c r="AH160" s="77"/>
      <c r="AI160" s="73"/>
      <c r="AJ160" s="78" t="str">
        <f t="shared" si="10"/>
        <v/>
      </c>
      <c r="AK160" s="79" t="str">
        <f t="shared" si="11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8"/>
        <v/>
      </c>
      <c r="AE161" s="76" t="str">
        <f t="shared" si="9"/>
        <v/>
      </c>
      <c r="AF161" s="77"/>
      <c r="AG161" s="73"/>
      <c r="AH161" s="77"/>
      <c r="AI161" s="73"/>
      <c r="AJ161" s="78" t="str">
        <f t="shared" si="10"/>
        <v/>
      </c>
      <c r="AK161" s="79" t="str">
        <f t="shared" si="11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8"/>
        <v/>
      </c>
      <c r="AE162" s="76" t="str">
        <f t="shared" si="9"/>
        <v/>
      </c>
      <c r="AF162" s="77"/>
      <c r="AG162" s="73"/>
      <c r="AH162" s="77"/>
      <c r="AI162" s="73"/>
      <c r="AJ162" s="78" t="str">
        <f t="shared" si="10"/>
        <v/>
      </c>
      <c r="AK162" s="79" t="str">
        <f t="shared" si="11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8"/>
        <v/>
      </c>
      <c r="AE163" s="76" t="str">
        <f t="shared" si="9"/>
        <v/>
      </c>
      <c r="AF163" s="77"/>
      <c r="AG163" s="73"/>
      <c r="AH163" s="77"/>
      <c r="AI163" s="73"/>
      <c r="AJ163" s="78" t="str">
        <f t="shared" si="10"/>
        <v/>
      </c>
      <c r="AK163" s="79" t="str">
        <f t="shared" si="11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8"/>
        <v/>
      </c>
      <c r="AE164" s="76" t="str">
        <f t="shared" si="9"/>
        <v/>
      </c>
      <c r="AF164" s="77"/>
      <c r="AG164" s="73"/>
      <c r="AH164" s="77"/>
      <c r="AI164" s="73"/>
      <c r="AJ164" s="78" t="str">
        <f t="shared" si="10"/>
        <v/>
      </c>
      <c r="AK164" s="79" t="str">
        <f t="shared" si="11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8"/>
        <v/>
      </c>
      <c r="AE165" s="76" t="str">
        <f t="shared" si="9"/>
        <v/>
      </c>
      <c r="AF165" s="77"/>
      <c r="AG165" s="73"/>
      <c r="AH165" s="77"/>
      <c r="AI165" s="73"/>
      <c r="AJ165" s="78" t="str">
        <f t="shared" si="10"/>
        <v/>
      </c>
      <c r="AK165" s="79" t="str">
        <f t="shared" si="11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8"/>
        <v/>
      </c>
      <c r="AE166" s="76" t="str">
        <f t="shared" si="9"/>
        <v/>
      </c>
      <c r="AF166" s="77"/>
      <c r="AG166" s="73"/>
      <c r="AH166" s="77"/>
      <c r="AI166" s="73"/>
      <c r="AJ166" s="78" t="str">
        <f t="shared" si="10"/>
        <v/>
      </c>
      <c r="AK166" s="79" t="str">
        <f t="shared" si="11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8"/>
        <v/>
      </c>
      <c r="AE167" s="76" t="str">
        <f t="shared" si="9"/>
        <v/>
      </c>
      <c r="AF167" s="77"/>
      <c r="AG167" s="73"/>
      <c r="AH167" s="77"/>
      <c r="AI167" s="73"/>
      <c r="AJ167" s="78" t="str">
        <f t="shared" si="10"/>
        <v/>
      </c>
      <c r="AK167" s="79" t="str">
        <f t="shared" si="11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8"/>
        <v/>
      </c>
      <c r="AE168" s="76" t="str">
        <f t="shared" si="9"/>
        <v/>
      </c>
      <c r="AF168" s="77"/>
      <c r="AG168" s="73"/>
      <c r="AH168" s="77"/>
      <c r="AI168" s="73"/>
      <c r="AJ168" s="78" t="str">
        <f t="shared" si="10"/>
        <v/>
      </c>
      <c r="AK168" s="79" t="str">
        <f t="shared" si="11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8"/>
        <v/>
      </c>
      <c r="AE169" s="76" t="str">
        <f t="shared" si="9"/>
        <v/>
      </c>
      <c r="AF169" s="77"/>
      <c r="AG169" s="73"/>
      <c r="AH169" s="77"/>
      <c r="AI169" s="73"/>
      <c r="AJ169" s="78" t="str">
        <f t="shared" si="10"/>
        <v/>
      </c>
      <c r="AK169" s="79" t="str">
        <f t="shared" si="11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8"/>
        <v/>
      </c>
      <c r="AE170" s="76" t="str">
        <f t="shared" si="9"/>
        <v/>
      </c>
      <c r="AF170" s="77"/>
      <c r="AG170" s="73"/>
      <c r="AH170" s="77"/>
      <c r="AI170" s="73"/>
      <c r="AJ170" s="78" t="str">
        <f t="shared" si="10"/>
        <v/>
      </c>
      <c r="AK170" s="79" t="str">
        <f t="shared" si="11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8"/>
        <v/>
      </c>
      <c r="AE171" s="76" t="str">
        <f t="shared" si="9"/>
        <v/>
      </c>
      <c r="AF171" s="77"/>
      <c r="AG171" s="73"/>
      <c r="AH171" s="77"/>
      <c r="AI171" s="73"/>
      <c r="AJ171" s="78" t="str">
        <f t="shared" si="10"/>
        <v/>
      </c>
      <c r="AK171" s="79" t="str">
        <f t="shared" si="11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8"/>
        <v/>
      </c>
      <c r="AE172" s="76" t="str">
        <f t="shared" si="9"/>
        <v/>
      </c>
      <c r="AF172" s="77"/>
      <c r="AG172" s="73"/>
      <c r="AH172" s="77"/>
      <c r="AI172" s="73"/>
      <c r="AJ172" s="78" t="str">
        <f t="shared" si="10"/>
        <v/>
      </c>
      <c r="AK172" s="79" t="str">
        <f t="shared" si="11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8"/>
        <v/>
      </c>
      <c r="AE173" s="76" t="str">
        <f t="shared" si="9"/>
        <v/>
      </c>
      <c r="AF173" s="77"/>
      <c r="AG173" s="73"/>
      <c r="AH173" s="77"/>
      <c r="AI173" s="73"/>
      <c r="AJ173" s="78" t="str">
        <f t="shared" si="10"/>
        <v/>
      </c>
      <c r="AK173" s="79" t="str">
        <f t="shared" si="11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8"/>
        <v/>
      </c>
      <c r="AE174" s="76" t="str">
        <f t="shared" si="9"/>
        <v/>
      </c>
      <c r="AF174" s="77"/>
      <c r="AG174" s="73"/>
      <c r="AH174" s="77"/>
      <c r="AI174" s="73"/>
      <c r="AJ174" s="78" t="str">
        <f t="shared" si="10"/>
        <v/>
      </c>
      <c r="AK174" s="79" t="str">
        <f t="shared" si="11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8"/>
        <v/>
      </c>
      <c r="AE175" s="76" t="str">
        <f t="shared" si="9"/>
        <v/>
      </c>
      <c r="AF175" s="77"/>
      <c r="AG175" s="73"/>
      <c r="AH175" s="77"/>
      <c r="AI175" s="73"/>
      <c r="AJ175" s="78" t="str">
        <f t="shared" si="10"/>
        <v/>
      </c>
      <c r="AK175" s="79" t="str">
        <f t="shared" si="11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8"/>
        <v/>
      </c>
      <c r="AE176" s="76" t="str">
        <f t="shared" si="9"/>
        <v/>
      </c>
      <c r="AF176" s="77"/>
      <c r="AG176" s="73"/>
      <c r="AH176" s="77"/>
      <c r="AI176" s="73"/>
      <c r="AJ176" s="78" t="str">
        <f t="shared" si="10"/>
        <v/>
      </c>
      <c r="AK176" s="79" t="str">
        <f t="shared" si="11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8"/>
        <v/>
      </c>
      <c r="AE177" s="76" t="str">
        <f t="shared" si="9"/>
        <v/>
      </c>
      <c r="AF177" s="77"/>
      <c r="AG177" s="73"/>
      <c r="AH177" s="77"/>
      <c r="AI177" s="73"/>
      <c r="AJ177" s="78" t="str">
        <f t="shared" si="10"/>
        <v/>
      </c>
      <c r="AK177" s="79" t="str">
        <f t="shared" si="11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8"/>
        <v/>
      </c>
      <c r="AE178" s="76" t="str">
        <f t="shared" si="9"/>
        <v/>
      </c>
      <c r="AF178" s="77"/>
      <c r="AG178" s="73"/>
      <c r="AH178" s="77"/>
      <c r="AI178" s="73"/>
      <c r="AJ178" s="78" t="str">
        <f t="shared" si="10"/>
        <v/>
      </c>
      <c r="AK178" s="79" t="str">
        <f t="shared" si="11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8"/>
        <v/>
      </c>
      <c r="AE179" s="76" t="str">
        <f t="shared" si="9"/>
        <v/>
      </c>
      <c r="AF179" s="77"/>
      <c r="AG179" s="73"/>
      <c r="AH179" s="77"/>
      <c r="AI179" s="73"/>
      <c r="AJ179" s="78" t="str">
        <f t="shared" si="10"/>
        <v/>
      </c>
      <c r="AK179" s="79" t="str">
        <f t="shared" si="11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8"/>
        <v/>
      </c>
      <c r="AE180" s="76" t="str">
        <f t="shared" si="9"/>
        <v/>
      </c>
      <c r="AF180" s="77"/>
      <c r="AG180" s="73"/>
      <c r="AH180" s="77"/>
      <c r="AI180" s="73"/>
      <c r="AJ180" s="78" t="str">
        <f t="shared" si="10"/>
        <v/>
      </c>
      <c r="AK180" s="79" t="str">
        <f t="shared" si="11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8"/>
        <v/>
      </c>
      <c r="AE181" s="76" t="str">
        <f t="shared" si="9"/>
        <v/>
      </c>
      <c r="AF181" s="77"/>
      <c r="AG181" s="73"/>
      <c r="AH181" s="77"/>
      <c r="AI181" s="73"/>
      <c r="AJ181" s="78" t="str">
        <f t="shared" si="10"/>
        <v/>
      </c>
      <c r="AK181" s="79" t="str">
        <f t="shared" si="11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8"/>
        <v/>
      </c>
      <c r="AE182" s="76" t="str">
        <f t="shared" si="9"/>
        <v/>
      </c>
      <c r="AF182" s="77"/>
      <c r="AG182" s="73"/>
      <c r="AH182" s="77"/>
      <c r="AI182" s="73"/>
      <c r="AJ182" s="78" t="str">
        <f t="shared" si="10"/>
        <v/>
      </c>
      <c r="AK182" s="79" t="str">
        <f t="shared" si="11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8"/>
        <v/>
      </c>
      <c r="AE183" s="76" t="str">
        <f t="shared" si="9"/>
        <v/>
      </c>
      <c r="AF183" s="77"/>
      <c r="AG183" s="73"/>
      <c r="AH183" s="77"/>
      <c r="AI183" s="73"/>
      <c r="AJ183" s="78" t="str">
        <f t="shared" si="10"/>
        <v/>
      </c>
      <c r="AK183" s="79" t="str">
        <f t="shared" si="11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8"/>
        <v/>
      </c>
      <c r="AE184" s="76" t="str">
        <f t="shared" si="9"/>
        <v/>
      </c>
      <c r="AF184" s="77"/>
      <c r="AG184" s="73"/>
      <c r="AH184" s="77"/>
      <c r="AI184" s="73"/>
      <c r="AJ184" s="78" t="str">
        <f t="shared" si="10"/>
        <v/>
      </c>
      <c r="AK184" s="79" t="str">
        <f t="shared" si="11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8"/>
        <v/>
      </c>
      <c r="AE185" s="76" t="str">
        <f t="shared" si="9"/>
        <v/>
      </c>
      <c r="AF185" s="77"/>
      <c r="AG185" s="73"/>
      <c r="AH185" s="77"/>
      <c r="AI185" s="73"/>
      <c r="AJ185" s="78" t="str">
        <f t="shared" si="10"/>
        <v/>
      </c>
      <c r="AK185" s="79" t="str">
        <f t="shared" si="11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8"/>
        <v/>
      </c>
      <c r="AE186" s="76" t="str">
        <f t="shared" si="9"/>
        <v/>
      </c>
      <c r="AF186" s="77"/>
      <c r="AG186" s="73"/>
      <c r="AH186" s="77"/>
      <c r="AI186" s="73"/>
      <c r="AJ186" s="78" t="str">
        <f t="shared" si="10"/>
        <v/>
      </c>
      <c r="AK186" s="79" t="str">
        <f t="shared" si="11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8"/>
        <v/>
      </c>
      <c r="AE187" s="76" t="str">
        <f t="shared" si="9"/>
        <v/>
      </c>
      <c r="AF187" s="77"/>
      <c r="AG187" s="73"/>
      <c r="AH187" s="77"/>
      <c r="AI187" s="73"/>
      <c r="AJ187" s="78" t="str">
        <f t="shared" si="10"/>
        <v/>
      </c>
      <c r="AK187" s="79" t="str">
        <f t="shared" si="11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8"/>
        <v/>
      </c>
      <c r="AE188" s="76" t="str">
        <f t="shared" si="9"/>
        <v/>
      </c>
      <c r="AF188" s="77"/>
      <c r="AG188" s="73"/>
      <c r="AH188" s="77"/>
      <c r="AI188" s="73"/>
      <c r="AJ188" s="78" t="str">
        <f t="shared" si="10"/>
        <v/>
      </c>
      <c r="AK188" s="79" t="str">
        <f t="shared" si="11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8"/>
        <v/>
      </c>
      <c r="AE189" s="76" t="str">
        <f t="shared" si="9"/>
        <v/>
      </c>
      <c r="AF189" s="77"/>
      <c r="AG189" s="73"/>
      <c r="AH189" s="77"/>
      <c r="AI189" s="73"/>
      <c r="AJ189" s="78" t="str">
        <f t="shared" si="10"/>
        <v/>
      </c>
      <c r="AK189" s="79" t="str">
        <f t="shared" si="11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8"/>
        <v/>
      </c>
      <c r="AE190" s="76" t="str">
        <f t="shared" si="9"/>
        <v/>
      </c>
      <c r="AF190" s="77"/>
      <c r="AG190" s="73"/>
      <c r="AH190" s="77"/>
      <c r="AI190" s="73"/>
      <c r="AJ190" s="78" t="str">
        <f t="shared" si="10"/>
        <v/>
      </c>
      <c r="AK190" s="79" t="str">
        <f t="shared" si="11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8"/>
        <v/>
      </c>
      <c r="AE191" s="76" t="str">
        <f t="shared" si="9"/>
        <v/>
      </c>
      <c r="AF191" s="77"/>
      <c r="AG191" s="73"/>
      <c r="AH191" s="77"/>
      <c r="AI191" s="73"/>
      <c r="AJ191" s="78" t="str">
        <f t="shared" si="10"/>
        <v/>
      </c>
      <c r="AK191" s="79" t="str">
        <f t="shared" si="11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8"/>
        <v/>
      </c>
      <c r="AE192" s="76" t="str">
        <f t="shared" si="9"/>
        <v/>
      </c>
      <c r="AF192" s="77"/>
      <c r="AG192" s="73"/>
      <c r="AH192" s="77"/>
      <c r="AI192" s="73"/>
      <c r="AJ192" s="78" t="str">
        <f t="shared" si="10"/>
        <v/>
      </c>
      <c r="AK192" s="79" t="str">
        <f t="shared" si="11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8"/>
        <v/>
      </c>
      <c r="AE193" s="76" t="str">
        <f t="shared" si="9"/>
        <v/>
      </c>
      <c r="AF193" s="77"/>
      <c r="AG193" s="73"/>
      <c r="AH193" s="77"/>
      <c r="AI193" s="73"/>
      <c r="AJ193" s="78" t="str">
        <f t="shared" si="10"/>
        <v/>
      </c>
      <c r="AK193" s="79" t="str">
        <f t="shared" si="11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8"/>
        <v/>
      </c>
      <c r="AE194" s="76" t="str">
        <f t="shared" si="9"/>
        <v/>
      </c>
      <c r="AF194" s="77"/>
      <c r="AG194" s="73"/>
      <c r="AH194" s="77"/>
      <c r="AI194" s="73"/>
      <c r="AJ194" s="78" t="str">
        <f t="shared" si="10"/>
        <v/>
      </c>
      <c r="AK194" s="79" t="str">
        <f t="shared" si="11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8"/>
        <v/>
      </c>
      <c r="AE195" s="76" t="str">
        <f t="shared" si="9"/>
        <v/>
      </c>
      <c r="AF195" s="77"/>
      <c r="AG195" s="73"/>
      <c r="AH195" s="77"/>
      <c r="AI195" s="73"/>
      <c r="AJ195" s="78" t="str">
        <f t="shared" si="10"/>
        <v/>
      </c>
      <c r="AK195" s="79" t="str">
        <f t="shared" si="11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2">IF(MIN(F196,J196,N196,R196,V196,Z196)&lt;&gt;0,MIN(F196,J196,N196,R196,V196,Z196),"")</f>
        <v/>
      </c>
      <c r="AE196" s="76" t="str">
        <f t="shared" ref="AE196:AE259" si="13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4">IF(AD196="","",IF(ISBLANK(AF196),"En cours",AD196+AF196))</f>
        <v/>
      </c>
      <c r="AK196" s="79" t="str">
        <f t="shared" ref="AK196:AK259" si="15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2"/>
        <v/>
      </c>
      <c r="AE197" s="76" t="str">
        <f t="shared" si="13"/>
        <v/>
      </c>
      <c r="AF197" s="77"/>
      <c r="AG197" s="73"/>
      <c r="AH197" s="77"/>
      <c r="AI197" s="73"/>
      <c r="AJ197" s="78" t="str">
        <f t="shared" si="14"/>
        <v/>
      </c>
      <c r="AK197" s="79" t="str">
        <f t="shared" si="15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2"/>
        <v/>
      </c>
      <c r="AE198" s="76" t="str">
        <f t="shared" si="13"/>
        <v/>
      </c>
      <c r="AF198" s="77"/>
      <c r="AG198" s="73"/>
      <c r="AH198" s="77"/>
      <c r="AI198" s="73"/>
      <c r="AJ198" s="78" t="str">
        <f t="shared" si="14"/>
        <v/>
      </c>
      <c r="AK198" s="79" t="str">
        <f t="shared" si="15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2"/>
        <v/>
      </c>
      <c r="AE199" s="76" t="str">
        <f t="shared" si="13"/>
        <v/>
      </c>
      <c r="AF199" s="77"/>
      <c r="AG199" s="73"/>
      <c r="AH199" s="77"/>
      <c r="AI199" s="73"/>
      <c r="AJ199" s="78" t="str">
        <f t="shared" si="14"/>
        <v/>
      </c>
      <c r="AK199" s="79" t="str">
        <f t="shared" si="15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2"/>
        <v/>
      </c>
      <c r="AE200" s="76" t="str">
        <f t="shared" si="13"/>
        <v/>
      </c>
      <c r="AF200" s="77"/>
      <c r="AG200" s="73"/>
      <c r="AH200" s="77"/>
      <c r="AI200" s="73"/>
      <c r="AJ200" s="78" t="str">
        <f t="shared" si="14"/>
        <v/>
      </c>
      <c r="AK200" s="79" t="str">
        <f t="shared" si="15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2"/>
        <v/>
      </c>
      <c r="AE201" s="76" t="str">
        <f t="shared" si="13"/>
        <v/>
      </c>
      <c r="AF201" s="77"/>
      <c r="AG201" s="73"/>
      <c r="AH201" s="77"/>
      <c r="AI201" s="73"/>
      <c r="AJ201" s="78" t="str">
        <f t="shared" si="14"/>
        <v/>
      </c>
      <c r="AK201" s="79" t="str">
        <f t="shared" si="15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2"/>
        <v/>
      </c>
      <c r="AE202" s="76" t="str">
        <f t="shared" si="13"/>
        <v/>
      </c>
      <c r="AF202" s="77"/>
      <c r="AG202" s="73"/>
      <c r="AH202" s="77"/>
      <c r="AI202" s="73"/>
      <c r="AJ202" s="78" t="str">
        <f t="shared" si="14"/>
        <v/>
      </c>
      <c r="AK202" s="79" t="str">
        <f t="shared" si="15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2"/>
        <v/>
      </c>
      <c r="AE203" s="76" t="str">
        <f t="shared" si="13"/>
        <v/>
      </c>
      <c r="AF203" s="77"/>
      <c r="AG203" s="73"/>
      <c r="AH203" s="77"/>
      <c r="AI203" s="73"/>
      <c r="AJ203" s="78" t="str">
        <f t="shared" si="14"/>
        <v/>
      </c>
      <c r="AK203" s="79" t="str">
        <f t="shared" si="15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2"/>
        <v/>
      </c>
      <c r="AE204" s="76" t="str">
        <f t="shared" si="13"/>
        <v/>
      </c>
      <c r="AF204" s="77"/>
      <c r="AG204" s="73"/>
      <c r="AH204" s="77"/>
      <c r="AI204" s="73"/>
      <c r="AJ204" s="78" t="str">
        <f t="shared" si="14"/>
        <v/>
      </c>
      <c r="AK204" s="79" t="str">
        <f t="shared" si="15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2"/>
        <v/>
      </c>
      <c r="AE205" s="76" t="str">
        <f t="shared" si="13"/>
        <v/>
      </c>
      <c r="AF205" s="77"/>
      <c r="AG205" s="73"/>
      <c r="AH205" s="77"/>
      <c r="AI205" s="73"/>
      <c r="AJ205" s="78" t="str">
        <f t="shared" si="14"/>
        <v/>
      </c>
      <c r="AK205" s="79" t="str">
        <f t="shared" si="15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2"/>
        <v/>
      </c>
      <c r="AE206" s="76" t="str">
        <f t="shared" si="13"/>
        <v/>
      </c>
      <c r="AF206" s="77"/>
      <c r="AG206" s="73"/>
      <c r="AH206" s="77"/>
      <c r="AI206" s="73"/>
      <c r="AJ206" s="78" t="str">
        <f t="shared" si="14"/>
        <v/>
      </c>
      <c r="AK206" s="79" t="str">
        <f t="shared" si="15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2"/>
        <v/>
      </c>
      <c r="AE207" s="76" t="str">
        <f t="shared" si="13"/>
        <v/>
      </c>
      <c r="AF207" s="77"/>
      <c r="AG207" s="73"/>
      <c r="AH207" s="77"/>
      <c r="AI207" s="73"/>
      <c r="AJ207" s="78" t="str">
        <f t="shared" si="14"/>
        <v/>
      </c>
      <c r="AK207" s="79" t="str">
        <f t="shared" si="15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2"/>
        <v/>
      </c>
      <c r="AE208" s="76" t="str">
        <f t="shared" si="13"/>
        <v/>
      </c>
      <c r="AF208" s="77"/>
      <c r="AG208" s="73"/>
      <c r="AH208" s="77"/>
      <c r="AI208" s="73"/>
      <c r="AJ208" s="78" t="str">
        <f t="shared" si="14"/>
        <v/>
      </c>
      <c r="AK208" s="79" t="str">
        <f t="shared" si="15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2"/>
        <v/>
      </c>
      <c r="AE209" s="76" t="str">
        <f t="shared" si="13"/>
        <v/>
      </c>
      <c r="AF209" s="77"/>
      <c r="AG209" s="73"/>
      <c r="AH209" s="77"/>
      <c r="AI209" s="73"/>
      <c r="AJ209" s="78" t="str">
        <f t="shared" si="14"/>
        <v/>
      </c>
      <c r="AK209" s="79" t="str">
        <f t="shared" si="15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2"/>
        <v/>
      </c>
      <c r="AE210" s="76" t="str">
        <f t="shared" si="13"/>
        <v/>
      </c>
      <c r="AF210" s="77"/>
      <c r="AG210" s="73"/>
      <c r="AH210" s="77"/>
      <c r="AI210" s="73"/>
      <c r="AJ210" s="78" t="str">
        <f t="shared" si="14"/>
        <v/>
      </c>
      <c r="AK210" s="79" t="str">
        <f t="shared" si="15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2"/>
        <v/>
      </c>
      <c r="AE211" s="76" t="str">
        <f t="shared" si="13"/>
        <v/>
      </c>
      <c r="AF211" s="77"/>
      <c r="AG211" s="73"/>
      <c r="AH211" s="77"/>
      <c r="AI211" s="73"/>
      <c r="AJ211" s="78" t="str">
        <f t="shared" si="14"/>
        <v/>
      </c>
      <c r="AK211" s="79" t="str">
        <f t="shared" si="15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2"/>
        <v/>
      </c>
      <c r="AE212" s="76" t="str">
        <f t="shared" si="13"/>
        <v/>
      </c>
      <c r="AF212" s="77"/>
      <c r="AG212" s="73"/>
      <c r="AH212" s="77"/>
      <c r="AI212" s="73"/>
      <c r="AJ212" s="78" t="str">
        <f t="shared" si="14"/>
        <v/>
      </c>
      <c r="AK212" s="79" t="str">
        <f t="shared" si="15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2"/>
        <v/>
      </c>
      <c r="AE213" s="76" t="str">
        <f t="shared" si="13"/>
        <v/>
      </c>
      <c r="AF213" s="77"/>
      <c r="AG213" s="73"/>
      <c r="AH213" s="77"/>
      <c r="AI213" s="73"/>
      <c r="AJ213" s="78" t="str">
        <f t="shared" si="14"/>
        <v/>
      </c>
      <c r="AK213" s="79" t="str">
        <f t="shared" si="15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2"/>
        <v/>
      </c>
      <c r="AE214" s="76" t="str">
        <f t="shared" si="13"/>
        <v/>
      </c>
      <c r="AF214" s="77"/>
      <c r="AG214" s="73"/>
      <c r="AH214" s="77"/>
      <c r="AI214" s="73"/>
      <c r="AJ214" s="78" t="str">
        <f t="shared" si="14"/>
        <v/>
      </c>
      <c r="AK214" s="79" t="str">
        <f t="shared" si="15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2"/>
        <v/>
      </c>
      <c r="AE215" s="76" t="str">
        <f t="shared" si="13"/>
        <v/>
      </c>
      <c r="AF215" s="77"/>
      <c r="AG215" s="73"/>
      <c r="AH215" s="77"/>
      <c r="AI215" s="73"/>
      <c r="AJ215" s="78" t="str">
        <f t="shared" si="14"/>
        <v/>
      </c>
      <c r="AK215" s="79" t="str">
        <f t="shared" si="15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2"/>
        <v/>
      </c>
      <c r="AE216" s="76" t="str">
        <f t="shared" si="13"/>
        <v/>
      </c>
      <c r="AF216" s="77"/>
      <c r="AG216" s="73"/>
      <c r="AH216" s="77"/>
      <c r="AI216" s="73"/>
      <c r="AJ216" s="78" t="str">
        <f t="shared" si="14"/>
        <v/>
      </c>
      <c r="AK216" s="79" t="str">
        <f t="shared" si="15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2"/>
        <v/>
      </c>
      <c r="AE217" s="76" t="str">
        <f t="shared" si="13"/>
        <v/>
      </c>
      <c r="AF217" s="77"/>
      <c r="AG217" s="73"/>
      <c r="AH217" s="77"/>
      <c r="AI217" s="73"/>
      <c r="AJ217" s="78" t="str">
        <f t="shared" si="14"/>
        <v/>
      </c>
      <c r="AK217" s="79" t="str">
        <f t="shared" si="15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2"/>
        <v/>
      </c>
      <c r="AE218" s="76" t="str">
        <f t="shared" si="13"/>
        <v/>
      </c>
      <c r="AF218" s="77"/>
      <c r="AG218" s="73"/>
      <c r="AH218" s="77"/>
      <c r="AI218" s="73"/>
      <c r="AJ218" s="78" t="str">
        <f t="shared" si="14"/>
        <v/>
      </c>
      <c r="AK218" s="79" t="str">
        <f t="shared" si="15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2"/>
        <v/>
      </c>
      <c r="AE219" s="76" t="str">
        <f t="shared" si="13"/>
        <v/>
      </c>
      <c r="AF219" s="77"/>
      <c r="AG219" s="73"/>
      <c r="AH219" s="77"/>
      <c r="AI219" s="73"/>
      <c r="AJ219" s="78" t="str">
        <f t="shared" si="14"/>
        <v/>
      </c>
      <c r="AK219" s="79" t="str">
        <f t="shared" si="15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2"/>
        <v/>
      </c>
      <c r="AE220" s="76" t="str">
        <f t="shared" si="13"/>
        <v/>
      </c>
      <c r="AF220" s="77"/>
      <c r="AG220" s="73"/>
      <c r="AH220" s="77"/>
      <c r="AI220" s="73"/>
      <c r="AJ220" s="78" t="str">
        <f t="shared" si="14"/>
        <v/>
      </c>
      <c r="AK220" s="79" t="str">
        <f t="shared" si="15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2"/>
        <v/>
      </c>
      <c r="AE221" s="76" t="str">
        <f t="shared" si="13"/>
        <v/>
      </c>
      <c r="AF221" s="77"/>
      <c r="AG221" s="73"/>
      <c r="AH221" s="77"/>
      <c r="AI221" s="73"/>
      <c r="AJ221" s="78" t="str">
        <f t="shared" si="14"/>
        <v/>
      </c>
      <c r="AK221" s="79" t="str">
        <f t="shared" si="15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2"/>
        <v/>
      </c>
      <c r="AE222" s="76" t="str">
        <f t="shared" si="13"/>
        <v/>
      </c>
      <c r="AF222" s="77"/>
      <c r="AG222" s="73"/>
      <c r="AH222" s="77"/>
      <c r="AI222" s="73"/>
      <c r="AJ222" s="78" t="str">
        <f t="shared" si="14"/>
        <v/>
      </c>
      <c r="AK222" s="79" t="str">
        <f t="shared" si="15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2"/>
        <v/>
      </c>
      <c r="AE223" s="76" t="str">
        <f t="shared" si="13"/>
        <v/>
      </c>
      <c r="AF223" s="77"/>
      <c r="AG223" s="73"/>
      <c r="AH223" s="77"/>
      <c r="AI223" s="73"/>
      <c r="AJ223" s="78" t="str">
        <f t="shared" si="14"/>
        <v/>
      </c>
      <c r="AK223" s="79" t="str">
        <f t="shared" si="15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2"/>
        <v/>
      </c>
      <c r="AE224" s="76" t="str">
        <f t="shared" si="13"/>
        <v/>
      </c>
      <c r="AF224" s="77"/>
      <c r="AG224" s="73"/>
      <c r="AH224" s="77"/>
      <c r="AI224" s="73"/>
      <c r="AJ224" s="78" t="str">
        <f t="shared" si="14"/>
        <v/>
      </c>
      <c r="AK224" s="79" t="str">
        <f t="shared" si="15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2"/>
        <v/>
      </c>
      <c r="AE225" s="76" t="str">
        <f t="shared" si="13"/>
        <v/>
      </c>
      <c r="AF225" s="77"/>
      <c r="AG225" s="73"/>
      <c r="AH225" s="77"/>
      <c r="AI225" s="73"/>
      <c r="AJ225" s="78" t="str">
        <f t="shared" si="14"/>
        <v/>
      </c>
      <c r="AK225" s="79" t="str">
        <f t="shared" si="15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2"/>
        <v/>
      </c>
      <c r="AE226" s="76" t="str">
        <f t="shared" si="13"/>
        <v/>
      </c>
      <c r="AF226" s="77"/>
      <c r="AG226" s="73"/>
      <c r="AH226" s="77"/>
      <c r="AI226" s="73"/>
      <c r="AJ226" s="78" t="str">
        <f t="shared" si="14"/>
        <v/>
      </c>
      <c r="AK226" s="79" t="str">
        <f t="shared" si="15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2"/>
        <v/>
      </c>
      <c r="AE227" s="76" t="str">
        <f t="shared" si="13"/>
        <v/>
      </c>
      <c r="AF227" s="77"/>
      <c r="AG227" s="73"/>
      <c r="AH227" s="77"/>
      <c r="AI227" s="73"/>
      <c r="AJ227" s="78" t="str">
        <f t="shared" si="14"/>
        <v/>
      </c>
      <c r="AK227" s="79" t="str">
        <f t="shared" si="15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2"/>
        <v/>
      </c>
      <c r="AE228" s="76" t="str">
        <f t="shared" si="13"/>
        <v/>
      </c>
      <c r="AF228" s="77"/>
      <c r="AG228" s="73"/>
      <c r="AH228" s="77"/>
      <c r="AI228" s="73"/>
      <c r="AJ228" s="78" t="str">
        <f t="shared" si="14"/>
        <v/>
      </c>
      <c r="AK228" s="79" t="str">
        <f t="shared" si="15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2"/>
        <v/>
      </c>
      <c r="AE229" s="76" t="str">
        <f t="shared" si="13"/>
        <v/>
      </c>
      <c r="AF229" s="77"/>
      <c r="AG229" s="73"/>
      <c r="AH229" s="77"/>
      <c r="AI229" s="73"/>
      <c r="AJ229" s="78" t="str">
        <f t="shared" si="14"/>
        <v/>
      </c>
      <c r="AK229" s="79" t="str">
        <f t="shared" si="15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2"/>
        <v/>
      </c>
      <c r="AE230" s="76" t="str">
        <f t="shared" si="13"/>
        <v/>
      </c>
      <c r="AF230" s="77"/>
      <c r="AG230" s="73"/>
      <c r="AH230" s="77"/>
      <c r="AI230" s="73"/>
      <c r="AJ230" s="78" t="str">
        <f t="shared" si="14"/>
        <v/>
      </c>
      <c r="AK230" s="79" t="str">
        <f t="shared" si="15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2"/>
        <v/>
      </c>
      <c r="AE231" s="76" t="str">
        <f t="shared" si="13"/>
        <v/>
      </c>
      <c r="AF231" s="77"/>
      <c r="AG231" s="73"/>
      <c r="AH231" s="77"/>
      <c r="AI231" s="73"/>
      <c r="AJ231" s="78" t="str">
        <f t="shared" si="14"/>
        <v/>
      </c>
      <c r="AK231" s="79" t="str">
        <f t="shared" si="15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2"/>
        <v/>
      </c>
      <c r="AE232" s="76" t="str">
        <f t="shared" si="13"/>
        <v/>
      </c>
      <c r="AF232" s="77"/>
      <c r="AG232" s="73"/>
      <c r="AH232" s="77"/>
      <c r="AI232" s="73"/>
      <c r="AJ232" s="78" t="str">
        <f t="shared" si="14"/>
        <v/>
      </c>
      <c r="AK232" s="79" t="str">
        <f t="shared" si="15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2"/>
        <v/>
      </c>
      <c r="AE233" s="76" t="str">
        <f t="shared" si="13"/>
        <v/>
      </c>
      <c r="AF233" s="77"/>
      <c r="AG233" s="73"/>
      <c r="AH233" s="77"/>
      <c r="AI233" s="73"/>
      <c r="AJ233" s="78" t="str">
        <f t="shared" si="14"/>
        <v/>
      </c>
      <c r="AK233" s="79" t="str">
        <f t="shared" si="15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2"/>
        <v/>
      </c>
      <c r="AE234" s="76" t="str">
        <f t="shared" si="13"/>
        <v/>
      </c>
      <c r="AF234" s="77"/>
      <c r="AG234" s="73"/>
      <c r="AH234" s="77"/>
      <c r="AI234" s="73"/>
      <c r="AJ234" s="78" t="str">
        <f t="shared" si="14"/>
        <v/>
      </c>
      <c r="AK234" s="79" t="str">
        <f t="shared" si="15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2"/>
        <v/>
      </c>
      <c r="AE235" s="76" t="str">
        <f t="shared" si="13"/>
        <v/>
      </c>
      <c r="AF235" s="77"/>
      <c r="AG235" s="73"/>
      <c r="AH235" s="77"/>
      <c r="AI235" s="73"/>
      <c r="AJ235" s="78" t="str">
        <f t="shared" si="14"/>
        <v/>
      </c>
      <c r="AK235" s="79" t="str">
        <f t="shared" si="15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2"/>
        <v/>
      </c>
      <c r="AE236" s="76" t="str">
        <f t="shared" si="13"/>
        <v/>
      </c>
      <c r="AF236" s="77"/>
      <c r="AG236" s="73"/>
      <c r="AH236" s="77"/>
      <c r="AI236" s="73"/>
      <c r="AJ236" s="78" t="str">
        <f t="shared" si="14"/>
        <v/>
      </c>
      <c r="AK236" s="79" t="str">
        <f t="shared" si="15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2"/>
        <v/>
      </c>
      <c r="AE237" s="76" t="str">
        <f t="shared" si="13"/>
        <v/>
      </c>
      <c r="AF237" s="77"/>
      <c r="AG237" s="73"/>
      <c r="AH237" s="77"/>
      <c r="AI237" s="73"/>
      <c r="AJ237" s="78" t="str">
        <f t="shared" si="14"/>
        <v/>
      </c>
      <c r="AK237" s="79" t="str">
        <f t="shared" si="15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2"/>
        <v/>
      </c>
      <c r="AE238" s="76" t="str">
        <f t="shared" si="13"/>
        <v/>
      </c>
      <c r="AF238" s="77"/>
      <c r="AG238" s="73"/>
      <c r="AH238" s="77"/>
      <c r="AI238" s="73"/>
      <c r="AJ238" s="78" t="str">
        <f t="shared" si="14"/>
        <v/>
      </c>
      <c r="AK238" s="79" t="str">
        <f t="shared" si="15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2"/>
        <v/>
      </c>
      <c r="AE239" s="76" t="str">
        <f t="shared" si="13"/>
        <v/>
      </c>
      <c r="AF239" s="77"/>
      <c r="AG239" s="73"/>
      <c r="AH239" s="77"/>
      <c r="AI239" s="73"/>
      <c r="AJ239" s="78" t="str">
        <f t="shared" si="14"/>
        <v/>
      </c>
      <c r="AK239" s="79" t="str">
        <f t="shared" si="15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2"/>
        <v/>
      </c>
      <c r="AE240" s="76" t="str">
        <f t="shared" si="13"/>
        <v/>
      </c>
      <c r="AF240" s="77"/>
      <c r="AG240" s="73"/>
      <c r="AH240" s="77"/>
      <c r="AI240" s="73"/>
      <c r="AJ240" s="78" t="str">
        <f t="shared" si="14"/>
        <v/>
      </c>
      <c r="AK240" s="79" t="str">
        <f t="shared" si="15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2"/>
        <v/>
      </c>
      <c r="AE241" s="76" t="str">
        <f t="shared" si="13"/>
        <v/>
      </c>
      <c r="AF241" s="77"/>
      <c r="AG241" s="73"/>
      <c r="AH241" s="77"/>
      <c r="AI241" s="73"/>
      <c r="AJ241" s="78" t="str">
        <f t="shared" si="14"/>
        <v/>
      </c>
      <c r="AK241" s="79" t="str">
        <f t="shared" si="15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2"/>
        <v/>
      </c>
      <c r="AE242" s="76" t="str">
        <f t="shared" si="13"/>
        <v/>
      </c>
      <c r="AF242" s="77"/>
      <c r="AG242" s="73"/>
      <c r="AH242" s="77"/>
      <c r="AI242" s="73"/>
      <c r="AJ242" s="78" t="str">
        <f t="shared" si="14"/>
        <v/>
      </c>
      <c r="AK242" s="79" t="str">
        <f t="shared" si="15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2"/>
        <v/>
      </c>
      <c r="AE243" s="76" t="str">
        <f t="shared" si="13"/>
        <v/>
      </c>
      <c r="AF243" s="77"/>
      <c r="AG243" s="73"/>
      <c r="AH243" s="77"/>
      <c r="AI243" s="73"/>
      <c r="AJ243" s="78" t="str">
        <f t="shared" si="14"/>
        <v/>
      </c>
      <c r="AK243" s="79" t="str">
        <f t="shared" si="15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2"/>
        <v/>
      </c>
      <c r="AE244" s="76" t="str">
        <f t="shared" si="13"/>
        <v/>
      </c>
      <c r="AF244" s="77"/>
      <c r="AG244" s="73"/>
      <c r="AH244" s="77"/>
      <c r="AI244" s="73"/>
      <c r="AJ244" s="78" t="str">
        <f t="shared" si="14"/>
        <v/>
      </c>
      <c r="AK244" s="79" t="str">
        <f t="shared" si="15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2"/>
        <v/>
      </c>
      <c r="AE245" s="76" t="str">
        <f t="shared" si="13"/>
        <v/>
      </c>
      <c r="AF245" s="77"/>
      <c r="AG245" s="73"/>
      <c r="AH245" s="77"/>
      <c r="AI245" s="73"/>
      <c r="AJ245" s="78" t="str">
        <f t="shared" si="14"/>
        <v/>
      </c>
      <c r="AK245" s="79" t="str">
        <f t="shared" si="15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2"/>
        <v/>
      </c>
      <c r="AE246" s="76" t="str">
        <f t="shared" si="13"/>
        <v/>
      </c>
      <c r="AF246" s="77"/>
      <c r="AG246" s="73"/>
      <c r="AH246" s="77"/>
      <c r="AI246" s="73"/>
      <c r="AJ246" s="78" t="str">
        <f t="shared" si="14"/>
        <v/>
      </c>
      <c r="AK246" s="79" t="str">
        <f t="shared" si="15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2"/>
        <v/>
      </c>
      <c r="AE247" s="76" t="str">
        <f t="shared" si="13"/>
        <v/>
      </c>
      <c r="AF247" s="77"/>
      <c r="AG247" s="73"/>
      <c r="AH247" s="77"/>
      <c r="AI247" s="73"/>
      <c r="AJ247" s="78" t="str">
        <f t="shared" si="14"/>
        <v/>
      </c>
      <c r="AK247" s="79" t="str">
        <f t="shared" si="15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2"/>
        <v/>
      </c>
      <c r="AE248" s="76" t="str">
        <f t="shared" si="13"/>
        <v/>
      </c>
      <c r="AF248" s="77"/>
      <c r="AG248" s="73"/>
      <c r="AH248" s="77"/>
      <c r="AI248" s="73"/>
      <c r="AJ248" s="78" t="str">
        <f t="shared" si="14"/>
        <v/>
      </c>
      <c r="AK248" s="79" t="str">
        <f t="shared" si="15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2"/>
        <v/>
      </c>
      <c r="AE249" s="76" t="str">
        <f t="shared" si="13"/>
        <v/>
      </c>
      <c r="AF249" s="77"/>
      <c r="AG249" s="73"/>
      <c r="AH249" s="77"/>
      <c r="AI249" s="73"/>
      <c r="AJ249" s="78" t="str">
        <f t="shared" si="14"/>
        <v/>
      </c>
      <c r="AK249" s="79" t="str">
        <f t="shared" si="15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2"/>
        <v/>
      </c>
      <c r="AE250" s="76" t="str">
        <f t="shared" si="13"/>
        <v/>
      </c>
      <c r="AF250" s="77"/>
      <c r="AG250" s="73"/>
      <c r="AH250" s="77"/>
      <c r="AI250" s="73"/>
      <c r="AJ250" s="78" t="str">
        <f t="shared" si="14"/>
        <v/>
      </c>
      <c r="AK250" s="79" t="str">
        <f t="shared" si="15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2"/>
        <v/>
      </c>
      <c r="AE251" s="76" t="str">
        <f t="shared" si="13"/>
        <v/>
      </c>
      <c r="AF251" s="77"/>
      <c r="AG251" s="73"/>
      <c r="AH251" s="77"/>
      <c r="AI251" s="73"/>
      <c r="AJ251" s="78" t="str">
        <f t="shared" si="14"/>
        <v/>
      </c>
      <c r="AK251" s="79" t="str">
        <f t="shared" si="15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2"/>
        <v/>
      </c>
      <c r="AE252" s="76" t="str">
        <f t="shared" si="13"/>
        <v/>
      </c>
      <c r="AF252" s="77"/>
      <c r="AG252" s="73"/>
      <c r="AH252" s="77"/>
      <c r="AI252" s="73"/>
      <c r="AJ252" s="78" t="str">
        <f t="shared" si="14"/>
        <v/>
      </c>
      <c r="AK252" s="79" t="str">
        <f t="shared" si="15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2"/>
        <v/>
      </c>
      <c r="AE253" s="76" t="str">
        <f t="shared" si="13"/>
        <v/>
      </c>
      <c r="AF253" s="77"/>
      <c r="AG253" s="73"/>
      <c r="AH253" s="77"/>
      <c r="AI253" s="73"/>
      <c r="AJ253" s="78" t="str">
        <f t="shared" si="14"/>
        <v/>
      </c>
      <c r="AK253" s="79" t="str">
        <f t="shared" si="15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2"/>
        <v/>
      </c>
      <c r="AE254" s="76" t="str">
        <f t="shared" si="13"/>
        <v/>
      </c>
      <c r="AF254" s="77"/>
      <c r="AG254" s="73"/>
      <c r="AH254" s="77"/>
      <c r="AI254" s="73"/>
      <c r="AJ254" s="78" t="str">
        <f t="shared" si="14"/>
        <v/>
      </c>
      <c r="AK254" s="79" t="str">
        <f t="shared" si="15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2"/>
        <v/>
      </c>
      <c r="AE255" s="76" t="str">
        <f t="shared" si="13"/>
        <v/>
      </c>
      <c r="AF255" s="77"/>
      <c r="AG255" s="73"/>
      <c r="AH255" s="77"/>
      <c r="AI255" s="73"/>
      <c r="AJ255" s="78" t="str">
        <f t="shared" si="14"/>
        <v/>
      </c>
      <c r="AK255" s="79" t="str">
        <f t="shared" si="15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2"/>
        <v/>
      </c>
      <c r="AE256" s="76" t="str">
        <f t="shared" si="13"/>
        <v/>
      </c>
      <c r="AF256" s="77"/>
      <c r="AG256" s="73"/>
      <c r="AH256" s="77"/>
      <c r="AI256" s="73"/>
      <c r="AJ256" s="78" t="str">
        <f t="shared" si="14"/>
        <v/>
      </c>
      <c r="AK256" s="79" t="str">
        <f t="shared" si="15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2"/>
        <v/>
      </c>
      <c r="AE257" s="76" t="str">
        <f t="shared" si="13"/>
        <v/>
      </c>
      <c r="AF257" s="77"/>
      <c r="AG257" s="73"/>
      <c r="AH257" s="77"/>
      <c r="AI257" s="73"/>
      <c r="AJ257" s="78" t="str">
        <f t="shared" si="14"/>
        <v/>
      </c>
      <c r="AK257" s="79" t="str">
        <f t="shared" si="15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2"/>
        <v/>
      </c>
      <c r="AE258" s="76" t="str">
        <f t="shared" si="13"/>
        <v/>
      </c>
      <c r="AF258" s="77"/>
      <c r="AG258" s="73"/>
      <c r="AH258" s="77"/>
      <c r="AI258" s="73"/>
      <c r="AJ258" s="78" t="str">
        <f t="shared" si="14"/>
        <v/>
      </c>
      <c r="AK258" s="79" t="str">
        <f t="shared" si="15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2"/>
        <v/>
      </c>
      <c r="AE259" s="76" t="str">
        <f t="shared" si="13"/>
        <v/>
      </c>
      <c r="AF259" s="77"/>
      <c r="AG259" s="73"/>
      <c r="AH259" s="77"/>
      <c r="AI259" s="73"/>
      <c r="AJ259" s="78" t="str">
        <f t="shared" si="14"/>
        <v/>
      </c>
      <c r="AK259" s="79" t="str">
        <f t="shared" si="15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16">IF(MIN(F260,J260,N260,R260,V260,Z260)&lt;&gt;0,MIN(F260,J260,N260,R260,V260,Z260),"")</f>
        <v/>
      </c>
      <c r="AE260" s="76" t="str">
        <f t="shared" ref="AE260:AE323" si="17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18">IF(AD260="","",IF(ISBLANK(AF260),"En cours",AD260+AF260))</f>
        <v/>
      </c>
      <c r="AK260" s="79" t="str">
        <f t="shared" ref="AK260:AK323" si="19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16"/>
        <v/>
      </c>
      <c r="AE261" s="76" t="str">
        <f t="shared" si="17"/>
        <v/>
      </c>
      <c r="AF261" s="77"/>
      <c r="AG261" s="73"/>
      <c r="AH261" s="77"/>
      <c r="AI261" s="73"/>
      <c r="AJ261" s="78" t="str">
        <f t="shared" si="18"/>
        <v/>
      </c>
      <c r="AK261" s="79" t="str">
        <f t="shared" si="19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16"/>
        <v/>
      </c>
      <c r="AE262" s="76" t="str">
        <f t="shared" si="17"/>
        <v/>
      </c>
      <c r="AF262" s="77"/>
      <c r="AG262" s="73"/>
      <c r="AH262" s="77"/>
      <c r="AI262" s="73"/>
      <c r="AJ262" s="78" t="str">
        <f t="shared" si="18"/>
        <v/>
      </c>
      <c r="AK262" s="79" t="str">
        <f t="shared" si="19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16"/>
        <v/>
      </c>
      <c r="AE263" s="76" t="str">
        <f t="shared" si="17"/>
        <v/>
      </c>
      <c r="AF263" s="77"/>
      <c r="AG263" s="73"/>
      <c r="AH263" s="77"/>
      <c r="AI263" s="73"/>
      <c r="AJ263" s="78" t="str">
        <f t="shared" si="18"/>
        <v/>
      </c>
      <c r="AK263" s="79" t="str">
        <f t="shared" si="19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16"/>
        <v/>
      </c>
      <c r="AE264" s="76" t="str">
        <f t="shared" si="17"/>
        <v/>
      </c>
      <c r="AF264" s="77"/>
      <c r="AG264" s="73"/>
      <c r="AH264" s="77"/>
      <c r="AI264" s="73"/>
      <c r="AJ264" s="78" t="str">
        <f t="shared" si="18"/>
        <v/>
      </c>
      <c r="AK264" s="79" t="str">
        <f t="shared" si="19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16"/>
        <v/>
      </c>
      <c r="AE265" s="76" t="str">
        <f t="shared" si="17"/>
        <v/>
      </c>
      <c r="AF265" s="77"/>
      <c r="AG265" s="73"/>
      <c r="AH265" s="77"/>
      <c r="AI265" s="73"/>
      <c r="AJ265" s="78" t="str">
        <f t="shared" si="18"/>
        <v/>
      </c>
      <c r="AK265" s="79" t="str">
        <f t="shared" si="19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16"/>
        <v/>
      </c>
      <c r="AE266" s="76" t="str">
        <f t="shared" si="17"/>
        <v/>
      </c>
      <c r="AF266" s="77"/>
      <c r="AG266" s="73"/>
      <c r="AH266" s="77"/>
      <c r="AI266" s="73"/>
      <c r="AJ266" s="78" t="str">
        <f t="shared" si="18"/>
        <v/>
      </c>
      <c r="AK266" s="79" t="str">
        <f t="shared" si="19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16"/>
        <v/>
      </c>
      <c r="AE267" s="76" t="str">
        <f t="shared" si="17"/>
        <v/>
      </c>
      <c r="AF267" s="77"/>
      <c r="AG267" s="73"/>
      <c r="AH267" s="77"/>
      <c r="AI267" s="73"/>
      <c r="AJ267" s="78" t="str">
        <f t="shared" si="18"/>
        <v/>
      </c>
      <c r="AK267" s="79" t="str">
        <f t="shared" si="19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16"/>
        <v/>
      </c>
      <c r="AE268" s="76" t="str">
        <f t="shared" si="17"/>
        <v/>
      </c>
      <c r="AF268" s="77"/>
      <c r="AG268" s="73"/>
      <c r="AH268" s="77"/>
      <c r="AI268" s="73"/>
      <c r="AJ268" s="78" t="str">
        <f t="shared" si="18"/>
        <v/>
      </c>
      <c r="AK268" s="79" t="str">
        <f t="shared" si="19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16"/>
        <v/>
      </c>
      <c r="AE269" s="76" t="str">
        <f t="shared" si="17"/>
        <v/>
      </c>
      <c r="AF269" s="77"/>
      <c r="AG269" s="73"/>
      <c r="AH269" s="77"/>
      <c r="AI269" s="73"/>
      <c r="AJ269" s="78" t="str">
        <f t="shared" si="18"/>
        <v/>
      </c>
      <c r="AK269" s="79" t="str">
        <f t="shared" si="19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16"/>
        <v/>
      </c>
      <c r="AE270" s="76" t="str">
        <f t="shared" si="17"/>
        <v/>
      </c>
      <c r="AF270" s="77"/>
      <c r="AG270" s="73"/>
      <c r="AH270" s="77"/>
      <c r="AI270" s="73"/>
      <c r="AJ270" s="78" t="str">
        <f t="shared" si="18"/>
        <v/>
      </c>
      <c r="AK270" s="79" t="str">
        <f t="shared" si="19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16"/>
        <v/>
      </c>
      <c r="AE271" s="76" t="str">
        <f t="shared" si="17"/>
        <v/>
      </c>
      <c r="AF271" s="77"/>
      <c r="AG271" s="73"/>
      <c r="AH271" s="77"/>
      <c r="AI271" s="73"/>
      <c r="AJ271" s="78" t="str">
        <f t="shared" si="18"/>
        <v/>
      </c>
      <c r="AK271" s="79" t="str">
        <f t="shared" si="19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16"/>
        <v/>
      </c>
      <c r="AE272" s="76" t="str">
        <f t="shared" si="17"/>
        <v/>
      </c>
      <c r="AF272" s="77"/>
      <c r="AG272" s="73"/>
      <c r="AH272" s="77"/>
      <c r="AI272" s="73"/>
      <c r="AJ272" s="78" t="str">
        <f t="shared" si="18"/>
        <v/>
      </c>
      <c r="AK272" s="79" t="str">
        <f t="shared" si="19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16"/>
        <v/>
      </c>
      <c r="AE273" s="76" t="str">
        <f t="shared" si="17"/>
        <v/>
      </c>
      <c r="AF273" s="77"/>
      <c r="AG273" s="73"/>
      <c r="AH273" s="77"/>
      <c r="AI273" s="73"/>
      <c r="AJ273" s="78" t="str">
        <f t="shared" si="18"/>
        <v/>
      </c>
      <c r="AK273" s="79" t="str">
        <f t="shared" si="19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16"/>
        <v/>
      </c>
      <c r="AE274" s="76" t="str">
        <f t="shared" si="17"/>
        <v/>
      </c>
      <c r="AF274" s="77"/>
      <c r="AG274" s="73"/>
      <c r="AH274" s="77"/>
      <c r="AI274" s="73"/>
      <c r="AJ274" s="78" t="str">
        <f t="shared" si="18"/>
        <v/>
      </c>
      <c r="AK274" s="79" t="str">
        <f t="shared" si="19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16"/>
        <v/>
      </c>
      <c r="AE275" s="76" t="str">
        <f t="shared" si="17"/>
        <v/>
      </c>
      <c r="AF275" s="77"/>
      <c r="AG275" s="73"/>
      <c r="AH275" s="77"/>
      <c r="AI275" s="73"/>
      <c r="AJ275" s="78" t="str">
        <f t="shared" si="18"/>
        <v/>
      </c>
      <c r="AK275" s="79" t="str">
        <f t="shared" si="19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16"/>
        <v/>
      </c>
      <c r="AE276" s="76" t="str">
        <f t="shared" si="17"/>
        <v/>
      </c>
      <c r="AF276" s="77"/>
      <c r="AG276" s="73"/>
      <c r="AH276" s="77"/>
      <c r="AI276" s="73"/>
      <c r="AJ276" s="78" t="str">
        <f t="shared" si="18"/>
        <v/>
      </c>
      <c r="AK276" s="79" t="str">
        <f t="shared" si="19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16"/>
        <v/>
      </c>
      <c r="AE277" s="76" t="str">
        <f t="shared" si="17"/>
        <v/>
      </c>
      <c r="AF277" s="77"/>
      <c r="AG277" s="73"/>
      <c r="AH277" s="77"/>
      <c r="AI277" s="73"/>
      <c r="AJ277" s="78" t="str">
        <f t="shared" si="18"/>
        <v/>
      </c>
      <c r="AK277" s="79" t="str">
        <f t="shared" si="19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16"/>
        <v/>
      </c>
      <c r="AE278" s="76" t="str">
        <f t="shared" si="17"/>
        <v/>
      </c>
      <c r="AF278" s="77"/>
      <c r="AG278" s="73"/>
      <c r="AH278" s="77"/>
      <c r="AI278" s="73"/>
      <c r="AJ278" s="78" t="str">
        <f t="shared" si="18"/>
        <v/>
      </c>
      <c r="AK278" s="79" t="str">
        <f t="shared" si="19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16"/>
        <v/>
      </c>
      <c r="AE279" s="76" t="str">
        <f t="shared" si="17"/>
        <v/>
      </c>
      <c r="AF279" s="77"/>
      <c r="AG279" s="73"/>
      <c r="AH279" s="77"/>
      <c r="AI279" s="73"/>
      <c r="AJ279" s="78" t="str">
        <f t="shared" si="18"/>
        <v/>
      </c>
      <c r="AK279" s="79" t="str">
        <f t="shared" si="19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16"/>
        <v/>
      </c>
      <c r="AE280" s="76" t="str">
        <f t="shared" si="17"/>
        <v/>
      </c>
      <c r="AF280" s="77"/>
      <c r="AG280" s="73"/>
      <c r="AH280" s="77"/>
      <c r="AI280" s="73"/>
      <c r="AJ280" s="78" t="str">
        <f t="shared" si="18"/>
        <v/>
      </c>
      <c r="AK280" s="79" t="str">
        <f t="shared" si="19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16"/>
        <v/>
      </c>
      <c r="AE281" s="76" t="str">
        <f t="shared" si="17"/>
        <v/>
      </c>
      <c r="AF281" s="77"/>
      <c r="AG281" s="73"/>
      <c r="AH281" s="77"/>
      <c r="AI281" s="73"/>
      <c r="AJ281" s="78" t="str">
        <f t="shared" si="18"/>
        <v/>
      </c>
      <c r="AK281" s="79" t="str">
        <f t="shared" si="19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16"/>
        <v/>
      </c>
      <c r="AE282" s="76" t="str">
        <f t="shared" si="17"/>
        <v/>
      </c>
      <c r="AF282" s="77"/>
      <c r="AG282" s="73"/>
      <c r="AH282" s="77"/>
      <c r="AI282" s="73"/>
      <c r="AJ282" s="78" t="str">
        <f t="shared" si="18"/>
        <v/>
      </c>
      <c r="AK282" s="79" t="str">
        <f t="shared" si="19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16"/>
        <v/>
      </c>
      <c r="AE283" s="76" t="str">
        <f t="shared" si="17"/>
        <v/>
      </c>
      <c r="AF283" s="77"/>
      <c r="AG283" s="73"/>
      <c r="AH283" s="77"/>
      <c r="AI283" s="73"/>
      <c r="AJ283" s="78" t="str">
        <f t="shared" si="18"/>
        <v/>
      </c>
      <c r="AK283" s="79" t="str">
        <f t="shared" si="19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16"/>
        <v/>
      </c>
      <c r="AE284" s="76" t="str">
        <f t="shared" si="17"/>
        <v/>
      </c>
      <c r="AF284" s="77"/>
      <c r="AG284" s="73"/>
      <c r="AH284" s="77"/>
      <c r="AI284" s="73"/>
      <c r="AJ284" s="78" t="str">
        <f t="shared" si="18"/>
        <v/>
      </c>
      <c r="AK284" s="79" t="str">
        <f t="shared" si="19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16"/>
        <v/>
      </c>
      <c r="AE285" s="76" t="str">
        <f t="shared" si="17"/>
        <v/>
      </c>
      <c r="AF285" s="77"/>
      <c r="AG285" s="73"/>
      <c r="AH285" s="77"/>
      <c r="AI285" s="73"/>
      <c r="AJ285" s="78" t="str">
        <f t="shared" si="18"/>
        <v/>
      </c>
      <c r="AK285" s="79" t="str">
        <f t="shared" si="19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16"/>
        <v/>
      </c>
      <c r="AE286" s="76" t="str">
        <f t="shared" si="17"/>
        <v/>
      </c>
      <c r="AF286" s="77"/>
      <c r="AG286" s="73"/>
      <c r="AH286" s="77"/>
      <c r="AI286" s="73"/>
      <c r="AJ286" s="78" t="str">
        <f t="shared" si="18"/>
        <v/>
      </c>
      <c r="AK286" s="79" t="str">
        <f t="shared" si="19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16"/>
        <v/>
      </c>
      <c r="AE287" s="76" t="str">
        <f t="shared" si="17"/>
        <v/>
      </c>
      <c r="AF287" s="77"/>
      <c r="AG287" s="73"/>
      <c r="AH287" s="77"/>
      <c r="AI287" s="73"/>
      <c r="AJ287" s="78" t="str">
        <f t="shared" si="18"/>
        <v/>
      </c>
      <c r="AK287" s="79" t="str">
        <f t="shared" si="19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16"/>
        <v/>
      </c>
      <c r="AE288" s="76" t="str">
        <f t="shared" si="17"/>
        <v/>
      </c>
      <c r="AF288" s="77"/>
      <c r="AG288" s="73"/>
      <c r="AH288" s="77"/>
      <c r="AI288" s="73"/>
      <c r="AJ288" s="78" t="str">
        <f t="shared" si="18"/>
        <v/>
      </c>
      <c r="AK288" s="79" t="str">
        <f t="shared" si="19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16"/>
        <v/>
      </c>
      <c r="AE289" s="76" t="str">
        <f t="shared" si="17"/>
        <v/>
      </c>
      <c r="AF289" s="77"/>
      <c r="AG289" s="73"/>
      <c r="AH289" s="77"/>
      <c r="AI289" s="73"/>
      <c r="AJ289" s="78" t="str">
        <f t="shared" si="18"/>
        <v/>
      </c>
      <c r="AK289" s="79" t="str">
        <f t="shared" si="19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16"/>
        <v/>
      </c>
      <c r="AE290" s="76" t="str">
        <f t="shared" si="17"/>
        <v/>
      </c>
      <c r="AF290" s="77"/>
      <c r="AG290" s="73"/>
      <c r="AH290" s="77"/>
      <c r="AI290" s="73"/>
      <c r="AJ290" s="78" t="str">
        <f t="shared" si="18"/>
        <v/>
      </c>
      <c r="AK290" s="79" t="str">
        <f t="shared" si="19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16"/>
        <v/>
      </c>
      <c r="AE291" s="76" t="str">
        <f t="shared" si="17"/>
        <v/>
      </c>
      <c r="AF291" s="77"/>
      <c r="AG291" s="73"/>
      <c r="AH291" s="77"/>
      <c r="AI291" s="73"/>
      <c r="AJ291" s="78" t="str">
        <f t="shared" si="18"/>
        <v/>
      </c>
      <c r="AK291" s="79" t="str">
        <f t="shared" si="19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16"/>
        <v/>
      </c>
      <c r="AE292" s="76" t="str">
        <f t="shared" si="17"/>
        <v/>
      </c>
      <c r="AF292" s="77"/>
      <c r="AG292" s="73"/>
      <c r="AH292" s="77"/>
      <c r="AI292" s="73"/>
      <c r="AJ292" s="78" t="str">
        <f t="shared" si="18"/>
        <v/>
      </c>
      <c r="AK292" s="79" t="str">
        <f t="shared" si="19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16"/>
        <v/>
      </c>
      <c r="AE293" s="76" t="str">
        <f t="shared" si="17"/>
        <v/>
      </c>
      <c r="AF293" s="77"/>
      <c r="AG293" s="73"/>
      <c r="AH293" s="77"/>
      <c r="AI293" s="73"/>
      <c r="AJ293" s="78" t="str">
        <f t="shared" si="18"/>
        <v/>
      </c>
      <c r="AK293" s="79" t="str">
        <f t="shared" si="19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16"/>
        <v/>
      </c>
      <c r="AE294" s="76" t="str">
        <f t="shared" si="17"/>
        <v/>
      </c>
      <c r="AF294" s="77"/>
      <c r="AG294" s="73"/>
      <c r="AH294" s="77"/>
      <c r="AI294" s="73"/>
      <c r="AJ294" s="78" t="str">
        <f t="shared" si="18"/>
        <v/>
      </c>
      <c r="AK294" s="79" t="str">
        <f t="shared" si="19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16"/>
        <v/>
      </c>
      <c r="AE295" s="76" t="str">
        <f t="shared" si="17"/>
        <v/>
      </c>
      <c r="AF295" s="77"/>
      <c r="AG295" s="73"/>
      <c r="AH295" s="77"/>
      <c r="AI295" s="73"/>
      <c r="AJ295" s="78" t="str">
        <f t="shared" si="18"/>
        <v/>
      </c>
      <c r="AK295" s="79" t="str">
        <f t="shared" si="19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16"/>
        <v/>
      </c>
      <c r="AE296" s="76" t="str">
        <f t="shared" si="17"/>
        <v/>
      </c>
      <c r="AF296" s="77"/>
      <c r="AG296" s="73"/>
      <c r="AH296" s="77"/>
      <c r="AI296" s="73"/>
      <c r="AJ296" s="78" t="str">
        <f t="shared" si="18"/>
        <v/>
      </c>
      <c r="AK296" s="79" t="str">
        <f t="shared" si="19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16"/>
        <v/>
      </c>
      <c r="AE297" s="76" t="str">
        <f t="shared" si="17"/>
        <v/>
      </c>
      <c r="AF297" s="77"/>
      <c r="AG297" s="73"/>
      <c r="AH297" s="77"/>
      <c r="AI297" s="73"/>
      <c r="AJ297" s="78" t="str">
        <f t="shared" si="18"/>
        <v/>
      </c>
      <c r="AK297" s="79" t="str">
        <f t="shared" si="19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16"/>
        <v/>
      </c>
      <c r="AE298" s="76" t="str">
        <f t="shared" si="17"/>
        <v/>
      </c>
      <c r="AF298" s="77"/>
      <c r="AG298" s="73"/>
      <c r="AH298" s="77"/>
      <c r="AI298" s="73"/>
      <c r="AJ298" s="78" t="str">
        <f t="shared" si="18"/>
        <v/>
      </c>
      <c r="AK298" s="79" t="str">
        <f t="shared" si="19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16"/>
        <v/>
      </c>
      <c r="AE299" s="76" t="str">
        <f t="shared" si="17"/>
        <v/>
      </c>
      <c r="AF299" s="77"/>
      <c r="AG299" s="73"/>
      <c r="AH299" s="77"/>
      <c r="AI299" s="73"/>
      <c r="AJ299" s="78" t="str">
        <f t="shared" si="18"/>
        <v/>
      </c>
      <c r="AK299" s="79" t="str">
        <f t="shared" si="19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16"/>
        <v/>
      </c>
      <c r="AE300" s="76" t="str">
        <f t="shared" si="17"/>
        <v/>
      </c>
      <c r="AF300" s="77"/>
      <c r="AG300" s="73"/>
      <c r="AH300" s="77"/>
      <c r="AI300" s="73"/>
      <c r="AJ300" s="78" t="str">
        <f t="shared" si="18"/>
        <v/>
      </c>
      <c r="AK300" s="79" t="str">
        <f t="shared" si="19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16"/>
        <v/>
      </c>
      <c r="AE301" s="76" t="str">
        <f t="shared" si="17"/>
        <v/>
      </c>
      <c r="AF301" s="77"/>
      <c r="AG301" s="73"/>
      <c r="AH301" s="77"/>
      <c r="AI301" s="73"/>
      <c r="AJ301" s="78" t="str">
        <f t="shared" si="18"/>
        <v/>
      </c>
      <c r="AK301" s="79" t="str">
        <f t="shared" si="19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16"/>
        <v/>
      </c>
      <c r="AE302" s="76" t="str">
        <f t="shared" si="17"/>
        <v/>
      </c>
      <c r="AF302" s="77"/>
      <c r="AG302" s="73"/>
      <c r="AH302" s="77"/>
      <c r="AI302" s="73"/>
      <c r="AJ302" s="78" t="str">
        <f t="shared" si="18"/>
        <v/>
      </c>
      <c r="AK302" s="79" t="str">
        <f t="shared" si="19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16"/>
        <v/>
      </c>
      <c r="AE303" s="76" t="str">
        <f t="shared" si="17"/>
        <v/>
      </c>
      <c r="AF303" s="77"/>
      <c r="AG303" s="73"/>
      <c r="AH303" s="77"/>
      <c r="AI303" s="73"/>
      <c r="AJ303" s="78" t="str">
        <f t="shared" si="18"/>
        <v/>
      </c>
      <c r="AK303" s="79" t="str">
        <f t="shared" si="19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16"/>
        <v/>
      </c>
      <c r="AE304" s="76" t="str">
        <f t="shared" si="17"/>
        <v/>
      </c>
      <c r="AF304" s="77"/>
      <c r="AG304" s="73"/>
      <c r="AH304" s="77"/>
      <c r="AI304" s="73"/>
      <c r="AJ304" s="78" t="str">
        <f t="shared" si="18"/>
        <v/>
      </c>
      <c r="AK304" s="79" t="str">
        <f t="shared" si="19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16"/>
        <v/>
      </c>
      <c r="AE305" s="76" t="str">
        <f t="shared" si="17"/>
        <v/>
      </c>
      <c r="AF305" s="77"/>
      <c r="AG305" s="73"/>
      <c r="AH305" s="77"/>
      <c r="AI305" s="73"/>
      <c r="AJ305" s="78" t="str">
        <f t="shared" si="18"/>
        <v/>
      </c>
      <c r="AK305" s="79" t="str">
        <f t="shared" si="19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16"/>
        <v/>
      </c>
      <c r="AE306" s="76" t="str">
        <f t="shared" si="17"/>
        <v/>
      </c>
      <c r="AF306" s="77"/>
      <c r="AG306" s="73"/>
      <c r="AH306" s="77"/>
      <c r="AI306" s="73"/>
      <c r="AJ306" s="78" t="str">
        <f t="shared" si="18"/>
        <v/>
      </c>
      <c r="AK306" s="79" t="str">
        <f t="shared" si="19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16"/>
        <v/>
      </c>
      <c r="AE307" s="76" t="str">
        <f t="shared" si="17"/>
        <v/>
      </c>
      <c r="AF307" s="77"/>
      <c r="AG307" s="73"/>
      <c r="AH307" s="77"/>
      <c r="AI307" s="73"/>
      <c r="AJ307" s="78" t="str">
        <f t="shared" si="18"/>
        <v/>
      </c>
      <c r="AK307" s="79" t="str">
        <f t="shared" si="19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16"/>
        <v/>
      </c>
      <c r="AE308" s="76" t="str">
        <f t="shared" si="17"/>
        <v/>
      </c>
      <c r="AF308" s="77"/>
      <c r="AG308" s="73"/>
      <c r="AH308" s="77"/>
      <c r="AI308" s="73"/>
      <c r="AJ308" s="78" t="str">
        <f t="shared" si="18"/>
        <v/>
      </c>
      <c r="AK308" s="79" t="str">
        <f t="shared" si="19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16"/>
        <v/>
      </c>
      <c r="AE309" s="76" t="str">
        <f t="shared" si="17"/>
        <v/>
      </c>
      <c r="AF309" s="77"/>
      <c r="AG309" s="73"/>
      <c r="AH309" s="77"/>
      <c r="AI309" s="73"/>
      <c r="AJ309" s="78" t="str">
        <f t="shared" si="18"/>
        <v/>
      </c>
      <c r="AK309" s="79" t="str">
        <f t="shared" si="19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16"/>
        <v/>
      </c>
      <c r="AE310" s="76" t="str">
        <f t="shared" si="17"/>
        <v/>
      </c>
      <c r="AF310" s="77"/>
      <c r="AG310" s="73"/>
      <c r="AH310" s="77"/>
      <c r="AI310" s="73"/>
      <c r="AJ310" s="78" t="str">
        <f t="shared" si="18"/>
        <v/>
      </c>
      <c r="AK310" s="79" t="str">
        <f t="shared" si="19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16"/>
        <v/>
      </c>
      <c r="AE311" s="76" t="str">
        <f t="shared" si="17"/>
        <v/>
      </c>
      <c r="AF311" s="77"/>
      <c r="AG311" s="73"/>
      <c r="AH311" s="77"/>
      <c r="AI311" s="73"/>
      <c r="AJ311" s="78" t="str">
        <f t="shared" si="18"/>
        <v/>
      </c>
      <c r="AK311" s="79" t="str">
        <f t="shared" si="19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16"/>
        <v/>
      </c>
      <c r="AE312" s="76" t="str">
        <f t="shared" si="17"/>
        <v/>
      </c>
      <c r="AF312" s="77"/>
      <c r="AG312" s="73"/>
      <c r="AH312" s="77"/>
      <c r="AI312" s="73"/>
      <c r="AJ312" s="78" t="str">
        <f t="shared" si="18"/>
        <v/>
      </c>
      <c r="AK312" s="79" t="str">
        <f t="shared" si="19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16"/>
        <v/>
      </c>
      <c r="AE313" s="76" t="str">
        <f t="shared" si="17"/>
        <v/>
      </c>
      <c r="AF313" s="77"/>
      <c r="AG313" s="73"/>
      <c r="AH313" s="77"/>
      <c r="AI313" s="73"/>
      <c r="AJ313" s="78" t="str">
        <f t="shared" si="18"/>
        <v/>
      </c>
      <c r="AK313" s="79" t="str">
        <f t="shared" si="19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16"/>
        <v/>
      </c>
      <c r="AE314" s="76" t="str">
        <f t="shared" si="17"/>
        <v/>
      </c>
      <c r="AF314" s="77"/>
      <c r="AG314" s="73"/>
      <c r="AH314" s="77"/>
      <c r="AI314" s="73"/>
      <c r="AJ314" s="78" t="str">
        <f t="shared" si="18"/>
        <v/>
      </c>
      <c r="AK314" s="79" t="str">
        <f t="shared" si="19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16"/>
        <v/>
      </c>
      <c r="AE315" s="76" t="str">
        <f t="shared" si="17"/>
        <v/>
      </c>
      <c r="AF315" s="77"/>
      <c r="AG315" s="73"/>
      <c r="AH315" s="77"/>
      <c r="AI315" s="73"/>
      <c r="AJ315" s="78" t="str">
        <f t="shared" si="18"/>
        <v/>
      </c>
      <c r="AK315" s="79" t="str">
        <f t="shared" si="19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16"/>
        <v/>
      </c>
      <c r="AE316" s="76" t="str">
        <f t="shared" si="17"/>
        <v/>
      </c>
      <c r="AF316" s="77"/>
      <c r="AG316" s="73"/>
      <c r="AH316" s="77"/>
      <c r="AI316" s="73"/>
      <c r="AJ316" s="78" t="str">
        <f t="shared" si="18"/>
        <v/>
      </c>
      <c r="AK316" s="79" t="str">
        <f t="shared" si="19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16"/>
        <v/>
      </c>
      <c r="AE317" s="76" t="str">
        <f t="shared" si="17"/>
        <v/>
      </c>
      <c r="AF317" s="77"/>
      <c r="AG317" s="73"/>
      <c r="AH317" s="77"/>
      <c r="AI317" s="73"/>
      <c r="AJ317" s="78" t="str">
        <f t="shared" si="18"/>
        <v/>
      </c>
      <c r="AK317" s="79" t="str">
        <f t="shared" si="19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16"/>
        <v/>
      </c>
      <c r="AE318" s="76" t="str">
        <f t="shared" si="17"/>
        <v/>
      </c>
      <c r="AF318" s="77"/>
      <c r="AG318" s="73"/>
      <c r="AH318" s="77"/>
      <c r="AI318" s="73"/>
      <c r="AJ318" s="78" t="str">
        <f t="shared" si="18"/>
        <v/>
      </c>
      <c r="AK318" s="79" t="str">
        <f t="shared" si="19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16"/>
        <v/>
      </c>
      <c r="AE319" s="76" t="str">
        <f t="shared" si="17"/>
        <v/>
      </c>
      <c r="AF319" s="77"/>
      <c r="AG319" s="73"/>
      <c r="AH319" s="77"/>
      <c r="AI319" s="73"/>
      <c r="AJ319" s="78" t="str">
        <f t="shared" si="18"/>
        <v/>
      </c>
      <c r="AK319" s="79" t="str">
        <f t="shared" si="19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16"/>
        <v/>
      </c>
      <c r="AE320" s="76" t="str">
        <f t="shared" si="17"/>
        <v/>
      </c>
      <c r="AF320" s="77"/>
      <c r="AG320" s="73"/>
      <c r="AH320" s="77"/>
      <c r="AI320" s="73"/>
      <c r="AJ320" s="78" t="str">
        <f t="shared" si="18"/>
        <v/>
      </c>
      <c r="AK320" s="79" t="str">
        <f t="shared" si="19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16"/>
        <v/>
      </c>
      <c r="AE321" s="76" t="str">
        <f t="shared" si="17"/>
        <v/>
      </c>
      <c r="AF321" s="77"/>
      <c r="AG321" s="73"/>
      <c r="AH321" s="77"/>
      <c r="AI321" s="73"/>
      <c r="AJ321" s="78" t="str">
        <f t="shared" si="18"/>
        <v/>
      </c>
      <c r="AK321" s="79" t="str">
        <f t="shared" si="19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16"/>
        <v/>
      </c>
      <c r="AE322" s="76" t="str">
        <f t="shared" si="17"/>
        <v/>
      </c>
      <c r="AF322" s="77"/>
      <c r="AG322" s="73"/>
      <c r="AH322" s="77"/>
      <c r="AI322" s="73"/>
      <c r="AJ322" s="78" t="str">
        <f t="shared" si="18"/>
        <v/>
      </c>
      <c r="AK322" s="79" t="str">
        <f t="shared" si="19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16"/>
        <v/>
      </c>
      <c r="AE323" s="76" t="str">
        <f t="shared" si="17"/>
        <v/>
      </c>
      <c r="AF323" s="77"/>
      <c r="AG323" s="73"/>
      <c r="AH323" s="77"/>
      <c r="AI323" s="73"/>
      <c r="AJ323" s="78" t="str">
        <f t="shared" si="18"/>
        <v/>
      </c>
      <c r="AK323" s="79" t="str">
        <f t="shared" si="19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0">IF(MIN(F324,J324,N324,R324,V324,Z324)&lt;&gt;0,MIN(F324,J324,N324,R324,V324,Z324),"")</f>
        <v/>
      </c>
      <c r="AE324" s="76" t="str">
        <f t="shared" ref="AE324:AE350" si="21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2">IF(AD324="","",IF(ISBLANK(AF324),"En cours",AD324+AF324))</f>
        <v/>
      </c>
      <c r="AK324" s="79" t="str">
        <f t="shared" ref="AK324:AK350" si="23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0"/>
        <v/>
      </c>
      <c r="AE325" s="76" t="str">
        <f t="shared" si="21"/>
        <v/>
      </c>
      <c r="AF325" s="77"/>
      <c r="AG325" s="73"/>
      <c r="AH325" s="77"/>
      <c r="AI325" s="73"/>
      <c r="AJ325" s="78" t="str">
        <f t="shared" si="22"/>
        <v/>
      </c>
      <c r="AK325" s="79" t="str">
        <f t="shared" si="23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0"/>
        <v/>
      </c>
      <c r="AE326" s="76" t="str">
        <f t="shared" si="21"/>
        <v/>
      </c>
      <c r="AF326" s="77"/>
      <c r="AG326" s="73"/>
      <c r="AH326" s="77"/>
      <c r="AI326" s="73"/>
      <c r="AJ326" s="78" t="str">
        <f t="shared" si="22"/>
        <v/>
      </c>
      <c r="AK326" s="79" t="str">
        <f t="shared" si="23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0"/>
        <v/>
      </c>
      <c r="AE327" s="76" t="str">
        <f t="shared" si="21"/>
        <v/>
      </c>
      <c r="AF327" s="77"/>
      <c r="AG327" s="73"/>
      <c r="AH327" s="77"/>
      <c r="AI327" s="73"/>
      <c r="AJ327" s="78" t="str">
        <f t="shared" si="22"/>
        <v/>
      </c>
      <c r="AK327" s="79" t="str">
        <f t="shared" si="23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0"/>
        <v/>
      </c>
      <c r="AE328" s="76" t="str">
        <f t="shared" si="21"/>
        <v/>
      </c>
      <c r="AF328" s="77"/>
      <c r="AG328" s="73"/>
      <c r="AH328" s="77"/>
      <c r="AI328" s="73"/>
      <c r="AJ328" s="78" t="str">
        <f t="shared" si="22"/>
        <v/>
      </c>
      <c r="AK328" s="79" t="str">
        <f t="shared" si="23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0"/>
        <v/>
      </c>
      <c r="AE329" s="76" t="str">
        <f t="shared" si="21"/>
        <v/>
      </c>
      <c r="AF329" s="77"/>
      <c r="AG329" s="73"/>
      <c r="AH329" s="77"/>
      <c r="AI329" s="73"/>
      <c r="AJ329" s="78" t="str">
        <f t="shared" si="22"/>
        <v/>
      </c>
      <c r="AK329" s="79" t="str">
        <f t="shared" si="23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0"/>
        <v/>
      </c>
      <c r="AE330" s="76" t="str">
        <f t="shared" si="21"/>
        <v/>
      </c>
      <c r="AF330" s="77"/>
      <c r="AG330" s="73"/>
      <c r="AH330" s="77"/>
      <c r="AI330" s="73"/>
      <c r="AJ330" s="78" t="str">
        <f t="shared" si="22"/>
        <v/>
      </c>
      <c r="AK330" s="79" t="str">
        <f t="shared" si="23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0"/>
        <v/>
      </c>
      <c r="AE331" s="76" t="str">
        <f t="shared" si="21"/>
        <v/>
      </c>
      <c r="AF331" s="77"/>
      <c r="AG331" s="73"/>
      <c r="AH331" s="77"/>
      <c r="AI331" s="73"/>
      <c r="AJ331" s="78" t="str">
        <f t="shared" si="22"/>
        <v/>
      </c>
      <c r="AK331" s="79" t="str">
        <f t="shared" si="23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0"/>
        <v/>
      </c>
      <c r="AE332" s="76" t="str">
        <f t="shared" si="21"/>
        <v/>
      </c>
      <c r="AF332" s="77"/>
      <c r="AG332" s="73"/>
      <c r="AH332" s="77"/>
      <c r="AI332" s="73"/>
      <c r="AJ332" s="78" t="str">
        <f t="shared" si="22"/>
        <v/>
      </c>
      <c r="AK332" s="79" t="str">
        <f t="shared" si="23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0"/>
        <v/>
      </c>
      <c r="AE333" s="76" t="str">
        <f t="shared" si="21"/>
        <v/>
      </c>
      <c r="AF333" s="77"/>
      <c r="AG333" s="73"/>
      <c r="AH333" s="77"/>
      <c r="AI333" s="73"/>
      <c r="AJ333" s="78" t="str">
        <f t="shared" si="22"/>
        <v/>
      </c>
      <c r="AK333" s="79" t="str">
        <f t="shared" si="23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0"/>
        <v/>
      </c>
      <c r="AE334" s="76" t="str">
        <f t="shared" si="21"/>
        <v/>
      </c>
      <c r="AF334" s="77"/>
      <c r="AG334" s="73"/>
      <c r="AH334" s="77"/>
      <c r="AI334" s="73"/>
      <c r="AJ334" s="78" t="str">
        <f t="shared" si="22"/>
        <v/>
      </c>
      <c r="AK334" s="79" t="str">
        <f t="shared" si="23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0"/>
        <v/>
      </c>
      <c r="AE335" s="76" t="str">
        <f t="shared" si="21"/>
        <v/>
      </c>
      <c r="AF335" s="77"/>
      <c r="AG335" s="73"/>
      <c r="AH335" s="77"/>
      <c r="AI335" s="73"/>
      <c r="AJ335" s="78" t="str">
        <f t="shared" si="22"/>
        <v/>
      </c>
      <c r="AK335" s="79" t="str">
        <f t="shared" si="23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0"/>
        <v/>
      </c>
      <c r="AE336" s="76" t="str">
        <f t="shared" si="21"/>
        <v/>
      </c>
      <c r="AF336" s="77"/>
      <c r="AG336" s="73"/>
      <c r="AH336" s="77"/>
      <c r="AI336" s="73"/>
      <c r="AJ336" s="78" t="str">
        <f t="shared" si="22"/>
        <v/>
      </c>
      <c r="AK336" s="79" t="str">
        <f t="shared" si="23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0"/>
        <v/>
      </c>
      <c r="AE337" s="76" t="str">
        <f t="shared" si="21"/>
        <v/>
      </c>
      <c r="AF337" s="77"/>
      <c r="AG337" s="73"/>
      <c r="AH337" s="77"/>
      <c r="AI337" s="73"/>
      <c r="AJ337" s="78" t="str">
        <f t="shared" si="22"/>
        <v/>
      </c>
      <c r="AK337" s="79" t="str">
        <f t="shared" si="23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0"/>
        <v/>
      </c>
      <c r="AE338" s="76" t="str">
        <f t="shared" si="21"/>
        <v/>
      </c>
      <c r="AF338" s="77"/>
      <c r="AG338" s="73"/>
      <c r="AH338" s="77"/>
      <c r="AI338" s="73"/>
      <c r="AJ338" s="78" t="str">
        <f t="shared" si="22"/>
        <v/>
      </c>
      <c r="AK338" s="79" t="str">
        <f t="shared" si="23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0"/>
        <v/>
      </c>
      <c r="AE339" s="76" t="str">
        <f t="shared" si="21"/>
        <v/>
      </c>
      <c r="AF339" s="77"/>
      <c r="AG339" s="73"/>
      <c r="AH339" s="77"/>
      <c r="AI339" s="73"/>
      <c r="AJ339" s="78" t="str">
        <f t="shared" si="22"/>
        <v/>
      </c>
      <c r="AK339" s="79" t="str">
        <f t="shared" si="23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0"/>
        <v/>
      </c>
      <c r="AE340" s="76" t="str">
        <f t="shared" si="21"/>
        <v/>
      </c>
      <c r="AF340" s="77"/>
      <c r="AG340" s="73"/>
      <c r="AH340" s="77"/>
      <c r="AI340" s="73"/>
      <c r="AJ340" s="78" t="str">
        <f t="shared" si="22"/>
        <v/>
      </c>
      <c r="AK340" s="79" t="str">
        <f t="shared" si="23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0"/>
        <v/>
      </c>
      <c r="AE341" s="76" t="str">
        <f t="shared" si="21"/>
        <v/>
      </c>
      <c r="AF341" s="77"/>
      <c r="AG341" s="73"/>
      <c r="AH341" s="77"/>
      <c r="AI341" s="73"/>
      <c r="AJ341" s="78" t="str">
        <f t="shared" si="22"/>
        <v/>
      </c>
      <c r="AK341" s="79" t="str">
        <f t="shared" si="23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0"/>
        <v/>
      </c>
      <c r="AE342" s="76" t="str">
        <f t="shared" si="21"/>
        <v/>
      </c>
      <c r="AF342" s="77"/>
      <c r="AG342" s="73"/>
      <c r="AH342" s="77"/>
      <c r="AI342" s="73"/>
      <c r="AJ342" s="78" t="str">
        <f t="shared" si="22"/>
        <v/>
      </c>
      <c r="AK342" s="79" t="str">
        <f t="shared" si="23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0"/>
        <v/>
      </c>
      <c r="AE343" s="76" t="str">
        <f t="shared" si="21"/>
        <v/>
      </c>
      <c r="AF343" s="77"/>
      <c r="AG343" s="73"/>
      <c r="AH343" s="77"/>
      <c r="AI343" s="73"/>
      <c r="AJ343" s="78" t="str">
        <f t="shared" si="22"/>
        <v/>
      </c>
      <c r="AK343" s="79" t="str">
        <f t="shared" si="23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0"/>
        <v/>
      </c>
      <c r="AE344" s="76" t="str">
        <f t="shared" si="21"/>
        <v/>
      </c>
      <c r="AF344" s="77"/>
      <c r="AG344" s="73"/>
      <c r="AH344" s="77"/>
      <c r="AI344" s="73"/>
      <c r="AJ344" s="78" t="str">
        <f t="shared" si="22"/>
        <v/>
      </c>
      <c r="AK344" s="79" t="str">
        <f t="shared" si="23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0"/>
        <v/>
      </c>
      <c r="AE345" s="76" t="str">
        <f t="shared" si="21"/>
        <v/>
      </c>
      <c r="AF345" s="77"/>
      <c r="AG345" s="73"/>
      <c r="AH345" s="77"/>
      <c r="AI345" s="73"/>
      <c r="AJ345" s="78" t="str">
        <f t="shared" si="22"/>
        <v/>
      </c>
      <c r="AK345" s="79" t="str">
        <f t="shared" si="23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0"/>
        <v/>
      </c>
      <c r="AE346" s="76" t="str">
        <f t="shared" si="21"/>
        <v/>
      </c>
      <c r="AF346" s="77"/>
      <c r="AG346" s="73"/>
      <c r="AH346" s="77"/>
      <c r="AI346" s="73"/>
      <c r="AJ346" s="78" t="str">
        <f t="shared" si="22"/>
        <v/>
      </c>
      <c r="AK346" s="79" t="str">
        <f t="shared" si="23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0"/>
        <v/>
      </c>
      <c r="AE347" s="76" t="str">
        <f t="shared" si="21"/>
        <v/>
      </c>
      <c r="AF347" s="77"/>
      <c r="AG347" s="73"/>
      <c r="AH347" s="77"/>
      <c r="AI347" s="73"/>
      <c r="AJ347" s="78" t="str">
        <f t="shared" si="22"/>
        <v/>
      </c>
      <c r="AK347" s="79" t="str">
        <f t="shared" si="23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0"/>
        <v/>
      </c>
      <c r="AE348" s="76" t="str">
        <f t="shared" si="21"/>
        <v/>
      </c>
      <c r="AF348" s="77"/>
      <c r="AG348" s="73"/>
      <c r="AH348" s="77"/>
      <c r="AI348" s="73"/>
      <c r="AJ348" s="78" t="str">
        <f t="shared" si="22"/>
        <v/>
      </c>
      <c r="AK348" s="79" t="str">
        <f t="shared" si="23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0"/>
        <v/>
      </c>
      <c r="AE349" s="76" t="str">
        <f t="shared" si="21"/>
        <v/>
      </c>
      <c r="AF349" s="77"/>
      <c r="AG349" s="73"/>
      <c r="AH349" s="77"/>
      <c r="AI349" s="73"/>
      <c r="AJ349" s="78" t="str">
        <f t="shared" si="22"/>
        <v/>
      </c>
      <c r="AK349" s="79" t="str">
        <f t="shared" si="23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0"/>
        <v/>
      </c>
      <c r="AE350" s="76" t="str">
        <f t="shared" si="21"/>
        <v/>
      </c>
      <c r="AF350" s="77"/>
      <c r="AG350" s="73"/>
      <c r="AH350" s="77"/>
      <c r="AI350" s="73"/>
      <c r="AJ350" s="78" t="str">
        <f t="shared" si="22"/>
        <v/>
      </c>
      <c r="AK350" s="79" t="str">
        <f t="shared" si="23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103">
    <cfRule type="cellIs" dxfId="471" priority="74637" stopIfTrue="1" operator="equal">
      <formula>"En cours"</formula>
    </cfRule>
  </conditionalFormatting>
  <conditionalFormatting sqref="AJ103">
    <cfRule type="cellIs" dxfId="470" priority="74638" stopIfTrue="1" operator="notEqual">
      <formula>"En cours"</formula>
    </cfRule>
  </conditionalFormatting>
  <conditionalFormatting sqref="AK103">
    <cfRule type="cellIs" dxfId="469" priority="74639" stopIfTrue="1" operator="equal">
      <formula>"En cours"</formula>
    </cfRule>
  </conditionalFormatting>
  <conditionalFormatting sqref="AK103">
    <cfRule type="cellIs" dxfId="468" priority="74640" stopIfTrue="1" operator="notEqual">
      <formula>"En cours"</formula>
    </cfRule>
  </conditionalFormatting>
  <conditionalFormatting sqref="AJ106">
    <cfRule type="cellIs" dxfId="467" priority="74641" stopIfTrue="1" operator="equal">
      <formula>"En cours"</formula>
    </cfRule>
  </conditionalFormatting>
  <conditionalFormatting sqref="AJ106">
    <cfRule type="cellIs" dxfId="466" priority="74642" stopIfTrue="1" operator="notEqual">
      <formula>"En cours"</formula>
    </cfRule>
  </conditionalFormatting>
  <conditionalFormatting sqref="AK106">
    <cfRule type="cellIs" dxfId="465" priority="74643" stopIfTrue="1" operator="equal">
      <formula>"En cours"</formula>
    </cfRule>
  </conditionalFormatting>
  <conditionalFormatting sqref="AK106">
    <cfRule type="cellIs" dxfId="464" priority="74644" stopIfTrue="1" operator="notEqual">
      <formula>"En cours"</formula>
    </cfRule>
  </conditionalFormatting>
  <conditionalFormatting sqref="AJ104">
    <cfRule type="cellIs" dxfId="463" priority="74649" stopIfTrue="1" operator="equal">
      <formula>"En cours"</formula>
    </cfRule>
  </conditionalFormatting>
  <conditionalFormatting sqref="AJ104">
    <cfRule type="cellIs" dxfId="462" priority="74650" stopIfTrue="1" operator="notEqual">
      <formula>"En cours"</formula>
    </cfRule>
  </conditionalFormatting>
  <conditionalFormatting sqref="AK104">
    <cfRule type="cellIs" dxfId="461" priority="74651" stopIfTrue="1" operator="equal">
      <formula>"En cours"</formula>
    </cfRule>
  </conditionalFormatting>
  <conditionalFormatting sqref="AK104">
    <cfRule type="cellIs" dxfId="460" priority="74652" stopIfTrue="1" operator="notEqual">
      <formula>"En cours"</formula>
    </cfRule>
  </conditionalFormatting>
  <conditionalFormatting sqref="AJ110">
    <cfRule type="cellIs" dxfId="459" priority="74653" stopIfTrue="1" operator="equal">
      <formula>"En cours"</formula>
    </cfRule>
    <cfRule type="cellIs" dxfId="458" priority="74654" stopIfTrue="1" operator="notEqual">
      <formula>"En cours"</formula>
    </cfRule>
  </conditionalFormatting>
  <conditionalFormatting sqref="AK110">
    <cfRule type="cellIs" dxfId="457" priority="74655" stopIfTrue="1" operator="equal">
      <formula>"En cours"</formula>
    </cfRule>
    <cfRule type="cellIs" dxfId="456" priority="74656" stopIfTrue="1" operator="notEqual">
      <formula>"En cours"</formula>
    </cfRule>
  </conditionalFormatting>
  <conditionalFormatting sqref="AJ105">
    <cfRule type="cellIs" dxfId="455" priority="74661" stopIfTrue="1" operator="equal">
      <formula>"En cours"</formula>
    </cfRule>
  </conditionalFormatting>
  <conditionalFormatting sqref="AJ105">
    <cfRule type="cellIs" dxfId="454" priority="74662" stopIfTrue="1" operator="notEqual">
      <formula>"En cours"</formula>
    </cfRule>
  </conditionalFormatting>
  <conditionalFormatting sqref="AK105">
    <cfRule type="cellIs" dxfId="453" priority="74663" stopIfTrue="1" operator="equal">
      <formula>"En cours"</formula>
    </cfRule>
  </conditionalFormatting>
  <conditionalFormatting sqref="AK105">
    <cfRule type="cellIs" dxfId="452" priority="74664" stopIfTrue="1" operator="notEqual">
      <formula>"En cours"</formula>
    </cfRule>
  </conditionalFormatting>
  <conditionalFormatting sqref="AJ114">
    <cfRule type="cellIs" dxfId="451" priority="74665" stopIfTrue="1" operator="equal">
      <formula>"En cours"</formula>
    </cfRule>
    <cfRule type="cellIs" dxfId="450" priority="74666" stopIfTrue="1" operator="notEqual">
      <formula>"En cours"</formula>
    </cfRule>
  </conditionalFormatting>
  <conditionalFormatting sqref="AK114">
    <cfRule type="cellIs" dxfId="449" priority="74667" stopIfTrue="1" operator="equal">
      <formula>"En cours"</formula>
    </cfRule>
    <cfRule type="cellIs" dxfId="448" priority="74668" stopIfTrue="1" operator="notEqual">
      <formula>"En cours"</formula>
    </cfRule>
  </conditionalFormatting>
  <conditionalFormatting sqref="AJ109">
    <cfRule type="cellIs" dxfId="447" priority="74673" stopIfTrue="1" operator="equal">
      <formula>"En cours"</formula>
    </cfRule>
  </conditionalFormatting>
  <conditionalFormatting sqref="AJ109">
    <cfRule type="cellIs" dxfId="446" priority="74674" stopIfTrue="1" operator="notEqual">
      <formula>"En cours"</formula>
    </cfRule>
  </conditionalFormatting>
  <conditionalFormatting sqref="AK109">
    <cfRule type="cellIs" dxfId="445" priority="74675" stopIfTrue="1" operator="equal">
      <formula>"En cours"</formula>
    </cfRule>
  </conditionalFormatting>
  <conditionalFormatting sqref="AK109">
    <cfRule type="cellIs" dxfId="444" priority="74676" stopIfTrue="1" operator="notEqual">
      <formula>"En cours"</formula>
    </cfRule>
  </conditionalFormatting>
  <conditionalFormatting sqref="AJ119">
    <cfRule type="cellIs" dxfId="443" priority="74681" stopIfTrue="1" operator="equal">
      <formula>"En cours"</formula>
    </cfRule>
  </conditionalFormatting>
  <conditionalFormatting sqref="AJ119">
    <cfRule type="cellIs" dxfId="442" priority="74682" stopIfTrue="1" operator="notEqual">
      <formula>"En cours"</formula>
    </cfRule>
  </conditionalFormatting>
  <conditionalFormatting sqref="AK119">
    <cfRule type="cellIs" dxfId="441" priority="74683" stopIfTrue="1" operator="equal">
      <formula>"En cours"</formula>
    </cfRule>
  </conditionalFormatting>
  <conditionalFormatting sqref="AK119">
    <cfRule type="cellIs" dxfId="440" priority="74684" stopIfTrue="1" operator="notEqual">
      <formula>"En cours"</formula>
    </cfRule>
  </conditionalFormatting>
  <conditionalFormatting sqref="AJ112">
    <cfRule type="cellIs" dxfId="439" priority="74689" stopIfTrue="1" operator="equal">
      <formula>"En cours"</formula>
    </cfRule>
    <cfRule type="cellIs" dxfId="438" priority="74690" stopIfTrue="1" operator="notEqual">
      <formula>"En cours"</formula>
    </cfRule>
  </conditionalFormatting>
  <conditionalFormatting sqref="AK112">
    <cfRule type="cellIs" dxfId="437" priority="74691" stopIfTrue="1" operator="equal">
      <formula>"En cours"</formula>
    </cfRule>
    <cfRule type="cellIs" dxfId="436" priority="74692" stopIfTrue="1" operator="notEqual">
      <formula>"En cours"</formula>
    </cfRule>
  </conditionalFormatting>
  <conditionalFormatting sqref="AJ115">
    <cfRule type="cellIs" dxfId="435" priority="74693" stopIfTrue="1" operator="equal">
      <formula>"En cours"</formula>
    </cfRule>
  </conditionalFormatting>
  <conditionalFormatting sqref="AJ115">
    <cfRule type="cellIs" dxfId="434" priority="74694" stopIfTrue="1" operator="notEqual">
      <formula>"En cours"</formula>
    </cfRule>
  </conditionalFormatting>
  <conditionalFormatting sqref="AK115">
    <cfRule type="cellIs" dxfId="433" priority="74695" stopIfTrue="1" operator="equal">
      <formula>"En cours"</formula>
    </cfRule>
  </conditionalFormatting>
  <conditionalFormatting sqref="AK115">
    <cfRule type="cellIs" dxfId="432" priority="74696" stopIfTrue="1" operator="notEqual">
      <formula>"En cours"</formula>
    </cfRule>
  </conditionalFormatting>
  <conditionalFormatting sqref="AJ116">
    <cfRule type="cellIs" dxfId="431" priority="74697" stopIfTrue="1" operator="equal">
      <formula>"En cours"</formula>
    </cfRule>
  </conditionalFormatting>
  <conditionalFormatting sqref="AJ116">
    <cfRule type="cellIs" dxfId="430" priority="74698" stopIfTrue="1" operator="notEqual">
      <formula>"En cours"</formula>
    </cfRule>
  </conditionalFormatting>
  <conditionalFormatting sqref="AK116">
    <cfRule type="cellIs" dxfId="429" priority="74699" stopIfTrue="1" operator="equal">
      <formula>"En cours"</formula>
    </cfRule>
  </conditionalFormatting>
  <conditionalFormatting sqref="AK116">
    <cfRule type="cellIs" dxfId="428" priority="74700" stopIfTrue="1" operator="notEqual">
      <formula>"En cours"</formula>
    </cfRule>
  </conditionalFormatting>
  <conditionalFormatting sqref="AJ117">
    <cfRule type="cellIs" dxfId="427" priority="74705" stopIfTrue="1" operator="equal">
      <formula>"En cours"</formula>
    </cfRule>
  </conditionalFormatting>
  <conditionalFormatting sqref="AJ117">
    <cfRule type="cellIs" dxfId="426" priority="74706" stopIfTrue="1" operator="notEqual">
      <formula>"En cours"</formula>
    </cfRule>
  </conditionalFormatting>
  <conditionalFormatting sqref="AK117">
    <cfRule type="cellIs" dxfId="425" priority="74707" stopIfTrue="1" operator="equal">
      <formula>"En cours"</formula>
    </cfRule>
  </conditionalFormatting>
  <conditionalFormatting sqref="AK117">
    <cfRule type="cellIs" dxfId="424" priority="74708" stopIfTrue="1" operator="notEqual">
      <formula>"En cours"</formula>
    </cfRule>
  </conditionalFormatting>
  <conditionalFormatting sqref="AJ113">
    <cfRule type="cellIs" dxfId="423" priority="74709" stopIfTrue="1" operator="equal">
      <formula>"En cours"</formula>
    </cfRule>
    <cfRule type="cellIs" dxfId="422" priority="74710" stopIfTrue="1" operator="notEqual">
      <formula>"En cours"</formula>
    </cfRule>
  </conditionalFormatting>
  <conditionalFormatting sqref="AK113">
    <cfRule type="cellIs" dxfId="421" priority="74711" stopIfTrue="1" operator="equal">
      <formula>"En cours"</formula>
    </cfRule>
    <cfRule type="cellIs" dxfId="420" priority="74712" stopIfTrue="1" operator="notEqual">
      <formula>"En cours"</formula>
    </cfRule>
  </conditionalFormatting>
  <conditionalFormatting sqref="AJ118">
    <cfRule type="cellIs" dxfId="419" priority="74713" stopIfTrue="1" operator="equal">
      <formula>"En cours"</formula>
    </cfRule>
    <cfRule type="cellIs" dxfId="418" priority="74714" stopIfTrue="1" operator="notEqual">
      <formula>"En cours"</formula>
    </cfRule>
  </conditionalFormatting>
  <conditionalFormatting sqref="AK118">
    <cfRule type="cellIs" dxfId="417" priority="74715" stopIfTrue="1" operator="equal">
      <formula>"En cours"</formula>
    </cfRule>
    <cfRule type="cellIs" dxfId="416" priority="74716" stopIfTrue="1" operator="notEqual">
      <formula>"En cours"</formula>
    </cfRule>
  </conditionalFormatting>
  <conditionalFormatting sqref="AJ111">
    <cfRule type="cellIs" dxfId="415" priority="74717" stopIfTrue="1" operator="equal">
      <formula>"En cours"</formula>
    </cfRule>
    <cfRule type="cellIs" dxfId="414" priority="74718" stopIfTrue="1" operator="notEqual">
      <formula>"En cours"</formula>
    </cfRule>
  </conditionalFormatting>
  <conditionalFormatting sqref="AK111">
    <cfRule type="cellIs" dxfId="413" priority="74719" stopIfTrue="1" operator="equal">
      <formula>"En cours"</formula>
    </cfRule>
    <cfRule type="cellIs" dxfId="412" priority="74720" stopIfTrue="1" operator="notEqual">
      <formula>"En cours"</formula>
    </cfRule>
  </conditionalFormatting>
  <conditionalFormatting sqref="AJ108">
    <cfRule type="cellIs" dxfId="411" priority="74721" stopIfTrue="1" operator="equal">
      <formula>"En cours"</formula>
    </cfRule>
  </conditionalFormatting>
  <conditionalFormatting sqref="AJ108">
    <cfRule type="cellIs" dxfId="410" priority="74722" stopIfTrue="1" operator="notEqual">
      <formula>"En cours"</formula>
    </cfRule>
  </conditionalFormatting>
  <conditionalFormatting sqref="AK108">
    <cfRule type="cellIs" dxfId="409" priority="74723" stopIfTrue="1" operator="equal">
      <formula>"En cours"</formula>
    </cfRule>
  </conditionalFormatting>
  <conditionalFormatting sqref="AK108">
    <cfRule type="cellIs" dxfId="408" priority="74724" stopIfTrue="1" operator="notEqual">
      <formula>"En cours"</formula>
    </cfRule>
  </conditionalFormatting>
  <conditionalFormatting sqref="AJ120">
    <cfRule type="cellIs" dxfId="407" priority="74729" stopIfTrue="1" operator="equal">
      <formula>"En cours"</formula>
    </cfRule>
  </conditionalFormatting>
  <conditionalFormatting sqref="AJ120">
    <cfRule type="cellIs" dxfId="406" priority="74730" stopIfTrue="1" operator="notEqual">
      <formula>"En cours"</formula>
    </cfRule>
  </conditionalFormatting>
  <conditionalFormatting sqref="AK120">
    <cfRule type="cellIs" dxfId="405" priority="74731" stopIfTrue="1" operator="equal">
      <formula>"En cours"</formula>
    </cfRule>
  </conditionalFormatting>
  <conditionalFormatting sqref="AK120">
    <cfRule type="cellIs" dxfId="404" priority="74732" stopIfTrue="1" operator="notEqual">
      <formula>"En cours"</formula>
    </cfRule>
  </conditionalFormatting>
  <conditionalFormatting sqref="AJ121">
    <cfRule type="cellIs" dxfId="403" priority="74737" stopIfTrue="1" operator="equal">
      <formula>"En cours"</formula>
    </cfRule>
  </conditionalFormatting>
  <conditionalFormatting sqref="AJ121">
    <cfRule type="cellIs" dxfId="402" priority="74738" stopIfTrue="1" operator="notEqual">
      <formula>"En cours"</formula>
    </cfRule>
  </conditionalFormatting>
  <conditionalFormatting sqref="AK121">
    <cfRule type="cellIs" dxfId="401" priority="74739" stopIfTrue="1" operator="equal">
      <formula>"En cours"</formula>
    </cfRule>
  </conditionalFormatting>
  <conditionalFormatting sqref="AK121">
    <cfRule type="cellIs" dxfId="400" priority="74740" stopIfTrue="1" operator="notEqual">
      <formula>"En cours"</formula>
    </cfRule>
  </conditionalFormatting>
  <conditionalFormatting sqref="AJ107">
    <cfRule type="cellIs" dxfId="399" priority="74741" stopIfTrue="1" operator="equal">
      <formula>"En cours"</formula>
    </cfRule>
  </conditionalFormatting>
  <conditionalFormatting sqref="AJ107">
    <cfRule type="cellIs" dxfId="398" priority="74742" stopIfTrue="1" operator="notEqual">
      <formula>"En cours"</formula>
    </cfRule>
  </conditionalFormatting>
  <conditionalFormatting sqref="AK107">
    <cfRule type="cellIs" dxfId="397" priority="74743" stopIfTrue="1" operator="equal">
      <formula>"En cours"</formula>
    </cfRule>
  </conditionalFormatting>
  <conditionalFormatting sqref="AK107">
    <cfRule type="cellIs" dxfId="396" priority="74744" stopIfTrue="1" operator="notEqual">
      <formula>"En cours"</formula>
    </cfRule>
  </conditionalFormatting>
  <conditionalFormatting sqref="AJ97">
    <cfRule type="cellIs" dxfId="395" priority="75565" stopIfTrue="1" operator="equal">
      <formula>"En cours"</formula>
    </cfRule>
  </conditionalFormatting>
  <conditionalFormatting sqref="AJ97">
    <cfRule type="cellIs" dxfId="394" priority="75566" stopIfTrue="1" operator="notEqual">
      <formula>"En cours"</formula>
    </cfRule>
  </conditionalFormatting>
  <conditionalFormatting sqref="AK97">
    <cfRule type="cellIs" dxfId="393" priority="75567" stopIfTrue="1" operator="equal">
      <formula>"En cours"</formula>
    </cfRule>
  </conditionalFormatting>
  <conditionalFormatting sqref="AK97">
    <cfRule type="cellIs" dxfId="392" priority="75568" stopIfTrue="1" operator="notEqual">
      <formula>"En cours"</formula>
    </cfRule>
  </conditionalFormatting>
  <conditionalFormatting sqref="AJ95">
    <cfRule type="cellIs" dxfId="391" priority="75569" stopIfTrue="1" operator="equal">
      <formula>"En cours"</formula>
    </cfRule>
  </conditionalFormatting>
  <conditionalFormatting sqref="AJ95">
    <cfRule type="cellIs" dxfId="390" priority="75570" stopIfTrue="1" operator="notEqual">
      <formula>"En cours"</formula>
    </cfRule>
  </conditionalFormatting>
  <conditionalFormatting sqref="AK95">
    <cfRule type="cellIs" dxfId="389" priority="75571" stopIfTrue="1" operator="equal">
      <formula>"En cours"</formula>
    </cfRule>
  </conditionalFormatting>
  <conditionalFormatting sqref="AK95">
    <cfRule type="cellIs" dxfId="388" priority="75572" stopIfTrue="1" operator="notEqual">
      <formula>"En cours"</formula>
    </cfRule>
  </conditionalFormatting>
  <conditionalFormatting sqref="AJ99">
    <cfRule type="cellIs" dxfId="387" priority="75589" stopIfTrue="1" operator="equal">
      <formula>"En cours"</formula>
    </cfRule>
  </conditionalFormatting>
  <conditionalFormatting sqref="AJ99">
    <cfRule type="cellIs" dxfId="386" priority="75590" stopIfTrue="1" operator="notEqual">
      <formula>"En cours"</formula>
    </cfRule>
  </conditionalFormatting>
  <conditionalFormatting sqref="AK99">
    <cfRule type="cellIs" dxfId="385" priority="75591" stopIfTrue="1" operator="equal">
      <formula>"En cours"</formula>
    </cfRule>
  </conditionalFormatting>
  <conditionalFormatting sqref="AK99">
    <cfRule type="cellIs" dxfId="384" priority="75592" stopIfTrue="1" operator="notEqual">
      <formula>"En cours"</formula>
    </cfRule>
  </conditionalFormatting>
  <conditionalFormatting sqref="AJ101">
    <cfRule type="cellIs" dxfId="383" priority="75613" stopIfTrue="1" operator="equal">
      <formula>"En cours"</formula>
    </cfRule>
  </conditionalFormatting>
  <conditionalFormatting sqref="AJ101">
    <cfRule type="cellIs" dxfId="382" priority="75614" stopIfTrue="1" operator="notEqual">
      <formula>"En cours"</formula>
    </cfRule>
  </conditionalFormatting>
  <conditionalFormatting sqref="AK101">
    <cfRule type="cellIs" dxfId="381" priority="75615" stopIfTrue="1" operator="equal">
      <formula>"En cours"</formula>
    </cfRule>
  </conditionalFormatting>
  <conditionalFormatting sqref="AK101">
    <cfRule type="cellIs" dxfId="380" priority="75616" stopIfTrue="1" operator="notEqual">
      <formula>"En cours"</formula>
    </cfRule>
  </conditionalFormatting>
  <conditionalFormatting sqref="AJ96">
    <cfRule type="cellIs" dxfId="379" priority="75617" stopIfTrue="1" operator="equal">
      <formula>"En cours"</formula>
    </cfRule>
  </conditionalFormatting>
  <conditionalFormatting sqref="AJ96">
    <cfRule type="cellIs" dxfId="378" priority="75618" stopIfTrue="1" operator="notEqual">
      <formula>"En cours"</formula>
    </cfRule>
  </conditionalFormatting>
  <conditionalFormatting sqref="AK96">
    <cfRule type="cellIs" dxfId="377" priority="75619" stopIfTrue="1" operator="equal">
      <formula>"En cours"</formula>
    </cfRule>
  </conditionalFormatting>
  <conditionalFormatting sqref="AK96">
    <cfRule type="cellIs" dxfId="376" priority="75620" stopIfTrue="1" operator="notEqual">
      <formula>"En cours"</formula>
    </cfRule>
  </conditionalFormatting>
  <conditionalFormatting sqref="AJ100">
    <cfRule type="cellIs" dxfId="375" priority="75621" stopIfTrue="1" operator="equal">
      <formula>"En cours"</formula>
    </cfRule>
  </conditionalFormatting>
  <conditionalFormatting sqref="AJ100">
    <cfRule type="cellIs" dxfId="374" priority="75622" stopIfTrue="1" operator="notEqual">
      <formula>"En cours"</formula>
    </cfRule>
  </conditionalFormatting>
  <conditionalFormatting sqref="AK100">
    <cfRule type="cellIs" dxfId="373" priority="75623" stopIfTrue="1" operator="equal">
      <formula>"En cours"</formula>
    </cfRule>
  </conditionalFormatting>
  <conditionalFormatting sqref="AK100">
    <cfRule type="cellIs" dxfId="372" priority="75624" stopIfTrue="1" operator="notEqual">
      <formula>"En cours"</formula>
    </cfRule>
  </conditionalFormatting>
  <conditionalFormatting sqref="AJ98">
    <cfRule type="cellIs" dxfId="371" priority="75625" stopIfTrue="1" operator="equal">
      <formula>"En cours"</formula>
    </cfRule>
  </conditionalFormatting>
  <conditionalFormatting sqref="AJ98">
    <cfRule type="cellIs" dxfId="370" priority="75626" stopIfTrue="1" operator="notEqual">
      <formula>"En cours"</formula>
    </cfRule>
  </conditionalFormatting>
  <conditionalFormatting sqref="AK98">
    <cfRule type="cellIs" dxfId="369" priority="75627" stopIfTrue="1" operator="equal">
      <formula>"En cours"</formula>
    </cfRule>
  </conditionalFormatting>
  <conditionalFormatting sqref="AK98">
    <cfRule type="cellIs" dxfId="368" priority="75628" stopIfTrue="1" operator="notEqual">
      <formula>"En cours"</formula>
    </cfRule>
  </conditionalFormatting>
  <conditionalFormatting sqref="AJ102">
    <cfRule type="cellIs" dxfId="367" priority="75633" stopIfTrue="1" operator="equal">
      <formula>"En cours"</formula>
    </cfRule>
  </conditionalFormatting>
  <conditionalFormatting sqref="AJ102">
    <cfRule type="cellIs" dxfId="366" priority="75634" stopIfTrue="1" operator="notEqual">
      <formula>"En cours"</formula>
    </cfRule>
  </conditionalFormatting>
  <conditionalFormatting sqref="AK102">
    <cfRule type="cellIs" dxfId="365" priority="75635" stopIfTrue="1" operator="equal">
      <formula>"En cours"</formula>
    </cfRule>
  </conditionalFormatting>
  <conditionalFormatting sqref="AK102">
    <cfRule type="cellIs" dxfId="364" priority="75636" stopIfTrue="1" operator="notEqual">
      <formula>"En cours"</formula>
    </cfRule>
  </conditionalFormatting>
  <conditionalFormatting sqref="AJ37">
    <cfRule type="cellIs" dxfId="363" priority="82805" stopIfTrue="1" operator="equal">
      <formula>"En cours"</formula>
    </cfRule>
  </conditionalFormatting>
  <conditionalFormatting sqref="AJ37">
    <cfRule type="cellIs" dxfId="362" priority="82806" stopIfTrue="1" operator="notEqual">
      <formula>"En cours"</formula>
    </cfRule>
  </conditionalFormatting>
  <conditionalFormatting sqref="AK37">
    <cfRule type="cellIs" dxfId="361" priority="82807" stopIfTrue="1" operator="equal">
      <formula>"En cours"</formula>
    </cfRule>
  </conditionalFormatting>
  <conditionalFormatting sqref="AK37">
    <cfRule type="cellIs" dxfId="360" priority="82808" stopIfTrue="1" operator="notEqual">
      <formula>"En cours"</formula>
    </cfRule>
  </conditionalFormatting>
  <conditionalFormatting sqref="AJ35">
    <cfRule type="cellIs" dxfId="359" priority="82833" stopIfTrue="1" operator="equal">
      <formula>"En cours"</formula>
    </cfRule>
  </conditionalFormatting>
  <conditionalFormatting sqref="AJ35">
    <cfRule type="cellIs" dxfId="358" priority="82834" stopIfTrue="1" operator="notEqual">
      <formula>"En cours"</formula>
    </cfRule>
  </conditionalFormatting>
  <conditionalFormatting sqref="AK35">
    <cfRule type="cellIs" dxfId="357" priority="82835" stopIfTrue="1" operator="equal">
      <formula>"En cours"</formula>
    </cfRule>
  </conditionalFormatting>
  <conditionalFormatting sqref="AK35">
    <cfRule type="cellIs" dxfId="356" priority="82836" stopIfTrue="1" operator="notEqual">
      <formula>"En cours"</formula>
    </cfRule>
  </conditionalFormatting>
  <conditionalFormatting sqref="AJ36">
    <cfRule type="cellIs" dxfId="355" priority="82837" stopIfTrue="1" operator="equal">
      <formula>"En cours"</formula>
    </cfRule>
  </conditionalFormatting>
  <conditionalFormatting sqref="AJ36">
    <cfRule type="cellIs" dxfId="354" priority="82838" stopIfTrue="1" operator="notEqual">
      <formula>"En cours"</formula>
    </cfRule>
  </conditionalFormatting>
  <conditionalFormatting sqref="AK36">
    <cfRule type="cellIs" dxfId="353" priority="82839" stopIfTrue="1" operator="equal">
      <formula>"En cours"</formula>
    </cfRule>
  </conditionalFormatting>
  <conditionalFormatting sqref="AK36">
    <cfRule type="cellIs" dxfId="352" priority="82840" stopIfTrue="1" operator="notEqual">
      <formula>"En cours"</formula>
    </cfRule>
  </conditionalFormatting>
  <conditionalFormatting sqref="AJ34">
    <cfRule type="cellIs" dxfId="351" priority="82845" stopIfTrue="1" operator="equal">
      <formula>"En cours"</formula>
    </cfRule>
  </conditionalFormatting>
  <conditionalFormatting sqref="AJ34">
    <cfRule type="cellIs" dxfId="350" priority="82846" stopIfTrue="1" operator="notEqual">
      <formula>"En cours"</formula>
    </cfRule>
  </conditionalFormatting>
  <conditionalFormatting sqref="AK34">
    <cfRule type="cellIs" dxfId="349" priority="82847" stopIfTrue="1" operator="equal">
      <formula>"En cours"</formula>
    </cfRule>
  </conditionalFormatting>
  <conditionalFormatting sqref="AK34">
    <cfRule type="cellIs" dxfId="348" priority="82848" stopIfTrue="1" operator="notEqual">
      <formula>"En cours"</formula>
    </cfRule>
  </conditionalFormatting>
  <conditionalFormatting sqref="AJ40">
    <cfRule type="cellIs" dxfId="347" priority="82849" stopIfTrue="1" operator="equal">
      <formula>"En cours"</formula>
    </cfRule>
  </conditionalFormatting>
  <conditionalFormatting sqref="AJ40">
    <cfRule type="cellIs" dxfId="346" priority="82850" stopIfTrue="1" operator="notEqual">
      <formula>"En cours"</formula>
    </cfRule>
  </conditionalFormatting>
  <conditionalFormatting sqref="AK40">
    <cfRule type="cellIs" dxfId="345" priority="82851" stopIfTrue="1" operator="equal">
      <formula>"En cours"</formula>
    </cfRule>
  </conditionalFormatting>
  <conditionalFormatting sqref="AK40">
    <cfRule type="cellIs" dxfId="344" priority="82852" stopIfTrue="1" operator="notEqual">
      <formula>"En cours"</formula>
    </cfRule>
  </conditionalFormatting>
  <conditionalFormatting sqref="AJ42">
    <cfRule type="cellIs" dxfId="343" priority="82853" stopIfTrue="1" operator="equal">
      <formula>"En cours"</formula>
    </cfRule>
  </conditionalFormatting>
  <conditionalFormatting sqref="AJ42">
    <cfRule type="cellIs" dxfId="342" priority="82854" stopIfTrue="1" operator="notEqual">
      <formula>"En cours"</formula>
    </cfRule>
  </conditionalFormatting>
  <conditionalFormatting sqref="AK42">
    <cfRule type="cellIs" dxfId="341" priority="82855" stopIfTrue="1" operator="equal">
      <formula>"En cours"</formula>
    </cfRule>
  </conditionalFormatting>
  <conditionalFormatting sqref="AK42">
    <cfRule type="cellIs" dxfId="340" priority="82856" stopIfTrue="1" operator="notEqual">
      <formula>"En cours"</formula>
    </cfRule>
  </conditionalFormatting>
  <conditionalFormatting sqref="AJ41">
    <cfRule type="cellIs" dxfId="339" priority="82857" stopIfTrue="1" operator="equal">
      <formula>"En cours"</formula>
    </cfRule>
  </conditionalFormatting>
  <conditionalFormatting sqref="AJ41">
    <cfRule type="cellIs" dxfId="338" priority="82858" stopIfTrue="1" operator="notEqual">
      <formula>"En cours"</formula>
    </cfRule>
  </conditionalFormatting>
  <conditionalFormatting sqref="AK41">
    <cfRule type="cellIs" dxfId="337" priority="82859" stopIfTrue="1" operator="equal">
      <formula>"En cours"</formula>
    </cfRule>
  </conditionalFormatting>
  <conditionalFormatting sqref="AK41">
    <cfRule type="cellIs" dxfId="336" priority="82860" stopIfTrue="1" operator="notEqual">
      <formula>"En cours"</formula>
    </cfRule>
  </conditionalFormatting>
  <conditionalFormatting sqref="AJ43">
    <cfRule type="cellIs" dxfId="335" priority="82861" stopIfTrue="1" operator="equal">
      <formula>"En cours"</formula>
    </cfRule>
  </conditionalFormatting>
  <conditionalFormatting sqref="AJ43">
    <cfRule type="cellIs" dxfId="334" priority="82862" stopIfTrue="1" operator="notEqual">
      <formula>"En cours"</formula>
    </cfRule>
  </conditionalFormatting>
  <conditionalFormatting sqref="AK43">
    <cfRule type="cellIs" dxfId="333" priority="82863" stopIfTrue="1" operator="equal">
      <formula>"En cours"</formula>
    </cfRule>
  </conditionalFormatting>
  <conditionalFormatting sqref="AK43">
    <cfRule type="cellIs" dxfId="332" priority="82864" stopIfTrue="1" operator="notEqual">
      <formula>"En cours"</formula>
    </cfRule>
  </conditionalFormatting>
  <conditionalFormatting sqref="AJ38">
    <cfRule type="cellIs" dxfId="331" priority="82865" stopIfTrue="1" operator="equal">
      <formula>"En cours"</formula>
    </cfRule>
  </conditionalFormatting>
  <conditionalFormatting sqref="AJ38">
    <cfRule type="cellIs" dxfId="330" priority="82866" stopIfTrue="1" operator="notEqual">
      <formula>"En cours"</formula>
    </cfRule>
  </conditionalFormatting>
  <conditionalFormatting sqref="AK38">
    <cfRule type="cellIs" dxfId="329" priority="82867" stopIfTrue="1" operator="equal">
      <formula>"En cours"</formula>
    </cfRule>
  </conditionalFormatting>
  <conditionalFormatting sqref="AK38">
    <cfRule type="cellIs" dxfId="328" priority="82868" stopIfTrue="1" operator="notEqual">
      <formula>"En cours"</formula>
    </cfRule>
  </conditionalFormatting>
  <conditionalFormatting sqref="AJ45">
    <cfRule type="cellIs" dxfId="327" priority="82869" stopIfTrue="1" operator="equal">
      <formula>"En cours"</formula>
    </cfRule>
  </conditionalFormatting>
  <conditionalFormatting sqref="AJ45">
    <cfRule type="cellIs" dxfId="326" priority="82870" stopIfTrue="1" operator="notEqual">
      <formula>"En cours"</formula>
    </cfRule>
  </conditionalFormatting>
  <conditionalFormatting sqref="AK45">
    <cfRule type="cellIs" dxfId="325" priority="82871" stopIfTrue="1" operator="equal">
      <formula>"En cours"</formula>
    </cfRule>
  </conditionalFormatting>
  <conditionalFormatting sqref="AK45">
    <cfRule type="cellIs" dxfId="324" priority="82872" stopIfTrue="1" operator="notEqual">
      <formula>"En cours"</formula>
    </cfRule>
  </conditionalFormatting>
  <conditionalFormatting sqref="AJ51">
    <cfRule type="cellIs" dxfId="323" priority="82873" stopIfTrue="1" operator="equal">
      <formula>"En cours"</formula>
    </cfRule>
  </conditionalFormatting>
  <conditionalFormatting sqref="AJ51">
    <cfRule type="cellIs" dxfId="322" priority="82874" stopIfTrue="1" operator="notEqual">
      <formula>"En cours"</formula>
    </cfRule>
  </conditionalFormatting>
  <conditionalFormatting sqref="AK51">
    <cfRule type="cellIs" dxfId="321" priority="82875" stopIfTrue="1" operator="equal">
      <formula>"En cours"</formula>
    </cfRule>
  </conditionalFormatting>
  <conditionalFormatting sqref="AK51">
    <cfRule type="cellIs" dxfId="320" priority="82876" stopIfTrue="1" operator="notEqual">
      <formula>"En cours"</formula>
    </cfRule>
  </conditionalFormatting>
  <conditionalFormatting sqref="AJ46">
    <cfRule type="cellIs" dxfId="319" priority="82877" stopIfTrue="1" operator="equal">
      <formula>"En cours"</formula>
    </cfRule>
  </conditionalFormatting>
  <conditionalFormatting sqref="AJ46">
    <cfRule type="cellIs" dxfId="318" priority="82878" stopIfTrue="1" operator="notEqual">
      <formula>"En cours"</formula>
    </cfRule>
  </conditionalFormatting>
  <conditionalFormatting sqref="AK46">
    <cfRule type="cellIs" dxfId="317" priority="82879" stopIfTrue="1" operator="equal">
      <formula>"En cours"</formula>
    </cfRule>
  </conditionalFormatting>
  <conditionalFormatting sqref="AK46">
    <cfRule type="cellIs" dxfId="316" priority="82880" stopIfTrue="1" operator="notEqual">
      <formula>"En cours"</formula>
    </cfRule>
  </conditionalFormatting>
  <conditionalFormatting sqref="AJ47">
    <cfRule type="cellIs" dxfId="315" priority="82881" stopIfTrue="1" operator="equal">
      <formula>"En cours"</formula>
    </cfRule>
  </conditionalFormatting>
  <conditionalFormatting sqref="AJ47">
    <cfRule type="cellIs" dxfId="314" priority="82882" stopIfTrue="1" operator="notEqual">
      <formula>"En cours"</formula>
    </cfRule>
  </conditionalFormatting>
  <conditionalFormatting sqref="AK47">
    <cfRule type="cellIs" dxfId="313" priority="82883" stopIfTrue="1" operator="equal">
      <formula>"En cours"</formula>
    </cfRule>
  </conditionalFormatting>
  <conditionalFormatting sqref="AK47">
    <cfRule type="cellIs" dxfId="312" priority="82884" stopIfTrue="1" operator="notEqual">
      <formula>"En cours"</formula>
    </cfRule>
  </conditionalFormatting>
  <conditionalFormatting sqref="AJ58">
    <cfRule type="cellIs" dxfId="311" priority="82885" stopIfTrue="1" operator="equal">
      <formula>"En cours"</formula>
    </cfRule>
  </conditionalFormatting>
  <conditionalFormatting sqref="AJ58">
    <cfRule type="cellIs" dxfId="310" priority="82886" stopIfTrue="1" operator="notEqual">
      <formula>"En cours"</formula>
    </cfRule>
  </conditionalFormatting>
  <conditionalFormatting sqref="AK58">
    <cfRule type="cellIs" dxfId="309" priority="82887" stopIfTrue="1" operator="equal">
      <formula>"En cours"</formula>
    </cfRule>
  </conditionalFormatting>
  <conditionalFormatting sqref="AK58">
    <cfRule type="cellIs" dxfId="308" priority="82888" stopIfTrue="1" operator="notEqual">
      <formula>"En cours"</formula>
    </cfRule>
  </conditionalFormatting>
  <conditionalFormatting sqref="AJ39">
    <cfRule type="cellIs" dxfId="307" priority="82889" stopIfTrue="1" operator="equal">
      <formula>"En cours"</formula>
    </cfRule>
  </conditionalFormatting>
  <conditionalFormatting sqref="AJ39">
    <cfRule type="cellIs" dxfId="306" priority="82890" stopIfTrue="1" operator="notEqual">
      <formula>"En cours"</formula>
    </cfRule>
  </conditionalFormatting>
  <conditionalFormatting sqref="AK39">
    <cfRule type="cellIs" dxfId="305" priority="82891" stopIfTrue="1" operator="equal">
      <formula>"En cours"</formula>
    </cfRule>
  </conditionalFormatting>
  <conditionalFormatting sqref="AK39">
    <cfRule type="cellIs" dxfId="304" priority="82892" stopIfTrue="1" operator="notEqual">
      <formula>"En cours"</formula>
    </cfRule>
  </conditionalFormatting>
  <conditionalFormatting sqref="AJ54">
    <cfRule type="cellIs" dxfId="303" priority="82893" stopIfTrue="1" operator="equal">
      <formula>"En cours"</formula>
    </cfRule>
  </conditionalFormatting>
  <conditionalFormatting sqref="AJ54">
    <cfRule type="cellIs" dxfId="302" priority="82894" stopIfTrue="1" operator="notEqual">
      <formula>"En cours"</formula>
    </cfRule>
  </conditionalFormatting>
  <conditionalFormatting sqref="AK54">
    <cfRule type="cellIs" dxfId="301" priority="82895" stopIfTrue="1" operator="equal">
      <formula>"En cours"</formula>
    </cfRule>
  </conditionalFormatting>
  <conditionalFormatting sqref="AK54">
    <cfRule type="cellIs" dxfId="300" priority="82896" stopIfTrue="1" operator="notEqual">
      <formula>"En cours"</formula>
    </cfRule>
  </conditionalFormatting>
  <conditionalFormatting sqref="AJ55">
    <cfRule type="cellIs" dxfId="299" priority="82897" stopIfTrue="1" operator="equal">
      <formula>"En cours"</formula>
    </cfRule>
  </conditionalFormatting>
  <conditionalFormatting sqref="AJ55">
    <cfRule type="cellIs" dxfId="298" priority="82898" stopIfTrue="1" operator="notEqual">
      <formula>"En cours"</formula>
    </cfRule>
  </conditionalFormatting>
  <conditionalFormatting sqref="AK55">
    <cfRule type="cellIs" dxfId="297" priority="82899" stopIfTrue="1" operator="equal">
      <formula>"En cours"</formula>
    </cfRule>
  </conditionalFormatting>
  <conditionalFormatting sqref="AK55">
    <cfRule type="cellIs" dxfId="296" priority="82900" stopIfTrue="1" operator="notEqual">
      <formula>"En cours"</formula>
    </cfRule>
  </conditionalFormatting>
  <conditionalFormatting sqref="AJ44">
    <cfRule type="cellIs" dxfId="295" priority="82901" stopIfTrue="1" operator="equal">
      <formula>"En cours"</formula>
    </cfRule>
  </conditionalFormatting>
  <conditionalFormatting sqref="AJ44">
    <cfRule type="cellIs" dxfId="294" priority="82902" stopIfTrue="1" operator="notEqual">
      <formula>"En cours"</formula>
    </cfRule>
  </conditionalFormatting>
  <conditionalFormatting sqref="AK44">
    <cfRule type="cellIs" dxfId="293" priority="82903" stopIfTrue="1" operator="equal">
      <formula>"En cours"</formula>
    </cfRule>
  </conditionalFormatting>
  <conditionalFormatting sqref="AK44">
    <cfRule type="cellIs" dxfId="292" priority="82904" stopIfTrue="1" operator="notEqual">
      <formula>"En cours"</formula>
    </cfRule>
  </conditionalFormatting>
  <conditionalFormatting sqref="AJ52">
    <cfRule type="cellIs" dxfId="291" priority="82905" stopIfTrue="1" operator="equal">
      <formula>"En cours"</formula>
    </cfRule>
  </conditionalFormatting>
  <conditionalFormatting sqref="AJ52">
    <cfRule type="cellIs" dxfId="290" priority="82906" stopIfTrue="1" operator="notEqual">
      <formula>"En cours"</formula>
    </cfRule>
  </conditionalFormatting>
  <conditionalFormatting sqref="AK52">
    <cfRule type="cellIs" dxfId="289" priority="82907" stopIfTrue="1" operator="equal">
      <formula>"En cours"</formula>
    </cfRule>
  </conditionalFormatting>
  <conditionalFormatting sqref="AK52">
    <cfRule type="cellIs" dxfId="288" priority="82908" stopIfTrue="1" operator="notEqual">
      <formula>"En cours"</formula>
    </cfRule>
  </conditionalFormatting>
  <conditionalFormatting sqref="AJ56">
    <cfRule type="cellIs" dxfId="287" priority="82909" stopIfTrue="1" operator="equal">
      <formula>"En cours"</formula>
    </cfRule>
  </conditionalFormatting>
  <conditionalFormatting sqref="AJ56">
    <cfRule type="cellIs" dxfId="286" priority="82910" stopIfTrue="1" operator="notEqual">
      <formula>"En cours"</formula>
    </cfRule>
  </conditionalFormatting>
  <conditionalFormatting sqref="AK56">
    <cfRule type="cellIs" dxfId="285" priority="82911" stopIfTrue="1" operator="equal">
      <formula>"En cours"</formula>
    </cfRule>
  </conditionalFormatting>
  <conditionalFormatting sqref="AK56">
    <cfRule type="cellIs" dxfId="284" priority="82912" stopIfTrue="1" operator="notEqual">
      <formula>"En cours"</formula>
    </cfRule>
  </conditionalFormatting>
  <conditionalFormatting sqref="AJ63">
    <cfRule type="cellIs" dxfId="283" priority="82913" stopIfTrue="1" operator="equal">
      <formula>"En cours"</formula>
    </cfRule>
  </conditionalFormatting>
  <conditionalFormatting sqref="AJ63">
    <cfRule type="cellIs" dxfId="282" priority="82914" stopIfTrue="1" operator="notEqual">
      <formula>"En cours"</formula>
    </cfRule>
  </conditionalFormatting>
  <conditionalFormatting sqref="AK63">
    <cfRule type="cellIs" dxfId="281" priority="82915" stopIfTrue="1" operator="equal">
      <formula>"En cours"</formula>
    </cfRule>
  </conditionalFormatting>
  <conditionalFormatting sqref="AK63">
    <cfRule type="cellIs" dxfId="280" priority="82916" stopIfTrue="1" operator="notEqual">
      <formula>"En cours"</formula>
    </cfRule>
  </conditionalFormatting>
  <conditionalFormatting sqref="AJ48">
    <cfRule type="cellIs" dxfId="279" priority="82917" stopIfTrue="1" operator="equal">
      <formula>"En cours"</formula>
    </cfRule>
  </conditionalFormatting>
  <conditionalFormatting sqref="AJ48">
    <cfRule type="cellIs" dxfId="278" priority="82918" stopIfTrue="1" operator="notEqual">
      <formula>"En cours"</formula>
    </cfRule>
  </conditionalFormatting>
  <conditionalFormatting sqref="AK48">
    <cfRule type="cellIs" dxfId="277" priority="82919" stopIfTrue="1" operator="equal">
      <formula>"En cours"</formula>
    </cfRule>
  </conditionalFormatting>
  <conditionalFormatting sqref="AK48">
    <cfRule type="cellIs" dxfId="276" priority="82920" stopIfTrue="1" operator="notEqual">
      <formula>"En cours"</formula>
    </cfRule>
  </conditionalFormatting>
  <conditionalFormatting sqref="AJ49">
    <cfRule type="cellIs" dxfId="275" priority="82921" stopIfTrue="1" operator="equal">
      <formula>"En cours"</formula>
    </cfRule>
  </conditionalFormatting>
  <conditionalFormatting sqref="AJ49">
    <cfRule type="cellIs" dxfId="274" priority="82922" stopIfTrue="1" operator="notEqual">
      <formula>"En cours"</formula>
    </cfRule>
  </conditionalFormatting>
  <conditionalFormatting sqref="AK49">
    <cfRule type="cellIs" dxfId="273" priority="82923" stopIfTrue="1" operator="equal">
      <formula>"En cours"</formula>
    </cfRule>
  </conditionalFormatting>
  <conditionalFormatting sqref="AK49">
    <cfRule type="cellIs" dxfId="272" priority="82924" stopIfTrue="1" operator="notEqual">
      <formula>"En cours"</formula>
    </cfRule>
  </conditionalFormatting>
  <conditionalFormatting sqref="AJ50">
    <cfRule type="cellIs" dxfId="271" priority="82925" stopIfTrue="1" operator="equal">
      <formula>"En cours"</formula>
    </cfRule>
  </conditionalFormatting>
  <conditionalFormatting sqref="AJ50">
    <cfRule type="cellIs" dxfId="270" priority="82926" stopIfTrue="1" operator="notEqual">
      <formula>"En cours"</formula>
    </cfRule>
  </conditionalFormatting>
  <conditionalFormatting sqref="AK50">
    <cfRule type="cellIs" dxfId="269" priority="82927" stopIfTrue="1" operator="equal">
      <formula>"En cours"</formula>
    </cfRule>
  </conditionalFormatting>
  <conditionalFormatting sqref="AK50">
    <cfRule type="cellIs" dxfId="268" priority="82928" stopIfTrue="1" operator="notEqual">
      <formula>"En cours"</formula>
    </cfRule>
  </conditionalFormatting>
  <conditionalFormatting sqref="AJ57">
    <cfRule type="cellIs" dxfId="267" priority="82929" stopIfTrue="1" operator="equal">
      <formula>"En cours"</formula>
    </cfRule>
  </conditionalFormatting>
  <conditionalFormatting sqref="AJ57">
    <cfRule type="cellIs" dxfId="266" priority="82930" stopIfTrue="1" operator="notEqual">
      <formula>"En cours"</formula>
    </cfRule>
  </conditionalFormatting>
  <conditionalFormatting sqref="AK57">
    <cfRule type="cellIs" dxfId="265" priority="82931" stopIfTrue="1" operator="equal">
      <formula>"En cours"</formula>
    </cfRule>
  </conditionalFormatting>
  <conditionalFormatting sqref="AK57">
    <cfRule type="cellIs" dxfId="264" priority="82932" stopIfTrue="1" operator="notEqual">
      <formula>"En cours"</formula>
    </cfRule>
  </conditionalFormatting>
  <conditionalFormatting sqref="AJ59">
    <cfRule type="cellIs" dxfId="263" priority="82933" stopIfTrue="1" operator="equal">
      <formula>"En cours"</formula>
    </cfRule>
  </conditionalFormatting>
  <conditionalFormatting sqref="AJ59">
    <cfRule type="cellIs" dxfId="262" priority="82934" stopIfTrue="1" operator="notEqual">
      <formula>"En cours"</formula>
    </cfRule>
  </conditionalFormatting>
  <conditionalFormatting sqref="AK59">
    <cfRule type="cellIs" dxfId="261" priority="82935" stopIfTrue="1" operator="equal">
      <formula>"En cours"</formula>
    </cfRule>
  </conditionalFormatting>
  <conditionalFormatting sqref="AK59">
    <cfRule type="cellIs" dxfId="260" priority="82936" stopIfTrue="1" operator="notEqual">
      <formula>"En cours"</formula>
    </cfRule>
  </conditionalFormatting>
  <conditionalFormatting sqref="AJ66">
    <cfRule type="cellIs" dxfId="259" priority="82937" stopIfTrue="1" operator="equal">
      <formula>"En cours"</formula>
    </cfRule>
  </conditionalFormatting>
  <conditionalFormatting sqref="AJ66">
    <cfRule type="cellIs" dxfId="258" priority="82938" stopIfTrue="1" operator="notEqual">
      <formula>"En cours"</formula>
    </cfRule>
  </conditionalFormatting>
  <conditionalFormatting sqref="AK66">
    <cfRule type="cellIs" dxfId="257" priority="82939" stopIfTrue="1" operator="equal">
      <formula>"En cours"</formula>
    </cfRule>
  </conditionalFormatting>
  <conditionalFormatting sqref="AK66">
    <cfRule type="cellIs" dxfId="256" priority="82940" stopIfTrue="1" operator="notEqual">
      <formula>"En cours"</formula>
    </cfRule>
  </conditionalFormatting>
  <conditionalFormatting sqref="AJ53">
    <cfRule type="cellIs" dxfId="255" priority="82941" stopIfTrue="1" operator="equal">
      <formula>"En cours"</formula>
    </cfRule>
  </conditionalFormatting>
  <conditionalFormatting sqref="AJ53">
    <cfRule type="cellIs" dxfId="254" priority="82942" stopIfTrue="1" operator="notEqual">
      <formula>"En cours"</formula>
    </cfRule>
  </conditionalFormatting>
  <conditionalFormatting sqref="AK53">
    <cfRule type="cellIs" dxfId="253" priority="82943" stopIfTrue="1" operator="equal">
      <formula>"En cours"</formula>
    </cfRule>
  </conditionalFormatting>
  <conditionalFormatting sqref="AK53">
    <cfRule type="cellIs" dxfId="252" priority="82944" stopIfTrue="1" operator="notEqual">
      <formula>"En cours"</formula>
    </cfRule>
  </conditionalFormatting>
  <conditionalFormatting sqref="AJ65">
    <cfRule type="cellIs" dxfId="251" priority="82945" stopIfTrue="1" operator="equal">
      <formula>"En cours"</formula>
    </cfRule>
  </conditionalFormatting>
  <conditionalFormatting sqref="AJ65">
    <cfRule type="cellIs" dxfId="250" priority="82946" stopIfTrue="1" operator="notEqual">
      <formula>"En cours"</formula>
    </cfRule>
  </conditionalFormatting>
  <conditionalFormatting sqref="AK65">
    <cfRule type="cellIs" dxfId="249" priority="82947" stopIfTrue="1" operator="equal">
      <formula>"En cours"</formula>
    </cfRule>
  </conditionalFormatting>
  <conditionalFormatting sqref="AK65">
    <cfRule type="cellIs" dxfId="248" priority="82948" stopIfTrue="1" operator="notEqual">
      <formula>"En cours"</formula>
    </cfRule>
  </conditionalFormatting>
  <conditionalFormatting sqref="AJ62">
    <cfRule type="cellIs" dxfId="247" priority="82949" stopIfTrue="1" operator="equal">
      <formula>"En cours"</formula>
    </cfRule>
  </conditionalFormatting>
  <conditionalFormatting sqref="AJ62">
    <cfRule type="cellIs" dxfId="246" priority="82950" stopIfTrue="1" operator="notEqual">
      <formula>"En cours"</formula>
    </cfRule>
  </conditionalFormatting>
  <conditionalFormatting sqref="AK62">
    <cfRule type="cellIs" dxfId="245" priority="82951" stopIfTrue="1" operator="equal">
      <formula>"En cours"</formula>
    </cfRule>
  </conditionalFormatting>
  <conditionalFormatting sqref="AK62">
    <cfRule type="cellIs" dxfId="244" priority="82952" stopIfTrue="1" operator="notEqual">
      <formula>"En cours"</formula>
    </cfRule>
  </conditionalFormatting>
  <conditionalFormatting sqref="AJ61">
    <cfRule type="cellIs" dxfId="243" priority="82953" stopIfTrue="1" operator="equal">
      <formula>"En cours"</formula>
    </cfRule>
  </conditionalFormatting>
  <conditionalFormatting sqref="AJ61">
    <cfRule type="cellIs" dxfId="242" priority="82954" stopIfTrue="1" operator="notEqual">
      <formula>"En cours"</formula>
    </cfRule>
  </conditionalFormatting>
  <conditionalFormatting sqref="AK61">
    <cfRule type="cellIs" dxfId="241" priority="82955" stopIfTrue="1" operator="equal">
      <formula>"En cours"</formula>
    </cfRule>
  </conditionalFormatting>
  <conditionalFormatting sqref="AK61">
    <cfRule type="cellIs" dxfId="240" priority="82956" stopIfTrue="1" operator="notEqual">
      <formula>"En cours"</formula>
    </cfRule>
  </conditionalFormatting>
  <conditionalFormatting sqref="AJ67">
    <cfRule type="cellIs" dxfId="239" priority="82957" stopIfTrue="1" operator="equal">
      <formula>"En cours"</formula>
    </cfRule>
  </conditionalFormatting>
  <conditionalFormatting sqref="AJ67">
    <cfRule type="cellIs" dxfId="238" priority="82958" stopIfTrue="1" operator="notEqual">
      <formula>"En cours"</formula>
    </cfRule>
  </conditionalFormatting>
  <conditionalFormatting sqref="AK67">
    <cfRule type="cellIs" dxfId="237" priority="82959" stopIfTrue="1" operator="equal">
      <formula>"En cours"</formula>
    </cfRule>
  </conditionalFormatting>
  <conditionalFormatting sqref="AK67">
    <cfRule type="cellIs" dxfId="236" priority="82960" stopIfTrue="1" operator="notEqual">
      <formula>"En cours"</formula>
    </cfRule>
  </conditionalFormatting>
  <conditionalFormatting sqref="AJ60">
    <cfRule type="cellIs" dxfId="235" priority="82961" stopIfTrue="1" operator="equal">
      <formula>"En cours"</formula>
    </cfRule>
  </conditionalFormatting>
  <conditionalFormatting sqref="AJ60">
    <cfRule type="cellIs" dxfId="234" priority="82962" stopIfTrue="1" operator="notEqual">
      <formula>"En cours"</formula>
    </cfRule>
  </conditionalFormatting>
  <conditionalFormatting sqref="AK60">
    <cfRule type="cellIs" dxfId="233" priority="82963" stopIfTrue="1" operator="equal">
      <formula>"En cours"</formula>
    </cfRule>
  </conditionalFormatting>
  <conditionalFormatting sqref="AK60">
    <cfRule type="cellIs" dxfId="232" priority="82964" stopIfTrue="1" operator="notEqual">
      <formula>"En cours"</formula>
    </cfRule>
  </conditionalFormatting>
  <conditionalFormatting sqref="AJ64">
    <cfRule type="cellIs" dxfId="231" priority="82965" stopIfTrue="1" operator="equal">
      <formula>"En cours"</formula>
    </cfRule>
  </conditionalFormatting>
  <conditionalFormatting sqref="AJ64">
    <cfRule type="cellIs" dxfId="230" priority="82966" stopIfTrue="1" operator="notEqual">
      <formula>"En cours"</formula>
    </cfRule>
  </conditionalFormatting>
  <conditionalFormatting sqref="AK64">
    <cfRule type="cellIs" dxfId="229" priority="82967" stopIfTrue="1" operator="equal">
      <formula>"En cours"</formula>
    </cfRule>
  </conditionalFormatting>
  <conditionalFormatting sqref="AK64">
    <cfRule type="cellIs" dxfId="228" priority="82968" stopIfTrue="1" operator="notEqual">
      <formula>"En cours"</formula>
    </cfRule>
  </conditionalFormatting>
  <conditionalFormatting sqref="AJ68">
    <cfRule type="cellIs" dxfId="227" priority="82969" stopIfTrue="1" operator="equal">
      <formula>"En cours"</formula>
    </cfRule>
  </conditionalFormatting>
  <conditionalFormatting sqref="AJ68">
    <cfRule type="cellIs" dxfId="226" priority="82970" stopIfTrue="1" operator="notEqual">
      <formula>"En cours"</formula>
    </cfRule>
  </conditionalFormatting>
  <conditionalFormatting sqref="AK68">
    <cfRule type="cellIs" dxfId="225" priority="82971" stopIfTrue="1" operator="equal">
      <formula>"En cours"</formula>
    </cfRule>
  </conditionalFormatting>
  <conditionalFormatting sqref="AK68">
    <cfRule type="cellIs" dxfId="224" priority="82972" stopIfTrue="1" operator="notEqual">
      <formula>"En cours"</formula>
    </cfRule>
  </conditionalFormatting>
  <conditionalFormatting sqref="AJ71">
    <cfRule type="cellIs" dxfId="223" priority="82973" stopIfTrue="1" operator="equal">
      <formula>"En cours"</formula>
    </cfRule>
  </conditionalFormatting>
  <conditionalFormatting sqref="AJ71">
    <cfRule type="cellIs" dxfId="222" priority="82974" stopIfTrue="1" operator="notEqual">
      <formula>"En cours"</formula>
    </cfRule>
  </conditionalFormatting>
  <conditionalFormatting sqref="AK71">
    <cfRule type="cellIs" dxfId="221" priority="82975" stopIfTrue="1" operator="equal">
      <formula>"En cours"</formula>
    </cfRule>
  </conditionalFormatting>
  <conditionalFormatting sqref="AK71">
    <cfRule type="cellIs" dxfId="220" priority="82976" stopIfTrue="1" operator="notEqual">
      <formula>"En cours"</formula>
    </cfRule>
  </conditionalFormatting>
  <conditionalFormatting sqref="AJ69">
    <cfRule type="cellIs" dxfId="219" priority="82977" stopIfTrue="1" operator="equal">
      <formula>"En cours"</formula>
    </cfRule>
  </conditionalFormatting>
  <conditionalFormatting sqref="AJ69">
    <cfRule type="cellIs" dxfId="218" priority="82978" stopIfTrue="1" operator="notEqual">
      <formula>"En cours"</formula>
    </cfRule>
  </conditionalFormatting>
  <conditionalFormatting sqref="AK69">
    <cfRule type="cellIs" dxfId="217" priority="82979" stopIfTrue="1" operator="equal">
      <formula>"En cours"</formula>
    </cfRule>
  </conditionalFormatting>
  <conditionalFormatting sqref="AK69">
    <cfRule type="cellIs" dxfId="216" priority="82980" stopIfTrue="1" operator="notEqual">
      <formula>"En cours"</formula>
    </cfRule>
  </conditionalFormatting>
  <conditionalFormatting sqref="AJ72">
    <cfRule type="cellIs" dxfId="215" priority="82981" stopIfTrue="1" operator="equal">
      <formula>"En cours"</formula>
    </cfRule>
  </conditionalFormatting>
  <conditionalFormatting sqref="AJ72">
    <cfRule type="cellIs" dxfId="214" priority="82982" stopIfTrue="1" operator="notEqual">
      <formula>"En cours"</formula>
    </cfRule>
  </conditionalFormatting>
  <conditionalFormatting sqref="AK72">
    <cfRule type="cellIs" dxfId="213" priority="82983" stopIfTrue="1" operator="equal">
      <formula>"En cours"</formula>
    </cfRule>
  </conditionalFormatting>
  <conditionalFormatting sqref="AK72">
    <cfRule type="cellIs" dxfId="212" priority="82984" stopIfTrue="1" operator="notEqual">
      <formula>"En cours"</formula>
    </cfRule>
  </conditionalFormatting>
  <conditionalFormatting sqref="AJ70">
    <cfRule type="cellIs" dxfId="211" priority="82985" stopIfTrue="1" operator="equal">
      <formula>"En cours"</formula>
    </cfRule>
  </conditionalFormatting>
  <conditionalFormatting sqref="AJ70">
    <cfRule type="cellIs" dxfId="210" priority="82986" stopIfTrue="1" operator="notEqual">
      <formula>"En cours"</formula>
    </cfRule>
  </conditionalFormatting>
  <conditionalFormatting sqref="AK70">
    <cfRule type="cellIs" dxfId="209" priority="82987" stopIfTrue="1" operator="equal">
      <formula>"En cours"</formula>
    </cfRule>
  </conditionalFormatting>
  <conditionalFormatting sqref="AK70">
    <cfRule type="cellIs" dxfId="208" priority="82988" stopIfTrue="1" operator="notEqual">
      <formula>"En cours"</formula>
    </cfRule>
  </conditionalFormatting>
  <conditionalFormatting sqref="AJ74">
    <cfRule type="cellIs" dxfId="207" priority="82989" stopIfTrue="1" operator="equal">
      <formula>"En cours"</formula>
    </cfRule>
  </conditionalFormatting>
  <conditionalFormatting sqref="AJ74">
    <cfRule type="cellIs" dxfId="206" priority="82990" stopIfTrue="1" operator="notEqual">
      <formula>"En cours"</formula>
    </cfRule>
  </conditionalFormatting>
  <conditionalFormatting sqref="AK74">
    <cfRule type="cellIs" dxfId="205" priority="82991" stopIfTrue="1" operator="equal">
      <formula>"En cours"</formula>
    </cfRule>
  </conditionalFormatting>
  <conditionalFormatting sqref="AK74">
    <cfRule type="cellIs" dxfId="204" priority="82992" stopIfTrue="1" operator="notEqual">
      <formula>"En cours"</formula>
    </cfRule>
  </conditionalFormatting>
  <conditionalFormatting sqref="AJ75">
    <cfRule type="cellIs" dxfId="203" priority="82993" stopIfTrue="1" operator="equal">
      <formula>"En cours"</formula>
    </cfRule>
  </conditionalFormatting>
  <conditionalFormatting sqref="AJ75">
    <cfRule type="cellIs" dxfId="202" priority="82994" stopIfTrue="1" operator="notEqual">
      <formula>"En cours"</formula>
    </cfRule>
  </conditionalFormatting>
  <conditionalFormatting sqref="AK75">
    <cfRule type="cellIs" dxfId="201" priority="82995" stopIfTrue="1" operator="equal">
      <formula>"En cours"</formula>
    </cfRule>
  </conditionalFormatting>
  <conditionalFormatting sqref="AK75">
    <cfRule type="cellIs" dxfId="200" priority="82996" stopIfTrue="1" operator="notEqual">
      <formula>"En cours"</formula>
    </cfRule>
  </conditionalFormatting>
  <conditionalFormatting sqref="AJ83">
    <cfRule type="cellIs" dxfId="199" priority="82997" stopIfTrue="1" operator="equal">
      <formula>"En cours"</formula>
    </cfRule>
  </conditionalFormatting>
  <conditionalFormatting sqref="AJ83">
    <cfRule type="cellIs" dxfId="198" priority="82998" stopIfTrue="1" operator="notEqual">
      <formula>"En cours"</formula>
    </cfRule>
  </conditionalFormatting>
  <conditionalFormatting sqref="AK83">
    <cfRule type="cellIs" dxfId="197" priority="82999" stopIfTrue="1" operator="equal">
      <formula>"En cours"</formula>
    </cfRule>
  </conditionalFormatting>
  <conditionalFormatting sqref="AK83">
    <cfRule type="cellIs" dxfId="196" priority="83000" stopIfTrue="1" operator="notEqual">
      <formula>"En cours"</formula>
    </cfRule>
  </conditionalFormatting>
  <conditionalFormatting sqref="AJ77">
    <cfRule type="cellIs" dxfId="195" priority="83001" stopIfTrue="1" operator="equal">
      <formula>"En cours"</formula>
    </cfRule>
  </conditionalFormatting>
  <conditionalFormatting sqref="AJ77">
    <cfRule type="cellIs" dxfId="194" priority="83002" stopIfTrue="1" operator="notEqual">
      <formula>"En cours"</formula>
    </cfRule>
  </conditionalFormatting>
  <conditionalFormatting sqref="AK77">
    <cfRule type="cellIs" dxfId="193" priority="83003" stopIfTrue="1" operator="equal">
      <formula>"En cours"</formula>
    </cfRule>
  </conditionalFormatting>
  <conditionalFormatting sqref="AK77">
    <cfRule type="cellIs" dxfId="192" priority="83004" stopIfTrue="1" operator="notEqual">
      <formula>"En cours"</formula>
    </cfRule>
  </conditionalFormatting>
  <conditionalFormatting sqref="AJ73">
    <cfRule type="cellIs" dxfId="191" priority="83005" stopIfTrue="1" operator="equal">
      <formula>"En cours"</formula>
    </cfRule>
  </conditionalFormatting>
  <conditionalFormatting sqref="AJ73">
    <cfRule type="cellIs" dxfId="190" priority="83006" stopIfTrue="1" operator="notEqual">
      <formula>"En cours"</formula>
    </cfRule>
  </conditionalFormatting>
  <conditionalFormatting sqref="AK73">
    <cfRule type="cellIs" dxfId="189" priority="83007" stopIfTrue="1" operator="equal">
      <formula>"En cours"</formula>
    </cfRule>
  </conditionalFormatting>
  <conditionalFormatting sqref="AK73">
    <cfRule type="cellIs" dxfId="188" priority="83008" stopIfTrue="1" operator="notEqual">
      <formula>"En cours"</formula>
    </cfRule>
  </conditionalFormatting>
  <conditionalFormatting sqref="AJ84">
    <cfRule type="cellIs" dxfId="187" priority="83009" stopIfTrue="1" operator="equal">
      <formula>"En cours"</formula>
    </cfRule>
  </conditionalFormatting>
  <conditionalFormatting sqref="AJ84">
    <cfRule type="cellIs" dxfId="186" priority="83010" stopIfTrue="1" operator="notEqual">
      <formula>"En cours"</formula>
    </cfRule>
  </conditionalFormatting>
  <conditionalFormatting sqref="AK84">
    <cfRule type="cellIs" dxfId="185" priority="83011" stopIfTrue="1" operator="equal">
      <formula>"En cours"</formula>
    </cfRule>
  </conditionalFormatting>
  <conditionalFormatting sqref="AK84">
    <cfRule type="cellIs" dxfId="184" priority="83012" stopIfTrue="1" operator="notEqual">
      <formula>"En cours"</formula>
    </cfRule>
  </conditionalFormatting>
  <conditionalFormatting sqref="AJ76">
    <cfRule type="cellIs" dxfId="183" priority="83013" stopIfTrue="1" operator="equal">
      <formula>"En cours"</formula>
    </cfRule>
  </conditionalFormatting>
  <conditionalFormatting sqref="AJ76">
    <cfRule type="cellIs" dxfId="182" priority="83014" stopIfTrue="1" operator="notEqual">
      <formula>"En cours"</formula>
    </cfRule>
  </conditionalFormatting>
  <conditionalFormatting sqref="AK76">
    <cfRule type="cellIs" dxfId="181" priority="83015" stopIfTrue="1" operator="equal">
      <formula>"En cours"</formula>
    </cfRule>
  </conditionalFormatting>
  <conditionalFormatting sqref="AK76">
    <cfRule type="cellIs" dxfId="180" priority="83016" stopIfTrue="1" operator="notEqual">
      <formula>"En cours"</formula>
    </cfRule>
  </conditionalFormatting>
  <conditionalFormatting sqref="AJ87">
    <cfRule type="cellIs" dxfId="179" priority="83017" stopIfTrue="1" operator="equal">
      <formula>"En cours"</formula>
    </cfRule>
  </conditionalFormatting>
  <conditionalFormatting sqref="AJ87">
    <cfRule type="cellIs" dxfId="178" priority="83018" stopIfTrue="1" operator="notEqual">
      <formula>"En cours"</formula>
    </cfRule>
  </conditionalFormatting>
  <conditionalFormatting sqref="AK87">
    <cfRule type="cellIs" dxfId="177" priority="83019" stopIfTrue="1" operator="equal">
      <formula>"En cours"</formula>
    </cfRule>
  </conditionalFormatting>
  <conditionalFormatting sqref="AK87">
    <cfRule type="cellIs" dxfId="176" priority="83020" stopIfTrue="1" operator="notEqual">
      <formula>"En cours"</formula>
    </cfRule>
  </conditionalFormatting>
  <conditionalFormatting sqref="AJ82">
    <cfRule type="cellIs" dxfId="175" priority="83021" stopIfTrue="1" operator="equal">
      <formula>"En cours"</formula>
    </cfRule>
  </conditionalFormatting>
  <conditionalFormatting sqref="AJ82">
    <cfRule type="cellIs" dxfId="174" priority="83022" stopIfTrue="1" operator="notEqual">
      <formula>"En cours"</formula>
    </cfRule>
  </conditionalFormatting>
  <conditionalFormatting sqref="AK82">
    <cfRule type="cellIs" dxfId="173" priority="83023" stopIfTrue="1" operator="equal">
      <formula>"En cours"</formula>
    </cfRule>
  </conditionalFormatting>
  <conditionalFormatting sqref="AK82">
    <cfRule type="cellIs" dxfId="172" priority="83024" stopIfTrue="1" operator="notEqual">
      <formula>"En cours"</formula>
    </cfRule>
  </conditionalFormatting>
  <conditionalFormatting sqref="AJ79">
    <cfRule type="cellIs" dxfId="171" priority="83025" stopIfTrue="1" operator="equal">
      <formula>"En cours"</formula>
    </cfRule>
  </conditionalFormatting>
  <conditionalFormatting sqref="AJ79">
    <cfRule type="cellIs" dxfId="170" priority="83026" stopIfTrue="1" operator="notEqual">
      <formula>"En cours"</formula>
    </cfRule>
  </conditionalFormatting>
  <conditionalFormatting sqref="AK79">
    <cfRule type="cellIs" dxfId="169" priority="83027" stopIfTrue="1" operator="equal">
      <formula>"En cours"</formula>
    </cfRule>
  </conditionalFormatting>
  <conditionalFormatting sqref="AK79">
    <cfRule type="cellIs" dxfId="168" priority="83028" stopIfTrue="1" operator="notEqual">
      <formula>"En cours"</formula>
    </cfRule>
  </conditionalFormatting>
  <conditionalFormatting sqref="AJ81">
    <cfRule type="cellIs" dxfId="167" priority="83029" stopIfTrue="1" operator="equal">
      <formula>"En cours"</formula>
    </cfRule>
  </conditionalFormatting>
  <conditionalFormatting sqref="AJ81">
    <cfRule type="cellIs" dxfId="166" priority="83030" stopIfTrue="1" operator="notEqual">
      <formula>"En cours"</formula>
    </cfRule>
  </conditionalFormatting>
  <conditionalFormatting sqref="AK81">
    <cfRule type="cellIs" dxfId="165" priority="83031" stopIfTrue="1" operator="equal">
      <formula>"En cours"</formula>
    </cfRule>
  </conditionalFormatting>
  <conditionalFormatting sqref="AK81">
    <cfRule type="cellIs" dxfId="164" priority="83032" stopIfTrue="1" operator="notEqual">
      <formula>"En cours"</formula>
    </cfRule>
  </conditionalFormatting>
  <conditionalFormatting sqref="AJ89">
    <cfRule type="cellIs" dxfId="163" priority="83033" stopIfTrue="1" operator="equal">
      <formula>"En cours"</formula>
    </cfRule>
  </conditionalFormatting>
  <conditionalFormatting sqref="AJ89">
    <cfRule type="cellIs" dxfId="162" priority="83034" stopIfTrue="1" operator="notEqual">
      <formula>"En cours"</formula>
    </cfRule>
  </conditionalFormatting>
  <conditionalFormatting sqref="AK89">
    <cfRule type="cellIs" dxfId="161" priority="83035" stopIfTrue="1" operator="equal">
      <formula>"En cours"</formula>
    </cfRule>
  </conditionalFormatting>
  <conditionalFormatting sqref="AK89">
    <cfRule type="cellIs" dxfId="160" priority="83036" stopIfTrue="1" operator="notEqual">
      <formula>"En cours"</formula>
    </cfRule>
  </conditionalFormatting>
  <conditionalFormatting sqref="AJ78">
    <cfRule type="cellIs" dxfId="159" priority="83037" stopIfTrue="1" operator="equal">
      <formula>"En cours"</formula>
    </cfRule>
  </conditionalFormatting>
  <conditionalFormatting sqref="AJ78">
    <cfRule type="cellIs" dxfId="158" priority="83038" stopIfTrue="1" operator="notEqual">
      <formula>"En cours"</formula>
    </cfRule>
  </conditionalFormatting>
  <conditionalFormatting sqref="AK78">
    <cfRule type="cellIs" dxfId="157" priority="83039" stopIfTrue="1" operator="equal">
      <formula>"En cours"</formula>
    </cfRule>
  </conditionalFormatting>
  <conditionalFormatting sqref="AK78">
    <cfRule type="cellIs" dxfId="156" priority="83040" stopIfTrue="1" operator="notEqual">
      <formula>"En cours"</formula>
    </cfRule>
  </conditionalFormatting>
  <conditionalFormatting sqref="AJ85">
    <cfRule type="cellIs" dxfId="155" priority="83041" stopIfTrue="1" operator="equal">
      <formula>"En cours"</formula>
    </cfRule>
  </conditionalFormatting>
  <conditionalFormatting sqref="AJ85">
    <cfRule type="cellIs" dxfId="154" priority="83042" stopIfTrue="1" operator="notEqual">
      <formula>"En cours"</formula>
    </cfRule>
  </conditionalFormatting>
  <conditionalFormatting sqref="AK85">
    <cfRule type="cellIs" dxfId="153" priority="83043" stopIfTrue="1" operator="equal">
      <formula>"En cours"</formula>
    </cfRule>
  </conditionalFormatting>
  <conditionalFormatting sqref="AK85">
    <cfRule type="cellIs" dxfId="152" priority="83044" stopIfTrue="1" operator="notEqual">
      <formula>"En cours"</formula>
    </cfRule>
  </conditionalFormatting>
  <conditionalFormatting sqref="AJ86">
    <cfRule type="cellIs" dxfId="151" priority="83045" stopIfTrue="1" operator="equal">
      <formula>"En cours"</formula>
    </cfRule>
  </conditionalFormatting>
  <conditionalFormatting sqref="AJ86">
    <cfRule type="cellIs" dxfId="150" priority="83046" stopIfTrue="1" operator="notEqual">
      <formula>"En cours"</formula>
    </cfRule>
  </conditionalFormatting>
  <conditionalFormatting sqref="AK86">
    <cfRule type="cellIs" dxfId="149" priority="83047" stopIfTrue="1" operator="equal">
      <formula>"En cours"</formula>
    </cfRule>
  </conditionalFormatting>
  <conditionalFormatting sqref="AK86">
    <cfRule type="cellIs" dxfId="148" priority="83048" stopIfTrue="1" operator="notEqual">
      <formula>"En cours"</formula>
    </cfRule>
  </conditionalFormatting>
  <conditionalFormatting sqref="AJ80">
    <cfRule type="cellIs" dxfId="147" priority="83049" stopIfTrue="1" operator="equal">
      <formula>"En cours"</formula>
    </cfRule>
  </conditionalFormatting>
  <conditionalFormatting sqref="AJ80">
    <cfRule type="cellIs" dxfId="146" priority="83050" stopIfTrue="1" operator="notEqual">
      <formula>"En cours"</formula>
    </cfRule>
  </conditionalFormatting>
  <conditionalFormatting sqref="AK80">
    <cfRule type="cellIs" dxfId="145" priority="83051" stopIfTrue="1" operator="equal">
      <formula>"En cours"</formula>
    </cfRule>
  </conditionalFormatting>
  <conditionalFormatting sqref="AK80">
    <cfRule type="cellIs" dxfId="144" priority="83052" stopIfTrue="1" operator="notEqual">
      <formula>"En cours"</formula>
    </cfRule>
  </conditionalFormatting>
  <conditionalFormatting sqref="AJ88">
    <cfRule type="cellIs" dxfId="143" priority="83053" stopIfTrue="1" operator="equal">
      <formula>"En cours"</formula>
    </cfRule>
  </conditionalFormatting>
  <conditionalFormatting sqref="AJ88">
    <cfRule type="cellIs" dxfId="142" priority="83054" stopIfTrue="1" operator="notEqual">
      <formula>"En cours"</formula>
    </cfRule>
  </conditionalFormatting>
  <conditionalFormatting sqref="AK88">
    <cfRule type="cellIs" dxfId="141" priority="83055" stopIfTrue="1" operator="equal">
      <formula>"En cours"</formula>
    </cfRule>
  </conditionalFormatting>
  <conditionalFormatting sqref="AK88">
    <cfRule type="cellIs" dxfId="140" priority="83056" stopIfTrue="1" operator="notEqual">
      <formula>"En cours"</formula>
    </cfRule>
  </conditionalFormatting>
  <conditionalFormatting sqref="AJ90">
    <cfRule type="cellIs" dxfId="139" priority="83057" stopIfTrue="1" operator="equal">
      <formula>"En cours"</formula>
    </cfRule>
  </conditionalFormatting>
  <conditionalFormatting sqref="AJ90">
    <cfRule type="cellIs" dxfId="138" priority="83058" stopIfTrue="1" operator="notEqual">
      <formula>"En cours"</formula>
    </cfRule>
  </conditionalFormatting>
  <conditionalFormatting sqref="AK90">
    <cfRule type="cellIs" dxfId="137" priority="83059" stopIfTrue="1" operator="equal">
      <formula>"En cours"</formula>
    </cfRule>
  </conditionalFormatting>
  <conditionalFormatting sqref="AK90">
    <cfRule type="cellIs" dxfId="136" priority="83060" stopIfTrue="1" operator="notEqual">
      <formula>"En cours"</formula>
    </cfRule>
  </conditionalFormatting>
  <conditionalFormatting sqref="AJ93">
    <cfRule type="cellIs" dxfId="135" priority="83061" stopIfTrue="1" operator="equal">
      <formula>"En cours"</formula>
    </cfRule>
  </conditionalFormatting>
  <conditionalFormatting sqref="AJ93">
    <cfRule type="cellIs" dxfId="134" priority="83062" stopIfTrue="1" operator="notEqual">
      <formula>"En cours"</formula>
    </cfRule>
  </conditionalFormatting>
  <conditionalFormatting sqref="AK93">
    <cfRule type="cellIs" dxfId="133" priority="83063" stopIfTrue="1" operator="equal">
      <formula>"En cours"</formula>
    </cfRule>
  </conditionalFormatting>
  <conditionalFormatting sqref="AK93">
    <cfRule type="cellIs" dxfId="132" priority="83064" stopIfTrue="1" operator="notEqual">
      <formula>"En cours"</formula>
    </cfRule>
  </conditionalFormatting>
  <conditionalFormatting sqref="AJ91">
    <cfRule type="cellIs" dxfId="131" priority="83065" stopIfTrue="1" operator="equal">
      <formula>"En cours"</formula>
    </cfRule>
  </conditionalFormatting>
  <conditionalFormatting sqref="AJ91">
    <cfRule type="cellIs" dxfId="130" priority="83066" stopIfTrue="1" operator="notEqual">
      <formula>"En cours"</formula>
    </cfRule>
  </conditionalFormatting>
  <conditionalFormatting sqref="AK91">
    <cfRule type="cellIs" dxfId="129" priority="83067" stopIfTrue="1" operator="equal">
      <formula>"En cours"</formula>
    </cfRule>
  </conditionalFormatting>
  <conditionalFormatting sqref="AK91">
    <cfRule type="cellIs" dxfId="128" priority="83068" stopIfTrue="1" operator="notEqual">
      <formula>"En cours"</formula>
    </cfRule>
  </conditionalFormatting>
  <conditionalFormatting sqref="AJ92">
    <cfRule type="cellIs" dxfId="127" priority="83069" stopIfTrue="1" operator="equal">
      <formula>"En cours"</formula>
    </cfRule>
  </conditionalFormatting>
  <conditionalFormatting sqref="AJ92">
    <cfRule type="cellIs" dxfId="126" priority="83070" stopIfTrue="1" operator="notEqual">
      <formula>"En cours"</formula>
    </cfRule>
  </conditionalFormatting>
  <conditionalFormatting sqref="AK92">
    <cfRule type="cellIs" dxfId="125" priority="83071" stopIfTrue="1" operator="equal">
      <formula>"En cours"</formula>
    </cfRule>
  </conditionalFormatting>
  <conditionalFormatting sqref="AK92">
    <cfRule type="cellIs" dxfId="124" priority="83072" stopIfTrue="1" operator="notEqual">
      <formula>"En cours"</formula>
    </cfRule>
  </conditionalFormatting>
  <conditionalFormatting sqref="AJ94">
    <cfRule type="cellIs" dxfId="123" priority="83073" stopIfTrue="1" operator="equal">
      <formula>"En cours"</formula>
    </cfRule>
  </conditionalFormatting>
  <conditionalFormatting sqref="AJ94">
    <cfRule type="cellIs" dxfId="122" priority="83074" stopIfTrue="1" operator="notEqual">
      <formula>"En cours"</formula>
    </cfRule>
  </conditionalFormatting>
  <conditionalFormatting sqref="AK94">
    <cfRule type="cellIs" dxfId="121" priority="83075" stopIfTrue="1" operator="equal">
      <formula>"En cours"</formula>
    </cfRule>
  </conditionalFormatting>
  <conditionalFormatting sqref="AK94">
    <cfRule type="cellIs" dxfId="120" priority="83076" stopIfTrue="1" operator="notEqual">
      <formula>"En cours"</formula>
    </cfRule>
  </conditionalFormatting>
  <conditionalFormatting sqref="AJ22">
    <cfRule type="cellIs" dxfId="119" priority="94085" stopIfTrue="1" operator="equal">
      <formula>"En cours"</formula>
    </cfRule>
  </conditionalFormatting>
  <conditionalFormatting sqref="AJ22">
    <cfRule type="cellIs" dxfId="118" priority="94086" stopIfTrue="1" operator="notEqual">
      <formula>"En cours"</formula>
    </cfRule>
  </conditionalFormatting>
  <conditionalFormatting sqref="AK22">
    <cfRule type="cellIs" dxfId="117" priority="94087" stopIfTrue="1" operator="equal">
      <formula>"En cours"</formula>
    </cfRule>
  </conditionalFormatting>
  <conditionalFormatting sqref="AK22">
    <cfRule type="cellIs" dxfId="116" priority="94088" stopIfTrue="1" operator="notEqual">
      <formula>"En cours"</formula>
    </cfRule>
  </conditionalFormatting>
  <conditionalFormatting sqref="AJ8">
    <cfRule type="cellIs" dxfId="115" priority="94173" stopIfTrue="1" operator="equal">
      <formula>"En cours"</formula>
    </cfRule>
  </conditionalFormatting>
  <conditionalFormatting sqref="AJ8">
    <cfRule type="cellIs" dxfId="114" priority="94174" stopIfTrue="1" operator="notEqual">
      <formula>"En cours"</formula>
    </cfRule>
  </conditionalFormatting>
  <conditionalFormatting sqref="AK8">
    <cfRule type="cellIs" dxfId="113" priority="94175" stopIfTrue="1" operator="equal">
      <formula>"En cours"</formula>
    </cfRule>
  </conditionalFormatting>
  <conditionalFormatting sqref="AK8">
    <cfRule type="cellIs" dxfId="112" priority="94176" stopIfTrue="1" operator="notEqual">
      <formula>"En cours"</formula>
    </cfRule>
  </conditionalFormatting>
  <conditionalFormatting sqref="AJ26">
    <cfRule type="cellIs" dxfId="111" priority="94181" stopIfTrue="1" operator="equal">
      <formula>"En cours"</formula>
    </cfRule>
  </conditionalFormatting>
  <conditionalFormatting sqref="AJ26">
    <cfRule type="cellIs" dxfId="110" priority="94182" stopIfTrue="1" operator="notEqual">
      <formula>"En cours"</formula>
    </cfRule>
  </conditionalFormatting>
  <conditionalFormatting sqref="AK26">
    <cfRule type="cellIs" dxfId="109" priority="94183" stopIfTrue="1" operator="equal">
      <formula>"En cours"</formula>
    </cfRule>
  </conditionalFormatting>
  <conditionalFormatting sqref="AK26">
    <cfRule type="cellIs" dxfId="108" priority="94184" stopIfTrue="1" operator="notEqual">
      <formula>"En cours"</formula>
    </cfRule>
  </conditionalFormatting>
  <conditionalFormatting sqref="AJ20">
    <cfRule type="cellIs" dxfId="107" priority="94205" stopIfTrue="1" operator="equal">
      <formula>"En cours"</formula>
    </cfRule>
  </conditionalFormatting>
  <conditionalFormatting sqref="AJ20">
    <cfRule type="cellIs" dxfId="106" priority="94206" stopIfTrue="1" operator="notEqual">
      <formula>"En cours"</formula>
    </cfRule>
  </conditionalFormatting>
  <conditionalFormatting sqref="AK20">
    <cfRule type="cellIs" dxfId="105" priority="94207" stopIfTrue="1" operator="equal">
      <formula>"En cours"</formula>
    </cfRule>
  </conditionalFormatting>
  <conditionalFormatting sqref="AK20">
    <cfRule type="cellIs" dxfId="104" priority="94208" stopIfTrue="1" operator="notEqual">
      <formula>"En cours"</formula>
    </cfRule>
  </conditionalFormatting>
  <conditionalFormatting sqref="AJ32">
    <cfRule type="cellIs" dxfId="103" priority="94273" stopIfTrue="1" operator="equal">
      <formula>"En cours"</formula>
    </cfRule>
  </conditionalFormatting>
  <conditionalFormatting sqref="AJ32">
    <cfRule type="cellIs" dxfId="102" priority="94274" stopIfTrue="1" operator="notEqual">
      <formula>"En cours"</formula>
    </cfRule>
  </conditionalFormatting>
  <conditionalFormatting sqref="AK32">
    <cfRule type="cellIs" dxfId="101" priority="94275" stopIfTrue="1" operator="equal">
      <formula>"En cours"</formula>
    </cfRule>
  </conditionalFormatting>
  <conditionalFormatting sqref="AK32">
    <cfRule type="cellIs" dxfId="100" priority="94276" stopIfTrue="1" operator="notEqual">
      <formula>"En cours"</formula>
    </cfRule>
  </conditionalFormatting>
  <conditionalFormatting sqref="AJ29">
    <cfRule type="cellIs" dxfId="99" priority="94277" stopIfTrue="1" operator="equal">
      <formula>"En cours"</formula>
    </cfRule>
  </conditionalFormatting>
  <conditionalFormatting sqref="AJ29">
    <cfRule type="cellIs" dxfId="98" priority="94278" stopIfTrue="1" operator="notEqual">
      <formula>"En cours"</formula>
    </cfRule>
  </conditionalFormatting>
  <conditionalFormatting sqref="AK29">
    <cfRule type="cellIs" dxfId="97" priority="94279" stopIfTrue="1" operator="equal">
      <formula>"En cours"</formula>
    </cfRule>
  </conditionalFormatting>
  <conditionalFormatting sqref="AK29">
    <cfRule type="cellIs" dxfId="96" priority="94280" stopIfTrue="1" operator="notEqual">
      <formula>"En cours"</formula>
    </cfRule>
  </conditionalFormatting>
  <conditionalFormatting sqref="AJ24">
    <cfRule type="cellIs" dxfId="95" priority="94377" stopIfTrue="1" operator="equal">
      <formula>"En cours"</formula>
    </cfRule>
  </conditionalFormatting>
  <conditionalFormatting sqref="AJ24">
    <cfRule type="cellIs" dxfId="94" priority="94378" stopIfTrue="1" operator="notEqual">
      <formula>"En cours"</formula>
    </cfRule>
  </conditionalFormatting>
  <conditionalFormatting sqref="AK24">
    <cfRule type="cellIs" dxfId="93" priority="94379" stopIfTrue="1" operator="equal">
      <formula>"En cours"</formula>
    </cfRule>
  </conditionalFormatting>
  <conditionalFormatting sqref="AK24">
    <cfRule type="cellIs" dxfId="92" priority="94380" stopIfTrue="1" operator="notEqual">
      <formula>"En cours"</formula>
    </cfRule>
  </conditionalFormatting>
  <conditionalFormatting sqref="AJ31">
    <cfRule type="cellIs" dxfId="91" priority="94505" stopIfTrue="1" operator="equal">
      <formula>"En cours"</formula>
    </cfRule>
  </conditionalFormatting>
  <conditionalFormatting sqref="AJ31">
    <cfRule type="cellIs" dxfId="90" priority="94506" stopIfTrue="1" operator="notEqual">
      <formula>"En cours"</formula>
    </cfRule>
  </conditionalFormatting>
  <conditionalFormatting sqref="AK31">
    <cfRule type="cellIs" dxfId="89" priority="94507" stopIfTrue="1" operator="equal">
      <formula>"En cours"</formula>
    </cfRule>
  </conditionalFormatting>
  <conditionalFormatting sqref="AK31">
    <cfRule type="cellIs" dxfId="88" priority="94508" stopIfTrue="1" operator="notEqual">
      <formula>"En cours"</formula>
    </cfRule>
  </conditionalFormatting>
  <conditionalFormatting sqref="AJ5">
    <cfRule type="cellIs" dxfId="87" priority="94509" stopIfTrue="1" operator="equal">
      <formula>"En cours"</formula>
    </cfRule>
  </conditionalFormatting>
  <conditionalFormatting sqref="AJ5">
    <cfRule type="cellIs" dxfId="86" priority="94510" stopIfTrue="1" operator="notEqual">
      <formula>"En cours"</formula>
    </cfRule>
  </conditionalFormatting>
  <conditionalFormatting sqref="AK5">
    <cfRule type="cellIs" dxfId="85" priority="94511" stopIfTrue="1" operator="equal">
      <formula>"En cours"</formula>
    </cfRule>
  </conditionalFormatting>
  <conditionalFormatting sqref="AK5">
    <cfRule type="cellIs" dxfId="84" priority="94512" stopIfTrue="1" operator="notEqual">
      <formula>"En cours"</formula>
    </cfRule>
  </conditionalFormatting>
  <conditionalFormatting sqref="AJ4">
    <cfRule type="cellIs" dxfId="83" priority="94513" stopIfTrue="1" operator="equal">
      <formula>"En cours"</formula>
    </cfRule>
  </conditionalFormatting>
  <conditionalFormatting sqref="AJ4">
    <cfRule type="cellIs" dxfId="82" priority="94514" stopIfTrue="1" operator="notEqual">
      <formula>"En cours"</formula>
    </cfRule>
  </conditionalFormatting>
  <conditionalFormatting sqref="AK4">
    <cfRule type="cellIs" dxfId="81" priority="94515" stopIfTrue="1" operator="equal">
      <formula>"En cours"</formula>
    </cfRule>
  </conditionalFormatting>
  <conditionalFormatting sqref="AK4">
    <cfRule type="cellIs" dxfId="80" priority="94516" stopIfTrue="1" operator="notEqual">
      <formula>"En cours"</formula>
    </cfRule>
  </conditionalFormatting>
  <conditionalFormatting sqref="AJ25">
    <cfRule type="cellIs" dxfId="79" priority="94517" stopIfTrue="1" operator="equal">
      <formula>"En cours"</formula>
    </cfRule>
  </conditionalFormatting>
  <conditionalFormatting sqref="AJ25">
    <cfRule type="cellIs" dxfId="78" priority="94518" stopIfTrue="1" operator="notEqual">
      <formula>"En cours"</formula>
    </cfRule>
  </conditionalFormatting>
  <conditionalFormatting sqref="AK25">
    <cfRule type="cellIs" dxfId="77" priority="94519" stopIfTrue="1" operator="equal">
      <formula>"En cours"</formula>
    </cfRule>
  </conditionalFormatting>
  <conditionalFormatting sqref="AK25">
    <cfRule type="cellIs" dxfId="76" priority="94520" stopIfTrue="1" operator="notEqual">
      <formula>"En cours"</formula>
    </cfRule>
  </conditionalFormatting>
  <conditionalFormatting sqref="AJ9">
    <cfRule type="cellIs" dxfId="75" priority="94521" stopIfTrue="1" operator="equal">
      <formula>"En cours"</formula>
    </cfRule>
  </conditionalFormatting>
  <conditionalFormatting sqref="AJ9">
    <cfRule type="cellIs" dxfId="74" priority="94522" stopIfTrue="1" operator="notEqual">
      <formula>"En cours"</formula>
    </cfRule>
  </conditionalFormatting>
  <conditionalFormatting sqref="AK9">
    <cfRule type="cellIs" dxfId="73" priority="94523" stopIfTrue="1" operator="equal">
      <formula>"En cours"</formula>
    </cfRule>
  </conditionalFormatting>
  <conditionalFormatting sqref="AK9">
    <cfRule type="cellIs" dxfId="72" priority="94524" stopIfTrue="1" operator="notEqual">
      <formula>"En cours"</formula>
    </cfRule>
  </conditionalFormatting>
  <conditionalFormatting sqref="AJ21">
    <cfRule type="cellIs" dxfId="71" priority="94525" stopIfTrue="1" operator="equal">
      <formula>"En cours"</formula>
    </cfRule>
  </conditionalFormatting>
  <conditionalFormatting sqref="AJ21">
    <cfRule type="cellIs" dxfId="70" priority="94526" stopIfTrue="1" operator="notEqual">
      <formula>"En cours"</formula>
    </cfRule>
  </conditionalFormatting>
  <conditionalFormatting sqref="AK21">
    <cfRule type="cellIs" dxfId="69" priority="94527" stopIfTrue="1" operator="equal">
      <formula>"En cours"</formula>
    </cfRule>
  </conditionalFormatting>
  <conditionalFormatting sqref="AK21">
    <cfRule type="cellIs" dxfId="68" priority="94528" stopIfTrue="1" operator="notEqual">
      <formula>"En cours"</formula>
    </cfRule>
  </conditionalFormatting>
  <conditionalFormatting sqref="AJ10">
    <cfRule type="cellIs" dxfId="67" priority="94529" stopIfTrue="1" operator="equal">
      <formula>"En cours"</formula>
    </cfRule>
  </conditionalFormatting>
  <conditionalFormatting sqref="AJ10">
    <cfRule type="cellIs" dxfId="66" priority="94530" stopIfTrue="1" operator="notEqual">
      <formula>"En cours"</formula>
    </cfRule>
  </conditionalFormatting>
  <conditionalFormatting sqref="AK10">
    <cfRule type="cellIs" dxfId="65" priority="94531" stopIfTrue="1" operator="equal">
      <formula>"En cours"</formula>
    </cfRule>
  </conditionalFormatting>
  <conditionalFormatting sqref="AK10">
    <cfRule type="cellIs" dxfId="64" priority="94532" stopIfTrue="1" operator="notEqual">
      <formula>"En cours"</formula>
    </cfRule>
  </conditionalFormatting>
  <conditionalFormatting sqref="AJ6">
    <cfRule type="cellIs" dxfId="63" priority="94533" stopIfTrue="1" operator="equal">
      <formula>"En cours"</formula>
    </cfRule>
  </conditionalFormatting>
  <conditionalFormatting sqref="AJ6">
    <cfRule type="cellIs" dxfId="62" priority="94534" stopIfTrue="1" operator="notEqual">
      <formula>"En cours"</formula>
    </cfRule>
  </conditionalFormatting>
  <conditionalFormatting sqref="AK6">
    <cfRule type="cellIs" dxfId="61" priority="94535" stopIfTrue="1" operator="equal">
      <formula>"En cours"</formula>
    </cfRule>
  </conditionalFormatting>
  <conditionalFormatting sqref="AK6">
    <cfRule type="cellIs" dxfId="60" priority="94536" stopIfTrue="1" operator="notEqual">
      <formula>"En cours"</formula>
    </cfRule>
  </conditionalFormatting>
  <conditionalFormatting sqref="AJ7">
    <cfRule type="cellIs" dxfId="59" priority="94537" stopIfTrue="1" operator="equal">
      <formula>"En cours"</formula>
    </cfRule>
  </conditionalFormatting>
  <conditionalFormatting sqref="AJ7">
    <cfRule type="cellIs" dxfId="58" priority="94538" stopIfTrue="1" operator="notEqual">
      <formula>"En cours"</formula>
    </cfRule>
  </conditionalFormatting>
  <conditionalFormatting sqref="AK7">
    <cfRule type="cellIs" dxfId="57" priority="94539" stopIfTrue="1" operator="equal">
      <formula>"En cours"</formula>
    </cfRule>
  </conditionalFormatting>
  <conditionalFormatting sqref="AK7">
    <cfRule type="cellIs" dxfId="56" priority="94540" stopIfTrue="1" operator="notEqual">
      <formula>"En cours"</formula>
    </cfRule>
  </conditionalFormatting>
  <conditionalFormatting sqref="AJ11">
    <cfRule type="cellIs" dxfId="55" priority="94541" stopIfTrue="1" operator="equal">
      <formula>"En cours"</formula>
    </cfRule>
  </conditionalFormatting>
  <conditionalFormatting sqref="AJ11">
    <cfRule type="cellIs" dxfId="54" priority="94542" stopIfTrue="1" operator="notEqual">
      <formula>"En cours"</formula>
    </cfRule>
  </conditionalFormatting>
  <conditionalFormatting sqref="AK11">
    <cfRule type="cellIs" dxfId="53" priority="94543" stopIfTrue="1" operator="equal">
      <formula>"En cours"</formula>
    </cfRule>
  </conditionalFormatting>
  <conditionalFormatting sqref="AK11">
    <cfRule type="cellIs" dxfId="52" priority="94544" stopIfTrue="1" operator="notEqual">
      <formula>"En cours"</formula>
    </cfRule>
  </conditionalFormatting>
  <conditionalFormatting sqref="AJ16">
    <cfRule type="cellIs" dxfId="51" priority="94545" stopIfTrue="1" operator="equal">
      <formula>"En cours"</formula>
    </cfRule>
  </conditionalFormatting>
  <conditionalFormatting sqref="AJ16">
    <cfRule type="cellIs" dxfId="50" priority="94546" stopIfTrue="1" operator="notEqual">
      <formula>"En cours"</formula>
    </cfRule>
  </conditionalFormatting>
  <conditionalFormatting sqref="AK16">
    <cfRule type="cellIs" dxfId="49" priority="94547" stopIfTrue="1" operator="equal">
      <formula>"En cours"</formula>
    </cfRule>
  </conditionalFormatting>
  <conditionalFormatting sqref="AK16">
    <cfRule type="cellIs" dxfId="48" priority="94548" stopIfTrue="1" operator="notEqual">
      <formula>"En cours"</formula>
    </cfRule>
  </conditionalFormatting>
  <conditionalFormatting sqref="AJ15">
    <cfRule type="cellIs" dxfId="47" priority="94549" stopIfTrue="1" operator="equal">
      <formula>"En cours"</formula>
    </cfRule>
  </conditionalFormatting>
  <conditionalFormatting sqref="AJ15">
    <cfRule type="cellIs" dxfId="46" priority="94550" stopIfTrue="1" operator="notEqual">
      <formula>"En cours"</formula>
    </cfRule>
  </conditionalFormatting>
  <conditionalFormatting sqref="AK15">
    <cfRule type="cellIs" dxfId="45" priority="94551" stopIfTrue="1" operator="equal">
      <formula>"En cours"</formula>
    </cfRule>
  </conditionalFormatting>
  <conditionalFormatting sqref="AK15">
    <cfRule type="cellIs" dxfId="44" priority="94552" stopIfTrue="1" operator="notEqual">
      <formula>"En cours"</formula>
    </cfRule>
  </conditionalFormatting>
  <conditionalFormatting sqref="AJ27">
    <cfRule type="cellIs" dxfId="43" priority="94553" stopIfTrue="1" operator="equal">
      <formula>"En cours"</formula>
    </cfRule>
  </conditionalFormatting>
  <conditionalFormatting sqref="AJ27">
    <cfRule type="cellIs" dxfId="42" priority="94554" stopIfTrue="1" operator="notEqual">
      <formula>"En cours"</formula>
    </cfRule>
  </conditionalFormatting>
  <conditionalFormatting sqref="AK27">
    <cfRule type="cellIs" dxfId="41" priority="94555" stopIfTrue="1" operator="equal">
      <formula>"En cours"</formula>
    </cfRule>
  </conditionalFormatting>
  <conditionalFormatting sqref="AK27">
    <cfRule type="cellIs" dxfId="40" priority="94556" stopIfTrue="1" operator="notEqual">
      <formula>"En cours"</formula>
    </cfRule>
  </conditionalFormatting>
  <conditionalFormatting sqref="AJ19">
    <cfRule type="cellIs" dxfId="39" priority="94557" stopIfTrue="1" operator="equal">
      <formula>"En cours"</formula>
    </cfRule>
  </conditionalFormatting>
  <conditionalFormatting sqref="AJ19">
    <cfRule type="cellIs" dxfId="38" priority="94558" stopIfTrue="1" operator="notEqual">
      <formula>"En cours"</formula>
    </cfRule>
  </conditionalFormatting>
  <conditionalFormatting sqref="AK19">
    <cfRule type="cellIs" dxfId="37" priority="94559" stopIfTrue="1" operator="equal">
      <formula>"En cours"</formula>
    </cfRule>
  </conditionalFormatting>
  <conditionalFormatting sqref="AK19">
    <cfRule type="cellIs" dxfId="36" priority="94560" stopIfTrue="1" operator="notEqual">
      <formula>"En cours"</formula>
    </cfRule>
  </conditionalFormatting>
  <conditionalFormatting sqref="AJ23">
    <cfRule type="cellIs" dxfId="35" priority="94561" stopIfTrue="1" operator="equal">
      <formula>"En cours"</formula>
    </cfRule>
  </conditionalFormatting>
  <conditionalFormatting sqref="AJ23">
    <cfRule type="cellIs" dxfId="34" priority="94562" stopIfTrue="1" operator="notEqual">
      <formula>"En cours"</formula>
    </cfRule>
  </conditionalFormatting>
  <conditionalFormatting sqref="AK23">
    <cfRule type="cellIs" dxfId="33" priority="94563" stopIfTrue="1" operator="equal">
      <formula>"En cours"</formula>
    </cfRule>
  </conditionalFormatting>
  <conditionalFormatting sqref="AK23">
    <cfRule type="cellIs" dxfId="32" priority="94564" stopIfTrue="1" operator="notEqual">
      <formula>"En cours"</formula>
    </cfRule>
  </conditionalFormatting>
  <conditionalFormatting sqref="AJ12">
    <cfRule type="cellIs" dxfId="31" priority="94565" stopIfTrue="1" operator="equal">
      <formula>"En cours"</formula>
    </cfRule>
  </conditionalFormatting>
  <conditionalFormatting sqref="AJ12">
    <cfRule type="cellIs" dxfId="30" priority="94566" stopIfTrue="1" operator="notEqual">
      <formula>"En cours"</formula>
    </cfRule>
  </conditionalFormatting>
  <conditionalFormatting sqref="AK12">
    <cfRule type="cellIs" dxfId="29" priority="94567" stopIfTrue="1" operator="equal">
      <formula>"En cours"</formula>
    </cfRule>
  </conditionalFormatting>
  <conditionalFormatting sqref="AK12">
    <cfRule type="cellIs" dxfId="28" priority="94568" stopIfTrue="1" operator="notEqual">
      <formula>"En cours"</formula>
    </cfRule>
  </conditionalFormatting>
  <conditionalFormatting sqref="AJ14">
    <cfRule type="cellIs" dxfId="27" priority="94569" stopIfTrue="1" operator="equal">
      <formula>"En cours"</formula>
    </cfRule>
  </conditionalFormatting>
  <conditionalFormatting sqref="AJ14">
    <cfRule type="cellIs" dxfId="26" priority="94570" stopIfTrue="1" operator="notEqual">
      <formula>"En cours"</formula>
    </cfRule>
  </conditionalFormatting>
  <conditionalFormatting sqref="AK14">
    <cfRule type="cellIs" dxfId="25" priority="94571" stopIfTrue="1" operator="equal">
      <formula>"En cours"</formula>
    </cfRule>
  </conditionalFormatting>
  <conditionalFormatting sqref="AK14">
    <cfRule type="cellIs" dxfId="24" priority="94572" stopIfTrue="1" operator="notEqual">
      <formula>"En cours"</formula>
    </cfRule>
  </conditionalFormatting>
  <conditionalFormatting sqref="AJ13">
    <cfRule type="cellIs" dxfId="23" priority="94573" stopIfTrue="1" operator="equal">
      <formula>"En cours"</formula>
    </cfRule>
  </conditionalFormatting>
  <conditionalFormatting sqref="AJ13">
    <cfRule type="cellIs" dxfId="22" priority="94574" stopIfTrue="1" operator="notEqual">
      <formula>"En cours"</formula>
    </cfRule>
  </conditionalFormatting>
  <conditionalFormatting sqref="AK13">
    <cfRule type="cellIs" dxfId="21" priority="94575" stopIfTrue="1" operator="equal">
      <formula>"En cours"</formula>
    </cfRule>
  </conditionalFormatting>
  <conditionalFormatting sqref="AK13">
    <cfRule type="cellIs" dxfId="20" priority="94576" stopIfTrue="1" operator="notEqual">
      <formula>"En cours"</formula>
    </cfRule>
  </conditionalFormatting>
  <conditionalFormatting sqref="AJ30">
    <cfRule type="cellIs" dxfId="19" priority="94577" stopIfTrue="1" operator="equal">
      <formula>"En cours"</formula>
    </cfRule>
  </conditionalFormatting>
  <conditionalFormatting sqref="AJ30">
    <cfRule type="cellIs" dxfId="18" priority="94578" stopIfTrue="1" operator="notEqual">
      <formula>"En cours"</formula>
    </cfRule>
  </conditionalFormatting>
  <conditionalFormatting sqref="AK30">
    <cfRule type="cellIs" dxfId="17" priority="94579" stopIfTrue="1" operator="equal">
      <formula>"En cours"</formula>
    </cfRule>
  </conditionalFormatting>
  <conditionalFormatting sqref="AK30">
    <cfRule type="cellIs" dxfId="16" priority="94580" stopIfTrue="1" operator="notEqual">
      <formula>"En cours"</formula>
    </cfRule>
  </conditionalFormatting>
  <conditionalFormatting sqref="AJ17">
    <cfRule type="cellIs" dxfId="15" priority="94581" stopIfTrue="1" operator="equal">
      <formula>"En cours"</formula>
    </cfRule>
  </conditionalFormatting>
  <conditionalFormatting sqref="AJ17">
    <cfRule type="cellIs" dxfId="14" priority="94582" stopIfTrue="1" operator="notEqual">
      <formula>"En cours"</formula>
    </cfRule>
  </conditionalFormatting>
  <conditionalFormatting sqref="AK17">
    <cfRule type="cellIs" dxfId="13" priority="94583" stopIfTrue="1" operator="equal">
      <formula>"En cours"</formula>
    </cfRule>
  </conditionalFormatting>
  <conditionalFormatting sqref="AK17">
    <cfRule type="cellIs" dxfId="12" priority="94584" stopIfTrue="1" operator="notEqual">
      <formula>"En cours"</formula>
    </cfRule>
  </conditionalFormatting>
  <conditionalFormatting sqref="AJ33">
    <cfRule type="cellIs" dxfId="11" priority="94585" stopIfTrue="1" operator="equal">
      <formula>"En cours"</formula>
    </cfRule>
  </conditionalFormatting>
  <conditionalFormatting sqref="AJ33">
    <cfRule type="cellIs" dxfId="10" priority="94586" stopIfTrue="1" operator="notEqual">
      <formula>"En cours"</formula>
    </cfRule>
  </conditionalFormatting>
  <conditionalFormatting sqref="AK33">
    <cfRule type="cellIs" dxfId="9" priority="94587" stopIfTrue="1" operator="equal">
      <formula>"En cours"</formula>
    </cfRule>
  </conditionalFormatting>
  <conditionalFormatting sqref="AK33">
    <cfRule type="cellIs" dxfId="8" priority="94588" stopIfTrue="1" operator="notEqual">
      <formula>"En cours"</formula>
    </cfRule>
  </conditionalFormatting>
  <conditionalFormatting sqref="AJ28">
    <cfRule type="cellIs" dxfId="7" priority="94589" stopIfTrue="1" operator="equal">
      <formula>"En cours"</formula>
    </cfRule>
  </conditionalFormatting>
  <conditionalFormatting sqref="AJ28">
    <cfRule type="cellIs" dxfId="6" priority="94590" stopIfTrue="1" operator="notEqual">
      <formula>"En cours"</formula>
    </cfRule>
  </conditionalFormatting>
  <conditionalFormatting sqref="AK28">
    <cfRule type="cellIs" dxfId="5" priority="94591" stopIfTrue="1" operator="equal">
      <formula>"En cours"</formula>
    </cfRule>
  </conditionalFormatting>
  <conditionalFormatting sqref="AK28">
    <cfRule type="cellIs" dxfId="4" priority="94592" stopIfTrue="1" operator="notEqual">
      <formula>"En cours"</formula>
    </cfRule>
  </conditionalFormatting>
  <conditionalFormatting sqref="AJ18">
    <cfRule type="cellIs" dxfId="3" priority="94593" stopIfTrue="1" operator="equal">
      <formula>"En cours"</formula>
    </cfRule>
  </conditionalFormatting>
  <conditionalFormatting sqref="AJ18">
    <cfRule type="cellIs" dxfId="2" priority="94594" stopIfTrue="1" operator="notEqual">
      <formula>"En cours"</formula>
    </cfRule>
  </conditionalFormatting>
  <conditionalFormatting sqref="AK18">
    <cfRule type="cellIs" dxfId="1" priority="94595" stopIfTrue="1" operator="equal">
      <formula>"En cours"</formula>
    </cfRule>
  </conditionalFormatting>
  <conditionalFormatting sqref="AK18">
    <cfRule type="cellIs" dxfId="0" priority="9459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52" sqref="B52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95" t="s">
        <v>70</v>
      </c>
      <c r="C4" s="95" t="s">
        <v>78</v>
      </c>
      <c r="D4" s="95" t="s">
        <v>79</v>
      </c>
      <c r="E4" s="95" t="s">
        <v>71</v>
      </c>
      <c r="F4" s="95" t="s">
        <v>72</v>
      </c>
    </row>
    <row r="5" spans="2:6" x14ac:dyDescent="0.25">
      <c r="F5" s="165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2024-08-13T17:18:17Z</dcterms:modified>
</cp:coreProperties>
</file>