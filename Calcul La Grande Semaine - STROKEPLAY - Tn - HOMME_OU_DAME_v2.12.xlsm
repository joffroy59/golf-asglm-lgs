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7AC2B939-727D-41D2-8019-B401C28EFADE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35" i="4" l="1"/>
  <c r="AK135" i="4" s="1"/>
  <c r="AD135" i="4"/>
  <c r="AJ135" i="4" s="1"/>
  <c r="AK130" i="4"/>
  <c r="AE130" i="4"/>
  <c r="AD130" i="4"/>
  <c r="AJ130" i="4" s="1"/>
  <c r="AE108" i="4"/>
  <c r="AK108" i="4" s="1"/>
  <c r="AD108" i="4"/>
  <c r="AJ108" i="4" s="1"/>
  <c r="AK59" i="4"/>
  <c r="AE59" i="4"/>
  <c r="AD59" i="4"/>
  <c r="AJ59" i="4" s="1"/>
  <c r="AK180" i="4"/>
  <c r="AE180" i="4"/>
  <c r="AD180" i="4"/>
  <c r="AJ180" i="4" s="1"/>
  <c r="AK73" i="4"/>
  <c r="AE73" i="4"/>
  <c r="AD73" i="4"/>
  <c r="AJ73" i="4" s="1"/>
  <c r="AE63" i="4"/>
  <c r="AK63" i="4" s="1"/>
  <c r="AD63" i="4"/>
  <c r="AJ63" i="4" s="1"/>
  <c r="AE67" i="4"/>
  <c r="AK67" i="4" s="1"/>
  <c r="AD67" i="4"/>
  <c r="AJ67" i="4" s="1"/>
  <c r="AE118" i="4"/>
  <c r="AK118" i="4" s="1"/>
  <c r="AD118" i="4"/>
  <c r="AJ118" i="4" s="1"/>
  <c r="AK58" i="4"/>
  <c r="AE58" i="4"/>
  <c r="AD58" i="4"/>
  <c r="AJ58" i="4" s="1"/>
  <c r="AK112" i="4"/>
  <c r="AE112" i="4"/>
  <c r="AD112" i="4"/>
  <c r="AJ112" i="4" s="1"/>
  <c r="AK64" i="4"/>
  <c r="AE64" i="4"/>
  <c r="AD64" i="4"/>
  <c r="AJ64" i="4" s="1"/>
  <c r="AE113" i="4"/>
  <c r="AK113" i="4" s="1"/>
  <c r="AD113" i="4"/>
  <c r="AJ113" i="4" s="1"/>
  <c r="AE68" i="4"/>
  <c r="AK68" i="4" s="1"/>
  <c r="AD68" i="4"/>
  <c r="AJ68" i="4" s="1"/>
  <c r="AE66" i="4"/>
  <c r="AK66" i="4" s="1"/>
  <c r="AD66" i="4"/>
  <c r="AJ66" i="4" s="1"/>
  <c r="AK72" i="4"/>
  <c r="AE72" i="4"/>
  <c r="AD72" i="4"/>
  <c r="AJ72" i="4" s="1"/>
  <c r="AK131" i="4"/>
  <c r="AE131" i="4"/>
  <c r="AD131" i="4"/>
  <c r="AJ131" i="4" s="1"/>
  <c r="AK127" i="4"/>
  <c r="AE127" i="4"/>
  <c r="AD127" i="4"/>
  <c r="AJ127" i="4" s="1"/>
  <c r="AE132" i="4"/>
  <c r="AK132" i="4" s="1"/>
  <c r="AD132" i="4"/>
  <c r="AJ132" i="4" s="1"/>
  <c r="AE153" i="4"/>
  <c r="AK153" i="4" s="1"/>
  <c r="AD153" i="4"/>
  <c r="AJ153" i="4" s="1"/>
  <c r="AE110" i="4"/>
  <c r="AK110" i="4" s="1"/>
  <c r="AD110" i="4"/>
  <c r="AJ110" i="4" s="1"/>
  <c r="AK60" i="4"/>
  <c r="AE60" i="4"/>
  <c r="AD60" i="4"/>
  <c r="AJ60" i="4" s="1"/>
  <c r="AK117" i="4"/>
  <c r="AE117" i="4"/>
  <c r="AD117" i="4"/>
  <c r="AJ117" i="4" s="1"/>
  <c r="AK61" i="4"/>
  <c r="AE61" i="4"/>
  <c r="AD61" i="4"/>
  <c r="AJ61" i="4" s="1"/>
  <c r="AE57" i="4"/>
  <c r="AK57" i="4" s="1"/>
  <c r="AD57" i="4"/>
  <c r="AJ57" i="4" s="1"/>
  <c r="AE124" i="4"/>
  <c r="AK124" i="4" s="1"/>
  <c r="AD124" i="4"/>
  <c r="AJ124" i="4" s="1"/>
  <c r="AE70" i="4"/>
  <c r="AK70" i="4" s="1"/>
  <c r="AD70" i="4"/>
  <c r="AJ70" i="4" s="1"/>
  <c r="AK162" i="4"/>
  <c r="AE162" i="4"/>
  <c r="AD162" i="4"/>
  <c r="AJ162" i="4" s="1"/>
  <c r="AK71" i="4"/>
  <c r="AE71" i="4"/>
  <c r="AD71" i="4"/>
  <c r="AJ71" i="4" s="1"/>
  <c r="AK158" i="4"/>
  <c r="AE158" i="4"/>
  <c r="AD158" i="4"/>
  <c r="AJ158" i="4" s="1"/>
  <c r="AE133" i="4"/>
  <c r="AK133" i="4" s="1"/>
  <c r="AD133" i="4"/>
  <c r="AJ133" i="4" s="1"/>
  <c r="AE75" i="4"/>
  <c r="AK75" i="4" s="1"/>
  <c r="AD75" i="4"/>
  <c r="AJ75" i="4" s="1"/>
  <c r="AE176" i="4"/>
  <c r="AK176" i="4" s="1"/>
  <c r="AD176" i="4"/>
  <c r="AJ176" i="4" s="1"/>
  <c r="AK175" i="4"/>
  <c r="AE175" i="4"/>
  <c r="AD175" i="4"/>
  <c r="AJ175" i="4" s="1"/>
  <c r="AK76" i="4"/>
  <c r="AE76" i="4"/>
  <c r="AD76" i="4"/>
  <c r="AJ76" i="4" s="1"/>
  <c r="AK102" i="4"/>
  <c r="AE102" i="4"/>
  <c r="AD102" i="4"/>
  <c r="AJ102" i="4" s="1"/>
  <c r="AE65" i="4"/>
  <c r="AK65" i="4" s="1"/>
  <c r="AD65" i="4"/>
  <c r="AJ65" i="4" s="1"/>
  <c r="AE155" i="4"/>
  <c r="AK155" i="4" s="1"/>
  <c r="AD155" i="4"/>
  <c r="AJ155" i="4" s="1"/>
  <c r="AE53" i="4"/>
  <c r="AK53" i="4" s="1"/>
  <c r="AD53" i="4"/>
  <c r="AJ53" i="4" s="1"/>
  <c r="AK43" i="4"/>
  <c r="AE43" i="4"/>
  <c r="AD43" i="4"/>
  <c r="AJ43" i="4" s="1"/>
  <c r="AK179" i="4"/>
  <c r="AE179" i="4"/>
  <c r="AD179" i="4"/>
  <c r="AJ179" i="4" s="1"/>
  <c r="AK21" i="4"/>
  <c r="AE21" i="4"/>
  <c r="AD21" i="4"/>
  <c r="AJ21" i="4" s="1"/>
  <c r="AE29" i="4"/>
  <c r="AK29" i="4" s="1"/>
  <c r="AD29" i="4"/>
  <c r="AJ29" i="4" s="1"/>
  <c r="AE94" i="4"/>
  <c r="AK94" i="4" s="1"/>
  <c r="AD94" i="4"/>
  <c r="AJ94" i="4" s="1"/>
  <c r="AE54" i="4"/>
  <c r="AK54" i="4" s="1"/>
  <c r="AD54" i="4"/>
  <c r="AJ54" i="4" s="1"/>
  <c r="AK52" i="4"/>
  <c r="AE52" i="4"/>
  <c r="AD52" i="4"/>
  <c r="AJ52" i="4" s="1"/>
  <c r="AK44" i="4"/>
  <c r="AE44" i="4"/>
  <c r="AD44" i="4"/>
  <c r="AJ44" i="4" s="1"/>
  <c r="AK46" i="4"/>
  <c r="AE46" i="4"/>
  <c r="AD46" i="4"/>
  <c r="AJ46" i="4" s="1"/>
  <c r="AE51" i="4"/>
  <c r="AK51" i="4" s="1"/>
  <c r="AD51" i="4"/>
  <c r="AJ51" i="4" s="1"/>
  <c r="AE47" i="4"/>
  <c r="AK47" i="4" s="1"/>
  <c r="AD47" i="4"/>
  <c r="AJ47" i="4" s="1"/>
  <c r="AE147" i="4"/>
  <c r="AK147" i="4" s="1"/>
  <c r="AD147" i="4"/>
  <c r="AJ147" i="4" s="1"/>
  <c r="AK27" i="4"/>
  <c r="AE27" i="4"/>
  <c r="AD27" i="4"/>
  <c r="AJ27" i="4" s="1"/>
  <c r="AK122" i="4"/>
  <c r="AE122" i="4"/>
  <c r="AD122" i="4"/>
  <c r="AJ122" i="4" s="1"/>
  <c r="AK178" i="4"/>
  <c r="AE178" i="4"/>
  <c r="AD178" i="4"/>
  <c r="AJ178" i="4" s="1"/>
  <c r="AE95" i="4"/>
  <c r="AK95" i="4" s="1"/>
  <c r="AD95" i="4"/>
  <c r="AJ95" i="4" s="1"/>
  <c r="AE50" i="4"/>
  <c r="AK50" i="4" s="1"/>
  <c r="AD50" i="4"/>
  <c r="AJ50" i="4" s="1"/>
  <c r="AE31" i="4"/>
  <c r="AK31" i="4" s="1"/>
  <c r="AD31" i="4"/>
  <c r="AJ31" i="4" s="1"/>
  <c r="AK92" i="4"/>
  <c r="AE92" i="4"/>
  <c r="AD92" i="4"/>
  <c r="AJ92" i="4" s="1"/>
  <c r="AK35" i="4"/>
  <c r="AE35" i="4"/>
  <c r="AD35" i="4"/>
  <c r="AJ35" i="4" s="1"/>
  <c r="AK91" i="4"/>
  <c r="AE91" i="4"/>
  <c r="AD91" i="4"/>
  <c r="AJ91" i="4" s="1"/>
  <c r="AE55" i="4"/>
  <c r="AK55" i="4" s="1"/>
  <c r="AD55" i="4"/>
  <c r="AJ55" i="4" s="1"/>
  <c r="AE39" i="4"/>
  <c r="AK39" i="4" s="1"/>
  <c r="AD39" i="4"/>
  <c r="AJ39" i="4" s="1"/>
  <c r="AE36" i="4"/>
  <c r="AK36" i="4" s="1"/>
  <c r="AD36" i="4"/>
  <c r="AJ36" i="4" s="1"/>
  <c r="AK85" i="4"/>
  <c r="AE85" i="4"/>
  <c r="AD85" i="4"/>
  <c r="AJ85" i="4" s="1"/>
  <c r="AK141" i="4"/>
  <c r="AE141" i="4"/>
  <c r="AD141" i="4"/>
  <c r="AJ141" i="4" s="1"/>
  <c r="AK90" i="4"/>
  <c r="AE90" i="4"/>
  <c r="AD90" i="4"/>
  <c r="AJ90" i="4" s="1"/>
  <c r="AE99" i="4"/>
  <c r="AK99" i="4" s="1"/>
  <c r="AD99" i="4"/>
  <c r="AJ99" i="4" s="1"/>
  <c r="AE37" i="4"/>
  <c r="AK37" i="4" s="1"/>
  <c r="AD37" i="4"/>
  <c r="AJ37" i="4" s="1"/>
  <c r="AE144" i="4"/>
  <c r="AK144" i="4" s="1"/>
  <c r="AD144" i="4"/>
  <c r="AJ144" i="4" s="1"/>
  <c r="AK34" i="4"/>
  <c r="AE34" i="4"/>
  <c r="AD34" i="4"/>
  <c r="AJ34" i="4" s="1"/>
  <c r="AK22" i="4"/>
  <c r="AE22" i="4"/>
  <c r="AD22" i="4"/>
  <c r="AJ22" i="4" s="1"/>
  <c r="AK168" i="4"/>
  <c r="AE168" i="4"/>
  <c r="AD168" i="4"/>
  <c r="AJ168" i="4" s="1"/>
  <c r="AE45" i="4"/>
  <c r="AK45" i="4" s="1"/>
  <c r="AD45" i="4"/>
  <c r="AJ45" i="4" s="1"/>
  <c r="AE87" i="4"/>
  <c r="AK87" i="4" s="1"/>
  <c r="AD87" i="4"/>
  <c r="AJ87" i="4" s="1"/>
  <c r="AE40" i="4"/>
  <c r="AK40" i="4" s="1"/>
  <c r="AD40" i="4"/>
  <c r="AJ40" i="4" s="1"/>
  <c r="AK146" i="4"/>
  <c r="AE146" i="4"/>
  <c r="AD146" i="4"/>
  <c r="AJ146" i="4" s="1"/>
  <c r="AK86" i="4"/>
  <c r="AE86" i="4"/>
  <c r="AD86" i="4"/>
  <c r="AJ86" i="4" s="1"/>
  <c r="AK174" i="4"/>
  <c r="AE174" i="4"/>
  <c r="AD174" i="4"/>
  <c r="AJ174" i="4" s="1"/>
  <c r="AE41" i="4"/>
  <c r="AK41" i="4" s="1"/>
  <c r="AD41" i="4"/>
  <c r="AJ41" i="4" s="1"/>
  <c r="AE25" i="4"/>
  <c r="AK25" i="4" s="1"/>
  <c r="AD25" i="4"/>
  <c r="AJ25" i="4" s="1"/>
  <c r="AE30" i="4"/>
  <c r="AK30" i="4" s="1"/>
  <c r="AD30" i="4"/>
  <c r="AJ30" i="4" s="1"/>
  <c r="AK9" i="4"/>
  <c r="AE9" i="4"/>
  <c r="AD9" i="4"/>
  <c r="AJ9" i="4" s="1"/>
  <c r="AK177" i="4"/>
  <c r="AE177" i="4"/>
  <c r="AD177" i="4"/>
  <c r="AJ177" i="4" s="1"/>
  <c r="AK4" i="4"/>
  <c r="AE4" i="4"/>
  <c r="AD4" i="4"/>
  <c r="AJ4" i="4" s="1"/>
  <c r="AE19" i="4"/>
  <c r="AK19" i="4" s="1"/>
  <c r="AD19" i="4"/>
  <c r="AJ19" i="4" s="1"/>
  <c r="AE15" i="4"/>
  <c r="AK15" i="4" s="1"/>
  <c r="AD15" i="4"/>
  <c r="AJ15" i="4" s="1"/>
  <c r="AE173" i="4"/>
  <c r="AK173" i="4" s="1"/>
  <c r="AD173" i="4"/>
  <c r="AJ173" i="4" s="1"/>
  <c r="AK172" i="4"/>
  <c r="AE172" i="4"/>
  <c r="AD172" i="4"/>
  <c r="AJ172" i="4" s="1"/>
  <c r="AK166" i="4"/>
  <c r="AE166" i="4"/>
  <c r="AD166" i="4"/>
  <c r="AJ166" i="4" s="1"/>
  <c r="AK13" i="4"/>
  <c r="AE13" i="4"/>
  <c r="AD13" i="4"/>
  <c r="AJ13" i="4" s="1"/>
  <c r="AE17" i="4"/>
  <c r="AK17" i="4" s="1"/>
  <c r="AD17" i="4"/>
  <c r="AJ17" i="4" s="1"/>
  <c r="AE165" i="4"/>
  <c r="AK165" i="4" s="1"/>
  <c r="AD165" i="4"/>
  <c r="AJ165" i="4" s="1"/>
  <c r="AE20" i="4"/>
  <c r="AK20" i="4" s="1"/>
  <c r="AD20" i="4"/>
  <c r="AJ20" i="4" s="1"/>
  <c r="AK5" i="4"/>
  <c r="AE5" i="4"/>
  <c r="AD5" i="4"/>
  <c r="AJ5" i="4" s="1"/>
  <c r="AK12" i="4"/>
  <c r="AE12" i="4"/>
  <c r="AD12" i="4"/>
  <c r="AJ12" i="4" s="1"/>
  <c r="AK6" i="4"/>
  <c r="AE6" i="4"/>
  <c r="AD6" i="4"/>
  <c r="AJ6" i="4" s="1"/>
  <c r="AE18" i="5"/>
  <c r="AK18" i="5" s="1"/>
  <c r="AD18" i="5"/>
  <c r="AJ18" i="5" s="1"/>
  <c r="AE28" i="5"/>
  <c r="AK28" i="5" s="1"/>
  <c r="AD28" i="5"/>
  <c r="AJ28" i="5" s="1"/>
  <c r="AE33" i="5"/>
  <c r="AK33" i="5" s="1"/>
  <c r="AD33" i="5"/>
  <c r="AJ33" i="5" s="1"/>
  <c r="AE17" i="5"/>
  <c r="AK17" i="5" s="1"/>
  <c r="AD17" i="5"/>
  <c r="AJ17" i="5" s="1"/>
  <c r="AE30" i="5"/>
  <c r="AK30" i="5" s="1"/>
  <c r="AD30" i="5"/>
  <c r="AJ30" i="5" s="1"/>
  <c r="AJ13" i="5"/>
  <c r="AE13" i="5"/>
  <c r="AK13" i="5" s="1"/>
  <c r="AD13" i="5"/>
  <c r="AE14" i="5"/>
  <c r="AK14" i="5" s="1"/>
  <c r="AD14" i="5"/>
  <c r="AJ14" i="5" s="1"/>
  <c r="AE12" i="5"/>
  <c r="AK12" i="5" s="1"/>
  <c r="AD12" i="5"/>
  <c r="AJ12" i="5" s="1"/>
  <c r="AE23" i="5"/>
  <c r="AK23" i="5" s="1"/>
  <c r="AD23" i="5"/>
  <c r="AJ23" i="5" s="1"/>
  <c r="AE19" i="5"/>
  <c r="AK19" i="5" s="1"/>
  <c r="AD19" i="5"/>
  <c r="AJ19" i="5" s="1"/>
  <c r="AE27" i="5"/>
  <c r="AK27" i="5" s="1"/>
  <c r="AD27" i="5"/>
  <c r="AJ27" i="5" s="1"/>
  <c r="AJ15" i="5"/>
  <c r="AE15" i="5"/>
  <c r="AK15" i="5" s="1"/>
  <c r="AD15" i="5"/>
  <c r="AE16" i="5"/>
  <c r="AK16" i="5" s="1"/>
  <c r="AD16" i="5"/>
  <c r="AJ16" i="5" s="1"/>
  <c r="AE11" i="5"/>
  <c r="AK11" i="5" s="1"/>
  <c r="AD11" i="5"/>
  <c r="AJ11" i="5" s="1"/>
  <c r="AE7" i="5"/>
  <c r="AK7" i="5" s="1"/>
  <c r="AD7" i="5"/>
  <c r="AJ7" i="5" s="1"/>
  <c r="AE6" i="5"/>
  <c r="AK6" i="5" s="1"/>
  <c r="AD6" i="5"/>
  <c r="AJ6" i="5" s="1"/>
  <c r="AE10" i="5"/>
  <c r="AK10" i="5" s="1"/>
  <c r="AD10" i="5"/>
  <c r="AJ10" i="5" s="1"/>
  <c r="AJ21" i="5"/>
  <c r="AE21" i="5"/>
  <c r="AK21" i="5" s="1"/>
  <c r="AD21" i="5"/>
  <c r="AE9" i="5"/>
  <c r="AK9" i="5" s="1"/>
  <c r="AD9" i="5"/>
  <c r="AJ9" i="5" s="1"/>
  <c r="AE25" i="5"/>
  <c r="AK25" i="5" s="1"/>
  <c r="AD25" i="5"/>
  <c r="AJ25" i="5" s="1"/>
  <c r="AE4" i="5"/>
  <c r="AK4" i="5" s="1"/>
  <c r="AD4" i="5"/>
  <c r="AJ4" i="5" s="1"/>
  <c r="AE5" i="5"/>
  <c r="AK5" i="5" s="1"/>
  <c r="AD5" i="5"/>
  <c r="AJ5" i="5" s="1"/>
  <c r="AE31" i="5"/>
  <c r="AK31" i="5" s="1"/>
  <c r="AD31" i="5"/>
  <c r="AJ31" i="5" s="1"/>
  <c r="AK160" i="4"/>
  <c r="AE160" i="4"/>
  <c r="AD160" i="4"/>
  <c r="AJ160" i="4" s="1"/>
  <c r="AE77" i="4"/>
  <c r="AK77" i="4" s="1"/>
  <c r="AD77" i="4"/>
  <c r="AJ77" i="4" s="1"/>
  <c r="AE159" i="4"/>
  <c r="AK159" i="4" s="1"/>
  <c r="AD159" i="4"/>
  <c r="AJ159" i="4" s="1"/>
  <c r="AE116" i="4"/>
  <c r="AK116" i="4" s="1"/>
  <c r="AD116" i="4"/>
  <c r="AJ116" i="4" s="1"/>
  <c r="AK114" i="4"/>
  <c r="AE114" i="4"/>
  <c r="AD114" i="4"/>
  <c r="AJ114" i="4" s="1"/>
  <c r="AK101" i="4"/>
  <c r="AE101" i="4"/>
  <c r="AD101" i="4"/>
  <c r="AJ101" i="4" s="1"/>
  <c r="AK96" i="4"/>
  <c r="AE96" i="4"/>
  <c r="AD96" i="4"/>
  <c r="AJ96" i="4" s="1"/>
  <c r="AE148" i="4"/>
  <c r="AK148" i="4" s="1"/>
  <c r="AD148" i="4"/>
  <c r="AJ148" i="4" s="1"/>
  <c r="AE89" i="4"/>
  <c r="AK89" i="4" s="1"/>
  <c r="AD89" i="4"/>
  <c r="AJ89" i="4" s="1"/>
  <c r="AE84" i="4"/>
  <c r="AK84" i="4" s="1"/>
  <c r="AD84" i="4"/>
  <c r="AJ84" i="4" s="1"/>
  <c r="AK93" i="4"/>
  <c r="AE93" i="4"/>
  <c r="AD93" i="4"/>
  <c r="AJ93" i="4" s="1"/>
  <c r="AK26" i="4"/>
  <c r="AE26" i="4"/>
  <c r="AD26" i="4"/>
  <c r="AJ26" i="4" s="1"/>
  <c r="AK170" i="4"/>
  <c r="AE170" i="4"/>
  <c r="AD170" i="4"/>
  <c r="AJ170" i="4" s="1"/>
  <c r="AE83" i="4"/>
  <c r="AK83" i="4" s="1"/>
  <c r="AD83" i="4"/>
  <c r="AJ83" i="4" s="1"/>
  <c r="AE121" i="4"/>
  <c r="AK121" i="4" s="1"/>
  <c r="AD121" i="4"/>
  <c r="AJ121" i="4" s="1"/>
  <c r="AE138" i="4"/>
  <c r="AK138" i="4" s="1"/>
  <c r="AD138" i="4"/>
  <c r="AJ138" i="4" s="1"/>
  <c r="AK80" i="4"/>
  <c r="AE80" i="4"/>
  <c r="AD80" i="4"/>
  <c r="AJ80" i="4" s="1"/>
  <c r="AK120" i="4"/>
  <c r="AE120" i="4"/>
  <c r="AD120" i="4"/>
  <c r="AJ120" i="4" s="1"/>
  <c r="AK154" i="4"/>
  <c r="AE154" i="4"/>
  <c r="AD154" i="4"/>
  <c r="AJ154" i="4" s="1"/>
  <c r="AE171" i="4"/>
  <c r="AK171" i="4" s="1"/>
  <c r="AD171" i="4"/>
  <c r="AJ171" i="4" s="1"/>
  <c r="AE163" i="4"/>
  <c r="AK163" i="4" s="1"/>
  <c r="AD163" i="4"/>
  <c r="AJ163" i="4" s="1"/>
  <c r="AE129" i="4"/>
  <c r="AK129" i="4" s="1"/>
  <c r="AD129" i="4"/>
  <c r="AJ129" i="4" s="1"/>
  <c r="AK156" i="4"/>
  <c r="AE156" i="4"/>
  <c r="AD156" i="4"/>
  <c r="AJ156" i="4" s="1"/>
  <c r="AK88" i="4"/>
  <c r="AE88" i="4"/>
  <c r="AD88" i="4"/>
  <c r="AJ88" i="4" s="1"/>
  <c r="AK33" i="4"/>
  <c r="AE33" i="4"/>
  <c r="AD33" i="4"/>
  <c r="AJ33" i="4" s="1"/>
  <c r="AE123" i="4"/>
  <c r="AK123" i="4" s="1"/>
  <c r="AD123" i="4"/>
  <c r="AJ123" i="4" s="1"/>
  <c r="AE28" i="4"/>
  <c r="AK28" i="4" s="1"/>
  <c r="AD28" i="4"/>
  <c r="AJ28" i="4" s="1"/>
  <c r="AE145" i="4"/>
  <c r="AK145" i="4" s="1"/>
  <c r="AD145" i="4"/>
  <c r="AJ145" i="4" s="1"/>
  <c r="AK142" i="4"/>
  <c r="AE142" i="4"/>
  <c r="AD142" i="4"/>
  <c r="AJ142" i="4" s="1"/>
  <c r="AK169" i="4"/>
  <c r="AE169" i="4"/>
  <c r="AD169" i="4"/>
  <c r="AJ169" i="4" s="1"/>
  <c r="AK136" i="4"/>
  <c r="AE136" i="4"/>
  <c r="AD136" i="4"/>
  <c r="AJ136" i="4" s="1"/>
  <c r="AE11" i="4"/>
  <c r="AK11" i="4" s="1"/>
  <c r="AD11" i="4"/>
  <c r="AJ11" i="4" s="1"/>
  <c r="AE78" i="4"/>
  <c r="AK78" i="4" s="1"/>
  <c r="AD78" i="4"/>
  <c r="AJ78" i="4" s="1"/>
  <c r="AE167" i="4"/>
  <c r="AK167" i="4" s="1"/>
  <c r="AD167" i="4"/>
  <c r="AJ167" i="4" s="1"/>
  <c r="AE24" i="5"/>
  <c r="AK24" i="5" s="1"/>
  <c r="AD24" i="5"/>
  <c r="AJ24" i="5" s="1"/>
  <c r="AK164" i="4"/>
  <c r="AE164" i="4"/>
  <c r="AD164" i="4"/>
  <c r="AJ164" i="4" s="1"/>
  <c r="AK161" i="4"/>
  <c r="AE161" i="4"/>
  <c r="AD161" i="4"/>
  <c r="AJ161" i="4" s="1"/>
  <c r="AE157" i="4"/>
  <c r="AK157" i="4" s="1"/>
  <c r="AD157" i="4"/>
  <c r="AJ157" i="4" s="1"/>
  <c r="AE104" i="4"/>
  <c r="AK104" i="4" s="1"/>
  <c r="AD104" i="4"/>
  <c r="AJ104" i="4" s="1"/>
  <c r="AE115" i="4"/>
  <c r="AK115" i="4" s="1"/>
  <c r="AD115" i="4"/>
  <c r="AJ115" i="4" s="1"/>
  <c r="AK152" i="4"/>
  <c r="AE152" i="4"/>
  <c r="AD152" i="4"/>
  <c r="AJ152" i="4" s="1"/>
  <c r="AK97" i="4"/>
  <c r="AE97" i="4"/>
  <c r="AD97" i="4"/>
  <c r="AJ97" i="4" s="1"/>
  <c r="AK149" i="4"/>
  <c r="AE149" i="4"/>
  <c r="AD149" i="4"/>
  <c r="AJ149" i="4" s="1"/>
  <c r="AE151" i="4"/>
  <c r="AK151" i="4" s="1"/>
  <c r="AD151" i="4"/>
  <c r="AJ151" i="4" s="1"/>
  <c r="AE150" i="4"/>
  <c r="AK150" i="4" s="1"/>
  <c r="AD150" i="4"/>
  <c r="AJ150" i="4" s="1"/>
  <c r="AE143" i="4"/>
  <c r="AK143" i="4" s="1"/>
  <c r="AD143" i="4"/>
  <c r="AJ143" i="4" s="1"/>
  <c r="AK48" i="4"/>
  <c r="AE48" i="4"/>
  <c r="AD48" i="4"/>
  <c r="AJ48" i="4" s="1"/>
  <c r="AK81" i="4"/>
  <c r="AE81" i="4"/>
  <c r="AD81" i="4"/>
  <c r="AJ81" i="4" s="1"/>
  <c r="AK139" i="4"/>
  <c r="AE139" i="4"/>
  <c r="AD139" i="4"/>
  <c r="AJ139" i="4" s="1"/>
  <c r="AE140" i="4"/>
  <c r="AK140" i="4" s="1"/>
  <c r="AD140" i="4"/>
  <c r="AJ140" i="4" s="1"/>
  <c r="AE137" i="4"/>
  <c r="AK137" i="4" s="1"/>
  <c r="AD137" i="4"/>
  <c r="AJ137" i="4" s="1"/>
  <c r="AE29" i="5"/>
  <c r="AK29" i="5" s="1"/>
  <c r="AD29" i="5"/>
  <c r="AJ29" i="5" s="1"/>
  <c r="AE32" i="5"/>
  <c r="AK32" i="5" s="1"/>
  <c r="AD32" i="5"/>
  <c r="AJ32" i="5" s="1"/>
  <c r="AK134" i="4"/>
  <c r="AE134" i="4"/>
  <c r="AD134" i="4"/>
  <c r="AJ134" i="4" s="1"/>
  <c r="AK107" i="4"/>
  <c r="AE107" i="4"/>
  <c r="AD107" i="4"/>
  <c r="AJ107" i="4" s="1"/>
  <c r="AE126" i="4"/>
  <c r="AK126" i="4" s="1"/>
  <c r="AD126" i="4"/>
  <c r="AJ126" i="4" s="1"/>
  <c r="AE128" i="4"/>
  <c r="AK128" i="4" s="1"/>
  <c r="AD128" i="4"/>
  <c r="AJ128" i="4" s="1"/>
  <c r="AE62" i="4"/>
  <c r="AK62" i="4" s="1"/>
  <c r="AD62" i="4"/>
  <c r="AJ62" i="4" s="1"/>
  <c r="AK56" i="4"/>
  <c r="AE56" i="4"/>
  <c r="AD56" i="4"/>
  <c r="AJ56" i="4" s="1"/>
  <c r="AK69" i="4"/>
  <c r="AE69" i="4"/>
  <c r="AD69" i="4"/>
  <c r="AJ69" i="4" s="1"/>
  <c r="AK125" i="4"/>
  <c r="AE125" i="4"/>
  <c r="AD125" i="4"/>
  <c r="AJ125" i="4" s="1"/>
  <c r="AE42" i="4"/>
  <c r="AK42" i="4" s="1"/>
  <c r="AD42" i="4"/>
  <c r="AJ42" i="4" s="1"/>
  <c r="AE82" i="4"/>
  <c r="AK82" i="4" s="1"/>
  <c r="AD82" i="4"/>
  <c r="AJ82" i="4" s="1"/>
  <c r="AE32" i="4"/>
  <c r="AK32" i="4" s="1"/>
  <c r="AD32" i="4"/>
  <c r="AJ32" i="4" s="1"/>
  <c r="AK49" i="4"/>
  <c r="AE49" i="4"/>
  <c r="AD49" i="4"/>
  <c r="AJ49" i="4" s="1"/>
  <c r="AK23" i="4"/>
  <c r="AE23" i="4"/>
  <c r="AD23" i="4"/>
  <c r="AJ23" i="4" s="1"/>
  <c r="AK38" i="4"/>
  <c r="AE38" i="4"/>
  <c r="AD38" i="4"/>
  <c r="AJ38" i="4" s="1"/>
  <c r="AE16" i="4"/>
  <c r="AK16" i="4" s="1"/>
  <c r="AD16" i="4"/>
  <c r="AJ16" i="4" s="1"/>
  <c r="AE79" i="4"/>
  <c r="AK79" i="4" s="1"/>
  <c r="AD79" i="4"/>
  <c r="AJ79" i="4" s="1"/>
  <c r="AE20" i="5"/>
  <c r="AK20" i="5" s="1"/>
  <c r="AD20" i="5"/>
  <c r="AJ20" i="5" s="1"/>
  <c r="AE26" i="5"/>
  <c r="AK26" i="5" s="1"/>
  <c r="AD26" i="5"/>
  <c r="AJ26" i="5" s="1"/>
  <c r="AE8" i="5"/>
  <c r="AK8" i="5" s="1"/>
  <c r="AD8" i="5"/>
  <c r="AJ8" i="5" s="1"/>
  <c r="AK74" i="4"/>
  <c r="AE74" i="4"/>
  <c r="AD74" i="4"/>
  <c r="AJ74" i="4" s="1"/>
  <c r="AE105" i="4"/>
  <c r="AK105" i="4" s="1"/>
  <c r="AD105" i="4"/>
  <c r="AJ105" i="4" s="1"/>
  <c r="AE119" i="4"/>
  <c r="AK119" i="4" s="1"/>
  <c r="AD119" i="4"/>
  <c r="AJ119" i="4" s="1"/>
  <c r="AE106" i="4"/>
  <c r="AK106" i="4" s="1"/>
  <c r="AD106" i="4"/>
  <c r="AJ106" i="4" s="1"/>
  <c r="AK109" i="4"/>
  <c r="AE109" i="4"/>
  <c r="AD109" i="4"/>
  <c r="AJ109" i="4" s="1"/>
  <c r="AK111" i="4"/>
  <c r="AE111" i="4"/>
  <c r="AD111" i="4"/>
  <c r="AJ111" i="4" s="1"/>
  <c r="AK103" i="4"/>
  <c r="AE103" i="4"/>
  <c r="AD103" i="4"/>
  <c r="AJ103" i="4" s="1"/>
  <c r="AE100" i="4"/>
  <c r="AK100" i="4" s="1"/>
  <c r="AD100" i="4"/>
  <c r="AJ100" i="4" s="1"/>
  <c r="AE98" i="4"/>
  <c r="AK98" i="4" s="1"/>
  <c r="AD98" i="4"/>
  <c r="AJ98" i="4" s="1"/>
  <c r="AE24" i="4"/>
  <c r="AK24" i="4" s="1"/>
  <c r="AD24" i="4"/>
  <c r="AJ24" i="4" s="1"/>
  <c r="AK14" i="4"/>
  <c r="AE14" i="4"/>
  <c r="AD14" i="4"/>
  <c r="AJ14" i="4" s="1"/>
  <c r="AK22" i="5"/>
  <c r="AE22" i="5"/>
  <c r="AD22" i="5"/>
  <c r="AJ22" i="5" s="1"/>
  <c r="AK18" i="4"/>
  <c r="AE18" i="4"/>
  <c r="AD18" i="4"/>
  <c r="AJ18" i="4" s="1"/>
  <c r="AE8" i="4"/>
  <c r="AK8" i="4" s="1"/>
  <c r="AD8" i="4"/>
  <c r="AJ8" i="4" s="1"/>
  <c r="AE10" i="4"/>
  <c r="AK10" i="4" s="1"/>
  <c r="AD10" i="4"/>
  <c r="AJ10" i="4" s="1"/>
  <c r="AE7" i="4"/>
  <c r="AK7" i="4" s="1"/>
  <c r="AD7" i="4"/>
  <c r="AJ7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<sst xmlns="http://schemas.openxmlformats.org/spreadsheetml/2006/main" count="167" uniqueCount="102">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</sst>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</cellXfs>
  <cellStyles count="1">
    <cellStyle name="Normal" xfId="0" builtinId="0"/>
  </cellStyles>
  <dxfs count="2447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3.xml><?xml version="1.0" encoding="utf-8"?>
<formControlPr xmlns="http://schemas.microsoft.com/office/spreadsheetml/2009/9/main" objectType="CheckBox" checked="Checked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5" y="1238571"/>
          <a:ext cx="4139597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4" cy="333376"/>
                <a:chOff x="7724775" y="1544583"/>
                <a:chExt cx="1790724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4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0" y="1535062"/>
                <a:ext cx="1596277" cy="342898"/>
                <a:chOff x="9999770" y="1535062"/>
                <a:chExt cx="1596277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0" y="1535062"/>
                      <a:ext cx="1596277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70649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1568824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24475" tableBorderDxfId="24474">
  <tableColumns count="4">
    <tableColumn id="1" xr3:uid="{86185E31-EC52-4ECC-BC3E-33C26B14F7C2}" name="Series" dataDxfId="24473">
      <calculatedColumnFormula>_xlfn.CONCAT($V$7," ",V8)</calculatedColumnFormula>
    </tableColumn>
    <tableColumn id="2" xr3:uid="{788D8AF7-A2FF-4152-9FEC-3D734C94A926}" name="Serie" dataDxfId="24472"/>
    <tableColumn id="3" xr3:uid="{98F42830-BCA0-414B-9FEF-78FCD5DB348B}" name="indexMin" dataDxfId="24471"/>
    <tableColumn id="4" xr3:uid="{E4B94243-8BBE-45E2-AAC0-0D18C5A6695E}" name="indexMax" dataDxfId="2447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24469" dataDxfId="24467" headerRowBorderDxfId="24468" tableBorderDxfId="24466">
  <tableColumns count="1">
    <tableColumn id="1" xr3:uid="{8473C081-0E42-4FA9-8C99-E5B7E8CD3209}" name="Tours" dataDxfId="2446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24464" headerRowBorderDxfId="24463" tableBorderDxfId="2446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24461" dataDxfId="24460" tableBorderDxfId="24459">
  <autoFilter ref="D12:F13" xr:uid="{FCA0E9AA-8BD9-46EB-B07B-67F06EACCB48}"/>
  <tableColumns count="3">
    <tableColumn id="1" xr3:uid="{47561816-2B53-47F6-822E-269C476F3FFD}" name="Tour importé" dataDxfId="24458"/>
    <tableColumn id="2" xr3:uid="{E2C3F515-D8A3-4FC2-B632-32DB6D91A198}" name="Type" dataDxfId="24457">
      <calculatedColumnFormula>INDEX(TableauType[TYPE],Tableau6[[#This Row],[TypeIndex]])</calculatedColumnFormula>
    </tableColumn>
    <tableColumn id="3" xr3:uid="{617E6B65-5E58-4C9B-9DC4-488608A74753}" name="TypeIndex" dataDxfId="2445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24455" dataDxfId="24454">
  <autoFilter ref="AD7:AD15" xr:uid="{9029752C-EFC9-4C60-BDF1-B009EF2F440D}"/>
  <tableColumns count="1">
    <tableColumn id="1" xr3:uid="{47EFDC89-116E-4E91-94A2-C4CDC0579100}" name="Fichiers" dataDxfId="244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24452" headerRowBorderDxfId="24451" tableBorderDxfId="24450" totalsRowBorderDxfId="24449">
  <autoFilter ref="U18:V22" xr:uid="{BBFFD128-4797-4BD5-B581-AA8D8277F8F3}"/>
  <tableColumns count="2">
    <tableColumn id="1" xr3:uid="{903026A3-43DC-4900-8F6E-2271BCA97B81}" name="Colonne1" dataDxfId="24448"/>
    <tableColumn id="2" xr3:uid="{C9FC1671-8A12-4C52-9797-E5DB3A7B67E7}" name="Colonne2" dataDxfId="2444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4446" tableBorderDxfId="24445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4444"/>
    <tableColumn id="2" xr3:uid="{ECBEFB46-CF2E-4172-8E5C-37DBEC25E1AE}" name="Club" dataDxfId="24443"/>
    <tableColumn id="3" xr3:uid="{FBA83F7F-D4E7-4A15-99EC-CE8D436D7EB3}" name="Index" dataDxfId="24442"/>
    <tableColumn id="4" xr3:uid="{0090B21E-C7ED-4CC4-A4C8-7AED1146F2F9}" name="Série" dataDxfId="24441"/>
    <tableColumn id="5" xr3:uid="{7D4E8E6A-E590-441A-A2B5-664E220061CC}" name="Score     Net1" dataDxfId="24440"/>
    <tableColumn id="6" xr3:uid="{84241967-A195-4D05-9846-F0E084774539}" name="Rang   Net1" dataDxfId="24439"/>
    <tableColumn id="7" xr3:uid="{F27CD3EA-D421-4623-93DF-5DFCAA423771}" name="Score    Brut1" dataDxfId="24438"/>
    <tableColumn id="8" xr3:uid="{62D1F21B-032A-484B-BC39-395CC4756A54}" name="Rang   Brut1" dataDxfId="24437"/>
    <tableColumn id="9" xr3:uid="{D3289CF1-FAC6-4CC0-B2B6-80CBB0406845}" name="Score      Net2" dataDxfId="24436"/>
    <tableColumn id="10" xr3:uid="{2F18A068-FD19-4313-83C9-0AB3AA88EE3F}" name="Rang      Net2" dataDxfId="24435"/>
    <tableColumn id="11" xr3:uid="{A7248FAA-403B-4BFE-B0D4-859E30DE4A95}" name="Score      Brut2" dataDxfId="24434"/>
    <tableColumn id="12" xr3:uid="{4F6F4506-16A0-4352-A12B-8992CD80B9B6}" name="Rang      Brut2" dataDxfId="24433"/>
    <tableColumn id="13" xr3:uid="{68CAD2A6-712A-4B66-A7A3-D58BF5303438}" name="Score      Net3" dataDxfId="24432"/>
    <tableColumn id="14" xr3:uid="{9F172573-6C25-46FC-BE9F-F56834E813D9}" name="Rang      Net3" dataDxfId="24431"/>
    <tableColumn id="15" xr3:uid="{618A094F-BB99-4883-A19C-4EBA6E699BCF}" name="Score      Brut3" dataDxfId="24430"/>
    <tableColumn id="16" xr3:uid="{0E544C66-61C9-46D5-A427-A9677AE96910}" name="Rang      Brut3" dataDxfId="24429"/>
    <tableColumn id="17" xr3:uid="{24730B87-D2CD-487D-99BD-EACD109C443F}" name="Score        Net4" dataDxfId="24428"/>
    <tableColumn id="18" xr3:uid="{F0B85087-E217-4534-9BC7-B04BDDCCA8B9}" name="Rang        Net4" dataDxfId="24427"/>
    <tableColumn id="19" xr3:uid="{7DDCD1A6-A182-48A1-9F3F-836B917D0B07}" name="Score        Brut4" dataDxfId="24426"/>
    <tableColumn id="20" xr3:uid="{8EABA2E9-9ADA-4192-8BB2-2F58072A8E01}" name="Rang        Brut4" dataDxfId="24425"/>
    <tableColumn id="21" xr3:uid="{79E31DB6-4982-4160-9B1D-20DE3F5E1BB8}" name="Score        Net5" dataDxfId="24424"/>
    <tableColumn id="22" xr3:uid="{DB589AF3-34B3-447A-A354-D474E90FDB4F}" name="Rang        Net5" dataDxfId="24423"/>
    <tableColumn id="23" xr3:uid="{EC9FE005-CE9F-448B-81FE-28EDD1A971F9}" name="Score        Brut5" dataDxfId="24422"/>
    <tableColumn id="24" xr3:uid="{220294A2-C79D-45F3-9AE5-D46451BBF584}" name="Rang        Brut5" dataDxfId="24421"/>
    <tableColumn id="25" xr3:uid="{A772CA9D-C689-4C9F-9855-E6A692839D23}" name="Score        Net6" dataDxfId="24420"/>
    <tableColumn id="26" xr3:uid="{D2589416-857A-4C41-AC6D-96D41817DEC7}" name="Rang        Net6" dataDxfId="24419"/>
    <tableColumn id="27" xr3:uid="{27ADC7D0-24DE-4505-9913-856D8DE338A9}" name="Score        Brut6" dataDxfId="24418"/>
    <tableColumn id="28" xr3:uid="{ABDBDCB4-7B27-49F8-BC7A-7843BC9FF7A5}" name="Rang        Brut6" dataDxfId="24417"/>
    <tableColumn id="29" xr3:uid="{941D9336-449B-439E-B469-314E549EA186}" name="Score Net Max" dataDxfId="24416">
      <calculatedColumnFormula>IF(MIN(F4,J4,N4,R4,V4,Z4)&lt;&gt;0,MIN(F4,J4,N4,R4,V4,Z4),"")</calculatedColumnFormula>
    </tableColumn>
    <tableColumn id="30" xr3:uid="{90574FCA-077D-4C2D-95A6-25042040131A}" name="Score Brut Max" dataDxfId="24415">
      <calculatedColumnFormula>IF(MIN(H4,L4,P4,T4,X4,AB4)&lt;&gt;0,MIN(H4,L4,P4,T4,X4,AB4),"")</calculatedColumnFormula>
    </tableColumn>
    <tableColumn id="31" xr3:uid="{7D46739F-AA9F-4F4C-8559-42672BDC3359}" name="Score Net Finale" dataDxfId="24414"/>
    <tableColumn id="32" xr3:uid="{11EAF1CA-8CD4-40A4-91A3-87D38FCF3433}" name="Rang Net Finale" dataDxfId="24413"/>
    <tableColumn id="33" xr3:uid="{66A96B4D-B263-479C-A036-CA0A68FB1450}" name="Score Brut Finale" dataDxfId="24412"/>
    <tableColumn id="34" xr3:uid="{AB46E898-F45B-460F-A38E-C5A2BFD53000}" name="Rang Brut Finale" dataDxfId="24411"/>
    <tableColumn id="35" xr3:uid="{E7B91838-CDE0-4965-B3BE-53C906009CF4}" name="Score Net LGS" dataDxfId="24410">
      <calculatedColumnFormula>IF(AD4="","",IF(ISBLANK(AF4),"En cours",AD4+AF4))</calculatedColumnFormula>
    </tableColumn>
    <tableColumn id="36" xr3:uid="{2A90CEF2-3F60-4761-BD52-022404B7522C}" name="Score Brut LGS" dataDxfId="2440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24408" tableBorderDxfId="24407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24406"/>
    <tableColumn id="2" xr3:uid="{6DF6013E-11A9-4F6E-B527-4EB5242D32FC}" name="Club" dataDxfId="24405"/>
    <tableColumn id="3" xr3:uid="{809481FC-1207-4212-8E64-39319F31B86C}" name="Index" dataDxfId="24404"/>
    <tableColumn id="4" xr3:uid="{61BCE2E5-DC5C-48C2-BA39-6573DBA32351}" name="Série" dataDxfId="24403"/>
    <tableColumn id="5" xr3:uid="{5210E73B-D34C-4FAE-A187-64170B309A2C}" name="Score     Net1" dataDxfId="24402"/>
    <tableColumn id="6" xr3:uid="{0C146610-8133-4769-A4EC-4AF4A9EB4EEA}" name="Rang   Net1" dataDxfId="24401"/>
    <tableColumn id="7" xr3:uid="{DC3B3441-4412-46B5-8015-7E44D9FF0A16}" name="Score    Brut1" dataDxfId="24400"/>
    <tableColumn id="8" xr3:uid="{780A2D1B-C1E0-4E66-A641-80609193E5ED}" name="Rang   Brut1" dataDxfId="24399"/>
    <tableColumn id="9" xr3:uid="{A286DE62-5493-4750-8D3A-4E0268951135}" name="Score      Net2" dataDxfId="24398"/>
    <tableColumn id="10" xr3:uid="{9AA9E923-19AE-4E9C-B03E-6CCB420B0DE0}" name="Rang      Net2" dataDxfId="24397"/>
    <tableColumn id="11" xr3:uid="{13D9FCED-A177-4823-BBF5-CB6BBFD92170}" name="Score      Brut2" dataDxfId="24396"/>
    <tableColumn id="12" xr3:uid="{AE79BCC0-99C9-4A29-85F9-06518743CC41}" name="Rang      Brut2" dataDxfId="24395"/>
    <tableColumn id="13" xr3:uid="{6260EBE1-C4F8-4892-8111-6848B59FFDDC}" name="Score      Net3" dataDxfId="24394"/>
    <tableColumn id="14" xr3:uid="{70D3C91B-53A9-4C67-AA7C-86DB6FCC84EA}" name="Rang      Net3" dataDxfId="24393"/>
    <tableColumn id="15" xr3:uid="{316ABADB-80DF-4341-9456-B07A916EE828}" name="Score      Brut3" dataDxfId="24392"/>
    <tableColumn id="16" xr3:uid="{5F33B9A2-6C2B-44A9-B727-D955FDD7A57E}" name="Rang      Brut3" dataDxfId="24391"/>
    <tableColumn id="17" xr3:uid="{7405128E-0D40-44C5-B3B7-9098CE3F571B}" name="Score        Net4" dataDxfId="24390"/>
    <tableColumn id="18" xr3:uid="{57B1622B-69C7-4A1C-8967-6906A0E60401}" name="Rang        Net4" dataDxfId="24389"/>
    <tableColumn id="19" xr3:uid="{765D8E18-32EC-4D78-B6D5-C889630A0B4D}" name="Score        Brut4" dataDxfId="24388"/>
    <tableColumn id="20" xr3:uid="{F9E9BC2E-A9E0-415E-92F8-F007D70D402D}" name="Rang        Brut4" dataDxfId="24387"/>
    <tableColumn id="21" xr3:uid="{56B8C53B-2683-43AB-BA94-98D12846892B}" name="Score        Net5" dataDxfId="24386"/>
    <tableColumn id="22" xr3:uid="{CEE64EB1-2B37-4BE8-AD6C-F73635777200}" name="Rang        Net5" dataDxfId="24385"/>
    <tableColumn id="23" xr3:uid="{08967303-5AA9-43EB-A7B1-57000258446B}" name="Score        Brut5" dataDxfId="24384"/>
    <tableColumn id="24" xr3:uid="{8200C06D-A6A7-4584-BCE4-DE94947CAA08}" name="Rang        Brut5" dataDxfId="24383"/>
    <tableColumn id="25" xr3:uid="{E363B218-F04E-4259-A65F-BE04FA1C15B3}" name="Score        Net6" dataDxfId="24382"/>
    <tableColumn id="26" xr3:uid="{EC92842C-B321-4087-AA25-F376E0579048}" name="Rang        Net6" dataDxfId="24381"/>
    <tableColumn id="27" xr3:uid="{3EF61377-66C7-4D60-AF65-BAFD2DD291D8}" name="Score        Brut6" dataDxfId="24380"/>
    <tableColumn id="28" xr3:uid="{251BB10E-2B2F-4B4A-8805-D7C49FF7D091}" name="Rang        Brut6" dataDxfId="24379"/>
    <tableColumn id="29" xr3:uid="{937492D8-E20B-486F-B289-5EBB929EA97E}" name="Score Net Max" dataDxfId="24378">
      <calculatedColumnFormula>IF(MIN(F4,J4,N4,R4,V4,Z4)&lt;&gt;0,MIN(F4,J4,N4,R4,V4,Z4),"")</calculatedColumnFormula>
    </tableColumn>
    <tableColumn id="30" xr3:uid="{BFCE7449-4F11-49CA-B00B-6CF4C21DE23E}" name="Score Brut Max" dataDxfId="24377">
      <calculatedColumnFormula>IF(MIN(H4,L4,P4,T4,X4,AB4)&lt;&gt;0,MIN(H4,L4,P4,T4,X4,AB4),"")</calculatedColumnFormula>
    </tableColumn>
    <tableColumn id="31" xr3:uid="{061F8C59-D91F-49DB-89E4-FD5BF5DEA2BE}" name="Score Net Finale" dataDxfId="24376"/>
    <tableColumn id="32" xr3:uid="{47CCF636-B700-4893-BB69-C5F49188A737}" name="Rang Net Finale" dataDxfId="24375"/>
    <tableColumn id="33" xr3:uid="{34BE4EC2-EAC1-40DC-82EA-B21BFA645C43}" name="Score Brut Finale" dataDxfId="24374"/>
    <tableColumn id="34" xr3:uid="{B4CC10FB-AE7D-4F7B-B5E6-A21DFBD43F7A}" name="Rang Brut Finale" dataDxfId="24373"/>
    <tableColumn id="35" xr3:uid="{2A85E5CE-D8F3-4ABA-BB20-EF4EC4E5400C}" name="Score Net LGS" dataDxfId="24372">
      <calculatedColumnFormula>IF(AD4="","",IF(ISBLANK(AF4),"En cours",AD4+AF4))</calculatedColumnFormula>
    </tableColumn>
    <tableColumn id="36" xr3:uid="{E2505702-E088-4E30-97F4-10F7B06362C7}" name="Score Brut LGS" dataDxfId="2437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24370" dataDxfId="24369">
  <autoFilter ref="B4:F5" xr:uid="{BEE036B7-08A7-43AF-AC9F-62B639BE2327}"/>
  <tableColumns count="5">
    <tableColumn id="1" xr3:uid="{07F0EE21-57C5-4450-A337-C4E93B37093B}" name="type" dataDxfId="24368"/>
    <tableColumn id="4" xr3:uid="{5D76DE16-D7AC-47BB-8E5C-7D62535B0C45}" name="joueurs" dataDxfId="24367"/>
    <tableColumn id="6" xr3:uid="{AAEF716B-5939-451B-9370-6D6F4B67A6B4}" name="feuille" dataDxfId="24366"/>
    <tableColumn id="2" xr3:uid="{15443A43-A7C3-4E12-8B5A-8DC832EBEFF5}" name="reference" dataDxfId="24365"/>
    <tableColumn id="3" xr3:uid="{C5F94F07-C4F6-41F7-9201-803FDABD5D1F}" name="date" dataDxfId="2436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4" sqref="B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COUNTA($K$17:$K$7702)</f>
        <v>0</v>
      </c>
      <c r="L3" s="60"/>
      <c r="M3" s="60" t="str">
        <f>_xlfn.CONCAT("Resultat LGS (",Tableau6[Type],")")</f>
        <v>Resultat LGS (ALL)</v>
      </c>
      <c r="N3" s="66"/>
      <c r="O3" s="67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7" t="s">
        <v>81</v>
      </c>
      <c r="Q5" s="168"/>
      <c r="R5" s="16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41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70">
        <f>IF(Tableau6[Type]=INDEX(TableauType[],1),U19,V19)</f>
        <v>0</v>
      </c>
      <c r="Q6" s="171"/>
      <c r="R6" s="17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73" t="str">
        <f>IF(Tableau6[Type]=INDEX(TableauType[],1),U20,V20)</f>
        <v>export_DAME_Net_12.xlsx</v>
      </c>
      <c r="Q7" s="174"/>
      <c r="R7" s="175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76" t="str">
        <f>IF(Tableau6[Type]=INDEX(TableauType[],1),U21,V21)</f>
        <v>export_DAME_Brut_34.xlsx</v>
      </c>
      <c r="Q8" s="177"/>
      <c r="R8" s="178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1</v>
      </c>
      <c r="E9" s="23"/>
      <c r="F9" s="50"/>
      <c r="G9" s="25"/>
      <c r="H9" s="25"/>
      <c r="I9" s="25"/>
      <c r="J9" s="28"/>
      <c r="L9" s="36"/>
      <c r="M9" s="37"/>
      <c r="N9" s="38"/>
      <c r="P9" s="179" t="str">
        <f>IF(Tableau6[Type]=INDEX(TableauType[],1),U22,V22)</f>
        <v>export_DAME_Net_34.xlsx</v>
      </c>
      <c r="Q9" s="180"/>
      <c r="R9" s="181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101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ALL</v>
      </c>
      <c r="F13" s="113">
        <v>3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65" t="s">
        <v>1</v>
      </c>
      <c r="C15" s="165"/>
      <c r="D15" s="165"/>
      <c r="E15" s="165"/>
      <c r="F15" s="165"/>
      <c r="G15" s="165"/>
      <c r="H15" s="165"/>
      <c r="I15" s="165"/>
      <c r="K15" s="166" t="s">
        <v>2</v>
      </c>
      <c r="L15" s="166"/>
      <c r="M15" s="166"/>
      <c r="N15" s="166"/>
      <c r="O15" s="166"/>
      <c r="P15" s="166"/>
      <c r="Q15" s="166"/>
      <c r="R15" s="16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62" t="s">
        <v>98</v>
      </c>
      <c r="Y18" s="163"/>
      <c r="Z18" s="163"/>
      <c r="AA18" s="163"/>
      <c r="AB18" s="164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38" t="s">
        <v>94</v>
      </c>
      <c r="Y19" s="136"/>
      <c r="Z19" s="136" t="s">
        <v>92</v>
      </c>
      <c r="AA19" s="136"/>
      <c r="AB19" s="137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39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62" t="s">
        <v>99</v>
      </c>
      <c r="Y22" s="163"/>
      <c r="Z22" s="163"/>
      <c r="AA22" s="163"/>
      <c r="AB22" s="16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40" t="s">
        <v>96</v>
      </c>
      <c r="Y23" s="134"/>
      <c r="Z23" s="134" t="s">
        <v>97</v>
      </c>
      <c r="AA23" s="134"/>
      <c r="AB23" s="13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8"/>
      <c r="U28" s="155"/>
      <c r="V28" s="155"/>
      <c r="W28" s="152"/>
    </row>
    <row r="29" spans="6:31" ht="15.75" thickBot="1" x14ac:dyDescent="0.3">
      <c r="F29"/>
      <c r="O29"/>
      <c r="T29" s="159"/>
      <c r="U29" s="150" t="s">
        <v>35</v>
      </c>
      <c r="V29" s="142" t="str">
        <f ca="1">MID(CELL("nomfichier",A1),FIND("]",CELL("nomfichier",A1))+1,LEN(CELL("nomfichier",A1))-FIND("]",CELL("nomfichier",A1)))</f>
        <v>Import Resultats Tour</v>
      </c>
      <c r="W29" s="153"/>
    </row>
    <row r="30" spans="6:31" ht="15.75" thickBot="1" x14ac:dyDescent="0.3">
      <c r="F30"/>
      <c r="O30"/>
      <c r="T30" s="159"/>
      <c r="U30" s="150" t="s">
        <v>36</v>
      </c>
      <c r="V30" s="142" t="str">
        <f>_xlfn.CONCAT("Resultat LGS (",Tableau6[Type],")")</f>
        <v>Resultat LGS (ALL)</v>
      </c>
      <c r="W30" s="153"/>
    </row>
    <row r="31" spans="6:31" ht="15.75" thickBot="1" x14ac:dyDescent="0.3">
      <c r="F31"/>
      <c r="O31"/>
      <c r="T31" s="159"/>
      <c r="U31" s="156"/>
      <c r="V31" s="157"/>
      <c r="W31" s="153"/>
    </row>
    <row r="32" spans="6:31" x14ac:dyDescent="0.25">
      <c r="F32"/>
      <c r="O32"/>
      <c r="T32" s="159"/>
      <c r="U32" s="149" t="s">
        <v>34</v>
      </c>
      <c r="V32" s="144">
        <f>COUNTA($B$17:$B$7704)</f>
        <v>0</v>
      </c>
      <c r="W32" s="153"/>
    </row>
    <row r="33" spans="6:23" ht="15.75" thickBot="1" x14ac:dyDescent="0.3">
      <c r="F33"/>
      <c r="O33"/>
      <c r="T33" s="159"/>
      <c r="U33" s="147" t="s">
        <v>33</v>
      </c>
      <c r="V33" s="145">
        <f>COUNTA($K$17:$K$7702)</f>
        <v>0</v>
      </c>
      <c r="W33" s="153"/>
    </row>
    <row r="34" spans="6:23" ht="15.75" thickBot="1" x14ac:dyDescent="0.3">
      <c r="F34"/>
      <c r="O34"/>
      <c r="T34" s="159"/>
      <c r="U34" s="148" t="s">
        <v>3</v>
      </c>
      <c r="V34" s="146">
        <f>TourSelected</f>
        <v>1</v>
      </c>
      <c r="W34" s="153"/>
    </row>
    <row r="35" spans="6:23" ht="15.75" thickBot="1" x14ac:dyDescent="0.3">
      <c r="F35"/>
      <c r="O35"/>
      <c r="T35" s="159"/>
      <c r="U35" s="156"/>
      <c r="V35" s="157"/>
      <c r="W35" s="153"/>
    </row>
    <row r="36" spans="6:23" x14ac:dyDescent="0.25">
      <c r="F36"/>
      <c r="O36"/>
      <c r="T36" s="159"/>
      <c r="U36" s="143" t="s">
        <v>31</v>
      </c>
      <c r="V36" s="144"/>
      <c r="W36" s="153"/>
    </row>
    <row r="37" spans="6:23" ht="15.75" thickBot="1" x14ac:dyDescent="0.3">
      <c r="F37"/>
      <c r="O37"/>
      <c r="T37" s="159"/>
      <c r="U37" s="147" t="s">
        <v>32</v>
      </c>
      <c r="V37" s="151">
        <f>DateImport</f>
        <v>45509</v>
      </c>
      <c r="W37" s="153"/>
    </row>
    <row r="38" spans="6:23" ht="15.75" thickBot="1" x14ac:dyDescent="0.3">
      <c r="F38"/>
      <c r="O38"/>
      <c r="T38" s="160"/>
      <c r="U38" s="161"/>
      <c r="V38" s="161"/>
      <c r="W38" s="154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1571625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9" t="s">
        <v>18</v>
      </c>
      <c r="G2" s="190"/>
      <c r="H2" s="190"/>
      <c r="I2" s="191"/>
      <c r="J2" s="192" t="s">
        <v>19</v>
      </c>
      <c r="K2" s="193"/>
      <c r="L2" s="193"/>
      <c r="M2" s="194"/>
      <c r="N2" s="195" t="s">
        <v>20</v>
      </c>
      <c r="O2" s="190"/>
      <c r="P2" s="190"/>
      <c r="Q2" s="191"/>
      <c r="R2" s="192" t="s">
        <v>21</v>
      </c>
      <c r="S2" s="193"/>
      <c r="T2" s="193"/>
      <c r="U2" s="194"/>
      <c r="V2" s="195" t="s">
        <v>22</v>
      </c>
      <c r="W2" s="190"/>
      <c r="X2" s="190"/>
      <c r="Y2" s="191"/>
      <c r="Z2" s="192" t="s">
        <v>23</v>
      </c>
      <c r="AA2" s="193"/>
      <c r="AB2" s="193"/>
      <c r="AC2" s="196"/>
      <c r="AD2" s="182" t="s">
        <v>82</v>
      </c>
      <c r="AE2" s="183"/>
      <c r="AF2" s="184" t="s">
        <v>17</v>
      </c>
      <c r="AG2" s="185"/>
      <c r="AH2" s="185"/>
      <c r="AI2" s="186"/>
      <c r="AJ2" s="187" t="s">
        <v>25</v>
      </c>
      <c r="AK2" s="18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3" t="str">
        <f>IF(MIN(F4,J4,N4,R4,V4,Z4)&lt;&gt;0,MIN(F4,J4,N4,R4,V4,Z4),"")</f>
        <v/>
      </c>
      <c r="AE4" s="133" t="str">
        <f>IF(MIN(H4,L4,P4,T4,X4,AB4)&lt;&gt;0,MIN(H4,L4,P4,T4,X4,AB4),"")</f>
        <v/>
      </c>
      <c r="AF4" s="133"/>
      <c r="AG4" s="132"/>
      <c r="AH4" s="133"/>
      <c r="AI4" s="132"/>
      <c r="AJ4" s="131" t="str">
        <f>IF(AD4="","",IF(ISBLANK(AF4),"En cours",AD4+AF4))</f>
        <v/>
      </c>
      <c r="AK4" s="131" t="str">
        <f>IF(AE4="","",IF(ISBLANK(AH4),"En cours",AE4+AH4))</f>
        <v/>
      </c>
    </row>
    <row r="5" spans="2:37" ht="21" x14ac:dyDescent="0.35"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3" t="str">
        <f>IF(MIN(F5,J5,N5,R5,V5,Z5)&lt;&gt;0,MIN(F5,J5,N5,R5,V5,Z5),"")</f>
        <v/>
      </c>
      <c r="AE5" s="133" t="str">
        <f>IF(MIN(H5,L5,P5,T5,X5,AB5)&lt;&gt;0,MIN(H5,L5,P5,T5,X5,AB5),"")</f>
        <v/>
      </c>
      <c r="AF5" s="133"/>
      <c r="AG5" s="132"/>
      <c r="AH5" s="133"/>
      <c r="AI5" s="132"/>
      <c r="AJ5" s="131" t="str">
        <f>IF(AD5="","",IF(ISBLANK(AF5),"En cours",AD5+AF5))</f>
        <v/>
      </c>
      <c r="AK5" s="131" t="str">
        <f>IF(AE5="","",IF(ISBLANK(AH5),"En cours",AE5+AH5))</f>
        <v/>
      </c>
    </row>
    <row r="6" spans="2:37" ht="21" x14ac:dyDescent="0.35"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3" t="str">
        <f>IF(MIN(F6,J6,N6,R6,V6,Z6)&lt;&gt;0,MIN(F6,J6,N6,R6,V6,Z6),"")</f>
        <v/>
      </c>
      <c r="AE6" s="133" t="str">
        <f>IF(MIN(H6,L6,P6,T6,X6,AB6)&lt;&gt;0,MIN(H6,L6,P6,T6,X6,AB6),"")</f>
        <v/>
      </c>
      <c r="AF6" s="133"/>
      <c r="AG6" s="132"/>
      <c r="AH6" s="133"/>
      <c r="AI6" s="132"/>
      <c r="AJ6" s="131" t="str">
        <f>IF(AD6="","",IF(ISBLANK(AF6),"En cours",AD6+AF6))</f>
        <v/>
      </c>
      <c r="AK6" s="131" t="str">
        <f>IF(AE6="","",IF(ISBLANK(AH6),"En cours",AE6+AH6))</f>
        <v/>
      </c>
    </row>
    <row r="7" spans="2:37" ht="21" x14ac:dyDescent="0.35"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3" t="str">
        <f>IF(MIN(F7,J7,N7,R7,V7,Z7)&lt;&gt;0,MIN(F7,J7,N7,R7,V7,Z7),"")</f>
        <v/>
      </c>
      <c r="AE7" s="133" t="str">
        <f>IF(MIN(H7,L7,P7,T7,X7,AB7)&lt;&gt;0,MIN(H7,L7,P7,T7,X7,AB7),"")</f>
        <v/>
      </c>
      <c r="AF7" s="133"/>
      <c r="AG7" s="132"/>
      <c r="AH7" s="133"/>
      <c r="AI7" s="132"/>
      <c r="AJ7" s="131" t="str">
        <f>IF(AD7="","",IF(ISBLANK(AF7),"En cours",AD7+AF7))</f>
        <v/>
      </c>
      <c r="AK7" s="131" t="str">
        <f>IF(AE7="","",IF(ISBLANK(AH7),"En cours",AE7+AH7))</f>
        <v/>
      </c>
    </row>
    <row r="8" spans="2:37" ht="21" x14ac:dyDescent="0.35"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3" t="str">
        <f>IF(MIN(F8,J8,N8,R8,V8,Z8)&lt;&gt;0,MIN(F8,J8,N8,R8,V8,Z8),"")</f>
        <v/>
      </c>
      <c r="AE8" s="133" t="str">
        <f>IF(MIN(H8,L8,P8,T8,X8,AB8)&lt;&gt;0,MIN(H8,L8,P8,T8,X8,AB8),"")</f>
        <v/>
      </c>
      <c r="AF8" s="133"/>
      <c r="AG8" s="132"/>
      <c r="AH8" s="133"/>
      <c r="AI8" s="132"/>
      <c r="AJ8" s="131" t="str">
        <f>IF(AD8="","",IF(ISBLANK(AF8),"En cours",AD8+AF8))</f>
        <v/>
      </c>
      <c r="AK8" s="131" t="str">
        <f>IF(AE8="","",IF(ISBLANK(AH8),"En cours",AE8+AH8))</f>
        <v/>
      </c>
    </row>
    <row r="9" spans="2:37" ht="21" x14ac:dyDescent="0.35"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3" t="str">
        <f>IF(MIN(F9,J9,N9,R9,V9,Z9)&lt;&gt;0,MIN(F9,J9,N9,R9,V9,Z9),"")</f>
        <v/>
      </c>
      <c r="AE9" s="133" t="str">
        <f>IF(MIN(H9,L9,P9,T9,X9,AB9)&lt;&gt;0,MIN(H9,L9,P9,T9,X9,AB9),"")</f>
        <v/>
      </c>
      <c r="AF9" s="133"/>
      <c r="AG9" s="132"/>
      <c r="AH9" s="133"/>
      <c r="AI9" s="132"/>
      <c r="AJ9" s="131" t="str">
        <f>IF(AD9="","",IF(ISBLANK(AF9),"En cours",AD9+AF9))</f>
        <v/>
      </c>
      <c r="AK9" s="131" t="str">
        <f>IF(AE9="","",IF(ISBLANK(AH9),"En cours",AE9+AH9))</f>
        <v/>
      </c>
    </row>
    <row r="10" spans="2:37" ht="21" x14ac:dyDescent="0.35"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3" t="str">
        <f>IF(MIN(F10,J10,N10,R10,V10,Z10)&lt;&gt;0,MIN(F10,J10,N10,R10,V10,Z10),"")</f>
        <v/>
      </c>
      <c r="AE10" s="133" t="str">
        <f>IF(MIN(H10,L10,P10,T10,X10,AB10)&lt;&gt;0,MIN(H10,L10,P10,T10,X10,AB10),"")</f>
        <v/>
      </c>
      <c r="AF10" s="133"/>
      <c r="AG10" s="132"/>
      <c r="AH10" s="133"/>
      <c r="AI10" s="132"/>
      <c r="AJ10" s="131" t="str">
        <f>IF(AD10="","",IF(ISBLANK(AF10),"En cours",AD10+AF10))</f>
        <v/>
      </c>
      <c r="AK10" s="131" t="str">
        <f>IF(AE10="","",IF(ISBLANK(AH10),"En cours",AE10+AH10))</f>
        <v/>
      </c>
    </row>
    <row r="11" spans="2:37" ht="21" x14ac:dyDescent="0.35"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3" t="str">
        <f>IF(MIN(F11,J11,N11,R11,V11,Z11)&lt;&gt;0,MIN(F11,J11,N11,R11,V11,Z11),"")</f>
        <v/>
      </c>
      <c r="AE11" s="133" t="str">
        <f>IF(MIN(H11,L11,P11,T11,X11,AB11)&lt;&gt;0,MIN(H11,L11,P11,T11,X11,AB11),"")</f>
        <v/>
      </c>
      <c r="AF11" s="133"/>
      <c r="AG11" s="132"/>
      <c r="AH11" s="133"/>
      <c r="AI11" s="132"/>
      <c r="AJ11" s="131" t="str">
        <f>IF(AD11="","",IF(ISBLANK(AF11),"En cours",AD11+AF11))</f>
        <v/>
      </c>
      <c r="AK11" s="131" t="str">
        <f>IF(AE11="","",IF(ISBLANK(AH11),"En cours",AE11+AH11))</f>
        <v/>
      </c>
    </row>
    <row r="12" spans="2:37" ht="21" x14ac:dyDescent="0.35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3" t="str">
        <f>IF(MIN(F12,J12,N12,R12,V12,Z12)&lt;&gt;0,MIN(F12,J12,N12,R12,V12,Z12),"")</f>
        <v/>
      </c>
      <c r="AE12" s="133" t="str">
        <f>IF(MIN(H12,L12,P12,T12,X12,AB12)&lt;&gt;0,MIN(H12,L12,P12,T12,X12,AB12),"")</f>
        <v/>
      </c>
      <c r="AF12" s="133"/>
      <c r="AG12" s="132"/>
      <c r="AH12" s="133"/>
      <c r="AI12" s="132"/>
      <c r="AJ12" s="131" t="str">
        <f>IF(AD12="","",IF(ISBLANK(AF12),"En cours",AD12+AF12))</f>
        <v/>
      </c>
      <c r="AK12" s="131" t="str">
        <f>IF(AE12="","",IF(ISBLANK(AH12),"En cours",AE12+AH12))</f>
        <v/>
      </c>
    </row>
    <row r="13" spans="2:37" ht="21" x14ac:dyDescent="0.35"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3" t="str">
        <f>IF(MIN(F13,J13,N13,R13,V13,Z13)&lt;&gt;0,MIN(F13,J13,N13,R13,V13,Z13),"")</f>
        <v/>
      </c>
      <c r="AE13" s="133" t="str">
        <f>IF(MIN(H13,L13,P13,T13,X13,AB13)&lt;&gt;0,MIN(H13,L13,P13,T13,X13,AB13),"")</f>
        <v/>
      </c>
      <c r="AF13" s="133"/>
      <c r="AG13" s="132"/>
      <c r="AH13" s="133"/>
      <c r="AI13" s="132"/>
      <c r="AJ13" s="131" t="str">
        <f>IF(AD13="","",IF(ISBLANK(AF13),"En cours",AD13+AF13))</f>
        <v/>
      </c>
      <c r="AK13" s="131" t="str">
        <f>IF(AE13="","",IF(ISBLANK(AH13),"En cours",AE13+AH13))</f>
        <v/>
      </c>
    </row>
    <row r="14" spans="2:37" ht="21" x14ac:dyDescent="0.35"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3" t="str">
        <f>IF(MIN(F14,J14,N14,R14,V14,Z14)&lt;&gt;0,MIN(F14,J14,N14,R14,V14,Z14),"")</f>
        <v/>
      </c>
      <c r="AE14" s="133" t="str">
        <f>IF(MIN(H14,L14,P14,T14,X14,AB14)&lt;&gt;0,MIN(H14,L14,P14,T14,X14,AB14),"")</f>
        <v/>
      </c>
      <c r="AF14" s="133"/>
      <c r="AG14" s="132"/>
      <c r="AH14" s="133"/>
      <c r="AI14" s="132"/>
      <c r="AJ14" s="131" t="str">
        <f>IF(AD14="","",IF(ISBLANK(AF14),"En cours",AD14+AF14))</f>
        <v/>
      </c>
      <c r="AK14" s="131" t="str">
        <f>IF(AE14="","",IF(ISBLANK(AH14),"En cours",AE14+AH14))</f>
        <v/>
      </c>
    </row>
    <row r="15" spans="2:37" ht="21" x14ac:dyDescent="0.35"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3" t="str">
        <f>IF(MIN(F15,J15,N15,R15,V15,Z15)&lt;&gt;0,MIN(F15,J15,N15,R15,V15,Z15),"")</f>
        <v/>
      </c>
      <c r="AE15" s="133" t="str">
        <f>IF(MIN(H15,L15,P15,T15,X15,AB15)&lt;&gt;0,MIN(H15,L15,P15,T15,X15,AB15),"")</f>
        <v/>
      </c>
      <c r="AF15" s="133"/>
      <c r="AG15" s="132"/>
      <c r="AH15" s="133"/>
      <c r="AI15" s="132"/>
      <c r="AJ15" s="131" t="str">
        <f>IF(AD15="","",IF(ISBLANK(AF15),"En cours",AD15+AF15))</f>
        <v/>
      </c>
      <c r="AK15" s="131" t="str">
        <f>IF(AE15="","",IF(ISBLANK(AH15),"En cours",AE15+AH15))</f>
        <v/>
      </c>
    </row>
    <row r="16" spans="2:37" ht="21" x14ac:dyDescent="0.35"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3" t="str">
        <f>IF(MIN(F16,J16,N16,R16,V16,Z16)&lt;&gt;0,MIN(F16,J16,N16,R16,V16,Z16),"")</f>
        <v/>
      </c>
      <c r="AE16" s="133" t="str">
        <f>IF(MIN(H16,L16,P16,T16,X16,AB16)&lt;&gt;0,MIN(H16,L16,P16,T16,X16,AB16),"")</f>
        <v/>
      </c>
      <c r="AF16" s="133"/>
      <c r="AG16" s="132"/>
      <c r="AH16" s="133"/>
      <c r="AI16" s="132"/>
      <c r="AJ16" s="131" t="str">
        <f>IF(AD16="","",IF(ISBLANK(AF16),"En cours",AD16+AF16))</f>
        <v/>
      </c>
      <c r="AK16" s="131" t="str">
        <f>IF(AE16="","",IF(ISBLANK(AH16),"En cours",AE16+AH16))</f>
        <v/>
      </c>
    </row>
    <row r="17" spans="2:37" ht="21" x14ac:dyDescent="0.35"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3" t="str">
        <f>IF(MIN(F17,J17,N17,R17,V17,Z17)&lt;&gt;0,MIN(F17,J17,N17,R17,V17,Z17),"")</f>
        <v/>
      </c>
      <c r="AE17" s="133" t="str">
        <f>IF(MIN(H17,L17,P17,T17,X17,AB17)&lt;&gt;0,MIN(H17,L17,P17,T17,X17,AB17),"")</f>
        <v/>
      </c>
      <c r="AF17" s="133"/>
      <c r="AG17" s="132"/>
      <c r="AH17" s="133"/>
      <c r="AI17" s="132"/>
      <c r="AJ17" s="131" t="str">
        <f>IF(AD17="","",IF(ISBLANK(AF17),"En cours",AD17+AF17))</f>
        <v/>
      </c>
      <c r="AK17" s="131" t="str">
        <f>IF(AE17="","",IF(ISBLANK(AH17),"En cours",AE17+AH17))</f>
        <v/>
      </c>
    </row>
    <row r="18" spans="2:37" ht="21" x14ac:dyDescent="0.35"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3" t="str">
        <f>IF(MIN(F18,J18,N18,R18,V18,Z18)&lt;&gt;0,MIN(F18,J18,N18,R18,V18,Z18),"")</f>
        <v/>
      </c>
      <c r="AE18" s="133" t="str">
        <f>IF(MIN(H18,L18,P18,T18,X18,AB18)&lt;&gt;0,MIN(H18,L18,P18,T18,X18,AB18),"")</f>
        <v/>
      </c>
      <c r="AF18" s="133"/>
      <c r="AG18" s="132"/>
      <c r="AH18" s="133"/>
      <c r="AI18" s="132"/>
      <c r="AJ18" s="131" t="str">
        <f>IF(AD18="","",IF(ISBLANK(AF18),"En cours",AD18+AF18))</f>
        <v/>
      </c>
      <c r="AK18" s="131" t="str">
        <f>IF(AE18="","",IF(ISBLANK(AH18),"En cours",AE18+AH18))</f>
        <v/>
      </c>
    </row>
    <row r="19" spans="2:37" ht="21" x14ac:dyDescent="0.35"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3" t="str">
        <f>IF(MIN(F19,J19,N19,R19,V19,Z19)&lt;&gt;0,MIN(F19,J19,N19,R19,V19,Z19),"")</f>
        <v/>
      </c>
      <c r="AE19" s="133" t="str">
        <f>IF(MIN(H19,L19,P19,T19,X19,AB19)&lt;&gt;0,MIN(H19,L19,P19,T19,X19,AB19),"")</f>
        <v/>
      </c>
      <c r="AF19" s="133"/>
      <c r="AG19" s="132"/>
      <c r="AH19" s="133"/>
      <c r="AI19" s="132"/>
      <c r="AJ19" s="131" t="str">
        <f>IF(AD19="","",IF(ISBLANK(AF19),"En cours",AD19+AF19))</f>
        <v/>
      </c>
      <c r="AK19" s="131" t="str">
        <f>IF(AE19="","",IF(ISBLANK(AH19),"En cours",AE19+AH19))</f>
        <v/>
      </c>
    </row>
    <row r="20" spans="2:37" ht="21" x14ac:dyDescent="0.35"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3" t="str">
        <f>IF(MIN(F20,J20,N20,R20,V20,Z20)&lt;&gt;0,MIN(F20,J20,N20,R20,V20,Z20),"")</f>
        <v/>
      </c>
      <c r="AE20" s="133" t="str">
        <f>IF(MIN(H20,L20,P20,T20,X20,AB20)&lt;&gt;0,MIN(H20,L20,P20,T20,X20,AB20),"")</f>
        <v/>
      </c>
      <c r="AF20" s="133"/>
      <c r="AG20" s="132"/>
      <c r="AH20" s="133"/>
      <c r="AI20" s="132"/>
      <c r="AJ20" s="131" t="str">
        <f>IF(AD20="","",IF(ISBLANK(AF20),"En cours",AD20+AF20))</f>
        <v/>
      </c>
      <c r="AK20" s="131" t="str">
        <f>IF(AE20="","",IF(ISBLANK(AH20),"En cours",AE20+AH20))</f>
        <v/>
      </c>
    </row>
    <row r="21" spans="2:37" ht="21" x14ac:dyDescent="0.35"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3" t="str">
        <f>IF(MIN(F21,J21,N21,R21,V21,Z21)&lt;&gt;0,MIN(F21,J21,N21,R21,V21,Z21),"")</f>
        <v/>
      </c>
      <c r="AE21" s="133" t="str">
        <f>IF(MIN(H21,L21,P21,T21,X21,AB21)&lt;&gt;0,MIN(H21,L21,P21,T21,X21,AB21),"")</f>
        <v/>
      </c>
      <c r="AF21" s="133"/>
      <c r="AG21" s="132"/>
      <c r="AH21" s="133"/>
      <c r="AI21" s="132"/>
      <c r="AJ21" s="131" t="str">
        <f>IF(AD21="","",IF(ISBLANK(AF21),"En cours",AD21+AF21))</f>
        <v/>
      </c>
      <c r="AK21" s="131" t="str">
        <f>IF(AE21="","",IF(ISBLANK(AH21),"En cours",AE21+AH21))</f>
        <v/>
      </c>
    </row>
    <row r="22" spans="2:37" ht="21" x14ac:dyDescent="0.35"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3" t="str">
        <f>IF(MIN(F22,J22,N22,R22,V22,Z22)&lt;&gt;0,MIN(F22,J22,N22,R22,V22,Z22),"")</f>
        <v/>
      </c>
      <c r="AE22" s="133" t="str">
        <f>IF(MIN(H22,L22,P22,T22,X22,AB22)&lt;&gt;0,MIN(H22,L22,P22,T22,X22,AB22),"")</f>
        <v/>
      </c>
      <c r="AF22" s="133"/>
      <c r="AG22" s="132"/>
      <c r="AH22" s="133"/>
      <c r="AI22" s="132"/>
      <c r="AJ22" s="131" t="str">
        <f>IF(AD22="","",IF(ISBLANK(AF22),"En cours",AD22+AF22))</f>
        <v/>
      </c>
      <c r="AK22" s="131" t="str">
        <f>IF(AE22="","",IF(ISBLANK(AH22),"En cours",AE22+AH22))</f>
        <v/>
      </c>
    </row>
    <row r="23" spans="2:37" ht="21" x14ac:dyDescent="0.35"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3" t="str">
        <f>IF(MIN(F23,J23,N23,R23,V23,Z23)&lt;&gt;0,MIN(F23,J23,N23,R23,V23,Z23),"")</f>
        <v/>
      </c>
      <c r="AE23" s="133" t="str">
        <f>IF(MIN(H23,L23,P23,T23,X23,AB23)&lt;&gt;0,MIN(H23,L23,P23,T23,X23,AB23),"")</f>
        <v/>
      </c>
      <c r="AF23" s="133"/>
      <c r="AG23" s="132"/>
      <c r="AH23" s="133"/>
      <c r="AI23" s="132"/>
      <c r="AJ23" s="131" t="str">
        <f>IF(AD23="","",IF(ISBLANK(AF23),"En cours",AD23+AF23))</f>
        <v/>
      </c>
      <c r="AK23" s="131" t="str">
        <f>IF(AE23="","",IF(ISBLANK(AH23),"En cours",AE23+AH23))</f>
        <v/>
      </c>
    </row>
    <row r="24" spans="2:37" ht="21" x14ac:dyDescent="0.35"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3" t="str">
        <f>IF(MIN(F24,J24,N24,R24,V24,Z24)&lt;&gt;0,MIN(F24,J24,N24,R24,V24,Z24),"")</f>
        <v/>
      </c>
      <c r="AE24" s="133" t="str">
        <f>IF(MIN(H24,L24,P24,T24,X24,AB24)&lt;&gt;0,MIN(H24,L24,P24,T24,X24,AB24),"")</f>
        <v/>
      </c>
      <c r="AF24" s="133"/>
      <c r="AG24" s="132"/>
      <c r="AH24" s="133"/>
      <c r="AI24" s="132"/>
      <c r="AJ24" s="131" t="str">
        <f>IF(AD24="","",IF(ISBLANK(AF24),"En cours",AD24+AF24))</f>
        <v/>
      </c>
      <c r="AK24" s="131" t="str">
        <f>IF(AE24="","",IF(ISBLANK(AH24),"En cours",AE24+AH24))</f>
        <v/>
      </c>
    </row>
    <row r="25" spans="2:37" ht="21" x14ac:dyDescent="0.35"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3" t="str">
        <f>IF(MIN(F25,J25,N25,R25,V25,Z25)&lt;&gt;0,MIN(F25,J25,N25,R25,V25,Z25),"")</f>
        <v/>
      </c>
      <c r="AE25" s="133" t="str">
        <f>IF(MIN(H25,L25,P25,T25,X25,AB25)&lt;&gt;0,MIN(H25,L25,P25,T25,X25,AB25),"")</f>
        <v/>
      </c>
      <c r="AF25" s="133"/>
      <c r="AG25" s="132"/>
      <c r="AH25" s="133"/>
      <c r="AI25" s="132"/>
      <c r="AJ25" s="131" t="str">
        <f>IF(AD25="","",IF(ISBLANK(AF25),"En cours",AD25+AF25))</f>
        <v/>
      </c>
      <c r="AK25" s="131" t="str">
        <f>IF(AE25="","",IF(ISBLANK(AH25),"En cours",AE25+AH25))</f>
        <v/>
      </c>
    </row>
    <row r="26" spans="2:37" ht="21" x14ac:dyDescent="0.35"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3" t="str">
        <f>IF(MIN(F26,J26,N26,R26,V26,Z26)&lt;&gt;0,MIN(F26,J26,N26,R26,V26,Z26),"")</f>
        <v/>
      </c>
      <c r="AE26" s="133" t="str">
        <f>IF(MIN(H26,L26,P26,T26,X26,AB26)&lt;&gt;0,MIN(H26,L26,P26,T26,X26,AB26),"")</f>
        <v/>
      </c>
      <c r="AF26" s="133"/>
      <c r="AG26" s="132"/>
      <c r="AH26" s="133"/>
      <c r="AI26" s="132"/>
      <c r="AJ26" s="131" t="str">
        <f>IF(AD26="","",IF(ISBLANK(AF26),"En cours",AD26+AF26))</f>
        <v/>
      </c>
      <c r="AK26" s="131" t="str">
        <f>IF(AE26="","",IF(ISBLANK(AH26),"En cours",AE26+AH26))</f>
        <v/>
      </c>
    </row>
    <row r="27" spans="2:37" ht="21" x14ac:dyDescent="0.35"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3" t="str">
        <f>IF(MIN(F27,J27,N27,R27,V27,Z27)&lt;&gt;0,MIN(F27,J27,N27,R27,V27,Z27),"")</f>
        <v/>
      </c>
      <c r="AE27" s="133" t="str">
        <f>IF(MIN(H27,L27,P27,T27,X27,AB27)&lt;&gt;0,MIN(H27,L27,P27,T27,X27,AB27),"")</f>
        <v/>
      </c>
      <c r="AF27" s="133"/>
      <c r="AG27" s="132"/>
      <c r="AH27" s="133"/>
      <c r="AI27" s="132"/>
      <c r="AJ27" s="131" t="str">
        <f>IF(AD27="","",IF(ISBLANK(AF27),"En cours",AD27+AF27))</f>
        <v/>
      </c>
      <c r="AK27" s="131" t="str">
        <f>IF(AE27="","",IF(ISBLANK(AH27),"En cours",AE27+AH27))</f>
        <v/>
      </c>
    </row>
    <row r="28" spans="2:37" ht="21" x14ac:dyDescent="0.35"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3" t="str">
        <f>IF(MIN(F28,J28,N28,R28,V28,Z28)&lt;&gt;0,MIN(F28,J28,N28,R28,V28,Z28),"")</f>
        <v/>
      </c>
      <c r="AE28" s="133" t="str">
        <f>IF(MIN(H28,L28,P28,T28,X28,AB28)&lt;&gt;0,MIN(H28,L28,P28,T28,X28,AB28),"")</f>
        <v/>
      </c>
      <c r="AF28" s="133"/>
      <c r="AG28" s="132"/>
      <c r="AH28" s="133"/>
      <c r="AI28" s="132"/>
      <c r="AJ28" s="131" t="str">
        <f>IF(AD28="","",IF(ISBLANK(AF28),"En cours",AD28+AF28))</f>
        <v/>
      </c>
      <c r="AK28" s="131" t="str">
        <f>IF(AE28="","",IF(ISBLANK(AH28),"En cours",AE28+AH28))</f>
        <v/>
      </c>
    </row>
    <row r="29" spans="2:37" ht="21" x14ac:dyDescent="0.35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3" t="str">
        <f>IF(MIN(F29,J29,N29,R29,V29,Z29)&lt;&gt;0,MIN(F29,J29,N29,R29,V29,Z29),"")</f>
        <v/>
      </c>
      <c r="AE29" s="133" t="str">
        <f>IF(MIN(H29,L29,P29,T29,X29,AB29)&lt;&gt;0,MIN(H29,L29,P29,T29,X29,AB29),"")</f>
        <v/>
      </c>
      <c r="AF29" s="133"/>
      <c r="AG29" s="132"/>
      <c r="AH29" s="133"/>
      <c r="AI29" s="132"/>
      <c r="AJ29" s="131" t="str">
        <f>IF(AD29="","",IF(ISBLANK(AF29),"En cours",AD29+AF29))</f>
        <v/>
      </c>
      <c r="AK29" s="131" t="str">
        <f>IF(AE29="","",IF(ISBLANK(AH29),"En cours",AE29+AH29))</f>
        <v/>
      </c>
    </row>
    <row r="30" spans="2:37" ht="21" x14ac:dyDescent="0.35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3" t="str">
        <f>IF(MIN(F30,J30,N30,R30,V30,Z30)&lt;&gt;0,MIN(F30,J30,N30,R30,V30,Z30),"")</f>
        <v/>
      </c>
      <c r="AE30" s="133" t="str">
        <f>IF(MIN(H30,L30,P30,T30,X30,AB30)&lt;&gt;0,MIN(H30,L30,P30,T30,X30,AB30),"")</f>
        <v/>
      </c>
      <c r="AF30" s="133"/>
      <c r="AG30" s="132"/>
      <c r="AH30" s="133"/>
      <c r="AI30" s="132"/>
      <c r="AJ30" s="131" t="str">
        <f>IF(AD30="","",IF(ISBLANK(AF30),"En cours",AD30+AF30))</f>
        <v/>
      </c>
      <c r="AK30" s="131" t="str">
        <f>IF(AE30="","",IF(ISBLANK(AH30),"En cours",AE30+AH30))</f>
        <v/>
      </c>
    </row>
    <row r="31" spans="2:37" ht="21" x14ac:dyDescent="0.35"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3" t="str">
        <f>IF(MIN(F31,J31,N31,R31,V31,Z31)&lt;&gt;0,MIN(F31,J31,N31,R31,V31,Z31),"")</f>
        <v/>
      </c>
      <c r="AE31" s="133" t="str">
        <f>IF(MIN(H31,L31,P31,T31,X31,AB31)&lt;&gt;0,MIN(H31,L31,P31,T31,X31,AB31),"")</f>
        <v/>
      </c>
      <c r="AF31" s="133"/>
      <c r="AG31" s="132"/>
      <c r="AH31" s="133"/>
      <c r="AI31" s="132"/>
      <c r="AJ31" s="131" t="str">
        <f>IF(AD31="","",IF(ISBLANK(AF31),"En cours",AD31+AF31))</f>
        <v/>
      </c>
      <c r="AK31" s="131" t="str">
        <f>IF(AE31="","",IF(ISBLANK(AH31),"En cours",AE31+AH31))</f>
        <v/>
      </c>
    </row>
    <row r="32" spans="2:37" ht="21" x14ac:dyDescent="0.35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3" t="str">
        <f>IF(MIN(F32,J32,N32,R32,V32,Z32)&lt;&gt;0,MIN(F32,J32,N32,R32,V32,Z32),"")</f>
        <v/>
      </c>
      <c r="AE32" s="133" t="str">
        <f>IF(MIN(H32,L32,P32,T32,X32,AB32)&lt;&gt;0,MIN(H32,L32,P32,T32,X32,AB32),"")</f>
        <v/>
      </c>
      <c r="AF32" s="133"/>
      <c r="AG32" s="132"/>
      <c r="AH32" s="133"/>
      <c r="AI32" s="132"/>
      <c r="AJ32" s="131" t="str">
        <f>IF(AD32="","",IF(ISBLANK(AF32),"En cours",AD32+AF32))</f>
        <v/>
      </c>
      <c r="AK32" s="131" t="str">
        <f>IF(AE32="","",IF(ISBLANK(AH32),"En cours",AE32+AH32))</f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>IF(MIN(F33,J33,N33,R33,V33,Z33)&lt;&gt;0,MIN(F33,J33,N33,R33,V33,Z33),"")</f>
        <v/>
      </c>
      <c r="AE33" s="133" t="str">
        <f>IF(MIN(H33,L33,P33,T33,X33,AB33)&lt;&gt;0,MIN(H33,L33,P33,T33,X33,AB33),"")</f>
        <v/>
      </c>
      <c r="AF33" s="133"/>
      <c r="AG33" s="132"/>
      <c r="AH33" s="133"/>
      <c r="AI33" s="132"/>
      <c r="AJ33" s="131" t="str">
        <f>IF(AD33="","",IF(ISBLANK(AF33),"En cours",AD33+AF33))</f>
        <v/>
      </c>
      <c r="AK33" s="131" t="str">
        <f>IF(AE33="","",IF(ISBLANK(AH33),"En cours",AE33+AH33))</f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>IF(MIN(F34,J34,N34,R34,V34,Z34)&lt;&gt;0,MIN(F34,J34,N34,R34,V34,Z34),"")</f>
        <v/>
      </c>
      <c r="AE34" s="133" t="str">
        <f>IF(MIN(H34,L34,P34,T34,X34,AB34)&lt;&gt;0,MIN(H34,L34,P34,T34,X34,AB34),"")</f>
        <v/>
      </c>
      <c r="AF34" s="133"/>
      <c r="AG34" s="132"/>
      <c r="AH34" s="133"/>
      <c r="AI34" s="132"/>
      <c r="AJ34" s="131" t="str">
        <f>IF(AD34="","",IF(ISBLANK(AF34),"En cours",AD34+AF34))</f>
        <v/>
      </c>
      <c r="AK34" s="131" t="str">
        <f>IF(AE34="","",IF(ISBLANK(AH34),"En cours",AE34+AH34))</f>
        <v/>
      </c>
    </row>
    <row r="35" spans="2:37" ht="21" x14ac:dyDescent="0.35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3" t="str">
        <f>IF(MIN(F35,J35,N35,R35,V35,Z35)&lt;&gt;0,MIN(F35,J35,N35,R35,V35,Z35),"")</f>
        <v/>
      </c>
      <c r="AE35" s="133" t="str">
        <f>IF(MIN(H35,L35,P35,T35,X35,AB35)&lt;&gt;0,MIN(H35,L35,P35,T35,X35,AB35),"")</f>
        <v/>
      </c>
      <c r="AF35" s="133"/>
      <c r="AG35" s="132"/>
      <c r="AH35" s="133"/>
      <c r="AI35" s="132"/>
      <c r="AJ35" s="131" t="str">
        <f>IF(AD35="","",IF(ISBLANK(AF35),"En cours",AD35+AF35))</f>
        <v/>
      </c>
      <c r="AK35" s="131" t="str">
        <f>IF(AE35="","",IF(ISBLANK(AH35),"En cours",AE35+AH35))</f>
        <v/>
      </c>
    </row>
    <row r="36" spans="2:37" ht="21" x14ac:dyDescent="0.35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3" t="str">
        <f>IF(MIN(F36,J36,N36,R36,V36,Z36)&lt;&gt;0,MIN(F36,J36,N36,R36,V36,Z36),"")</f>
        <v/>
      </c>
      <c r="AE36" s="133" t="str">
        <f>IF(MIN(H36,L36,P36,T36,X36,AB36)&lt;&gt;0,MIN(H36,L36,P36,T36,X36,AB36),"")</f>
        <v/>
      </c>
      <c r="AF36" s="133"/>
      <c r="AG36" s="132"/>
      <c r="AH36" s="133"/>
      <c r="AI36" s="132"/>
      <c r="AJ36" s="131" t="str">
        <f>IF(AD36="","",IF(ISBLANK(AF36),"En cours",AD36+AF36))</f>
        <v/>
      </c>
      <c r="AK36" s="131" t="str">
        <f>IF(AE36="","",IF(ISBLANK(AH36),"En cours",AE36+AH36))</f>
        <v/>
      </c>
    </row>
    <row r="37" spans="2:37" ht="21" x14ac:dyDescent="0.35"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3" t="str">
        <f>IF(MIN(F37,J37,N37,R37,V37,Z37)&lt;&gt;0,MIN(F37,J37,N37,R37,V37,Z37),"")</f>
        <v/>
      </c>
      <c r="AE37" s="133" t="str">
        <f>IF(MIN(H37,L37,P37,T37,X37,AB37)&lt;&gt;0,MIN(H37,L37,P37,T37,X37,AB37),"")</f>
        <v/>
      </c>
      <c r="AF37" s="133"/>
      <c r="AG37" s="132"/>
      <c r="AH37" s="133"/>
      <c r="AI37" s="132"/>
      <c r="AJ37" s="131" t="str">
        <f>IF(AD37="","",IF(ISBLANK(AF37),"En cours",AD37+AF37))</f>
        <v/>
      </c>
      <c r="AK37" s="131" t="str">
        <f>IF(AE37="","",IF(ISBLANK(AH37),"En cours",AE37+AH37))</f>
        <v/>
      </c>
    </row>
    <row r="38" spans="2:37" ht="21" x14ac:dyDescent="0.35"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3" t="str">
        <f>IF(MIN(F38,J38,N38,R38,V38,Z38)&lt;&gt;0,MIN(F38,J38,N38,R38,V38,Z38),"")</f>
        <v/>
      </c>
      <c r="AE38" s="133" t="str">
        <f>IF(MIN(H38,L38,P38,T38,X38,AB38)&lt;&gt;0,MIN(H38,L38,P38,T38,X38,AB38),"")</f>
        <v/>
      </c>
      <c r="AF38" s="133"/>
      <c r="AG38" s="132"/>
      <c r="AH38" s="133"/>
      <c r="AI38" s="132"/>
      <c r="AJ38" s="131" t="str">
        <f>IF(AD38="","",IF(ISBLANK(AF38),"En cours",AD38+AF38))</f>
        <v/>
      </c>
      <c r="AK38" s="131" t="str">
        <f>IF(AE38="","",IF(ISBLANK(AH38),"En cours",AE38+AH38))</f>
        <v/>
      </c>
    </row>
    <row r="39" spans="2:37" ht="21" x14ac:dyDescent="0.35"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3" t="str">
        <f>IF(MIN(F39,J39,N39,R39,V39,Z39)&lt;&gt;0,MIN(F39,J39,N39,R39,V39,Z39),"")</f>
        <v/>
      </c>
      <c r="AE39" s="133" t="str">
        <f>IF(MIN(H39,L39,P39,T39,X39,AB39)&lt;&gt;0,MIN(H39,L39,P39,T39,X39,AB39),"")</f>
        <v/>
      </c>
      <c r="AF39" s="133"/>
      <c r="AG39" s="132"/>
      <c r="AH39" s="133"/>
      <c r="AI39" s="132"/>
      <c r="AJ39" s="131" t="str">
        <f>IF(AD39="","",IF(ISBLANK(AF39),"En cours",AD39+AF39))</f>
        <v/>
      </c>
      <c r="AK39" s="131" t="str">
        <f>IF(AE39="","",IF(ISBLANK(AH39),"En cours",AE39+AH39))</f>
        <v/>
      </c>
    </row>
    <row r="40" spans="2:37" ht="21" x14ac:dyDescent="0.35"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3" t="str">
        <f>IF(MIN(F40,J40,N40,R40,V40,Z40)&lt;&gt;0,MIN(F40,J40,N40,R40,V40,Z40),"")</f>
        <v/>
      </c>
      <c r="AE40" s="133" t="str">
        <f>IF(MIN(H40,L40,P40,T40,X40,AB40)&lt;&gt;0,MIN(H40,L40,P40,T40,X40,AB40),"")</f>
        <v/>
      </c>
      <c r="AF40" s="133"/>
      <c r="AG40" s="132"/>
      <c r="AH40" s="133"/>
      <c r="AI40" s="132"/>
      <c r="AJ40" s="131" t="str">
        <f>IF(AD40="","",IF(ISBLANK(AF40),"En cours",AD40+AF40))</f>
        <v/>
      </c>
      <c r="AK40" s="131" t="str">
        <f>IF(AE40="","",IF(ISBLANK(AH40),"En cours",AE40+AH40))</f>
        <v/>
      </c>
    </row>
    <row r="41" spans="2:37" ht="21" x14ac:dyDescent="0.35"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3" t="str">
        <f>IF(MIN(F41,J41,N41,R41,V41,Z41)&lt;&gt;0,MIN(F41,J41,N41,R41,V41,Z41),"")</f>
        <v/>
      </c>
      <c r="AE41" s="133" t="str">
        <f>IF(MIN(H41,L41,P41,T41,X41,AB41)&lt;&gt;0,MIN(H41,L41,P41,T41,X41,AB41),"")</f>
        <v/>
      </c>
      <c r="AF41" s="133"/>
      <c r="AG41" s="132"/>
      <c r="AH41" s="133"/>
      <c r="AI41" s="132"/>
      <c r="AJ41" s="131" t="str">
        <f>IF(AD41="","",IF(ISBLANK(AF41),"En cours",AD41+AF41))</f>
        <v/>
      </c>
      <c r="AK41" s="131" t="str">
        <f>IF(AE41="","",IF(ISBLANK(AH41),"En cours",AE41+AH41))</f>
        <v/>
      </c>
    </row>
    <row r="42" spans="2:37" ht="21" x14ac:dyDescent="0.35"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3" t="str">
        <f>IF(MIN(F42,J42,N42,R42,V42,Z42)&lt;&gt;0,MIN(F42,J42,N42,R42,V42,Z42),"")</f>
        <v/>
      </c>
      <c r="AE42" s="133" t="str">
        <f>IF(MIN(H42,L42,P42,T42,X42,AB42)&lt;&gt;0,MIN(H42,L42,P42,T42,X42,AB42),"")</f>
        <v/>
      </c>
      <c r="AF42" s="133"/>
      <c r="AG42" s="132"/>
      <c r="AH42" s="133"/>
      <c r="AI42" s="132"/>
      <c r="AJ42" s="131" t="str">
        <f>IF(AD42="","",IF(ISBLANK(AF42),"En cours",AD42+AF42))</f>
        <v/>
      </c>
      <c r="AK42" s="131" t="str">
        <f>IF(AE42="","",IF(ISBLANK(AH42),"En cours",AE42+AH42))</f>
        <v/>
      </c>
    </row>
    <row r="43" spans="2:37" ht="21" x14ac:dyDescent="0.35"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3" t="str">
        <f>IF(MIN(F43,J43,N43,R43,V43,Z43)&lt;&gt;0,MIN(F43,J43,N43,R43,V43,Z43),"")</f>
        <v/>
      </c>
      <c r="AE43" s="133" t="str">
        <f>IF(MIN(H43,L43,P43,T43,X43,AB43)&lt;&gt;0,MIN(H43,L43,P43,T43,X43,AB43),"")</f>
        <v/>
      </c>
      <c r="AF43" s="133"/>
      <c r="AG43" s="132"/>
      <c r="AH43" s="133"/>
      <c r="AI43" s="132"/>
      <c r="AJ43" s="131" t="str">
        <f>IF(AD43="","",IF(ISBLANK(AF43),"En cours",AD43+AF43))</f>
        <v/>
      </c>
      <c r="AK43" s="131" t="str">
        <f>IF(AE43="","",IF(ISBLANK(AH43),"En cours",AE43+AH43))</f>
        <v/>
      </c>
    </row>
    <row r="44" spans="2:37" ht="21" x14ac:dyDescent="0.35"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3" t="str">
        <f>IF(MIN(F44,J44,N44,R44,V44,Z44)&lt;&gt;0,MIN(F44,J44,N44,R44,V44,Z44),"")</f>
        <v/>
      </c>
      <c r="AE44" s="133" t="str">
        <f>IF(MIN(H44,L44,P44,T44,X44,AB44)&lt;&gt;0,MIN(H44,L44,P44,T44,X44,AB44),"")</f>
        <v/>
      </c>
      <c r="AF44" s="133"/>
      <c r="AG44" s="132"/>
      <c r="AH44" s="133"/>
      <c r="AI44" s="132"/>
      <c r="AJ44" s="131" t="str">
        <f>IF(AD44="","",IF(ISBLANK(AF44),"En cours",AD44+AF44))</f>
        <v/>
      </c>
      <c r="AK44" s="131" t="str">
        <f>IF(AE44="","",IF(ISBLANK(AH44),"En cours",AE44+AH44))</f>
        <v/>
      </c>
    </row>
    <row r="45" spans="2:37" ht="21" x14ac:dyDescent="0.35"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3" t="str">
        <f>IF(MIN(F45,J45,N45,R45,V45,Z45)&lt;&gt;0,MIN(F45,J45,N45,R45,V45,Z45),"")</f>
        <v/>
      </c>
      <c r="AE45" s="133" t="str">
        <f>IF(MIN(H45,L45,P45,T45,X45,AB45)&lt;&gt;0,MIN(H45,L45,P45,T45,X45,AB45),"")</f>
        <v/>
      </c>
      <c r="AF45" s="133"/>
      <c r="AG45" s="132"/>
      <c r="AH45" s="133"/>
      <c r="AI45" s="132"/>
      <c r="AJ45" s="131" t="str">
        <f>IF(AD45="","",IF(ISBLANK(AF45),"En cours",AD45+AF45))</f>
        <v/>
      </c>
      <c r="AK45" s="131" t="str">
        <f>IF(AE45="","",IF(ISBLANK(AH45),"En cours",AE45+AH45))</f>
        <v/>
      </c>
    </row>
    <row r="46" spans="2:37" ht="21" x14ac:dyDescent="0.35"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3" t="str">
        <f>IF(MIN(F46,J46,N46,R46,V46,Z46)&lt;&gt;0,MIN(F46,J46,N46,R46,V46,Z46),"")</f>
        <v/>
      </c>
      <c r="AE46" s="133" t="str">
        <f>IF(MIN(H46,L46,P46,T46,X46,AB46)&lt;&gt;0,MIN(H46,L46,P46,T46,X46,AB46),"")</f>
        <v/>
      </c>
      <c r="AF46" s="133"/>
      <c r="AG46" s="132"/>
      <c r="AH46" s="133"/>
      <c r="AI46" s="132"/>
      <c r="AJ46" s="131" t="str">
        <f>IF(AD46="","",IF(ISBLANK(AF46),"En cours",AD46+AF46))</f>
        <v/>
      </c>
      <c r="AK46" s="131" t="str">
        <f>IF(AE46="","",IF(ISBLANK(AH46),"En cours",AE46+AH46))</f>
        <v/>
      </c>
    </row>
    <row r="47" spans="2:37" ht="21" x14ac:dyDescent="0.35"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3" t="str">
        <f>IF(MIN(F47,J47,N47,R47,V47,Z47)&lt;&gt;0,MIN(F47,J47,N47,R47,V47,Z47),"")</f>
        <v/>
      </c>
      <c r="AE47" s="133" t="str">
        <f>IF(MIN(H47,L47,P47,T47,X47,AB47)&lt;&gt;0,MIN(H47,L47,P47,T47,X47,AB47),"")</f>
        <v/>
      </c>
      <c r="AF47" s="133"/>
      <c r="AG47" s="132"/>
      <c r="AH47" s="133"/>
      <c r="AI47" s="132"/>
      <c r="AJ47" s="131" t="str">
        <f>IF(AD47="","",IF(ISBLANK(AF47),"En cours",AD47+AF47))</f>
        <v/>
      </c>
      <c r="AK47" s="131" t="str">
        <f>IF(AE47="","",IF(ISBLANK(AH47),"En cours",AE47+AH47))</f>
        <v/>
      </c>
    </row>
    <row r="48" spans="2:37" ht="21" x14ac:dyDescent="0.35"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3" t="str">
        <f>IF(MIN(F48,J48,N48,R48,V48,Z48)&lt;&gt;0,MIN(F48,J48,N48,R48,V48,Z48),"")</f>
        <v/>
      </c>
      <c r="AE48" s="133" t="str">
        <f>IF(MIN(H48,L48,P48,T48,X48,AB48)&lt;&gt;0,MIN(H48,L48,P48,T48,X48,AB48),"")</f>
        <v/>
      </c>
      <c r="AF48" s="133"/>
      <c r="AG48" s="132"/>
      <c r="AH48" s="133"/>
      <c r="AI48" s="132"/>
      <c r="AJ48" s="131" t="str">
        <f>IF(AD48="","",IF(ISBLANK(AF48),"En cours",AD48+AF48))</f>
        <v/>
      </c>
      <c r="AK48" s="131" t="str">
        <f>IF(AE48="","",IF(ISBLANK(AH48),"En cours",AE48+AH48))</f>
        <v/>
      </c>
    </row>
    <row r="49" spans="2:37" ht="21" x14ac:dyDescent="0.35"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3" t="str">
        <f>IF(MIN(F49,J49,N49,R49,V49,Z49)&lt;&gt;0,MIN(F49,J49,N49,R49,V49,Z49),"")</f>
        <v/>
      </c>
      <c r="AE49" s="133" t="str">
        <f>IF(MIN(H49,L49,P49,T49,X49,AB49)&lt;&gt;0,MIN(H49,L49,P49,T49,X49,AB49),"")</f>
        <v/>
      </c>
      <c r="AF49" s="133"/>
      <c r="AG49" s="132"/>
      <c r="AH49" s="133"/>
      <c r="AI49" s="132"/>
      <c r="AJ49" s="131" t="str">
        <f>IF(AD49="","",IF(ISBLANK(AF49),"En cours",AD49+AF49))</f>
        <v/>
      </c>
      <c r="AK49" s="131" t="str">
        <f>IF(AE49="","",IF(ISBLANK(AH49),"En cours",AE49+AH49))</f>
        <v/>
      </c>
    </row>
    <row r="50" spans="2:37" ht="21" x14ac:dyDescent="0.35"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3" t="str">
        <f>IF(MIN(F50,J50,N50,R50,V50,Z50)&lt;&gt;0,MIN(F50,J50,N50,R50,V50,Z50),"")</f>
        <v/>
      </c>
      <c r="AE50" s="133" t="str">
        <f>IF(MIN(H50,L50,P50,T50,X50,AB50)&lt;&gt;0,MIN(H50,L50,P50,T50,X50,AB50),"")</f>
        <v/>
      </c>
      <c r="AF50" s="133"/>
      <c r="AG50" s="132"/>
      <c r="AH50" s="133"/>
      <c r="AI50" s="132"/>
      <c r="AJ50" s="131" t="str">
        <f>IF(AD50="","",IF(ISBLANK(AF50),"En cours",AD50+AF50))</f>
        <v/>
      </c>
      <c r="AK50" s="131" t="str">
        <f>IF(AE50="","",IF(ISBLANK(AH50),"En cours",AE50+AH50))</f>
        <v/>
      </c>
    </row>
    <row r="51" spans="2:37" ht="21" x14ac:dyDescent="0.35"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3" t="str">
        <f>IF(MIN(F51,J51,N51,R51,V51,Z51)&lt;&gt;0,MIN(F51,J51,N51,R51,V51,Z51),"")</f>
        <v/>
      </c>
      <c r="AE51" s="133" t="str">
        <f>IF(MIN(H51,L51,P51,T51,X51,AB51)&lt;&gt;0,MIN(H51,L51,P51,T51,X51,AB51),"")</f>
        <v/>
      </c>
      <c r="AF51" s="133"/>
      <c r="AG51" s="132"/>
      <c r="AH51" s="133"/>
      <c r="AI51" s="132"/>
      <c r="AJ51" s="131" t="str">
        <f>IF(AD51="","",IF(ISBLANK(AF51),"En cours",AD51+AF51))</f>
        <v/>
      </c>
      <c r="AK51" s="131" t="str">
        <f>IF(AE51="","",IF(ISBLANK(AH51),"En cours",AE51+AH51))</f>
        <v/>
      </c>
    </row>
    <row r="52" spans="2:37" ht="21" x14ac:dyDescent="0.35"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3" t="str">
        <f>IF(MIN(F52,J52,N52,R52,V52,Z52)&lt;&gt;0,MIN(F52,J52,N52,R52,V52,Z52),"")</f>
        <v/>
      </c>
      <c r="AE52" s="133" t="str">
        <f>IF(MIN(H52,L52,P52,T52,X52,AB52)&lt;&gt;0,MIN(H52,L52,P52,T52,X52,AB52),"")</f>
        <v/>
      </c>
      <c r="AF52" s="133"/>
      <c r="AG52" s="132"/>
      <c r="AH52" s="133"/>
      <c r="AI52" s="132"/>
      <c r="AJ52" s="131" t="str">
        <f>IF(AD52="","",IF(ISBLANK(AF52),"En cours",AD52+AF52))</f>
        <v/>
      </c>
      <c r="AK52" s="131" t="str">
        <f>IF(AE52="","",IF(ISBLANK(AH52),"En cours",AE52+AH52))</f>
        <v/>
      </c>
    </row>
    <row r="53" spans="2:37" ht="21" x14ac:dyDescent="0.35"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3" t="str">
        <f>IF(MIN(F53,J53,N53,R53,V53,Z53)&lt;&gt;0,MIN(F53,J53,N53,R53,V53,Z53),"")</f>
        <v/>
      </c>
      <c r="AE53" s="133" t="str">
        <f>IF(MIN(H53,L53,P53,T53,X53,AB53)&lt;&gt;0,MIN(H53,L53,P53,T53,X53,AB53),"")</f>
        <v/>
      </c>
      <c r="AF53" s="133"/>
      <c r="AG53" s="132"/>
      <c r="AH53" s="133"/>
      <c r="AI53" s="132"/>
      <c r="AJ53" s="131" t="str">
        <f>IF(AD53="","",IF(ISBLANK(AF53),"En cours",AD53+AF53))</f>
        <v/>
      </c>
      <c r="AK53" s="131" t="str">
        <f>IF(AE53="","",IF(ISBLANK(AH53),"En cours",AE53+AH53))</f>
        <v/>
      </c>
    </row>
    <row r="54" spans="2:37" ht="21" x14ac:dyDescent="0.35"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3" t="str">
        <f>IF(MIN(F54,J54,N54,R54,V54,Z54)&lt;&gt;0,MIN(F54,J54,N54,R54,V54,Z54),"")</f>
        <v/>
      </c>
      <c r="AE54" s="133" t="str">
        <f>IF(MIN(H54,L54,P54,T54,X54,AB54)&lt;&gt;0,MIN(H54,L54,P54,T54,X54,AB54),"")</f>
        <v/>
      </c>
      <c r="AF54" s="133"/>
      <c r="AG54" s="132"/>
      <c r="AH54" s="133"/>
      <c r="AI54" s="132"/>
      <c r="AJ54" s="131" t="str">
        <f>IF(AD54="","",IF(ISBLANK(AF54),"En cours",AD54+AF54))</f>
        <v/>
      </c>
      <c r="AK54" s="131" t="str">
        <f>IF(AE54="","",IF(ISBLANK(AH54),"En cours",AE54+AH54))</f>
        <v/>
      </c>
    </row>
    <row r="55" spans="2:37" ht="21" x14ac:dyDescent="0.35"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3" t="str">
        <f>IF(MIN(F55,J55,N55,R55,V55,Z55)&lt;&gt;0,MIN(F55,J55,N55,R55,V55,Z55),"")</f>
        <v/>
      </c>
      <c r="AE55" s="133" t="str">
        <f>IF(MIN(H55,L55,P55,T55,X55,AB55)&lt;&gt;0,MIN(H55,L55,P55,T55,X55,AB55),"")</f>
        <v/>
      </c>
      <c r="AF55" s="133"/>
      <c r="AG55" s="132"/>
      <c r="AH55" s="133"/>
      <c r="AI55" s="132"/>
      <c r="AJ55" s="131" t="str">
        <f>IF(AD55="","",IF(ISBLANK(AF55),"En cours",AD55+AF55))</f>
        <v/>
      </c>
      <c r="AK55" s="131" t="str">
        <f>IF(AE55="","",IF(ISBLANK(AH55),"En cours",AE55+AH55))</f>
        <v/>
      </c>
    </row>
    <row r="56" spans="2:37" ht="21" x14ac:dyDescent="0.35"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3" t="str">
        <f>IF(MIN(F56,J56,N56,R56,V56,Z56)&lt;&gt;0,MIN(F56,J56,N56,R56,V56,Z56),"")</f>
        <v/>
      </c>
      <c r="AE56" s="133" t="str">
        <f>IF(MIN(H56,L56,P56,T56,X56,AB56)&lt;&gt;0,MIN(H56,L56,P56,T56,X56,AB56),"")</f>
        <v/>
      </c>
      <c r="AF56" s="133"/>
      <c r="AG56" s="132"/>
      <c r="AH56" s="133"/>
      <c r="AI56" s="132"/>
      <c r="AJ56" s="131" t="str">
        <f>IF(AD56="","",IF(ISBLANK(AF56),"En cours",AD56+AF56))</f>
        <v/>
      </c>
      <c r="AK56" s="131" t="str">
        <f>IF(AE56="","",IF(ISBLANK(AH56),"En cours",AE56+AH56))</f>
        <v/>
      </c>
    </row>
    <row r="57" spans="2:37" ht="21" x14ac:dyDescent="0.35"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3" t="str">
        <f>IF(MIN(F57,J57,N57,R57,V57,Z57)&lt;&gt;0,MIN(F57,J57,N57,R57,V57,Z57),"")</f>
        <v/>
      </c>
      <c r="AE57" s="133" t="str">
        <f>IF(MIN(H57,L57,P57,T57,X57,AB57)&lt;&gt;0,MIN(H57,L57,P57,T57,X57,AB57),"")</f>
        <v/>
      </c>
      <c r="AF57" s="133"/>
      <c r="AG57" s="132"/>
      <c r="AH57" s="133"/>
      <c r="AI57" s="132"/>
      <c r="AJ57" s="131" t="str">
        <f>IF(AD57="","",IF(ISBLANK(AF57),"En cours",AD57+AF57))</f>
        <v/>
      </c>
      <c r="AK57" s="131" t="str">
        <f>IF(AE57="","",IF(ISBLANK(AH57),"En cours",AE57+AH57))</f>
        <v/>
      </c>
    </row>
    <row r="58" spans="2:37" ht="21" x14ac:dyDescent="0.35"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3" t="str">
        <f>IF(MIN(F58,J58,N58,R58,V58,Z58)&lt;&gt;0,MIN(F58,J58,N58,R58,V58,Z58),"")</f>
        <v/>
      </c>
      <c r="AE58" s="133" t="str">
        <f>IF(MIN(H58,L58,P58,T58,X58,AB58)&lt;&gt;0,MIN(H58,L58,P58,T58,X58,AB58),"")</f>
        <v/>
      </c>
      <c r="AF58" s="133"/>
      <c r="AG58" s="132"/>
      <c r="AH58" s="133"/>
      <c r="AI58" s="132"/>
      <c r="AJ58" s="131" t="str">
        <f>IF(AD58="","",IF(ISBLANK(AF58),"En cours",AD58+AF58))</f>
        <v/>
      </c>
      <c r="AK58" s="131" t="str">
        <f>IF(AE58="","",IF(ISBLANK(AH58),"En cours",AE58+AH58))</f>
        <v/>
      </c>
    </row>
    <row r="59" spans="2:37" ht="21" x14ac:dyDescent="0.35"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3" t="str">
        <f>IF(MIN(F59,J59,N59,R59,V59,Z59)&lt;&gt;0,MIN(F59,J59,N59,R59,V59,Z59),"")</f>
        <v/>
      </c>
      <c r="AE59" s="133" t="str">
        <f>IF(MIN(H59,L59,P59,T59,X59,AB59)&lt;&gt;0,MIN(H59,L59,P59,T59,X59,AB59),"")</f>
        <v/>
      </c>
      <c r="AF59" s="133"/>
      <c r="AG59" s="132"/>
      <c r="AH59" s="133"/>
      <c r="AI59" s="132"/>
      <c r="AJ59" s="131" t="str">
        <f>IF(AD59="","",IF(ISBLANK(AF59),"En cours",AD59+AF59))</f>
        <v/>
      </c>
      <c r="AK59" s="131" t="str">
        <f>IF(AE59="","",IF(ISBLANK(AH59),"En cours",AE59+AH59))</f>
        <v/>
      </c>
    </row>
    <row r="60" spans="2:37" ht="21" x14ac:dyDescent="0.35"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3" t="str">
        <f>IF(MIN(F60,J60,N60,R60,V60,Z60)&lt;&gt;0,MIN(F60,J60,N60,R60,V60,Z60),"")</f>
        <v/>
      </c>
      <c r="AE60" s="133" t="str">
        <f>IF(MIN(H60,L60,P60,T60,X60,AB60)&lt;&gt;0,MIN(H60,L60,P60,T60,X60,AB60),"")</f>
        <v/>
      </c>
      <c r="AF60" s="133"/>
      <c r="AG60" s="132"/>
      <c r="AH60" s="133"/>
      <c r="AI60" s="132"/>
      <c r="AJ60" s="131" t="str">
        <f>IF(AD60="","",IF(ISBLANK(AF60),"En cours",AD60+AF60))</f>
        <v/>
      </c>
      <c r="AK60" s="131" t="str">
        <f>IF(AE60="","",IF(ISBLANK(AH60),"En cours",AE60+AH60))</f>
        <v/>
      </c>
    </row>
    <row r="61" spans="2:37" ht="21" x14ac:dyDescent="0.35">
      <c r="B61" s="132"/>
      <c r="C61" s="132"/>
      <c r="D61" s="132"/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3" t="str">
        <f>IF(MIN(F61,J61,N61,R61,V61,Z61)&lt;&gt;0,MIN(F61,J61,N61,R61,V61,Z61),"")</f>
        <v/>
      </c>
      <c r="AE61" s="133" t="str">
        <f>IF(MIN(H61,L61,P61,T61,X61,AB61)&lt;&gt;0,MIN(H61,L61,P61,T61,X61,AB61),"")</f>
        <v/>
      </c>
      <c r="AF61" s="133"/>
      <c r="AG61" s="132"/>
      <c r="AH61" s="133"/>
      <c r="AI61" s="132"/>
      <c r="AJ61" s="131" t="str">
        <f>IF(AD61="","",IF(ISBLANK(AF61),"En cours",AD61+AF61))</f>
        <v/>
      </c>
      <c r="AK61" s="131" t="str">
        <f>IF(AE61="","",IF(ISBLANK(AH61),"En cours",AE61+AH61))</f>
        <v/>
      </c>
    </row>
    <row r="62" spans="2:37" ht="21" x14ac:dyDescent="0.35"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3" t="str">
        <f>IF(MIN(F62,J62,N62,R62,V62,Z62)&lt;&gt;0,MIN(F62,J62,N62,R62,V62,Z62),"")</f>
        <v/>
      </c>
      <c r="AE62" s="133" t="str">
        <f>IF(MIN(H62,L62,P62,T62,X62,AB62)&lt;&gt;0,MIN(H62,L62,P62,T62,X62,AB62),"")</f>
        <v/>
      </c>
      <c r="AF62" s="133"/>
      <c r="AG62" s="132"/>
      <c r="AH62" s="133"/>
      <c r="AI62" s="132"/>
      <c r="AJ62" s="131" t="str">
        <f>IF(AD62="","",IF(ISBLANK(AF62),"En cours",AD62+AF62))</f>
        <v/>
      </c>
      <c r="AK62" s="131" t="str">
        <f>IF(AE62="","",IF(ISBLANK(AH62),"En cours",AE62+AH62))</f>
        <v/>
      </c>
    </row>
    <row r="63" spans="2:37" ht="21" x14ac:dyDescent="0.35"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3" t="str">
        <f>IF(MIN(F63,J63,N63,R63,V63,Z63)&lt;&gt;0,MIN(F63,J63,N63,R63,V63,Z63),"")</f>
        <v/>
      </c>
      <c r="AE63" s="133" t="str">
        <f>IF(MIN(H63,L63,P63,T63,X63,AB63)&lt;&gt;0,MIN(H63,L63,P63,T63,X63,AB63),"")</f>
        <v/>
      </c>
      <c r="AF63" s="133"/>
      <c r="AG63" s="132"/>
      <c r="AH63" s="133"/>
      <c r="AI63" s="132"/>
      <c r="AJ63" s="131" t="str">
        <f>IF(AD63="","",IF(ISBLANK(AF63),"En cours",AD63+AF63))</f>
        <v/>
      </c>
      <c r="AK63" s="131" t="str">
        <f>IF(AE63="","",IF(ISBLANK(AH63),"En cours",AE63+AH63))</f>
        <v/>
      </c>
    </row>
    <row r="64" spans="2:37" ht="21" x14ac:dyDescent="0.35"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3" t="str">
        <f>IF(MIN(F64,J64,N64,R64,V64,Z64)&lt;&gt;0,MIN(F64,J64,N64,R64,V64,Z64),"")</f>
        <v/>
      </c>
      <c r="AE64" s="133" t="str">
        <f>IF(MIN(H64,L64,P64,T64,X64,AB64)&lt;&gt;0,MIN(H64,L64,P64,T64,X64,AB64),"")</f>
        <v/>
      </c>
      <c r="AF64" s="133"/>
      <c r="AG64" s="132"/>
      <c r="AH64" s="133"/>
      <c r="AI64" s="132"/>
      <c r="AJ64" s="131" t="str">
        <f>IF(AD64="","",IF(ISBLANK(AF64),"En cours",AD64+AF64))</f>
        <v/>
      </c>
      <c r="AK64" s="131" t="str">
        <f>IF(AE64="","",IF(ISBLANK(AH64),"En cours",AE64+AH64))</f>
        <v/>
      </c>
    </row>
    <row r="65" spans="2:37" ht="21" x14ac:dyDescent="0.35"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3" t="str">
        <f>IF(MIN(F65,J65,N65,R65,V65,Z65)&lt;&gt;0,MIN(F65,J65,N65,R65,V65,Z65),"")</f>
        <v/>
      </c>
      <c r="AE65" s="133" t="str">
        <f>IF(MIN(H65,L65,P65,T65,X65,AB65)&lt;&gt;0,MIN(H65,L65,P65,T65,X65,AB65),"")</f>
        <v/>
      </c>
      <c r="AF65" s="133"/>
      <c r="AG65" s="132"/>
      <c r="AH65" s="133"/>
      <c r="AI65" s="132"/>
      <c r="AJ65" s="131" t="str">
        <f>IF(AD65="","",IF(ISBLANK(AF65),"En cours",AD65+AF65))</f>
        <v/>
      </c>
      <c r="AK65" s="131" t="str">
        <f>IF(AE65="","",IF(ISBLANK(AH65),"En cours",AE65+AH65))</f>
        <v/>
      </c>
    </row>
    <row r="66" spans="2:37" ht="21" x14ac:dyDescent="0.35"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3" t="str">
        <f>IF(MIN(F66,J66,N66,R66,V66,Z66)&lt;&gt;0,MIN(F66,J66,N66,R66,V66,Z66),"")</f>
        <v/>
      </c>
      <c r="AE66" s="133" t="str">
        <f>IF(MIN(H66,L66,P66,T66,X66,AB66)&lt;&gt;0,MIN(H66,L66,P66,T66,X66,AB66),"")</f>
        <v/>
      </c>
      <c r="AF66" s="133"/>
      <c r="AG66" s="132"/>
      <c r="AH66" s="133"/>
      <c r="AI66" s="132"/>
      <c r="AJ66" s="131" t="str">
        <f>IF(AD66="","",IF(ISBLANK(AF66),"En cours",AD66+AF66))</f>
        <v/>
      </c>
      <c r="AK66" s="131" t="str">
        <f>IF(AE66="","",IF(ISBLANK(AH66),"En cours",AE66+AH66))</f>
        <v/>
      </c>
    </row>
    <row r="67" spans="2:37" ht="21" x14ac:dyDescent="0.35"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3" t="str">
        <f>IF(MIN(F67,J67,N67,R67,V67,Z67)&lt;&gt;0,MIN(F67,J67,N67,R67,V67,Z67),"")</f>
        <v/>
      </c>
      <c r="AE67" s="133" t="str">
        <f>IF(MIN(H67,L67,P67,T67,X67,AB67)&lt;&gt;0,MIN(H67,L67,P67,T67,X67,AB67),"")</f>
        <v/>
      </c>
      <c r="AF67" s="133"/>
      <c r="AG67" s="132"/>
      <c r="AH67" s="133"/>
      <c r="AI67" s="132"/>
      <c r="AJ67" s="131" t="str">
        <f>IF(AD67="","",IF(ISBLANK(AF67),"En cours",AD67+AF67))</f>
        <v/>
      </c>
      <c r="AK67" s="131" t="str">
        <f>IF(AE67="","",IF(ISBLANK(AH67),"En cours",AE67+AH67))</f>
        <v/>
      </c>
    </row>
    <row r="68" spans="2:37" ht="21" x14ac:dyDescent="0.35"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3" t="str">
        <f>IF(MIN(F68,J68,N68,R68,V68,Z68)&lt;&gt;0,MIN(F68,J68,N68,R68,V68,Z68),"")</f>
        <v/>
      </c>
      <c r="AE68" s="133" t="str">
        <f>IF(MIN(H68,L68,P68,T68,X68,AB68)&lt;&gt;0,MIN(H68,L68,P68,T68,X68,AB68),"")</f>
        <v/>
      </c>
      <c r="AF68" s="133"/>
      <c r="AG68" s="132"/>
      <c r="AH68" s="133"/>
      <c r="AI68" s="132"/>
      <c r="AJ68" s="131" t="str">
        <f>IF(AD68="","",IF(ISBLANK(AF68),"En cours",AD68+AF68))</f>
        <v/>
      </c>
      <c r="AK68" s="131" t="str">
        <f>IF(AE68="","",IF(ISBLANK(AH68),"En cours",AE68+AH68))</f>
        <v/>
      </c>
    </row>
    <row r="69" spans="2:37" ht="21" x14ac:dyDescent="0.35"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3" t="str">
        <f>IF(MIN(F69,J69,N69,R69,V69,Z69)&lt;&gt;0,MIN(F69,J69,N69,R69,V69,Z69),"")</f>
        <v/>
      </c>
      <c r="AE69" s="133" t="str">
        <f>IF(MIN(H69,L69,P69,T69,X69,AB69)&lt;&gt;0,MIN(H69,L69,P69,T69,X69,AB69),"")</f>
        <v/>
      </c>
      <c r="AF69" s="133"/>
      <c r="AG69" s="132"/>
      <c r="AH69" s="133"/>
      <c r="AI69" s="132"/>
      <c r="AJ69" s="131" t="str">
        <f>IF(AD69="","",IF(ISBLANK(AF69),"En cours",AD69+AF69))</f>
        <v/>
      </c>
      <c r="AK69" s="131" t="str">
        <f>IF(AE69="","",IF(ISBLANK(AH69),"En cours",AE69+AH69))</f>
        <v/>
      </c>
    </row>
    <row r="70" spans="2:37" ht="21" x14ac:dyDescent="0.35"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3" t="str">
        <f>IF(MIN(F70,J70,N70,R70,V70,Z70)&lt;&gt;0,MIN(F70,J70,N70,R70,V70,Z70),"")</f>
        <v/>
      </c>
      <c r="AE70" s="133" t="str">
        <f>IF(MIN(H70,L70,P70,T70,X70,AB70)&lt;&gt;0,MIN(H70,L70,P70,T70,X70,AB70),"")</f>
        <v/>
      </c>
      <c r="AF70" s="133"/>
      <c r="AG70" s="132"/>
      <c r="AH70" s="133"/>
      <c r="AI70" s="132"/>
      <c r="AJ70" s="131" t="str">
        <f>IF(AD70="","",IF(ISBLANK(AF70),"En cours",AD70+AF70))</f>
        <v/>
      </c>
      <c r="AK70" s="131" t="str">
        <f>IF(AE70="","",IF(ISBLANK(AH70),"En cours",AE70+AH70))</f>
        <v/>
      </c>
    </row>
    <row r="71" spans="2:37" ht="21" x14ac:dyDescent="0.35"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3" t="str">
        <f>IF(MIN(F71,J71,N71,R71,V71,Z71)&lt;&gt;0,MIN(F71,J71,N71,R71,V71,Z71),"")</f>
        <v/>
      </c>
      <c r="AE71" s="133" t="str">
        <f>IF(MIN(H71,L71,P71,T71,X71,AB71)&lt;&gt;0,MIN(H71,L71,P71,T71,X71,AB71),"")</f>
        <v/>
      </c>
      <c r="AF71" s="133"/>
      <c r="AG71" s="132"/>
      <c r="AH71" s="133"/>
      <c r="AI71" s="132"/>
      <c r="AJ71" s="131" t="str">
        <f>IF(AD71="","",IF(ISBLANK(AF71),"En cours",AD71+AF71))</f>
        <v/>
      </c>
      <c r="AK71" s="131" t="str">
        <f>IF(AE71="","",IF(ISBLANK(AH71),"En cours",AE71+AH71))</f>
        <v/>
      </c>
    </row>
    <row r="72" spans="2:37" ht="21" x14ac:dyDescent="0.35">
      <c r="B72" s="132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3" t="str">
        <f>IF(MIN(F72,J72,N72,R72,V72,Z72)&lt;&gt;0,MIN(F72,J72,N72,R72,V72,Z72),"")</f>
        <v/>
      </c>
      <c r="AE72" s="133" t="str">
        <f>IF(MIN(H72,L72,P72,T72,X72,AB72)&lt;&gt;0,MIN(H72,L72,P72,T72,X72,AB72),"")</f>
        <v/>
      </c>
      <c r="AF72" s="133"/>
      <c r="AG72" s="132"/>
      <c r="AH72" s="133"/>
      <c r="AI72" s="132"/>
      <c r="AJ72" s="131" t="str">
        <f>IF(AD72="","",IF(ISBLANK(AF72),"En cours",AD72+AF72))</f>
        <v/>
      </c>
      <c r="AK72" s="131" t="str">
        <f>IF(AE72="","",IF(ISBLANK(AH72),"En cours",AE72+AH72))</f>
        <v/>
      </c>
    </row>
    <row r="73" spans="2:37" ht="21" x14ac:dyDescent="0.35"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3" t="str">
        <f>IF(MIN(F73,J73,N73,R73,V73,Z73)&lt;&gt;0,MIN(F73,J73,N73,R73,V73,Z73),"")</f>
        <v/>
      </c>
      <c r="AE73" s="133" t="str">
        <f>IF(MIN(H73,L73,P73,T73,X73,AB73)&lt;&gt;0,MIN(H73,L73,P73,T73,X73,AB73),"")</f>
        <v/>
      </c>
      <c r="AF73" s="133"/>
      <c r="AG73" s="132"/>
      <c r="AH73" s="133"/>
      <c r="AI73" s="132"/>
      <c r="AJ73" s="131" t="str">
        <f>IF(AD73="","",IF(ISBLANK(AF73),"En cours",AD73+AF73))</f>
        <v/>
      </c>
      <c r="AK73" s="131" t="str">
        <f>IF(AE73="","",IF(ISBLANK(AH73),"En cours",AE73+AH73))</f>
        <v/>
      </c>
    </row>
    <row r="74" spans="2:37" ht="21" x14ac:dyDescent="0.35">
      <c r="B74" s="132"/>
      <c r="C74" s="132"/>
      <c r="D74" s="132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3" t="str">
        <f>IF(MIN(F74,J74,N74,R74,V74,Z74)&lt;&gt;0,MIN(F74,J74,N74,R74,V74,Z74),"")</f>
        <v/>
      </c>
      <c r="AE74" s="133" t="str">
        <f>IF(MIN(H74,L74,P74,T74,X74,AB74)&lt;&gt;0,MIN(H74,L74,P74,T74,X74,AB74),"")</f>
        <v/>
      </c>
      <c r="AF74" s="133"/>
      <c r="AG74" s="132"/>
      <c r="AH74" s="133"/>
      <c r="AI74" s="132"/>
      <c r="AJ74" s="131" t="str">
        <f>IF(AD74="","",IF(ISBLANK(AF74),"En cours",AD74+AF74))</f>
        <v/>
      </c>
      <c r="AK74" s="131" t="str">
        <f>IF(AE74="","",IF(ISBLANK(AH74),"En cours",AE74+AH74))</f>
        <v/>
      </c>
    </row>
    <row r="75" spans="2:37" ht="21" x14ac:dyDescent="0.35"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3" t="str">
        <f>IF(MIN(F75,J75,N75,R75,V75,Z75)&lt;&gt;0,MIN(F75,J75,N75,R75,V75,Z75),"")</f>
        <v/>
      </c>
      <c r="AE75" s="133" t="str">
        <f>IF(MIN(H75,L75,P75,T75,X75,AB75)&lt;&gt;0,MIN(H75,L75,P75,T75,X75,AB75),"")</f>
        <v/>
      </c>
      <c r="AF75" s="133"/>
      <c r="AG75" s="132"/>
      <c r="AH75" s="133"/>
      <c r="AI75" s="132"/>
      <c r="AJ75" s="131" t="str">
        <f>IF(AD75="","",IF(ISBLANK(AF75),"En cours",AD75+AF75))</f>
        <v/>
      </c>
      <c r="AK75" s="131" t="str">
        <f>IF(AE75="","",IF(ISBLANK(AH75),"En cours",AE75+AH75))</f>
        <v/>
      </c>
    </row>
    <row r="76" spans="2:37" ht="21" x14ac:dyDescent="0.35"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3" t="str">
        <f>IF(MIN(F76,J76,N76,R76,V76,Z76)&lt;&gt;0,MIN(F76,J76,N76,R76,V76,Z76),"")</f>
        <v/>
      </c>
      <c r="AE76" s="133" t="str">
        <f>IF(MIN(H76,L76,P76,T76,X76,AB76)&lt;&gt;0,MIN(H76,L76,P76,T76,X76,AB76),"")</f>
        <v/>
      </c>
      <c r="AF76" s="133"/>
      <c r="AG76" s="132"/>
      <c r="AH76" s="133"/>
      <c r="AI76" s="132"/>
      <c r="AJ76" s="131" t="str">
        <f>IF(AD76="","",IF(ISBLANK(AF76),"En cours",AD76+AF76))</f>
        <v/>
      </c>
      <c r="AK76" s="131" t="str">
        <f>IF(AE76="","",IF(ISBLANK(AH76),"En cours",AE76+AH76))</f>
        <v/>
      </c>
    </row>
    <row r="77" spans="2:37" ht="21" x14ac:dyDescent="0.35"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3" t="str">
        <f>IF(MIN(F77,J77,N77,R77,V77,Z77)&lt;&gt;0,MIN(F77,J77,N77,R77,V77,Z77),"")</f>
        <v/>
      </c>
      <c r="AE77" s="133" t="str">
        <f>IF(MIN(H77,L77,P77,T77,X77,AB77)&lt;&gt;0,MIN(H77,L77,P77,T77,X77,AB77),"")</f>
        <v/>
      </c>
      <c r="AF77" s="133"/>
      <c r="AG77" s="132"/>
      <c r="AH77" s="133"/>
      <c r="AI77" s="132"/>
      <c r="AJ77" s="131" t="str">
        <f>IF(AD77="","",IF(ISBLANK(AF77),"En cours",AD77+AF77))</f>
        <v/>
      </c>
      <c r="AK77" s="131" t="str">
        <f>IF(AE77="","",IF(ISBLANK(AH77),"En cours",AE77+AH77))</f>
        <v/>
      </c>
    </row>
    <row r="78" spans="2:37" ht="21" x14ac:dyDescent="0.35"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3" t="str">
        <f>IF(MIN(F78,J78,N78,R78,V78,Z78)&lt;&gt;0,MIN(F78,J78,N78,R78,V78,Z78),"")</f>
        <v/>
      </c>
      <c r="AE78" s="133" t="str">
        <f>IF(MIN(H78,L78,P78,T78,X78,AB78)&lt;&gt;0,MIN(H78,L78,P78,T78,X78,AB78),"")</f>
        <v/>
      </c>
      <c r="AF78" s="133"/>
      <c r="AG78" s="132"/>
      <c r="AH78" s="133"/>
      <c r="AI78" s="132"/>
      <c r="AJ78" s="131" t="str">
        <f>IF(AD78="","",IF(ISBLANK(AF78),"En cours",AD78+AF78))</f>
        <v/>
      </c>
      <c r="AK78" s="131" t="str">
        <f>IF(AE78="","",IF(ISBLANK(AH78),"En cours",AE78+AH78))</f>
        <v/>
      </c>
    </row>
    <row r="79" spans="2:37" ht="21" x14ac:dyDescent="0.35"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3" t="str">
        <f>IF(MIN(F79,J79,N79,R79,V79,Z79)&lt;&gt;0,MIN(F79,J79,N79,R79,V79,Z79),"")</f>
        <v/>
      </c>
      <c r="AE79" s="133" t="str">
        <f>IF(MIN(H79,L79,P79,T79,X79,AB79)&lt;&gt;0,MIN(H79,L79,P79,T79,X79,AB79),"")</f>
        <v/>
      </c>
      <c r="AF79" s="133"/>
      <c r="AG79" s="132"/>
      <c r="AH79" s="133"/>
      <c r="AI79" s="132"/>
      <c r="AJ79" s="131" t="str">
        <f>IF(AD79="","",IF(ISBLANK(AF79),"En cours",AD79+AF79))</f>
        <v/>
      </c>
      <c r="AK79" s="131" t="str">
        <f>IF(AE79="","",IF(ISBLANK(AH79),"En cours",AE79+AH79))</f>
        <v/>
      </c>
    </row>
    <row r="80" spans="2:37" ht="21" x14ac:dyDescent="0.35"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3" t="str">
        <f>IF(MIN(F80,J80,N80,R80,V80,Z80)&lt;&gt;0,MIN(F80,J80,N80,R80,V80,Z80),"")</f>
        <v/>
      </c>
      <c r="AE80" s="133" t="str">
        <f>IF(MIN(H80,L80,P80,T80,X80,AB80)&lt;&gt;0,MIN(H80,L80,P80,T80,X80,AB80),"")</f>
        <v/>
      </c>
      <c r="AF80" s="133"/>
      <c r="AG80" s="132"/>
      <c r="AH80" s="133"/>
      <c r="AI80" s="132"/>
      <c r="AJ80" s="131" t="str">
        <f>IF(AD80="","",IF(ISBLANK(AF80),"En cours",AD80+AF80))</f>
        <v/>
      </c>
      <c r="AK80" s="131" t="str">
        <f>IF(AE80="","",IF(ISBLANK(AH80),"En cours",AE80+AH80))</f>
        <v/>
      </c>
    </row>
    <row r="81" spans="2:37" ht="21" x14ac:dyDescent="0.35"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3" t="str">
        <f>IF(MIN(F81,J81,N81,R81,V81,Z81)&lt;&gt;0,MIN(F81,J81,N81,R81,V81,Z81),"")</f>
        <v/>
      </c>
      <c r="AE81" s="133" t="str">
        <f>IF(MIN(H81,L81,P81,T81,X81,AB81)&lt;&gt;0,MIN(H81,L81,P81,T81,X81,AB81),"")</f>
        <v/>
      </c>
      <c r="AF81" s="133"/>
      <c r="AG81" s="132"/>
      <c r="AH81" s="133"/>
      <c r="AI81" s="132"/>
      <c r="AJ81" s="131" t="str">
        <f>IF(AD81="","",IF(ISBLANK(AF81),"En cours",AD81+AF81))</f>
        <v/>
      </c>
      <c r="AK81" s="131" t="str">
        <f>IF(AE81="","",IF(ISBLANK(AH81),"En cours",AE81+AH81))</f>
        <v/>
      </c>
    </row>
    <row r="82" spans="2:37" ht="21" x14ac:dyDescent="0.35"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3" t="str">
        <f>IF(MIN(F82,J82,N82,R82,V82,Z82)&lt;&gt;0,MIN(F82,J82,N82,R82,V82,Z82),"")</f>
        <v/>
      </c>
      <c r="AE82" s="133" t="str">
        <f>IF(MIN(H82,L82,P82,T82,X82,AB82)&lt;&gt;0,MIN(H82,L82,P82,T82,X82,AB82),"")</f>
        <v/>
      </c>
      <c r="AF82" s="133"/>
      <c r="AG82" s="132"/>
      <c r="AH82" s="133"/>
      <c r="AI82" s="132"/>
      <c r="AJ82" s="131" t="str">
        <f>IF(AD82="","",IF(ISBLANK(AF82),"En cours",AD82+AF82))</f>
        <v/>
      </c>
      <c r="AK82" s="131" t="str">
        <f>IF(AE82="","",IF(ISBLANK(AH82),"En cours",AE82+AH82))</f>
        <v/>
      </c>
    </row>
    <row r="83" spans="2:37" ht="21" x14ac:dyDescent="0.35"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3" t="str">
        <f>IF(MIN(F83,J83,N83,R83,V83,Z83)&lt;&gt;0,MIN(F83,J83,N83,R83,V83,Z83),"")</f>
        <v/>
      </c>
      <c r="AE83" s="133" t="str">
        <f>IF(MIN(H83,L83,P83,T83,X83,AB83)&lt;&gt;0,MIN(H83,L83,P83,T83,X83,AB83),"")</f>
        <v/>
      </c>
      <c r="AF83" s="133"/>
      <c r="AG83" s="132"/>
      <c r="AH83" s="133"/>
      <c r="AI83" s="132"/>
      <c r="AJ83" s="131" t="str">
        <f>IF(AD83="","",IF(ISBLANK(AF83),"En cours",AD83+AF83))</f>
        <v/>
      </c>
      <c r="AK83" s="131" t="str">
        <f>IF(AE83="","",IF(ISBLANK(AH83),"En cours",AE83+AH83))</f>
        <v/>
      </c>
    </row>
    <row r="84" spans="2:37" ht="21" x14ac:dyDescent="0.35"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3" t="str">
        <f>IF(MIN(F84,J84,N84,R84,V84,Z84)&lt;&gt;0,MIN(F84,J84,N84,R84,V84,Z84),"")</f>
        <v/>
      </c>
      <c r="AE84" s="133" t="str">
        <f>IF(MIN(H84,L84,P84,T84,X84,AB84)&lt;&gt;0,MIN(H84,L84,P84,T84,X84,AB84),"")</f>
        <v/>
      </c>
      <c r="AF84" s="133"/>
      <c r="AG84" s="132"/>
      <c r="AH84" s="133"/>
      <c r="AI84" s="132"/>
      <c r="AJ84" s="131" t="str">
        <f>IF(AD84="","",IF(ISBLANK(AF84),"En cours",AD84+AF84))</f>
        <v/>
      </c>
      <c r="AK84" s="131" t="str">
        <f>IF(AE84="","",IF(ISBLANK(AH84),"En cours",AE84+AH84))</f>
        <v/>
      </c>
    </row>
    <row r="85" spans="2:37" ht="21" x14ac:dyDescent="0.35"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3" t="str">
        <f>IF(MIN(F85,J85,N85,R85,V85,Z85)&lt;&gt;0,MIN(F85,J85,N85,R85,V85,Z85),"")</f>
        <v/>
      </c>
      <c r="AE85" s="133" t="str">
        <f>IF(MIN(H85,L85,P85,T85,X85,AB85)&lt;&gt;0,MIN(H85,L85,P85,T85,X85,AB85),"")</f>
        <v/>
      </c>
      <c r="AF85" s="133"/>
      <c r="AG85" s="132"/>
      <c r="AH85" s="133"/>
      <c r="AI85" s="132"/>
      <c r="AJ85" s="131" t="str">
        <f>IF(AD85="","",IF(ISBLANK(AF85),"En cours",AD85+AF85))</f>
        <v/>
      </c>
      <c r="AK85" s="131" t="str">
        <f>IF(AE85="","",IF(ISBLANK(AH85),"En cours",AE85+AH85))</f>
        <v/>
      </c>
    </row>
    <row r="86" spans="2:37" ht="21" x14ac:dyDescent="0.35"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3" t="str">
        <f>IF(MIN(F86,J86,N86,R86,V86,Z86)&lt;&gt;0,MIN(F86,J86,N86,R86,V86,Z86),"")</f>
        <v/>
      </c>
      <c r="AE86" s="133" t="str">
        <f>IF(MIN(H86,L86,P86,T86,X86,AB86)&lt;&gt;0,MIN(H86,L86,P86,T86,X86,AB86),"")</f>
        <v/>
      </c>
      <c r="AF86" s="133"/>
      <c r="AG86" s="132"/>
      <c r="AH86" s="133"/>
      <c r="AI86" s="132"/>
      <c r="AJ86" s="131" t="str">
        <f>IF(AD86="","",IF(ISBLANK(AF86),"En cours",AD86+AF86))</f>
        <v/>
      </c>
      <c r="AK86" s="131" t="str">
        <f>IF(AE86="","",IF(ISBLANK(AH86),"En cours",AE86+AH86))</f>
        <v/>
      </c>
    </row>
    <row r="87" spans="2:37" ht="21" x14ac:dyDescent="0.35"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3" t="str">
        <f>IF(MIN(F87,J87,N87,R87,V87,Z87)&lt;&gt;0,MIN(F87,J87,N87,R87,V87,Z87),"")</f>
        <v/>
      </c>
      <c r="AE87" s="133" t="str">
        <f>IF(MIN(H87,L87,P87,T87,X87,AB87)&lt;&gt;0,MIN(H87,L87,P87,T87,X87,AB87),"")</f>
        <v/>
      </c>
      <c r="AF87" s="133"/>
      <c r="AG87" s="132"/>
      <c r="AH87" s="133"/>
      <c r="AI87" s="132"/>
      <c r="AJ87" s="131" t="str">
        <f>IF(AD87="","",IF(ISBLANK(AF87),"En cours",AD87+AF87))</f>
        <v/>
      </c>
      <c r="AK87" s="131" t="str">
        <f>IF(AE87="","",IF(ISBLANK(AH87),"En cours",AE87+AH87))</f>
        <v/>
      </c>
    </row>
    <row r="88" spans="2:37" ht="21" x14ac:dyDescent="0.35"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3" t="str">
        <f>IF(MIN(F88,J88,N88,R88,V88,Z88)&lt;&gt;0,MIN(F88,J88,N88,R88,V88,Z88),"")</f>
        <v/>
      </c>
      <c r="AE88" s="133" t="str">
        <f>IF(MIN(H88,L88,P88,T88,X88,AB88)&lt;&gt;0,MIN(H88,L88,P88,T88,X88,AB88),"")</f>
        <v/>
      </c>
      <c r="AF88" s="133"/>
      <c r="AG88" s="132"/>
      <c r="AH88" s="133"/>
      <c r="AI88" s="132"/>
      <c r="AJ88" s="131" t="str">
        <f>IF(AD88="","",IF(ISBLANK(AF88),"En cours",AD88+AF88))</f>
        <v/>
      </c>
      <c r="AK88" s="131" t="str">
        <f>IF(AE88="","",IF(ISBLANK(AH88),"En cours",AE88+AH88))</f>
        <v/>
      </c>
    </row>
    <row r="89" spans="2:37" ht="21" x14ac:dyDescent="0.35"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3" t="str">
        <f>IF(MIN(F89,J89,N89,R89,V89,Z89)&lt;&gt;0,MIN(F89,J89,N89,R89,V89,Z89),"")</f>
        <v/>
      </c>
      <c r="AE89" s="133" t="str">
        <f>IF(MIN(H89,L89,P89,T89,X89,AB89)&lt;&gt;0,MIN(H89,L89,P89,T89,X89,AB89),"")</f>
        <v/>
      </c>
      <c r="AF89" s="133"/>
      <c r="AG89" s="132"/>
      <c r="AH89" s="133"/>
      <c r="AI89" s="132"/>
      <c r="AJ89" s="131" t="str">
        <f>IF(AD89="","",IF(ISBLANK(AF89),"En cours",AD89+AF89))</f>
        <v/>
      </c>
      <c r="AK89" s="131" t="str">
        <f>IF(AE89="","",IF(ISBLANK(AH89),"En cours",AE89+AH89))</f>
        <v/>
      </c>
    </row>
    <row r="90" spans="2:37" ht="21" x14ac:dyDescent="0.35"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3" t="str">
        <f>IF(MIN(F90,J90,N90,R90,V90,Z90)&lt;&gt;0,MIN(F90,J90,N90,R90,V90,Z90),"")</f>
        <v/>
      </c>
      <c r="AE90" s="133" t="str">
        <f>IF(MIN(H90,L90,P90,T90,X90,AB90)&lt;&gt;0,MIN(H90,L90,P90,T90,X90,AB90),"")</f>
        <v/>
      </c>
      <c r="AF90" s="133"/>
      <c r="AG90" s="132"/>
      <c r="AH90" s="133"/>
      <c r="AI90" s="132"/>
      <c r="AJ90" s="131" t="str">
        <f>IF(AD90="","",IF(ISBLANK(AF90),"En cours",AD90+AF90))</f>
        <v/>
      </c>
      <c r="AK90" s="131" t="str">
        <f>IF(AE90="","",IF(ISBLANK(AH90),"En cours",AE90+AH90))</f>
        <v/>
      </c>
    </row>
    <row r="91" spans="2:37" ht="21" x14ac:dyDescent="0.35"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3" t="str">
        <f>IF(MIN(F91,J91,N91,R91,V91,Z91)&lt;&gt;0,MIN(F91,J91,N91,R91,V91,Z91),"")</f>
        <v/>
      </c>
      <c r="AE91" s="133" t="str">
        <f>IF(MIN(H91,L91,P91,T91,X91,AB91)&lt;&gt;0,MIN(H91,L91,P91,T91,X91,AB91),"")</f>
        <v/>
      </c>
      <c r="AF91" s="133"/>
      <c r="AG91" s="132"/>
      <c r="AH91" s="133"/>
      <c r="AI91" s="132"/>
      <c r="AJ91" s="131" t="str">
        <f>IF(AD91="","",IF(ISBLANK(AF91),"En cours",AD91+AF91))</f>
        <v/>
      </c>
      <c r="AK91" s="131" t="str">
        <f>IF(AE91="","",IF(ISBLANK(AH91),"En cours",AE91+AH91))</f>
        <v/>
      </c>
    </row>
    <row r="92" spans="2:37" ht="21" x14ac:dyDescent="0.35"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3" t="str">
        <f>IF(MIN(F92,J92,N92,R92,V92,Z92)&lt;&gt;0,MIN(F92,J92,N92,R92,V92,Z92),"")</f>
        <v/>
      </c>
      <c r="AE92" s="133" t="str">
        <f>IF(MIN(H92,L92,P92,T92,X92,AB92)&lt;&gt;0,MIN(H92,L92,P92,T92,X92,AB92),"")</f>
        <v/>
      </c>
      <c r="AF92" s="133"/>
      <c r="AG92" s="132"/>
      <c r="AH92" s="133"/>
      <c r="AI92" s="132"/>
      <c r="AJ92" s="131" t="str">
        <f>IF(AD92="","",IF(ISBLANK(AF92),"En cours",AD92+AF92))</f>
        <v/>
      </c>
      <c r="AK92" s="131" t="str">
        <f>IF(AE92="","",IF(ISBLANK(AH92),"En cours",AE92+AH92))</f>
        <v/>
      </c>
    </row>
    <row r="93" spans="2:37" ht="21" x14ac:dyDescent="0.35"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3" t="str">
        <f>IF(MIN(F93,J93,N93,R93,V93,Z93)&lt;&gt;0,MIN(F93,J93,N93,R93,V93,Z93),"")</f>
        <v/>
      </c>
      <c r="AE93" s="133" t="str">
        <f>IF(MIN(H93,L93,P93,T93,X93,AB93)&lt;&gt;0,MIN(H93,L93,P93,T93,X93,AB93),"")</f>
        <v/>
      </c>
      <c r="AF93" s="133"/>
      <c r="AG93" s="132"/>
      <c r="AH93" s="133"/>
      <c r="AI93" s="132"/>
      <c r="AJ93" s="131" t="str">
        <f>IF(AD93="","",IF(ISBLANK(AF93),"En cours",AD93+AF93))</f>
        <v/>
      </c>
      <c r="AK93" s="131" t="str">
        <f>IF(AE93="","",IF(ISBLANK(AH93),"En cours",AE93+AH93))</f>
        <v/>
      </c>
    </row>
    <row r="94" spans="2:37" ht="21" x14ac:dyDescent="0.35"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3" t="str">
        <f>IF(MIN(F94,J94,N94,R94,V94,Z94)&lt;&gt;0,MIN(F94,J94,N94,R94,V94,Z94),"")</f>
        <v/>
      </c>
      <c r="AE94" s="133" t="str">
        <f>IF(MIN(H94,L94,P94,T94,X94,AB94)&lt;&gt;0,MIN(H94,L94,P94,T94,X94,AB94),"")</f>
        <v/>
      </c>
      <c r="AF94" s="133"/>
      <c r="AG94" s="132"/>
      <c r="AH94" s="133"/>
      <c r="AI94" s="132"/>
      <c r="AJ94" s="131" t="str">
        <f>IF(AD94="","",IF(ISBLANK(AF94),"En cours",AD94+AF94))</f>
        <v/>
      </c>
      <c r="AK94" s="131" t="str">
        <f>IF(AE94="","",IF(ISBLANK(AH94),"En cours",AE94+AH94))</f>
        <v/>
      </c>
    </row>
    <row r="95" spans="2:37" ht="21" x14ac:dyDescent="0.35"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3" t="str">
        <f>IF(MIN(F95,J95,N95,R95,V95,Z95)&lt;&gt;0,MIN(F95,J95,N95,R95,V95,Z95),"")</f>
        <v/>
      </c>
      <c r="AE95" s="133" t="str">
        <f>IF(MIN(H95,L95,P95,T95,X95,AB95)&lt;&gt;0,MIN(H95,L95,P95,T95,X95,AB95),"")</f>
        <v/>
      </c>
      <c r="AF95" s="133"/>
      <c r="AG95" s="132"/>
      <c r="AH95" s="133"/>
      <c r="AI95" s="132"/>
      <c r="AJ95" s="131" t="str">
        <f>IF(AD95="","",IF(ISBLANK(AF95),"En cours",AD95+AF95))</f>
        <v/>
      </c>
      <c r="AK95" s="131" t="str">
        <f>IF(AE95="","",IF(ISBLANK(AH95),"En cours",AE95+AH95))</f>
        <v/>
      </c>
    </row>
    <row r="96" spans="2:37" ht="21" x14ac:dyDescent="0.35"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3" t="str">
        <f>IF(MIN(F96,J96,N96,R96,V96,Z96)&lt;&gt;0,MIN(F96,J96,N96,R96,V96,Z96),"")</f>
        <v/>
      </c>
      <c r="AE96" s="133" t="str">
        <f>IF(MIN(H96,L96,P96,T96,X96,AB96)&lt;&gt;0,MIN(H96,L96,P96,T96,X96,AB96),"")</f>
        <v/>
      </c>
      <c r="AF96" s="133"/>
      <c r="AG96" s="132"/>
      <c r="AH96" s="133"/>
      <c r="AI96" s="132"/>
      <c r="AJ96" s="131" t="str">
        <f>IF(AD96="","",IF(ISBLANK(AF96),"En cours",AD96+AF96))</f>
        <v/>
      </c>
      <c r="AK96" s="131" t="str">
        <f>IF(AE96="","",IF(ISBLANK(AH96),"En cours",AE96+AH96))</f>
        <v/>
      </c>
    </row>
    <row r="97" spans="2:37" ht="21" x14ac:dyDescent="0.35"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3" t="str">
        <f>IF(MIN(F97,J97,N97,R97,V97,Z97)&lt;&gt;0,MIN(F97,J97,N97,R97,V97,Z97),"")</f>
        <v/>
      </c>
      <c r="AE97" s="133" t="str">
        <f>IF(MIN(H97,L97,P97,T97,X97,AB97)&lt;&gt;0,MIN(H97,L97,P97,T97,X97,AB97),"")</f>
        <v/>
      </c>
      <c r="AF97" s="133"/>
      <c r="AG97" s="132"/>
      <c r="AH97" s="133"/>
      <c r="AI97" s="132"/>
      <c r="AJ97" s="131" t="str">
        <f>IF(AD97="","",IF(ISBLANK(AF97),"En cours",AD97+AF97))</f>
        <v/>
      </c>
      <c r="AK97" s="131" t="str">
        <f>IF(AE97="","",IF(ISBLANK(AH97),"En cours",AE97+AH97))</f>
        <v/>
      </c>
    </row>
    <row r="98" spans="2:37" ht="21" x14ac:dyDescent="0.35"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3" t="str">
        <f>IF(MIN(F98,J98,N98,R98,V98,Z98)&lt;&gt;0,MIN(F98,J98,N98,R98,V98,Z98),"")</f>
        <v/>
      </c>
      <c r="AE98" s="133" t="str">
        <f>IF(MIN(H98,L98,P98,T98,X98,AB98)&lt;&gt;0,MIN(H98,L98,P98,T98,X98,AB98),"")</f>
        <v/>
      </c>
      <c r="AF98" s="133"/>
      <c r="AG98" s="132"/>
      <c r="AH98" s="133"/>
      <c r="AI98" s="132"/>
      <c r="AJ98" s="131" t="str">
        <f>IF(AD98="","",IF(ISBLANK(AF98),"En cours",AD98+AF98))</f>
        <v/>
      </c>
      <c r="AK98" s="131" t="str">
        <f>IF(AE98="","",IF(ISBLANK(AH98),"En cours",AE98+AH98))</f>
        <v/>
      </c>
    </row>
    <row r="99" spans="2:37" ht="21" x14ac:dyDescent="0.35"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3" t="str">
        <f>IF(MIN(F99,J99,N99,R99,V99,Z99)&lt;&gt;0,MIN(F99,J99,N99,R99,V99,Z99),"")</f>
        <v/>
      </c>
      <c r="AE99" s="133" t="str">
        <f>IF(MIN(H99,L99,P99,T99,X99,AB99)&lt;&gt;0,MIN(H99,L99,P99,T99,X99,AB99),"")</f>
        <v/>
      </c>
      <c r="AF99" s="133"/>
      <c r="AG99" s="132"/>
      <c r="AH99" s="133"/>
      <c r="AI99" s="132"/>
      <c r="AJ99" s="131" t="str">
        <f>IF(AD99="","",IF(ISBLANK(AF99),"En cours",AD99+AF99))</f>
        <v/>
      </c>
      <c r="AK99" s="131" t="str">
        <f>IF(AE99="","",IF(ISBLANK(AH99),"En cours",AE99+AH99))</f>
        <v/>
      </c>
    </row>
    <row r="100" spans="2:37" ht="21" x14ac:dyDescent="0.35"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3" t="str">
        <f>IF(MIN(F100,J100,N100,R100,V100,Z100)&lt;&gt;0,MIN(F100,J100,N100,R100,V100,Z100),"")</f>
        <v/>
      </c>
      <c r="AE100" s="133" t="str">
        <f>IF(MIN(H100,L100,P100,T100,X100,AB100)&lt;&gt;0,MIN(H100,L100,P100,T100,X100,AB100),"")</f>
        <v/>
      </c>
      <c r="AF100" s="133"/>
      <c r="AG100" s="132"/>
      <c r="AH100" s="133"/>
      <c r="AI100" s="132"/>
      <c r="AJ100" s="131" t="str">
        <f>IF(AD100="","",IF(ISBLANK(AF100),"En cours",AD100+AF100))</f>
        <v/>
      </c>
      <c r="AK100" s="131" t="str">
        <f>IF(AE100="","",IF(ISBLANK(AH100),"En cours",AE100+AH100))</f>
        <v/>
      </c>
    </row>
    <row r="101" spans="2:37" ht="21" x14ac:dyDescent="0.35"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3" t="str">
        <f>IF(MIN(F101,J101,N101,R101,V101,Z101)&lt;&gt;0,MIN(F101,J101,N101,R101,V101,Z101),"")</f>
        <v/>
      </c>
      <c r="AE101" s="133" t="str">
        <f>IF(MIN(H101,L101,P101,T101,X101,AB101)&lt;&gt;0,MIN(H101,L101,P101,T101,X101,AB101),"")</f>
        <v/>
      </c>
      <c r="AF101" s="133"/>
      <c r="AG101" s="132"/>
      <c r="AH101" s="133"/>
      <c r="AI101" s="132"/>
      <c r="AJ101" s="131" t="str">
        <f>IF(AD101="","",IF(ISBLANK(AF101),"En cours",AD101+AF101))</f>
        <v/>
      </c>
      <c r="AK101" s="131" t="str">
        <f>IF(AE101="","",IF(ISBLANK(AH101),"En cours",AE101+AH101))</f>
        <v/>
      </c>
    </row>
    <row r="102" spans="2:37" ht="21" x14ac:dyDescent="0.35"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3" t="str">
        <f>IF(MIN(F102,J102,N102,R102,V102,Z102)&lt;&gt;0,MIN(F102,J102,N102,R102,V102,Z102),"")</f>
        <v/>
      </c>
      <c r="AE102" s="133" t="str">
        <f>IF(MIN(H102,L102,P102,T102,X102,AB102)&lt;&gt;0,MIN(H102,L102,P102,T102,X102,AB102),"")</f>
        <v/>
      </c>
      <c r="AF102" s="133"/>
      <c r="AG102" s="132"/>
      <c r="AH102" s="133"/>
      <c r="AI102" s="132"/>
      <c r="AJ102" s="131" t="str">
        <f>IF(AD102="","",IF(ISBLANK(AF102),"En cours",AD102+AF102))</f>
        <v/>
      </c>
      <c r="AK102" s="131" t="str">
        <f>IF(AE102="","",IF(ISBLANK(AH102),"En cours",AE102+AH102))</f>
        <v/>
      </c>
    </row>
    <row r="103" spans="2:37" ht="21" x14ac:dyDescent="0.35"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3" t="str">
        <f>IF(MIN(F103,J103,N103,R103,V103,Z103)&lt;&gt;0,MIN(F103,J103,N103,R103,V103,Z103),"")</f>
        <v/>
      </c>
      <c r="AE103" s="133" t="str">
        <f>IF(MIN(H103,L103,P103,T103,X103,AB103)&lt;&gt;0,MIN(H103,L103,P103,T103,X103,AB103),"")</f>
        <v/>
      </c>
      <c r="AF103" s="133"/>
      <c r="AG103" s="132"/>
      <c r="AH103" s="133"/>
      <c r="AI103" s="132"/>
      <c r="AJ103" s="131" t="str">
        <f>IF(AD103="","",IF(ISBLANK(AF103),"En cours",AD103+AF103))</f>
        <v/>
      </c>
      <c r="AK103" s="131" t="str">
        <f>IF(AE103="","",IF(ISBLANK(AH103),"En cours",AE103+AH103))</f>
        <v/>
      </c>
    </row>
    <row r="104" spans="2:37" ht="21" x14ac:dyDescent="0.35"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3" t="str">
        <f>IF(MIN(F104,J104,N104,R104,V104,Z104)&lt;&gt;0,MIN(F104,J104,N104,R104,V104,Z104),"")</f>
        <v/>
      </c>
      <c r="AE104" s="133" t="str">
        <f>IF(MIN(H104,L104,P104,T104,X104,AB104)&lt;&gt;0,MIN(H104,L104,P104,T104,X104,AB104),"")</f>
        <v/>
      </c>
      <c r="AF104" s="133"/>
      <c r="AG104" s="132"/>
      <c r="AH104" s="133"/>
      <c r="AI104" s="132"/>
      <c r="AJ104" s="131" t="str">
        <f>IF(AD104="","",IF(ISBLANK(AF104),"En cours",AD104+AF104))</f>
        <v/>
      </c>
      <c r="AK104" s="131" t="str">
        <f>IF(AE104="","",IF(ISBLANK(AH104),"En cours",AE104+AH104))</f>
        <v/>
      </c>
    </row>
    <row r="105" spans="2:37" ht="21" x14ac:dyDescent="0.35"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3" t="str">
        <f>IF(MIN(F105,J105,N105,R105,V105,Z105)&lt;&gt;0,MIN(F105,J105,N105,R105,V105,Z105),"")</f>
        <v/>
      </c>
      <c r="AE105" s="133" t="str">
        <f>IF(MIN(H105,L105,P105,T105,X105,AB105)&lt;&gt;0,MIN(H105,L105,P105,T105,X105,AB105),"")</f>
        <v/>
      </c>
      <c r="AF105" s="133"/>
      <c r="AG105" s="132"/>
      <c r="AH105" s="133"/>
      <c r="AI105" s="132"/>
      <c r="AJ105" s="131" t="str">
        <f>IF(AD105="","",IF(ISBLANK(AF105),"En cours",AD105+AF105))</f>
        <v/>
      </c>
      <c r="AK105" s="131" t="str">
        <f>IF(AE105="","",IF(ISBLANK(AH105),"En cours",AE105+AH105))</f>
        <v/>
      </c>
    </row>
    <row r="106" spans="2:37" ht="21" x14ac:dyDescent="0.35"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3" t="str">
        <f>IF(MIN(F106,J106,N106,R106,V106,Z106)&lt;&gt;0,MIN(F106,J106,N106,R106,V106,Z106),"")</f>
        <v/>
      </c>
      <c r="AE106" s="133" t="str">
        <f>IF(MIN(H106,L106,P106,T106,X106,AB106)&lt;&gt;0,MIN(H106,L106,P106,T106,X106,AB106),"")</f>
        <v/>
      </c>
      <c r="AF106" s="133"/>
      <c r="AG106" s="132"/>
      <c r="AH106" s="133"/>
      <c r="AI106" s="132"/>
      <c r="AJ106" s="131" t="str">
        <f>IF(AD106="","",IF(ISBLANK(AF106),"En cours",AD106+AF106))</f>
        <v/>
      </c>
      <c r="AK106" s="131" t="str">
        <f>IF(AE106="","",IF(ISBLANK(AH106),"En cours",AE106+AH106))</f>
        <v/>
      </c>
    </row>
    <row r="107" spans="2:37" ht="21" x14ac:dyDescent="0.35"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3" t="str">
        <f>IF(MIN(F107,J107,N107,R107,V107,Z107)&lt;&gt;0,MIN(F107,J107,N107,R107,V107,Z107),"")</f>
        <v/>
      </c>
      <c r="AE107" s="133" t="str">
        <f>IF(MIN(H107,L107,P107,T107,X107,AB107)&lt;&gt;0,MIN(H107,L107,P107,T107,X107,AB107),"")</f>
        <v/>
      </c>
      <c r="AF107" s="133"/>
      <c r="AG107" s="132"/>
      <c r="AH107" s="133"/>
      <c r="AI107" s="132"/>
      <c r="AJ107" s="131" t="str">
        <f>IF(AD107="","",IF(ISBLANK(AF107),"En cours",AD107+AF107))</f>
        <v/>
      </c>
      <c r="AK107" s="131" t="str">
        <f>IF(AE107="","",IF(ISBLANK(AH107),"En cours",AE107+AH107))</f>
        <v/>
      </c>
    </row>
    <row r="108" spans="2:37" ht="21" x14ac:dyDescent="0.35"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3" t="str">
        <f>IF(MIN(F108,J108,N108,R108,V108,Z108)&lt;&gt;0,MIN(F108,J108,N108,R108,V108,Z108),"")</f>
        <v/>
      </c>
      <c r="AE108" s="133" t="str">
        <f>IF(MIN(H108,L108,P108,T108,X108,AB108)&lt;&gt;0,MIN(H108,L108,P108,T108,X108,AB108),"")</f>
        <v/>
      </c>
      <c r="AF108" s="133"/>
      <c r="AG108" s="132"/>
      <c r="AH108" s="133"/>
      <c r="AI108" s="132"/>
      <c r="AJ108" s="131" t="str">
        <f>IF(AD108="","",IF(ISBLANK(AF108),"En cours",AD108+AF108))</f>
        <v/>
      </c>
      <c r="AK108" s="131" t="str">
        <f>IF(AE108="","",IF(ISBLANK(AH108),"En cours",AE108+AH108))</f>
        <v/>
      </c>
    </row>
    <row r="109" spans="2:37" ht="21" x14ac:dyDescent="0.35"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3" t="str">
        <f>IF(MIN(F109,J109,N109,R109,V109,Z109)&lt;&gt;0,MIN(F109,J109,N109,R109,V109,Z109),"")</f>
        <v/>
      </c>
      <c r="AE109" s="133" t="str">
        <f>IF(MIN(H109,L109,P109,T109,X109,AB109)&lt;&gt;0,MIN(H109,L109,P109,T109,X109,AB109),"")</f>
        <v/>
      </c>
      <c r="AF109" s="133"/>
      <c r="AG109" s="132"/>
      <c r="AH109" s="133"/>
      <c r="AI109" s="132"/>
      <c r="AJ109" s="131" t="str">
        <f>IF(AD109="","",IF(ISBLANK(AF109),"En cours",AD109+AF109))</f>
        <v/>
      </c>
      <c r="AK109" s="131" t="str">
        <f>IF(AE109="","",IF(ISBLANK(AH109),"En cours",AE109+AH109))</f>
        <v/>
      </c>
    </row>
    <row r="110" spans="2:37" ht="21" x14ac:dyDescent="0.35"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3" t="str">
        <f>IF(MIN(F110,J110,N110,R110,V110,Z110)&lt;&gt;0,MIN(F110,J110,N110,R110,V110,Z110),"")</f>
        <v/>
      </c>
      <c r="AE110" s="133" t="str">
        <f>IF(MIN(H110,L110,P110,T110,X110,AB110)&lt;&gt;0,MIN(H110,L110,P110,T110,X110,AB110),"")</f>
        <v/>
      </c>
      <c r="AF110" s="133"/>
      <c r="AG110" s="132"/>
      <c r="AH110" s="133"/>
      <c r="AI110" s="132"/>
      <c r="AJ110" s="131" t="str">
        <f>IF(AD110="","",IF(ISBLANK(AF110),"En cours",AD110+AF110))</f>
        <v/>
      </c>
      <c r="AK110" s="131" t="str">
        <f>IF(AE110="","",IF(ISBLANK(AH110),"En cours",AE110+AH110))</f>
        <v/>
      </c>
    </row>
    <row r="111" spans="2:37" ht="21" x14ac:dyDescent="0.35"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3" t="str">
        <f>IF(MIN(F111,J111,N111,R111,V111,Z111)&lt;&gt;0,MIN(F111,J111,N111,R111,V111,Z111),"")</f>
        <v/>
      </c>
      <c r="AE111" s="133" t="str">
        <f>IF(MIN(H111,L111,P111,T111,X111,AB111)&lt;&gt;0,MIN(H111,L111,P111,T111,X111,AB111),"")</f>
        <v/>
      </c>
      <c r="AF111" s="133"/>
      <c r="AG111" s="132"/>
      <c r="AH111" s="133"/>
      <c r="AI111" s="132"/>
      <c r="AJ111" s="131" t="str">
        <f>IF(AD111="","",IF(ISBLANK(AF111),"En cours",AD111+AF111))</f>
        <v/>
      </c>
      <c r="AK111" s="131" t="str">
        <f>IF(AE111="","",IF(ISBLANK(AH111),"En cours",AE111+AH111))</f>
        <v/>
      </c>
    </row>
    <row r="112" spans="2:37" ht="21" x14ac:dyDescent="0.35"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3" t="str">
        <f>IF(MIN(F112,J112,N112,R112,V112,Z112)&lt;&gt;0,MIN(F112,J112,N112,R112,V112,Z112),"")</f>
        <v/>
      </c>
      <c r="AE112" s="133" t="str">
        <f>IF(MIN(H112,L112,P112,T112,X112,AB112)&lt;&gt;0,MIN(H112,L112,P112,T112,X112,AB112),"")</f>
        <v/>
      </c>
      <c r="AF112" s="133"/>
      <c r="AG112" s="132"/>
      <c r="AH112" s="133"/>
      <c r="AI112" s="132"/>
      <c r="AJ112" s="131" t="str">
        <f>IF(AD112="","",IF(ISBLANK(AF112),"En cours",AD112+AF112))</f>
        <v/>
      </c>
      <c r="AK112" s="131" t="str">
        <f>IF(AE112="","",IF(ISBLANK(AH112),"En cours",AE112+AH112))</f>
        <v/>
      </c>
    </row>
    <row r="113" spans="2:37" ht="21" x14ac:dyDescent="0.35"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3" t="str">
        <f>IF(MIN(F113,J113,N113,R113,V113,Z113)&lt;&gt;0,MIN(F113,J113,N113,R113,V113,Z113),"")</f>
        <v/>
      </c>
      <c r="AE113" s="133" t="str">
        <f>IF(MIN(H113,L113,P113,T113,X113,AB113)&lt;&gt;0,MIN(H113,L113,P113,T113,X113,AB113),"")</f>
        <v/>
      </c>
      <c r="AF113" s="133"/>
      <c r="AG113" s="132"/>
      <c r="AH113" s="133"/>
      <c r="AI113" s="132"/>
      <c r="AJ113" s="131" t="str">
        <f>IF(AD113="","",IF(ISBLANK(AF113),"En cours",AD113+AF113))</f>
        <v/>
      </c>
      <c r="AK113" s="131" t="str">
        <f>IF(AE113="","",IF(ISBLANK(AH113),"En cours",AE113+AH113))</f>
        <v/>
      </c>
    </row>
    <row r="114" spans="2:37" ht="21" x14ac:dyDescent="0.35"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3" t="str">
        <f>IF(MIN(F114,J114,N114,R114,V114,Z114)&lt;&gt;0,MIN(F114,J114,N114,R114,V114,Z114),"")</f>
        <v/>
      </c>
      <c r="AE114" s="133" t="str">
        <f>IF(MIN(H114,L114,P114,T114,X114,AB114)&lt;&gt;0,MIN(H114,L114,P114,T114,X114,AB114),"")</f>
        <v/>
      </c>
      <c r="AF114" s="133"/>
      <c r="AG114" s="132"/>
      <c r="AH114" s="133"/>
      <c r="AI114" s="132"/>
      <c r="AJ114" s="131" t="str">
        <f>IF(AD114="","",IF(ISBLANK(AF114),"En cours",AD114+AF114))</f>
        <v/>
      </c>
      <c r="AK114" s="131" t="str">
        <f>IF(AE114="","",IF(ISBLANK(AH114),"En cours",AE114+AH114))</f>
        <v/>
      </c>
    </row>
    <row r="115" spans="2:37" ht="21" x14ac:dyDescent="0.35"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3" t="str">
        <f>IF(MIN(F115,J115,N115,R115,V115,Z115)&lt;&gt;0,MIN(F115,J115,N115,R115,V115,Z115),"")</f>
        <v/>
      </c>
      <c r="AE115" s="133" t="str">
        <f>IF(MIN(H115,L115,P115,T115,X115,AB115)&lt;&gt;0,MIN(H115,L115,P115,T115,X115,AB115),"")</f>
        <v/>
      </c>
      <c r="AF115" s="133"/>
      <c r="AG115" s="132"/>
      <c r="AH115" s="133"/>
      <c r="AI115" s="132"/>
      <c r="AJ115" s="131" t="str">
        <f>IF(AD115="","",IF(ISBLANK(AF115),"En cours",AD115+AF115))</f>
        <v/>
      </c>
      <c r="AK115" s="131" t="str">
        <f>IF(AE115="","",IF(ISBLANK(AH115),"En cours",AE115+AH115))</f>
        <v/>
      </c>
    </row>
    <row r="116" spans="2:37" ht="21" x14ac:dyDescent="0.35"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3" t="str">
        <f>IF(MIN(F116,J116,N116,R116,V116,Z116)&lt;&gt;0,MIN(F116,J116,N116,R116,V116,Z116),"")</f>
        <v/>
      </c>
      <c r="AE116" s="133" t="str">
        <f>IF(MIN(H116,L116,P116,T116,X116,AB116)&lt;&gt;0,MIN(H116,L116,P116,T116,X116,AB116),"")</f>
        <v/>
      </c>
      <c r="AF116" s="133"/>
      <c r="AG116" s="132"/>
      <c r="AH116" s="133"/>
      <c r="AI116" s="132"/>
      <c r="AJ116" s="131" t="str">
        <f>IF(AD116="","",IF(ISBLANK(AF116),"En cours",AD116+AF116))</f>
        <v/>
      </c>
      <c r="AK116" s="131" t="str">
        <f>IF(AE116="","",IF(ISBLANK(AH116),"En cours",AE116+AH116))</f>
        <v/>
      </c>
    </row>
    <row r="117" spans="2:37" ht="21" x14ac:dyDescent="0.35"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3" t="str">
        <f>IF(MIN(F117,J117,N117,R117,V117,Z117)&lt;&gt;0,MIN(F117,J117,N117,R117,V117,Z117),"")</f>
        <v/>
      </c>
      <c r="AE117" s="133" t="str">
        <f>IF(MIN(H117,L117,P117,T117,X117,AB117)&lt;&gt;0,MIN(H117,L117,P117,T117,X117,AB117),"")</f>
        <v/>
      </c>
      <c r="AF117" s="133"/>
      <c r="AG117" s="132"/>
      <c r="AH117" s="133"/>
      <c r="AI117" s="132"/>
      <c r="AJ117" s="131" t="str">
        <f>IF(AD117="","",IF(ISBLANK(AF117),"En cours",AD117+AF117))</f>
        <v/>
      </c>
      <c r="AK117" s="131" t="str">
        <f>IF(AE117="","",IF(ISBLANK(AH117),"En cours",AE117+AH117))</f>
        <v/>
      </c>
    </row>
    <row r="118" spans="2:37" ht="21" x14ac:dyDescent="0.35"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3" t="str">
        <f>IF(MIN(F118,J118,N118,R118,V118,Z118)&lt;&gt;0,MIN(F118,J118,N118,R118,V118,Z118),"")</f>
        <v/>
      </c>
      <c r="AE118" s="133" t="str">
        <f>IF(MIN(H118,L118,P118,T118,X118,AB118)&lt;&gt;0,MIN(H118,L118,P118,T118,X118,AB118),"")</f>
        <v/>
      </c>
      <c r="AF118" s="133"/>
      <c r="AG118" s="132"/>
      <c r="AH118" s="133"/>
      <c r="AI118" s="132"/>
      <c r="AJ118" s="131" t="str">
        <f>IF(AD118="","",IF(ISBLANK(AF118),"En cours",AD118+AF118))</f>
        <v/>
      </c>
      <c r="AK118" s="131" t="str">
        <f>IF(AE118="","",IF(ISBLANK(AH118),"En cours",AE118+AH118))</f>
        <v/>
      </c>
    </row>
    <row r="119" spans="2:37" ht="21" x14ac:dyDescent="0.35"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3" t="str">
        <f>IF(MIN(F119,J119,N119,R119,V119,Z119)&lt;&gt;0,MIN(F119,J119,N119,R119,V119,Z119),"")</f>
        <v/>
      </c>
      <c r="AE119" s="133" t="str">
        <f>IF(MIN(H119,L119,P119,T119,X119,AB119)&lt;&gt;0,MIN(H119,L119,P119,T119,X119,AB119),"")</f>
        <v/>
      </c>
      <c r="AF119" s="133"/>
      <c r="AG119" s="132"/>
      <c r="AH119" s="133"/>
      <c r="AI119" s="132"/>
      <c r="AJ119" s="131" t="str">
        <f>IF(AD119="","",IF(ISBLANK(AF119),"En cours",AD119+AF119))</f>
        <v/>
      </c>
      <c r="AK119" s="131" t="str">
        <f>IF(AE119="","",IF(ISBLANK(AH119),"En cours",AE119+AH119))</f>
        <v/>
      </c>
    </row>
    <row r="120" spans="2:37" ht="21" x14ac:dyDescent="0.35"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3" t="str">
        <f>IF(MIN(F120,J120,N120,R120,V120,Z120)&lt;&gt;0,MIN(F120,J120,N120,R120,V120,Z120),"")</f>
        <v/>
      </c>
      <c r="AE120" s="133" t="str">
        <f>IF(MIN(H120,L120,P120,T120,X120,AB120)&lt;&gt;0,MIN(H120,L120,P120,T120,X120,AB120),"")</f>
        <v/>
      </c>
      <c r="AF120" s="133"/>
      <c r="AG120" s="132"/>
      <c r="AH120" s="133"/>
      <c r="AI120" s="132"/>
      <c r="AJ120" s="131" t="str">
        <f>IF(AD120="","",IF(ISBLANK(AF120),"En cours",AD120+AF120))</f>
        <v/>
      </c>
      <c r="AK120" s="131" t="str">
        <f>IF(AE120="","",IF(ISBLANK(AH120),"En cours",AE120+AH120))</f>
        <v/>
      </c>
    </row>
    <row r="121" spans="2:37" ht="21" x14ac:dyDescent="0.35"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3" t="str">
        <f>IF(MIN(F121,J121,N121,R121,V121,Z121)&lt;&gt;0,MIN(F121,J121,N121,R121,V121,Z121),"")</f>
        <v/>
      </c>
      <c r="AE121" s="133" t="str">
        <f>IF(MIN(H121,L121,P121,T121,X121,AB121)&lt;&gt;0,MIN(H121,L121,P121,T121,X121,AB121),"")</f>
        <v/>
      </c>
      <c r="AF121" s="133"/>
      <c r="AG121" s="132"/>
      <c r="AH121" s="133"/>
      <c r="AI121" s="132"/>
      <c r="AJ121" s="131" t="str">
        <f>IF(AD121="","",IF(ISBLANK(AF121),"En cours",AD121+AF121))</f>
        <v/>
      </c>
      <c r="AK121" s="131" t="str">
        <f>IF(AE121="","",IF(ISBLANK(AH121),"En cours",AE121+AH121))</f>
        <v/>
      </c>
    </row>
    <row r="122" spans="2:37" ht="21" x14ac:dyDescent="0.35"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3" t="str">
        <f>IF(MIN(F122,J122,N122,R122,V122,Z122)&lt;&gt;0,MIN(F122,J122,N122,R122,V122,Z122),"")</f>
        <v/>
      </c>
      <c r="AE122" s="133" t="str">
        <f>IF(MIN(H122,L122,P122,T122,X122,AB122)&lt;&gt;0,MIN(H122,L122,P122,T122,X122,AB122),"")</f>
        <v/>
      </c>
      <c r="AF122" s="133"/>
      <c r="AG122" s="132"/>
      <c r="AH122" s="133"/>
      <c r="AI122" s="132"/>
      <c r="AJ122" s="131" t="str">
        <f>IF(AD122="","",IF(ISBLANK(AF122),"En cours",AD122+AF122))</f>
        <v/>
      </c>
      <c r="AK122" s="131" t="str">
        <f>IF(AE122="","",IF(ISBLANK(AH122),"En cours",AE122+AH122))</f>
        <v/>
      </c>
    </row>
    <row r="123" spans="2:37" ht="21" x14ac:dyDescent="0.35"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3" t="str">
        <f>IF(MIN(F123,J123,N123,R123,V123,Z123)&lt;&gt;0,MIN(F123,J123,N123,R123,V123,Z123),"")</f>
        <v/>
      </c>
      <c r="AE123" s="133" t="str">
        <f>IF(MIN(H123,L123,P123,T123,X123,AB123)&lt;&gt;0,MIN(H123,L123,P123,T123,X123,AB123),"")</f>
        <v/>
      </c>
      <c r="AF123" s="133"/>
      <c r="AG123" s="132"/>
      <c r="AH123" s="133"/>
      <c r="AI123" s="132"/>
      <c r="AJ123" s="131" t="str">
        <f>IF(AD123="","",IF(ISBLANK(AF123),"En cours",AD123+AF123))</f>
        <v/>
      </c>
      <c r="AK123" s="131" t="str">
        <f>IF(AE123="","",IF(ISBLANK(AH123),"En cours",AE123+AH123))</f>
        <v/>
      </c>
    </row>
    <row r="124" spans="2:37" ht="21" x14ac:dyDescent="0.35"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3" t="str">
        <f>IF(MIN(F124,J124,N124,R124,V124,Z124)&lt;&gt;0,MIN(F124,J124,N124,R124,V124,Z124),"")</f>
        <v/>
      </c>
      <c r="AE124" s="133" t="str">
        <f>IF(MIN(H124,L124,P124,T124,X124,AB124)&lt;&gt;0,MIN(H124,L124,P124,T124,X124,AB124),"")</f>
        <v/>
      </c>
      <c r="AF124" s="133"/>
      <c r="AG124" s="132"/>
      <c r="AH124" s="133"/>
      <c r="AI124" s="132"/>
      <c r="AJ124" s="131" t="str">
        <f>IF(AD124="","",IF(ISBLANK(AF124),"En cours",AD124+AF124))</f>
        <v/>
      </c>
      <c r="AK124" s="131" t="str">
        <f>IF(AE124="","",IF(ISBLANK(AH124),"En cours",AE124+AH124))</f>
        <v/>
      </c>
    </row>
    <row r="125" spans="2:37" ht="21" x14ac:dyDescent="0.35"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3" t="str">
        <f>IF(MIN(F125,J125,N125,R125,V125,Z125)&lt;&gt;0,MIN(F125,J125,N125,R125,V125,Z125),"")</f>
        <v/>
      </c>
      <c r="AE125" s="133" t="str">
        <f>IF(MIN(H125,L125,P125,T125,X125,AB125)&lt;&gt;0,MIN(H125,L125,P125,T125,X125,AB125),"")</f>
        <v/>
      </c>
      <c r="AF125" s="133"/>
      <c r="AG125" s="132"/>
      <c r="AH125" s="133"/>
      <c r="AI125" s="132"/>
      <c r="AJ125" s="131" t="str">
        <f>IF(AD125="","",IF(ISBLANK(AF125),"En cours",AD125+AF125))</f>
        <v/>
      </c>
      <c r="AK125" s="131" t="str">
        <f>IF(AE125="","",IF(ISBLANK(AH125),"En cours",AE125+AH125))</f>
        <v/>
      </c>
    </row>
    <row r="126" spans="2:37" ht="21" x14ac:dyDescent="0.35"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3" t="str">
        <f>IF(MIN(F126,J126,N126,R126,V126,Z126)&lt;&gt;0,MIN(F126,J126,N126,R126,V126,Z126),"")</f>
        <v/>
      </c>
      <c r="AE126" s="133" t="str">
        <f>IF(MIN(H126,L126,P126,T126,X126,AB126)&lt;&gt;0,MIN(H126,L126,P126,T126,X126,AB126),"")</f>
        <v/>
      </c>
      <c r="AF126" s="133"/>
      <c r="AG126" s="132"/>
      <c r="AH126" s="133"/>
      <c r="AI126" s="132"/>
      <c r="AJ126" s="131" t="str">
        <f>IF(AD126="","",IF(ISBLANK(AF126),"En cours",AD126+AF126))</f>
        <v/>
      </c>
      <c r="AK126" s="131" t="str">
        <f>IF(AE126="","",IF(ISBLANK(AH126),"En cours",AE126+AH126))</f>
        <v/>
      </c>
    </row>
    <row r="127" spans="2:37" ht="21" x14ac:dyDescent="0.35"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3" t="str">
        <f>IF(MIN(F127,J127,N127,R127,V127,Z127)&lt;&gt;0,MIN(F127,J127,N127,R127,V127,Z127),"")</f>
        <v/>
      </c>
      <c r="AE127" s="133" t="str">
        <f>IF(MIN(H127,L127,P127,T127,X127,AB127)&lt;&gt;0,MIN(H127,L127,P127,T127,X127,AB127),"")</f>
        <v/>
      </c>
      <c r="AF127" s="133"/>
      <c r="AG127" s="132"/>
      <c r="AH127" s="133"/>
      <c r="AI127" s="132"/>
      <c r="AJ127" s="131" t="str">
        <f>IF(AD127="","",IF(ISBLANK(AF127),"En cours",AD127+AF127))</f>
        <v/>
      </c>
      <c r="AK127" s="131" t="str">
        <f>IF(AE127="","",IF(ISBLANK(AH127),"En cours",AE127+AH127))</f>
        <v/>
      </c>
    </row>
    <row r="128" spans="2:37" ht="21" x14ac:dyDescent="0.35"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3" t="str">
        <f>IF(MIN(F128,J128,N128,R128,V128,Z128)&lt;&gt;0,MIN(F128,J128,N128,R128,V128,Z128),"")</f>
        <v/>
      </c>
      <c r="AE128" s="133" t="str">
        <f>IF(MIN(H128,L128,P128,T128,X128,AB128)&lt;&gt;0,MIN(H128,L128,P128,T128,X128,AB128),"")</f>
        <v/>
      </c>
      <c r="AF128" s="133"/>
      <c r="AG128" s="132"/>
      <c r="AH128" s="133"/>
      <c r="AI128" s="132"/>
      <c r="AJ128" s="131" t="str">
        <f>IF(AD128="","",IF(ISBLANK(AF128),"En cours",AD128+AF128))</f>
        <v/>
      </c>
      <c r="AK128" s="131" t="str">
        <f>IF(AE128="","",IF(ISBLANK(AH128),"En cours",AE128+AH128))</f>
        <v/>
      </c>
    </row>
    <row r="129" spans="2:37" ht="21" x14ac:dyDescent="0.35"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3" t="str">
        <f>IF(MIN(F129,J129,N129,R129,V129,Z129)&lt;&gt;0,MIN(F129,J129,N129,R129,V129,Z129),"")</f>
        <v/>
      </c>
      <c r="AE129" s="133" t="str">
        <f>IF(MIN(H129,L129,P129,T129,X129,AB129)&lt;&gt;0,MIN(H129,L129,P129,T129,X129,AB129),"")</f>
        <v/>
      </c>
      <c r="AF129" s="133"/>
      <c r="AG129" s="132"/>
      <c r="AH129" s="133"/>
      <c r="AI129" s="132"/>
      <c r="AJ129" s="131" t="str">
        <f>IF(AD129="","",IF(ISBLANK(AF129),"En cours",AD129+AF129))</f>
        <v/>
      </c>
      <c r="AK129" s="131" t="str">
        <f>IF(AE129="","",IF(ISBLANK(AH129),"En cours",AE129+AH129))</f>
        <v/>
      </c>
    </row>
    <row r="130" spans="2:37" ht="21" x14ac:dyDescent="0.35"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3" t="str">
        <f>IF(MIN(F130,J130,N130,R130,V130,Z130)&lt;&gt;0,MIN(F130,J130,N130,R130,V130,Z130),"")</f>
        <v/>
      </c>
      <c r="AE130" s="133" t="str">
        <f>IF(MIN(H130,L130,P130,T130,X130,AB130)&lt;&gt;0,MIN(H130,L130,P130,T130,X130,AB130),"")</f>
        <v/>
      </c>
      <c r="AF130" s="133"/>
      <c r="AG130" s="132"/>
      <c r="AH130" s="133"/>
      <c r="AI130" s="132"/>
      <c r="AJ130" s="131" t="str">
        <f>IF(AD130="","",IF(ISBLANK(AF130),"En cours",AD130+AF130))</f>
        <v/>
      </c>
      <c r="AK130" s="131" t="str">
        <f>IF(AE130="","",IF(ISBLANK(AH130),"En cours",AE130+AH130))</f>
        <v/>
      </c>
    </row>
    <row r="131" spans="2:37" ht="21" x14ac:dyDescent="0.35"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3" t="str">
        <f>IF(MIN(F131,J131,N131,R131,V131,Z131)&lt;&gt;0,MIN(F131,J131,N131,R131,V131,Z131),"")</f>
        <v/>
      </c>
      <c r="AE131" s="133" t="str">
        <f>IF(MIN(H131,L131,P131,T131,X131,AB131)&lt;&gt;0,MIN(H131,L131,P131,T131,X131,AB131),"")</f>
        <v/>
      </c>
      <c r="AF131" s="133"/>
      <c r="AG131" s="132"/>
      <c r="AH131" s="133"/>
      <c r="AI131" s="132"/>
      <c r="AJ131" s="131" t="str">
        <f>IF(AD131="","",IF(ISBLANK(AF131),"En cours",AD131+AF131))</f>
        <v/>
      </c>
      <c r="AK131" s="131" t="str">
        <f>IF(AE131="","",IF(ISBLANK(AH131),"En cours",AE131+AH131))</f>
        <v/>
      </c>
    </row>
    <row r="132" spans="2:37" ht="21" x14ac:dyDescent="0.35"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3" t="str">
        <f>IF(MIN(F132,J132,N132,R132,V132,Z132)&lt;&gt;0,MIN(F132,J132,N132,R132,V132,Z132),"")</f>
        <v/>
      </c>
      <c r="AE132" s="133" t="str">
        <f>IF(MIN(H132,L132,P132,T132,X132,AB132)&lt;&gt;0,MIN(H132,L132,P132,T132,X132,AB132),"")</f>
        <v/>
      </c>
      <c r="AF132" s="133"/>
      <c r="AG132" s="132"/>
      <c r="AH132" s="133"/>
      <c r="AI132" s="132"/>
      <c r="AJ132" s="131" t="str">
        <f>IF(AD132="","",IF(ISBLANK(AF132),"En cours",AD132+AF132))</f>
        <v/>
      </c>
      <c r="AK132" s="131" t="str">
        <f>IF(AE132="","",IF(ISBLANK(AH132),"En cours",AE132+AH132))</f>
        <v/>
      </c>
    </row>
    <row r="133" spans="2:37" ht="21" x14ac:dyDescent="0.35"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3" t="str">
        <f>IF(MIN(F133,J133,N133,R133,V133,Z133)&lt;&gt;0,MIN(F133,J133,N133,R133,V133,Z133),"")</f>
        <v/>
      </c>
      <c r="AE133" s="133" t="str">
        <f>IF(MIN(H133,L133,P133,T133,X133,AB133)&lt;&gt;0,MIN(H133,L133,P133,T133,X133,AB133),"")</f>
        <v/>
      </c>
      <c r="AF133" s="133"/>
      <c r="AG133" s="132"/>
      <c r="AH133" s="133"/>
      <c r="AI133" s="132"/>
      <c r="AJ133" s="131" t="str">
        <f>IF(AD133="","",IF(ISBLANK(AF133),"En cours",AD133+AF133))</f>
        <v/>
      </c>
      <c r="AK133" s="131" t="str">
        <f>IF(AE133="","",IF(ISBLANK(AH133),"En cours",AE133+AH133))</f>
        <v/>
      </c>
    </row>
    <row r="134" spans="2:37" ht="21" x14ac:dyDescent="0.35"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3" t="str">
        <f>IF(MIN(F134,J134,N134,R134,V134,Z134)&lt;&gt;0,MIN(F134,J134,N134,R134,V134,Z134),"")</f>
        <v/>
      </c>
      <c r="AE134" s="133" t="str">
        <f>IF(MIN(H134,L134,P134,T134,X134,AB134)&lt;&gt;0,MIN(H134,L134,P134,T134,X134,AB134),"")</f>
        <v/>
      </c>
      <c r="AF134" s="133"/>
      <c r="AG134" s="132"/>
      <c r="AH134" s="133"/>
      <c r="AI134" s="132"/>
      <c r="AJ134" s="131" t="str">
        <f>IF(AD134="","",IF(ISBLANK(AF134),"En cours",AD134+AF134))</f>
        <v/>
      </c>
      <c r="AK134" s="131" t="str">
        <f>IF(AE134="","",IF(ISBLANK(AH134),"En cours",AE134+AH134))</f>
        <v/>
      </c>
    </row>
    <row r="135" spans="2:37" ht="21" x14ac:dyDescent="0.35"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3" t="str">
        <f>IF(MIN(F135,J135,N135,R135,V135,Z135)&lt;&gt;0,MIN(F135,J135,N135,R135,V135,Z135),"")</f>
        <v/>
      </c>
      <c r="AE135" s="133" t="str">
        <f>IF(MIN(H135,L135,P135,T135,X135,AB135)&lt;&gt;0,MIN(H135,L135,P135,T135,X135,AB135),"")</f>
        <v/>
      </c>
      <c r="AF135" s="133"/>
      <c r="AG135" s="132"/>
      <c r="AH135" s="133"/>
      <c r="AI135" s="132"/>
      <c r="AJ135" s="131" t="str">
        <f>IF(AD135="","",IF(ISBLANK(AF135),"En cours",AD135+AF135))</f>
        <v/>
      </c>
      <c r="AK135" s="131" t="str">
        <f>IF(AE135="","",IF(ISBLANK(AH135),"En cours",AE135+AH135))</f>
        <v/>
      </c>
    </row>
    <row r="136" spans="2:37" ht="21" x14ac:dyDescent="0.35"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3" t="str">
        <f>IF(MIN(F136,J136,N136,R136,V136,Z136)&lt;&gt;0,MIN(F136,J136,N136,R136,V136,Z136),"")</f>
        <v/>
      </c>
      <c r="AE136" s="133" t="str">
        <f>IF(MIN(H136,L136,P136,T136,X136,AB136)&lt;&gt;0,MIN(H136,L136,P136,T136,X136,AB136),"")</f>
        <v/>
      </c>
      <c r="AF136" s="133"/>
      <c r="AG136" s="132"/>
      <c r="AH136" s="133"/>
      <c r="AI136" s="132"/>
      <c r="AJ136" s="131" t="str">
        <f>IF(AD136="","",IF(ISBLANK(AF136),"En cours",AD136+AF136))</f>
        <v/>
      </c>
      <c r="AK136" s="131" t="str">
        <f>IF(AE136="","",IF(ISBLANK(AH136),"En cours",AE136+AH136))</f>
        <v/>
      </c>
    </row>
    <row r="137" spans="2:37" ht="21" x14ac:dyDescent="0.35"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3" t="str">
        <f>IF(MIN(F137,J137,N137,R137,V137,Z137)&lt;&gt;0,MIN(F137,J137,N137,R137,V137,Z137),"")</f>
        <v/>
      </c>
      <c r="AE137" s="133" t="str">
        <f>IF(MIN(H137,L137,P137,T137,X137,AB137)&lt;&gt;0,MIN(H137,L137,P137,T137,X137,AB137),"")</f>
        <v/>
      </c>
      <c r="AF137" s="133"/>
      <c r="AG137" s="132"/>
      <c r="AH137" s="133"/>
      <c r="AI137" s="132"/>
      <c r="AJ137" s="131" t="str">
        <f>IF(AD137="","",IF(ISBLANK(AF137),"En cours",AD137+AF137))</f>
        <v/>
      </c>
      <c r="AK137" s="131" t="str">
        <f>IF(AE137="","",IF(ISBLANK(AH137),"En cours",AE137+AH137))</f>
        <v/>
      </c>
    </row>
    <row r="138" spans="2:37" ht="21" x14ac:dyDescent="0.35"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3" t="str">
        <f>IF(MIN(F138,J138,N138,R138,V138,Z138)&lt;&gt;0,MIN(F138,J138,N138,R138,V138,Z138),"")</f>
        <v/>
      </c>
      <c r="AE138" s="133" t="str">
        <f>IF(MIN(H138,L138,P138,T138,X138,AB138)&lt;&gt;0,MIN(H138,L138,P138,T138,X138,AB138),"")</f>
        <v/>
      </c>
      <c r="AF138" s="133"/>
      <c r="AG138" s="132"/>
      <c r="AH138" s="133"/>
      <c r="AI138" s="132"/>
      <c r="AJ138" s="131" t="str">
        <f>IF(AD138="","",IF(ISBLANK(AF138),"En cours",AD138+AF138))</f>
        <v/>
      </c>
      <c r="AK138" s="131" t="str">
        <f>IF(AE138="","",IF(ISBLANK(AH138),"En cours",AE138+AH138))</f>
        <v/>
      </c>
    </row>
    <row r="139" spans="2:37" ht="21" x14ac:dyDescent="0.35"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3" t="str">
        <f>IF(MIN(F139,J139,N139,R139,V139,Z139)&lt;&gt;0,MIN(F139,J139,N139,R139,V139,Z139),"")</f>
        <v/>
      </c>
      <c r="AE139" s="133" t="str">
        <f>IF(MIN(H139,L139,P139,T139,X139,AB139)&lt;&gt;0,MIN(H139,L139,P139,T139,X139,AB139),"")</f>
        <v/>
      </c>
      <c r="AF139" s="133"/>
      <c r="AG139" s="132"/>
      <c r="AH139" s="133"/>
      <c r="AI139" s="132"/>
      <c r="AJ139" s="131" t="str">
        <f>IF(AD139="","",IF(ISBLANK(AF139),"En cours",AD139+AF139))</f>
        <v/>
      </c>
      <c r="AK139" s="131" t="str">
        <f>IF(AE139="","",IF(ISBLANK(AH139),"En cours",AE139+AH139))</f>
        <v/>
      </c>
    </row>
    <row r="140" spans="2:37" ht="21" x14ac:dyDescent="0.35"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3" t="str">
        <f>IF(MIN(F140,J140,N140,R140,V140,Z140)&lt;&gt;0,MIN(F140,J140,N140,R140,V140,Z140),"")</f>
        <v/>
      </c>
      <c r="AE140" s="133" t="str">
        <f>IF(MIN(H140,L140,P140,T140,X140,AB140)&lt;&gt;0,MIN(H140,L140,P140,T140,X140,AB140),"")</f>
        <v/>
      </c>
      <c r="AF140" s="133"/>
      <c r="AG140" s="132"/>
      <c r="AH140" s="133"/>
      <c r="AI140" s="132"/>
      <c r="AJ140" s="131" t="str">
        <f>IF(AD140="","",IF(ISBLANK(AF140),"En cours",AD140+AF140))</f>
        <v/>
      </c>
      <c r="AK140" s="131" t="str">
        <f>IF(AE140="","",IF(ISBLANK(AH140),"En cours",AE140+AH140))</f>
        <v/>
      </c>
    </row>
    <row r="141" spans="2:37" ht="21" x14ac:dyDescent="0.35"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3" t="str">
        <f>IF(MIN(F141,J141,N141,R141,V141,Z141)&lt;&gt;0,MIN(F141,J141,N141,R141,V141,Z141),"")</f>
        <v/>
      </c>
      <c r="AE141" s="133" t="str">
        <f>IF(MIN(H141,L141,P141,T141,X141,AB141)&lt;&gt;0,MIN(H141,L141,P141,T141,X141,AB141),"")</f>
        <v/>
      </c>
      <c r="AF141" s="133"/>
      <c r="AG141" s="132"/>
      <c r="AH141" s="133"/>
      <c r="AI141" s="132"/>
      <c r="AJ141" s="131" t="str">
        <f>IF(AD141="","",IF(ISBLANK(AF141),"En cours",AD141+AF141))</f>
        <v/>
      </c>
      <c r="AK141" s="131" t="str">
        <f>IF(AE141="","",IF(ISBLANK(AH141),"En cours",AE141+AH141))</f>
        <v/>
      </c>
    </row>
    <row r="142" spans="2:37" ht="21" x14ac:dyDescent="0.35"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3" t="str">
        <f>IF(MIN(F142,J142,N142,R142,V142,Z142)&lt;&gt;0,MIN(F142,J142,N142,R142,V142,Z142),"")</f>
        <v/>
      </c>
      <c r="AE142" s="133" t="str">
        <f>IF(MIN(H142,L142,P142,T142,X142,AB142)&lt;&gt;0,MIN(H142,L142,P142,T142,X142,AB142),"")</f>
        <v/>
      </c>
      <c r="AF142" s="133"/>
      <c r="AG142" s="132"/>
      <c r="AH142" s="133"/>
      <c r="AI142" s="132"/>
      <c r="AJ142" s="131" t="str">
        <f>IF(AD142="","",IF(ISBLANK(AF142),"En cours",AD142+AF142))</f>
        <v/>
      </c>
      <c r="AK142" s="131" t="str">
        <f>IF(AE142="","",IF(ISBLANK(AH142),"En cours",AE142+AH142))</f>
        <v/>
      </c>
    </row>
    <row r="143" spans="2:37" ht="21" x14ac:dyDescent="0.35"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3" t="str">
        <f>IF(MIN(F143,J143,N143,R143,V143,Z143)&lt;&gt;0,MIN(F143,J143,N143,R143,V143,Z143),"")</f>
        <v/>
      </c>
      <c r="AE143" s="133" t="str">
        <f>IF(MIN(H143,L143,P143,T143,X143,AB143)&lt;&gt;0,MIN(H143,L143,P143,T143,X143,AB143),"")</f>
        <v/>
      </c>
      <c r="AF143" s="133"/>
      <c r="AG143" s="132"/>
      <c r="AH143" s="133"/>
      <c r="AI143" s="132"/>
      <c r="AJ143" s="131" t="str">
        <f>IF(AD143="","",IF(ISBLANK(AF143),"En cours",AD143+AF143))</f>
        <v/>
      </c>
      <c r="AK143" s="131" t="str">
        <f>IF(AE143="","",IF(ISBLANK(AH143),"En cours",AE143+AH143))</f>
        <v/>
      </c>
    </row>
    <row r="144" spans="2:37" ht="21" x14ac:dyDescent="0.35"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3" t="str">
        <f>IF(MIN(F144,J144,N144,R144,V144,Z144)&lt;&gt;0,MIN(F144,J144,N144,R144,V144,Z144),"")</f>
        <v/>
      </c>
      <c r="AE144" s="133" t="str">
        <f>IF(MIN(H144,L144,P144,T144,X144,AB144)&lt;&gt;0,MIN(H144,L144,P144,T144,X144,AB144),"")</f>
        <v/>
      </c>
      <c r="AF144" s="133"/>
      <c r="AG144" s="132"/>
      <c r="AH144" s="133"/>
      <c r="AI144" s="132"/>
      <c r="AJ144" s="131" t="str">
        <f>IF(AD144="","",IF(ISBLANK(AF144),"En cours",AD144+AF144))</f>
        <v/>
      </c>
      <c r="AK144" s="131" t="str">
        <f>IF(AE144="","",IF(ISBLANK(AH144),"En cours",AE144+AH144))</f>
        <v/>
      </c>
    </row>
    <row r="145" spans="2:37" ht="21" x14ac:dyDescent="0.35"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3" t="str">
        <f>IF(MIN(F145,J145,N145,R145,V145,Z145)&lt;&gt;0,MIN(F145,J145,N145,R145,V145,Z145),"")</f>
        <v/>
      </c>
      <c r="AE145" s="133" t="str">
        <f>IF(MIN(H145,L145,P145,T145,X145,AB145)&lt;&gt;0,MIN(H145,L145,P145,T145,X145,AB145),"")</f>
        <v/>
      </c>
      <c r="AF145" s="133"/>
      <c r="AG145" s="132"/>
      <c r="AH145" s="133"/>
      <c r="AI145" s="132"/>
      <c r="AJ145" s="131" t="str">
        <f>IF(AD145="","",IF(ISBLANK(AF145),"En cours",AD145+AF145))</f>
        <v/>
      </c>
      <c r="AK145" s="131" t="str">
        <f>IF(AE145="","",IF(ISBLANK(AH145),"En cours",AE145+AH145))</f>
        <v/>
      </c>
    </row>
    <row r="146" spans="2:37" ht="21" x14ac:dyDescent="0.35"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3" t="str">
        <f>IF(MIN(F146,J146,N146,R146,V146,Z146)&lt;&gt;0,MIN(F146,J146,N146,R146,V146,Z146),"")</f>
        <v/>
      </c>
      <c r="AE146" s="133" t="str">
        <f>IF(MIN(H146,L146,P146,T146,X146,AB146)&lt;&gt;0,MIN(H146,L146,P146,T146,X146,AB146),"")</f>
        <v/>
      </c>
      <c r="AF146" s="133"/>
      <c r="AG146" s="132"/>
      <c r="AH146" s="133"/>
      <c r="AI146" s="132"/>
      <c r="AJ146" s="131" t="str">
        <f>IF(AD146="","",IF(ISBLANK(AF146),"En cours",AD146+AF146))</f>
        <v/>
      </c>
      <c r="AK146" s="131" t="str">
        <f>IF(AE146="","",IF(ISBLANK(AH146),"En cours",AE146+AH146))</f>
        <v/>
      </c>
    </row>
    <row r="147" spans="2:37" ht="21" x14ac:dyDescent="0.35"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3" t="str">
        <f>IF(MIN(F147,J147,N147,R147,V147,Z147)&lt;&gt;0,MIN(F147,J147,N147,R147,V147,Z147),"")</f>
        <v/>
      </c>
      <c r="AE147" s="133" t="str">
        <f>IF(MIN(H147,L147,P147,T147,X147,AB147)&lt;&gt;0,MIN(H147,L147,P147,T147,X147,AB147),"")</f>
        <v/>
      </c>
      <c r="AF147" s="133"/>
      <c r="AG147" s="132"/>
      <c r="AH147" s="133"/>
      <c r="AI147" s="132"/>
      <c r="AJ147" s="131" t="str">
        <f>IF(AD147="","",IF(ISBLANK(AF147),"En cours",AD147+AF147))</f>
        <v/>
      </c>
      <c r="AK147" s="131" t="str">
        <f>IF(AE147="","",IF(ISBLANK(AH147),"En cours",AE147+AH147))</f>
        <v/>
      </c>
    </row>
    <row r="148" spans="2:37" ht="21" x14ac:dyDescent="0.35"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3" t="str">
        <f>IF(MIN(F148,J148,N148,R148,V148,Z148)&lt;&gt;0,MIN(F148,J148,N148,R148,V148,Z148),"")</f>
        <v/>
      </c>
      <c r="AE148" s="133" t="str">
        <f>IF(MIN(H148,L148,P148,T148,X148,AB148)&lt;&gt;0,MIN(H148,L148,P148,T148,X148,AB148),"")</f>
        <v/>
      </c>
      <c r="AF148" s="133"/>
      <c r="AG148" s="132"/>
      <c r="AH148" s="133"/>
      <c r="AI148" s="132"/>
      <c r="AJ148" s="131" t="str">
        <f>IF(AD148="","",IF(ISBLANK(AF148),"En cours",AD148+AF148))</f>
        <v/>
      </c>
      <c r="AK148" s="131" t="str">
        <f>IF(AE148="","",IF(ISBLANK(AH148),"En cours",AE148+AH148))</f>
        <v/>
      </c>
    </row>
    <row r="149" spans="2:37" ht="21" x14ac:dyDescent="0.35"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3" t="str">
        <f>IF(MIN(F149,J149,N149,R149,V149,Z149)&lt;&gt;0,MIN(F149,J149,N149,R149,V149,Z149),"")</f>
        <v/>
      </c>
      <c r="AE149" s="133" t="str">
        <f>IF(MIN(H149,L149,P149,T149,X149,AB149)&lt;&gt;0,MIN(H149,L149,P149,T149,X149,AB149),"")</f>
        <v/>
      </c>
      <c r="AF149" s="133"/>
      <c r="AG149" s="132"/>
      <c r="AH149" s="133"/>
      <c r="AI149" s="132"/>
      <c r="AJ149" s="131" t="str">
        <f>IF(AD149="","",IF(ISBLANK(AF149),"En cours",AD149+AF149))</f>
        <v/>
      </c>
      <c r="AK149" s="131" t="str">
        <f>IF(AE149="","",IF(ISBLANK(AH149),"En cours",AE149+AH149))</f>
        <v/>
      </c>
    </row>
    <row r="150" spans="2:37" ht="21" x14ac:dyDescent="0.35"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3" t="str">
        <f>IF(MIN(F150,J150,N150,R150,V150,Z150)&lt;&gt;0,MIN(F150,J150,N150,R150,V150,Z150),"")</f>
        <v/>
      </c>
      <c r="AE150" s="133" t="str">
        <f>IF(MIN(H150,L150,P150,T150,X150,AB150)&lt;&gt;0,MIN(H150,L150,P150,T150,X150,AB150),"")</f>
        <v/>
      </c>
      <c r="AF150" s="133"/>
      <c r="AG150" s="132"/>
      <c r="AH150" s="133"/>
      <c r="AI150" s="132"/>
      <c r="AJ150" s="131" t="str">
        <f>IF(AD150="","",IF(ISBLANK(AF150),"En cours",AD150+AF150))</f>
        <v/>
      </c>
      <c r="AK150" s="131" t="str">
        <f>IF(AE150="","",IF(ISBLANK(AH150),"En cours",AE150+AH150))</f>
        <v/>
      </c>
    </row>
    <row r="151" spans="2:37" ht="21" x14ac:dyDescent="0.35"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3" t="str">
        <f>IF(MIN(F151,J151,N151,R151,V151,Z151)&lt;&gt;0,MIN(F151,J151,N151,R151,V151,Z151),"")</f>
        <v/>
      </c>
      <c r="AE151" s="133" t="str">
        <f>IF(MIN(H151,L151,P151,T151,X151,AB151)&lt;&gt;0,MIN(H151,L151,P151,T151,X151,AB151),"")</f>
        <v/>
      </c>
      <c r="AF151" s="133"/>
      <c r="AG151" s="132"/>
      <c r="AH151" s="133"/>
      <c r="AI151" s="132"/>
      <c r="AJ151" s="131" t="str">
        <f>IF(AD151="","",IF(ISBLANK(AF151),"En cours",AD151+AF151))</f>
        <v/>
      </c>
      <c r="AK151" s="131" t="str">
        <f>IF(AE151="","",IF(ISBLANK(AH151),"En cours",AE151+AH151))</f>
        <v/>
      </c>
    </row>
    <row r="152" spans="2:37" ht="21" x14ac:dyDescent="0.35"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3" t="str">
        <f>IF(MIN(F152,J152,N152,R152,V152,Z152)&lt;&gt;0,MIN(F152,J152,N152,R152,V152,Z152),"")</f>
        <v/>
      </c>
      <c r="AE152" s="133" t="str">
        <f>IF(MIN(H152,L152,P152,T152,X152,AB152)&lt;&gt;0,MIN(H152,L152,P152,T152,X152,AB152),"")</f>
        <v/>
      </c>
      <c r="AF152" s="133"/>
      <c r="AG152" s="132"/>
      <c r="AH152" s="133"/>
      <c r="AI152" s="132"/>
      <c r="AJ152" s="131" t="str">
        <f>IF(AD152="","",IF(ISBLANK(AF152),"En cours",AD152+AF152))</f>
        <v/>
      </c>
      <c r="AK152" s="131" t="str">
        <f>IF(AE152="","",IF(ISBLANK(AH152),"En cours",AE152+AH152))</f>
        <v/>
      </c>
    </row>
    <row r="153" spans="2:37" ht="21" x14ac:dyDescent="0.35"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3" t="str">
        <f>IF(MIN(F153,J153,N153,R153,V153,Z153)&lt;&gt;0,MIN(F153,J153,N153,R153,V153,Z153),"")</f>
        <v/>
      </c>
      <c r="AE153" s="133" t="str">
        <f>IF(MIN(H153,L153,P153,T153,X153,AB153)&lt;&gt;0,MIN(H153,L153,P153,T153,X153,AB153),"")</f>
        <v/>
      </c>
      <c r="AF153" s="133"/>
      <c r="AG153" s="132"/>
      <c r="AH153" s="133"/>
      <c r="AI153" s="132"/>
      <c r="AJ153" s="131" t="str">
        <f>IF(AD153="","",IF(ISBLANK(AF153),"En cours",AD153+AF153))</f>
        <v/>
      </c>
      <c r="AK153" s="131" t="str">
        <f>IF(AE153="","",IF(ISBLANK(AH153),"En cours",AE153+AH153))</f>
        <v/>
      </c>
    </row>
    <row r="154" spans="2:37" ht="21" x14ac:dyDescent="0.35"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3" t="str">
        <f>IF(MIN(F154,J154,N154,R154,V154,Z154)&lt;&gt;0,MIN(F154,J154,N154,R154,V154,Z154),"")</f>
        <v/>
      </c>
      <c r="AE154" s="133" t="str">
        <f>IF(MIN(H154,L154,P154,T154,X154,AB154)&lt;&gt;0,MIN(H154,L154,P154,T154,X154,AB154),"")</f>
        <v/>
      </c>
      <c r="AF154" s="133"/>
      <c r="AG154" s="132"/>
      <c r="AH154" s="133"/>
      <c r="AI154" s="132"/>
      <c r="AJ154" s="131" t="str">
        <f>IF(AD154="","",IF(ISBLANK(AF154),"En cours",AD154+AF154))</f>
        <v/>
      </c>
      <c r="AK154" s="131" t="str">
        <f>IF(AE154="","",IF(ISBLANK(AH154),"En cours",AE154+AH154))</f>
        <v/>
      </c>
    </row>
    <row r="155" spans="2:37" ht="21" x14ac:dyDescent="0.35"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3" t="str">
        <f>IF(MIN(F155,J155,N155,R155,V155,Z155)&lt;&gt;0,MIN(F155,J155,N155,R155,V155,Z155),"")</f>
        <v/>
      </c>
      <c r="AE155" s="133" t="str">
        <f>IF(MIN(H155,L155,P155,T155,X155,AB155)&lt;&gt;0,MIN(H155,L155,P155,T155,X155,AB155),"")</f>
        <v/>
      </c>
      <c r="AF155" s="133"/>
      <c r="AG155" s="132"/>
      <c r="AH155" s="133"/>
      <c r="AI155" s="132"/>
      <c r="AJ155" s="131" t="str">
        <f>IF(AD155="","",IF(ISBLANK(AF155),"En cours",AD155+AF155))</f>
        <v/>
      </c>
      <c r="AK155" s="131" t="str">
        <f>IF(AE155="","",IF(ISBLANK(AH155),"En cours",AE155+AH155))</f>
        <v/>
      </c>
    </row>
    <row r="156" spans="2:37" ht="21" x14ac:dyDescent="0.35"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3" t="str">
        <f>IF(MIN(F156,J156,N156,R156,V156,Z156)&lt;&gt;0,MIN(F156,J156,N156,R156,V156,Z156),"")</f>
        <v/>
      </c>
      <c r="AE156" s="133" t="str">
        <f>IF(MIN(H156,L156,P156,T156,X156,AB156)&lt;&gt;0,MIN(H156,L156,P156,T156,X156,AB156),"")</f>
        <v/>
      </c>
      <c r="AF156" s="133"/>
      <c r="AG156" s="132"/>
      <c r="AH156" s="133"/>
      <c r="AI156" s="132"/>
      <c r="AJ156" s="131" t="str">
        <f>IF(AD156="","",IF(ISBLANK(AF156),"En cours",AD156+AF156))</f>
        <v/>
      </c>
      <c r="AK156" s="131" t="str">
        <f>IF(AE156="","",IF(ISBLANK(AH156),"En cours",AE156+AH156))</f>
        <v/>
      </c>
    </row>
    <row r="157" spans="2:37" ht="21" x14ac:dyDescent="0.35"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3" t="str">
        <f>IF(MIN(F157,J157,N157,R157,V157,Z157)&lt;&gt;0,MIN(F157,J157,N157,R157,V157,Z157),"")</f>
        <v/>
      </c>
      <c r="AE157" s="133" t="str">
        <f>IF(MIN(H157,L157,P157,T157,X157,AB157)&lt;&gt;0,MIN(H157,L157,P157,T157,X157,AB157),"")</f>
        <v/>
      </c>
      <c r="AF157" s="133"/>
      <c r="AG157" s="132"/>
      <c r="AH157" s="133"/>
      <c r="AI157" s="132"/>
      <c r="AJ157" s="131" t="str">
        <f>IF(AD157="","",IF(ISBLANK(AF157),"En cours",AD157+AF157))</f>
        <v/>
      </c>
      <c r="AK157" s="131" t="str">
        <f>IF(AE157="","",IF(ISBLANK(AH157),"En cours",AE157+AH157))</f>
        <v/>
      </c>
    </row>
    <row r="158" spans="2:37" ht="21" x14ac:dyDescent="0.35"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3" t="str">
        <f>IF(MIN(F158,J158,N158,R158,V158,Z158)&lt;&gt;0,MIN(F158,J158,N158,R158,V158,Z158),"")</f>
        <v/>
      </c>
      <c r="AE158" s="133" t="str">
        <f>IF(MIN(H158,L158,P158,T158,X158,AB158)&lt;&gt;0,MIN(H158,L158,P158,T158,X158,AB158),"")</f>
        <v/>
      </c>
      <c r="AF158" s="133"/>
      <c r="AG158" s="132"/>
      <c r="AH158" s="133"/>
      <c r="AI158" s="132"/>
      <c r="AJ158" s="131" t="str">
        <f>IF(AD158="","",IF(ISBLANK(AF158),"En cours",AD158+AF158))</f>
        <v/>
      </c>
      <c r="AK158" s="131" t="str">
        <f>IF(AE158="","",IF(ISBLANK(AH158),"En cours",AE158+AH158))</f>
        <v/>
      </c>
    </row>
    <row r="159" spans="2:37" ht="21" x14ac:dyDescent="0.35"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3" t="str">
        <f>IF(MIN(F159,J159,N159,R159,V159,Z159)&lt;&gt;0,MIN(F159,J159,N159,R159,V159,Z159),"")</f>
        <v/>
      </c>
      <c r="AE159" s="133" t="str">
        <f>IF(MIN(H159,L159,P159,T159,X159,AB159)&lt;&gt;0,MIN(H159,L159,P159,T159,X159,AB159),"")</f>
        <v/>
      </c>
      <c r="AF159" s="133"/>
      <c r="AG159" s="132"/>
      <c r="AH159" s="133"/>
      <c r="AI159" s="132"/>
      <c r="AJ159" s="131" t="str">
        <f>IF(AD159="","",IF(ISBLANK(AF159),"En cours",AD159+AF159))</f>
        <v/>
      </c>
      <c r="AK159" s="131" t="str">
        <f>IF(AE159="","",IF(ISBLANK(AH159),"En cours",AE159+AH159))</f>
        <v/>
      </c>
    </row>
    <row r="160" spans="2:37" ht="21" x14ac:dyDescent="0.35"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3" t="str">
        <f>IF(MIN(F160,J160,N160,R160,V160,Z160)&lt;&gt;0,MIN(F160,J160,N160,R160,V160,Z160),"")</f>
        <v/>
      </c>
      <c r="AE160" s="133" t="str">
        <f>IF(MIN(H160,L160,P160,T160,X160,AB160)&lt;&gt;0,MIN(H160,L160,P160,T160,X160,AB160),"")</f>
        <v/>
      </c>
      <c r="AF160" s="133"/>
      <c r="AG160" s="132"/>
      <c r="AH160" s="133"/>
      <c r="AI160" s="132"/>
      <c r="AJ160" s="131" t="str">
        <f>IF(AD160="","",IF(ISBLANK(AF160),"En cours",AD160+AF160))</f>
        <v/>
      </c>
      <c r="AK160" s="131" t="str">
        <f>IF(AE160="","",IF(ISBLANK(AH160),"En cours",AE160+AH160))</f>
        <v/>
      </c>
    </row>
    <row r="161" spans="2:37" ht="21" x14ac:dyDescent="0.35"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3" t="str">
        <f>IF(MIN(F161,J161,N161,R161,V161,Z161)&lt;&gt;0,MIN(F161,J161,N161,R161,V161,Z161),"")</f>
        <v/>
      </c>
      <c r="AE161" s="133" t="str">
        <f>IF(MIN(H161,L161,P161,T161,X161,AB161)&lt;&gt;0,MIN(H161,L161,P161,T161,X161,AB161),"")</f>
        <v/>
      </c>
      <c r="AF161" s="133"/>
      <c r="AG161" s="132"/>
      <c r="AH161" s="133"/>
      <c r="AI161" s="132"/>
      <c r="AJ161" s="131" t="str">
        <f>IF(AD161="","",IF(ISBLANK(AF161),"En cours",AD161+AF161))</f>
        <v/>
      </c>
      <c r="AK161" s="131" t="str">
        <f>IF(AE161="","",IF(ISBLANK(AH161),"En cours",AE161+AH161))</f>
        <v/>
      </c>
    </row>
    <row r="162" spans="2:37" ht="21" x14ac:dyDescent="0.35"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3" t="str">
        <f>IF(MIN(F162,J162,N162,R162,V162,Z162)&lt;&gt;0,MIN(F162,J162,N162,R162,V162,Z162),"")</f>
        <v/>
      </c>
      <c r="AE162" s="133" t="str">
        <f>IF(MIN(H162,L162,P162,T162,X162,AB162)&lt;&gt;0,MIN(H162,L162,P162,T162,X162,AB162),"")</f>
        <v/>
      </c>
      <c r="AF162" s="133"/>
      <c r="AG162" s="132"/>
      <c r="AH162" s="133"/>
      <c r="AI162" s="132"/>
      <c r="AJ162" s="131" t="str">
        <f>IF(AD162="","",IF(ISBLANK(AF162),"En cours",AD162+AF162))</f>
        <v/>
      </c>
      <c r="AK162" s="131" t="str">
        <f>IF(AE162="","",IF(ISBLANK(AH162),"En cours",AE162+AH162))</f>
        <v/>
      </c>
    </row>
    <row r="163" spans="2:37" ht="21" x14ac:dyDescent="0.35"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3" t="str">
        <f>IF(MIN(F163,J163,N163,R163,V163,Z163)&lt;&gt;0,MIN(F163,J163,N163,R163,V163,Z163),"")</f>
        <v/>
      </c>
      <c r="AE163" s="133" t="str">
        <f>IF(MIN(H163,L163,P163,T163,X163,AB163)&lt;&gt;0,MIN(H163,L163,P163,T163,X163,AB163),"")</f>
        <v/>
      </c>
      <c r="AF163" s="133"/>
      <c r="AG163" s="132"/>
      <c r="AH163" s="133"/>
      <c r="AI163" s="132"/>
      <c r="AJ163" s="131" t="str">
        <f>IF(AD163="","",IF(ISBLANK(AF163),"En cours",AD163+AF163))</f>
        <v/>
      </c>
      <c r="AK163" s="131" t="str">
        <f>IF(AE163="","",IF(ISBLANK(AH163),"En cours",AE163+AH163))</f>
        <v/>
      </c>
    </row>
    <row r="164" spans="2:37" ht="21" x14ac:dyDescent="0.35"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3" t="str">
        <f>IF(MIN(F164,J164,N164,R164,V164,Z164)&lt;&gt;0,MIN(F164,J164,N164,R164,V164,Z164),"")</f>
        <v/>
      </c>
      <c r="AE164" s="133" t="str">
        <f>IF(MIN(H164,L164,P164,T164,X164,AB164)&lt;&gt;0,MIN(H164,L164,P164,T164,X164,AB164),"")</f>
        <v/>
      </c>
      <c r="AF164" s="133"/>
      <c r="AG164" s="132"/>
      <c r="AH164" s="133"/>
      <c r="AI164" s="132"/>
      <c r="AJ164" s="131" t="str">
        <f>IF(AD164="","",IF(ISBLANK(AF164),"En cours",AD164+AF164))</f>
        <v/>
      </c>
      <c r="AK164" s="131" t="str">
        <f>IF(AE164="","",IF(ISBLANK(AH164),"En cours",AE164+AH164))</f>
        <v/>
      </c>
    </row>
    <row r="165" spans="2:37" ht="21" x14ac:dyDescent="0.35"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3" t="str">
        <f>IF(MIN(F165,J165,N165,R165,V165,Z165)&lt;&gt;0,MIN(F165,J165,N165,R165,V165,Z165),"")</f>
        <v/>
      </c>
      <c r="AE165" s="133" t="str">
        <f>IF(MIN(H165,L165,P165,T165,X165,AB165)&lt;&gt;0,MIN(H165,L165,P165,T165,X165,AB165),"")</f>
        <v/>
      </c>
      <c r="AF165" s="133"/>
      <c r="AG165" s="132"/>
      <c r="AH165" s="133"/>
      <c r="AI165" s="132"/>
      <c r="AJ165" s="131" t="str">
        <f>IF(AD165="","",IF(ISBLANK(AF165),"En cours",AD165+AF165))</f>
        <v/>
      </c>
      <c r="AK165" s="131" t="str">
        <f>IF(AE165="","",IF(ISBLANK(AH165),"En cours",AE165+AH165))</f>
        <v/>
      </c>
    </row>
    <row r="166" spans="2:37" ht="21" x14ac:dyDescent="0.35"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3" t="str">
        <f>IF(MIN(F166,J166,N166,R166,V166,Z166)&lt;&gt;0,MIN(F166,J166,N166,R166,V166,Z166),"")</f>
        <v/>
      </c>
      <c r="AE166" s="133" t="str">
        <f>IF(MIN(H166,L166,P166,T166,X166,AB166)&lt;&gt;0,MIN(H166,L166,P166,T166,X166,AB166),"")</f>
        <v/>
      </c>
      <c r="AF166" s="133"/>
      <c r="AG166" s="132"/>
      <c r="AH166" s="133"/>
      <c r="AI166" s="132"/>
      <c r="AJ166" s="131" t="str">
        <f>IF(AD166="","",IF(ISBLANK(AF166),"En cours",AD166+AF166))</f>
        <v/>
      </c>
      <c r="AK166" s="131" t="str">
        <f>IF(AE166="","",IF(ISBLANK(AH166),"En cours",AE166+AH166))</f>
        <v/>
      </c>
    </row>
    <row r="167" spans="2:37" ht="21" x14ac:dyDescent="0.35"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3" t="str">
        <f>IF(MIN(F167,J167,N167,R167,V167,Z167)&lt;&gt;0,MIN(F167,J167,N167,R167,V167,Z167),"")</f>
        <v/>
      </c>
      <c r="AE167" s="133" t="str">
        <f>IF(MIN(H167,L167,P167,T167,X167,AB167)&lt;&gt;0,MIN(H167,L167,P167,T167,X167,AB167),"")</f>
        <v/>
      </c>
      <c r="AF167" s="133"/>
      <c r="AG167" s="132"/>
      <c r="AH167" s="133"/>
      <c r="AI167" s="132"/>
      <c r="AJ167" s="131" t="str">
        <f>IF(AD167="","",IF(ISBLANK(AF167),"En cours",AD167+AF167))</f>
        <v/>
      </c>
      <c r="AK167" s="131" t="str">
        <f>IF(AE167="","",IF(ISBLANK(AH167),"En cours",AE167+AH167))</f>
        <v/>
      </c>
    </row>
    <row r="168" spans="2:37" ht="21" x14ac:dyDescent="0.35"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3" t="str">
        <f>IF(MIN(F168,J168,N168,R168,V168,Z168)&lt;&gt;0,MIN(F168,J168,N168,R168,V168,Z168),"")</f>
        <v/>
      </c>
      <c r="AE168" s="133" t="str">
        <f>IF(MIN(H168,L168,P168,T168,X168,AB168)&lt;&gt;0,MIN(H168,L168,P168,T168,X168,AB168),"")</f>
        <v/>
      </c>
      <c r="AF168" s="133"/>
      <c r="AG168" s="132"/>
      <c r="AH168" s="133"/>
      <c r="AI168" s="132"/>
      <c r="AJ168" s="131" t="str">
        <f>IF(AD168="","",IF(ISBLANK(AF168),"En cours",AD168+AF168))</f>
        <v/>
      </c>
      <c r="AK168" s="131" t="str">
        <f>IF(AE168="","",IF(ISBLANK(AH168),"En cours",AE168+AH168))</f>
        <v/>
      </c>
    </row>
    <row r="169" spans="2:37" ht="21" x14ac:dyDescent="0.35"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3" t="str">
        <f>IF(MIN(F169,J169,N169,R169,V169,Z169)&lt;&gt;0,MIN(F169,J169,N169,R169,V169,Z169),"")</f>
        <v/>
      </c>
      <c r="AE169" s="133" t="str">
        <f>IF(MIN(H169,L169,P169,T169,X169,AB169)&lt;&gt;0,MIN(H169,L169,P169,T169,X169,AB169),"")</f>
        <v/>
      </c>
      <c r="AF169" s="133"/>
      <c r="AG169" s="132"/>
      <c r="AH169" s="133"/>
      <c r="AI169" s="132"/>
      <c r="AJ169" s="131" t="str">
        <f>IF(AD169="","",IF(ISBLANK(AF169),"En cours",AD169+AF169))</f>
        <v/>
      </c>
      <c r="AK169" s="131" t="str">
        <f>IF(AE169="","",IF(ISBLANK(AH169),"En cours",AE169+AH169))</f>
        <v/>
      </c>
    </row>
    <row r="170" spans="2:37" ht="21" x14ac:dyDescent="0.35"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3" t="str">
        <f>IF(MIN(F170,J170,N170,R170,V170,Z170)&lt;&gt;0,MIN(F170,J170,N170,R170,V170,Z170),"")</f>
        <v/>
      </c>
      <c r="AE170" s="133" t="str">
        <f>IF(MIN(H170,L170,P170,T170,X170,AB170)&lt;&gt;0,MIN(H170,L170,P170,T170,X170,AB170),"")</f>
        <v/>
      </c>
      <c r="AF170" s="133"/>
      <c r="AG170" s="132"/>
      <c r="AH170" s="133"/>
      <c r="AI170" s="132"/>
      <c r="AJ170" s="131" t="str">
        <f>IF(AD170="","",IF(ISBLANK(AF170),"En cours",AD170+AF170))</f>
        <v/>
      </c>
      <c r="AK170" s="131" t="str">
        <f>IF(AE170="","",IF(ISBLANK(AH170),"En cours",AE170+AH170))</f>
        <v/>
      </c>
    </row>
    <row r="171" spans="2:37" ht="21" x14ac:dyDescent="0.35"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3" t="str">
        <f>IF(MIN(F171,J171,N171,R171,V171,Z171)&lt;&gt;0,MIN(F171,J171,N171,R171,V171,Z171),"")</f>
        <v/>
      </c>
      <c r="AE171" s="133" t="str">
        <f>IF(MIN(H171,L171,P171,T171,X171,AB171)&lt;&gt;0,MIN(H171,L171,P171,T171,X171,AB171),"")</f>
        <v/>
      </c>
      <c r="AF171" s="133"/>
      <c r="AG171" s="132"/>
      <c r="AH171" s="133"/>
      <c r="AI171" s="132"/>
      <c r="AJ171" s="131" t="str">
        <f>IF(AD171="","",IF(ISBLANK(AF171),"En cours",AD171+AF171))</f>
        <v/>
      </c>
      <c r="AK171" s="131" t="str">
        <f>IF(AE171="","",IF(ISBLANK(AH171),"En cours",AE171+AH171))</f>
        <v/>
      </c>
    </row>
    <row r="172" spans="2:37" ht="21" x14ac:dyDescent="0.35"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3" t="str">
        <f>IF(MIN(F172,J172,N172,R172,V172,Z172)&lt;&gt;0,MIN(F172,J172,N172,R172,V172,Z172),"")</f>
        <v/>
      </c>
      <c r="AE172" s="133" t="str">
        <f>IF(MIN(H172,L172,P172,T172,X172,AB172)&lt;&gt;0,MIN(H172,L172,P172,T172,X172,AB172),"")</f>
        <v/>
      </c>
      <c r="AF172" s="133"/>
      <c r="AG172" s="132"/>
      <c r="AH172" s="133"/>
      <c r="AI172" s="132"/>
      <c r="AJ172" s="131" t="str">
        <f>IF(AD172="","",IF(ISBLANK(AF172),"En cours",AD172+AF172))</f>
        <v/>
      </c>
      <c r="AK172" s="131" t="str">
        <f>IF(AE172="","",IF(ISBLANK(AH172),"En cours",AE172+AH172))</f>
        <v/>
      </c>
    </row>
    <row r="173" spans="2:37" ht="21" x14ac:dyDescent="0.35"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3" t="str">
        <f>IF(MIN(F173,J173,N173,R173,V173,Z173)&lt;&gt;0,MIN(F173,J173,N173,R173,V173,Z173),"")</f>
        <v/>
      </c>
      <c r="AE173" s="133" t="str">
        <f>IF(MIN(H173,L173,P173,T173,X173,AB173)&lt;&gt;0,MIN(H173,L173,P173,T173,X173,AB173),"")</f>
        <v/>
      </c>
      <c r="AF173" s="133"/>
      <c r="AG173" s="132"/>
      <c r="AH173" s="133"/>
      <c r="AI173" s="132"/>
      <c r="AJ173" s="131" t="str">
        <f>IF(AD173="","",IF(ISBLANK(AF173),"En cours",AD173+AF173))</f>
        <v/>
      </c>
      <c r="AK173" s="131" t="str">
        <f>IF(AE173="","",IF(ISBLANK(AH173),"En cours",AE173+AH173))</f>
        <v/>
      </c>
    </row>
    <row r="174" spans="2:37" ht="21" x14ac:dyDescent="0.35"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3" t="str">
        <f>IF(MIN(F174,J174,N174,R174,V174,Z174)&lt;&gt;0,MIN(F174,J174,N174,R174,V174,Z174),"")</f>
        <v/>
      </c>
      <c r="AE174" s="133" t="str">
        <f>IF(MIN(H174,L174,P174,T174,X174,AB174)&lt;&gt;0,MIN(H174,L174,P174,T174,X174,AB174),"")</f>
        <v/>
      </c>
      <c r="AF174" s="133"/>
      <c r="AG174" s="132"/>
      <c r="AH174" s="133"/>
      <c r="AI174" s="132"/>
      <c r="AJ174" s="131" t="str">
        <f>IF(AD174="","",IF(ISBLANK(AF174),"En cours",AD174+AF174))</f>
        <v/>
      </c>
      <c r="AK174" s="131" t="str">
        <f>IF(AE174="","",IF(ISBLANK(AH174),"En cours",AE174+AH174))</f>
        <v/>
      </c>
    </row>
    <row r="175" spans="2:37" ht="21" x14ac:dyDescent="0.35"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3" t="str">
        <f>IF(MIN(F175,J175,N175,R175,V175,Z175)&lt;&gt;0,MIN(F175,J175,N175,R175,V175,Z175),"")</f>
        <v/>
      </c>
      <c r="AE175" s="133" t="str">
        <f>IF(MIN(H175,L175,P175,T175,X175,AB175)&lt;&gt;0,MIN(H175,L175,P175,T175,X175,AB175),"")</f>
        <v/>
      </c>
      <c r="AF175" s="133"/>
      <c r="AG175" s="132"/>
      <c r="AH175" s="133"/>
      <c r="AI175" s="132"/>
      <c r="AJ175" s="131" t="str">
        <f>IF(AD175="","",IF(ISBLANK(AF175),"En cours",AD175+AF175))</f>
        <v/>
      </c>
      <c r="AK175" s="131" t="str">
        <f>IF(AE175="","",IF(ISBLANK(AH175),"En cours",AE175+AH175))</f>
        <v/>
      </c>
    </row>
    <row r="176" spans="2:37" ht="21" x14ac:dyDescent="0.35"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3" t="str">
        <f>IF(MIN(F176,J176,N176,R176,V176,Z176)&lt;&gt;0,MIN(F176,J176,N176,R176,V176,Z176),"")</f>
        <v/>
      </c>
      <c r="AE176" s="133" t="str">
        <f>IF(MIN(H176,L176,P176,T176,X176,AB176)&lt;&gt;0,MIN(H176,L176,P176,T176,X176,AB176),"")</f>
        <v/>
      </c>
      <c r="AF176" s="133"/>
      <c r="AG176" s="132"/>
      <c r="AH176" s="133"/>
      <c r="AI176" s="132"/>
      <c r="AJ176" s="131" t="str">
        <f>IF(AD176="","",IF(ISBLANK(AF176),"En cours",AD176+AF176))</f>
        <v/>
      </c>
      <c r="AK176" s="131" t="str">
        <f>IF(AE176="","",IF(ISBLANK(AH176),"En cours",AE176+AH176))</f>
        <v/>
      </c>
    </row>
    <row r="177" spans="2:37" ht="21" x14ac:dyDescent="0.35"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 t="str">
        <f>IF(MIN(F177,J177,N177,R177,V177,Z177)&lt;&gt;0,MIN(F177,J177,N177,R177,V177,Z177),"")</f>
        <v/>
      </c>
      <c r="AE177" s="133" t="str">
        <f>IF(MIN(H177,L177,P177,T177,X177,AB177)&lt;&gt;0,MIN(H177,L177,P177,T177,X177,AB177),"")</f>
        <v/>
      </c>
      <c r="AF177" s="133"/>
      <c r="AG177" s="132"/>
      <c r="AH177" s="133"/>
      <c r="AI177" s="132"/>
      <c r="AJ177" s="131" t="str">
        <f>IF(AD177="","",IF(ISBLANK(AF177),"En cours",AD177+AF177))</f>
        <v/>
      </c>
      <c r="AK177" s="131" t="str">
        <f>IF(AE177="","",IF(ISBLANK(AH177),"En cours",AE177+AH177))</f>
        <v/>
      </c>
    </row>
    <row r="178" spans="2:37" ht="21" x14ac:dyDescent="0.35"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 t="str">
        <f>IF(MIN(F178,J178,N178,R178,V178,Z178)&lt;&gt;0,MIN(F178,J178,N178,R178,V178,Z178),"")</f>
        <v/>
      </c>
      <c r="AE178" s="133" t="str">
        <f>IF(MIN(H178,L178,P178,T178,X178,AB178)&lt;&gt;0,MIN(H178,L178,P178,T178,X178,AB178),"")</f>
        <v/>
      </c>
      <c r="AF178" s="133"/>
      <c r="AG178" s="132"/>
      <c r="AH178" s="133"/>
      <c r="AI178" s="132"/>
      <c r="AJ178" s="131" t="str">
        <f>IF(AD178="","",IF(ISBLANK(AF178),"En cours",AD178+AF178))</f>
        <v/>
      </c>
      <c r="AK178" s="131" t="str">
        <f>IF(AE178="","",IF(ISBLANK(AH178),"En cours",AE178+AH178))</f>
        <v/>
      </c>
    </row>
    <row r="179" spans="2:37" ht="21" x14ac:dyDescent="0.35"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3" t="str">
        <f>IF(MIN(F179,J179,N179,R179,V179,Z179)&lt;&gt;0,MIN(F179,J179,N179,R179,V179,Z179),"")</f>
        <v/>
      </c>
      <c r="AE179" s="133" t="str">
        <f>IF(MIN(H179,L179,P179,T179,X179,AB179)&lt;&gt;0,MIN(H179,L179,P179,T179,X179,AB179),"")</f>
        <v/>
      </c>
      <c r="AF179" s="133"/>
      <c r="AG179" s="132"/>
      <c r="AH179" s="133"/>
      <c r="AI179" s="132"/>
      <c r="AJ179" s="131" t="str">
        <f>IF(AD179="","",IF(ISBLANK(AF179),"En cours",AD179+AF179))</f>
        <v/>
      </c>
      <c r="AK179" s="131" t="str">
        <f>IF(AE179="","",IF(ISBLANK(AH179),"En cours",AE179+AH179))</f>
        <v/>
      </c>
    </row>
    <row r="180" spans="2:37" ht="21" x14ac:dyDescent="0.35">
      <c r="B180" s="199"/>
      <c r="C180" s="200"/>
      <c r="D180" s="200"/>
      <c r="E180" s="200"/>
      <c r="F180" s="200"/>
      <c r="G180" s="200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  <c r="AA180" s="200"/>
      <c r="AB180" s="200"/>
      <c r="AC180" s="200"/>
      <c r="AD180" s="201" t="str">
        <f>IF(MIN(F180,J180,N180,R180,V180,Z180)&lt;&gt;0,MIN(F180,J180,N180,R180,V180,Z180),"")</f>
        <v/>
      </c>
      <c r="AE180" s="201" t="str">
        <f>IF(MIN(H180,L180,P180,T180,X180,AB180)&lt;&gt;0,MIN(H180,L180,P180,T180,X180,AB180),"")</f>
        <v/>
      </c>
      <c r="AF180" s="201"/>
      <c r="AG180" s="200"/>
      <c r="AH180" s="201"/>
      <c r="AI180" s="200"/>
      <c r="AJ180" s="202" t="str">
        <f>IF(AD180="","",IF(ISBLANK(AF180),"En cours",AD180+AF180))</f>
        <v/>
      </c>
      <c r="AK180" s="203" t="str">
        <f>IF(AE180="","",IF(ISBLANK(AH180),"En cours",AE180+AH180))</f>
        <v/>
      </c>
    </row>
    <row r="181" spans="2:37" ht="21" x14ac:dyDescent="0.35">
      <c r="B181" s="199"/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  <c r="AB181" s="200"/>
      <c r="AC181" s="200"/>
      <c r="AD181" s="201" t="str">
        <f>IF(MIN(F181,J181,N181,R181,V181,Z181)&lt;&gt;0,MIN(F181,J181,N181,R181,V181,Z181),"")</f>
        <v/>
      </c>
      <c r="AE181" s="201" t="str">
        <f>IF(MIN(H181,L181,P181,T181,X181,AB181)&lt;&gt;0,MIN(H181,L181,P181,T181,X181,AB181),"")</f>
        <v/>
      </c>
      <c r="AF181" s="201"/>
      <c r="AG181" s="200"/>
      <c r="AH181" s="201"/>
      <c r="AI181" s="200"/>
      <c r="AJ181" s="202" t="str">
        <f>IF(AD181="","",IF(ISBLANK(AF181),"En cours",AD181+AF181))</f>
        <v/>
      </c>
      <c r="AK181" s="20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ref="AD177:AD195" si="0">IF(MIN(F182,J182,N182,R182,V182,Z182)&lt;&gt;0,MIN(F182,J182,N182,R182,V182,Z182),"")</f>
        <v/>
      </c>
      <c r="AE182" s="80" t="str">
        <f t="shared" ref="AE177:AE195" si="1">IF(MIN(H182,L182,P182,T182,X182,AB182)&lt;&gt;0,MIN(H182,L182,P182,T182,X182,AB182),"")</f>
        <v/>
      </c>
      <c r="AF182" s="81"/>
      <c r="AG182" s="77"/>
      <c r="AH182" s="81"/>
      <c r="AI182" s="77"/>
      <c r="AJ182" s="82" t="str">
        <f t="shared" ref="AJ177:AJ195" si="2">IF(AD182="","",IF(ISBLANK(AF182),"En cours",AD182+AF182))</f>
        <v/>
      </c>
      <c r="AK182" s="83" t="str">
        <f t="shared" ref="AK177:AK195" si="3"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0"/>
        <v/>
      </c>
      <c r="AE183" s="80" t="str">
        <f t="shared" si="1"/>
        <v/>
      </c>
      <c r="AF183" s="81"/>
      <c r="AG183" s="77"/>
      <c r="AH183" s="81"/>
      <c r="AI183" s="77"/>
      <c r="AJ183" s="82" t="str">
        <f t="shared" si="2"/>
        <v/>
      </c>
      <c r="AK183" s="83" t="str">
        <f t="shared" si="3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0"/>
        <v/>
      </c>
      <c r="AE184" s="80" t="str">
        <f t="shared" si="1"/>
        <v/>
      </c>
      <c r="AF184" s="81"/>
      <c r="AG184" s="77"/>
      <c r="AH184" s="81"/>
      <c r="AI184" s="77"/>
      <c r="AJ184" s="82" t="str">
        <f t="shared" si="2"/>
        <v/>
      </c>
      <c r="AK184" s="83" t="str">
        <f t="shared" si="3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0"/>
        <v/>
      </c>
      <c r="AE185" s="80" t="str">
        <f t="shared" si="1"/>
        <v/>
      </c>
      <c r="AF185" s="81"/>
      <c r="AG185" s="77"/>
      <c r="AH185" s="81"/>
      <c r="AI185" s="77"/>
      <c r="AJ185" s="82" t="str">
        <f t="shared" si="2"/>
        <v/>
      </c>
      <c r="AK185" s="83" t="str">
        <f t="shared" si="3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0"/>
        <v/>
      </c>
      <c r="AE186" s="80" t="str">
        <f t="shared" si="1"/>
        <v/>
      </c>
      <c r="AF186" s="81"/>
      <c r="AG186" s="77"/>
      <c r="AH186" s="81"/>
      <c r="AI186" s="77"/>
      <c r="AJ186" s="82" t="str">
        <f t="shared" si="2"/>
        <v/>
      </c>
      <c r="AK186" s="83" t="str">
        <f t="shared" si="3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0"/>
        <v/>
      </c>
      <c r="AE187" s="80" t="str">
        <f t="shared" si="1"/>
        <v/>
      </c>
      <c r="AF187" s="81"/>
      <c r="AG187" s="77"/>
      <c r="AH187" s="81"/>
      <c r="AI187" s="77"/>
      <c r="AJ187" s="82" t="str">
        <f t="shared" si="2"/>
        <v/>
      </c>
      <c r="AK187" s="83" t="str">
        <f t="shared" si="3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0"/>
        <v/>
      </c>
      <c r="AE188" s="80" t="str">
        <f t="shared" si="1"/>
        <v/>
      </c>
      <c r="AF188" s="81"/>
      <c r="AG188" s="77"/>
      <c r="AH188" s="81"/>
      <c r="AI188" s="77"/>
      <c r="AJ188" s="82" t="str">
        <f t="shared" si="2"/>
        <v/>
      </c>
      <c r="AK188" s="83" t="str">
        <f t="shared" si="3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0"/>
        <v/>
      </c>
      <c r="AE189" s="80" t="str">
        <f t="shared" si="1"/>
        <v/>
      </c>
      <c r="AF189" s="81"/>
      <c r="AG189" s="77"/>
      <c r="AH189" s="81"/>
      <c r="AI189" s="77"/>
      <c r="AJ189" s="82" t="str">
        <f t="shared" si="2"/>
        <v/>
      </c>
      <c r="AK189" s="83" t="str">
        <f t="shared" si="3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0"/>
        <v/>
      </c>
      <c r="AE190" s="80" t="str">
        <f t="shared" si="1"/>
        <v/>
      </c>
      <c r="AF190" s="81"/>
      <c r="AG190" s="77"/>
      <c r="AH190" s="81"/>
      <c r="AI190" s="77"/>
      <c r="AJ190" s="82" t="str">
        <f t="shared" si="2"/>
        <v/>
      </c>
      <c r="AK190" s="83" t="str">
        <f t="shared" si="3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0"/>
        <v/>
      </c>
      <c r="AE191" s="80" t="str">
        <f t="shared" si="1"/>
        <v/>
      </c>
      <c r="AF191" s="81"/>
      <c r="AG191" s="77"/>
      <c r="AH191" s="81"/>
      <c r="AI191" s="77"/>
      <c r="AJ191" s="82" t="str">
        <f t="shared" si="2"/>
        <v/>
      </c>
      <c r="AK191" s="83" t="str">
        <f t="shared" si="3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0"/>
        <v/>
      </c>
      <c r="AE192" s="80" t="str">
        <f t="shared" si="1"/>
        <v/>
      </c>
      <c r="AF192" s="81"/>
      <c r="AG192" s="77"/>
      <c r="AH192" s="81"/>
      <c r="AI192" s="77"/>
      <c r="AJ192" s="82" t="str">
        <f t="shared" si="2"/>
        <v/>
      </c>
      <c r="AK192" s="83" t="str">
        <f t="shared" si="3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0"/>
        <v/>
      </c>
      <c r="AE193" s="80" t="str">
        <f t="shared" si="1"/>
        <v/>
      </c>
      <c r="AF193" s="81"/>
      <c r="AG193" s="77"/>
      <c r="AH193" s="81"/>
      <c r="AI193" s="77"/>
      <c r="AJ193" s="82" t="str">
        <f t="shared" si="2"/>
        <v/>
      </c>
      <c r="AK193" s="83" t="str">
        <f t="shared" si="3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0"/>
        <v/>
      </c>
      <c r="AE194" s="80" t="str">
        <f t="shared" si="1"/>
        <v/>
      </c>
      <c r="AF194" s="81"/>
      <c r="AG194" s="77"/>
      <c r="AH194" s="81"/>
      <c r="AI194" s="77"/>
      <c r="AJ194" s="82" t="str">
        <f t="shared" si="2"/>
        <v/>
      </c>
      <c r="AK194" s="83" t="str">
        <f t="shared" si="3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0"/>
        <v/>
      </c>
      <c r="AE195" s="80" t="str">
        <f t="shared" si="1"/>
        <v/>
      </c>
      <c r="AF195" s="81"/>
      <c r="AG195" s="77"/>
      <c r="AH195" s="81"/>
      <c r="AI195" s="77"/>
      <c r="AJ195" s="82" t="str">
        <f t="shared" si="2"/>
        <v/>
      </c>
      <c r="AK195" s="83" t="str">
        <f t="shared" si="3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4">IF(MIN(F196,J196,N196,R196,V196,Z196)&lt;&gt;0,MIN(F196,J196,N196,R196,V196,Z196),"")</f>
        <v/>
      </c>
      <c r="AE196" s="80" t="str">
        <f t="shared" ref="AE196:AE259" si="5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6">IF(AD196="","",IF(ISBLANK(AF196),"En cours",AD196+AF196))</f>
        <v/>
      </c>
      <c r="AK196" s="83" t="str">
        <f t="shared" ref="AK196:AK259" si="7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4"/>
        <v/>
      </c>
      <c r="AE197" s="80" t="str">
        <f t="shared" si="5"/>
        <v/>
      </c>
      <c r="AF197" s="81"/>
      <c r="AG197" s="77"/>
      <c r="AH197" s="81"/>
      <c r="AI197" s="77"/>
      <c r="AJ197" s="82" t="str">
        <f t="shared" si="6"/>
        <v/>
      </c>
      <c r="AK197" s="83" t="str">
        <f t="shared" si="7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4"/>
        <v/>
      </c>
      <c r="AE198" s="80" t="str">
        <f t="shared" si="5"/>
        <v/>
      </c>
      <c r="AF198" s="81"/>
      <c r="AG198" s="77"/>
      <c r="AH198" s="81"/>
      <c r="AI198" s="77"/>
      <c r="AJ198" s="82" t="str">
        <f t="shared" si="6"/>
        <v/>
      </c>
      <c r="AK198" s="83" t="str">
        <f t="shared" si="7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4"/>
        <v/>
      </c>
      <c r="AE199" s="80" t="str">
        <f t="shared" si="5"/>
        <v/>
      </c>
      <c r="AF199" s="81"/>
      <c r="AG199" s="77"/>
      <c r="AH199" s="81"/>
      <c r="AI199" s="77"/>
      <c r="AJ199" s="82" t="str">
        <f t="shared" si="6"/>
        <v/>
      </c>
      <c r="AK199" s="83" t="str">
        <f t="shared" si="7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4"/>
        <v/>
      </c>
      <c r="AE200" s="80" t="str">
        <f t="shared" si="5"/>
        <v/>
      </c>
      <c r="AF200" s="81"/>
      <c r="AG200" s="77"/>
      <c r="AH200" s="81"/>
      <c r="AI200" s="77"/>
      <c r="AJ200" s="82" t="str">
        <f t="shared" si="6"/>
        <v/>
      </c>
      <c r="AK200" s="83" t="str">
        <f t="shared" si="7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4"/>
        <v/>
      </c>
      <c r="AE201" s="80" t="str">
        <f t="shared" si="5"/>
        <v/>
      </c>
      <c r="AF201" s="81"/>
      <c r="AG201" s="77"/>
      <c r="AH201" s="81"/>
      <c r="AI201" s="77"/>
      <c r="AJ201" s="82" t="str">
        <f t="shared" si="6"/>
        <v/>
      </c>
      <c r="AK201" s="83" t="str">
        <f t="shared" si="7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4"/>
        <v/>
      </c>
      <c r="AE202" s="80" t="str">
        <f t="shared" si="5"/>
        <v/>
      </c>
      <c r="AF202" s="81"/>
      <c r="AG202" s="77"/>
      <c r="AH202" s="81"/>
      <c r="AI202" s="77"/>
      <c r="AJ202" s="82" t="str">
        <f t="shared" si="6"/>
        <v/>
      </c>
      <c r="AK202" s="83" t="str">
        <f t="shared" si="7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4"/>
        <v/>
      </c>
      <c r="AE203" s="80" t="str">
        <f t="shared" si="5"/>
        <v/>
      </c>
      <c r="AF203" s="81"/>
      <c r="AG203" s="77"/>
      <c r="AH203" s="81"/>
      <c r="AI203" s="77"/>
      <c r="AJ203" s="82" t="str">
        <f t="shared" si="6"/>
        <v/>
      </c>
      <c r="AK203" s="83" t="str">
        <f t="shared" si="7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4"/>
        <v/>
      </c>
      <c r="AE204" s="80" t="str">
        <f t="shared" si="5"/>
        <v/>
      </c>
      <c r="AF204" s="81"/>
      <c r="AG204" s="77"/>
      <c r="AH204" s="81"/>
      <c r="AI204" s="77"/>
      <c r="AJ204" s="82" t="str">
        <f t="shared" si="6"/>
        <v/>
      </c>
      <c r="AK204" s="83" t="str">
        <f t="shared" si="7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4"/>
        <v/>
      </c>
      <c r="AE205" s="80" t="str">
        <f t="shared" si="5"/>
        <v/>
      </c>
      <c r="AF205" s="81"/>
      <c r="AG205" s="77"/>
      <c r="AH205" s="81"/>
      <c r="AI205" s="77"/>
      <c r="AJ205" s="82" t="str">
        <f t="shared" si="6"/>
        <v/>
      </c>
      <c r="AK205" s="83" t="str">
        <f t="shared" si="7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4"/>
        <v/>
      </c>
      <c r="AE206" s="80" t="str">
        <f t="shared" si="5"/>
        <v/>
      </c>
      <c r="AF206" s="81"/>
      <c r="AG206" s="77"/>
      <c r="AH206" s="81"/>
      <c r="AI206" s="77"/>
      <c r="AJ206" s="82" t="str">
        <f t="shared" si="6"/>
        <v/>
      </c>
      <c r="AK206" s="83" t="str">
        <f t="shared" si="7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4"/>
        <v/>
      </c>
      <c r="AE207" s="80" t="str">
        <f t="shared" si="5"/>
        <v/>
      </c>
      <c r="AF207" s="81"/>
      <c r="AG207" s="77"/>
      <c r="AH207" s="81"/>
      <c r="AI207" s="77"/>
      <c r="AJ207" s="82" t="str">
        <f t="shared" si="6"/>
        <v/>
      </c>
      <c r="AK207" s="83" t="str">
        <f t="shared" si="7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4"/>
        <v/>
      </c>
      <c r="AE208" s="80" t="str">
        <f t="shared" si="5"/>
        <v/>
      </c>
      <c r="AF208" s="81"/>
      <c r="AG208" s="77"/>
      <c r="AH208" s="81"/>
      <c r="AI208" s="77"/>
      <c r="AJ208" s="82" t="str">
        <f t="shared" si="6"/>
        <v/>
      </c>
      <c r="AK208" s="83" t="str">
        <f t="shared" si="7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4"/>
        <v/>
      </c>
      <c r="AE209" s="80" t="str">
        <f t="shared" si="5"/>
        <v/>
      </c>
      <c r="AF209" s="81"/>
      <c r="AG209" s="77"/>
      <c r="AH209" s="81"/>
      <c r="AI209" s="77"/>
      <c r="AJ209" s="82" t="str">
        <f t="shared" si="6"/>
        <v/>
      </c>
      <c r="AK209" s="83" t="str">
        <f t="shared" si="7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4"/>
        <v/>
      </c>
      <c r="AE210" s="80" t="str">
        <f t="shared" si="5"/>
        <v/>
      </c>
      <c r="AF210" s="81"/>
      <c r="AG210" s="77"/>
      <c r="AH210" s="81"/>
      <c r="AI210" s="77"/>
      <c r="AJ210" s="82" t="str">
        <f t="shared" si="6"/>
        <v/>
      </c>
      <c r="AK210" s="83" t="str">
        <f t="shared" si="7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4"/>
        <v/>
      </c>
      <c r="AE211" s="80" t="str">
        <f t="shared" si="5"/>
        <v/>
      </c>
      <c r="AF211" s="81"/>
      <c r="AG211" s="77"/>
      <c r="AH211" s="81"/>
      <c r="AI211" s="77"/>
      <c r="AJ211" s="82" t="str">
        <f t="shared" si="6"/>
        <v/>
      </c>
      <c r="AK211" s="83" t="str">
        <f t="shared" si="7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4"/>
        <v/>
      </c>
      <c r="AE212" s="80" t="str">
        <f t="shared" si="5"/>
        <v/>
      </c>
      <c r="AF212" s="81"/>
      <c r="AG212" s="77"/>
      <c r="AH212" s="81"/>
      <c r="AI212" s="77"/>
      <c r="AJ212" s="82" t="str">
        <f t="shared" si="6"/>
        <v/>
      </c>
      <c r="AK212" s="83" t="str">
        <f t="shared" si="7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4"/>
        <v/>
      </c>
      <c r="AE213" s="80" t="str">
        <f t="shared" si="5"/>
        <v/>
      </c>
      <c r="AF213" s="81"/>
      <c r="AG213" s="77"/>
      <c r="AH213" s="81"/>
      <c r="AI213" s="77"/>
      <c r="AJ213" s="82" t="str">
        <f t="shared" si="6"/>
        <v/>
      </c>
      <c r="AK213" s="83" t="str">
        <f t="shared" si="7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4"/>
        <v/>
      </c>
      <c r="AE214" s="80" t="str">
        <f t="shared" si="5"/>
        <v/>
      </c>
      <c r="AF214" s="81"/>
      <c r="AG214" s="77"/>
      <c r="AH214" s="81"/>
      <c r="AI214" s="77"/>
      <c r="AJ214" s="82" t="str">
        <f t="shared" si="6"/>
        <v/>
      </c>
      <c r="AK214" s="83" t="str">
        <f t="shared" si="7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4"/>
        <v/>
      </c>
      <c r="AE215" s="80" t="str">
        <f t="shared" si="5"/>
        <v/>
      </c>
      <c r="AF215" s="81"/>
      <c r="AG215" s="77"/>
      <c r="AH215" s="81"/>
      <c r="AI215" s="77"/>
      <c r="AJ215" s="82" t="str">
        <f t="shared" si="6"/>
        <v/>
      </c>
      <c r="AK215" s="83" t="str">
        <f t="shared" si="7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4"/>
        <v/>
      </c>
      <c r="AE216" s="80" t="str">
        <f t="shared" si="5"/>
        <v/>
      </c>
      <c r="AF216" s="81"/>
      <c r="AG216" s="77"/>
      <c r="AH216" s="81"/>
      <c r="AI216" s="77"/>
      <c r="AJ216" s="82" t="str">
        <f t="shared" si="6"/>
        <v/>
      </c>
      <c r="AK216" s="83" t="str">
        <f t="shared" si="7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4"/>
        <v/>
      </c>
      <c r="AE217" s="80" t="str">
        <f t="shared" si="5"/>
        <v/>
      </c>
      <c r="AF217" s="81"/>
      <c r="AG217" s="77"/>
      <c r="AH217" s="81"/>
      <c r="AI217" s="77"/>
      <c r="AJ217" s="82" t="str">
        <f t="shared" si="6"/>
        <v/>
      </c>
      <c r="AK217" s="83" t="str">
        <f t="shared" si="7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4"/>
        <v/>
      </c>
      <c r="AE218" s="80" t="str">
        <f t="shared" si="5"/>
        <v/>
      </c>
      <c r="AF218" s="81"/>
      <c r="AG218" s="77"/>
      <c r="AH218" s="81"/>
      <c r="AI218" s="77"/>
      <c r="AJ218" s="82" t="str">
        <f t="shared" si="6"/>
        <v/>
      </c>
      <c r="AK218" s="83" t="str">
        <f t="shared" si="7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4"/>
        <v/>
      </c>
      <c r="AE219" s="80" t="str">
        <f t="shared" si="5"/>
        <v/>
      </c>
      <c r="AF219" s="81"/>
      <c r="AG219" s="77"/>
      <c r="AH219" s="81"/>
      <c r="AI219" s="77"/>
      <c r="AJ219" s="82" t="str">
        <f t="shared" si="6"/>
        <v/>
      </c>
      <c r="AK219" s="83" t="str">
        <f t="shared" si="7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4"/>
        <v/>
      </c>
      <c r="AE220" s="80" t="str">
        <f t="shared" si="5"/>
        <v/>
      </c>
      <c r="AF220" s="81"/>
      <c r="AG220" s="77"/>
      <c r="AH220" s="81"/>
      <c r="AI220" s="77"/>
      <c r="AJ220" s="82" t="str">
        <f t="shared" si="6"/>
        <v/>
      </c>
      <c r="AK220" s="83" t="str">
        <f t="shared" si="7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4"/>
        <v/>
      </c>
      <c r="AE221" s="80" t="str">
        <f t="shared" si="5"/>
        <v/>
      </c>
      <c r="AF221" s="81"/>
      <c r="AG221" s="77"/>
      <c r="AH221" s="81"/>
      <c r="AI221" s="77"/>
      <c r="AJ221" s="82" t="str">
        <f t="shared" si="6"/>
        <v/>
      </c>
      <c r="AK221" s="83" t="str">
        <f t="shared" si="7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4"/>
        <v/>
      </c>
      <c r="AE222" s="80" t="str">
        <f t="shared" si="5"/>
        <v/>
      </c>
      <c r="AF222" s="81"/>
      <c r="AG222" s="77"/>
      <c r="AH222" s="81"/>
      <c r="AI222" s="77"/>
      <c r="AJ222" s="82" t="str">
        <f t="shared" si="6"/>
        <v/>
      </c>
      <c r="AK222" s="83" t="str">
        <f t="shared" si="7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4"/>
        <v/>
      </c>
      <c r="AE223" s="80" t="str">
        <f t="shared" si="5"/>
        <v/>
      </c>
      <c r="AF223" s="81"/>
      <c r="AG223" s="77"/>
      <c r="AH223" s="81"/>
      <c r="AI223" s="77"/>
      <c r="AJ223" s="82" t="str">
        <f t="shared" si="6"/>
        <v/>
      </c>
      <c r="AK223" s="83" t="str">
        <f t="shared" si="7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4"/>
        <v/>
      </c>
      <c r="AE224" s="80" t="str">
        <f t="shared" si="5"/>
        <v/>
      </c>
      <c r="AF224" s="81"/>
      <c r="AG224" s="77"/>
      <c r="AH224" s="81"/>
      <c r="AI224" s="77"/>
      <c r="AJ224" s="82" t="str">
        <f t="shared" si="6"/>
        <v/>
      </c>
      <c r="AK224" s="83" t="str">
        <f t="shared" si="7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4"/>
        <v/>
      </c>
      <c r="AE225" s="80" t="str">
        <f t="shared" si="5"/>
        <v/>
      </c>
      <c r="AF225" s="81"/>
      <c r="AG225" s="77"/>
      <c r="AH225" s="81"/>
      <c r="AI225" s="77"/>
      <c r="AJ225" s="82" t="str">
        <f t="shared" si="6"/>
        <v/>
      </c>
      <c r="AK225" s="83" t="str">
        <f t="shared" si="7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4"/>
        <v/>
      </c>
      <c r="AE226" s="80" t="str">
        <f t="shared" si="5"/>
        <v/>
      </c>
      <c r="AF226" s="81"/>
      <c r="AG226" s="77"/>
      <c r="AH226" s="81"/>
      <c r="AI226" s="77"/>
      <c r="AJ226" s="82" t="str">
        <f t="shared" si="6"/>
        <v/>
      </c>
      <c r="AK226" s="83" t="str">
        <f t="shared" si="7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4"/>
        <v/>
      </c>
      <c r="AE227" s="80" t="str">
        <f t="shared" si="5"/>
        <v/>
      </c>
      <c r="AF227" s="81"/>
      <c r="AG227" s="77"/>
      <c r="AH227" s="81"/>
      <c r="AI227" s="77"/>
      <c r="AJ227" s="82" t="str">
        <f t="shared" si="6"/>
        <v/>
      </c>
      <c r="AK227" s="83" t="str">
        <f t="shared" si="7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4"/>
        <v/>
      </c>
      <c r="AE228" s="80" t="str">
        <f t="shared" si="5"/>
        <v/>
      </c>
      <c r="AF228" s="81"/>
      <c r="AG228" s="77"/>
      <c r="AH228" s="81"/>
      <c r="AI228" s="77"/>
      <c r="AJ228" s="82" t="str">
        <f t="shared" si="6"/>
        <v/>
      </c>
      <c r="AK228" s="83" t="str">
        <f t="shared" si="7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4"/>
        <v/>
      </c>
      <c r="AE229" s="80" t="str">
        <f t="shared" si="5"/>
        <v/>
      </c>
      <c r="AF229" s="81"/>
      <c r="AG229" s="77"/>
      <c r="AH229" s="81"/>
      <c r="AI229" s="77"/>
      <c r="AJ229" s="82" t="str">
        <f t="shared" si="6"/>
        <v/>
      </c>
      <c r="AK229" s="83" t="str">
        <f t="shared" si="7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4"/>
        <v/>
      </c>
      <c r="AE230" s="80" t="str">
        <f t="shared" si="5"/>
        <v/>
      </c>
      <c r="AF230" s="81"/>
      <c r="AG230" s="77"/>
      <c r="AH230" s="81"/>
      <c r="AI230" s="77"/>
      <c r="AJ230" s="82" t="str">
        <f t="shared" si="6"/>
        <v/>
      </c>
      <c r="AK230" s="83" t="str">
        <f t="shared" si="7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4"/>
        <v/>
      </c>
      <c r="AE231" s="80" t="str">
        <f t="shared" si="5"/>
        <v/>
      </c>
      <c r="AF231" s="81"/>
      <c r="AG231" s="77"/>
      <c r="AH231" s="81"/>
      <c r="AI231" s="77"/>
      <c r="AJ231" s="82" t="str">
        <f t="shared" si="6"/>
        <v/>
      </c>
      <c r="AK231" s="83" t="str">
        <f t="shared" si="7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4"/>
        <v/>
      </c>
      <c r="AE232" s="80" t="str">
        <f t="shared" si="5"/>
        <v/>
      </c>
      <c r="AF232" s="81"/>
      <c r="AG232" s="77"/>
      <c r="AH232" s="81"/>
      <c r="AI232" s="77"/>
      <c r="AJ232" s="82" t="str">
        <f t="shared" si="6"/>
        <v/>
      </c>
      <c r="AK232" s="83" t="str">
        <f t="shared" si="7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4"/>
        <v/>
      </c>
      <c r="AE233" s="80" t="str">
        <f t="shared" si="5"/>
        <v/>
      </c>
      <c r="AF233" s="81"/>
      <c r="AG233" s="77"/>
      <c r="AH233" s="81"/>
      <c r="AI233" s="77"/>
      <c r="AJ233" s="82" t="str">
        <f t="shared" si="6"/>
        <v/>
      </c>
      <c r="AK233" s="83" t="str">
        <f t="shared" si="7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4"/>
        <v/>
      </c>
      <c r="AE234" s="80" t="str">
        <f t="shared" si="5"/>
        <v/>
      </c>
      <c r="AF234" s="81"/>
      <c r="AG234" s="77"/>
      <c r="AH234" s="81"/>
      <c r="AI234" s="77"/>
      <c r="AJ234" s="82" t="str">
        <f t="shared" si="6"/>
        <v/>
      </c>
      <c r="AK234" s="83" t="str">
        <f t="shared" si="7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4"/>
        <v/>
      </c>
      <c r="AE235" s="80" t="str">
        <f t="shared" si="5"/>
        <v/>
      </c>
      <c r="AF235" s="81"/>
      <c r="AG235" s="77"/>
      <c r="AH235" s="81"/>
      <c r="AI235" s="77"/>
      <c r="AJ235" s="82" t="str">
        <f t="shared" si="6"/>
        <v/>
      </c>
      <c r="AK235" s="83" t="str">
        <f t="shared" si="7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4"/>
        <v/>
      </c>
      <c r="AE236" s="80" t="str">
        <f t="shared" si="5"/>
        <v/>
      </c>
      <c r="AF236" s="81"/>
      <c r="AG236" s="77"/>
      <c r="AH236" s="81"/>
      <c r="AI236" s="77"/>
      <c r="AJ236" s="82" t="str">
        <f t="shared" si="6"/>
        <v/>
      </c>
      <c r="AK236" s="83" t="str">
        <f t="shared" si="7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4"/>
        <v/>
      </c>
      <c r="AE237" s="80" t="str">
        <f t="shared" si="5"/>
        <v/>
      </c>
      <c r="AF237" s="81"/>
      <c r="AG237" s="77"/>
      <c r="AH237" s="81"/>
      <c r="AI237" s="77"/>
      <c r="AJ237" s="82" t="str">
        <f t="shared" si="6"/>
        <v/>
      </c>
      <c r="AK237" s="83" t="str">
        <f t="shared" si="7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4"/>
        <v/>
      </c>
      <c r="AE238" s="80" t="str">
        <f t="shared" si="5"/>
        <v/>
      </c>
      <c r="AF238" s="81"/>
      <c r="AG238" s="77"/>
      <c r="AH238" s="81"/>
      <c r="AI238" s="77"/>
      <c r="AJ238" s="82" t="str">
        <f t="shared" si="6"/>
        <v/>
      </c>
      <c r="AK238" s="83" t="str">
        <f t="shared" si="7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4"/>
        <v/>
      </c>
      <c r="AE239" s="80" t="str">
        <f t="shared" si="5"/>
        <v/>
      </c>
      <c r="AF239" s="81"/>
      <c r="AG239" s="77"/>
      <c r="AH239" s="81"/>
      <c r="AI239" s="77"/>
      <c r="AJ239" s="82" t="str">
        <f t="shared" si="6"/>
        <v/>
      </c>
      <c r="AK239" s="83" t="str">
        <f t="shared" si="7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4"/>
        <v/>
      </c>
      <c r="AE240" s="80" t="str">
        <f t="shared" si="5"/>
        <v/>
      </c>
      <c r="AF240" s="81"/>
      <c r="AG240" s="77"/>
      <c r="AH240" s="81"/>
      <c r="AI240" s="77"/>
      <c r="AJ240" s="82" t="str">
        <f t="shared" si="6"/>
        <v/>
      </c>
      <c r="AK240" s="83" t="str">
        <f t="shared" si="7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4"/>
        <v/>
      </c>
      <c r="AE241" s="80" t="str">
        <f t="shared" si="5"/>
        <v/>
      </c>
      <c r="AF241" s="81"/>
      <c r="AG241" s="77"/>
      <c r="AH241" s="81"/>
      <c r="AI241" s="77"/>
      <c r="AJ241" s="82" t="str">
        <f t="shared" si="6"/>
        <v/>
      </c>
      <c r="AK241" s="83" t="str">
        <f t="shared" si="7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4"/>
        <v/>
      </c>
      <c r="AE242" s="80" t="str">
        <f t="shared" si="5"/>
        <v/>
      </c>
      <c r="AF242" s="81"/>
      <c r="AG242" s="77"/>
      <c r="AH242" s="81"/>
      <c r="AI242" s="77"/>
      <c r="AJ242" s="82" t="str">
        <f t="shared" si="6"/>
        <v/>
      </c>
      <c r="AK242" s="83" t="str">
        <f t="shared" si="7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4"/>
        <v/>
      </c>
      <c r="AE243" s="80" t="str">
        <f t="shared" si="5"/>
        <v/>
      </c>
      <c r="AF243" s="81"/>
      <c r="AG243" s="77"/>
      <c r="AH243" s="81"/>
      <c r="AI243" s="77"/>
      <c r="AJ243" s="82" t="str">
        <f t="shared" si="6"/>
        <v/>
      </c>
      <c r="AK243" s="83" t="str">
        <f t="shared" si="7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4"/>
        <v/>
      </c>
      <c r="AE244" s="80" t="str">
        <f t="shared" si="5"/>
        <v/>
      </c>
      <c r="AF244" s="81"/>
      <c r="AG244" s="77"/>
      <c r="AH244" s="81"/>
      <c r="AI244" s="77"/>
      <c r="AJ244" s="82" t="str">
        <f t="shared" si="6"/>
        <v/>
      </c>
      <c r="AK244" s="83" t="str">
        <f t="shared" si="7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4"/>
        <v/>
      </c>
      <c r="AE245" s="80" t="str">
        <f t="shared" si="5"/>
        <v/>
      </c>
      <c r="AF245" s="81"/>
      <c r="AG245" s="77"/>
      <c r="AH245" s="81"/>
      <c r="AI245" s="77"/>
      <c r="AJ245" s="82" t="str">
        <f t="shared" si="6"/>
        <v/>
      </c>
      <c r="AK245" s="83" t="str">
        <f t="shared" si="7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4"/>
        <v/>
      </c>
      <c r="AE246" s="80" t="str">
        <f t="shared" si="5"/>
        <v/>
      </c>
      <c r="AF246" s="81"/>
      <c r="AG246" s="77"/>
      <c r="AH246" s="81"/>
      <c r="AI246" s="77"/>
      <c r="AJ246" s="82" t="str">
        <f t="shared" si="6"/>
        <v/>
      </c>
      <c r="AK246" s="83" t="str">
        <f t="shared" si="7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4"/>
        <v/>
      </c>
      <c r="AE247" s="80" t="str">
        <f t="shared" si="5"/>
        <v/>
      </c>
      <c r="AF247" s="81"/>
      <c r="AG247" s="77"/>
      <c r="AH247" s="81"/>
      <c r="AI247" s="77"/>
      <c r="AJ247" s="82" t="str">
        <f t="shared" si="6"/>
        <v/>
      </c>
      <c r="AK247" s="83" t="str">
        <f t="shared" si="7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4"/>
        <v/>
      </c>
      <c r="AE248" s="80" t="str">
        <f t="shared" si="5"/>
        <v/>
      </c>
      <c r="AF248" s="81"/>
      <c r="AG248" s="77"/>
      <c r="AH248" s="81"/>
      <c r="AI248" s="77"/>
      <c r="AJ248" s="82" t="str">
        <f t="shared" si="6"/>
        <v/>
      </c>
      <c r="AK248" s="83" t="str">
        <f t="shared" si="7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4"/>
        <v/>
      </c>
      <c r="AE249" s="80" t="str">
        <f t="shared" si="5"/>
        <v/>
      </c>
      <c r="AF249" s="81"/>
      <c r="AG249" s="77"/>
      <c r="AH249" s="81"/>
      <c r="AI249" s="77"/>
      <c r="AJ249" s="82" t="str">
        <f t="shared" si="6"/>
        <v/>
      </c>
      <c r="AK249" s="83" t="str">
        <f t="shared" si="7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4"/>
        <v/>
      </c>
      <c r="AE250" s="80" t="str">
        <f t="shared" si="5"/>
        <v/>
      </c>
      <c r="AF250" s="81"/>
      <c r="AG250" s="77"/>
      <c r="AH250" s="81"/>
      <c r="AI250" s="77"/>
      <c r="AJ250" s="82" t="str">
        <f t="shared" si="6"/>
        <v/>
      </c>
      <c r="AK250" s="83" t="str">
        <f t="shared" si="7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4"/>
        <v/>
      </c>
      <c r="AE251" s="80" t="str">
        <f t="shared" si="5"/>
        <v/>
      </c>
      <c r="AF251" s="81"/>
      <c r="AG251" s="77"/>
      <c r="AH251" s="81"/>
      <c r="AI251" s="77"/>
      <c r="AJ251" s="82" t="str">
        <f t="shared" si="6"/>
        <v/>
      </c>
      <c r="AK251" s="83" t="str">
        <f t="shared" si="7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4"/>
        <v/>
      </c>
      <c r="AE252" s="80" t="str">
        <f t="shared" si="5"/>
        <v/>
      </c>
      <c r="AF252" s="81"/>
      <c r="AG252" s="77"/>
      <c r="AH252" s="81"/>
      <c r="AI252" s="77"/>
      <c r="AJ252" s="82" t="str">
        <f t="shared" si="6"/>
        <v/>
      </c>
      <c r="AK252" s="83" t="str">
        <f t="shared" si="7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4"/>
        <v/>
      </c>
      <c r="AE253" s="80" t="str">
        <f t="shared" si="5"/>
        <v/>
      </c>
      <c r="AF253" s="81"/>
      <c r="AG253" s="77"/>
      <c r="AH253" s="81"/>
      <c r="AI253" s="77"/>
      <c r="AJ253" s="82" t="str">
        <f t="shared" si="6"/>
        <v/>
      </c>
      <c r="AK253" s="83" t="str">
        <f t="shared" si="7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4"/>
        <v/>
      </c>
      <c r="AE254" s="80" t="str">
        <f t="shared" si="5"/>
        <v/>
      </c>
      <c r="AF254" s="81"/>
      <c r="AG254" s="77"/>
      <c r="AH254" s="81"/>
      <c r="AI254" s="77"/>
      <c r="AJ254" s="82" t="str">
        <f t="shared" si="6"/>
        <v/>
      </c>
      <c r="AK254" s="83" t="str">
        <f t="shared" si="7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4"/>
        <v/>
      </c>
      <c r="AE255" s="80" t="str">
        <f t="shared" si="5"/>
        <v/>
      </c>
      <c r="AF255" s="81"/>
      <c r="AG255" s="77"/>
      <c r="AH255" s="81"/>
      <c r="AI255" s="77"/>
      <c r="AJ255" s="82" t="str">
        <f t="shared" si="6"/>
        <v/>
      </c>
      <c r="AK255" s="83" t="str">
        <f t="shared" si="7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4"/>
        <v/>
      </c>
      <c r="AE256" s="80" t="str">
        <f t="shared" si="5"/>
        <v/>
      </c>
      <c r="AF256" s="81"/>
      <c r="AG256" s="77"/>
      <c r="AH256" s="81"/>
      <c r="AI256" s="77"/>
      <c r="AJ256" s="82" t="str">
        <f t="shared" si="6"/>
        <v/>
      </c>
      <c r="AK256" s="83" t="str">
        <f t="shared" si="7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4"/>
        <v/>
      </c>
      <c r="AE257" s="80" t="str">
        <f t="shared" si="5"/>
        <v/>
      </c>
      <c r="AF257" s="81"/>
      <c r="AG257" s="77"/>
      <c r="AH257" s="81"/>
      <c r="AI257" s="77"/>
      <c r="AJ257" s="82" t="str">
        <f t="shared" si="6"/>
        <v/>
      </c>
      <c r="AK257" s="83" t="str">
        <f t="shared" si="7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4"/>
        <v/>
      </c>
      <c r="AE258" s="80" t="str">
        <f t="shared" si="5"/>
        <v/>
      </c>
      <c r="AF258" s="81"/>
      <c r="AG258" s="77"/>
      <c r="AH258" s="81"/>
      <c r="AI258" s="77"/>
      <c r="AJ258" s="82" t="str">
        <f t="shared" si="6"/>
        <v/>
      </c>
      <c r="AK258" s="83" t="str">
        <f t="shared" si="7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4"/>
        <v/>
      </c>
      <c r="AE259" s="80" t="str">
        <f t="shared" si="5"/>
        <v/>
      </c>
      <c r="AF259" s="81"/>
      <c r="AG259" s="77"/>
      <c r="AH259" s="81"/>
      <c r="AI259" s="77"/>
      <c r="AJ259" s="82" t="str">
        <f t="shared" si="6"/>
        <v/>
      </c>
      <c r="AK259" s="83" t="str">
        <f t="shared" si="7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8">IF(MIN(F260,J260,N260,R260,V260,Z260)&lt;&gt;0,MIN(F260,J260,N260,R260,V260,Z260),"")</f>
        <v/>
      </c>
      <c r="AE260" s="80" t="str">
        <f t="shared" ref="AE260:AE323" si="9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0">IF(AD260="","",IF(ISBLANK(AF260),"En cours",AD260+AF260))</f>
        <v/>
      </c>
      <c r="AK260" s="83" t="str">
        <f t="shared" ref="AK260:AK323" si="11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8"/>
        <v/>
      </c>
      <c r="AE261" s="80" t="str">
        <f t="shared" si="9"/>
        <v/>
      </c>
      <c r="AF261" s="81"/>
      <c r="AG261" s="77"/>
      <c r="AH261" s="81"/>
      <c r="AI261" s="77"/>
      <c r="AJ261" s="82" t="str">
        <f t="shared" si="10"/>
        <v/>
      </c>
      <c r="AK261" s="83" t="str">
        <f t="shared" si="11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8"/>
        <v/>
      </c>
      <c r="AE262" s="80" t="str">
        <f t="shared" si="9"/>
        <v/>
      </c>
      <c r="AF262" s="81"/>
      <c r="AG262" s="77"/>
      <c r="AH262" s="81"/>
      <c r="AI262" s="77"/>
      <c r="AJ262" s="82" t="str">
        <f t="shared" si="10"/>
        <v/>
      </c>
      <c r="AK262" s="83" t="str">
        <f t="shared" si="11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8"/>
        <v/>
      </c>
      <c r="AE263" s="80" t="str">
        <f t="shared" si="9"/>
        <v/>
      </c>
      <c r="AF263" s="81"/>
      <c r="AG263" s="77"/>
      <c r="AH263" s="81"/>
      <c r="AI263" s="77"/>
      <c r="AJ263" s="82" t="str">
        <f t="shared" si="10"/>
        <v/>
      </c>
      <c r="AK263" s="83" t="str">
        <f t="shared" si="11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8"/>
        <v/>
      </c>
      <c r="AE264" s="80" t="str">
        <f t="shared" si="9"/>
        <v/>
      </c>
      <c r="AF264" s="81"/>
      <c r="AG264" s="77"/>
      <c r="AH264" s="81"/>
      <c r="AI264" s="77"/>
      <c r="AJ264" s="82" t="str">
        <f t="shared" si="10"/>
        <v/>
      </c>
      <c r="AK264" s="83" t="str">
        <f t="shared" si="11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8"/>
        <v/>
      </c>
      <c r="AE265" s="80" t="str">
        <f t="shared" si="9"/>
        <v/>
      </c>
      <c r="AF265" s="81"/>
      <c r="AG265" s="77"/>
      <c r="AH265" s="81"/>
      <c r="AI265" s="77"/>
      <c r="AJ265" s="82" t="str">
        <f t="shared" si="10"/>
        <v/>
      </c>
      <c r="AK265" s="83" t="str">
        <f t="shared" si="11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8"/>
        <v/>
      </c>
      <c r="AE266" s="80" t="str">
        <f t="shared" si="9"/>
        <v/>
      </c>
      <c r="AF266" s="81"/>
      <c r="AG266" s="77"/>
      <c r="AH266" s="81"/>
      <c r="AI266" s="77"/>
      <c r="AJ266" s="82" t="str">
        <f t="shared" si="10"/>
        <v/>
      </c>
      <c r="AK266" s="83" t="str">
        <f t="shared" si="11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8"/>
        <v/>
      </c>
      <c r="AE267" s="80" t="str">
        <f t="shared" si="9"/>
        <v/>
      </c>
      <c r="AF267" s="81"/>
      <c r="AG267" s="77"/>
      <c r="AH267" s="81"/>
      <c r="AI267" s="77"/>
      <c r="AJ267" s="82" t="str">
        <f t="shared" si="10"/>
        <v/>
      </c>
      <c r="AK267" s="83" t="str">
        <f t="shared" si="11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8"/>
        <v/>
      </c>
      <c r="AE268" s="80" t="str">
        <f t="shared" si="9"/>
        <v/>
      </c>
      <c r="AF268" s="81"/>
      <c r="AG268" s="77"/>
      <c r="AH268" s="81"/>
      <c r="AI268" s="77"/>
      <c r="AJ268" s="82" t="str">
        <f t="shared" si="10"/>
        <v/>
      </c>
      <c r="AK268" s="83" t="str">
        <f t="shared" si="11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8"/>
        <v/>
      </c>
      <c r="AE269" s="80" t="str">
        <f t="shared" si="9"/>
        <v/>
      </c>
      <c r="AF269" s="81"/>
      <c r="AG269" s="77"/>
      <c r="AH269" s="81"/>
      <c r="AI269" s="77"/>
      <c r="AJ269" s="82" t="str">
        <f t="shared" si="10"/>
        <v/>
      </c>
      <c r="AK269" s="83" t="str">
        <f t="shared" si="11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8"/>
        <v/>
      </c>
      <c r="AE270" s="80" t="str">
        <f t="shared" si="9"/>
        <v/>
      </c>
      <c r="AF270" s="81"/>
      <c r="AG270" s="77"/>
      <c r="AH270" s="81"/>
      <c r="AI270" s="77"/>
      <c r="AJ270" s="82" t="str">
        <f t="shared" si="10"/>
        <v/>
      </c>
      <c r="AK270" s="83" t="str">
        <f t="shared" si="11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8"/>
        <v/>
      </c>
      <c r="AE271" s="80" t="str">
        <f t="shared" si="9"/>
        <v/>
      </c>
      <c r="AF271" s="81"/>
      <c r="AG271" s="77"/>
      <c r="AH271" s="81"/>
      <c r="AI271" s="77"/>
      <c r="AJ271" s="82" t="str">
        <f t="shared" si="10"/>
        <v/>
      </c>
      <c r="AK271" s="83" t="str">
        <f t="shared" si="11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8"/>
        <v/>
      </c>
      <c r="AE272" s="80" t="str">
        <f t="shared" si="9"/>
        <v/>
      </c>
      <c r="AF272" s="81"/>
      <c r="AG272" s="77"/>
      <c r="AH272" s="81"/>
      <c r="AI272" s="77"/>
      <c r="AJ272" s="82" t="str">
        <f t="shared" si="10"/>
        <v/>
      </c>
      <c r="AK272" s="83" t="str">
        <f t="shared" si="11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8"/>
        <v/>
      </c>
      <c r="AE273" s="80" t="str">
        <f t="shared" si="9"/>
        <v/>
      </c>
      <c r="AF273" s="81"/>
      <c r="AG273" s="77"/>
      <c r="AH273" s="81"/>
      <c r="AI273" s="77"/>
      <c r="AJ273" s="82" t="str">
        <f t="shared" si="10"/>
        <v/>
      </c>
      <c r="AK273" s="83" t="str">
        <f t="shared" si="11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8"/>
        <v/>
      </c>
      <c r="AE274" s="80" t="str">
        <f t="shared" si="9"/>
        <v/>
      </c>
      <c r="AF274" s="81"/>
      <c r="AG274" s="77"/>
      <c r="AH274" s="81"/>
      <c r="AI274" s="77"/>
      <c r="AJ274" s="82" t="str">
        <f t="shared" si="10"/>
        <v/>
      </c>
      <c r="AK274" s="83" t="str">
        <f t="shared" si="11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8"/>
        <v/>
      </c>
      <c r="AE275" s="80" t="str">
        <f t="shared" si="9"/>
        <v/>
      </c>
      <c r="AF275" s="81"/>
      <c r="AG275" s="77"/>
      <c r="AH275" s="81"/>
      <c r="AI275" s="77"/>
      <c r="AJ275" s="82" t="str">
        <f t="shared" si="10"/>
        <v/>
      </c>
      <c r="AK275" s="83" t="str">
        <f t="shared" si="11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8"/>
        <v/>
      </c>
      <c r="AE276" s="80" t="str">
        <f t="shared" si="9"/>
        <v/>
      </c>
      <c r="AF276" s="81"/>
      <c r="AG276" s="77"/>
      <c r="AH276" s="81"/>
      <c r="AI276" s="77"/>
      <c r="AJ276" s="82" t="str">
        <f t="shared" si="10"/>
        <v/>
      </c>
      <c r="AK276" s="83" t="str">
        <f t="shared" si="11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8"/>
        <v/>
      </c>
      <c r="AE277" s="80" t="str">
        <f t="shared" si="9"/>
        <v/>
      </c>
      <c r="AF277" s="81"/>
      <c r="AG277" s="77"/>
      <c r="AH277" s="81"/>
      <c r="AI277" s="77"/>
      <c r="AJ277" s="82" t="str">
        <f t="shared" si="10"/>
        <v/>
      </c>
      <c r="AK277" s="83" t="str">
        <f t="shared" si="11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8"/>
        <v/>
      </c>
      <c r="AE278" s="80" t="str">
        <f t="shared" si="9"/>
        <v/>
      </c>
      <c r="AF278" s="81"/>
      <c r="AG278" s="77"/>
      <c r="AH278" s="81"/>
      <c r="AI278" s="77"/>
      <c r="AJ278" s="82" t="str">
        <f t="shared" si="10"/>
        <v/>
      </c>
      <c r="AK278" s="83" t="str">
        <f t="shared" si="11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8"/>
        <v/>
      </c>
      <c r="AE279" s="80" t="str">
        <f t="shared" si="9"/>
        <v/>
      </c>
      <c r="AF279" s="81"/>
      <c r="AG279" s="77"/>
      <c r="AH279" s="81"/>
      <c r="AI279" s="77"/>
      <c r="AJ279" s="82" t="str">
        <f t="shared" si="10"/>
        <v/>
      </c>
      <c r="AK279" s="83" t="str">
        <f t="shared" si="11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8"/>
        <v/>
      </c>
      <c r="AE280" s="80" t="str">
        <f t="shared" si="9"/>
        <v/>
      </c>
      <c r="AF280" s="81"/>
      <c r="AG280" s="77"/>
      <c r="AH280" s="81"/>
      <c r="AI280" s="77"/>
      <c r="AJ280" s="82" t="str">
        <f t="shared" si="10"/>
        <v/>
      </c>
      <c r="AK280" s="83" t="str">
        <f t="shared" si="11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8"/>
        <v/>
      </c>
      <c r="AE281" s="80" t="str">
        <f t="shared" si="9"/>
        <v/>
      </c>
      <c r="AF281" s="81"/>
      <c r="AG281" s="77"/>
      <c r="AH281" s="81"/>
      <c r="AI281" s="77"/>
      <c r="AJ281" s="82" t="str">
        <f t="shared" si="10"/>
        <v/>
      </c>
      <c r="AK281" s="83" t="str">
        <f t="shared" si="11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8"/>
        <v/>
      </c>
      <c r="AE282" s="80" t="str">
        <f t="shared" si="9"/>
        <v/>
      </c>
      <c r="AF282" s="81"/>
      <c r="AG282" s="77"/>
      <c r="AH282" s="81"/>
      <c r="AI282" s="77"/>
      <c r="AJ282" s="82" t="str">
        <f t="shared" si="10"/>
        <v/>
      </c>
      <c r="AK282" s="83" t="str">
        <f t="shared" si="11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8"/>
        <v/>
      </c>
      <c r="AE283" s="80" t="str">
        <f t="shared" si="9"/>
        <v/>
      </c>
      <c r="AF283" s="81"/>
      <c r="AG283" s="77"/>
      <c r="AH283" s="81"/>
      <c r="AI283" s="77"/>
      <c r="AJ283" s="82" t="str">
        <f t="shared" si="10"/>
        <v/>
      </c>
      <c r="AK283" s="83" t="str">
        <f t="shared" si="11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8"/>
        <v/>
      </c>
      <c r="AE284" s="80" t="str">
        <f t="shared" si="9"/>
        <v/>
      </c>
      <c r="AF284" s="81"/>
      <c r="AG284" s="77"/>
      <c r="AH284" s="81"/>
      <c r="AI284" s="77"/>
      <c r="AJ284" s="82" t="str">
        <f t="shared" si="10"/>
        <v/>
      </c>
      <c r="AK284" s="83" t="str">
        <f t="shared" si="11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8"/>
        <v/>
      </c>
      <c r="AE285" s="80" t="str">
        <f t="shared" si="9"/>
        <v/>
      </c>
      <c r="AF285" s="81"/>
      <c r="AG285" s="77"/>
      <c r="AH285" s="81"/>
      <c r="AI285" s="77"/>
      <c r="AJ285" s="82" t="str">
        <f t="shared" si="10"/>
        <v/>
      </c>
      <c r="AK285" s="83" t="str">
        <f t="shared" si="11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8"/>
        <v/>
      </c>
      <c r="AE286" s="80" t="str">
        <f t="shared" si="9"/>
        <v/>
      </c>
      <c r="AF286" s="81"/>
      <c r="AG286" s="77"/>
      <c r="AH286" s="81"/>
      <c r="AI286" s="77"/>
      <c r="AJ286" s="82" t="str">
        <f t="shared" si="10"/>
        <v/>
      </c>
      <c r="AK286" s="83" t="str">
        <f t="shared" si="11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8"/>
        <v/>
      </c>
      <c r="AE287" s="80" t="str">
        <f t="shared" si="9"/>
        <v/>
      </c>
      <c r="AF287" s="81"/>
      <c r="AG287" s="77"/>
      <c r="AH287" s="81"/>
      <c r="AI287" s="77"/>
      <c r="AJ287" s="82" t="str">
        <f t="shared" si="10"/>
        <v/>
      </c>
      <c r="AK287" s="83" t="str">
        <f t="shared" si="11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8"/>
        <v/>
      </c>
      <c r="AE288" s="80" t="str">
        <f t="shared" si="9"/>
        <v/>
      </c>
      <c r="AF288" s="81"/>
      <c r="AG288" s="77"/>
      <c r="AH288" s="81"/>
      <c r="AI288" s="77"/>
      <c r="AJ288" s="82" t="str">
        <f t="shared" si="10"/>
        <v/>
      </c>
      <c r="AK288" s="83" t="str">
        <f t="shared" si="11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8"/>
        <v/>
      </c>
      <c r="AE289" s="80" t="str">
        <f t="shared" si="9"/>
        <v/>
      </c>
      <c r="AF289" s="81"/>
      <c r="AG289" s="77"/>
      <c r="AH289" s="81"/>
      <c r="AI289" s="77"/>
      <c r="AJ289" s="82" t="str">
        <f t="shared" si="10"/>
        <v/>
      </c>
      <c r="AK289" s="83" t="str">
        <f t="shared" si="11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8"/>
        <v/>
      </c>
      <c r="AE290" s="80" t="str">
        <f t="shared" si="9"/>
        <v/>
      </c>
      <c r="AF290" s="81"/>
      <c r="AG290" s="77"/>
      <c r="AH290" s="81"/>
      <c r="AI290" s="77"/>
      <c r="AJ290" s="82" t="str">
        <f t="shared" si="10"/>
        <v/>
      </c>
      <c r="AK290" s="83" t="str">
        <f t="shared" si="11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8"/>
        <v/>
      </c>
      <c r="AE291" s="80" t="str">
        <f t="shared" si="9"/>
        <v/>
      </c>
      <c r="AF291" s="81"/>
      <c r="AG291" s="77"/>
      <c r="AH291" s="81"/>
      <c r="AI291" s="77"/>
      <c r="AJ291" s="82" t="str">
        <f t="shared" si="10"/>
        <v/>
      </c>
      <c r="AK291" s="83" t="str">
        <f t="shared" si="11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8"/>
        <v/>
      </c>
      <c r="AE292" s="80" t="str">
        <f t="shared" si="9"/>
        <v/>
      </c>
      <c r="AF292" s="81"/>
      <c r="AG292" s="77"/>
      <c r="AH292" s="81"/>
      <c r="AI292" s="77"/>
      <c r="AJ292" s="82" t="str">
        <f t="shared" si="10"/>
        <v/>
      </c>
      <c r="AK292" s="83" t="str">
        <f t="shared" si="11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8"/>
        <v/>
      </c>
      <c r="AE293" s="80" t="str">
        <f t="shared" si="9"/>
        <v/>
      </c>
      <c r="AF293" s="81"/>
      <c r="AG293" s="77"/>
      <c r="AH293" s="81"/>
      <c r="AI293" s="77"/>
      <c r="AJ293" s="82" t="str">
        <f t="shared" si="10"/>
        <v/>
      </c>
      <c r="AK293" s="83" t="str">
        <f t="shared" si="11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8"/>
        <v/>
      </c>
      <c r="AE294" s="80" t="str">
        <f t="shared" si="9"/>
        <v/>
      </c>
      <c r="AF294" s="81"/>
      <c r="AG294" s="77"/>
      <c r="AH294" s="81"/>
      <c r="AI294" s="77"/>
      <c r="AJ294" s="82" t="str">
        <f t="shared" si="10"/>
        <v/>
      </c>
      <c r="AK294" s="83" t="str">
        <f t="shared" si="11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8"/>
        <v/>
      </c>
      <c r="AE295" s="80" t="str">
        <f t="shared" si="9"/>
        <v/>
      </c>
      <c r="AF295" s="81"/>
      <c r="AG295" s="77"/>
      <c r="AH295" s="81"/>
      <c r="AI295" s="77"/>
      <c r="AJ295" s="82" t="str">
        <f t="shared" si="10"/>
        <v/>
      </c>
      <c r="AK295" s="83" t="str">
        <f t="shared" si="11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8"/>
        <v/>
      </c>
      <c r="AE296" s="80" t="str">
        <f t="shared" si="9"/>
        <v/>
      </c>
      <c r="AF296" s="81"/>
      <c r="AG296" s="77"/>
      <c r="AH296" s="81"/>
      <c r="AI296" s="77"/>
      <c r="AJ296" s="82" t="str">
        <f t="shared" si="10"/>
        <v/>
      </c>
      <c r="AK296" s="83" t="str">
        <f t="shared" si="11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8"/>
        <v/>
      </c>
      <c r="AE297" s="80" t="str">
        <f t="shared" si="9"/>
        <v/>
      </c>
      <c r="AF297" s="81"/>
      <c r="AG297" s="77"/>
      <c r="AH297" s="81"/>
      <c r="AI297" s="77"/>
      <c r="AJ297" s="82" t="str">
        <f t="shared" si="10"/>
        <v/>
      </c>
      <c r="AK297" s="83" t="str">
        <f t="shared" si="11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8"/>
        <v/>
      </c>
      <c r="AE298" s="80" t="str">
        <f t="shared" si="9"/>
        <v/>
      </c>
      <c r="AF298" s="81"/>
      <c r="AG298" s="77"/>
      <c r="AH298" s="81"/>
      <c r="AI298" s="77"/>
      <c r="AJ298" s="82" t="str">
        <f t="shared" si="10"/>
        <v/>
      </c>
      <c r="AK298" s="83" t="str">
        <f t="shared" si="11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8"/>
        <v/>
      </c>
      <c r="AE299" s="80" t="str">
        <f t="shared" si="9"/>
        <v/>
      </c>
      <c r="AF299" s="81"/>
      <c r="AG299" s="77"/>
      <c r="AH299" s="81"/>
      <c r="AI299" s="77"/>
      <c r="AJ299" s="82" t="str">
        <f t="shared" si="10"/>
        <v/>
      </c>
      <c r="AK299" s="83" t="str">
        <f t="shared" si="11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8"/>
        <v/>
      </c>
      <c r="AE300" s="80" t="str">
        <f t="shared" si="9"/>
        <v/>
      </c>
      <c r="AF300" s="81"/>
      <c r="AG300" s="77"/>
      <c r="AH300" s="81"/>
      <c r="AI300" s="77"/>
      <c r="AJ300" s="82" t="str">
        <f t="shared" si="10"/>
        <v/>
      </c>
      <c r="AK300" s="83" t="str">
        <f t="shared" si="11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8"/>
        <v/>
      </c>
      <c r="AE301" s="80" t="str">
        <f t="shared" si="9"/>
        <v/>
      </c>
      <c r="AF301" s="81"/>
      <c r="AG301" s="77"/>
      <c r="AH301" s="81"/>
      <c r="AI301" s="77"/>
      <c r="AJ301" s="82" t="str">
        <f t="shared" si="10"/>
        <v/>
      </c>
      <c r="AK301" s="83" t="str">
        <f t="shared" si="11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8"/>
        <v/>
      </c>
      <c r="AE302" s="80" t="str">
        <f t="shared" si="9"/>
        <v/>
      </c>
      <c r="AF302" s="81"/>
      <c r="AG302" s="77"/>
      <c r="AH302" s="81"/>
      <c r="AI302" s="77"/>
      <c r="AJ302" s="82" t="str">
        <f t="shared" si="10"/>
        <v/>
      </c>
      <c r="AK302" s="83" t="str">
        <f t="shared" si="11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8"/>
        <v/>
      </c>
      <c r="AE303" s="80" t="str">
        <f t="shared" si="9"/>
        <v/>
      </c>
      <c r="AF303" s="81"/>
      <c r="AG303" s="77"/>
      <c r="AH303" s="81"/>
      <c r="AI303" s="77"/>
      <c r="AJ303" s="82" t="str">
        <f t="shared" si="10"/>
        <v/>
      </c>
      <c r="AK303" s="83" t="str">
        <f t="shared" si="11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8"/>
        <v/>
      </c>
      <c r="AE304" s="80" t="str">
        <f t="shared" si="9"/>
        <v/>
      </c>
      <c r="AF304" s="81"/>
      <c r="AG304" s="77"/>
      <c r="AH304" s="81"/>
      <c r="AI304" s="77"/>
      <c r="AJ304" s="82" t="str">
        <f t="shared" si="10"/>
        <v/>
      </c>
      <c r="AK304" s="83" t="str">
        <f t="shared" si="11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8"/>
        <v/>
      </c>
      <c r="AE305" s="80" t="str">
        <f t="shared" si="9"/>
        <v/>
      </c>
      <c r="AF305" s="81"/>
      <c r="AG305" s="77"/>
      <c r="AH305" s="81"/>
      <c r="AI305" s="77"/>
      <c r="AJ305" s="82" t="str">
        <f t="shared" si="10"/>
        <v/>
      </c>
      <c r="AK305" s="83" t="str">
        <f t="shared" si="11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8"/>
        <v/>
      </c>
      <c r="AE306" s="80" t="str">
        <f t="shared" si="9"/>
        <v/>
      </c>
      <c r="AF306" s="81"/>
      <c r="AG306" s="77"/>
      <c r="AH306" s="81"/>
      <c r="AI306" s="77"/>
      <c r="AJ306" s="82" t="str">
        <f t="shared" si="10"/>
        <v/>
      </c>
      <c r="AK306" s="83" t="str">
        <f t="shared" si="11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8"/>
        <v/>
      </c>
      <c r="AE307" s="80" t="str">
        <f t="shared" si="9"/>
        <v/>
      </c>
      <c r="AF307" s="81"/>
      <c r="AG307" s="77"/>
      <c r="AH307" s="81"/>
      <c r="AI307" s="77"/>
      <c r="AJ307" s="82" t="str">
        <f t="shared" si="10"/>
        <v/>
      </c>
      <c r="AK307" s="83" t="str">
        <f t="shared" si="11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8"/>
        <v/>
      </c>
      <c r="AE308" s="80" t="str">
        <f t="shared" si="9"/>
        <v/>
      </c>
      <c r="AF308" s="81"/>
      <c r="AG308" s="77"/>
      <c r="AH308" s="81"/>
      <c r="AI308" s="77"/>
      <c r="AJ308" s="82" t="str">
        <f t="shared" si="10"/>
        <v/>
      </c>
      <c r="AK308" s="83" t="str">
        <f t="shared" si="11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8"/>
        <v/>
      </c>
      <c r="AE309" s="80" t="str">
        <f t="shared" si="9"/>
        <v/>
      </c>
      <c r="AF309" s="81"/>
      <c r="AG309" s="77"/>
      <c r="AH309" s="81"/>
      <c r="AI309" s="77"/>
      <c r="AJ309" s="82" t="str">
        <f t="shared" si="10"/>
        <v/>
      </c>
      <c r="AK309" s="83" t="str">
        <f t="shared" si="11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8"/>
        <v/>
      </c>
      <c r="AE310" s="80" t="str">
        <f t="shared" si="9"/>
        <v/>
      </c>
      <c r="AF310" s="81"/>
      <c r="AG310" s="77"/>
      <c r="AH310" s="81"/>
      <c r="AI310" s="77"/>
      <c r="AJ310" s="82" t="str">
        <f t="shared" si="10"/>
        <v/>
      </c>
      <c r="AK310" s="83" t="str">
        <f t="shared" si="11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8"/>
        <v/>
      </c>
      <c r="AE311" s="80" t="str">
        <f t="shared" si="9"/>
        <v/>
      </c>
      <c r="AF311" s="81"/>
      <c r="AG311" s="77"/>
      <c r="AH311" s="81"/>
      <c r="AI311" s="77"/>
      <c r="AJ311" s="82" t="str">
        <f t="shared" si="10"/>
        <v/>
      </c>
      <c r="AK311" s="83" t="str">
        <f t="shared" si="11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8"/>
        <v/>
      </c>
      <c r="AE312" s="80" t="str">
        <f t="shared" si="9"/>
        <v/>
      </c>
      <c r="AF312" s="81"/>
      <c r="AG312" s="77"/>
      <c r="AH312" s="81"/>
      <c r="AI312" s="77"/>
      <c r="AJ312" s="82" t="str">
        <f t="shared" si="10"/>
        <v/>
      </c>
      <c r="AK312" s="83" t="str">
        <f t="shared" si="11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8"/>
        <v/>
      </c>
      <c r="AE313" s="80" t="str">
        <f t="shared" si="9"/>
        <v/>
      </c>
      <c r="AF313" s="81"/>
      <c r="AG313" s="77"/>
      <c r="AH313" s="81"/>
      <c r="AI313" s="77"/>
      <c r="AJ313" s="82" t="str">
        <f t="shared" si="10"/>
        <v/>
      </c>
      <c r="AK313" s="83" t="str">
        <f t="shared" si="11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8"/>
        <v/>
      </c>
      <c r="AE314" s="80" t="str">
        <f t="shared" si="9"/>
        <v/>
      </c>
      <c r="AF314" s="81"/>
      <c r="AG314" s="77"/>
      <c r="AH314" s="81"/>
      <c r="AI314" s="77"/>
      <c r="AJ314" s="82" t="str">
        <f t="shared" si="10"/>
        <v/>
      </c>
      <c r="AK314" s="83" t="str">
        <f t="shared" si="11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8"/>
        <v/>
      </c>
      <c r="AE315" s="80" t="str">
        <f t="shared" si="9"/>
        <v/>
      </c>
      <c r="AF315" s="81"/>
      <c r="AG315" s="77"/>
      <c r="AH315" s="81"/>
      <c r="AI315" s="77"/>
      <c r="AJ315" s="82" t="str">
        <f t="shared" si="10"/>
        <v/>
      </c>
      <c r="AK315" s="83" t="str">
        <f t="shared" si="11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8"/>
        <v/>
      </c>
      <c r="AE316" s="80" t="str">
        <f t="shared" si="9"/>
        <v/>
      </c>
      <c r="AF316" s="81"/>
      <c r="AG316" s="77"/>
      <c r="AH316" s="81"/>
      <c r="AI316" s="77"/>
      <c r="AJ316" s="82" t="str">
        <f t="shared" si="10"/>
        <v/>
      </c>
      <c r="AK316" s="83" t="str">
        <f t="shared" si="11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8"/>
        <v/>
      </c>
      <c r="AE317" s="80" t="str">
        <f t="shared" si="9"/>
        <v/>
      </c>
      <c r="AF317" s="81"/>
      <c r="AG317" s="77"/>
      <c r="AH317" s="81"/>
      <c r="AI317" s="77"/>
      <c r="AJ317" s="82" t="str">
        <f t="shared" si="10"/>
        <v/>
      </c>
      <c r="AK317" s="83" t="str">
        <f t="shared" si="11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8"/>
        <v/>
      </c>
      <c r="AE318" s="80" t="str">
        <f t="shared" si="9"/>
        <v/>
      </c>
      <c r="AF318" s="81"/>
      <c r="AG318" s="77"/>
      <c r="AH318" s="81"/>
      <c r="AI318" s="77"/>
      <c r="AJ318" s="82" t="str">
        <f t="shared" si="10"/>
        <v/>
      </c>
      <c r="AK318" s="83" t="str">
        <f t="shared" si="11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8"/>
        <v/>
      </c>
      <c r="AE319" s="80" t="str">
        <f t="shared" si="9"/>
        <v/>
      </c>
      <c r="AF319" s="81"/>
      <c r="AG319" s="77"/>
      <c r="AH319" s="81"/>
      <c r="AI319" s="77"/>
      <c r="AJ319" s="82" t="str">
        <f t="shared" si="10"/>
        <v/>
      </c>
      <c r="AK319" s="83" t="str">
        <f t="shared" si="11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8"/>
        <v/>
      </c>
      <c r="AE320" s="80" t="str">
        <f t="shared" si="9"/>
        <v/>
      </c>
      <c r="AF320" s="81"/>
      <c r="AG320" s="77"/>
      <c r="AH320" s="81"/>
      <c r="AI320" s="77"/>
      <c r="AJ320" s="82" t="str">
        <f t="shared" si="10"/>
        <v/>
      </c>
      <c r="AK320" s="83" t="str">
        <f t="shared" si="11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8"/>
        <v/>
      </c>
      <c r="AE321" s="80" t="str">
        <f t="shared" si="9"/>
        <v/>
      </c>
      <c r="AF321" s="81"/>
      <c r="AG321" s="77"/>
      <c r="AH321" s="81"/>
      <c r="AI321" s="77"/>
      <c r="AJ321" s="82" t="str">
        <f t="shared" si="10"/>
        <v/>
      </c>
      <c r="AK321" s="83" t="str">
        <f t="shared" si="11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8"/>
        <v/>
      </c>
      <c r="AE322" s="80" t="str">
        <f t="shared" si="9"/>
        <v/>
      </c>
      <c r="AF322" s="81"/>
      <c r="AG322" s="77"/>
      <c r="AH322" s="81"/>
      <c r="AI322" s="77"/>
      <c r="AJ322" s="82" t="str">
        <f t="shared" si="10"/>
        <v/>
      </c>
      <c r="AK322" s="83" t="str">
        <f t="shared" si="11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8"/>
        <v/>
      </c>
      <c r="AE323" s="80" t="str">
        <f t="shared" si="9"/>
        <v/>
      </c>
      <c r="AF323" s="81"/>
      <c r="AG323" s="77"/>
      <c r="AH323" s="81"/>
      <c r="AI323" s="77"/>
      <c r="AJ323" s="82" t="str">
        <f t="shared" si="10"/>
        <v/>
      </c>
      <c r="AK323" s="83" t="str">
        <f t="shared" si="11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12">IF(MIN(F324,J324,N324,R324,V324,Z324)&lt;&gt;0,MIN(F324,J324,N324,R324,V324,Z324),"")</f>
        <v/>
      </c>
      <c r="AE324" s="80" t="str">
        <f t="shared" ref="AE324:AE350" si="13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14">IF(AD324="","",IF(ISBLANK(AF324),"En cours",AD324+AF324))</f>
        <v/>
      </c>
      <c r="AK324" s="83" t="str">
        <f t="shared" ref="AK324:AK350" si="15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12"/>
        <v/>
      </c>
      <c r="AE325" s="80" t="str">
        <f t="shared" si="13"/>
        <v/>
      </c>
      <c r="AF325" s="81"/>
      <c r="AG325" s="77"/>
      <c r="AH325" s="81"/>
      <c r="AI325" s="77"/>
      <c r="AJ325" s="82" t="str">
        <f t="shared" si="14"/>
        <v/>
      </c>
      <c r="AK325" s="83" t="str">
        <f t="shared" si="15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12"/>
        <v/>
      </c>
      <c r="AE326" s="80" t="str">
        <f t="shared" si="13"/>
        <v/>
      </c>
      <c r="AF326" s="81"/>
      <c r="AG326" s="77"/>
      <c r="AH326" s="81"/>
      <c r="AI326" s="77"/>
      <c r="AJ326" s="82" t="str">
        <f t="shared" si="14"/>
        <v/>
      </c>
      <c r="AK326" s="83" t="str">
        <f t="shared" si="15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12"/>
        <v/>
      </c>
      <c r="AE327" s="80" t="str">
        <f t="shared" si="13"/>
        <v/>
      </c>
      <c r="AF327" s="81"/>
      <c r="AG327" s="77"/>
      <c r="AH327" s="81"/>
      <c r="AI327" s="77"/>
      <c r="AJ327" s="82" t="str">
        <f t="shared" si="14"/>
        <v/>
      </c>
      <c r="AK327" s="83" t="str">
        <f t="shared" si="15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12"/>
        <v/>
      </c>
      <c r="AE328" s="80" t="str">
        <f t="shared" si="13"/>
        <v/>
      </c>
      <c r="AF328" s="81"/>
      <c r="AG328" s="77"/>
      <c r="AH328" s="81"/>
      <c r="AI328" s="77"/>
      <c r="AJ328" s="82" t="str">
        <f t="shared" si="14"/>
        <v/>
      </c>
      <c r="AK328" s="83" t="str">
        <f t="shared" si="15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12"/>
        <v/>
      </c>
      <c r="AE329" s="80" t="str">
        <f t="shared" si="13"/>
        <v/>
      </c>
      <c r="AF329" s="81"/>
      <c r="AG329" s="77"/>
      <c r="AH329" s="81"/>
      <c r="AI329" s="77"/>
      <c r="AJ329" s="82" t="str">
        <f t="shared" si="14"/>
        <v/>
      </c>
      <c r="AK329" s="83" t="str">
        <f t="shared" si="15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12"/>
        <v/>
      </c>
      <c r="AE330" s="80" t="str">
        <f t="shared" si="13"/>
        <v/>
      </c>
      <c r="AF330" s="81"/>
      <c r="AG330" s="77"/>
      <c r="AH330" s="81"/>
      <c r="AI330" s="77"/>
      <c r="AJ330" s="82" t="str">
        <f t="shared" si="14"/>
        <v/>
      </c>
      <c r="AK330" s="83" t="str">
        <f t="shared" si="15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12"/>
        <v/>
      </c>
      <c r="AE331" s="80" t="str">
        <f t="shared" si="13"/>
        <v/>
      </c>
      <c r="AF331" s="81"/>
      <c r="AG331" s="77"/>
      <c r="AH331" s="81"/>
      <c r="AI331" s="77"/>
      <c r="AJ331" s="82" t="str">
        <f t="shared" si="14"/>
        <v/>
      </c>
      <c r="AK331" s="83" t="str">
        <f t="shared" si="15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12"/>
        <v/>
      </c>
      <c r="AE332" s="80" t="str">
        <f t="shared" si="13"/>
        <v/>
      </c>
      <c r="AF332" s="81"/>
      <c r="AG332" s="77"/>
      <c r="AH332" s="81"/>
      <c r="AI332" s="77"/>
      <c r="AJ332" s="82" t="str">
        <f t="shared" si="14"/>
        <v/>
      </c>
      <c r="AK332" s="83" t="str">
        <f t="shared" si="15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12"/>
        <v/>
      </c>
      <c r="AE333" s="80" t="str">
        <f t="shared" si="13"/>
        <v/>
      </c>
      <c r="AF333" s="81"/>
      <c r="AG333" s="77"/>
      <c r="AH333" s="81"/>
      <c r="AI333" s="77"/>
      <c r="AJ333" s="82" t="str">
        <f t="shared" si="14"/>
        <v/>
      </c>
      <c r="AK333" s="83" t="str">
        <f t="shared" si="15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12"/>
        <v/>
      </c>
      <c r="AE334" s="80" t="str">
        <f t="shared" si="13"/>
        <v/>
      </c>
      <c r="AF334" s="81"/>
      <c r="AG334" s="77"/>
      <c r="AH334" s="81"/>
      <c r="AI334" s="77"/>
      <c r="AJ334" s="82" t="str">
        <f t="shared" si="14"/>
        <v/>
      </c>
      <c r="AK334" s="83" t="str">
        <f t="shared" si="15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12"/>
        <v/>
      </c>
      <c r="AE335" s="80" t="str">
        <f t="shared" si="13"/>
        <v/>
      </c>
      <c r="AF335" s="81"/>
      <c r="AG335" s="77"/>
      <c r="AH335" s="81"/>
      <c r="AI335" s="77"/>
      <c r="AJ335" s="82" t="str">
        <f t="shared" si="14"/>
        <v/>
      </c>
      <c r="AK335" s="83" t="str">
        <f t="shared" si="15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12"/>
        <v/>
      </c>
      <c r="AE336" s="80" t="str">
        <f t="shared" si="13"/>
        <v/>
      </c>
      <c r="AF336" s="81"/>
      <c r="AG336" s="77"/>
      <c r="AH336" s="81"/>
      <c r="AI336" s="77"/>
      <c r="AJ336" s="82" t="str">
        <f t="shared" si="14"/>
        <v/>
      </c>
      <c r="AK336" s="83" t="str">
        <f t="shared" si="15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12"/>
        <v/>
      </c>
      <c r="AE337" s="80" t="str">
        <f t="shared" si="13"/>
        <v/>
      </c>
      <c r="AF337" s="81"/>
      <c r="AG337" s="77"/>
      <c r="AH337" s="81"/>
      <c r="AI337" s="77"/>
      <c r="AJ337" s="82" t="str">
        <f t="shared" si="14"/>
        <v/>
      </c>
      <c r="AK337" s="83" t="str">
        <f t="shared" si="15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12"/>
        <v/>
      </c>
      <c r="AE338" s="80" t="str">
        <f t="shared" si="13"/>
        <v/>
      </c>
      <c r="AF338" s="81"/>
      <c r="AG338" s="77"/>
      <c r="AH338" s="81"/>
      <c r="AI338" s="77"/>
      <c r="AJ338" s="82" t="str">
        <f t="shared" si="14"/>
        <v/>
      </c>
      <c r="AK338" s="83" t="str">
        <f t="shared" si="15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12"/>
        <v/>
      </c>
      <c r="AE339" s="80" t="str">
        <f t="shared" si="13"/>
        <v/>
      </c>
      <c r="AF339" s="81"/>
      <c r="AG339" s="77"/>
      <c r="AH339" s="81"/>
      <c r="AI339" s="77"/>
      <c r="AJ339" s="82" t="str">
        <f t="shared" si="14"/>
        <v/>
      </c>
      <c r="AK339" s="83" t="str">
        <f t="shared" si="15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12"/>
        <v/>
      </c>
      <c r="AE340" s="80" t="str">
        <f t="shared" si="13"/>
        <v/>
      </c>
      <c r="AF340" s="81"/>
      <c r="AG340" s="77"/>
      <c r="AH340" s="81"/>
      <c r="AI340" s="77"/>
      <c r="AJ340" s="82" t="str">
        <f t="shared" si="14"/>
        <v/>
      </c>
      <c r="AK340" s="83" t="str">
        <f t="shared" si="15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12"/>
        <v/>
      </c>
      <c r="AE341" s="80" t="str">
        <f t="shared" si="13"/>
        <v/>
      </c>
      <c r="AF341" s="81"/>
      <c r="AG341" s="77"/>
      <c r="AH341" s="81"/>
      <c r="AI341" s="77"/>
      <c r="AJ341" s="82" t="str">
        <f t="shared" si="14"/>
        <v/>
      </c>
      <c r="AK341" s="83" t="str">
        <f t="shared" si="15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12"/>
        <v/>
      </c>
      <c r="AE342" s="80" t="str">
        <f t="shared" si="13"/>
        <v/>
      </c>
      <c r="AF342" s="81"/>
      <c r="AG342" s="77"/>
      <c r="AH342" s="81"/>
      <c r="AI342" s="77"/>
      <c r="AJ342" s="82" t="str">
        <f t="shared" si="14"/>
        <v/>
      </c>
      <c r="AK342" s="83" t="str">
        <f t="shared" si="15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12"/>
        <v/>
      </c>
      <c r="AE343" s="80" t="str">
        <f t="shared" si="13"/>
        <v/>
      </c>
      <c r="AF343" s="81"/>
      <c r="AG343" s="77"/>
      <c r="AH343" s="81"/>
      <c r="AI343" s="77"/>
      <c r="AJ343" s="82" t="str">
        <f t="shared" si="14"/>
        <v/>
      </c>
      <c r="AK343" s="83" t="str">
        <f t="shared" si="15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12"/>
        <v/>
      </c>
      <c r="AE344" s="80" t="str">
        <f t="shared" si="13"/>
        <v/>
      </c>
      <c r="AF344" s="81"/>
      <c r="AG344" s="77"/>
      <c r="AH344" s="81"/>
      <c r="AI344" s="77"/>
      <c r="AJ344" s="82" t="str">
        <f t="shared" si="14"/>
        <v/>
      </c>
      <c r="AK344" s="83" t="str">
        <f t="shared" si="15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12"/>
        <v/>
      </c>
      <c r="AE345" s="80" t="str">
        <f t="shared" si="13"/>
        <v/>
      </c>
      <c r="AF345" s="81"/>
      <c r="AG345" s="77"/>
      <c r="AH345" s="81"/>
      <c r="AI345" s="77"/>
      <c r="AJ345" s="82" t="str">
        <f t="shared" si="14"/>
        <v/>
      </c>
      <c r="AK345" s="83" t="str">
        <f t="shared" si="15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12"/>
        <v/>
      </c>
      <c r="AE346" s="80" t="str">
        <f t="shared" si="13"/>
        <v/>
      </c>
      <c r="AF346" s="81"/>
      <c r="AG346" s="77"/>
      <c r="AH346" s="81"/>
      <c r="AI346" s="77"/>
      <c r="AJ346" s="82" t="str">
        <f t="shared" si="14"/>
        <v/>
      </c>
      <c r="AK346" s="83" t="str">
        <f t="shared" si="15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12"/>
        <v/>
      </c>
      <c r="AE347" s="80" t="str">
        <f t="shared" si="13"/>
        <v/>
      </c>
      <c r="AF347" s="81"/>
      <c r="AG347" s="77"/>
      <c r="AH347" s="81"/>
      <c r="AI347" s="77"/>
      <c r="AJ347" s="82" t="str">
        <f t="shared" si="14"/>
        <v/>
      </c>
      <c r="AK347" s="83" t="str">
        <f t="shared" si="15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12"/>
        <v/>
      </c>
      <c r="AE348" s="80" t="str">
        <f t="shared" si="13"/>
        <v/>
      </c>
      <c r="AF348" s="81"/>
      <c r="AG348" s="77"/>
      <c r="AH348" s="81"/>
      <c r="AI348" s="77"/>
      <c r="AJ348" s="82" t="str">
        <f t="shared" si="14"/>
        <v/>
      </c>
      <c r="AK348" s="83" t="str">
        <f t="shared" si="15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12"/>
        <v/>
      </c>
      <c r="AE349" s="80" t="str">
        <f t="shared" si="13"/>
        <v/>
      </c>
      <c r="AF349" s="81"/>
      <c r="AG349" s="77"/>
      <c r="AH349" s="81"/>
      <c r="AI349" s="77"/>
      <c r="AJ349" s="82" t="str">
        <f t="shared" si="14"/>
        <v/>
      </c>
      <c r="AK349" s="83" t="str">
        <f t="shared" si="15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12"/>
        <v/>
      </c>
      <c r="AE350" s="80" t="str">
        <f t="shared" si="13"/>
        <v/>
      </c>
      <c r="AF350" s="81"/>
      <c r="AG350" s="77"/>
      <c r="AH350" s="81"/>
      <c r="AI350" s="77"/>
      <c r="AJ350" s="82" t="str">
        <f t="shared" si="14"/>
        <v/>
      </c>
      <c r="AK350" s="83" t="str">
        <f t="shared" si="15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12303" priority="76289" stopIfTrue="1" operator="equal">
      <formula>"En cours"</formula>
    </cfRule>
  </conditionalFormatting>
  <conditionalFormatting sqref="AJ181">
    <cfRule type="cellIs" dxfId="12302" priority="76290" stopIfTrue="1" operator="notEqual">
      <formula>"En cours"</formula>
    </cfRule>
  </conditionalFormatting>
  <conditionalFormatting sqref="AK181">
    <cfRule type="cellIs" dxfId="12301" priority="76291" stopIfTrue="1" operator="equal">
      <formula>"En cours"</formula>
    </cfRule>
  </conditionalFormatting>
  <conditionalFormatting sqref="AK181">
    <cfRule type="cellIs" dxfId="12300" priority="76292" stopIfTrue="1" operator="notEqual">
      <formula>"En cours"</formula>
    </cfRule>
  </conditionalFormatting>
  <conditionalFormatting sqref="AJ7">
    <cfRule type="cellIs" dxfId="7775" priority="80817" stopIfTrue="1" operator="equal">
      <formula>"En cours"</formula>
    </cfRule>
  </conditionalFormatting>
  <conditionalFormatting sqref="AJ7">
    <cfRule type="cellIs" dxfId="7774" priority="80818" stopIfTrue="1" operator="notEqual">
      <formula>"En cours"</formula>
    </cfRule>
  </conditionalFormatting>
  <conditionalFormatting sqref="AK7">
    <cfRule type="cellIs" dxfId="7773" priority="80819" stopIfTrue="1" operator="equal">
      <formula>"En cours"</formula>
    </cfRule>
  </conditionalFormatting>
  <conditionalFormatting sqref="AK7">
    <cfRule type="cellIs" dxfId="7772" priority="80820" stopIfTrue="1" operator="notEqual">
      <formula>"En cours"</formula>
    </cfRule>
  </conditionalFormatting>
  <conditionalFormatting sqref="AJ10">
    <cfRule type="cellIs" dxfId="7771" priority="80821" stopIfTrue="1" operator="equal">
      <formula>"En cours"</formula>
    </cfRule>
  </conditionalFormatting>
  <conditionalFormatting sqref="AJ10">
    <cfRule type="cellIs" dxfId="7770" priority="80822" stopIfTrue="1" operator="notEqual">
      <formula>"En cours"</formula>
    </cfRule>
  </conditionalFormatting>
  <conditionalFormatting sqref="AK10">
    <cfRule type="cellIs" dxfId="7769" priority="80823" stopIfTrue="1" operator="equal">
      <formula>"En cours"</formula>
    </cfRule>
  </conditionalFormatting>
  <conditionalFormatting sqref="AK10">
    <cfRule type="cellIs" dxfId="7768" priority="80824" stopIfTrue="1" operator="notEqual">
      <formula>"En cours"</formula>
    </cfRule>
  </conditionalFormatting>
  <conditionalFormatting sqref="AJ8">
    <cfRule type="cellIs" dxfId="7767" priority="80825" stopIfTrue="1" operator="equal">
      <formula>"En cours"</formula>
    </cfRule>
  </conditionalFormatting>
  <conditionalFormatting sqref="AJ8">
    <cfRule type="cellIs" dxfId="7766" priority="80826" stopIfTrue="1" operator="notEqual">
      <formula>"En cours"</formula>
    </cfRule>
  </conditionalFormatting>
  <conditionalFormatting sqref="AK8">
    <cfRule type="cellIs" dxfId="7765" priority="80827" stopIfTrue="1" operator="equal">
      <formula>"En cours"</formula>
    </cfRule>
  </conditionalFormatting>
  <conditionalFormatting sqref="AK8">
    <cfRule type="cellIs" dxfId="7764" priority="80828" stopIfTrue="1" operator="notEqual">
      <formula>"En cours"</formula>
    </cfRule>
  </conditionalFormatting>
  <conditionalFormatting sqref="AJ18">
    <cfRule type="cellIs" dxfId="7727" priority="80865" stopIfTrue="1" operator="equal">
      <formula>"En cours"</formula>
    </cfRule>
  </conditionalFormatting>
  <conditionalFormatting sqref="AJ18">
    <cfRule type="cellIs" dxfId="7726" priority="80866" stopIfTrue="1" operator="notEqual">
      <formula>"En cours"</formula>
    </cfRule>
  </conditionalFormatting>
  <conditionalFormatting sqref="AK18">
    <cfRule type="cellIs" dxfId="7725" priority="80867" stopIfTrue="1" operator="equal">
      <formula>"En cours"</formula>
    </cfRule>
  </conditionalFormatting>
  <conditionalFormatting sqref="AK18">
    <cfRule type="cellIs" dxfId="7724" priority="80868" stopIfTrue="1" operator="notEqual">
      <formula>"En cours"</formula>
    </cfRule>
  </conditionalFormatting>
  <conditionalFormatting sqref="AJ14">
    <cfRule type="cellIs" dxfId="7139" priority="81453" stopIfTrue="1" operator="equal">
      <formula>"En cours"</formula>
    </cfRule>
  </conditionalFormatting>
  <conditionalFormatting sqref="AJ14">
    <cfRule type="cellIs" dxfId="7138" priority="81454" stopIfTrue="1" operator="notEqual">
      <formula>"En cours"</formula>
    </cfRule>
  </conditionalFormatting>
  <conditionalFormatting sqref="AK14">
    <cfRule type="cellIs" dxfId="7137" priority="81455" stopIfTrue="1" operator="equal">
      <formula>"En cours"</formula>
    </cfRule>
  </conditionalFormatting>
  <conditionalFormatting sqref="AK14">
    <cfRule type="cellIs" dxfId="7136" priority="81456" stopIfTrue="1" operator="notEqual">
      <formula>"En cours"</formula>
    </cfRule>
  </conditionalFormatting>
  <conditionalFormatting sqref="AJ24">
    <cfRule type="cellIs" dxfId="7131" priority="81461" stopIfTrue="1" operator="equal">
      <formula>"En cours"</formula>
    </cfRule>
  </conditionalFormatting>
  <conditionalFormatting sqref="AJ24">
    <cfRule type="cellIs" dxfId="7130" priority="81462" stopIfTrue="1" operator="notEqual">
      <formula>"En cours"</formula>
    </cfRule>
  </conditionalFormatting>
  <conditionalFormatting sqref="AK24">
    <cfRule type="cellIs" dxfId="7129" priority="81463" stopIfTrue="1" operator="equal">
      <formula>"En cours"</formula>
    </cfRule>
  </conditionalFormatting>
  <conditionalFormatting sqref="AK24">
    <cfRule type="cellIs" dxfId="7128" priority="81464" stopIfTrue="1" operator="notEqual">
      <formula>"En cours"</formula>
    </cfRule>
  </conditionalFormatting>
  <conditionalFormatting sqref="AJ98">
    <cfRule type="cellIs" dxfId="6983" priority="81609" stopIfTrue="1" operator="equal">
      <formula>"En cours"</formula>
    </cfRule>
  </conditionalFormatting>
  <conditionalFormatting sqref="AJ98">
    <cfRule type="cellIs" dxfId="6982" priority="81610" stopIfTrue="1" operator="notEqual">
      <formula>"En cours"</formula>
    </cfRule>
  </conditionalFormatting>
  <conditionalFormatting sqref="AK98">
    <cfRule type="cellIs" dxfId="6981" priority="81611" stopIfTrue="1" operator="equal">
      <formula>"En cours"</formula>
    </cfRule>
  </conditionalFormatting>
  <conditionalFormatting sqref="AK98">
    <cfRule type="cellIs" dxfId="6980" priority="81612" stopIfTrue="1" operator="notEqual">
      <formula>"En cours"</formula>
    </cfRule>
  </conditionalFormatting>
  <conditionalFormatting sqref="AJ100">
    <cfRule type="cellIs" dxfId="6975" priority="81617" stopIfTrue="1" operator="equal">
      <formula>"En cours"</formula>
    </cfRule>
  </conditionalFormatting>
  <conditionalFormatting sqref="AJ100">
    <cfRule type="cellIs" dxfId="6974" priority="81618" stopIfTrue="1" operator="notEqual">
      <formula>"En cours"</formula>
    </cfRule>
  </conditionalFormatting>
  <conditionalFormatting sqref="AK100">
    <cfRule type="cellIs" dxfId="6973" priority="81619" stopIfTrue="1" operator="equal">
      <formula>"En cours"</formula>
    </cfRule>
  </conditionalFormatting>
  <conditionalFormatting sqref="AK100">
    <cfRule type="cellIs" dxfId="6972" priority="81620" stopIfTrue="1" operator="notEqual">
      <formula>"En cours"</formula>
    </cfRule>
  </conditionalFormatting>
  <conditionalFormatting sqref="AJ103">
    <cfRule type="cellIs" dxfId="6947" priority="81645" stopIfTrue="1" operator="equal">
      <formula>"En cours"</formula>
    </cfRule>
  </conditionalFormatting>
  <conditionalFormatting sqref="AJ103">
    <cfRule type="cellIs" dxfId="6946" priority="81646" stopIfTrue="1" operator="notEqual">
      <formula>"En cours"</formula>
    </cfRule>
  </conditionalFormatting>
  <conditionalFormatting sqref="AK103">
    <cfRule type="cellIs" dxfId="6945" priority="81647" stopIfTrue="1" operator="equal">
      <formula>"En cours"</formula>
    </cfRule>
  </conditionalFormatting>
  <conditionalFormatting sqref="AK103">
    <cfRule type="cellIs" dxfId="6944" priority="81648" stopIfTrue="1" operator="notEqual">
      <formula>"En cours"</formula>
    </cfRule>
  </conditionalFormatting>
  <conditionalFormatting sqref="AJ111">
    <cfRule type="cellIs" dxfId="6899" priority="81693" stopIfTrue="1" operator="equal">
      <formula>"En cours"</formula>
    </cfRule>
  </conditionalFormatting>
  <conditionalFormatting sqref="AJ111">
    <cfRule type="cellIs" dxfId="6898" priority="81694" stopIfTrue="1" operator="notEqual">
      <formula>"En cours"</formula>
    </cfRule>
  </conditionalFormatting>
  <conditionalFormatting sqref="AK111">
    <cfRule type="cellIs" dxfId="6897" priority="81695" stopIfTrue="1" operator="equal">
      <formula>"En cours"</formula>
    </cfRule>
  </conditionalFormatting>
  <conditionalFormatting sqref="AK111">
    <cfRule type="cellIs" dxfId="6896" priority="81696" stopIfTrue="1" operator="notEqual">
      <formula>"En cours"</formula>
    </cfRule>
  </conditionalFormatting>
  <conditionalFormatting sqref="AJ109">
    <cfRule type="cellIs" dxfId="6891" priority="81701" stopIfTrue="1" operator="equal">
      <formula>"En cours"</formula>
    </cfRule>
  </conditionalFormatting>
  <conditionalFormatting sqref="AJ109">
    <cfRule type="cellIs" dxfId="6890" priority="81702" stopIfTrue="1" operator="notEqual">
      <formula>"En cours"</formula>
    </cfRule>
  </conditionalFormatting>
  <conditionalFormatting sqref="AK109">
    <cfRule type="cellIs" dxfId="6889" priority="81703" stopIfTrue="1" operator="equal">
      <formula>"En cours"</formula>
    </cfRule>
  </conditionalFormatting>
  <conditionalFormatting sqref="AK109">
    <cfRule type="cellIs" dxfId="6888" priority="81704" stopIfTrue="1" operator="notEqual">
      <formula>"En cours"</formula>
    </cfRule>
  </conditionalFormatting>
  <conditionalFormatting sqref="AJ106">
    <cfRule type="cellIs" dxfId="6887" priority="81705" stopIfTrue="1" operator="equal">
      <formula>"En cours"</formula>
    </cfRule>
  </conditionalFormatting>
  <conditionalFormatting sqref="AJ106">
    <cfRule type="cellIs" dxfId="6886" priority="81706" stopIfTrue="1" operator="notEqual">
      <formula>"En cours"</formula>
    </cfRule>
  </conditionalFormatting>
  <conditionalFormatting sqref="AK106">
    <cfRule type="cellIs" dxfId="6885" priority="81707" stopIfTrue="1" operator="equal">
      <formula>"En cours"</formula>
    </cfRule>
  </conditionalFormatting>
  <conditionalFormatting sqref="AK106">
    <cfRule type="cellIs" dxfId="6884" priority="81708" stopIfTrue="1" operator="notEqual">
      <formula>"En cours"</formula>
    </cfRule>
  </conditionalFormatting>
  <conditionalFormatting sqref="AJ119">
    <cfRule type="cellIs" dxfId="6871" priority="81721" stopIfTrue="1" operator="equal">
      <formula>"En cours"</formula>
    </cfRule>
  </conditionalFormatting>
  <conditionalFormatting sqref="AJ119">
    <cfRule type="cellIs" dxfId="6870" priority="81722" stopIfTrue="1" operator="notEqual">
      <formula>"En cours"</formula>
    </cfRule>
  </conditionalFormatting>
  <conditionalFormatting sqref="AK119">
    <cfRule type="cellIs" dxfId="6869" priority="81723" stopIfTrue="1" operator="equal">
      <formula>"En cours"</formula>
    </cfRule>
  </conditionalFormatting>
  <conditionalFormatting sqref="AK119">
    <cfRule type="cellIs" dxfId="6868" priority="81724" stopIfTrue="1" operator="notEqual">
      <formula>"En cours"</formula>
    </cfRule>
  </conditionalFormatting>
  <conditionalFormatting sqref="AJ105">
    <cfRule type="cellIs" dxfId="6867" priority="81725" stopIfTrue="1" operator="equal">
      <formula>"En cours"</formula>
    </cfRule>
  </conditionalFormatting>
  <conditionalFormatting sqref="AJ105">
    <cfRule type="cellIs" dxfId="6866" priority="81726" stopIfTrue="1" operator="notEqual">
      <formula>"En cours"</formula>
    </cfRule>
  </conditionalFormatting>
  <conditionalFormatting sqref="AK105">
    <cfRule type="cellIs" dxfId="6865" priority="81727" stopIfTrue="1" operator="equal">
      <formula>"En cours"</formula>
    </cfRule>
  </conditionalFormatting>
  <conditionalFormatting sqref="AK105">
    <cfRule type="cellIs" dxfId="6864" priority="81728" stopIfTrue="1" operator="notEqual">
      <formula>"En cours"</formula>
    </cfRule>
  </conditionalFormatting>
  <conditionalFormatting sqref="AJ74">
    <cfRule type="cellIs" dxfId="6863" priority="81729" stopIfTrue="1" operator="equal">
      <formula>"En cours"</formula>
    </cfRule>
  </conditionalFormatting>
  <conditionalFormatting sqref="AJ74">
    <cfRule type="cellIs" dxfId="6862" priority="81730" stopIfTrue="1" operator="notEqual">
      <formula>"En cours"</formula>
    </cfRule>
  </conditionalFormatting>
  <conditionalFormatting sqref="AK74">
    <cfRule type="cellIs" dxfId="6861" priority="81731" stopIfTrue="1" operator="equal">
      <formula>"En cours"</formula>
    </cfRule>
  </conditionalFormatting>
  <conditionalFormatting sqref="AK74">
    <cfRule type="cellIs" dxfId="6860" priority="81732" stopIfTrue="1" operator="notEqual">
      <formula>"En cours"</formula>
    </cfRule>
  </conditionalFormatting>
  <conditionalFormatting sqref="AJ79">
    <cfRule type="cellIs" dxfId="6535" priority="82057" stopIfTrue="1" operator="equal">
      <formula>"En cours"</formula>
    </cfRule>
  </conditionalFormatting>
  <conditionalFormatting sqref="AJ79">
    <cfRule type="cellIs" dxfId="6534" priority="82058" stopIfTrue="1" operator="notEqual">
      <formula>"En cours"</formula>
    </cfRule>
  </conditionalFormatting>
  <conditionalFormatting sqref="AK79">
    <cfRule type="cellIs" dxfId="6533" priority="82059" stopIfTrue="1" operator="equal">
      <formula>"En cours"</formula>
    </cfRule>
  </conditionalFormatting>
  <conditionalFormatting sqref="AK79">
    <cfRule type="cellIs" dxfId="6532" priority="82060" stopIfTrue="1" operator="notEqual">
      <formula>"En cours"</formula>
    </cfRule>
  </conditionalFormatting>
  <conditionalFormatting sqref="AJ16">
    <cfRule type="cellIs" dxfId="6527" priority="82065" stopIfTrue="1" operator="equal">
      <formula>"En cours"</formula>
    </cfRule>
  </conditionalFormatting>
  <conditionalFormatting sqref="AJ16">
    <cfRule type="cellIs" dxfId="6526" priority="82066" stopIfTrue="1" operator="notEqual">
      <formula>"En cours"</formula>
    </cfRule>
  </conditionalFormatting>
  <conditionalFormatting sqref="AK16">
    <cfRule type="cellIs" dxfId="6525" priority="82067" stopIfTrue="1" operator="equal">
      <formula>"En cours"</formula>
    </cfRule>
  </conditionalFormatting>
  <conditionalFormatting sqref="AK16">
    <cfRule type="cellIs" dxfId="6524" priority="82068" stopIfTrue="1" operator="notEqual">
      <formula>"En cours"</formula>
    </cfRule>
  </conditionalFormatting>
  <conditionalFormatting sqref="AJ38">
    <cfRule type="cellIs" dxfId="6495" priority="82097" stopIfTrue="1" operator="equal">
      <formula>"En cours"</formula>
    </cfRule>
  </conditionalFormatting>
  <conditionalFormatting sqref="AJ38">
    <cfRule type="cellIs" dxfId="6494" priority="82098" stopIfTrue="1" operator="notEqual">
      <formula>"En cours"</formula>
    </cfRule>
  </conditionalFormatting>
  <conditionalFormatting sqref="AK38">
    <cfRule type="cellIs" dxfId="6493" priority="82099" stopIfTrue="1" operator="equal">
      <formula>"En cours"</formula>
    </cfRule>
  </conditionalFormatting>
  <conditionalFormatting sqref="AK38">
    <cfRule type="cellIs" dxfId="6492" priority="82100" stopIfTrue="1" operator="notEqual">
      <formula>"En cours"</formula>
    </cfRule>
  </conditionalFormatting>
  <conditionalFormatting sqref="AJ23">
    <cfRule type="cellIs" dxfId="6479" priority="82113" stopIfTrue="1" operator="equal">
      <formula>"En cours"</formula>
    </cfRule>
  </conditionalFormatting>
  <conditionalFormatting sqref="AJ23">
    <cfRule type="cellIs" dxfId="6478" priority="82114" stopIfTrue="1" operator="notEqual">
      <formula>"En cours"</formula>
    </cfRule>
  </conditionalFormatting>
  <conditionalFormatting sqref="AK23">
    <cfRule type="cellIs" dxfId="6477" priority="82115" stopIfTrue="1" operator="equal">
      <formula>"En cours"</formula>
    </cfRule>
  </conditionalFormatting>
  <conditionalFormatting sqref="AK23">
    <cfRule type="cellIs" dxfId="6476" priority="82116" stopIfTrue="1" operator="notEqual">
      <formula>"En cours"</formula>
    </cfRule>
  </conditionalFormatting>
  <conditionalFormatting sqref="AJ49">
    <cfRule type="cellIs" dxfId="6455" priority="82137" stopIfTrue="1" operator="equal">
      <formula>"En cours"</formula>
    </cfRule>
  </conditionalFormatting>
  <conditionalFormatting sqref="AJ49">
    <cfRule type="cellIs" dxfId="6454" priority="82138" stopIfTrue="1" operator="notEqual">
      <formula>"En cours"</formula>
    </cfRule>
  </conditionalFormatting>
  <conditionalFormatting sqref="AK49">
    <cfRule type="cellIs" dxfId="6453" priority="82139" stopIfTrue="1" operator="equal">
      <formula>"En cours"</formula>
    </cfRule>
  </conditionalFormatting>
  <conditionalFormatting sqref="AK49">
    <cfRule type="cellIs" dxfId="6452" priority="82140" stopIfTrue="1" operator="notEqual">
      <formula>"En cours"</formula>
    </cfRule>
  </conditionalFormatting>
  <conditionalFormatting sqref="AJ32">
    <cfRule type="cellIs" dxfId="6419" priority="82173" stopIfTrue="1" operator="equal">
      <formula>"En cours"</formula>
    </cfRule>
  </conditionalFormatting>
  <conditionalFormatting sqref="AJ32">
    <cfRule type="cellIs" dxfId="6418" priority="82174" stopIfTrue="1" operator="notEqual">
      <formula>"En cours"</formula>
    </cfRule>
  </conditionalFormatting>
  <conditionalFormatting sqref="AK32">
    <cfRule type="cellIs" dxfId="6417" priority="82175" stopIfTrue="1" operator="equal">
      <formula>"En cours"</formula>
    </cfRule>
  </conditionalFormatting>
  <conditionalFormatting sqref="AK32">
    <cfRule type="cellIs" dxfId="6416" priority="82176" stopIfTrue="1" operator="notEqual">
      <formula>"En cours"</formula>
    </cfRule>
  </conditionalFormatting>
  <conditionalFormatting sqref="AJ82">
    <cfRule type="cellIs" dxfId="6403" priority="82189" stopIfTrue="1" operator="equal">
      <formula>"En cours"</formula>
    </cfRule>
  </conditionalFormatting>
  <conditionalFormatting sqref="AJ82">
    <cfRule type="cellIs" dxfId="6402" priority="82190" stopIfTrue="1" operator="notEqual">
      <formula>"En cours"</formula>
    </cfRule>
  </conditionalFormatting>
  <conditionalFormatting sqref="AK82">
    <cfRule type="cellIs" dxfId="6401" priority="82191" stopIfTrue="1" operator="equal">
      <formula>"En cours"</formula>
    </cfRule>
  </conditionalFormatting>
  <conditionalFormatting sqref="AK82">
    <cfRule type="cellIs" dxfId="6400" priority="82192" stopIfTrue="1" operator="notEqual">
      <formula>"En cours"</formula>
    </cfRule>
  </conditionalFormatting>
  <conditionalFormatting sqref="AJ42">
    <cfRule type="cellIs" dxfId="6395" priority="82197" stopIfTrue="1" operator="equal">
      <formula>"En cours"</formula>
    </cfRule>
  </conditionalFormatting>
  <conditionalFormatting sqref="AJ42">
    <cfRule type="cellIs" dxfId="6394" priority="82198" stopIfTrue="1" operator="notEqual">
      <formula>"En cours"</formula>
    </cfRule>
  </conditionalFormatting>
  <conditionalFormatting sqref="AK42">
    <cfRule type="cellIs" dxfId="6393" priority="82199" stopIfTrue="1" operator="equal">
      <formula>"En cours"</formula>
    </cfRule>
  </conditionalFormatting>
  <conditionalFormatting sqref="AK42">
    <cfRule type="cellIs" dxfId="6392" priority="82200" stopIfTrue="1" operator="notEqual">
      <formula>"En cours"</formula>
    </cfRule>
  </conditionalFormatting>
  <conditionalFormatting sqref="AJ125">
    <cfRule type="cellIs" dxfId="6355" priority="82237" stopIfTrue="1" operator="equal">
      <formula>"En cours"</formula>
    </cfRule>
  </conditionalFormatting>
  <conditionalFormatting sqref="AJ125">
    <cfRule type="cellIs" dxfId="6354" priority="82238" stopIfTrue="1" operator="notEqual">
      <formula>"En cours"</formula>
    </cfRule>
  </conditionalFormatting>
  <conditionalFormatting sqref="AK125">
    <cfRule type="cellIs" dxfId="6353" priority="82239" stopIfTrue="1" operator="equal">
      <formula>"En cours"</formula>
    </cfRule>
  </conditionalFormatting>
  <conditionalFormatting sqref="AK125">
    <cfRule type="cellIs" dxfId="6352" priority="82240" stopIfTrue="1" operator="notEqual">
      <formula>"En cours"</formula>
    </cfRule>
  </conditionalFormatting>
  <conditionalFormatting sqref="AJ69">
    <cfRule type="cellIs" dxfId="6343" priority="82249" stopIfTrue="1" operator="equal">
      <formula>"En cours"</formula>
    </cfRule>
  </conditionalFormatting>
  <conditionalFormatting sqref="AJ69">
    <cfRule type="cellIs" dxfId="6342" priority="82250" stopIfTrue="1" operator="notEqual">
      <formula>"En cours"</formula>
    </cfRule>
  </conditionalFormatting>
  <conditionalFormatting sqref="AK69">
    <cfRule type="cellIs" dxfId="6341" priority="82251" stopIfTrue="1" operator="equal">
      <formula>"En cours"</formula>
    </cfRule>
  </conditionalFormatting>
  <conditionalFormatting sqref="AK69">
    <cfRule type="cellIs" dxfId="6340" priority="82252" stopIfTrue="1" operator="notEqual">
      <formula>"En cours"</formula>
    </cfRule>
  </conditionalFormatting>
  <conditionalFormatting sqref="AJ56">
    <cfRule type="cellIs" dxfId="6331" priority="82261" stopIfTrue="1" operator="equal">
      <formula>"En cours"</formula>
    </cfRule>
  </conditionalFormatting>
  <conditionalFormatting sqref="AJ56">
    <cfRule type="cellIs" dxfId="6330" priority="82262" stopIfTrue="1" operator="notEqual">
      <formula>"En cours"</formula>
    </cfRule>
  </conditionalFormatting>
  <conditionalFormatting sqref="AK56">
    <cfRule type="cellIs" dxfId="6329" priority="82263" stopIfTrue="1" operator="equal">
      <formula>"En cours"</formula>
    </cfRule>
  </conditionalFormatting>
  <conditionalFormatting sqref="AK56">
    <cfRule type="cellIs" dxfId="6328" priority="82264" stopIfTrue="1" operator="notEqual">
      <formula>"En cours"</formula>
    </cfRule>
  </conditionalFormatting>
  <conditionalFormatting sqref="AJ62">
    <cfRule type="cellIs" dxfId="6327" priority="82265" stopIfTrue="1" operator="equal">
      <formula>"En cours"</formula>
    </cfRule>
  </conditionalFormatting>
  <conditionalFormatting sqref="AJ62">
    <cfRule type="cellIs" dxfId="6326" priority="82266" stopIfTrue="1" operator="notEqual">
      <formula>"En cours"</formula>
    </cfRule>
  </conditionalFormatting>
  <conditionalFormatting sqref="AK62">
    <cfRule type="cellIs" dxfId="6325" priority="82267" stopIfTrue="1" operator="equal">
      <formula>"En cours"</formula>
    </cfRule>
  </conditionalFormatting>
  <conditionalFormatting sqref="AK62">
    <cfRule type="cellIs" dxfId="6324" priority="82268" stopIfTrue="1" operator="notEqual">
      <formula>"En cours"</formula>
    </cfRule>
  </conditionalFormatting>
  <conditionalFormatting sqref="AJ128">
    <cfRule type="cellIs" dxfId="6303" priority="82289" stopIfTrue="1" operator="equal">
      <formula>"En cours"</formula>
    </cfRule>
  </conditionalFormatting>
  <conditionalFormatting sqref="AJ128">
    <cfRule type="cellIs" dxfId="6302" priority="82290" stopIfTrue="1" operator="notEqual">
      <formula>"En cours"</formula>
    </cfRule>
  </conditionalFormatting>
  <conditionalFormatting sqref="AK128">
    <cfRule type="cellIs" dxfId="6301" priority="82291" stopIfTrue="1" operator="equal">
      <formula>"En cours"</formula>
    </cfRule>
  </conditionalFormatting>
  <conditionalFormatting sqref="AK128">
    <cfRule type="cellIs" dxfId="6300" priority="82292" stopIfTrue="1" operator="notEqual">
      <formula>"En cours"</formula>
    </cfRule>
  </conditionalFormatting>
  <conditionalFormatting sqref="AJ126">
    <cfRule type="cellIs" dxfId="6295" priority="82297" stopIfTrue="1" operator="equal">
      <formula>"En cours"</formula>
    </cfRule>
  </conditionalFormatting>
  <conditionalFormatting sqref="AJ126">
    <cfRule type="cellIs" dxfId="6294" priority="82298" stopIfTrue="1" operator="notEqual">
      <formula>"En cours"</formula>
    </cfRule>
  </conditionalFormatting>
  <conditionalFormatting sqref="AK126">
    <cfRule type="cellIs" dxfId="6293" priority="82299" stopIfTrue="1" operator="equal">
      <formula>"En cours"</formula>
    </cfRule>
  </conditionalFormatting>
  <conditionalFormatting sqref="AK126">
    <cfRule type="cellIs" dxfId="6292" priority="82300" stopIfTrue="1" operator="notEqual">
      <formula>"En cours"</formula>
    </cfRule>
  </conditionalFormatting>
  <conditionalFormatting sqref="AJ107">
    <cfRule type="cellIs" dxfId="6291" priority="82301" stopIfTrue="1" operator="equal">
      <formula>"En cours"</formula>
    </cfRule>
  </conditionalFormatting>
  <conditionalFormatting sqref="AJ107">
    <cfRule type="cellIs" dxfId="6290" priority="82302" stopIfTrue="1" operator="notEqual">
      <formula>"En cours"</formula>
    </cfRule>
  </conditionalFormatting>
  <conditionalFormatting sqref="AK107">
    <cfRule type="cellIs" dxfId="6289" priority="82303" stopIfTrue="1" operator="equal">
      <formula>"En cours"</formula>
    </cfRule>
  </conditionalFormatting>
  <conditionalFormatting sqref="AK107">
    <cfRule type="cellIs" dxfId="6288" priority="82304" stopIfTrue="1" operator="notEqual">
      <formula>"En cours"</formula>
    </cfRule>
  </conditionalFormatting>
  <conditionalFormatting sqref="AJ134">
    <cfRule type="cellIs" dxfId="6271" priority="82321" stopIfTrue="1" operator="equal">
      <formula>"En cours"</formula>
    </cfRule>
  </conditionalFormatting>
  <conditionalFormatting sqref="AJ134">
    <cfRule type="cellIs" dxfId="6270" priority="82322" stopIfTrue="1" operator="notEqual">
      <formula>"En cours"</formula>
    </cfRule>
  </conditionalFormatting>
  <conditionalFormatting sqref="AK134">
    <cfRule type="cellIs" dxfId="6269" priority="82323" stopIfTrue="1" operator="equal">
      <formula>"En cours"</formula>
    </cfRule>
  </conditionalFormatting>
  <conditionalFormatting sqref="AK134">
    <cfRule type="cellIs" dxfId="6268" priority="82324" stopIfTrue="1" operator="notEqual">
      <formula>"En cours"</formula>
    </cfRule>
  </conditionalFormatting>
  <conditionalFormatting sqref="AJ137">
    <cfRule type="cellIs" dxfId="5919" priority="82673" stopIfTrue="1" operator="equal">
      <formula>"En cours"</formula>
    </cfRule>
  </conditionalFormatting>
  <conditionalFormatting sqref="AJ137">
    <cfRule type="cellIs" dxfId="5918" priority="82674" stopIfTrue="1" operator="notEqual">
      <formula>"En cours"</formula>
    </cfRule>
  </conditionalFormatting>
  <conditionalFormatting sqref="AK137">
    <cfRule type="cellIs" dxfId="5917" priority="82675" stopIfTrue="1" operator="equal">
      <formula>"En cours"</formula>
    </cfRule>
  </conditionalFormatting>
  <conditionalFormatting sqref="AK137">
    <cfRule type="cellIs" dxfId="5916" priority="82676" stopIfTrue="1" operator="notEqual">
      <formula>"En cours"</formula>
    </cfRule>
  </conditionalFormatting>
  <conditionalFormatting sqref="AJ140">
    <cfRule type="cellIs" dxfId="5911" priority="82681" stopIfTrue="1" operator="equal">
      <formula>"En cours"</formula>
    </cfRule>
  </conditionalFormatting>
  <conditionalFormatting sqref="AJ140">
    <cfRule type="cellIs" dxfId="5910" priority="82682" stopIfTrue="1" operator="notEqual">
      <formula>"En cours"</formula>
    </cfRule>
  </conditionalFormatting>
  <conditionalFormatting sqref="AK140">
    <cfRule type="cellIs" dxfId="5909" priority="82683" stopIfTrue="1" operator="equal">
      <formula>"En cours"</formula>
    </cfRule>
  </conditionalFormatting>
  <conditionalFormatting sqref="AK140">
    <cfRule type="cellIs" dxfId="5908" priority="82684" stopIfTrue="1" operator="notEqual">
      <formula>"En cours"</formula>
    </cfRule>
  </conditionalFormatting>
  <conditionalFormatting sqref="AJ139">
    <cfRule type="cellIs" dxfId="5907" priority="82685" stopIfTrue="1" operator="equal">
      <formula>"En cours"</formula>
    </cfRule>
  </conditionalFormatting>
  <conditionalFormatting sqref="AJ139">
    <cfRule type="cellIs" dxfId="5906" priority="82686" stopIfTrue="1" operator="notEqual">
      <formula>"En cours"</formula>
    </cfRule>
  </conditionalFormatting>
  <conditionalFormatting sqref="AK139">
    <cfRule type="cellIs" dxfId="5905" priority="82687" stopIfTrue="1" operator="equal">
      <formula>"En cours"</formula>
    </cfRule>
  </conditionalFormatting>
  <conditionalFormatting sqref="AK139">
    <cfRule type="cellIs" dxfId="5904" priority="82688" stopIfTrue="1" operator="notEqual">
      <formula>"En cours"</formula>
    </cfRule>
  </conditionalFormatting>
  <conditionalFormatting sqref="AJ81">
    <cfRule type="cellIs" dxfId="5895" priority="82697" stopIfTrue="1" operator="equal">
      <formula>"En cours"</formula>
    </cfRule>
  </conditionalFormatting>
  <conditionalFormatting sqref="AJ81">
    <cfRule type="cellIs" dxfId="5894" priority="82698" stopIfTrue="1" operator="notEqual">
      <formula>"En cours"</formula>
    </cfRule>
  </conditionalFormatting>
  <conditionalFormatting sqref="AK81">
    <cfRule type="cellIs" dxfId="5893" priority="82699" stopIfTrue="1" operator="equal">
      <formula>"En cours"</formula>
    </cfRule>
  </conditionalFormatting>
  <conditionalFormatting sqref="AK81">
    <cfRule type="cellIs" dxfId="5892" priority="82700" stopIfTrue="1" operator="notEqual">
      <formula>"En cours"</formula>
    </cfRule>
  </conditionalFormatting>
  <conditionalFormatting sqref="AJ48">
    <cfRule type="cellIs" dxfId="5879" priority="82713" stopIfTrue="1" operator="equal">
      <formula>"En cours"</formula>
    </cfRule>
  </conditionalFormatting>
  <conditionalFormatting sqref="AJ48">
    <cfRule type="cellIs" dxfId="5878" priority="82714" stopIfTrue="1" operator="notEqual">
      <formula>"En cours"</formula>
    </cfRule>
  </conditionalFormatting>
  <conditionalFormatting sqref="AK48">
    <cfRule type="cellIs" dxfId="5877" priority="82715" stopIfTrue="1" operator="equal">
      <formula>"En cours"</formula>
    </cfRule>
  </conditionalFormatting>
  <conditionalFormatting sqref="AK48">
    <cfRule type="cellIs" dxfId="5876" priority="82716" stopIfTrue="1" operator="notEqual">
      <formula>"En cours"</formula>
    </cfRule>
  </conditionalFormatting>
  <conditionalFormatting sqref="AJ143">
    <cfRule type="cellIs" dxfId="5819" priority="82773" stopIfTrue="1" operator="equal">
      <formula>"En cours"</formula>
    </cfRule>
  </conditionalFormatting>
  <conditionalFormatting sqref="AJ143">
    <cfRule type="cellIs" dxfId="5818" priority="82774" stopIfTrue="1" operator="notEqual">
      <formula>"En cours"</formula>
    </cfRule>
  </conditionalFormatting>
  <conditionalFormatting sqref="AK143">
    <cfRule type="cellIs" dxfId="5817" priority="82775" stopIfTrue="1" operator="equal">
      <formula>"En cours"</formula>
    </cfRule>
  </conditionalFormatting>
  <conditionalFormatting sqref="AK143">
    <cfRule type="cellIs" dxfId="5816" priority="82776" stopIfTrue="1" operator="notEqual">
      <formula>"En cours"</formula>
    </cfRule>
  </conditionalFormatting>
  <conditionalFormatting sqref="AJ150">
    <cfRule type="cellIs" dxfId="5783" priority="82809" stopIfTrue="1" operator="equal">
      <formula>"En cours"</formula>
    </cfRule>
  </conditionalFormatting>
  <conditionalFormatting sqref="AJ150">
    <cfRule type="cellIs" dxfId="5782" priority="82810" stopIfTrue="1" operator="notEqual">
      <formula>"En cours"</formula>
    </cfRule>
  </conditionalFormatting>
  <conditionalFormatting sqref="AK150">
    <cfRule type="cellIs" dxfId="5781" priority="82811" stopIfTrue="1" operator="equal">
      <formula>"En cours"</formula>
    </cfRule>
  </conditionalFormatting>
  <conditionalFormatting sqref="AK150">
    <cfRule type="cellIs" dxfId="5780" priority="82812" stopIfTrue="1" operator="notEqual">
      <formula>"En cours"</formula>
    </cfRule>
  </conditionalFormatting>
  <conditionalFormatting sqref="AJ151">
    <cfRule type="cellIs" dxfId="5779" priority="82813" stopIfTrue="1" operator="equal">
      <formula>"En cours"</formula>
    </cfRule>
  </conditionalFormatting>
  <conditionalFormatting sqref="AJ151">
    <cfRule type="cellIs" dxfId="5778" priority="82814" stopIfTrue="1" operator="notEqual">
      <formula>"En cours"</formula>
    </cfRule>
  </conditionalFormatting>
  <conditionalFormatting sqref="AK151">
    <cfRule type="cellIs" dxfId="5777" priority="82815" stopIfTrue="1" operator="equal">
      <formula>"En cours"</formula>
    </cfRule>
  </conditionalFormatting>
  <conditionalFormatting sqref="AK151">
    <cfRule type="cellIs" dxfId="5776" priority="82816" stopIfTrue="1" operator="notEqual">
      <formula>"En cours"</formula>
    </cfRule>
  </conditionalFormatting>
  <conditionalFormatting sqref="AJ149">
    <cfRule type="cellIs" dxfId="5763" priority="82829" stopIfTrue="1" operator="equal">
      <formula>"En cours"</formula>
    </cfRule>
  </conditionalFormatting>
  <conditionalFormatting sqref="AJ149">
    <cfRule type="cellIs" dxfId="5762" priority="82830" stopIfTrue="1" operator="notEqual">
      <formula>"En cours"</formula>
    </cfRule>
  </conditionalFormatting>
  <conditionalFormatting sqref="AK149">
    <cfRule type="cellIs" dxfId="5761" priority="82831" stopIfTrue="1" operator="equal">
      <formula>"En cours"</formula>
    </cfRule>
  </conditionalFormatting>
  <conditionalFormatting sqref="AK149">
    <cfRule type="cellIs" dxfId="5760" priority="82832" stopIfTrue="1" operator="notEqual">
      <formula>"En cours"</formula>
    </cfRule>
  </conditionalFormatting>
  <conditionalFormatting sqref="AJ97">
    <cfRule type="cellIs" dxfId="5735" priority="82857" stopIfTrue="1" operator="equal">
      <formula>"En cours"</formula>
    </cfRule>
  </conditionalFormatting>
  <conditionalFormatting sqref="AJ97">
    <cfRule type="cellIs" dxfId="5734" priority="82858" stopIfTrue="1" operator="notEqual">
      <formula>"En cours"</formula>
    </cfRule>
  </conditionalFormatting>
  <conditionalFormatting sqref="AK97">
    <cfRule type="cellIs" dxfId="5733" priority="82859" stopIfTrue="1" operator="equal">
      <formula>"En cours"</formula>
    </cfRule>
  </conditionalFormatting>
  <conditionalFormatting sqref="AK97">
    <cfRule type="cellIs" dxfId="5732" priority="82860" stopIfTrue="1" operator="notEqual">
      <formula>"En cours"</formula>
    </cfRule>
  </conditionalFormatting>
  <conditionalFormatting sqref="AJ152">
    <cfRule type="cellIs" dxfId="5727" priority="82865" stopIfTrue="1" operator="equal">
      <formula>"En cours"</formula>
    </cfRule>
  </conditionalFormatting>
  <conditionalFormatting sqref="AJ152">
    <cfRule type="cellIs" dxfId="5726" priority="82866" stopIfTrue="1" operator="notEqual">
      <formula>"En cours"</formula>
    </cfRule>
  </conditionalFormatting>
  <conditionalFormatting sqref="AK152">
    <cfRule type="cellIs" dxfId="5725" priority="82867" stopIfTrue="1" operator="equal">
      <formula>"En cours"</formula>
    </cfRule>
  </conditionalFormatting>
  <conditionalFormatting sqref="AK152">
    <cfRule type="cellIs" dxfId="5724" priority="82868" stopIfTrue="1" operator="notEqual">
      <formula>"En cours"</formula>
    </cfRule>
  </conditionalFormatting>
  <conditionalFormatting sqref="AJ115">
    <cfRule type="cellIs" dxfId="5703" priority="82889" stopIfTrue="1" operator="equal">
      <formula>"En cours"</formula>
    </cfRule>
  </conditionalFormatting>
  <conditionalFormatting sqref="AJ115">
    <cfRule type="cellIs" dxfId="5702" priority="82890" stopIfTrue="1" operator="notEqual">
      <formula>"En cours"</formula>
    </cfRule>
  </conditionalFormatting>
  <conditionalFormatting sqref="AK115">
    <cfRule type="cellIs" dxfId="5701" priority="82891" stopIfTrue="1" operator="equal">
      <formula>"En cours"</formula>
    </cfRule>
  </conditionalFormatting>
  <conditionalFormatting sqref="AK115">
    <cfRule type="cellIs" dxfId="5700" priority="82892" stopIfTrue="1" operator="notEqual">
      <formula>"En cours"</formula>
    </cfRule>
  </conditionalFormatting>
  <conditionalFormatting sqref="AJ104">
    <cfRule type="cellIs" dxfId="5695" priority="82897" stopIfTrue="1" operator="equal">
      <formula>"En cours"</formula>
    </cfRule>
  </conditionalFormatting>
  <conditionalFormatting sqref="AJ104">
    <cfRule type="cellIs" dxfId="5694" priority="82898" stopIfTrue="1" operator="notEqual">
      <formula>"En cours"</formula>
    </cfRule>
  </conditionalFormatting>
  <conditionalFormatting sqref="AK104">
    <cfRule type="cellIs" dxfId="5693" priority="82899" stopIfTrue="1" operator="equal">
      <formula>"En cours"</formula>
    </cfRule>
  </conditionalFormatting>
  <conditionalFormatting sqref="AK104">
    <cfRule type="cellIs" dxfId="5692" priority="82900" stopIfTrue="1" operator="notEqual">
      <formula>"En cours"</formula>
    </cfRule>
  </conditionalFormatting>
  <conditionalFormatting sqref="AJ157">
    <cfRule type="cellIs" dxfId="5667" priority="82925" stopIfTrue="1" operator="equal">
      <formula>"En cours"</formula>
    </cfRule>
  </conditionalFormatting>
  <conditionalFormatting sqref="AJ157">
    <cfRule type="cellIs" dxfId="5666" priority="82926" stopIfTrue="1" operator="notEqual">
      <formula>"En cours"</formula>
    </cfRule>
  </conditionalFormatting>
  <conditionalFormatting sqref="AK157">
    <cfRule type="cellIs" dxfId="5665" priority="82927" stopIfTrue="1" operator="equal">
      <formula>"En cours"</formula>
    </cfRule>
  </conditionalFormatting>
  <conditionalFormatting sqref="AK157">
    <cfRule type="cellIs" dxfId="5664" priority="82928" stopIfTrue="1" operator="notEqual">
      <formula>"En cours"</formula>
    </cfRule>
  </conditionalFormatting>
  <conditionalFormatting sqref="AJ161">
    <cfRule type="cellIs" dxfId="5631" priority="82961" stopIfTrue="1" operator="equal">
      <formula>"En cours"</formula>
    </cfRule>
  </conditionalFormatting>
  <conditionalFormatting sqref="AJ161">
    <cfRule type="cellIs" dxfId="5630" priority="82962" stopIfTrue="1" operator="notEqual">
      <formula>"En cours"</formula>
    </cfRule>
  </conditionalFormatting>
  <conditionalFormatting sqref="AK161">
    <cfRule type="cellIs" dxfId="5629" priority="82963" stopIfTrue="1" operator="equal">
      <formula>"En cours"</formula>
    </cfRule>
  </conditionalFormatting>
  <conditionalFormatting sqref="AK161">
    <cfRule type="cellIs" dxfId="5628" priority="82964" stopIfTrue="1" operator="notEqual">
      <formula>"En cours"</formula>
    </cfRule>
  </conditionalFormatting>
  <conditionalFormatting sqref="AJ164">
    <cfRule type="cellIs" dxfId="5615" priority="82977" stopIfTrue="1" operator="equal">
      <formula>"En cours"</formula>
    </cfRule>
  </conditionalFormatting>
  <conditionalFormatting sqref="AJ164">
    <cfRule type="cellIs" dxfId="5614" priority="82978" stopIfTrue="1" operator="notEqual">
      <formula>"En cours"</formula>
    </cfRule>
  </conditionalFormatting>
  <conditionalFormatting sqref="AK164">
    <cfRule type="cellIs" dxfId="5613" priority="82979" stopIfTrue="1" operator="equal">
      <formula>"En cours"</formula>
    </cfRule>
  </conditionalFormatting>
  <conditionalFormatting sqref="AK164">
    <cfRule type="cellIs" dxfId="5612" priority="82980" stopIfTrue="1" operator="notEqual">
      <formula>"En cours"</formula>
    </cfRule>
  </conditionalFormatting>
  <conditionalFormatting sqref="AJ167">
    <cfRule type="cellIs" dxfId="5347" priority="83245" stopIfTrue="1" operator="equal">
      <formula>"En cours"</formula>
    </cfRule>
  </conditionalFormatting>
  <conditionalFormatting sqref="AJ167">
    <cfRule type="cellIs" dxfId="5346" priority="83246" stopIfTrue="1" operator="notEqual">
      <formula>"En cours"</formula>
    </cfRule>
  </conditionalFormatting>
  <conditionalFormatting sqref="AK167">
    <cfRule type="cellIs" dxfId="5345" priority="83247" stopIfTrue="1" operator="equal">
      <formula>"En cours"</formula>
    </cfRule>
  </conditionalFormatting>
  <conditionalFormatting sqref="AK167">
    <cfRule type="cellIs" dxfId="5344" priority="83248" stopIfTrue="1" operator="notEqual">
      <formula>"En cours"</formula>
    </cfRule>
  </conditionalFormatting>
  <conditionalFormatting sqref="AJ78">
    <cfRule type="cellIs" dxfId="5339" priority="83253" stopIfTrue="1" operator="equal">
      <formula>"En cours"</formula>
    </cfRule>
  </conditionalFormatting>
  <conditionalFormatting sqref="AJ78">
    <cfRule type="cellIs" dxfId="5338" priority="83254" stopIfTrue="1" operator="notEqual">
      <formula>"En cours"</formula>
    </cfRule>
  </conditionalFormatting>
  <conditionalFormatting sqref="AK78">
    <cfRule type="cellIs" dxfId="5337" priority="83255" stopIfTrue="1" operator="equal">
      <formula>"En cours"</formula>
    </cfRule>
  </conditionalFormatting>
  <conditionalFormatting sqref="AK78">
    <cfRule type="cellIs" dxfId="5336" priority="83256" stopIfTrue="1" operator="notEqual">
      <formula>"En cours"</formula>
    </cfRule>
  </conditionalFormatting>
  <conditionalFormatting sqref="AJ11">
    <cfRule type="cellIs" dxfId="5327" priority="83265" stopIfTrue="1" operator="equal">
      <formula>"En cours"</formula>
    </cfRule>
  </conditionalFormatting>
  <conditionalFormatting sqref="AJ11">
    <cfRule type="cellIs" dxfId="5326" priority="83266" stopIfTrue="1" operator="notEqual">
      <formula>"En cours"</formula>
    </cfRule>
  </conditionalFormatting>
  <conditionalFormatting sqref="AK11">
    <cfRule type="cellIs" dxfId="5325" priority="83267" stopIfTrue="1" operator="equal">
      <formula>"En cours"</formula>
    </cfRule>
  </conditionalFormatting>
  <conditionalFormatting sqref="AK11">
    <cfRule type="cellIs" dxfId="5324" priority="83268" stopIfTrue="1" operator="notEqual">
      <formula>"En cours"</formula>
    </cfRule>
  </conditionalFormatting>
  <conditionalFormatting sqref="AJ136">
    <cfRule type="cellIs" dxfId="5323" priority="83269" stopIfTrue="1" operator="equal">
      <formula>"En cours"</formula>
    </cfRule>
  </conditionalFormatting>
  <conditionalFormatting sqref="AJ136">
    <cfRule type="cellIs" dxfId="5322" priority="83270" stopIfTrue="1" operator="notEqual">
      <formula>"En cours"</formula>
    </cfRule>
  </conditionalFormatting>
  <conditionalFormatting sqref="AK136">
    <cfRule type="cellIs" dxfId="5321" priority="83271" stopIfTrue="1" operator="equal">
      <formula>"En cours"</formula>
    </cfRule>
  </conditionalFormatting>
  <conditionalFormatting sqref="AK136">
    <cfRule type="cellIs" dxfId="5320" priority="83272" stopIfTrue="1" operator="notEqual">
      <formula>"En cours"</formula>
    </cfRule>
  </conditionalFormatting>
  <conditionalFormatting sqref="AJ169">
    <cfRule type="cellIs" dxfId="5307" priority="83285" stopIfTrue="1" operator="equal">
      <formula>"En cours"</formula>
    </cfRule>
  </conditionalFormatting>
  <conditionalFormatting sqref="AJ169">
    <cfRule type="cellIs" dxfId="5306" priority="83286" stopIfTrue="1" operator="notEqual">
      <formula>"En cours"</formula>
    </cfRule>
  </conditionalFormatting>
  <conditionalFormatting sqref="AK169">
    <cfRule type="cellIs" dxfId="5305" priority="83287" stopIfTrue="1" operator="equal">
      <formula>"En cours"</formula>
    </cfRule>
  </conditionalFormatting>
  <conditionalFormatting sqref="AK169">
    <cfRule type="cellIs" dxfId="5304" priority="83288" stopIfTrue="1" operator="notEqual">
      <formula>"En cours"</formula>
    </cfRule>
  </conditionalFormatting>
  <conditionalFormatting sqref="AJ142">
    <cfRule type="cellIs" dxfId="5303" priority="83289" stopIfTrue="1" operator="equal">
      <formula>"En cours"</formula>
    </cfRule>
  </conditionalFormatting>
  <conditionalFormatting sqref="AJ142">
    <cfRule type="cellIs" dxfId="5302" priority="83290" stopIfTrue="1" operator="notEqual">
      <formula>"En cours"</formula>
    </cfRule>
  </conditionalFormatting>
  <conditionalFormatting sqref="AK142">
    <cfRule type="cellIs" dxfId="5301" priority="83291" stopIfTrue="1" operator="equal">
      <formula>"En cours"</formula>
    </cfRule>
  </conditionalFormatting>
  <conditionalFormatting sqref="AK142">
    <cfRule type="cellIs" dxfId="5300" priority="83292" stopIfTrue="1" operator="notEqual">
      <formula>"En cours"</formula>
    </cfRule>
  </conditionalFormatting>
  <conditionalFormatting sqref="AJ145">
    <cfRule type="cellIs" dxfId="5295" priority="83297" stopIfTrue="1" operator="equal">
      <formula>"En cours"</formula>
    </cfRule>
  </conditionalFormatting>
  <conditionalFormatting sqref="AJ145">
    <cfRule type="cellIs" dxfId="5294" priority="83298" stopIfTrue="1" operator="notEqual">
      <formula>"En cours"</formula>
    </cfRule>
  </conditionalFormatting>
  <conditionalFormatting sqref="AK145">
    <cfRule type="cellIs" dxfId="5293" priority="83299" stopIfTrue="1" operator="equal">
      <formula>"En cours"</formula>
    </cfRule>
  </conditionalFormatting>
  <conditionalFormatting sqref="AK145">
    <cfRule type="cellIs" dxfId="5292" priority="83300" stopIfTrue="1" operator="notEqual">
      <formula>"En cours"</formula>
    </cfRule>
  </conditionalFormatting>
  <conditionalFormatting sqref="AJ28">
    <cfRule type="cellIs" dxfId="5251" priority="83341" stopIfTrue="1" operator="equal">
      <formula>"En cours"</formula>
    </cfRule>
  </conditionalFormatting>
  <conditionalFormatting sqref="AJ28">
    <cfRule type="cellIs" dxfId="5250" priority="83342" stopIfTrue="1" operator="notEqual">
      <formula>"En cours"</formula>
    </cfRule>
  </conditionalFormatting>
  <conditionalFormatting sqref="AK28">
    <cfRule type="cellIs" dxfId="5249" priority="83343" stopIfTrue="1" operator="equal">
      <formula>"En cours"</formula>
    </cfRule>
  </conditionalFormatting>
  <conditionalFormatting sqref="AK28">
    <cfRule type="cellIs" dxfId="5248" priority="83344" stopIfTrue="1" operator="notEqual">
      <formula>"En cours"</formula>
    </cfRule>
  </conditionalFormatting>
  <conditionalFormatting sqref="AJ123">
    <cfRule type="cellIs" dxfId="5243" priority="83349" stopIfTrue="1" operator="equal">
      <formula>"En cours"</formula>
    </cfRule>
  </conditionalFormatting>
  <conditionalFormatting sqref="AJ123">
    <cfRule type="cellIs" dxfId="5242" priority="83350" stopIfTrue="1" operator="notEqual">
      <formula>"En cours"</formula>
    </cfRule>
  </conditionalFormatting>
  <conditionalFormatting sqref="AK123">
    <cfRule type="cellIs" dxfId="5241" priority="83351" stopIfTrue="1" operator="equal">
      <formula>"En cours"</formula>
    </cfRule>
  </conditionalFormatting>
  <conditionalFormatting sqref="AK123">
    <cfRule type="cellIs" dxfId="5240" priority="83352" stopIfTrue="1" operator="notEqual">
      <formula>"En cours"</formula>
    </cfRule>
  </conditionalFormatting>
  <conditionalFormatting sqref="AJ33">
    <cfRule type="cellIs" dxfId="5239" priority="83353" stopIfTrue="1" operator="equal">
      <formula>"En cours"</formula>
    </cfRule>
  </conditionalFormatting>
  <conditionalFormatting sqref="AJ33">
    <cfRule type="cellIs" dxfId="5238" priority="83354" stopIfTrue="1" operator="notEqual">
      <formula>"En cours"</formula>
    </cfRule>
  </conditionalFormatting>
  <conditionalFormatting sqref="AK33">
    <cfRule type="cellIs" dxfId="5237" priority="83355" stopIfTrue="1" operator="equal">
      <formula>"En cours"</formula>
    </cfRule>
  </conditionalFormatting>
  <conditionalFormatting sqref="AK33">
    <cfRule type="cellIs" dxfId="5236" priority="83356" stopIfTrue="1" operator="notEqual">
      <formula>"En cours"</formula>
    </cfRule>
  </conditionalFormatting>
  <conditionalFormatting sqref="AJ88">
    <cfRule type="cellIs" dxfId="5235" priority="83357" stopIfTrue="1" operator="equal">
      <formula>"En cours"</formula>
    </cfRule>
  </conditionalFormatting>
  <conditionalFormatting sqref="AJ88">
    <cfRule type="cellIs" dxfId="5234" priority="83358" stopIfTrue="1" operator="notEqual">
      <formula>"En cours"</formula>
    </cfRule>
  </conditionalFormatting>
  <conditionalFormatting sqref="AK88">
    <cfRule type="cellIs" dxfId="5233" priority="83359" stopIfTrue="1" operator="equal">
      <formula>"En cours"</formula>
    </cfRule>
  </conditionalFormatting>
  <conditionalFormatting sqref="AK88">
    <cfRule type="cellIs" dxfId="5232" priority="83360" stopIfTrue="1" operator="notEqual">
      <formula>"En cours"</formula>
    </cfRule>
  </conditionalFormatting>
  <conditionalFormatting sqref="AJ156">
    <cfRule type="cellIs" dxfId="5195" priority="83397" stopIfTrue="1" operator="equal">
      <formula>"En cours"</formula>
    </cfRule>
  </conditionalFormatting>
  <conditionalFormatting sqref="AJ156">
    <cfRule type="cellIs" dxfId="5194" priority="83398" stopIfTrue="1" operator="notEqual">
      <formula>"En cours"</formula>
    </cfRule>
  </conditionalFormatting>
  <conditionalFormatting sqref="AK156">
    <cfRule type="cellIs" dxfId="5193" priority="83399" stopIfTrue="1" operator="equal">
      <formula>"En cours"</formula>
    </cfRule>
  </conditionalFormatting>
  <conditionalFormatting sqref="AK156">
    <cfRule type="cellIs" dxfId="5192" priority="83400" stopIfTrue="1" operator="notEqual">
      <formula>"En cours"</formula>
    </cfRule>
  </conditionalFormatting>
  <conditionalFormatting sqref="AJ129">
    <cfRule type="cellIs" dxfId="5163" priority="83429" stopIfTrue="1" operator="equal">
      <formula>"En cours"</formula>
    </cfRule>
  </conditionalFormatting>
  <conditionalFormatting sqref="AJ129">
    <cfRule type="cellIs" dxfId="5162" priority="83430" stopIfTrue="1" operator="notEqual">
      <formula>"En cours"</formula>
    </cfRule>
  </conditionalFormatting>
  <conditionalFormatting sqref="AK129">
    <cfRule type="cellIs" dxfId="5161" priority="83431" stopIfTrue="1" operator="equal">
      <formula>"En cours"</formula>
    </cfRule>
  </conditionalFormatting>
  <conditionalFormatting sqref="AK129">
    <cfRule type="cellIs" dxfId="5160" priority="83432" stopIfTrue="1" operator="notEqual">
      <formula>"En cours"</formula>
    </cfRule>
  </conditionalFormatting>
  <conditionalFormatting sqref="AJ163">
    <cfRule type="cellIs" dxfId="5155" priority="83437" stopIfTrue="1" operator="equal">
      <formula>"En cours"</formula>
    </cfRule>
  </conditionalFormatting>
  <conditionalFormatting sqref="AJ163">
    <cfRule type="cellIs" dxfId="5154" priority="83438" stopIfTrue="1" operator="notEqual">
      <formula>"En cours"</formula>
    </cfRule>
  </conditionalFormatting>
  <conditionalFormatting sqref="AK163">
    <cfRule type="cellIs" dxfId="5153" priority="83439" stopIfTrue="1" operator="equal">
      <formula>"En cours"</formula>
    </cfRule>
  </conditionalFormatting>
  <conditionalFormatting sqref="AK163">
    <cfRule type="cellIs" dxfId="5152" priority="83440" stopIfTrue="1" operator="notEqual">
      <formula>"En cours"</formula>
    </cfRule>
  </conditionalFormatting>
  <conditionalFormatting sqref="AJ171">
    <cfRule type="cellIs" dxfId="5123" priority="83469" stopIfTrue="1" operator="equal">
      <formula>"En cours"</formula>
    </cfRule>
  </conditionalFormatting>
  <conditionalFormatting sqref="AJ171">
    <cfRule type="cellIs" dxfId="5122" priority="83470" stopIfTrue="1" operator="notEqual">
      <formula>"En cours"</formula>
    </cfRule>
  </conditionalFormatting>
  <conditionalFormatting sqref="AK171">
    <cfRule type="cellIs" dxfId="5121" priority="83471" stopIfTrue="1" operator="equal">
      <formula>"En cours"</formula>
    </cfRule>
  </conditionalFormatting>
  <conditionalFormatting sqref="AK171">
    <cfRule type="cellIs" dxfId="5120" priority="83472" stopIfTrue="1" operator="notEqual">
      <formula>"En cours"</formula>
    </cfRule>
  </conditionalFormatting>
  <conditionalFormatting sqref="AJ154">
    <cfRule type="cellIs" dxfId="5119" priority="83473" stopIfTrue="1" operator="equal">
      <formula>"En cours"</formula>
    </cfRule>
  </conditionalFormatting>
  <conditionalFormatting sqref="AJ154">
    <cfRule type="cellIs" dxfId="5118" priority="83474" stopIfTrue="1" operator="notEqual">
      <formula>"En cours"</formula>
    </cfRule>
  </conditionalFormatting>
  <conditionalFormatting sqref="AK154">
    <cfRule type="cellIs" dxfId="5117" priority="83475" stopIfTrue="1" operator="equal">
      <formula>"En cours"</formula>
    </cfRule>
  </conditionalFormatting>
  <conditionalFormatting sqref="AK154">
    <cfRule type="cellIs" dxfId="5116" priority="83476" stopIfTrue="1" operator="notEqual">
      <formula>"En cours"</formula>
    </cfRule>
  </conditionalFormatting>
  <conditionalFormatting sqref="AJ120">
    <cfRule type="cellIs" dxfId="4867" priority="83725" stopIfTrue="1" operator="equal">
      <formula>"En cours"</formula>
    </cfRule>
  </conditionalFormatting>
  <conditionalFormatting sqref="AJ120">
    <cfRule type="cellIs" dxfId="4866" priority="83726" stopIfTrue="1" operator="notEqual">
      <formula>"En cours"</formula>
    </cfRule>
  </conditionalFormatting>
  <conditionalFormatting sqref="AK120">
    <cfRule type="cellIs" dxfId="4865" priority="83727" stopIfTrue="1" operator="equal">
      <formula>"En cours"</formula>
    </cfRule>
  </conditionalFormatting>
  <conditionalFormatting sqref="AK120">
    <cfRule type="cellIs" dxfId="4864" priority="83728" stopIfTrue="1" operator="notEqual">
      <formula>"En cours"</formula>
    </cfRule>
  </conditionalFormatting>
  <conditionalFormatting sqref="AJ80">
    <cfRule type="cellIs" dxfId="4859" priority="83733" stopIfTrue="1" operator="equal">
      <formula>"En cours"</formula>
    </cfRule>
  </conditionalFormatting>
  <conditionalFormatting sqref="AJ80">
    <cfRule type="cellIs" dxfId="4858" priority="83734" stopIfTrue="1" operator="notEqual">
      <formula>"En cours"</formula>
    </cfRule>
  </conditionalFormatting>
  <conditionalFormatting sqref="AK80">
    <cfRule type="cellIs" dxfId="4857" priority="83735" stopIfTrue="1" operator="equal">
      <formula>"En cours"</formula>
    </cfRule>
  </conditionalFormatting>
  <conditionalFormatting sqref="AK80">
    <cfRule type="cellIs" dxfId="4856" priority="83736" stopIfTrue="1" operator="notEqual">
      <formula>"En cours"</formula>
    </cfRule>
  </conditionalFormatting>
  <conditionalFormatting sqref="AJ138">
    <cfRule type="cellIs" dxfId="4839" priority="83753" stopIfTrue="1" operator="equal">
      <formula>"En cours"</formula>
    </cfRule>
  </conditionalFormatting>
  <conditionalFormatting sqref="AJ138">
    <cfRule type="cellIs" dxfId="4838" priority="83754" stopIfTrue="1" operator="notEqual">
      <formula>"En cours"</formula>
    </cfRule>
  </conditionalFormatting>
  <conditionalFormatting sqref="AK138">
    <cfRule type="cellIs" dxfId="4837" priority="83755" stopIfTrue="1" operator="equal">
      <formula>"En cours"</formula>
    </cfRule>
  </conditionalFormatting>
  <conditionalFormatting sqref="AK138">
    <cfRule type="cellIs" dxfId="4836" priority="83756" stopIfTrue="1" operator="notEqual">
      <formula>"En cours"</formula>
    </cfRule>
  </conditionalFormatting>
  <conditionalFormatting sqref="AJ121">
    <cfRule type="cellIs" dxfId="4827" priority="83765" stopIfTrue="1" operator="equal">
      <formula>"En cours"</formula>
    </cfRule>
  </conditionalFormatting>
  <conditionalFormatting sqref="AJ121">
    <cfRule type="cellIs" dxfId="4826" priority="83766" stopIfTrue="1" operator="notEqual">
      <formula>"En cours"</formula>
    </cfRule>
  </conditionalFormatting>
  <conditionalFormatting sqref="AK121">
    <cfRule type="cellIs" dxfId="4825" priority="83767" stopIfTrue="1" operator="equal">
      <formula>"En cours"</formula>
    </cfRule>
  </conditionalFormatting>
  <conditionalFormatting sqref="AK121">
    <cfRule type="cellIs" dxfId="4824" priority="83768" stopIfTrue="1" operator="notEqual">
      <formula>"En cours"</formula>
    </cfRule>
  </conditionalFormatting>
  <conditionalFormatting sqref="AJ83">
    <cfRule type="cellIs" dxfId="4823" priority="83769" stopIfTrue="1" operator="equal">
      <formula>"En cours"</formula>
    </cfRule>
  </conditionalFormatting>
  <conditionalFormatting sqref="AJ83">
    <cfRule type="cellIs" dxfId="4822" priority="83770" stopIfTrue="1" operator="notEqual">
      <formula>"En cours"</formula>
    </cfRule>
  </conditionalFormatting>
  <conditionalFormatting sqref="AK83">
    <cfRule type="cellIs" dxfId="4821" priority="83771" stopIfTrue="1" operator="equal">
      <formula>"En cours"</formula>
    </cfRule>
  </conditionalFormatting>
  <conditionalFormatting sqref="AK83">
    <cfRule type="cellIs" dxfId="4820" priority="83772" stopIfTrue="1" operator="notEqual">
      <formula>"En cours"</formula>
    </cfRule>
  </conditionalFormatting>
  <conditionalFormatting sqref="AJ170">
    <cfRule type="cellIs" dxfId="4799" priority="83793" stopIfTrue="1" operator="equal">
      <formula>"En cours"</formula>
    </cfRule>
  </conditionalFormatting>
  <conditionalFormatting sqref="AJ170">
    <cfRule type="cellIs" dxfId="4798" priority="83794" stopIfTrue="1" operator="notEqual">
      <formula>"En cours"</formula>
    </cfRule>
  </conditionalFormatting>
  <conditionalFormatting sqref="AK170">
    <cfRule type="cellIs" dxfId="4797" priority="83795" stopIfTrue="1" operator="equal">
      <formula>"En cours"</formula>
    </cfRule>
  </conditionalFormatting>
  <conditionalFormatting sqref="AK170">
    <cfRule type="cellIs" dxfId="4796" priority="83796" stopIfTrue="1" operator="notEqual">
      <formula>"En cours"</formula>
    </cfRule>
  </conditionalFormatting>
  <conditionalFormatting sqref="AJ26">
    <cfRule type="cellIs" dxfId="4791" priority="83801" stopIfTrue="1" operator="equal">
      <formula>"En cours"</formula>
    </cfRule>
  </conditionalFormatting>
  <conditionalFormatting sqref="AJ26">
    <cfRule type="cellIs" dxfId="4790" priority="83802" stopIfTrue="1" operator="notEqual">
      <formula>"En cours"</formula>
    </cfRule>
  </conditionalFormatting>
  <conditionalFormatting sqref="AK26">
    <cfRule type="cellIs" dxfId="4789" priority="83803" stopIfTrue="1" operator="equal">
      <formula>"En cours"</formula>
    </cfRule>
  </conditionalFormatting>
  <conditionalFormatting sqref="AK26">
    <cfRule type="cellIs" dxfId="4788" priority="83804" stopIfTrue="1" operator="notEqual">
      <formula>"En cours"</formula>
    </cfRule>
  </conditionalFormatting>
  <conditionalFormatting sqref="AJ93">
    <cfRule type="cellIs" dxfId="4787" priority="83805" stopIfTrue="1" operator="equal">
      <formula>"En cours"</formula>
    </cfRule>
  </conditionalFormatting>
  <conditionalFormatting sqref="AJ93">
    <cfRule type="cellIs" dxfId="4786" priority="83806" stopIfTrue="1" operator="notEqual">
      <formula>"En cours"</formula>
    </cfRule>
  </conditionalFormatting>
  <conditionalFormatting sqref="AK93">
    <cfRule type="cellIs" dxfId="4785" priority="83807" stopIfTrue="1" operator="equal">
      <formula>"En cours"</formula>
    </cfRule>
  </conditionalFormatting>
  <conditionalFormatting sqref="AK93">
    <cfRule type="cellIs" dxfId="4784" priority="83808" stopIfTrue="1" operator="notEqual">
      <formula>"En cours"</formula>
    </cfRule>
  </conditionalFormatting>
  <conditionalFormatting sqref="AJ84">
    <cfRule type="cellIs" dxfId="4783" priority="83809" stopIfTrue="1" operator="equal">
      <formula>"En cours"</formula>
    </cfRule>
  </conditionalFormatting>
  <conditionalFormatting sqref="AJ84">
    <cfRule type="cellIs" dxfId="4782" priority="83810" stopIfTrue="1" operator="notEqual">
      <formula>"En cours"</formula>
    </cfRule>
  </conditionalFormatting>
  <conditionalFormatting sqref="AK84">
    <cfRule type="cellIs" dxfId="4781" priority="83811" stopIfTrue="1" operator="equal">
      <formula>"En cours"</formula>
    </cfRule>
  </conditionalFormatting>
  <conditionalFormatting sqref="AK84">
    <cfRule type="cellIs" dxfId="4780" priority="83812" stopIfTrue="1" operator="notEqual">
      <formula>"En cours"</formula>
    </cfRule>
  </conditionalFormatting>
  <conditionalFormatting sqref="AJ89">
    <cfRule type="cellIs" dxfId="4759" priority="83833" stopIfTrue="1" operator="equal">
      <formula>"En cours"</formula>
    </cfRule>
  </conditionalFormatting>
  <conditionalFormatting sqref="AJ89">
    <cfRule type="cellIs" dxfId="4758" priority="83834" stopIfTrue="1" operator="notEqual">
      <formula>"En cours"</formula>
    </cfRule>
  </conditionalFormatting>
  <conditionalFormatting sqref="AK89">
    <cfRule type="cellIs" dxfId="4757" priority="83835" stopIfTrue="1" operator="equal">
      <formula>"En cours"</formula>
    </cfRule>
  </conditionalFormatting>
  <conditionalFormatting sqref="AK89">
    <cfRule type="cellIs" dxfId="4756" priority="83836" stopIfTrue="1" operator="notEqual">
      <formula>"En cours"</formula>
    </cfRule>
  </conditionalFormatting>
  <conditionalFormatting sqref="AJ148">
    <cfRule type="cellIs" dxfId="4747" priority="83845" stopIfTrue="1" operator="equal">
      <formula>"En cours"</formula>
    </cfRule>
  </conditionalFormatting>
  <conditionalFormatting sqref="AJ148">
    <cfRule type="cellIs" dxfId="4746" priority="83846" stopIfTrue="1" operator="notEqual">
      <formula>"En cours"</formula>
    </cfRule>
  </conditionalFormatting>
  <conditionalFormatting sqref="AK148">
    <cfRule type="cellIs" dxfId="4745" priority="83847" stopIfTrue="1" operator="equal">
      <formula>"En cours"</formula>
    </cfRule>
  </conditionalFormatting>
  <conditionalFormatting sqref="AK148">
    <cfRule type="cellIs" dxfId="4744" priority="83848" stopIfTrue="1" operator="notEqual">
      <formula>"En cours"</formula>
    </cfRule>
  </conditionalFormatting>
  <conditionalFormatting sqref="AJ96">
    <cfRule type="cellIs" dxfId="4727" priority="83865" stopIfTrue="1" operator="equal">
      <formula>"En cours"</formula>
    </cfRule>
  </conditionalFormatting>
  <conditionalFormatting sqref="AJ96">
    <cfRule type="cellIs" dxfId="4726" priority="83866" stopIfTrue="1" operator="notEqual">
      <formula>"En cours"</formula>
    </cfRule>
  </conditionalFormatting>
  <conditionalFormatting sqref="AK96">
    <cfRule type="cellIs" dxfId="4725" priority="83867" stopIfTrue="1" operator="equal">
      <formula>"En cours"</formula>
    </cfRule>
  </conditionalFormatting>
  <conditionalFormatting sqref="AK96">
    <cfRule type="cellIs" dxfId="4724" priority="83868" stopIfTrue="1" operator="notEqual">
      <formula>"En cours"</formula>
    </cfRule>
  </conditionalFormatting>
  <conditionalFormatting sqref="AJ101">
    <cfRule type="cellIs" dxfId="4707" priority="83885" stopIfTrue="1" operator="equal">
      <formula>"En cours"</formula>
    </cfRule>
  </conditionalFormatting>
  <conditionalFormatting sqref="AJ101">
    <cfRule type="cellIs" dxfId="4706" priority="83886" stopIfTrue="1" operator="notEqual">
      <formula>"En cours"</formula>
    </cfRule>
  </conditionalFormatting>
  <conditionalFormatting sqref="AK101">
    <cfRule type="cellIs" dxfId="4705" priority="83887" stopIfTrue="1" operator="equal">
      <formula>"En cours"</formula>
    </cfRule>
  </conditionalFormatting>
  <conditionalFormatting sqref="AK101">
    <cfRule type="cellIs" dxfId="4704" priority="83888" stopIfTrue="1" operator="notEqual">
      <formula>"En cours"</formula>
    </cfRule>
  </conditionalFormatting>
  <conditionalFormatting sqref="AJ114">
    <cfRule type="cellIs" dxfId="4699" priority="83893" stopIfTrue="1" operator="equal">
      <formula>"En cours"</formula>
    </cfRule>
  </conditionalFormatting>
  <conditionalFormatting sqref="AJ114">
    <cfRule type="cellIs" dxfId="4698" priority="83894" stopIfTrue="1" operator="notEqual">
      <formula>"En cours"</formula>
    </cfRule>
  </conditionalFormatting>
  <conditionalFormatting sqref="AK114">
    <cfRule type="cellIs" dxfId="4697" priority="83895" stopIfTrue="1" operator="equal">
      <formula>"En cours"</formula>
    </cfRule>
  </conditionalFormatting>
  <conditionalFormatting sqref="AK114">
    <cfRule type="cellIs" dxfId="4696" priority="83896" stopIfTrue="1" operator="notEqual">
      <formula>"En cours"</formula>
    </cfRule>
  </conditionalFormatting>
  <conditionalFormatting sqref="AJ116">
    <cfRule type="cellIs" dxfId="4687" priority="83905" stopIfTrue="1" operator="equal">
      <formula>"En cours"</formula>
    </cfRule>
  </conditionalFormatting>
  <conditionalFormatting sqref="AJ116">
    <cfRule type="cellIs" dxfId="4686" priority="83906" stopIfTrue="1" operator="notEqual">
      <formula>"En cours"</formula>
    </cfRule>
  </conditionalFormatting>
  <conditionalFormatting sqref="AK116">
    <cfRule type="cellIs" dxfId="4685" priority="83907" stopIfTrue="1" operator="equal">
      <formula>"En cours"</formula>
    </cfRule>
  </conditionalFormatting>
  <conditionalFormatting sqref="AK116">
    <cfRule type="cellIs" dxfId="4684" priority="83908" stopIfTrue="1" operator="notEqual">
      <formula>"En cours"</formula>
    </cfRule>
  </conditionalFormatting>
  <conditionalFormatting sqref="AJ159">
    <cfRule type="cellIs" dxfId="4675" priority="83917" stopIfTrue="1" operator="equal">
      <formula>"En cours"</formula>
    </cfRule>
  </conditionalFormatting>
  <conditionalFormatting sqref="AJ159">
    <cfRule type="cellIs" dxfId="4674" priority="83918" stopIfTrue="1" operator="notEqual">
      <formula>"En cours"</formula>
    </cfRule>
  </conditionalFormatting>
  <conditionalFormatting sqref="AK159">
    <cfRule type="cellIs" dxfId="4673" priority="83919" stopIfTrue="1" operator="equal">
      <formula>"En cours"</formula>
    </cfRule>
  </conditionalFormatting>
  <conditionalFormatting sqref="AK159">
    <cfRule type="cellIs" dxfId="4672" priority="83920" stopIfTrue="1" operator="notEqual">
      <formula>"En cours"</formula>
    </cfRule>
  </conditionalFormatting>
  <conditionalFormatting sqref="AJ77">
    <cfRule type="cellIs" dxfId="4667" priority="83925" stopIfTrue="1" operator="equal">
      <formula>"En cours"</formula>
    </cfRule>
  </conditionalFormatting>
  <conditionalFormatting sqref="AJ77">
    <cfRule type="cellIs" dxfId="4666" priority="83926" stopIfTrue="1" operator="notEqual">
      <formula>"En cours"</formula>
    </cfRule>
  </conditionalFormatting>
  <conditionalFormatting sqref="AK77">
    <cfRule type="cellIs" dxfId="4665" priority="83927" stopIfTrue="1" operator="equal">
      <formula>"En cours"</formula>
    </cfRule>
  </conditionalFormatting>
  <conditionalFormatting sqref="AK77">
    <cfRule type="cellIs" dxfId="4664" priority="83928" stopIfTrue="1" operator="notEqual">
      <formula>"En cours"</formula>
    </cfRule>
  </conditionalFormatting>
  <conditionalFormatting sqref="AJ160">
    <cfRule type="cellIs" dxfId="4643" priority="83949" stopIfTrue="1" operator="equal">
      <formula>"En cours"</formula>
    </cfRule>
  </conditionalFormatting>
  <conditionalFormatting sqref="AJ160">
    <cfRule type="cellIs" dxfId="4642" priority="83950" stopIfTrue="1" operator="notEqual">
      <formula>"En cours"</formula>
    </cfRule>
  </conditionalFormatting>
  <conditionalFormatting sqref="AK160">
    <cfRule type="cellIs" dxfId="4641" priority="83951" stopIfTrue="1" operator="equal">
      <formula>"En cours"</formula>
    </cfRule>
  </conditionalFormatting>
  <conditionalFormatting sqref="AK160">
    <cfRule type="cellIs" dxfId="4640" priority="83952" stopIfTrue="1" operator="notEqual">
      <formula>"En cours"</formula>
    </cfRule>
  </conditionalFormatting>
  <conditionalFormatting sqref="AJ6">
    <cfRule type="cellIs" dxfId="4251" priority="84341" stopIfTrue="1" operator="equal">
      <formula>"En cours"</formula>
    </cfRule>
    <cfRule type="cellIs" dxfId="4250" priority="84342" stopIfTrue="1" operator="notEqual">
      <formula>"En cours"</formula>
    </cfRule>
  </conditionalFormatting>
  <conditionalFormatting sqref="AK6">
    <cfRule type="cellIs" dxfId="4249" priority="84343" stopIfTrue="1" operator="equal">
      <formula>"En cours"</formula>
    </cfRule>
    <cfRule type="cellIs" dxfId="4248" priority="84344" stopIfTrue="1" operator="notEqual">
      <formula>"En cours"</formula>
    </cfRule>
  </conditionalFormatting>
  <conditionalFormatting sqref="AJ12">
    <cfRule type="cellIs" dxfId="4247" priority="84345" stopIfTrue="1" operator="equal">
      <formula>"En cours"</formula>
    </cfRule>
  </conditionalFormatting>
  <conditionalFormatting sqref="AJ12">
    <cfRule type="cellIs" dxfId="4246" priority="84346" stopIfTrue="1" operator="notEqual">
      <formula>"En cours"</formula>
    </cfRule>
  </conditionalFormatting>
  <conditionalFormatting sqref="AK12">
    <cfRule type="cellIs" dxfId="4245" priority="84347" stopIfTrue="1" operator="equal">
      <formula>"En cours"</formula>
    </cfRule>
  </conditionalFormatting>
  <conditionalFormatting sqref="AK12">
    <cfRule type="cellIs" dxfId="4244" priority="84348" stopIfTrue="1" operator="notEqual">
      <formula>"En cours"</formula>
    </cfRule>
  </conditionalFormatting>
  <conditionalFormatting sqref="AJ5">
    <cfRule type="cellIs" dxfId="4243" priority="84349" stopIfTrue="1" operator="equal">
      <formula>"En cours"</formula>
    </cfRule>
    <cfRule type="cellIs" dxfId="4242" priority="84350" stopIfTrue="1" operator="notEqual">
      <formula>"En cours"</formula>
    </cfRule>
  </conditionalFormatting>
  <conditionalFormatting sqref="AK5">
    <cfRule type="cellIs" dxfId="4241" priority="84351" stopIfTrue="1" operator="equal">
      <formula>"En cours"</formula>
    </cfRule>
    <cfRule type="cellIs" dxfId="4240" priority="84352" stopIfTrue="1" operator="notEqual">
      <formula>"En cours"</formula>
    </cfRule>
  </conditionalFormatting>
  <conditionalFormatting sqref="AJ20">
    <cfRule type="cellIs" dxfId="4239" priority="84353" stopIfTrue="1" operator="equal">
      <formula>"En cours"</formula>
    </cfRule>
  </conditionalFormatting>
  <conditionalFormatting sqref="AJ20">
    <cfRule type="cellIs" dxfId="4238" priority="84354" stopIfTrue="1" operator="notEqual">
      <formula>"En cours"</formula>
    </cfRule>
  </conditionalFormatting>
  <conditionalFormatting sqref="AK20">
    <cfRule type="cellIs" dxfId="4237" priority="84355" stopIfTrue="1" operator="equal">
      <formula>"En cours"</formula>
    </cfRule>
  </conditionalFormatting>
  <conditionalFormatting sqref="AK20">
    <cfRule type="cellIs" dxfId="4236" priority="84356" stopIfTrue="1" operator="notEqual">
      <formula>"En cours"</formula>
    </cfRule>
  </conditionalFormatting>
  <conditionalFormatting sqref="AJ165">
    <cfRule type="cellIs" dxfId="4235" priority="84357" stopIfTrue="1" operator="equal">
      <formula>"En cours"</formula>
    </cfRule>
  </conditionalFormatting>
  <conditionalFormatting sqref="AJ165">
    <cfRule type="cellIs" dxfId="4234" priority="84358" stopIfTrue="1" operator="notEqual">
      <formula>"En cours"</formula>
    </cfRule>
  </conditionalFormatting>
  <conditionalFormatting sqref="AK165">
    <cfRule type="cellIs" dxfId="4233" priority="84359" stopIfTrue="1" operator="equal">
      <formula>"En cours"</formula>
    </cfRule>
  </conditionalFormatting>
  <conditionalFormatting sqref="AK165">
    <cfRule type="cellIs" dxfId="4232" priority="84360" stopIfTrue="1" operator="notEqual">
      <formula>"En cours"</formula>
    </cfRule>
  </conditionalFormatting>
  <conditionalFormatting sqref="AJ17">
    <cfRule type="cellIs" dxfId="4231" priority="84361" stopIfTrue="1" operator="equal">
      <formula>"En cours"</formula>
    </cfRule>
  </conditionalFormatting>
  <conditionalFormatting sqref="AJ17">
    <cfRule type="cellIs" dxfId="4230" priority="84362" stopIfTrue="1" operator="notEqual">
      <formula>"En cours"</formula>
    </cfRule>
  </conditionalFormatting>
  <conditionalFormatting sqref="AK17">
    <cfRule type="cellIs" dxfId="4229" priority="84363" stopIfTrue="1" operator="equal">
      <formula>"En cours"</formula>
    </cfRule>
  </conditionalFormatting>
  <conditionalFormatting sqref="AK17">
    <cfRule type="cellIs" dxfId="4228" priority="84364" stopIfTrue="1" operator="notEqual">
      <formula>"En cours"</formula>
    </cfRule>
  </conditionalFormatting>
  <conditionalFormatting sqref="AJ13">
    <cfRule type="cellIs" dxfId="4227" priority="84365" stopIfTrue="1" operator="equal">
      <formula>"En cours"</formula>
    </cfRule>
  </conditionalFormatting>
  <conditionalFormatting sqref="AJ13">
    <cfRule type="cellIs" dxfId="4226" priority="84366" stopIfTrue="1" operator="notEqual">
      <formula>"En cours"</formula>
    </cfRule>
  </conditionalFormatting>
  <conditionalFormatting sqref="AK13">
    <cfRule type="cellIs" dxfId="4225" priority="84367" stopIfTrue="1" operator="equal">
      <formula>"En cours"</formula>
    </cfRule>
  </conditionalFormatting>
  <conditionalFormatting sqref="AK13">
    <cfRule type="cellIs" dxfId="4224" priority="84368" stopIfTrue="1" operator="notEqual">
      <formula>"En cours"</formula>
    </cfRule>
  </conditionalFormatting>
  <conditionalFormatting sqref="AJ166">
    <cfRule type="cellIs" dxfId="4223" priority="84369" stopIfTrue="1" operator="equal">
      <formula>"En cours"</formula>
    </cfRule>
  </conditionalFormatting>
  <conditionalFormatting sqref="AJ166">
    <cfRule type="cellIs" dxfId="4222" priority="84370" stopIfTrue="1" operator="notEqual">
      <formula>"En cours"</formula>
    </cfRule>
  </conditionalFormatting>
  <conditionalFormatting sqref="AK166">
    <cfRule type="cellIs" dxfId="4221" priority="84371" stopIfTrue="1" operator="equal">
      <formula>"En cours"</formula>
    </cfRule>
  </conditionalFormatting>
  <conditionalFormatting sqref="AK166">
    <cfRule type="cellIs" dxfId="4220" priority="84372" stopIfTrue="1" operator="notEqual">
      <formula>"En cours"</formula>
    </cfRule>
  </conditionalFormatting>
  <conditionalFormatting sqref="AJ172">
    <cfRule type="cellIs" dxfId="4219" priority="84373" stopIfTrue="1" operator="equal">
      <formula>"En cours"</formula>
    </cfRule>
  </conditionalFormatting>
  <conditionalFormatting sqref="AJ172">
    <cfRule type="cellIs" dxfId="4218" priority="84374" stopIfTrue="1" operator="notEqual">
      <formula>"En cours"</formula>
    </cfRule>
  </conditionalFormatting>
  <conditionalFormatting sqref="AK172">
    <cfRule type="cellIs" dxfId="4217" priority="84375" stopIfTrue="1" operator="equal">
      <formula>"En cours"</formula>
    </cfRule>
  </conditionalFormatting>
  <conditionalFormatting sqref="AK172">
    <cfRule type="cellIs" dxfId="4216" priority="84376" stopIfTrue="1" operator="notEqual">
      <formula>"En cours"</formula>
    </cfRule>
  </conditionalFormatting>
  <conditionalFormatting sqref="AJ173">
    <cfRule type="cellIs" dxfId="4215" priority="84377" stopIfTrue="1" operator="equal">
      <formula>"En cours"</formula>
    </cfRule>
  </conditionalFormatting>
  <conditionalFormatting sqref="AJ173">
    <cfRule type="cellIs" dxfId="4214" priority="84378" stopIfTrue="1" operator="notEqual">
      <formula>"En cours"</formula>
    </cfRule>
  </conditionalFormatting>
  <conditionalFormatting sqref="AK173">
    <cfRule type="cellIs" dxfId="4213" priority="84379" stopIfTrue="1" operator="equal">
      <formula>"En cours"</formula>
    </cfRule>
  </conditionalFormatting>
  <conditionalFormatting sqref="AK173">
    <cfRule type="cellIs" dxfId="4212" priority="84380" stopIfTrue="1" operator="notEqual">
      <formula>"En cours"</formula>
    </cfRule>
  </conditionalFormatting>
  <conditionalFormatting sqref="AJ15">
    <cfRule type="cellIs" dxfId="4211" priority="84381" stopIfTrue="1" operator="equal">
      <formula>"En cours"</formula>
    </cfRule>
  </conditionalFormatting>
  <conditionalFormatting sqref="AJ15">
    <cfRule type="cellIs" dxfId="4210" priority="84382" stopIfTrue="1" operator="notEqual">
      <formula>"En cours"</formula>
    </cfRule>
  </conditionalFormatting>
  <conditionalFormatting sqref="AK15">
    <cfRule type="cellIs" dxfId="4209" priority="84383" stopIfTrue="1" operator="equal">
      <formula>"En cours"</formula>
    </cfRule>
  </conditionalFormatting>
  <conditionalFormatting sqref="AK15">
    <cfRule type="cellIs" dxfId="4208" priority="84384" stopIfTrue="1" operator="notEqual">
      <formula>"En cours"</formula>
    </cfRule>
  </conditionalFormatting>
  <conditionalFormatting sqref="AJ19">
    <cfRule type="cellIs" dxfId="4207" priority="84385" stopIfTrue="1" operator="equal">
      <formula>"En cours"</formula>
    </cfRule>
  </conditionalFormatting>
  <conditionalFormatting sqref="AJ19">
    <cfRule type="cellIs" dxfId="4206" priority="84386" stopIfTrue="1" operator="notEqual">
      <formula>"En cours"</formula>
    </cfRule>
  </conditionalFormatting>
  <conditionalFormatting sqref="AK19">
    <cfRule type="cellIs" dxfId="4205" priority="84387" stopIfTrue="1" operator="equal">
      <formula>"En cours"</formula>
    </cfRule>
  </conditionalFormatting>
  <conditionalFormatting sqref="AK19">
    <cfRule type="cellIs" dxfId="4204" priority="84388" stopIfTrue="1" operator="notEqual">
      <formula>"En cours"</formula>
    </cfRule>
  </conditionalFormatting>
  <conditionalFormatting sqref="AJ4">
    <cfRule type="cellIs" dxfId="4203" priority="84389" stopIfTrue="1" operator="equal">
      <formula>"En cours"</formula>
    </cfRule>
    <cfRule type="cellIs" dxfId="4202" priority="84390" stopIfTrue="1" operator="notEqual">
      <formula>"En cours"</formula>
    </cfRule>
  </conditionalFormatting>
  <conditionalFormatting sqref="AK4">
    <cfRule type="cellIs" dxfId="4201" priority="84391" stopIfTrue="1" operator="equal">
      <formula>"En cours"</formula>
    </cfRule>
    <cfRule type="cellIs" dxfId="4200" priority="84392" stopIfTrue="1" operator="notEqual">
      <formula>"En cours"</formula>
    </cfRule>
  </conditionalFormatting>
  <conditionalFormatting sqref="AJ177">
    <cfRule type="cellIs" dxfId="4199" priority="84393" stopIfTrue="1" operator="equal">
      <formula>"En cours"</formula>
    </cfRule>
  </conditionalFormatting>
  <conditionalFormatting sqref="AJ177">
    <cfRule type="cellIs" dxfId="4198" priority="84394" stopIfTrue="1" operator="notEqual">
      <formula>"En cours"</formula>
    </cfRule>
  </conditionalFormatting>
  <conditionalFormatting sqref="AK177">
    <cfRule type="cellIs" dxfId="4197" priority="84395" stopIfTrue="1" operator="equal">
      <formula>"En cours"</formula>
    </cfRule>
  </conditionalFormatting>
  <conditionalFormatting sqref="AK177">
    <cfRule type="cellIs" dxfId="4196" priority="84396" stopIfTrue="1" operator="notEqual">
      <formula>"En cours"</formula>
    </cfRule>
  </conditionalFormatting>
  <conditionalFormatting sqref="AJ9">
    <cfRule type="cellIs" dxfId="4195" priority="84397" stopIfTrue="1" operator="equal">
      <formula>"En cours"</formula>
    </cfRule>
  </conditionalFormatting>
  <conditionalFormatting sqref="AJ9">
    <cfRule type="cellIs" dxfId="4194" priority="84398" stopIfTrue="1" operator="notEqual">
      <formula>"En cours"</formula>
    </cfRule>
  </conditionalFormatting>
  <conditionalFormatting sqref="AK9">
    <cfRule type="cellIs" dxfId="4193" priority="84399" stopIfTrue="1" operator="equal">
      <formula>"En cours"</formula>
    </cfRule>
  </conditionalFormatting>
  <conditionalFormatting sqref="AK9">
    <cfRule type="cellIs" dxfId="4192" priority="84400" stopIfTrue="1" operator="notEqual">
      <formula>"En cours"</formula>
    </cfRule>
  </conditionalFormatting>
  <conditionalFormatting sqref="AJ30">
    <cfRule type="cellIs" dxfId="4191" priority="84401" stopIfTrue="1" operator="equal">
      <formula>"En cours"</formula>
    </cfRule>
  </conditionalFormatting>
  <conditionalFormatting sqref="AJ30">
    <cfRule type="cellIs" dxfId="4190" priority="84402" stopIfTrue="1" operator="notEqual">
      <formula>"En cours"</formula>
    </cfRule>
  </conditionalFormatting>
  <conditionalFormatting sqref="AK30">
    <cfRule type="cellIs" dxfId="4189" priority="84403" stopIfTrue="1" operator="equal">
      <formula>"En cours"</formula>
    </cfRule>
  </conditionalFormatting>
  <conditionalFormatting sqref="AK30">
    <cfRule type="cellIs" dxfId="4188" priority="84404" stopIfTrue="1" operator="notEqual">
      <formula>"En cours"</formula>
    </cfRule>
  </conditionalFormatting>
  <conditionalFormatting sqref="AJ25">
    <cfRule type="cellIs" dxfId="4187" priority="84405" stopIfTrue="1" operator="equal">
      <formula>"En cours"</formula>
    </cfRule>
  </conditionalFormatting>
  <conditionalFormatting sqref="AJ25">
    <cfRule type="cellIs" dxfId="4186" priority="84406" stopIfTrue="1" operator="notEqual">
      <formula>"En cours"</formula>
    </cfRule>
  </conditionalFormatting>
  <conditionalFormatting sqref="AK25">
    <cfRule type="cellIs" dxfId="4185" priority="84407" stopIfTrue="1" operator="equal">
      <formula>"En cours"</formula>
    </cfRule>
  </conditionalFormatting>
  <conditionalFormatting sqref="AK25">
    <cfRule type="cellIs" dxfId="4184" priority="84408" stopIfTrue="1" operator="notEqual">
      <formula>"En cours"</formula>
    </cfRule>
  </conditionalFormatting>
  <conditionalFormatting sqref="AJ41">
    <cfRule type="cellIs" dxfId="4183" priority="84409" stopIfTrue="1" operator="equal">
      <formula>"En cours"</formula>
    </cfRule>
  </conditionalFormatting>
  <conditionalFormatting sqref="AJ41">
    <cfRule type="cellIs" dxfId="4182" priority="84410" stopIfTrue="1" operator="notEqual">
      <formula>"En cours"</formula>
    </cfRule>
  </conditionalFormatting>
  <conditionalFormatting sqref="AK41">
    <cfRule type="cellIs" dxfId="4181" priority="84411" stopIfTrue="1" operator="equal">
      <formula>"En cours"</formula>
    </cfRule>
  </conditionalFormatting>
  <conditionalFormatting sqref="AK41">
    <cfRule type="cellIs" dxfId="4180" priority="84412" stopIfTrue="1" operator="notEqual">
      <formula>"En cours"</formula>
    </cfRule>
  </conditionalFormatting>
  <conditionalFormatting sqref="AJ174">
    <cfRule type="cellIs" dxfId="4179" priority="84413" stopIfTrue="1" operator="equal">
      <formula>"En cours"</formula>
    </cfRule>
  </conditionalFormatting>
  <conditionalFormatting sqref="AJ174">
    <cfRule type="cellIs" dxfId="4178" priority="84414" stopIfTrue="1" operator="notEqual">
      <formula>"En cours"</formula>
    </cfRule>
  </conditionalFormatting>
  <conditionalFormatting sqref="AK174">
    <cfRule type="cellIs" dxfId="4177" priority="84415" stopIfTrue="1" operator="equal">
      <formula>"En cours"</formula>
    </cfRule>
  </conditionalFormatting>
  <conditionalFormatting sqref="AK174">
    <cfRule type="cellIs" dxfId="4176" priority="84416" stopIfTrue="1" operator="notEqual">
      <formula>"En cours"</formula>
    </cfRule>
  </conditionalFormatting>
  <conditionalFormatting sqref="AJ86">
    <cfRule type="cellIs" dxfId="4175" priority="84417" stopIfTrue="1" operator="equal">
      <formula>"En cours"</formula>
    </cfRule>
  </conditionalFormatting>
  <conditionalFormatting sqref="AJ86">
    <cfRule type="cellIs" dxfId="4174" priority="84418" stopIfTrue="1" operator="notEqual">
      <formula>"En cours"</formula>
    </cfRule>
  </conditionalFormatting>
  <conditionalFormatting sqref="AK86">
    <cfRule type="cellIs" dxfId="4173" priority="84419" stopIfTrue="1" operator="equal">
      <formula>"En cours"</formula>
    </cfRule>
  </conditionalFormatting>
  <conditionalFormatting sqref="AK86">
    <cfRule type="cellIs" dxfId="4172" priority="84420" stopIfTrue="1" operator="notEqual">
      <formula>"En cours"</formula>
    </cfRule>
  </conditionalFormatting>
  <conditionalFormatting sqref="AJ146">
    <cfRule type="cellIs" dxfId="4171" priority="84421" stopIfTrue="1" operator="equal">
      <formula>"En cours"</formula>
    </cfRule>
  </conditionalFormatting>
  <conditionalFormatting sqref="AJ146">
    <cfRule type="cellIs" dxfId="4170" priority="84422" stopIfTrue="1" operator="notEqual">
      <formula>"En cours"</formula>
    </cfRule>
  </conditionalFormatting>
  <conditionalFormatting sqref="AK146">
    <cfRule type="cellIs" dxfId="4169" priority="84423" stopIfTrue="1" operator="equal">
      <formula>"En cours"</formula>
    </cfRule>
  </conditionalFormatting>
  <conditionalFormatting sqref="AK146">
    <cfRule type="cellIs" dxfId="4168" priority="84424" stopIfTrue="1" operator="notEqual">
      <formula>"En cours"</formula>
    </cfRule>
  </conditionalFormatting>
  <conditionalFormatting sqref="AJ40">
    <cfRule type="cellIs" dxfId="4167" priority="84425" stopIfTrue="1" operator="equal">
      <formula>"En cours"</formula>
    </cfRule>
  </conditionalFormatting>
  <conditionalFormatting sqref="AJ40">
    <cfRule type="cellIs" dxfId="4166" priority="84426" stopIfTrue="1" operator="notEqual">
      <formula>"En cours"</formula>
    </cfRule>
  </conditionalFormatting>
  <conditionalFormatting sqref="AK40">
    <cfRule type="cellIs" dxfId="4165" priority="84427" stopIfTrue="1" operator="equal">
      <formula>"En cours"</formula>
    </cfRule>
  </conditionalFormatting>
  <conditionalFormatting sqref="AK40">
    <cfRule type="cellIs" dxfId="4164" priority="84428" stopIfTrue="1" operator="notEqual">
      <formula>"En cours"</formula>
    </cfRule>
  </conditionalFormatting>
  <conditionalFormatting sqref="AJ87">
    <cfRule type="cellIs" dxfId="4163" priority="84429" stopIfTrue="1" operator="equal">
      <formula>"En cours"</formula>
    </cfRule>
  </conditionalFormatting>
  <conditionalFormatting sqref="AJ87">
    <cfRule type="cellIs" dxfId="4162" priority="84430" stopIfTrue="1" operator="notEqual">
      <formula>"En cours"</formula>
    </cfRule>
  </conditionalFormatting>
  <conditionalFormatting sqref="AK87">
    <cfRule type="cellIs" dxfId="4161" priority="84431" stopIfTrue="1" operator="equal">
      <formula>"En cours"</formula>
    </cfRule>
  </conditionalFormatting>
  <conditionalFormatting sqref="AK87">
    <cfRule type="cellIs" dxfId="4160" priority="84432" stopIfTrue="1" operator="notEqual">
      <formula>"En cours"</formula>
    </cfRule>
  </conditionalFormatting>
  <conditionalFormatting sqref="AJ45">
    <cfRule type="cellIs" dxfId="4159" priority="84433" stopIfTrue="1" operator="equal">
      <formula>"En cours"</formula>
    </cfRule>
  </conditionalFormatting>
  <conditionalFormatting sqref="AJ45">
    <cfRule type="cellIs" dxfId="4158" priority="84434" stopIfTrue="1" operator="notEqual">
      <formula>"En cours"</formula>
    </cfRule>
  </conditionalFormatting>
  <conditionalFormatting sqref="AK45">
    <cfRule type="cellIs" dxfId="4157" priority="84435" stopIfTrue="1" operator="equal">
      <formula>"En cours"</formula>
    </cfRule>
  </conditionalFormatting>
  <conditionalFormatting sqref="AK45">
    <cfRule type="cellIs" dxfId="4156" priority="84436" stopIfTrue="1" operator="notEqual">
      <formula>"En cours"</formula>
    </cfRule>
  </conditionalFormatting>
  <conditionalFormatting sqref="AJ168">
    <cfRule type="cellIs" dxfId="4155" priority="84437" stopIfTrue="1" operator="equal">
      <formula>"En cours"</formula>
    </cfRule>
  </conditionalFormatting>
  <conditionalFormatting sqref="AJ168">
    <cfRule type="cellIs" dxfId="4154" priority="84438" stopIfTrue="1" operator="notEqual">
      <formula>"En cours"</formula>
    </cfRule>
  </conditionalFormatting>
  <conditionalFormatting sqref="AK168">
    <cfRule type="cellIs" dxfId="4153" priority="84439" stopIfTrue="1" operator="equal">
      <formula>"En cours"</formula>
    </cfRule>
  </conditionalFormatting>
  <conditionalFormatting sqref="AK168">
    <cfRule type="cellIs" dxfId="4152" priority="84440" stopIfTrue="1" operator="notEqual">
      <formula>"En cours"</formula>
    </cfRule>
  </conditionalFormatting>
  <conditionalFormatting sqref="AJ22">
    <cfRule type="cellIs" dxfId="4151" priority="84441" stopIfTrue="1" operator="equal">
      <formula>"En cours"</formula>
    </cfRule>
  </conditionalFormatting>
  <conditionalFormatting sqref="AJ22">
    <cfRule type="cellIs" dxfId="4150" priority="84442" stopIfTrue="1" operator="notEqual">
      <formula>"En cours"</formula>
    </cfRule>
  </conditionalFormatting>
  <conditionalFormatting sqref="AK22">
    <cfRule type="cellIs" dxfId="4149" priority="84443" stopIfTrue="1" operator="equal">
      <formula>"En cours"</formula>
    </cfRule>
  </conditionalFormatting>
  <conditionalFormatting sqref="AK22">
    <cfRule type="cellIs" dxfId="4148" priority="84444" stopIfTrue="1" operator="notEqual">
      <formula>"En cours"</formula>
    </cfRule>
  </conditionalFormatting>
  <conditionalFormatting sqref="AJ34">
    <cfRule type="cellIs" dxfId="4147" priority="84445" stopIfTrue="1" operator="equal">
      <formula>"En cours"</formula>
    </cfRule>
  </conditionalFormatting>
  <conditionalFormatting sqref="AJ34">
    <cfRule type="cellIs" dxfId="4146" priority="84446" stopIfTrue="1" operator="notEqual">
      <formula>"En cours"</formula>
    </cfRule>
  </conditionalFormatting>
  <conditionalFormatting sqref="AK34">
    <cfRule type="cellIs" dxfId="4145" priority="84447" stopIfTrue="1" operator="equal">
      <formula>"En cours"</formula>
    </cfRule>
  </conditionalFormatting>
  <conditionalFormatting sqref="AK34">
    <cfRule type="cellIs" dxfId="4144" priority="84448" stopIfTrue="1" operator="notEqual">
      <formula>"En cours"</formula>
    </cfRule>
  </conditionalFormatting>
  <conditionalFormatting sqref="AJ144">
    <cfRule type="cellIs" dxfId="4143" priority="84449" stopIfTrue="1" operator="equal">
      <formula>"En cours"</formula>
    </cfRule>
  </conditionalFormatting>
  <conditionalFormatting sqref="AJ144">
    <cfRule type="cellIs" dxfId="4142" priority="84450" stopIfTrue="1" operator="notEqual">
      <formula>"En cours"</formula>
    </cfRule>
  </conditionalFormatting>
  <conditionalFormatting sqref="AK144">
    <cfRule type="cellIs" dxfId="4141" priority="84451" stopIfTrue="1" operator="equal">
      <formula>"En cours"</formula>
    </cfRule>
  </conditionalFormatting>
  <conditionalFormatting sqref="AK144">
    <cfRule type="cellIs" dxfId="4140" priority="84452" stopIfTrue="1" operator="notEqual">
      <formula>"En cours"</formula>
    </cfRule>
  </conditionalFormatting>
  <conditionalFormatting sqref="AJ37">
    <cfRule type="cellIs" dxfId="4139" priority="84453" stopIfTrue="1" operator="equal">
      <formula>"En cours"</formula>
    </cfRule>
  </conditionalFormatting>
  <conditionalFormatting sqref="AJ37">
    <cfRule type="cellIs" dxfId="4138" priority="84454" stopIfTrue="1" operator="notEqual">
      <formula>"En cours"</formula>
    </cfRule>
  </conditionalFormatting>
  <conditionalFormatting sqref="AK37">
    <cfRule type="cellIs" dxfId="4137" priority="84455" stopIfTrue="1" operator="equal">
      <formula>"En cours"</formula>
    </cfRule>
  </conditionalFormatting>
  <conditionalFormatting sqref="AK37">
    <cfRule type="cellIs" dxfId="4136" priority="84456" stopIfTrue="1" operator="notEqual">
      <formula>"En cours"</formula>
    </cfRule>
  </conditionalFormatting>
  <conditionalFormatting sqref="AJ99">
    <cfRule type="cellIs" dxfId="4135" priority="84457" stopIfTrue="1" operator="equal">
      <formula>"En cours"</formula>
    </cfRule>
  </conditionalFormatting>
  <conditionalFormatting sqref="AJ99">
    <cfRule type="cellIs" dxfId="4134" priority="84458" stopIfTrue="1" operator="notEqual">
      <formula>"En cours"</formula>
    </cfRule>
  </conditionalFormatting>
  <conditionalFormatting sqref="AK99">
    <cfRule type="cellIs" dxfId="4133" priority="84459" stopIfTrue="1" operator="equal">
      <formula>"En cours"</formula>
    </cfRule>
  </conditionalFormatting>
  <conditionalFormatting sqref="AK99">
    <cfRule type="cellIs" dxfId="4132" priority="84460" stopIfTrue="1" operator="notEqual">
      <formula>"En cours"</formula>
    </cfRule>
  </conditionalFormatting>
  <conditionalFormatting sqref="AJ90">
    <cfRule type="cellIs" dxfId="4131" priority="84461" stopIfTrue="1" operator="equal">
      <formula>"En cours"</formula>
    </cfRule>
  </conditionalFormatting>
  <conditionalFormatting sqref="AJ90">
    <cfRule type="cellIs" dxfId="4130" priority="84462" stopIfTrue="1" operator="notEqual">
      <formula>"En cours"</formula>
    </cfRule>
  </conditionalFormatting>
  <conditionalFormatting sqref="AK90">
    <cfRule type="cellIs" dxfId="4129" priority="84463" stopIfTrue="1" operator="equal">
      <formula>"En cours"</formula>
    </cfRule>
  </conditionalFormatting>
  <conditionalFormatting sqref="AK90">
    <cfRule type="cellIs" dxfId="4128" priority="84464" stopIfTrue="1" operator="notEqual">
      <formula>"En cours"</formula>
    </cfRule>
  </conditionalFormatting>
  <conditionalFormatting sqref="AJ141">
    <cfRule type="cellIs" dxfId="4127" priority="84465" stopIfTrue="1" operator="equal">
      <formula>"En cours"</formula>
    </cfRule>
  </conditionalFormatting>
  <conditionalFormatting sqref="AJ141">
    <cfRule type="cellIs" dxfId="4126" priority="84466" stopIfTrue="1" operator="notEqual">
      <formula>"En cours"</formula>
    </cfRule>
  </conditionalFormatting>
  <conditionalFormatting sqref="AK141">
    <cfRule type="cellIs" dxfId="4125" priority="84467" stopIfTrue="1" operator="equal">
      <formula>"En cours"</formula>
    </cfRule>
  </conditionalFormatting>
  <conditionalFormatting sqref="AK141">
    <cfRule type="cellIs" dxfId="4124" priority="84468" stopIfTrue="1" operator="notEqual">
      <formula>"En cours"</formula>
    </cfRule>
  </conditionalFormatting>
  <conditionalFormatting sqref="AJ85">
    <cfRule type="cellIs" dxfId="4123" priority="84469" stopIfTrue="1" operator="equal">
      <formula>"En cours"</formula>
    </cfRule>
  </conditionalFormatting>
  <conditionalFormatting sqref="AJ85">
    <cfRule type="cellIs" dxfId="4122" priority="84470" stopIfTrue="1" operator="notEqual">
      <formula>"En cours"</formula>
    </cfRule>
  </conditionalFormatting>
  <conditionalFormatting sqref="AK85">
    <cfRule type="cellIs" dxfId="4121" priority="84471" stopIfTrue="1" operator="equal">
      <formula>"En cours"</formula>
    </cfRule>
  </conditionalFormatting>
  <conditionalFormatting sqref="AK85">
    <cfRule type="cellIs" dxfId="4120" priority="84472" stopIfTrue="1" operator="notEqual">
      <formula>"En cours"</formula>
    </cfRule>
  </conditionalFormatting>
  <conditionalFormatting sqref="AJ36">
    <cfRule type="cellIs" dxfId="4119" priority="84473" stopIfTrue="1" operator="equal">
      <formula>"En cours"</formula>
    </cfRule>
  </conditionalFormatting>
  <conditionalFormatting sqref="AJ36">
    <cfRule type="cellIs" dxfId="4118" priority="84474" stopIfTrue="1" operator="notEqual">
      <formula>"En cours"</formula>
    </cfRule>
  </conditionalFormatting>
  <conditionalFormatting sqref="AK36">
    <cfRule type="cellIs" dxfId="4117" priority="84475" stopIfTrue="1" operator="equal">
      <formula>"En cours"</formula>
    </cfRule>
  </conditionalFormatting>
  <conditionalFormatting sqref="AK36">
    <cfRule type="cellIs" dxfId="4116" priority="84476" stopIfTrue="1" operator="notEqual">
      <formula>"En cours"</formula>
    </cfRule>
  </conditionalFormatting>
  <conditionalFormatting sqref="AJ39">
    <cfRule type="cellIs" dxfId="4115" priority="84477" stopIfTrue="1" operator="equal">
      <formula>"En cours"</formula>
    </cfRule>
  </conditionalFormatting>
  <conditionalFormatting sqref="AJ39">
    <cfRule type="cellIs" dxfId="4114" priority="84478" stopIfTrue="1" operator="notEqual">
      <formula>"En cours"</formula>
    </cfRule>
  </conditionalFormatting>
  <conditionalFormatting sqref="AK39">
    <cfRule type="cellIs" dxfId="4113" priority="84479" stopIfTrue="1" operator="equal">
      <formula>"En cours"</formula>
    </cfRule>
  </conditionalFormatting>
  <conditionalFormatting sqref="AK39">
    <cfRule type="cellIs" dxfId="4112" priority="84480" stopIfTrue="1" operator="notEqual">
      <formula>"En cours"</formula>
    </cfRule>
  </conditionalFormatting>
  <conditionalFormatting sqref="AJ55">
    <cfRule type="cellIs" dxfId="4111" priority="84481" stopIfTrue="1" operator="equal">
      <formula>"En cours"</formula>
    </cfRule>
  </conditionalFormatting>
  <conditionalFormatting sqref="AJ55">
    <cfRule type="cellIs" dxfId="4110" priority="84482" stopIfTrue="1" operator="notEqual">
      <formula>"En cours"</formula>
    </cfRule>
  </conditionalFormatting>
  <conditionalFormatting sqref="AK55">
    <cfRule type="cellIs" dxfId="4109" priority="84483" stopIfTrue="1" operator="equal">
      <formula>"En cours"</formula>
    </cfRule>
  </conditionalFormatting>
  <conditionalFormatting sqref="AK55">
    <cfRule type="cellIs" dxfId="4108" priority="84484" stopIfTrue="1" operator="notEqual">
      <formula>"En cours"</formula>
    </cfRule>
  </conditionalFormatting>
  <conditionalFormatting sqref="AJ91">
    <cfRule type="cellIs" dxfId="4107" priority="84485" stopIfTrue="1" operator="equal">
      <formula>"En cours"</formula>
    </cfRule>
  </conditionalFormatting>
  <conditionalFormatting sqref="AJ91">
    <cfRule type="cellIs" dxfId="4106" priority="84486" stopIfTrue="1" operator="notEqual">
      <formula>"En cours"</formula>
    </cfRule>
  </conditionalFormatting>
  <conditionalFormatting sqref="AK91">
    <cfRule type="cellIs" dxfId="4105" priority="84487" stopIfTrue="1" operator="equal">
      <formula>"En cours"</formula>
    </cfRule>
  </conditionalFormatting>
  <conditionalFormatting sqref="AK91">
    <cfRule type="cellIs" dxfId="4104" priority="84488" stopIfTrue="1" operator="notEqual">
      <formula>"En cours"</formula>
    </cfRule>
  </conditionalFormatting>
  <conditionalFormatting sqref="AJ35">
    <cfRule type="cellIs" dxfId="4103" priority="84489" stopIfTrue="1" operator="equal">
      <formula>"En cours"</formula>
    </cfRule>
  </conditionalFormatting>
  <conditionalFormatting sqref="AJ35">
    <cfRule type="cellIs" dxfId="4102" priority="84490" stopIfTrue="1" operator="notEqual">
      <formula>"En cours"</formula>
    </cfRule>
  </conditionalFormatting>
  <conditionalFormatting sqref="AK35">
    <cfRule type="cellIs" dxfId="4101" priority="84491" stopIfTrue="1" operator="equal">
      <formula>"En cours"</formula>
    </cfRule>
  </conditionalFormatting>
  <conditionalFormatting sqref="AK35">
    <cfRule type="cellIs" dxfId="4100" priority="84492" stopIfTrue="1" operator="notEqual">
      <formula>"En cours"</formula>
    </cfRule>
  </conditionalFormatting>
  <conditionalFormatting sqref="AJ92">
    <cfRule type="cellIs" dxfId="4099" priority="84493" stopIfTrue="1" operator="equal">
      <formula>"En cours"</formula>
    </cfRule>
  </conditionalFormatting>
  <conditionalFormatting sqref="AJ92">
    <cfRule type="cellIs" dxfId="4098" priority="84494" stopIfTrue="1" operator="notEqual">
      <formula>"En cours"</formula>
    </cfRule>
  </conditionalFormatting>
  <conditionalFormatting sqref="AK92">
    <cfRule type="cellIs" dxfId="4097" priority="84495" stopIfTrue="1" operator="equal">
      <formula>"En cours"</formula>
    </cfRule>
  </conditionalFormatting>
  <conditionalFormatting sqref="AK92">
    <cfRule type="cellIs" dxfId="4096" priority="84496" stopIfTrue="1" operator="notEqual">
      <formula>"En cours"</formula>
    </cfRule>
  </conditionalFormatting>
  <conditionalFormatting sqref="AJ31">
    <cfRule type="cellIs" dxfId="4095" priority="84497" stopIfTrue="1" operator="equal">
      <formula>"En cours"</formula>
    </cfRule>
  </conditionalFormatting>
  <conditionalFormatting sqref="AJ31">
    <cfRule type="cellIs" dxfId="4094" priority="84498" stopIfTrue="1" operator="notEqual">
      <formula>"En cours"</formula>
    </cfRule>
  </conditionalFormatting>
  <conditionalFormatting sqref="AK31">
    <cfRule type="cellIs" dxfId="4093" priority="84499" stopIfTrue="1" operator="equal">
      <formula>"En cours"</formula>
    </cfRule>
  </conditionalFormatting>
  <conditionalFormatting sqref="AK31">
    <cfRule type="cellIs" dxfId="4092" priority="84500" stopIfTrue="1" operator="notEqual">
      <formula>"En cours"</formula>
    </cfRule>
  </conditionalFormatting>
  <conditionalFormatting sqref="AJ50">
    <cfRule type="cellIs" dxfId="4091" priority="84501" stopIfTrue="1" operator="equal">
      <formula>"En cours"</formula>
    </cfRule>
  </conditionalFormatting>
  <conditionalFormatting sqref="AJ50">
    <cfRule type="cellIs" dxfId="4090" priority="84502" stopIfTrue="1" operator="notEqual">
      <formula>"En cours"</formula>
    </cfRule>
  </conditionalFormatting>
  <conditionalFormatting sqref="AK50">
    <cfRule type="cellIs" dxfId="4089" priority="84503" stopIfTrue="1" operator="equal">
      <formula>"En cours"</formula>
    </cfRule>
  </conditionalFormatting>
  <conditionalFormatting sqref="AK50">
    <cfRule type="cellIs" dxfId="4088" priority="84504" stopIfTrue="1" operator="notEqual">
      <formula>"En cours"</formula>
    </cfRule>
  </conditionalFormatting>
  <conditionalFormatting sqref="AJ95">
    <cfRule type="cellIs" dxfId="4087" priority="84505" stopIfTrue="1" operator="equal">
      <formula>"En cours"</formula>
    </cfRule>
  </conditionalFormatting>
  <conditionalFormatting sqref="AJ95">
    <cfRule type="cellIs" dxfId="4086" priority="84506" stopIfTrue="1" operator="notEqual">
      <formula>"En cours"</formula>
    </cfRule>
  </conditionalFormatting>
  <conditionalFormatting sqref="AK95">
    <cfRule type="cellIs" dxfId="4085" priority="84507" stopIfTrue="1" operator="equal">
      <formula>"En cours"</formula>
    </cfRule>
  </conditionalFormatting>
  <conditionalFormatting sqref="AK95">
    <cfRule type="cellIs" dxfId="4084" priority="84508" stopIfTrue="1" operator="notEqual">
      <formula>"En cours"</formula>
    </cfRule>
  </conditionalFormatting>
  <conditionalFormatting sqref="AJ178">
    <cfRule type="cellIs" dxfId="4083" priority="84509" stopIfTrue="1" operator="equal">
      <formula>"En cours"</formula>
    </cfRule>
  </conditionalFormatting>
  <conditionalFormatting sqref="AJ178">
    <cfRule type="cellIs" dxfId="4082" priority="84510" stopIfTrue="1" operator="notEqual">
      <formula>"En cours"</formula>
    </cfRule>
  </conditionalFormatting>
  <conditionalFormatting sqref="AK178">
    <cfRule type="cellIs" dxfId="4081" priority="84511" stopIfTrue="1" operator="equal">
      <formula>"En cours"</formula>
    </cfRule>
  </conditionalFormatting>
  <conditionalFormatting sqref="AK178">
    <cfRule type="cellIs" dxfId="4080" priority="84512" stopIfTrue="1" operator="notEqual">
      <formula>"En cours"</formula>
    </cfRule>
  </conditionalFormatting>
  <conditionalFormatting sqref="AJ122">
    <cfRule type="cellIs" dxfId="4079" priority="84513" stopIfTrue="1" operator="equal">
      <formula>"En cours"</formula>
    </cfRule>
  </conditionalFormatting>
  <conditionalFormatting sqref="AJ122">
    <cfRule type="cellIs" dxfId="4078" priority="84514" stopIfTrue="1" operator="notEqual">
      <formula>"En cours"</formula>
    </cfRule>
  </conditionalFormatting>
  <conditionalFormatting sqref="AK122">
    <cfRule type="cellIs" dxfId="4077" priority="84515" stopIfTrue="1" operator="equal">
      <formula>"En cours"</formula>
    </cfRule>
  </conditionalFormatting>
  <conditionalFormatting sqref="AK122">
    <cfRule type="cellIs" dxfId="4076" priority="84516" stopIfTrue="1" operator="notEqual">
      <formula>"En cours"</formula>
    </cfRule>
  </conditionalFormatting>
  <conditionalFormatting sqref="AJ27">
    <cfRule type="cellIs" dxfId="4075" priority="84517" stopIfTrue="1" operator="equal">
      <formula>"En cours"</formula>
    </cfRule>
  </conditionalFormatting>
  <conditionalFormatting sqref="AJ27">
    <cfRule type="cellIs" dxfId="4074" priority="84518" stopIfTrue="1" operator="notEqual">
      <formula>"En cours"</formula>
    </cfRule>
  </conditionalFormatting>
  <conditionalFormatting sqref="AK27">
    <cfRule type="cellIs" dxfId="4073" priority="84519" stopIfTrue="1" operator="equal">
      <formula>"En cours"</formula>
    </cfRule>
  </conditionalFormatting>
  <conditionalFormatting sqref="AK27">
    <cfRule type="cellIs" dxfId="4072" priority="84520" stopIfTrue="1" operator="notEqual">
      <formula>"En cours"</formula>
    </cfRule>
  </conditionalFormatting>
  <conditionalFormatting sqref="AJ147">
    <cfRule type="cellIs" dxfId="4071" priority="84521" stopIfTrue="1" operator="equal">
      <formula>"En cours"</formula>
    </cfRule>
  </conditionalFormatting>
  <conditionalFormatting sqref="AJ147">
    <cfRule type="cellIs" dxfId="4070" priority="84522" stopIfTrue="1" operator="notEqual">
      <formula>"En cours"</formula>
    </cfRule>
  </conditionalFormatting>
  <conditionalFormatting sqref="AK147">
    <cfRule type="cellIs" dxfId="4069" priority="84523" stopIfTrue="1" operator="equal">
      <formula>"En cours"</formula>
    </cfRule>
  </conditionalFormatting>
  <conditionalFormatting sqref="AK147">
    <cfRule type="cellIs" dxfId="4068" priority="84524" stopIfTrue="1" operator="notEqual">
      <formula>"En cours"</formula>
    </cfRule>
  </conditionalFormatting>
  <conditionalFormatting sqref="AJ47">
    <cfRule type="cellIs" dxfId="4067" priority="84525" stopIfTrue="1" operator="equal">
      <formula>"En cours"</formula>
    </cfRule>
  </conditionalFormatting>
  <conditionalFormatting sqref="AJ47">
    <cfRule type="cellIs" dxfId="4066" priority="84526" stopIfTrue="1" operator="notEqual">
      <formula>"En cours"</formula>
    </cfRule>
  </conditionalFormatting>
  <conditionalFormatting sqref="AK47">
    <cfRule type="cellIs" dxfId="4065" priority="84527" stopIfTrue="1" operator="equal">
      <formula>"En cours"</formula>
    </cfRule>
  </conditionalFormatting>
  <conditionalFormatting sqref="AK47">
    <cfRule type="cellIs" dxfId="4064" priority="84528" stopIfTrue="1" operator="notEqual">
      <formula>"En cours"</formula>
    </cfRule>
  </conditionalFormatting>
  <conditionalFormatting sqref="AJ51">
    <cfRule type="cellIs" dxfId="4063" priority="84529" stopIfTrue="1" operator="equal">
      <formula>"En cours"</formula>
    </cfRule>
  </conditionalFormatting>
  <conditionalFormatting sqref="AJ51">
    <cfRule type="cellIs" dxfId="4062" priority="84530" stopIfTrue="1" operator="notEqual">
      <formula>"En cours"</formula>
    </cfRule>
  </conditionalFormatting>
  <conditionalFormatting sqref="AK51">
    <cfRule type="cellIs" dxfId="4061" priority="84531" stopIfTrue="1" operator="equal">
      <formula>"En cours"</formula>
    </cfRule>
  </conditionalFormatting>
  <conditionalFormatting sqref="AK51">
    <cfRule type="cellIs" dxfId="4060" priority="84532" stopIfTrue="1" operator="notEqual">
      <formula>"En cours"</formula>
    </cfRule>
  </conditionalFormatting>
  <conditionalFormatting sqref="AJ46">
    <cfRule type="cellIs" dxfId="4059" priority="84533" stopIfTrue="1" operator="equal">
      <formula>"En cours"</formula>
    </cfRule>
  </conditionalFormatting>
  <conditionalFormatting sqref="AJ46">
    <cfRule type="cellIs" dxfId="4058" priority="84534" stopIfTrue="1" operator="notEqual">
      <formula>"En cours"</formula>
    </cfRule>
  </conditionalFormatting>
  <conditionalFormatting sqref="AK46">
    <cfRule type="cellIs" dxfId="4057" priority="84535" stopIfTrue="1" operator="equal">
      <formula>"En cours"</formula>
    </cfRule>
  </conditionalFormatting>
  <conditionalFormatting sqref="AK46">
    <cfRule type="cellIs" dxfId="4056" priority="84536" stopIfTrue="1" operator="notEqual">
      <formula>"En cours"</formula>
    </cfRule>
  </conditionalFormatting>
  <conditionalFormatting sqref="AJ44">
    <cfRule type="cellIs" dxfId="4055" priority="84537" stopIfTrue="1" operator="equal">
      <formula>"En cours"</formula>
    </cfRule>
  </conditionalFormatting>
  <conditionalFormatting sqref="AJ44">
    <cfRule type="cellIs" dxfId="4054" priority="84538" stopIfTrue="1" operator="notEqual">
      <formula>"En cours"</formula>
    </cfRule>
  </conditionalFormatting>
  <conditionalFormatting sqref="AK44">
    <cfRule type="cellIs" dxfId="4053" priority="84539" stopIfTrue="1" operator="equal">
      <formula>"En cours"</formula>
    </cfRule>
  </conditionalFormatting>
  <conditionalFormatting sqref="AK44">
    <cfRule type="cellIs" dxfId="4052" priority="84540" stopIfTrue="1" operator="notEqual">
      <formula>"En cours"</formula>
    </cfRule>
  </conditionalFormatting>
  <conditionalFormatting sqref="AJ52">
    <cfRule type="cellIs" dxfId="4051" priority="84541" stopIfTrue="1" operator="equal">
      <formula>"En cours"</formula>
    </cfRule>
  </conditionalFormatting>
  <conditionalFormatting sqref="AJ52">
    <cfRule type="cellIs" dxfId="4050" priority="84542" stopIfTrue="1" operator="notEqual">
      <formula>"En cours"</formula>
    </cfRule>
  </conditionalFormatting>
  <conditionalFormatting sqref="AK52">
    <cfRule type="cellIs" dxfId="4049" priority="84543" stopIfTrue="1" operator="equal">
      <formula>"En cours"</formula>
    </cfRule>
  </conditionalFormatting>
  <conditionalFormatting sqref="AK52">
    <cfRule type="cellIs" dxfId="4048" priority="84544" stopIfTrue="1" operator="notEqual">
      <formula>"En cours"</formula>
    </cfRule>
  </conditionalFormatting>
  <conditionalFormatting sqref="AJ54">
    <cfRule type="cellIs" dxfId="4047" priority="84545" stopIfTrue="1" operator="equal">
      <formula>"En cours"</formula>
    </cfRule>
  </conditionalFormatting>
  <conditionalFormatting sqref="AJ54">
    <cfRule type="cellIs" dxfId="4046" priority="84546" stopIfTrue="1" operator="notEqual">
      <formula>"En cours"</formula>
    </cfRule>
  </conditionalFormatting>
  <conditionalFormatting sqref="AK54">
    <cfRule type="cellIs" dxfId="4045" priority="84547" stopIfTrue="1" operator="equal">
      <formula>"En cours"</formula>
    </cfRule>
  </conditionalFormatting>
  <conditionalFormatting sqref="AK54">
    <cfRule type="cellIs" dxfId="4044" priority="84548" stopIfTrue="1" operator="notEqual">
      <formula>"En cours"</formula>
    </cfRule>
  </conditionalFormatting>
  <conditionalFormatting sqref="AJ94">
    <cfRule type="cellIs" dxfId="4043" priority="84549" stopIfTrue="1" operator="equal">
      <formula>"En cours"</formula>
    </cfRule>
  </conditionalFormatting>
  <conditionalFormatting sqref="AJ94">
    <cfRule type="cellIs" dxfId="4042" priority="84550" stopIfTrue="1" operator="notEqual">
      <formula>"En cours"</formula>
    </cfRule>
  </conditionalFormatting>
  <conditionalFormatting sqref="AK94">
    <cfRule type="cellIs" dxfId="4041" priority="84551" stopIfTrue="1" operator="equal">
      <formula>"En cours"</formula>
    </cfRule>
  </conditionalFormatting>
  <conditionalFormatting sqref="AK94">
    <cfRule type="cellIs" dxfId="4040" priority="84552" stopIfTrue="1" operator="notEqual">
      <formula>"En cours"</formula>
    </cfRule>
  </conditionalFormatting>
  <conditionalFormatting sqref="AJ29">
    <cfRule type="cellIs" dxfId="4039" priority="84553" stopIfTrue="1" operator="equal">
      <formula>"En cours"</formula>
    </cfRule>
  </conditionalFormatting>
  <conditionalFormatting sqref="AJ29">
    <cfRule type="cellIs" dxfId="4038" priority="84554" stopIfTrue="1" operator="notEqual">
      <formula>"En cours"</formula>
    </cfRule>
  </conditionalFormatting>
  <conditionalFormatting sqref="AK29">
    <cfRule type="cellIs" dxfId="4037" priority="84555" stopIfTrue="1" operator="equal">
      <formula>"En cours"</formula>
    </cfRule>
  </conditionalFormatting>
  <conditionalFormatting sqref="AK29">
    <cfRule type="cellIs" dxfId="4036" priority="84556" stopIfTrue="1" operator="notEqual">
      <formula>"En cours"</formula>
    </cfRule>
  </conditionalFormatting>
  <conditionalFormatting sqref="AJ21">
    <cfRule type="cellIs" dxfId="4035" priority="84557" stopIfTrue="1" operator="equal">
      <formula>"En cours"</formula>
    </cfRule>
  </conditionalFormatting>
  <conditionalFormatting sqref="AJ21">
    <cfRule type="cellIs" dxfId="4034" priority="84558" stopIfTrue="1" operator="notEqual">
      <formula>"En cours"</formula>
    </cfRule>
  </conditionalFormatting>
  <conditionalFormatting sqref="AK21">
    <cfRule type="cellIs" dxfId="4033" priority="84559" stopIfTrue="1" operator="equal">
      <formula>"En cours"</formula>
    </cfRule>
  </conditionalFormatting>
  <conditionalFormatting sqref="AK21">
    <cfRule type="cellIs" dxfId="4032" priority="84560" stopIfTrue="1" operator="notEqual">
      <formula>"En cours"</formula>
    </cfRule>
  </conditionalFormatting>
  <conditionalFormatting sqref="AJ179">
    <cfRule type="cellIs" dxfId="4031" priority="84561" stopIfTrue="1" operator="equal">
      <formula>"En cours"</formula>
    </cfRule>
  </conditionalFormatting>
  <conditionalFormatting sqref="AJ179">
    <cfRule type="cellIs" dxfId="4030" priority="84562" stopIfTrue="1" operator="notEqual">
      <formula>"En cours"</formula>
    </cfRule>
  </conditionalFormatting>
  <conditionalFormatting sqref="AK179">
    <cfRule type="cellIs" dxfId="4029" priority="84563" stopIfTrue="1" operator="equal">
      <formula>"En cours"</formula>
    </cfRule>
  </conditionalFormatting>
  <conditionalFormatting sqref="AK179">
    <cfRule type="cellIs" dxfId="4028" priority="84564" stopIfTrue="1" operator="notEqual">
      <formula>"En cours"</formula>
    </cfRule>
  </conditionalFormatting>
  <conditionalFormatting sqref="AJ43">
    <cfRule type="cellIs" dxfId="4027" priority="84565" stopIfTrue="1" operator="equal">
      <formula>"En cours"</formula>
    </cfRule>
  </conditionalFormatting>
  <conditionalFormatting sqref="AJ43">
    <cfRule type="cellIs" dxfId="4026" priority="84566" stopIfTrue="1" operator="notEqual">
      <formula>"En cours"</formula>
    </cfRule>
  </conditionalFormatting>
  <conditionalFormatting sqref="AK43">
    <cfRule type="cellIs" dxfId="4025" priority="84567" stopIfTrue="1" operator="equal">
      <formula>"En cours"</formula>
    </cfRule>
  </conditionalFormatting>
  <conditionalFormatting sqref="AK43">
    <cfRule type="cellIs" dxfId="4024" priority="84568" stopIfTrue="1" operator="notEqual">
      <formula>"En cours"</formula>
    </cfRule>
  </conditionalFormatting>
  <conditionalFormatting sqref="AJ53">
    <cfRule type="cellIs" dxfId="4023" priority="84569" stopIfTrue="1" operator="equal">
      <formula>"En cours"</formula>
    </cfRule>
  </conditionalFormatting>
  <conditionalFormatting sqref="AJ53">
    <cfRule type="cellIs" dxfId="4022" priority="84570" stopIfTrue="1" operator="notEqual">
      <formula>"En cours"</formula>
    </cfRule>
  </conditionalFormatting>
  <conditionalFormatting sqref="AK53">
    <cfRule type="cellIs" dxfId="4021" priority="84571" stopIfTrue="1" operator="equal">
      <formula>"En cours"</formula>
    </cfRule>
  </conditionalFormatting>
  <conditionalFormatting sqref="AK53">
    <cfRule type="cellIs" dxfId="4020" priority="84572" stopIfTrue="1" operator="notEqual">
      <formula>"En cours"</formula>
    </cfRule>
  </conditionalFormatting>
  <conditionalFormatting sqref="AJ155">
    <cfRule type="cellIs" dxfId="4019" priority="84573" stopIfTrue="1" operator="equal">
      <formula>"En cours"</formula>
    </cfRule>
  </conditionalFormatting>
  <conditionalFormatting sqref="AJ155">
    <cfRule type="cellIs" dxfId="4018" priority="84574" stopIfTrue="1" operator="notEqual">
      <formula>"En cours"</formula>
    </cfRule>
  </conditionalFormatting>
  <conditionalFormatting sqref="AK155">
    <cfRule type="cellIs" dxfId="4017" priority="84575" stopIfTrue="1" operator="equal">
      <formula>"En cours"</formula>
    </cfRule>
  </conditionalFormatting>
  <conditionalFormatting sqref="AK155">
    <cfRule type="cellIs" dxfId="4016" priority="84576" stopIfTrue="1" operator="notEqual">
      <formula>"En cours"</formula>
    </cfRule>
  </conditionalFormatting>
  <conditionalFormatting sqref="AJ65">
    <cfRule type="cellIs" dxfId="4015" priority="84577" stopIfTrue="1" operator="equal">
      <formula>"En cours"</formula>
    </cfRule>
  </conditionalFormatting>
  <conditionalFormatting sqref="AJ65">
    <cfRule type="cellIs" dxfId="4014" priority="84578" stopIfTrue="1" operator="notEqual">
      <formula>"En cours"</formula>
    </cfRule>
  </conditionalFormatting>
  <conditionalFormatting sqref="AK65">
    <cfRule type="cellIs" dxfId="4013" priority="84579" stopIfTrue="1" operator="equal">
      <formula>"En cours"</formula>
    </cfRule>
  </conditionalFormatting>
  <conditionalFormatting sqref="AK65">
    <cfRule type="cellIs" dxfId="4012" priority="84580" stopIfTrue="1" operator="notEqual">
      <formula>"En cours"</formula>
    </cfRule>
  </conditionalFormatting>
  <conditionalFormatting sqref="AJ102">
    <cfRule type="cellIs" dxfId="4011" priority="84581" stopIfTrue="1" operator="equal">
      <formula>"En cours"</formula>
    </cfRule>
  </conditionalFormatting>
  <conditionalFormatting sqref="AJ102">
    <cfRule type="cellIs" dxfId="4010" priority="84582" stopIfTrue="1" operator="notEqual">
      <formula>"En cours"</formula>
    </cfRule>
  </conditionalFormatting>
  <conditionalFormatting sqref="AK102">
    <cfRule type="cellIs" dxfId="4009" priority="84583" stopIfTrue="1" operator="equal">
      <formula>"En cours"</formula>
    </cfRule>
  </conditionalFormatting>
  <conditionalFormatting sqref="AK102">
    <cfRule type="cellIs" dxfId="4008" priority="84584" stopIfTrue="1" operator="notEqual">
      <formula>"En cours"</formula>
    </cfRule>
  </conditionalFormatting>
  <conditionalFormatting sqref="AJ76">
    <cfRule type="cellIs" dxfId="4007" priority="84585" stopIfTrue="1" operator="equal">
      <formula>"En cours"</formula>
    </cfRule>
  </conditionalFormatting>
  <conditionalFormatting sqref="AJ76">
    <cfRule type="cellIs" dxfId="4006" priority="84586" stopIfTrue="1" operator="notEqual">
      <formula>"En cours"</formula>
    </cfRule>
  </conditionalFormatting>
  <conditionalFormatting sqref="AK76">
    <cfRule type="cellIs" dxfId="4005" priority="84587" stopIfTrue="1" operator="equal">
      <formula>"En cours"</formula>
    </cfRule>
  </conditionalFormatting>
  <conditionalFormatting sqref="AK76">
    <cfRule type="cellIs" dxfId="4004" priority="84588" stopIfTrue="1" operator="notEqual">
      <formula>"En cours"</formula>
    </cfRule>
  </conditionalFormatting>
  <conditionalFormatting sqref="AJ175">
    <cfRule type="cellIs" dxfId="4003" priority="84589" stopIfTrue="1" operator="equal">
      <formula>"En cours"</formula>
    </cfRule>
  </conditionalFormatting>
  <conditionalFormatting sqref="AJ175">
    <cfRule type="cellIs" dxfId="4002" priority="84590" stopIfTrue="1" operator="notEqual">
      <formula>"En cours"</formula>
    </cfRule>
  </conditionalFormatting>
  <conditionalFormatting sqref="AK175">
    <cfRule type="cellIs" dxfId="4001" priority="84591" stopIfTrue="1" operator="equal">
      <formula>"En cours"</formula>
    </cfRule>
  </conditionalFormatting>
  <conditionalFormatting sqref="AK175">
    <cfRule type="cellIs" dxfId="4000" priority="84592" stopIfTrue="1" operator="notEqual">
      <formula>"En cours"</formula>
    </cfRule>
  </conditionalFormatting>
  <conditionalFormatting sqref="AJ176">
    <cfRule type="cellIs" dxfId="3999" priority="84593" stopIfTrue="1" operator="equal">
      <formula>"En cours"</formula>
    </cfRule>
  </conditionalFormatting>
  <conditionalFormatting sqref="AJ176">
    <cfRule type="cellIs" dxfId="3998" priority="84594" stopIfTrue="1" operator="notEqual">
      <formula>"En cours"</formula>
    </cfRule>
  </conditionalFormatting>
  <conditionalFormatting sqref="AK176">
    <cfRule type="cellIs" dxfId="3997" priority="84595" stopIfTrue="1" operator="equal">
      <formula>"En cours"</formula>
    </cfRule>
  </conditionalFormatting>
  <conditionalFormatting sqref="AK176">
    <cfRule type="cellIs" dxfId="3996" priority="84596" stopIfTrue="1" operator="notEqual">
      <formula>"En cours"</formula>
    </cfRule>
  </conditionalFormatting>
  <conditionalFormatting sqref="AJ75">
    <cfRule type="cellIs" dxfId="3995" priority="84597" stopIfTrue="1" operator="equal">
      <formula>"En cours"</formula>
    </cfRule>
  </conditionalFormatting>
  <conditionalFormatting sqref="AJ75">
    <cfRule type="cellIs" dxfId="3994" priority="84598" stopIfTrue="1" operator="notEqual">
      <formula>"En cours"</formula>
    </cfRule>
  </conditionalFormatting>
  <conditionalFormatting sqref="AK75">
    <cfRule type="cellIs" dxfId="3993" priority="84599" stopIfTrue="1" operator="equal">
      <formula>"En cours"</formula>
    </cfRule>
  </conditionalFormatting>
  <conditionalFormatting sqref="AK75">
    <cfRule type="cellIs" dxfId="3992" priority="84600" stopIfTrue="1" operator="notEqual">
      <formula>"En cours"</formula>
    </cfRule>
  </conditionalFormatting>
  <conditionalFormatting sqref="AJ133">
    <cfRule type="cellIs" dxfId="3991" priority="84601" stopIfTrue="1" operator="equal">
      <formula>"En cours"</formula>
    </cfRule>
  </conditionalFormatting>
  <conditionalFormatting sqref="AJ133">
    <cfRule type="cellIs" dxfId="3990" priority="84602" stopIfTrue="1" operator="notEqual">
      <formula>"En cours"</formula>
    </cfRule>
  </conditionalFormatting>
  <conditionalFormatting sqref="AK133">
    <cfRule type="cellIs" dxfId="3989" priority="84603" stopIfTrue="1" operator="equal">
      <formula>"En cours"</formula>
    </cfRule>
  </conditionalFormatting>
  <conditionalFormatting sqref="AK133">
    <cfRule type="cellIs" dxfId="3988" priority="84604" stopIfTrue="1" operator="notEqual">
      <formula>"En cours"</formula>
    </cfRule>
  </conditionalFormatting>
  <conditionalFormatting sqref="AJ158">
    <cfRule type="cellIs" dxfId="3987" priority="84605" stopIfTrue="1" operator="equal">
      <formula>"En cours"</formula>
    </cfRule>
  </conditionalFormatting>
  <conditionalFormatting sqref="AJ158">
    <cfRule type="cellIs" dxfId="3986" priority="84606" stopIfTrue="1" operator="notEqual">
      <formula>"En cours"</formula>
    </cfRule>
  </conditionalFormatting>
  <conditionalFormatting sqref="AK158">
    <cfRule type="cellIs" dxfId="3985" priority="84607" stopIfTrue="1" operator="equal">
      <formula>"En cours"</formula>
    </cfRule>
  </conditionalFormatting>
  <conditionalFormatting sqref="AK158">
    <cfRule type="cellIs" dxfId="3984" priority="84608" stopIfTrue="1" operator="notEqual">
      <formula>"En cours"</formula>
    </cfRule>
  </conditionalFormatting>
  <conditionalFormatting sqref="AJ71">
    <cfRule type="cellIs" dxfId="3983" priority="84609" stopIfTrue="1" operator="equal">
      <formula>"En cours"</formula>
    </cfRule>
  </conditionalFormatting>
  <conditionalFormatting sqref="AJ71">
    <cfRule type="cellIs" dxfId="3982" priority="84610" stopIfTrue="1" operator="notEqual">
      <formula>"En cours"</formula>
    </cfRule>
  </conditionalFormatting>
  <conditionalFormatting sqref="AK71">
    <cfRule type="cellIs" dxfId="3981" priority="84611" stopIfTrue="1" operator="equal">
      <formula>"En cours"</formula>
    </cfRule>
  </conditionalFormatting>
  <conditionalFormatting sqref="AK71">
    <cfRule type="cellIs" dxfId="3980" priority="84612" stopIfTrue="1" operator="notEqual">
      <formula>"En cours"</formula>
    </cfRule>
  </conditionalFormatting>
  <conditionalFormatting sqref="AJ162">
    <cfRule type="cellIs" dxfId="3979" priority="84613" stopIfTrue="1" operator="equal">
      <formula>"En cours"</formula>
    </cfRule>
  </conditionalFormatting>
  <conditionalFormatting sqref="AJ162">
    <cfRule type="cellIs" dxfId="3978" priority="84614" stopIfTrue="1" operator="notEqual">
      <formula>"En cours"</formula>
    </cfRule>
  </conditionalFormatting>
  <conditionalFormatting sqref="AK162">
    <cfRule type="cellIs" dxfId="3977" priority="84615" stopIfTrue="1" operator="equal">
      <formula>"En cours"</formula>
    </cfRule>
  </conditionalFormatting>
  <conditionalFormatting sqref="AK162">
    <cfRule type="cellIs" dxfId="3976" priority="84616" stopIfTrue="1" operator="notEqual">
      <formula>"En cours"</formula>
    </cfRule>
  </conditionalFormatting>
  <conditionalFormatting sqref="AJ70">
    <cfRule type="cellIs" dxfId="3975" priority="84617" stopIfTrue="1" operator="equal">
      <formula>"En cours"</formula>
    </cfRule>
  </conditionalFormatting>
  <conditionalFormatting sqref="AJ70">
    <cfRule type="cellIs" dxfId="3974" priority="84618" stopIfTrue="1" operator="notEqual">
      <formula>"En cours"</formula>
    </cfRule>
  </conditionalFormatting>
  <conditionalFormatting sqref="AK70">
    <cfRule type="cellIs" dxfId="3973" priority="84619" stopIfTrue="1" operator="equal">
      <formula>"En cours"</formula>
    </cfRule>
  </conditionalFormatting>
  <conditionalFormatting sqref="AK70">
    <cfRule type="cellIs" dxfId="3972" priority="84620" stopIfTrue="1" operator="notEqual">
      <formula>"En cours"</formula>
    </cfRule>
  </conditionalFormatting>
  <conditionalFormatting sqref="AJ124">
    <cfRule type="cellIs" dxfId="3971" priority="84621" stopIfTrue="1" operator="equal">
      <formula>"En cours"</formula>
    </cfRule>
  </conditionalFormatting>
  <conditionalFormatting sqref="AJ124">
    <cfRule type="cellIs" dxfId="3970" priority="84622" stopIfTrue="1" operator="notEqual">
      <formula>"En cours"</formula>
    </cfRule>
  </conditionalFormatting>
  <conditionalFormatting sqref="AK124">
    <cfRule type="cellIs" dxfId="3969" priority="84623" stopIfTrue="1" operator="equal">
      <formula>"En cours"</formula>
    </cfRule>
  </conditionalFormatting>
  <conditionalFormatting sqref="AK124">
    <cfRule type="cellIs" dxfId="3968" priority="84624" stopIfTrue="1" operator="notEqual">
      <formula>"En cours"</formula>
    </cfRule>
  </conditionalFormatting>
  <conditionalFormatting sqref="AJ57">
    <cfRule type="cellIs" dxfId="3967" priority="84625" stopIfTrue="1" operator="equal">
      <formula>"En cours"</formula>
    </cfRule>
  </conditionalFormatting>
  <conditionalFormatting sqref="AJ57">
    <cfRule type="cellIs" dxfId="3966" priority="84626" stopIfTrue="1" operator="notEqual">
      <formula>"En cours"</formula>
    </cfRule>
  </conditionalFormatting>
  <conditionalFormatting sqref="AK57">
    <cfRule type="cellIs" dxfId="3965" priority="84627" stopIfTrue="1" operator="equal">
      <formula>"En cours"</formula>
    </cfRule>
  </conditionalFormatting>
  <conditionalFormatting sqref="AK57">
    <cfRule type="cellIs" dxfId="3964" priority="84628" stopIfTrue="1" operator="notEqual">
      <formula>"En cours"</formula>
    </cfRule>
  </conditionalFormatting>
  <conditionalFormatting sqref="AJ61">
    <cfRule type="cellIs" dxfId="3963" priority="84629" stopIfTrue="1" operator="equal">
      <formula>"En cours"</formula>
    </cfRule>
  </conditionalFormatting>
  <conditionalFormatting sqref="AJ61">
    <cfRule type="cellIs" dxfId="3962" priority="84630" stopIfTrue="1" operator="notEqual">
      <formula>"En cours"</formula>
    </cfRule>
  </conditionalFormatting>
  <conditionalFormatting sqref="AK61">
    <cfRule type="cellIs" dxfId="3961" priority="84631" stopIfTrue="1" operator="equal">
      <formula>"En cours"</formula>
    </cfRule>
  </conditionalFormatting>
  <conditionalFormatting sqref="AK61">
    <cfRule type="cellIs" dxfId="3960" priority="84632" stopIfTrue="1" operator="notEqual">
      <formula>"En cours"</formula>
    </cfRule>
  </conditionalFormatting>
  <conditionalFormatting sqref="AJ117">
    <cfRule type="cellIs" dxfId="3959" priority="84633" stopIfTrue="1" operator="equal">
      <formula>"En cours"</formula>
    </cfRule>
  </conditionalFormatting>
  <conditionalFormatting sqref="AJ117">
    <cfRule type="cellIs" dxfId="3958" priority="84634" stopIfTrue="1" operator="notEqual">
      <formula>"En cours"</formula>
    </cfRule>
  </conditionalFormatting>
  <conditionalFormatting sqref="AK117">
    <cfRule type="cellIs" dxfId="3957" priority="84635" stopIfTrue="1" operator="equal">
      <formula>"En cours"</formula>
    </cfRule>
  </conditionalFormatting>
  <conditionalFormatting sqref="AK117">
    <cfRule type="cellIs" dxfId="3956" priority="84636" stopIfTrue="1" operator="notEqual">
      <formula>"En cours"</formula>
    </cfRule>
  </conditionalFormatting>
  <conditionalFormatting sqref="AJ60">
    <cfRule type="cellIs" dxfId="3955" priority="84637" stopIfTrue="1" operator="equal">
      <formula>"En cours"</formula>
    </cfRule>
  </conditionalFormatting>
  <conditionalFormatting sqref="AJ60">
    <cfRule type="cellIs" dxfId="3954" priority="84638" stopIfTrue="1" operator="notEqual">
      <formula>"En cours"</formula>
    </cfRule>
  </conditionalFormatting>
  <conditionalFormatting sqref="AK60">
    <cfRule type="cellIs" dxfId="3953" priority="84639" stopIfTrue="1" operator="equal">
      <formula>"En cours"</formula>
    </cfRule>
  </conditionalFormatting>
  <conditionalFormatting sqref="AK60">
    <cfRule type="cellIs" dxfId="3952" priority="84640" stopIfTrue="1" operator="notEqual">
      <formula>"En cours"</formula>
    </cfRule>
  </conditionalFormatting>
  <conditionalFormatting sqref="AJ110">
    <cfRule type="cellIs" dxfId="3951" priority="84641" stopIfTrue="1" operator="equal">
      <formula>"En cours"</formula>
    </cfRule>
  </conditionalFormatting>
  <conditionalFormatting sqref="AJ110">
    <cfRule type="cellIs" dxfId="3950" priority="84642" stopIfTrue="1" operator="notEqual">
      <formula>"En cours"</formula>
    </cfRule>
  </conditionalFormatting>
  <conditionalFormatting sqref="AK110">
    <cfRule type="cellIs" dxfId="3949" priority="84643" stopIfTrue="1" operator="equal">
      <formula>"En cours"</formula>
    </cfRule>
  </conditionalFormatting>
  <conditionalFormatting sqref="AK110">
    <cfRule type="cellIs" dxfId="3948" priority="84644" stopIfTrue="1" operator="notEqual">
      <formula>"En cours"</formula>
    </cfRule>
  </conditionalFormatting>
  <conditionalFormatting sqref="AJ153">
    <cfRule type="cellIs" dxfId="3947" priority="84645" stopIfTrue="1" operator="equal">
      <formula>"En cours"</formula>
    </cfRule>
  </conditionalFormatting>
  <conditionalFormatting sqref="AJ153">
    <cfRule type="cellIs" dxfId="3946" priority="84646" stopIfTrue="1" operator="notEqual">
      <formula>"En cours"</formula>
    </cfRule>
  </conditionalFormatting>
  <conditionalFormatting sqref="AK153">
    <cfRule type="cellIs" dxfId="3945" priority="84647" stopIfTrue="1" operator="equal">
      <formula>"En cours"</formula>
    </cfRule>
  </conditionalFormatting>
  <conditionalFormatting sqref="AK153">
    <cfRule type="cellIs" dxfId="3944" priority="84648" stopIfTrue="1" operator="notEqual">
      <formula>"En cours"</formula>
    </cfRule>
  </conditionalFormatting>
  <conditionalFormatting sqref="AJ132">
    <cfRule type="cellIs" dxfId="3943" priority="84649" stopIfTrue="1" operator="equal">
      <formula>"En cours"</formula>
    </cfRule>
  </conditionalFormatting>
  <conditionalFormatting sqref="AJ132">
    <cfRule type="cellIs" dxfId="3942" priority="84650" stopIfTrue="1" operator="notEqual">
      <formula>"En cours"</formula>
    </cfRule>
  </conditionalFormatting>
  <conditionalFormatting sqref="AK132">
    <cfRule type="cellIs" dxfId="3941" priority="84651" stopIfTrue="1" operator="equal">
      <formula>"En cours"</formula>
    </cfRule>
  </conditionalFormatting>
  <conditionalFormatting sqref="AK132">
    <cfRule type="cellIs" dxfId="3940" priority="84652" stopIfTrue="1" operator="notEqual">
      <formula>"En cours"</formula>
    </cfRule>
  </conditionalFormatting>
  <conditionalFormatting sqref="AJ127">
    <cfRule type="cellIs" dxfId="3939" priority="84653" stopIfTrue="1" operator="equal">
      <formula>"En cours"</formula>
    </cfRule>
  </conditionalFormatting>
  <conditionalFormatting sqref="AJ127">
    <cfRule type="cellIs" dxfId="3938" priority="84654" stopIfTrue="1" operator="notEqual">
      <formula>"En cours"</formula>
    </cfRule>
  </conditionalFormatting>
  <conditionalFormatting sqref="AK127">
    <cfRule type="cellIs" dxfId="3937" priority="84655" stopIfTrue="1" operator="equal">
      <formula>"En cours"</formula>
    </cfRule>
  </conditionalFormatting>
  <conditionalFormatting sqref="AK127">
    <cfRule type="cellIs" dxfId="3936" priority="84656" stopIfTrue="1" operator="notEqual">
      <formula>"En cours"</formula>
    </cfRule>
  </conditionalFormatting>
  <conditionalFormatting sqref="AJ131">
    <cfRule type="cellIs" dxfId="3935" priority="84657" stopIfTrue="1" operator="equal">
      <formula>"En cours"</formula>
    </cfRule>
  </conditionalFormatting>
  <conditionalFormatting sqref="AJ131">
    <cfRule type="cellIs" dxfId="3934" priority="84658" stopIfTrue="1" operator="notEqual">
      <formula>"En cours"</formula>
    </cfRule>
  </conditionalFormatting>
  <conditionalFormatting sqref="AK131">
    <cfRule type="cellIs" dxfId="3933" priority="84659" stopIfTrue="1" operator="equal">
      <formula>"En cours"</formula>
    </cfRule>
  </conditionalFormatting>
  <conditionalFormatting sqref="AK131">
    <cfRule type="cellIs" dxfId="3932" priority="84660" stopIfTrue="1" operator="notEqual">
      <formula>"En cours"</formula>
    </cfRule>
  </conditionalFormatting>
  <conditionalFormatting sqref="AJ72">
    <cfRule type="cellIs" dxfId="3931" priority="84661" stopIfTrue="1" operator="equal">
      <formula>"En cours"</formula>
    </cfRule>
  </conditionalFormatting>
  <conditionalFormatting sqref="AJ72">
    <cfRule type="cellIs" dxfId="3930" priority="84662" stopIfTrue="1" operator="notEqual">
      <formula>"En cours"</formula>
    </cfRule>
  </conditionalFormatting>
  <conditionalFormatting sqref="AK72">
    <cfRule type="cellIs" dxfId="3929" priority="84663" stopIfTrue="1" operator="equal">
      <formula>"En cours"</formula>
    </cfRule>
  </conditionalFormatting>
  <conditionalFormatting sqref="AK72">
    <cfRule type="cellIs" dxfId="3928" priority="84664" stopIfTrue="1" operator="notEqual">
      <formula>"En cours"</formula>
    </cfRule>
  </conditionalFormatting>
  <conditionalFormatting sqref="AJ66">
    <cfRule type="cellIs" dxfId="3927" priority="84665" stopIfTrue="1" operator="equal">
      <formula>"En cours"</formula>
    </cfRule>
  </conditionalFormatting>
  <conditionalFormatting sqref="AJ66">
    <cfRule type="cellIs" dxfId="3926" priority="84666" stopIfTrue="1" operator="notEqual">
      <formula>"En cours"</formula>
    </cfRule>
  </conditionalFormatting>
  <conditionalFormatting sqref="AK66">
    <cfRule type="cellIs" dxfId="3925" priority="84667" stopIfTrue="1" operator="equal">
      <formula>"En cours"</formula>
    </cfRule>
  </conditionalFormatting>
  <conditionalFormatting sqref="AK66">
    <cfRule type="cellIs" dxfId="3924" priority="84668" stopIfTrue="1" operator="notEqual">
      <formula>"En cours"</formula>
    </cfRule>
  </conditionalFormatting>
  <conditionalFormatting sqref="AJ68">
    <cfRule type="cellIs" dxfId="3923" priority="84669" stopIfTrue="1" operator="equal">
      <formula>"En cours"</formula>
    </cfRule>
  </conditionalFormatting>
  <conditionalFormatting sqref="AJ68">
    <cfRule type="cellIs" dxfId="3922" priority="84670" stopIfTrue="1" operator="notEqual">
      <formula>"En cours"</formula>
    </cfRule>
  </conditionalFormatting>
  <conditionalFormatting sqref="AK68">
    <cfRule type="cellIs" dxfId="3921" priority="84671" stopIfTrue="1" operator="equal">
      <formula>"En cours"</formula>
    </cfRule>
  </conditionalFormatting>
  <conditionalFormatting sqref="AK68">
    <cfRule type="cellIs" dxfId="3920" priority="84672" stopIfTrue="1" operator="notEqual">
      <formula>"En cours"</formula>
    </cfRule>
  </conditionalFormatting>
  <conditionalFormatting sqref="AJ113">
    <cfRule type="cellIs" dxfId="3919" priority="84673" stopIfTrue="1" operator="equal">
      <formula>"En cours"</formula>
    </cfRule>
  </conditionalFormatting>
  <conditionalFormatting sqref="AJ113">
    <cfRule type="cellIs" dxfId="3918" priority="84674" stopIfTrue="1" operator="notEqual">
      <formula>"En cours"</formula>
    </cfRule>
  </conditionalFormatting>
  <conditionalFormatting sqref="AK113">
    <cfRule type="cellIs" dxfId="3917" priority="84675" stopIfTrue="1" operator="equal">
      <formula>"En cours"</formula>
    </cfRule>
  </conditionalFormatting>
  <conditionalFormatting sqref="AK113">
    <cfRule type="cellIs" dxfId="3916" priority="84676" stopIfTrue="1" operator="notEqual">
      <formula>"En cours"</formula>
    </cfRule>
  </conditionalFormatting>
  <conditionalFormatting sqref="AJ64">
    <cfRule type="cellIs" dxfId="3915" priority="84677" stopIfTrue="1" operator="equal">
      <formula>"En cours"</formula>
    </cfRule>
  </conditionalFormatting>
  <conditionalFormatting sqref="AJ64">
    <cfRule type="cellIs" dxfId="3914" priority="84678" stopIfTrue="1" operator="notEqual">
      <formula>"En cours"</formula>
    </cfRule>
  </conditionalFormatting>
  <conditionalFormatting sqref="AK64">
    <cfRule type="cellIs" dxfId="3913" priority="84679" stopIfTrue="1" operator="equal">
      <formula>"En cours"</formula>
    </cfRule>
  </conditionalFormatting>
  <conditionalFormatting sqref="AK64">
    <cfRule type="cellIs" dxfId="3912" priority="84680" stopIfTrue="1" operator="notEqual">
      <formula>"En cours"</formula>
    </cfRule>
  </conditionalFormatting>
  <conditionalFormatting sqref="AJ112">
    <cfRule type="cellIs" dxfId="3911" priority="84681" stopIfTrue="1" operator="equal">
      <formula>"En cours"</formula>
    </cfRule>
  </conditionalFormatting>
  <conditionalFormatting sqref="AJ112">
    <cfRule type="cellIs" dxfId="3910" priority="84682" stopIfTrue="1" operator="notEqual">
      <formula>"En cours"</formula>
    </cfRule>
  </conditionalFormatting>
  <conditionalFormatting sqref="AK112">
    <cfRule type="cellIs" dxfId="3909" priority="84683" stopIfTrue="1" operator="equal">
      <formula>"En cours"</formula>
    </cfRule>
  </conditionalFormatting>
  <conditionalFormatting sqref="AK112">
    <cfRule type="cellIs" dxfId="3908" priority="84684" stopIfTrue="1" operator="notEqual">
      <formula>"En cours"</formula>
    </cfRule>
  </conditionalFormatting>
  <conditionalFormatting sqref="AJ58">
    <cfRule type="cellIs" dxfId="3907" priority="84685" stopIfTrue="1" operator="equal">
      <formula>"En cours"</formula>
    </cfRule>
  </conditionalFormatting>
  <conditionalFormatting sqref="AJ58">
    <cfRule type="cellIs" dxfId="3906" priority="84686" stopIfTrue="1" operator="notEqual">
      <formula>"En cours"</formula>
    </cfRule>
  </conditionalFormatting>
  <conditionalFormatting sqref="AK58">
    <cfRule type="cellIs" dxfId="3905" priority="84687" stopIfTrue="1" operator="equal">
      <formula>"En cours"</formula>
    </cfRule>
  </conditionalFormatting>
  <conditionalFormatting sqref="AK58">
    <cfRule type="cellIs" dxfId="3904" priority="84688" stopIfTrue="1" operator="notEqual">
      <formula>"En cours"</formula>
    </cfRule>
  </conditionalFormatting>
  <conditionalFormatting sqref="AJ118">
    <cfRule type="cellIs" dxfId="3903" priority="84689" stopIfTrue="1" operator="equal">
      <formula>"En cours"</formula>
    </cfRule>
  </conditionalFormatting>
  <conditionalFormatting sqref="AJ118">
    <cfRule type="cellIs" dxfId="3902" priority="84690" stopIfTrue="1" operator="notEqual">
      <formula>"En cours"</formula>
    </cfRule>
  </conditionalFormatting>
  <conditionalFormatting sqref="AK118">
    <cfRule type="cellIs" dxfId="3901" priority="84691" stopIfTrue="1" operator="equal">
      <formula>"En cours"</formula>
    </cfRule>
  </conditionalFormatting>
  <conditionalFormatting sqref="AK118">
    <cfRule type="cellIs" dxfId="3900" priority="84692" stopIfTrue="1" operator="notEqual">
      <formula>"En cours"</formula>
    </cfRule>
  </conditionalFormatting>
  <conditionalFormatting sqref="AJ67">
    <cfRule type="cellIs" dxfId="3899" priority="84693" stopIfTrue="1" operator="equal">
      <formula>"En cours"</formula>
    </cfRule>
  </conditionalFormatting>
  <conditionalFormatting sqref="AJ67">
    <cfRule type="cellIs" dxfId="3898" priority="84694" stopIfTrue="1" operator="notEqual">
      <formula>"En cours"</formula>
    </cfRule>
  </conditionalFormatting>
  <conditionalFormatting sqref="AK67">
    <cfRule type="cellIs" dxfId="3897" priority="84695" stopIfTrue="1" operator="equal">
      <formula>"En cours"</formula>
    </cfRule>
  </conditionalFormatting>
  <conditionalFormatting sqref="AK67">
    <cfRule type="cellIs" dxfId="3896" priority="84696" stopIfTrue="1" operator="notEqual">
      <formula>"En cours"</formula>
    </cfRule>
  </conditionalFormatting>
  <conditionalFormatting sqref="AJ63">
    <cfRule type="cellIs" dxfId="3895" priority="84697" stopIfTrue="1" operator="equal">
      <formula>"En cours"</formula>
    </cfRule>
  </conditionalFormatting>
  <conditionalFormatting sqref="AJ63">
    <cfRule type="cellIs" dxfId="3894" priority="84698" stopIfTrue="1" operator="notEqual">
      <formula>"En cours"</formula>
    </cfRule>
  </conditionalFormatting>
  <conditionalFormatting sqref="AK63">
    <cfRule type="cellIs" dxfId="3893" priority="84699" stopIfTrue="1" operator="equal">
      <formula>"En cours"</formula>
    </cfRule>
  </conditionalFormatting>
  <conditionalFormatting sqref="AK63">
    <cfRule type="cellIs" dxfId="3892" priority="84700" stopIfTrue="1" operator="notEqual">
      <formula>"En cours"</formula>
    </cfRule>
  </conditionalFormatting>
  <conditionalFormatting sqref="AJ73">
    <cfRule type="cellIs" dxfId="3891" priority="84701" stopIfTrue="1" operator="equal">
      <formula>"En cours"</formula>
    </cfRule>
  </conditionalFormatting>
  <conditionalFormatting sqref="AJ73">
    <cfRule type="cellIs" dxfId="3890" priority="84702" stopIfTrue="1" operator="notEqual">
      <formula>"En cours"</formula>
    </cfRule>
  </conditionalFormatting>
  <conditionalFormatting sqref="AK73">
    <cfRule type="cellIs" dxfId="3889" priority="84703" stopIfTrue="1" operator="equal">
      <formula>"En cours"</formula>
    </cfRule>
  </conditionalFormatting>
  <conditionalFormatting sqref="AK73">
    <cfRule type="cellIs" dxfId="3888" priority="84704" stopIfTrue="1" operator="notEqual">
      <formula>"En cours"</formula>
    </cfRule>
  </conditionalFormatting>
  <conditionalFormatting sqref="AJ180">
    <cfRule type="cellIs" dxfId="3887" priority="84705" stopIfTrue="1" operator="equal">
      <formula>"En cours"</formula>
    </cfRule>
  </conditionalFormatting>
  <conditionalFormatting sqref="AJ180">
    <cfRule type="cellIs" dxfId="3886" priority="84706" stopIfTrue="1" operator="notEqual">
      <formula>"En cours"</formula>
    </cfRule>
  </conditionalFormatting>
  <conditionalFormatting sqref="AK180">
    <cfRule type="cellIs" dxfId="3885" priority="84707" stopIfTrue="1" operator="equal">
      <formula>"En cours"</formula>
    </cfRule>
  </conditionalFormatting>
  <conditionalFormatting sqref="AK180">
    <cfRule type="cellIs" dxfId="3884" priority="84708" stopIfTrue="1" operator="notEqual">
      <formula>"En cours"</formula>
    </cfRule>
  </conditionalFormatting>
  <conditionalFormatting sqref="AJ59">
    <cfRule type="cellIs" dxfId="3883" priority="84709" stopIfTrue="1" operator="equal">
      <formula>"En cours"</formula>
    </cfRule>
  </conditionalFormatting>
  <conditionalFormatting sqref="AJ59">
    <cfRule type="cellIs" dxfId="3882" priority="84710" stopIfTrue="1" operator="notEqual">
      <formula>"En cours"</formula>
    </cfRule>
  </conditionalFormatting>
  <conditionalFormatting sqref="AK59">
    <cfRule type="cellIs" dxfId="3881" priority="84711" stopIfTrue="1" operator="equal">
      <formula>"En cours"</formula>
    </cfRule>
  </conditionalFormatting>
  <conditionalFormatting sqref="AK59">
    <cfRule type="cellIs" dxfId="3880" priority="84712" stopIfTrue="1" operator="notEqual">
      <formula>"En cours"</formula>
    </cfRule>
  </conditionalFormatting>
  <conditionalFormatting sqref="AJ108">
    <cfRule type="cellIs" dxfId="3879" priority="84713" stopIfTrue="1" operator="equal">
      <formula>"En cours"</formula>
    </cfRule>
  </conditionalFormatting>
  <conditionalFormatting sqref="AJ108">
    <cfRule type="cellIs" dxfId="3878" priority="84714" stopIfTrue="1" operator="notEqual">
      <formula>"En cours"</formula>
    </cfRule>
  </conditionalFormatting>
  <conditionalFormatting sqref="AK108">
    <cfRule type="cellIs" dxfId="3877" priority="84715" stopIfTrue="1" operator="equal">
      <formula>"En cours"</formula>
    </cfRule>
  </conditionalFormatting>
  <conditionalFormatting sqref="AK108">
    <cfRule type="cellIs" dxfId="3876" priority="84716" stopIfTrue="1" operator="notEqual">
      <formula>"En cours"</formula>
    </cfRule>
  </conditionalFormatting>
  <conditionalFormatting sqref="AJ130">
    <cfRule type="cellIs" dxfId="3875" priority="84717" stopIfTrue="1" operator="equal">
      <formula>"En cours"</formula>
    </cfRule>
  </conditionalFormatting>
  <conditionalFormatting sqref="AJ130">
    <cfRule type="cellIs" dxfId="3874" priority="84718" stopIfTrue="1" operator="notEqual">
      <formula>"En cours"</formula>
    </cfRule>
  </conditionalFormatting>
  <conditionalFormatting sqref="AK130">
    <cfRule type="cellIs" dxfId="3873" priority="84719" stopIfTrue="1" operator="equal">
      <formula>"En cours"</formula>
    </cfRule>
  </conditionalFormatting>
  <conditionalFormatting sqref="AK130">
    <cfRule type="cellIs" dxfId="3872" priority="84720" stopIfTrue="1" operator="notEqual">
      <formula>"En cours"</formula>
    </cfRule>
  </conditionalFormatting>
  <conditionalFormatting sqref="AJ135">
    <cfRule type="cellIs" dxfId="3871" priority="84721" stopIfTrue="1" operator="equal">
      <formula>"En cours"</formula>
    </cfRule>
  </conditionalFormatting>
  <conditionalFormatting sqref="AJ135">
    <cfRule type="cellIs" dxfId="3870" priority="84722" stopIfTrue="1" operator="notEqual">
      <formula>"En cours"</formula>
    </cfRule>
  </conditionalFormatting>
  <conditionalFormatting sqref="AK135">
    <cfRule type="cellIs" dxfId="3869" priority="84723" stopIfTrue="1" operator="equal">
      <formula>"En cours"</formula>
    </cfRule>
  </conditionalFormatting>
  <conditionalFormatting sqref="AK135">
    <cfRule type="cellIs" dxfId="3868" priority="8472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9" t="s">
        <v>18</v>
      </c>
      <c r="G2" s="190"/>
      <c r="H2" s="190"/>
      <c r="I2" s="191"/>
      <c r="J2" s="192" t="s">
        <v>19</v>
      </c>
      <c r="K2" s="193"/>
      <c r="L2" s="193"/>
      <c r="M2" s="194"/>
      <c r="N2" s="195" t="s">
        <v>20</v>
      </c>
      <c r="O2" s="190"/>
      <c r="P2" s="190"/>
      <c r="Q2" s="191"/>
      <c r="R2" s="192" t="s">
        <v>21</v>
      </c>
      <c r="S2" s="193"/>
      <c r="T2" s="193"/>
      <c r="U2" s="194"/>
      <c r="V2" s="195" t="s">
        <v>22</v>
      </c>
      <c r="W2" s="190"/>
      <c r="X2" s="190"/>
      <c r="Y2" s="191"/>
      <c r="Z2" s="192" t="s">
        <v>23</v>
      </c>
      <c r="AA2" s="193"/>
      <c r="AB2" s="193"/>
      <c r="AC2" s="196"/>
      <c r="AD2" s="182" t="s">
        <v>24</v>
      </c>
      <c r="AE2" s="183"/>
      <c r="AF2" s="184" t="s">
        <v>17</v>
      </c>
      <c r="AG2" s="185"/>
      <c r="AH2" s="185"/>
      <c r="AI2" s="186"/>
      <c r="AJ2" s="187" t="s">
        <v>25</v>
      </c>
      <c r="AK2" s="18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3" t="str">
        <f>IF(MIN(F4,J4,N4,R4,V4,Z4)&lt;&gt;0,MIN(F4,J4,N4,R4,V4,Z4),"")</f>
        <v/>
      </c>
      <c r="AE4" s="133" t="str">
        <f>IF(MIN(H4,L4,P4,T4,X4,AB4)&lt;&gt;0,MIN(H4,L4,P4,T4,X4,AB4),"")</f>
        <v/>
      </c>
      <c r="AF4" s="133"/>
      <c r="AG4" s="132"/>
      <c r="AH4" s="133"/>
      <c r="AI4" s="132"/>
      <c r="AJ4" s="131" t="str">
        <f>IF(AD4="","",IF(ISBLANK(AF4),"En cours",AD4+AF4))</f>
        <v/>
      </c>
      <c r="AK4" s="131" t="str">
        <f>IF(AE4="","",IF(ISBLANK(AH4),"En cours",AE4+AH4))</f>
        <v/>
      </c>
    </row>
    <row r="5" spans="2:37" ht="21" x14ac:dyDescent="0.35"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3" t="str">
        <f>IF(MIN(F5,J5,N5,R5,V5,Z5)&lt;&gt;0,MIN(F5,J5,N5,R5,V5,Z5),"")</f>
        <v/>
      </c>
      <c r="AE5" s="133" t="str">
        <f>IF(MIN(H5,L5,P5,T5,X5,AB5)&lt;&gt;0,MIN(H5,L5,P5,T5,X5,AB5),"")</f>
        <v/>
      </c>
      <c r="AF5" s="133"/>
      <c r="AG5" s="132"/>
      <c r="AH5" s="133"/>
      <c r="AI5" s="132"/>
      <c r="AJ5" s="131" t="str">
        <f>IF(AD5="","",IF(ISBLANK(AF5),"En cours",AD5+AF5))</f>
        <v/>
      </c>
      <c r="AK5" s="131" t="str">
        <f>IF(AE5="","",IF(ISBLANK(AH5),"En cours",AE5+AH5))</f>
        <v/>
      </c>
    </row>
    <row r="6" spans="2:37" ht="21" x14ac:dyDescent="0.35"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3" t="str">
        <f>IF(MIN(F6,J6,N6,R6,V6,Z6)&lt;&gt;0,MIN(F6,J6,N6,R6,V6,Z6),"")</f>
        <v/>
      </c>
      <c r="AE6" s="133" t="str">
        <f>IF(MIN(H6,L6,P6,T6,X6,AB6)&lt;&gt;0,MIN(H6,L6,P6,T6,X6,AB6),"")</f>
        <v/>
      </c>
      <c r="AF6" s="133"/>
      <c r="AG6" s="132"/>
      <c r="AH6" s="133"/>
      <c r="AI6" s="132"/>
      <c r="AJ6" s="131" t="str">
        <f>IF(AD6="","",IF(ISBLANK(AF6),"En cours",AD6+AF6))</f>
        <v/>
      </c>
      <c r="AK6" s="131" t="str">
        <f>IF(AE6="","",IF(ISBLANK(AH6),"En cours",AE6+AH6))</f>
        <v/>
      </c>
    </row>
    <row r="7" spans="2:37" ht="21" x14ac:dyDescent="0.35"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3" t="str">
        <f>IF(MIN(F7,J7,N7,R7,V7,Z7)&lt;&gt;0,MIN(F7,J7,N7,R7,V7,Z7),"")</f>
        <v/>
      </c>
      <c r="AE7" s="133" t="str">
        <f>IF(MIN(H7,L7,P7,T7,X7,AB7)&lt;&gt;0,MIN(H7,L7,P7,T7,X7,AB7),"")</f>
        <v/>
      </c>
      <c r="AF7" s="133"/>
      <c r="AG7" s="132"/>
      <c r="AH7" s="133"/>
      <c r="AI7" s="132"/>
      <c r="AJ7" s="131" t="str">
        <f>IF(AD7="","",IF(ISBLANK(AF7),"En cours",AD7+AF7))</f>
        <v/>
      </c>
      <c r="AK7" s="131" t="str">
        <f>IF(AE7="","",IF(ISBLANK(AH7),"En cours",AE7+AH7))</f>
        <v/>
      </c>
    </row>
    <row r="8" spans="2:37" ht="21" x14ac:dyDescent="0.35"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3" t="str">
        <f>IF(MIN(F8,J8,N8,R8,V8,Z8)&lt;&gt;0,MIN(F8,J8,N8,R8,V8,Z8),"")</f>
        <v/>
      </c>
      <c r="AE8" s="133" t="str">
        <f>IF(MIN(H8,L8,P8,T8,X8,AB8)&lt;&gt;0,MIN(H8,L8,P8,T8,X8,AB8),"")</f>
        <v/>
      </c>
      <c r="AF8" s="133"/>
      <c r="AG8" s="132"/>
      <c r="AH8" s="133"/>
      <c r="AI8" s="132"/>
      <c r="AJ8" s="131" t="str">
        <f>IF(AD8="","",IF(ISBLANK(AF8),"En cours",AD8+AF8))</f>
        <v/>
      </c>
      <c r="AK8" s="131" t="str">
        <f>IF(AE8="","",IF(ISBLANK(AH8),"En cours",AE8+AH8))</f>
        <v/>
      </c>
    </row>
    <row r="9" spans="2:37" ht="21" x14ac:dyDescent="0.35"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3" t="str">
        <f>IF(MIN(F9,J9,N9,R9,V9,Z9)&lt;&gt;0,MIN(F9,J9,N9,R9,V9,Z9),"")</f>
        <v/>
      </c>
      <c r="AE9" s="133" t="str">
        <f>IF(MIN(H9,L9,P9,T9,X9,AB9)&lt;&gt;0,MIN(H9,L9,P9,T9,X9,AB9),"")</f>
        <v/>
      </c>
      <c r="AF9" s="133"/>
      <c r="AG9" s="132"/>
      <c r="AH9" s="133"/>
      <c r="AI9" s="132"/>
      <c r="AJ9" s="131" t="str">
        <f>IF(AD9="","",IF(ISBLANK(AF9),"En cours",AD9+AF9))</f>
        <v/>
      </c>
      <c r="AK9" s="131" t="str">
        <f>IF(AE9="","",IF(ISBLANK(AH9),"En cours",AE9+AH9))</f>
        <v/>
      </c>
    </row>
    <row r="10" spans="2:37" ht="21" x14ac:dyDescent="0.35"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3" t="str">
        <f>IF(MIN(F10,J10,N10,R10,V10,Z10)&lt;&gt;0,MIN(F10,J10,N10,R10,V10,Z10),"")</f>
        <v/>
      </c>
      <c r="AE10" s="133" t="str">
        <f>IF(MIN(H10,L10,P10,T10,X10,AB10)&lt;&gt;0,MIN(H10,L10,P10,T10,X10,AB10),"")</f>
        <v/>
      </c>
      <c r="AF10" s="133"/>
      <c r="AG10" s="132"/>
      <c r="AH10" s="133"/>
      <c r="AI10" s="132"/>
      <c r="AJ10" s="131" t="str">
        <f>IF(AD10="","",IF(ISBLANK(AF10),"En cours",AD10+AF10))</f>
        <v/>
      </c>
      <c r="AK10" s="131" t="str">
        <f>IF(AE10="","",IF(ISBLANK(AH10),"En cours",AE10+AH10))</f>
        <v/>
      </c>
    </row>
    <row r="11" spans="2:37" ht="21" x14ac:dyDescent="0.35"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3" t="str">
        <f>IF(MIN(F11,J11,N11,R11,V11,Z11)&lt;&gt;0,MIN(F11,J11,N11,R11,V11,Z11),"")</f>
        <v/>
      </c>
      <c r="AE11" s="133" t="str">
        <f>IF(MIN(H11,L11,P11,T11,X11,AB11)&lt;&gt;0,MIN(H11,L11,P11,T11,X11,AB11),"")</f>
        <v/>
      </c>
      <c r="AF11" s="133"/>
      <c r="AG11" s="132"/>
      <c r="AH11" s="133"/>
      <c r="AI11" s="132"/>
      <c r="AJ11" s="131" t="str">
        <f>IF(AD11="","",IF(ISBLANK(AF11),"En cours",AD11+AF11))</f>
        <v/>
      </c>
      <c r="AK11" s="131" t="str">
        <f>IF(AE11="","",IF(ISBLANK(AH11),"En cours",AE11+AH11))</f>
        <v/>
      </c>
    </row>
    <row r="12" spans="2:37" ht="21" x14ac:dyDescent="0.35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3" t="str">
        <f>IF(MIN(F12,J12,N12,R12,V12,Z12)&lt;&gt;0,MIN(F12,J12,N12,R12,V12,Z12),"")</f>
        <v/>
      </c>
      <c r="AE12" s="133" t="str">
        <f>IF(MIN(H12,L12,P12,T12,X12,AB12)&lt;&gt;0,MIN(H12,L12,P12,T12,X12,AB12),"")</f>
        <v/>
      </c>
      <c r="AF12" s="133"/>
      <c r="AG12" s="132"/>
      <c r="AH12" s="133"/>
      <c r="AI12" s="132"/>
      <c r="AJ12" s="131" t="str">
        <f>IF(AD12="","",IF(ISBLANK(AF12),"En cours",AD12+AF12))</f>
        <v/>
      </c>
      <c r="AK12" s="131" t="str">
        <f>IF(AE12="","",IF(ISBLANK(AH12),"En cours",AE12+AH12))</f>
        <v/>
      </c>
    </row>
    <row r="13" spans="2:37" ht="21" x14ac:dyDescent="0.35"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3" t="str">
        <f>IF(MIN(F13,J13,N13,R13,V13,Z13)&lt;&gt;0,MIN(F13,J13,N13,R13,V13,Z13),"")</f>
        <v/>
      </c>
      <c r="AE13" s="133" t="str">
        <f>IF(MIN(H13,L13,P13,T13,X13,AB13)&lt;&gt;0,MIN(H13,L13,P13,T13,X13,AB13),"")</f>
        <v/>
      </c>
      <c r="AF13" s="133"/>
      <c r="AG13" s="132"/>
      <c r="AH13" s="133"/>
      <c r="AI13" s="132"/>
      <c r="AJ13" s="131" t="str">
        <f>IF(AD13="","",IF(ISBLANK(AF13),"En cours",AD13+AF13))</f>
        <v/>
      </c>
      <c r="AK13" s="131" t="str">
        <f>IF(AE13="","",IF(ISBLANK(AH13),"En cours",AE13+AH13))</f>
        <v/>
      </c>
    </row>
    <row r="14" spans="2:37" ht="21" x14ac:dyDescent="0.35"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3" t="str">
        <f>IF(MIN(F14,J14,N14,R14,V14,Z14)&lt;&gt;0,MIN(F14,J14,N14,R14,V14,Z14),"")</f>
        <v/>
      </c>
      <c r="AE14" s="133" t="str">
        <f>IF(MIN(H14,L14,P14,T14,X14,AB14)&lt;&gt;0,MIN(H14,L14,P14,T14,X14,AB14),"")</f>
        <v/>
      </c>
      <c r="AF14" s="133"/>
      <c r="AG14" s="132"/>
      <c r="AH14" s="133"/>
      <c r="AI14" s="132"/>
      <c r="AJ14" s="131" t="str">
        <f>IF(AD14="","",IF(ISBLANK(AF14),"En cours",AD14+AF14))</f>
        <v/>
      </c>
      <c r="AK14" s="131" t="str">
        <f>IF(AE14="","",IF(ISBLANK(AH14),"En cours",AE14+AH14))</f>
        <v/>
      </c>
    </row>
    <row r="15" spans="2:37" ht="21" x14ac:dyDescent="0.35"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3" t="str">
        <f>IF(MIN(F15,J15,N15,R15,V15,Z15)&lt;&gt;0,MIN(F15,J15,N15,R15,V15,Z15),"")</f>
        <v/>
      </c>
      <c r="AE15" s="133" t="str">
        <f>IF(MIN(H15,L15,P15,T15,X15,AB15)&lt;&gt;0,MIN(H15,L15,P15,T15,X15,AB15),"")</f>
        <v/>
      </c>
      <c r="AF15" s="133"/>
      <c r="AG15" s="132"/>
      <c r="AH15" s="133"/>
      <c r="AI15" s="132"/>
      <c r="AJ15" s="131" t="str">
        <f>IF(AD15="","",IF(ISBLANK(AF15),"En cours",AD15+AF15))</f>
        <v/>
      </c>
      <c r="AK15" s="131" t="str">
        <f>IF(AE15="","",IF(ISBLANK(AH15),"En cours",AE15+AH15))</f>
        <v/>
      </c>
    </row>
    <row r="16" spans="2:37" ht="21" x14ac:dyDescent="0.35"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3" t="str">
        <f>IF(MIN(F16,J16,N16,R16,V16,Z16)&lt;&gt;0,MIN(F16,J16,N16,R16,V16,Z16),"")</f>
        <v/>
      </c>
      <c r="AE16" s="133" t="str">
        <f>IF(MIN(H16,L16,P16,T16,X16,AB16)&lt;&gt;0,MIN(H16,L16,P16,T16,X16,AB16),"")</f>
        <v/>
      </c>
      <c r="AF16" s="133"/>
      <c r="AG16" s="132"/>
      <c r="AH16" s="133"/>
      <c r="AI16" s="132"/>
      <c r="AJ16" s="131" t="str">
        <f>IF(AD16="","",IF(ISBLANK(AF16),"En cours",AD16+AF16))</f>
        <v/>
      </c>
      <c r="AK16" s="131" t="str">
        <f>IF(AE16="","",IF(ISBLANK(AH16),"En cours",AE16+AH16))</f>
        <v/>
      </c>
    </row>
    <row r="17" spans="2:37" ht="21" x14ac:dyDescent="0.35"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3" t="str">
        <f>IF(MIN(F17,J17,N17,R17,V17,Z17)&lt;&gt;0,MIN(F17,J17,N17,R17,V17,Z17),"")</f>
        <v/>
      </c>
      <c r="AE17" s="133" t="str">
        <f>IF(MIN(H17,L17,P17,T17,X17,AB17)&lt;&gt;0,MIN(H17,L17,P17,T17,X17,AB17),"")</f>
        <v/>
      </c>
      <c r="AF17" s="133"/>
      <c r="AG17" s="132"/>
      <c r="AH17" s="133"/>
      <c r="AI17" s="132"/>
      <c r="AJ17" s="131" t="str">
        <f>IF(AD17="","",IF(ISBLANK(AF17),"En cours",AD17+AF17))</f>
        <v/>
      </c>
      <c r="AK17" s="131" t="str">
        <f>IF(AE17="","",IF(ISBLANK(AH17),"En cours",AE17+AH17))</f>
        <v/>
      </c>
    </row>
    <row r="18" spans="2:37" ht="21" x14ac:dyDescent="0.35"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3" t="str">
        <f>IF(MIN(F18,J18,N18,R18,V18,Z18)&lt;&gt;0,MIN(F18,J18,N18,R18,V18,Z18),"")</f>
        <v/>
      </c>
      <c r="AE18" s="133" t="str">
        <f>IF(MIN(H18,L18,P18,T18,X18,AB18)&lt;&gt;0,MIN(H18,L18,P18,T18,X18,AB18),"")</f>
        <v/>
      </c>
      <c r="AF18" s="133"/>
      <c r="AG18" s="132"/>
      <c r="AH18" s="133"/>
      <c r="AI18" s="132"/>
      <c r="AJ18" s="131" t="str">
        <f>IF(AD18="","",IF(ISBLANK(AF18),"En cours",AD18+AF18))</f>
        <v/>
      </c>
      <c r="AK18" s="131" t="str">
        <f>IF(AE18="","",IF(ISBLANK(AH18),"En cours",AE18+AH18))</f>
        <v/>
      </c>
    </row>
    <row r="19" spans="2:37" ht="21" x14ac:dyDescent="0.35"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3" t="str">
        <f>IF(MIN(F19,J19,N19,R19,V19,Z19)&lt;&gt;0,MIN(F19,J19,N19,R19,V19,Z19),"")</f>
        <v/>
      </c>
      <c r="AE19" s="133" t="str">
        <f>IF(MIN(H19,L19,P19,T19,X19,AB19)&lt;&gt;0,MIN(H19,L19,P19,T19,X19,AB19),"")</f>
        <v/>
      </c>
      <c r="AF19" s="133"/>
      <c r="AG19" s="132"/>
      <c r="AH19" s="133"/>
      <c r="AI19" s="132"/>
      <c r="AJ19" s="131" t="str">
        <f>IF(AD19="","",IF(ISBLANK(AF19),"En cours",AD19+AF19))</f>
        <v/>
      </c>
      <c r="AK19" s="131" t="str">
        <f>IF(AE19="","",IF(ISBLANK(AH19),"En cours",AE19+AH19))</f>
        <v/>
      </c>
    </row>
    <row r="20" spans="2:37" ht="21" x14ac:dyDescent="0.35"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3" t="str">
        <f>IF(MIN(F20,J20,N20,R20,V20,Z20)&lt;&gt;0,MIN(F20,J20,N20,R20,V20,Z20),"")</f>
        <v/>
      </c>
      <c r="AE20" s="133" t="str">
        <f>IF(MIN(H20,L20,P20,T20,X20,AB20)&lt;&gt;0,MIN(H20,L20,P20,T20,X20,AB20),"")</f>
        <v/>
      </c>
      <c r="AF20" s="133"/>
      <c r="AG20" s="132"/>
      <c r="AH20" s="133"/>
      <c r="AI20" s="132"/>
      <c r="AJ20" s="131" t="str">
        <f>IF(AD20="","",IF(ISBLANK(AF20),"En cours",AD20+AF20))</f>
        <v/>
      </c>
      <c r="AK20" s="131" t="str">
        <f>IF(AE20="","",IF(ISBLANK(AH20),"En cours",AE20+AH20))</f>
        <v/>
      </c>
    </row>
    <row r="21" spans="2:37" ht="21" x14ac:dyDescent="0.35"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3" t="str">
        <f>IF(MIN(F21,J21,N21,R21,V21,Z21)&lt;&gt;0,MIN(F21,J21,N21,R21,V21,Z21),"")</f>
        <v/>
      </c>
      <c r="AE21" s="133" t="str">
        <f>IF(MIN(H21,L21,P21,T21,X21,AB21)&lt;&gt;0,MIN(H21,L21,P21,T21,X21,AB21),"")</f>
        <v/>
      </c>
      <c r="AF21" s="133"/>
      <c r="AG21" s="132"/>
      <c r="AH21" s="133"/>
      <c r="AI21" s="132"/>
      <c r="AJ21" s="131" t="str">
        <f>IF(AD21="","",IF(ISBLANK(AF21),"En cours",AD21+AF21))</f>
        <v/>
      </c>
      <c r="AK21" s="131" t="str">
        <f>IF(AE21="","",IF(ISBLANK(AH21),"En cours",AE21+AH21))</f>
        <v/>
      </c>
    </row>
    <row r="22" spans="2:37" ht="21" x14ac:dyDescent="0.35"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3" t="str">
        <f>IF(MIN(F22,J22,N22,R22,V22,Z22)&lt;&gt;0,MIN(F22,J22,N22,R22,V22,Z22),"")</f>
        <v/>
      </c>
      <c r="AE22" s="133" t="str">
        <f>IF(MIN(H22,L22,P22,T22,X22,AB22)&lt;&gt;0,MIN(H22,L22,P22,T22,X22,AB22),"")</f>
        <v/>
      </c>
      <c r="AF22" s="133"/>
      <c r="AG22" s="132"/>
      <c r="AH22" s="133"/>
      <c r="AI22" s="132"/>
      <c r="AJ22" s="131" t="str">
        <f>IF(AD22="","",IF(ISBLANK(AF22),"En cours",AD22+AF22))</f>
        <v/>
      </c>
      <c r="AK22" s="131" t="str">
        <f>IF(AE22="","",IF(ISBLANK(AH22),"En cours",AE22+AH22))</f>
        <v/>
      </c>
    </row>
    <row r="23" spans="2:37" ht="21" x14ac:dyDescent="0.35"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3" t="str">
        <f>IF(MIN(F23,J23,N23,R23,V23,Z23)&lt;&gt;0,MIN(F23,J23,N23,R23,V23,Z23),"")</f>
        <v/>
      </c>
      <c r="AE23" s="133" t="str">
        <f>IF(MIN(H23,L23,P23,T23,X23,AB23)&lt;&gt;0,MIN(H23,L23,P23,T23,X23,AB23),"")</f>
        <v/>
      </c>
      <c r="AF23" s="133"/>
      <c r="AG23" s="132"/>
      <c r="AH23" s="133"/>
      <c r="AI23" s="132"/>
      <c r="AJ23" s="131" t="str">
        <f>IF(AD23="","",IF(ISBLANK(AF23),"En cours",AD23+AF23))</f>
        <v/>
      </c>
      <c r="AK23" s="131" t="str">
        <f>IF(AE23="","",IF(ISBLANK(AH23),"En cours",AE23+AH23))</f>
        <v/>
      </c>
    </row>
    <row r="24" spans="2:37" ht="21" x14ac:dyDescent="0.35"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3" t="str">
        <f>IF(MIN(F24,J24,N24,R24,V24,Z24)&lt;&gt;0,MIN(F24,J24,N24,R24,V24,Z24),"")</f>
        <v/>
      </c>
      <c r="AE24" s="133" t="str">
        <f>IF(MIN(H24,L24,P24,T24,X24,AB24)&lt;&gt;0,MIN(H24,L24,P24,T24,X24,AB24),"")</f>
        <v/>
      </c>
      <c r="AF24" s="133"/>
      <c r="AG24" s="132"/>
      <c r="AH24" s="133"/>
      <c r="AI24" s="132"/>
      <c r="AJ24" s="131" t="str">
        <f>IF(AD24="","",IF(ISBLANK(AF24),"En cours",AD24+AF24))</f>
        <v/>
      </c>
      <c r="AK24" s="131" t="str">
        <f>IF(AE24="","",IF(ISBLANK(AH24),"En cours",AE24+AH24))</f>
        <v/>
      </c>
    </row>
    <row r="25" spans="2:37" ht="21" x14ac:dyDescent="0.35"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3" t="str">
        <f>IF(MIN(F25,J25,N25,R25,V25,Z25)&lt;&gt;0,MIN(F25,J25,N25,R25,V25,Z25),"")</f>
        <v/>
      </c>
      <c r="AE25" s="133" t="str">
        <f>IF(MIN(H25,L25,P25,T25,X25,AB25)&lt;&gt;0,MIN(H25,L25,P25,T25,X25,AB25),"")</f>
        <v/>
      </c>
      <c r="AF25" s="133"/>
      <c r="AG25" s="132"/>
      <c r="AH25" s="133"/>
      <c r="AI25" s="132"/>
      <c r="AJ25" s="131" t="str">
        <f>IF(AD25="","",IF(ISBLANK(AF25),"En cours",AD25+AF25))</f>
        <v/>
      </c>
      <c r="AK25" s="131" t="str">
        <f>IF(AE25="","",IF(ISBLANK(AH25),"En cours",AE25+AH25))</f>
        <v/>
      </c>
    </row>
    <row r="26" spans="2:37" ht="21" x14ac:dyDescent="0.35"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3" t="str">
        <f>IF(MIN(F26,J26,N26,R26,V26,Z26)&lt;&gt;0,MIN(F26,J26,N26,R26,V26,Z26),"")</f>
        <v/>
      </c>
      <c r="AE26" s="133" t="str">
        <f>IF(MIN(H26,L26,P26,T26,X26,AB26)&lt;&gt;0,MIN(H26,L26,P26,T26,X26,AB26),"")</f>
        <v/>
      </c>
      <c r="AF26" s="133"/>
      <c r="AG26" s="132"/>
      <c r="AH26" s="133"/>
      <c r="AI26" s="132"/>
      <c r="AJ26" s="131" t="str">
        <f>IF(AD26="","",IF(ISBLANK(AF26),"En cours",AD26+AF26))</f>
        <v/>
      </c>
      <c r="AK26" s="131" t="str">
        <f>IF(AE26="","",IF(ISBLANK(AH26),"En cours",AE26+AH26))</f>
        <v/>
      </c>
    </row>
    <row r="27" spans="2:37" ht="21" x14ac:dyDescent="0.35"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3" t="str">
        <f>IF(MIN(F27,J27,N27,R27,V27,Z27)&lt;&gt;0,MIN(F27,J27,N27,R27,V27,Z27),"")</f>
        <v/>
      </c>
      <c r="AE27" s="133" t="str">
        <f>IF(MIN(H27,L27,P27,T27,X27,AB27)&lt;&gt;0,MIN(H27,L27,P27,T27,X27,AB27),"")</f>
        <v/>
      </c>
      <c r="AF27" s="133"/>
      <c r="AG27" s="132"/>
      <c r="AH27" s="133"/>
      <c r="AI27" s="132"/>
      <c r="AJ27" s="131" t="str">
        <f>IF(AD27="","",IF(ISBLANK(AF27),"En cours",AD27+AF27))</f>
        <v/>
      </c>
      <c r="AK27" s="131" t="str">
        <f>IF(AE27="","",IF(ISBLANK(AH27),"En cours",AE27+AH27))</f>
        <v/>
      </c>
    </row>
    <row r="28" spans="2:37" ht="21" x14ac:dyDescent="0.35"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3" t="str">
        <f>IF(MIN(F28,J28,N28,R28,V28,Z28)&lt;&gt;0,MIN(F28,J28,N28,R28,V28,Z28),"")</f>
        <v/>
      </c>
      <c r="AE28" s="133" t="str">
        <f>IF(MIN(H28,L28,P28,T28,X28,AB28)&lt;&gt;0,MIN(H28,L28,P28,T28,X28,AB28),"")</f>
        <v/>
      </c>
      <c r="AF28" s="133"/>
      <c r="AG28" s="132"/>
      <c r="AH28" s="133"/>
      <c r="AI28" s="132"/>
      <c r="AJ28" s="131" t="str">
        <f>IF(AD28="","",IF(ISBLANK(AF28),"En cours",AD28+AF28))</f>
        <v/>
      </c>
      <c r="AK28" s="131" t="str">
        <f>IF(AE28="","",IF(ISBLANK(AH28),"En cours",AE28+AH28))</f>
        <v/>
      </c>
    </row>
    <row r="29" spans="2:37" ht="21" x14ac:dyDescent="0.35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3" t="str">
        <f>IF(MIN(F29,J29,N29,R29,V29,Z29)&lt;&gt;0,MIN(F29,J29,N29,R29,V29,Z29),"")</f>
        <v/>
      </c>
      <c r="AE29" s="133" t="str">
        <f>IF(MIN(H29,L29,P29,T29,X29,AB29)&lt;&gt;0,MIN(H29,L29,P29,T29,X29,AB29),"")</f>
        <v/>
      </c>
      <c r="AF29" s="133"/>
      <c r="AG29" s="132"/>
      <c r="AH29" s="133"/>
      <c r="AI29" s="132"/>
      <c r="AJ29" s="131" t="str">
        <f>IF(AD29="","",IF(ISBLANK(AF29),"En cours",AD29+AF29))</f>
        <v/>
      </c>
      <c r="AK29" s="131" t="str">
        <f>IF(AE29="","",IF(ISBLANK(AH29),"En cours",AE29+AH29))</f>
        <v/>
      </c>
    </row>
    <row r="30" spans="2:37" ht="21" x14ac:dyDescent="0.35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3" t="str">
        <f>IF(MIN(F30,J30,N30,R30,V30,Z30)&lt;&gt;0,MIN(F30,J30,N30,R30,V30,Z30),"")</f>
        <v/>
      </c>
      <c r="AE30" s="133" t="str">
        <f>IF(MIN(H30,L30,P30,T30,X30,AB30)&lt;&gt;0,MIN(H30,L30,P30,T30,X30,AB30),"")</f>
        <v/>
      </c>
      <c r="AF30" s="133"/>
      <c r="AG30" s="132"/>
      <c r="AH30" s="133"/>
      <c r="AI30" s="132"/>
      <c r="AJ30" s="131" t="str">
        <f>IF(AD30="","",IF(ISBLANK(AF30),"En cours",AD30+AF30))</f>
        <v/>
      </c>
      <c r="AK30" s="131" t="str">
        <f>IF(AE30="","",IF(ISBLANK(AH30),"En cours",AE30+AH30))</f>
        <v/>
      </c>
    </row>
    <row r="31" spans="2:37" ht="21" x14ac:dyDescent="0.35"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3" t="str">
        <f>IF(MIN(F31,J31,N31,R31,V31,Z31)&lt;&gt;0,MIN(F31,J31,N31,R31,V31,Z31),"")</f>
        <v/>
      </c>
      <c r="AE31" s="133" t="str">
        <f>IF(MIN(H31,L31,P31,T31,X31,AB31)&lt;&gt;0,MIN(H31,L31,P31,T31,X31,AB31),"")</f>
        <v/>
      </c>
      <c r="AF31" s="133"/>
      <c r="AG31" s="132"/>
      <c r="AH31" s="133"/>
      <c r="AI31" s="132"/>
      <c r="AJ31" s="131" t="str">
        <f>IF(AD31="","",IF(ISBLANK(AF31),"En cours",AD31+AF31))</f>
        <v/>
      </c>
      <c r="AK31" s="131" t="str">
        <f>IF(AE31="","",IF(ISBLANK(AH31),"En cours",AE31+AH31))</f>
        <v/>
      </c>
    </row>
    <row r="32" spans="2:37" ht="21" x14ac:dyDescent="0.35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3" t="str">
        <f>IF(MIN(F32,J32,N32,R32,V32,Z32)&lt;&gt;0,MIN(F32,J32,N32,R32,V32,Z32),"")</f>
        <v/>
      </c>
      <c r="AE32" s="133" t="str">
        <f>IF(MIN(H32,L32,P32,T32,X32,AB32)&lt;&gt;0,MIN(H32,L32,P32,T32,X32,AB32),"")</f>
        <v/>
      </c>
      <c r="AF32" s="133"/>
      <c r="AG32" s="132"/>
      <c r="AH32" s="133"/>
      <c r="AI32" s="132"/>
      <c r="AJ32" s="131" t="str">
        <f>IF(AD32="","",IF(ISBLANK(AF32),"En cours",AD32+AF32))</f>
        <v/>
      </c>
      <c r="AK32" s="131" t="str">
        <f>IF(AE32="","",IF(ISBLANK(AH32),"En cours",AE32+AH32))</f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>IF(MIN(F33,J33,N33,R33,V33,Z33)&lt;&gt;0,MIN(F33,J33,N33,R33,V33,Z33),"")</f>
        <v/>
      </c>
      <c r="AE33" s="133" t="str">
        <f>IF(MIN(H33,L33,P33,T33,X33,AB33)&lt;&gt;0,MIN(H33,L33,P33,T33,X33,AB33),"")</f>
        <v/>
      </c>
      <c r="AF33" s="133"/>
      <c r="AG33" s="132"/>
      <c r="AH33" s="133"/>
      <c r="AI33" s="132"/>
      <c r="AJ33" s="131" t="str">
        <f>IF(AD33="","",IF(ISBLANK(AF33),"En cours",AD33+AF33))</f>
        <v/>
      </c>
      <c r="AK33" s="131" t="str">
        <f>IF(AE33="","",IF(ISBLANK(AH33),"En cours",AE33+AH33))</f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>IF(MIN(F34,J34,N34,R34,V34,Z34)&lt;&gt;0,MIN(F34,J34,N34,R34,V34,Z34),"")</f>
        <v/>
      </c>
      <c r="AE34" s="133" t="str">
        <f>IF(MIN(H34,L34,P34,T34,X34,AB34)&lt;&gt;0,MIN(H34,L34,P34,T34,X34,AB34),"")</f>
        <v/>
      </c>
      <c r="AF34" s="133"/>
      <c r="AG34" s="132"/>
      <c r="AH34" s="133"/>
      <c r="AI34" s="132"/>
      <c r="AJ34" s="131" t="str">
        <f>IF(AD34="","",IF(ISBLANK(AF34),"En cours",AD34+AF34))</f>
        <v/>
      </c>
      <c r="AK34" s="131" t="str">
        <f>IF(AE34="","",IF(ISBLANK(AH34),"En cours",AE34+AH34))</f>
        <v/>
      </c>
    </row>
    <row r="35" spans="2:37" ht="21" x14ac:dyDescent="0.35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3" t="str">
        <f>IF(MIN(F35,J35,N35,R35,V35,Z35)&lt;&gt;0,MIN(F35,J35,N35,R35,V35,Z35),"")</f>
        <v/>
      </c>
      <c r="AE35" s="133" t="str">
        <f>IF(MIN(H35,L35,P35,T35,X35,AB35)&lt;&gt;0,MIN(H35,L35,P35,T35,X35,AB35),"")</f>
        <v/>
      </c>
      <c r="AF35" s="133"/>
      <c r="AG35" s="132"/>
      <c r="AH35" s="133"/>
      <c r="AI35" s="132"/>
      <c r="AJ35" s="131" t="str">
        <f>IF(AD35="","",IF(ISBLANK(AF35),"En cours",AD35+AF35))</f>
        <v/>
      </c>
      <c r="AK35" s="131" t="str">
        <f>IF(AE35="","",IF(ISBLANK(AH35),"En cours",AE35+AH35))</f>
        <v/>
      </c>
    </row>
    <row r="36" spans="2:37" ht="21" x14ac:dyDescent="0.35"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30" t="str">
        <f t="shared" ref="AD33:AD67" si="0">IF(MIN(F36,J36,N36,R36,V36,Z36)&lt;&gt;0,MIN(F36,J36,N36,R36,V36,Z36),"")</f>
        <v/>
      </c>
      <c r="AE36" s="130" t="str">
        <f t="shared" ref="AE33:AE67" si="1">IF(MIN(H36,L36,P36,T36,X36,AB36)&lt;&gt;0,MIN(H36,L36,P36,T36,X36,AB36),"")</f>
        <v/>
      </c>
      <c r="AF36" s="130"/>
      <c r="AG36" s="129"/>
      <c r="AH36" s="130"/>
      <c r="AI36" s="129"/>
      <c r="AJ36" s="128" t="str">
        <f t="shared" ref="AJ33:AJ67" si="2">IF(AD36="","",IF(ISBLANK(AF36),"En cours",AD36+AF36))</f>
        <v/>
      </c>
      <c r="AK36" s="128" t="str">
        <f t="shared" ref="AK33:AK67" si="3"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0"/>
        <v/>
      </c>
      <c r="AE37" s="101" t="str">
        <f t="shared" si="1"/>
        <v/>
      </c>
      <c r="AF37" s="101"/>
      <c r="AG37" s="100"/>
      <c r="AH37" s="101"/>
      <c r="AI37" s="100"/>
      <c r="AJ37" s="102" t="str">
        <f t="shared" si="2"/>
        <v/>
      </c>
      <c r="AK37" s="103" t="str">
        <f t="shared" si="3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0"/>
        <v/>
      </c>
      <c r="AE38" s="101" t="str">
        <f t="shared" si="1"/>
        <v/>
      </c>
      <c r="AF38" s="101"/>
      <c r="AG38" s="100"/>
      <c r="AH38" s="101"/>
      <c r="AI38" s="100"/>
      <c r="AJ38" s="102" t="str">
        <f t="shared" si="2"/>
        <v/>
      </c>
      <c r="AK38" s="103" t="str">
        <f t="shared" si="3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0"/>
        <v/>
      </c>
      <c r="AE39" s="101" t="str">
        <f t="shared" si="1"/>
        <v/>
      </c>
      <c r="AF39" s="101"/>
      <c r="AG39" s="100"/>
      <c r="AH39" s="101"/>
      <c r="AI39" s="100"/>
      <c r="AJ39" s="102" t="str">
        <f t="shared" si="2"/>
        <v/>
      </c>
      <c r="AK39" s="103" t="str">
        <f t="shared" si="3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0"/>
        <v/>
      </c>
      <c r="AE40" s="101" t="str">
        <f t="shared" si="1"/>
        <v/>
      </c>
      <c r="AF40" s="101"/>
      <c r="AG40" s="100"/>
      <c r="AH40" s="101"/>
      <c r="AI40" s="100"/>
      <c r="AJ40" s="102" t="str">
        <f t="shared" si="2"/>
        <v/>
      </c>
      <c r="AK40" s="103" t="str">
        <f t="shared" si="3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0"/>
        <v/>
      </c>
      <c r="AE41" s="101" t="str">
        <f t="shared" si="1"/>
        <v/>
      </c>
      <c r="AF41" s="101"/>
      <c r="AG41" s="100"/>
      <c r="AH41" s="101"/>
      <c r="AI41" s="100"/>
      <c r="AJ41" s="102" t="str">
        <f t="shared" si="2"/>
        <v/>
      </c>
      <c r="AK41" s="103" t="str">
        <f t="shared" si="3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0"/>
        <v/>
      </c>
      <c r="AE42" s="101" t="str">
        <f t="shared" si="1"/>
        <v/>
      </c>
      <c r="AF42" s="101"/>
      <c r="AG42" s="100"/>
      <c r="AH42" s="101"/>
      <c r="AI42" s="100"/>
      <c r="AJ42" s="102" t="str">
        <f t="shared" si="2"/>
        <v/>
      </c>
      <c r="AK42" s="103" t="str">
        <f t="shared" si="3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0"/>
        <v/>
      </c>
      <c r="AE43" s="101" t="str">
        <f t="shared" si="1"/>
        <v/>
      </c>
      <c r="AF43" s="101"/>
      <c r="AG43" s="100"/>
      <c r="AH43" s="101"/>
      <c r="AI43" s="100"/>
      <c r="AJ43" s="102" t="str">
        <f t="shared" si="2"/>
        <v/>
      </c>
      <c r="AK43" s="103" t="str">
        <f t="shared" si="3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0"/>
        <v/>
      </c>
      <c r="AE44" s="101" t="str">
        <f t="shared" si="1"/>
        <v/>
      </c>
      <c r="AF44" s="101"/>
      <c r="AG44" s="100"/>
      <c r="AH44" s="101"/>
      <c r="AI44" s="100"/>
      <c r="AJ44" s="102" t="str">
        <f t="shared" si="2"/>
        <v/>
      </c>
      <c r="AK44" s="103" t="str">
        <f t="shared" si="3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0"/>
        <v/>
      </c>
      <c r="AE45" s="101" t="str">
        <f t="shared" si="1"/>
        <v/>
      </c>
      <c r="AF45" s="101"/>
      <c r="AG45" s="100"/>
      <c r="AH45" s="101"/>
      <c r="AI45" s="100"/>
      <c r="AJ45" s="102" t="str">
        <f t="shared" si="2"/>
        <v/>
      </c>
      <c r="AK45" s="103" t="str">
        <f t="shared" si="3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0"/>
        <v/>
      </c>
      <c r="AE46" s="101" t="str">
        <f t="shared" si="1"/>
        <v/>
      </c>
      <c r="AF46" s="101"/>
      <c r="AG46" s="100"/>
      <c r="AH46" s="101"/>
      <c r="AI46" s="100"/>
      <c r="AJ46" s="102" t="str">
        <f t="shared" si="2"/>
        <v/>
      </c>
      <c r="AK46" s="103" t="str">
        <f t="shared" si="3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0"/>
        <v/>
      </c>
      <c r="AE47" s="101" t="str">
        <f t="shared" si="1"/>
        <v/>
      </c>
      <c r="AF47" s="101"/>
      <c r="AG47" s="100"/>
      <c r="AH47" s="101"/>
      <c r="AI47" s="100"/>
      <c r="AJ47" s="102" t="str">
        <f t="shared" si="2"/>
        <v/>
      </c>
      <c r="AK47" s="103" t="str">
        <f t="shared" si="3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0"/>
        <v/>
      </c>
      <c r="AE48" s="80" t="str">
        <f t="shared" si="1"/>
        <v/>
      </c>
      <c r="AF48" s="81"/>
      <c r="AG48" s="77"/>
      <c r="AH48" s="81"/>
      <c r="AI48" s="77"/>
      <c r="AJ48" s="82" t="str">
        <f t="shared" si="2"/>
        <v/>
      </c>
      <c r="AK48" s="83" t="str">
        <f t="shared" si="3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0"/>
        <v/>
      </c>
      <c r="AE49" s="80" t="str">
        <f t="shared" si="1"/>
        <v/>
      </c>
      <c r="AF49" s="81"/>
      <c r="AG49" s="77"/>
      <c r="AH49" s="81"/>
      <c r="AI49" s="77"/>
      <c r="AJ49" s="82" t="str">
        <f t="shared" si="2"/>
        <v/>
      </c>
      <c r="AK49" s="83" t="str">
        <f t="shared" si="3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0"/>
        <v/>
      </c>
      <c r="AE50" s="80" t="str">
        <f t="shared" si="1"/>
        <v/>
      </c>
      <c r="AF50" s="81"/>
      <c r="AG50" s="77"/>
      <c r="AH50" s="81"/>
      <c r="AI50" s="77"/>
      <c r="AJ50" s="82" t="str">
        <f t="shared" si="2"/>
        <v/>
      </c>
      <c r="AK50" s="83" t="str">
        <f t="shared" si="3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0"/>
        <v/>
      </c>
      <c r="AE51" s="80" t="str">
        <f t="shared" si="1"/>
        <v/>
      </c>
      <c r="AF51" s="81"/>
      <c r="AG51" s="77"/>
      <c r="AH51" s="81"/>
      <c r="AI51" s="77"/>
      <c r="AJ51" s="82" t="str">
        <f t="shared" si="2"/>
        <v/>
      </c>
      <c r="AK51" s="83" t="str">
        <f t="shared" si="3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0"/>
        <v/>
      </c>
      <c r="AE52" s="80" t="str">
        <f t="shared" si="1"/>
        <v/>
      </c>
      <c r="AF52" s="81"/>
      <c r="AG52" s="77"/>
      <c r="AH52" s="81"/>
      <c r="AI52" s="77"/>
      <c r="AJ52" s="82" t="str">
        <f t="shared" si="2"/>
        <v/>
      </c>
      <c r="AK52" s="83" t="str">
        <f t="shared" si="3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0"/>
        <v/>
      </c>
      <c r="AE53" s="80" t="str">
        <f t="shared" si="1"/>
        <v/>
      </c>
      <c r="AF53" s="81"/>
      <c r="AG53" s="77"/>
      <c r="AH53" s="81"/>
      <c r="AI53" s="77"/>
      <c r="AJ53" s="82" t="str">
        <f t="shared" si="2"/>
        <v/>
      </c>
      <c r="AK53" s="83" t="str">
        <f t="shared" si="3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0"/>
        <v/>
      </c>
      <c r="AE54" s="80" t="str">
        <f t="shared" si="1"/>
        <v/>
      </c>
      <c r="AF54" s="81"/>
      <c r="AG54" s="77"/>
      <c r="AH54" s="81"/>
      <c r="AI54" s="77"/>
      <c r="AJ54" s="82" t="str">
        <f t="shared" si="2"/>
        <v/>
      </c>
      <c r="AK54" s="83" t="str">
        <f t="shared" si="3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0"/>
        <v/>
      </c>
      <c r="AE55" s="80" t="str">
        <f t="shared" si="1"/>
        <v/>
      </c>
      <c r="AF55" s="81"/>
      <c r="AG55" s="77"/>
      <c r="AH55" s="81"/>
      <c r="AI55" s="77"/>
      <c r="AJ55" s="82" t="str">
        <f t="shared" si="2"/>
        <v/>
      </c>
      <c r="AK55" s="83" t="str">
        <f t="shared" si="3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0"/>
        <v/>
      </c>
      <c r="AE56" s="80" t="str">
        <f t="shared" si="1"/>
        <v/>
      </c>
      <c r="AF56" s="81"/>
      <c r="AG56" s="77"/>
      <c r="AH56" s="81"/>
      <c r="AI56" s="77"/>
      <c r="AJ56" s="82" t="str">
        <f t="shared" si="2"/>
        <v/>
      </c>
      <c r="AK56" s="83" t="str">
        <f t="shared" si="3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0"/>
        <v/>
      </c>
      <c r="AE57" s="80" t="str">
        <f t="shared" si="1"/>
        <v/>
      </c>
      <c r="AF57" s="81"/>
      <c r="AG57" s="77"/>
      <c r="AH57" s="81"/>
      <c r="AI57" s="77"/>
      <c r="AJ57" s="82" t="str">
        <f t="shared" si="2"/>
        <v/>
      </c>
      <c r="AK57" s="83" t="str">
        <f t="shared" si="3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0"/>
        <v/>
      </c>
      <c r="AE58" s="80" t="str">
        <f t="shared" si="1"/>
        <v/>
      </c>
      <c r="AF58" s="81"/>
      <c r="AG58" s="77"/>
      <c r="AH58" s="81"/>
      <c r="AI58" s="77"/>
      <c r="AJ58" s="82" t="str">
        <f t="shared" si="2"/>
        <v/>
      </c>
      <c r="AK58" s="83" t="str">
        <f t="shared" si="3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0"/>
        <v/>
      </c>
      <c r="AE59" s="80" t="str">
        <f t="shared" si="1"/>
        <v/>
      </c>
      <c r="AF59" s="81"/>
      <c r="AG59" s="77"/>
      <c r="AH59" s="81"/>
      <c r="AI59" s="77"/>
      <c r="AJ59" s="82" t="str">
        <f t="shared" si="2"/>
        <v/>
      </c>
      <c r="AK59" s="83" t="str">
        <f t="shared" si="3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0"/>
        <v/>
      </c>
      <c r="AE60" s="80" t="str">
        <f t="shared" si="1"/>
        <v/>
      </c>
      <c r="AF60" s="81"/>
      <c r="AG60" s="77"/>
      <c r="AH60" s="81"/>
      <c r="AI60" s="77"/>
      <c r="AJ60" s="82" t="str">
        <f t="shared" si="2"/>
        <v/>
      </c>
      <c r="AK60" s="83" t="str">
        <f t="shared" si="3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0"/>
        <v/>
      </c>
      <c r="AE61" s="80" t="str">
        <f t="shared" si="1"/>
        <v/>
      </c>
      <c r="AF61" s="81"/>
      <c r="AG61" s="77"/>
      <c r="AH61" s="81"/>
      <c r="AI61" s="77"/>
      <c r="AJ61" s="82" t="str">
        <f t="shared" si="2"/>
        <v/>
      </c>
      <c r="AK61" s="83" t="str">
        <f t="shared" si="3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0"/>
        <v/>
      </c>
      <c r="AE62" s="80" t="str">
        <f t="shared" si="1"/>
        <v/>
      </c>
      <c r="AF62" s="81"/>
      <c r="AG62" s="77"/>
      <c r="AH62" s="81"/>
      <c r="AI62" s="77"/>
      <c r="AJ62" s="82" t="str">
        <f t="shared" si="2"/>
        <v/>
      </c>
      <c r="AK62" s="83" t="str">
        <f t="shared" si="3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0"/>
        <v/>
      </c>
      <c r="AE63" s="80" t="str">
        <f t="shared" si="1"/>
        <v/>
      </c>
      <c r="AF63" s="81"/>
      <c r="AG63" s="77"/>
      <c r="AH63" s="81"/>
      <c r="AI63" s="77"/>
      <c r="AJ63" s="82" t="str">
        <f t="shared" si="2"/>
        <v/>
      </c>
      <c r="AK63" s="83" t="str">
        <f t="shared" si="3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0"/>
        <v/>
      </c>
      <c r="AE64" s="80" t="str">
        <f t="shared" si="1"/>
        <v/>
      </c>
      <c r="AF64" s="81"/>
      <c r="AG64" s="77"/>
      <c r="AH64" s="81"/>
      <c r="AI64" s="77"/>
      <c r="AJ64" s="82" t="str">
        <f t="shared" si="2"/>
        <v/>
      </c>
      <c r="AK64" s="83" t="str">
        <f t="shared" si="3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0"/>
        <v/>
      </c>
      <c r="AE65" s="80" t="str">
        <f t="shared" si="1"/>
        <v/>
      </c>
      <c r="AF65" s="81"/>
      <c r="AG65" s="77"/>
      <c r="AH65" s="81"/>
      <c r="AI65" s="77"/>
      <c r="AJ65" s="82" t="str">
        <f t="shared" si="2"/>
        <v/>
      </c>
      <c r="AK65" s="83" t="str">
        <f t="shared" si="3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0"/>
        <v/>
      </c>
      <c r="AE66" s="80" t="str">
        <f t="shared" si="1"/>
        <v/>
      </c>
      <c r="AF66" s="81"/>
      <c r="AG66" s="77"/>
      <c r="AH66" s="81"/>
      <c r="AI66" s="77"/>
      <c r="AJ66" s="82" t="str">
        <f t="shared" si="2"/>
        <v/>
      </c>
      <c r="AK66" s="83" t="str">
        <f t="shared" si="3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0"/>
        <v/>
      </c>
      <c r="AE67" s="80" t="str">
        <f t="shared" si="1"/>
        <v/>
      </c>
      <c r="AF67" s="81"/>
      <c r="AG67" s="77"/>
      <c r="AH67" s="81"/>
      <c r="AI67" s="77"/>
      <c r="AJ67" s="82" t="str">
        <f t="shared" si="2"/>
        <v/>
      </c>
      <c r="AK67" s="83" t="str">
        <f t="shared" si="3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4">IF(MIN(F68,J68,N68,R68,V68,Z68)&lt;&gt;0,MIN(F68,J68,N68,R68,V68,Z68),"")</f>
        <v/>
      </c>
      <c r="AE68" s="80" t="str">
        <f t="shared" ref="AE68:AE131" si="5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6">IF(AD68="","",IF(ISBLANK(AF68),"En cours",AD68+AF68))</f>
        <v/>
      </c>
      <c r="AK68" s="83" t="str">
        <f t="shared" ref="AK68:AK131" si="7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4"/>
        <v/>
      </c>
      <c r="AE69" s="80" t="str">
        <f t="shared" si="5"/>
        <v/>
      </c>
      <c r="AF69" s="81"/>
      <c r="AG69" s="77"/>
      <c r="AH69" s="81"/>
      <c r="AI69" s="77"/>
      <c r="AJ69" s="82" t="str">
        <f t="shared" si="6"/>
        <v/>
      </c>
      <c r="AK69" s="83" t="str">
        <f t="shared" si="7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4"/>
        <v/>
      </c>
      <c r="AE70" s="80" t="str">
        <f t="shared" si="5"/>
        <v/>
      </c>
      <c r="AF70" s="81"/>
      <c r="AG70" s="77"/>
      <c r="AH70" s="81"/>
      <c r="AI70" s="77"/>
      <c r="AJ70" s="82" t="str">
        <f t="shared" si="6"/>
        <v/>
      </c>
      <c r="AK70" s="83" t="str">
        <f t="shared" si="7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4"/>
        <v/>
      </c>
      <c r="AE71" s="80" t="str">
        <f t="shared" si="5"/>
        <v/>
      </c>
      <c r="AF71" s="81"/>
      <c r="AG71" s="77"/>
      <c r="AH71" s="81"/>
      <c r="AI71" s="77"/>
      <c r="AJ71" s="82" t="str">
        <f t="shared" si="6"/>
        <v/>
      </c>
      <c r="AK71" s="83" t="str">
        <f t="shared" si="7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4"/>
        <v/>
      </c>
      <c r="AE72" s="80" t="str">
        <f t="shared" si="5"/>
        <v/>
      </c>
      <c r="AF72" s="81"/>
      <c r="AG72" s="77"/>
      <c r="AH72" s="81"/>
      <c r="AI72" s="77"/>
      <c r="AJ72" s="82" t="str">
        <f t="shared" si="6"/>
        <v/>
      </c>
      <c r="AK72" s="83" t="str">
        <f t="shared" si="7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4"/>
        <v/>
      </c>
      <c r="AE73" s="80" t="str">
        <f t="shared" si="5"/>
        <v/>
      </c>
      <c r="AF73" s="81"/>
      <c r="AG73" s="77"/>
      <c r="AH73" s="81"/>
      <c r="AI73" s="77"/>
      <c r="AJ73" s="82" t="str">
        <f t="shared" si="6"/>
        <v/>
      </c>
      <c r="AK73" s="83" t="str">
        <f t="shared" si="7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4"/>
        <v/>
      </c>
      <c r="AE74" s="80" t="str">
        <f t="shared" si="5"/>
        <v/>
      </c>
      <c r="AF74" s="81"/>
      <c r="AG74" s="77"/>
      <c r="AH74" s="81"/>
      <c r="AI74" s="77"/>
      <c r="AJ74" s="82" t="str">
        <f t="shared" si="6"/>
        <v/>
      </c>
      <c r="AK74" s="83" t="str">
        <f t="shared" si="7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4"/>
        <v/>
      </c>
      <c r="AE75" s="80" t="str">
        <f t="shared" si="5"/>
        <v/>
      </c>
      <c r="AF75" s="81"/>
      <c r="AG75" s="77"/>
      <c r="AH75" s="81"/>
      <c r="AI75" s="77"/>
      <c r="AJ75" s="82" t="str">
        <f t="shared" si="6"/>
        <v/>
      </c>
      <c r="AK75" s="83" t="str">
        <f t="shared" si="7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4"/>
        <v/>
      </c>
      <c r="AE76" s="80" t="str">
        <f t="shared" si="5"/>
        <v/>
      </c>
      <c r="AF76" s="81"/>
      <c r="AG76" s="77"/>
      <c r="AH76" s="81"/>
      <c r="AI76" s="77"/>
      <c r="AJ76" s="82" t="str">
        <f t="shared" si="6"/>
        <v/>
      </c>
      <c r="AK76" s="83" t="str">
        <f t="shared" si="7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4"/>
        <v/>
      </c>
      <c r="AE77" s="80" t="str">
        <f t="shared" si="5"/>
        <v/>
      </c>
      <c r="AF77" s="81"/>
      <c r="AG77" s="77"/>
      <c r="AH77" s="81"/>
      <c r="AI77" s="77"/>
      <c r="AJ77" s="82" t="str">
        <f t="shared" si="6"/>
        <v/>
      </c>
      <c r="AK77" s="83" t="str">
        <f t="shared" si="7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4"/>
        <v/>
      </c>
      <c r="AE78" s="80" t="str">
        <f t="shared" si="5"/>
        <v/>
      </c>
      <c r="AF78" s="81"/>
      <c r="AG78" s="77"/>
      <c r="AH78" s="81"/>
      <c r="AI78" s="77"/>
      <c r="AJ78" s="82" t="str">
        <f t="shared" si="6"/>
        <v/>
      </c>
      <c r="AK78" s="83" t="str">
        <f t="shared" si="7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4"/>
        <v/>
      </c>
      <c r="AE79" s="80" t="str">
        <f t="shared" si="5"/>
        <v/>
      </c>
      <c r="AF79" s="81"/>
      <c r="AG79" s="77"/>
      <c r="AH79" s="81"/>
      <c r="AI79" s="77"/>
      <c r="AJ79" s="82" t="str">
        <f t="shared" si="6"/>
        <v/>
      </c>
      <c r="AK79" s="83" t="str">
        <f t="shared" si="7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4"/>
        <v/>
      </c>
      <c r="AE80" s="80" t="str">
        <f t="shared" si="5"/>
        <v/>
      </c>
      <c r="AF80" s="81"/>
      <c r="AG80" s="77"/>
      <c r="AH80" s="81"/>
      <c r="AI80" s="77"/>
      <c r="AJ80" s="82" t="str">
        <f t="shared" si="6"/>
        <v/>
      </c>
      <c r="AK80" s="83" t="str">
        <f t="shared" si="7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4"/>
        <v/>
      </c>
      <c r="AE81" s="80" t="str">
        <f t="shared" si="5"/>
        <v/>
      </c>
      <c r="AF81" s="81"/>
      <c r="AG81" s="77"/>
      <c r="AH81" s="81"/>
      <c r="AI81" s="77"/>
      <c r="AJ81" s="82" t="str">
        <f t="shared" si="6"/>
        <v/>
      </c>
      <c r="AK81" s="83" t="str">
        <f t="shared" si="7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4"/>
        <v/>
      </c>
      <c r="AE82" s="80" t="str">
        <f t="shared" si="5"/>
        <v/>
      </c>
      <c r="AF82" s="81"/>
      <c r="AG82" s="77"/>
      <c r="AH82" s="81"/>
      <c r="AI82" s="77"/>
      <c r="AJ82" s="82" t="str">
        <f t="shared" si="6"/>
        <v/>
      </c>
      <c r="AK82" s="83" t="str">
        <f t="shared" si="7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4"/>
        <v/>
      </c>
      <c r="AE83" s="80" t="str">
        <f t="shared" si="5"/>
        <v/>
      </c>
      <c r="AF83" s="81"/>
      <c r="AG83" s="77"/>
      <c r="AH83" s="81"/>
      <c r="AI83" s="77"/>
      <c r="AJ83" s="82" t="str">
        <f t="shared" si="6"/>
        <v/>
      </c>
      <c r="AK83" s="83" t="str">
        <f t="shared" si="7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4"/>
        <v/>
      </c>
      <c r="AE84" s="80" t="str">
        <f t="shared" si="5"/>
        <v/>
      </c>
      <c r="AF84" s="81"/>
      <c r="AG84" s="77"/>
      <c r="AH84" s="81"/>
      <c r="AI84" s="77"/>
      <c r="AJ84" s="82" t="str">
        <f t="shared" si="6"/>
        <v/>
      </c>
      <c r="AK84" s="83" t="str">
        <f t="shared" si="7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4"/>
        <v/>
      </c>
      <c r="AE85" s="80" t="str">
        <f t="shared" si="5"/>
        <v/>
      </c>
      <c r="AF85" s="81"/>
      <c r="AG85" s="77"/>
      <c r="AH85" s="81"/>
      <c r="AI85" s="77"/>
      <c r="AJ85" s="82" t="str">
        <f t="shared" si="6"/>
        <v/>
      </c>
      <c r="AK85" s="83" t="str">
        <f t="shared" si="7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4"/>
        <v/>
      </c>
      <c r="AE86" s="80" t="str">
        <f t="shared" si="5"/>
        <v/>
      </c>
      <c r="AF86" s="81"/>
      <c r="AG86" s="77"/>
      <c r="AH86" s="81"/>
      <c r="AI86" s="77"/>
      <c r="AJ86" s="82" t="str">
        <f t="shared" si="6"/>
        <v/>
      </c>
      <c r="AK86" s="83" t="str">
        <f t="shared" si="7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4"/>
        <v/>
      </c>
      <c r="AE87" s="80" t="str">
        <f t="shared" si="5"/>
        <v/>
      </c>
      <c r="AF87" s="81"/>
      <c r="AG87" s="77"/>
      <c r="AH87" s="81"/>
      <c r="AI87" s="77"/>
      <c r="AJ87" s="82" t="str">
        <f t="shared" si="6"/>
        <v/>
      </c>
      <c r="AK87" s="83" t="str">
        <f t="shared" si="7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4"/>
        <v/>
      </c>
      <c r="AE88" s="80" t="str">
        <f t="shared" si="5"/>
        <v/>
      </c>
      <c r="AF88" s="81"/>
      <c r="AG88" s="77"/>
      <c r="AH88" s="81"/>
      <c r="AI88" s="77"/>
      <c r="AJ88" s="82" t="str">
        <f t="shared" si="6"/>
        <v/>
      </c>
      <c r="AK88" s="83" t="str">
        <f t="shared" si="7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4"/>
        <v/>
      </c>
      <c r="AE89" s="80" t="str">
        <f t="shared" si="5"/>
        <v/>
      </c>
      <c r="AF89" s="81"/>
      <c r="AG89" s="77"/>
      <c r="AH89" s="81"/>
      <c r="AI89" s="77"/>
      <c r="AJ89" s="82" t="str">
        <f t="shared" si="6"/>
        <v/>
      </c>
      <c r="AK89" s="83" t="str">
        <f t="shared" si="7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4"/>
        <v/>
      </c>
      <c r="AE90" s="80" t="str">
        <f t="shared" si="5"/>
        <v/>
      </c>
      <c r="AF90" s="81"/>
      <c r="AG90" s="77"/>
      <c r="AH90" s="81"/>
      <c r="AI90" s="77"/>
      <c r="AJ90" s="82" t="str">
        <f t="shared" si="6"/>
        <v/>
      </c>
      <c r="AK90" s="83" t="str">
        <f t="shared" si="7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4"/>
        <v/>
      </c>
      <c r="AE91" s="80" t="str">
        <f t="shared" si="5"/>
        <v/>
      </c>
      <c r="AF91" s="81"/>
      <c r="AG91" s="77"/>
      <c r="AH91" s="81"/>
      <c r="AI91" s="77"/>
      <c r="AJ91" s="82" t="str">
        <f t="shared" si="6"/>
        <v/>
      </c>
      <c r="AK91" s="83" t="str">
        <f t="shared" si="7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4"/>
        <v/>
      </c>
      <c r="AE92" s="80" t="str">
        <f t="shared" si="5"/>
        <v/>
      </c>
      <c r="AF92" s="81"/>
      <c r="AG92" s="77"/>
      <c r="AH92" s="81"/>
      <c r="AI92" s="77"/>
      <c r="AJ92" s="82" t="str">
        <f t="shared" si="6"/>
        <v/>
      </c>
      <c r="AK92" s="83" t="str">
        <f t="shared" si="7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4"/>
        <v/>
      </c>
      <c r="AE93" s="80" t="str">
        <f t="shared" si="5"/>
        <v/>
      </c>
      <c r="AF93" s="81"/>
      <c r="AG93" s="77"/>
      <c r="AH93" s="81"/>
      <c r="AI93" s="77"/>
      <c r="AJ93" s="82" t="str">
        <f t="shared" si="6"/>
        <v/>
      </c>
      <c r="AK93" s="83" t="str">
        <f t="shared" si="7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4"/>
        <v/>
      </c>
      <c r="AE94" s="80" t="str">
        <f t="shared" si="5"/>
        <v/>
      </c>
      <c r="AF94" s="81"/>
      <c r="AG94" s="77"/>
      <c r="AH94" s="81"/>
      <c r="AI94" s="77"/>
      <c r="AJ94" s="82" t="str">
        <f t="shared" si="6"/>
        <v/>
      </c>
      <c r="AK94" s="83" t="str">
        <f t="shared" si="7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4"/>
        <v/>
      </c>
      <c r="AE95" s="80" t="str">
        <f t="shared" si="5"/>
        <v/>
      </c>
      <c r="AF95" s="81"/>
      <c r="AG95" s="77"/>
      <c r="AH95" s="81"/>
      <c r="AI95" s="77"/>
      <c r="AJ95" s="82" t="str">
        <f t="shared" si="6"/>
        <v/>
      </c>
      <c r="AK95" s="83" t="str">
        <f t="shared" si="7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4"/>
        <v/>
      </c>
      <c r="AE96" s="80" t="str">
        <f t="shared" si="5"/>
        <v/>
      </c>
      <c r="AF96" s="81"/>
      <c r="AG96" s="77"/>
      <c r="AH96" s="81"/>
      <c r="AI96" s="77"/>
      <c r="AJ96" s="82" t="str">
        <f t="shared" si="6"/>
        <v/>
      </c>
      <c r="AK96" s="83" t="str">
        <f t="shared" si="7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4"/>
        <v/>
      </c>
      <c r="AE97" s="80" t="str">
        <f t="shared" si="5"/>
        <v/>
      </c>
      <c r="AF97" s="81"/>
      <c r="AG97" s="77"/>
      <c r="AH97" s="81"/>
      <c r="AI97" s="77"/>
      <c r="AJ97" s="82" t="str">
        <f t="shared" si="6"/>
        <v/>
      </c>
      <c r="AK97" s="83" t="str">
        <f t="shared" si="7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4"/>
        <v/>
      </c>
      <c r="AE98" s="80" t="str">
        <f t="shared" si="5"/>
        <v/>
      </c>
      <c r="AF98" s="81"/>
      <c r="AG98" s="77"/>
      <c r="AH98" s="81"/>
      <c r="AI98" s="77"/>
      <c r="AJ98" s="82" t="str">
        <f t="shared" si="6"/>
        <v/>
      </c>
      <c r="AK98" s="83" t="str">
        <f t="shared" si="7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4"/>
        <v/>
      </c>
      <c r="AE99" s="80" t="str">
        <f t="shared" si="5"/>
        <v/>
      </c>
      <c r="AF99" s="81"/>
      <c r="AG99" s="77"/>
      <c r="AH99" s="81"/>
      <c r="AI99" s="77"/>
      <c r="AJ99" s="82" t="str">
        <f t="shared" si="6"/>
        <v/>
      </c>
      <c r="AK99" s="83" t="str">
        <f t="shared" si="7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4"/>
        <v/>
      </c>
      <c r="AE100" s="80" t="str">
        <f t="shared" si="5"/>
        <v/>
      </c>
      <c r="AF100" s="81"/>
      <c r="AG100" s="77"/>
      <c r="AH100" s="81"/>
      <c r="AI100" s="77"/>
      <c r="AJ100" s="82" t="str">
        <f t="shared" si="6"/>
        <v/>
      </c>
      <c r="AK100" s="83" t="str">
        <f t="shared" si="7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4"/>
        <v/>
      </c>
      <c r="AE101" s="80" t="str">
        <f t="shared" si="5"/>
        <v/>
      </c>
      <c r="AF101" s="81"/>
      <c r="AG101" s="77"/>
      <c r="AH101" s="81"/>
      <c r="AI101" s="77"/>
      <c r="AJ101" s="82" t="str">
        <f t="shared" si="6"/>
        <v/>
      </c>
      <c r="AK101" s="83" t="str">
        <f t="shared" si="7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4"/>
        <v/>
      </c>
      <c r="AE102" s="80" t="str">
        <f t="shared" si="5"/>
        <v/>
      </c>
      <c r="AF102" s="81"/>
      <c r="AG102" s="77"/>
      <c r="AH102" s="81"/>
      <c r="AI102" s="77"/>
      <c r="AJ102" s="82" t="str">
        <f t="shared" si="6"/>
        <v/>
      </c>
      <c r="AK102" s="83" t="str">
        <f t="shared" si="7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4"/>
        <v/>
      </c>
      <c r="AE103" s="80" t="str">
        <f t="shared" si="5"/>
        <v/>
      </c>
      <c r="AF103" s="81"/>
      <c r="AG103" s="77"/>
      <c r="AH103" s="81"/>
      <c r="AI103" s="77"/>
      <c r="AJ103" s="82" t="str">
        <f t="shared" si="6"/>
        <v/>
      </c>
      <c r="AK103" s="83" t="str">
        <f t="shared" si="7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4"/>
        <v/>
      </c>
      <c r="AE104" s="80" t="str">
        <f t="shared" si="5"/>
        <v/>
      </c>
      <c r="AF104" s="81"/>
      <c r="AG104" s="77"/>
      <c r="AH104" s="81"/>
      <c r="AI104" s="77"/>
      <c r="AJ104" s="82" t="str">
        <f t="shared" si="6"/>
        <v/>
      </c>
      <c r="AK104" s="83" t="str">
        <f t="shared" si="7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4"/>
        <v/>
      </c>
      <c r="AE105" s="80" t="str">
        <f t="shared" si="5"/>
        <v/>
      </c>
      <c r="AF105" s="81"/>
      <c r="AG105" s="77"/>
      <c r="AH105" s="81"/>
      <c r="AI105" s="77"/>
      <c r="AJ105" s="82" t="str">
        <f t="shared" si="6"/>
        <v/>
      </c>
      <c r="AK105" s="83" t="str">
        <f t="shared" si="7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4"/>
        <v/>
      </c>
      <c r="AE106" s="80" t="str">
        <f t="shared" si="5"/>
        <v/>
      </c>
      <c r="AF106" s="81"/>
      <c r="AG106" s="77"/>
      <c r="AH106" s="81"/>
      <c r="AI106" s="77"/>
      <c r="AJ106" s="82" t="str">
        <f t="shared" si="6"/>
        <v/>
      </c>
      <c r="AK106" s="83" t="str">
        <f t="shared" si="7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4"/>
        <v/>
      </c>
      <c r="AE107" s="80" t="str">
        <f t="shared" si="5"/>
        <v/>
      </c>
      <c r="AF107" s="81"/>
      <c r="AG107" s="77"/>
      <c r="AH107" s="81"/>
      <c r="AI107" s="77"/>
      <c r="AJ107" s="82" t="str">
        <f t="shared" si="6"/>
        <v/>
      </c>
      <c r="AK107" s="83" t="str">
        <f t="shared" si="7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4"/>
        <v/>
      </c>
      <c r="AE108" s="80" t="str">
        <f t="shared" si="5"/>
        <v/>
      </c>
      <c r="AF108" s="81"/>
      <c r="AG108" s="77"/>
      <c r="AH108" s="81"/>
      <c r="AI108" s="77"/>
      <c r="AJ108" s="82" t="str">
        <f t="shared" si="6"/>
        <v/>
      </c>
      <c r="AK108" s="83" t="str">
        <f t="shared" si="7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4"/>
        <v/>
      </c>
      <c r="AE109" s="80" t="str">
        <f t="shared" si="5"/>
        <v/>
      </c>
      <c r="AF109" s="81"/>
      <c r="AG109" s="77"/>
      <c r="AH109" s="81"/>
      <c r="AI109" s="77"/>
      <c r="AJ109" s="82" t="str">
        <f t="shared" si="6"/>
        <v/>
      </c>
      <c r="AK109" s="83" t="str">
        <f t="shared" si="7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4"/>
        <v/>
      </c>
      <c r="AE110" s="80" t="str">
        <f t="shared" si="5"/>
        <v/>
      </c>
      <c r="AF110" s="81"/>
      <c r="AG110" s="77"/>
      <c r="AH110" s="81"/>
      <c r="AI110" s="77"/>
      <c r="AJ110" s="82" t="str">
        <f t="shared" si="6"/>
        <v/>
      </c>
      <c r="AK110" s="83" t="str">
        <f t="shared" si="7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4"/>
        <v/>
      </c>
      <c r="AE111" s="80" t="str">
        <f t="shared" si="5"/>
        <v/>
      </c>
      <c r="AF111" s="81"/>
      <c r="AG111" s="77"/>
      <c r="AH111" s="81"/>
      <c r="AI111" s="77"/>
      <c r="AJ111" s="82" t="str">
        <f t="shared" si="6"/>
        <v/>
      </c>
      <c r="AK111" s="83" t="str">
        <f t="shared" si="7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4"/>
        <v/>
      </c>
      <c r="AE112" s="80" t="str">
        <f t="shared" si="5"/>
        <v/>
      </c>
      <c r="AF112" s="81"/>
      <c r="AG112" s="77"/>
      <c r="AH112" s="81"/>
      <c r="AI112" s="77"/>
      <c r="AJ112" s="82" t="str">
        <f t="shared" si="6"/>
        <v/>
      </c>
      <c r="AK112" s="83" t="str">
        <f t="shared" si="7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4"/>
        <v/>
      </c>
      <c r="AE113" s="80" t="str">
        <f t="shared" si="5"/>
        <v/>
      </c>
      <c r="AF113" s="81"/>
      <c r="AG113" s="77"/>
      <c r="AH113" s="81"/>
      <c r="AI113" s="77"/>
      <c r="AJ113" s="82" t="str">
        <f t="shared" si="6"/>
        <v/>
      </c>
      <c r="AK113" s="83" t="str">
        <f t="shared" si="7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4"/>
        <v/>
      </c>
      <c r="AE114" s="80" t="str">
        <f t="shared" si="5"/>
        <v/>
      </c>
      <c r="AF114" s="81"/>
      <c r="AG114" s="77"/>
      <c r="AH114" s="81"/>
      <c r="AI114" s="77"/>
      <c r="AJ114" s="82" t="str">
        <f t="shared" si="6"/>
        <v/>
      </c>
      <c r="AK114" s="83" t="str">
        <f t="shared" si="7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4"/>
        <v/>
      </c>
      <c r="AE115" s="80" t="str">
        <f t="shared" si="5"/>
        <v/>
      </c>
      <c r="AF115" s="81"/>
      <c r="AG115" s="77"/>
      <c r="AH115" s="81"/>
      <c r="AI115" s="77"/>
      <c r="AJ115" s="82" t="str">
        <f t="shared" si="6"/>
        <v/>
      </c>
      <c r="AK115" s="83" t="str">
        <f t="shared" si="7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4"/>
        <v/>
      </c>
      <c r="AE116" s="80" t="str">
        <f t="shared" si="5"/>
        <v/>
      </c>
      <c r="AF116" s="81"/>
      <c r="AG116" s="77"/>
      <c r="AH116" s="81"/>
      <c r="AI116" s="77"/>
      <c r="AJ116" s="82" t="str">
        <f t="shared" si="6"/>
        <v/>
      </c>
      <c r="AK116" s="83" t="str">
        <f t="shared" si="7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4"/>
        <v/>
      </c>
      <c r="AE117" s="80" t="str">
        <f t="shared" si="5"/>
        <v/>
      </c>
      <c r="AF117" s="81"/>
      <c r="AG117" s="77"/>
      <c r="AH117" s="81"/>
      <c r="AI117" s="77"/>
      <c r="AJ117" s="82" t="str">
        <f t="shared" si="6"/>
        <v/>
      </c>
      <c r="AK117" s="83" t="str">
        <f t="shared" si="7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4"/>
        <v/>
      </c>
      <c r="AE118" s="80" t="str">
        <f t="shared" si="5"/>
        <v/>
      </c>
      <c r="AF118" s="81"/>
      <c r="AG118" s="77"/>
      <c r="AH118" s="81"/>
      <c r="AI118" s="77"/>
      <c r="AJ118" s="82" t="str">
        <f t="shared" si="6"/>
        <v/>
      </c>
      <c r="AK118" s="83" t="str">
        <f t="shared" si="7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4"/>
        <v/>
      </c>
      <c r="AE119" s="80" t="str">
        <f t="shared" si="5"/>
        <v/>
      </c>
      <c r="AF119" s="81"/>
      <c r="AG119" s="77"/>
      <c r="AH119" s="81"/>
      <c r="AI119" s="77"/>
      <c r="AJ119" s="82" t="str">
        <f t="shared" si="6"/>
        <v/>
      </c>
      <c r="AK119" s="83" t="str">
        <f t="shared" si="7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4"/>
        <v/>
      </c>
      <c r="AE120" s="80" t="str">
        <f t="shared" si="5"/>
        <v/>
      </c>
      <c r="AF120" s="81"/>
      <c r="AG120" s="77"/>
      <c r="AH120" s="81"/>
      <c r="AI120" s="77"/>
      <c r="AJ120" s="82" t="str">
        <f t="shared" si="6"/>
        <v/>
      </c>
      <c r="AK120" s="83" t="str">
        <f t="shared" si="7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4"/>
        <v/>
      </c>
      <c r="AE121" s="80" t="str">
        <f t="shared" si="5"/>
        <v/>
      </c>
      <c r="AF121" s="81"/>
      <c r="AG121" s="77"/>
      <c r="AH121" s="81"/>
      <c r="AI121" s="77"/>
      <c r="AJ121" s="82" t="str">
        <f t="shared" si="6"/>
        <v/>
      </c>
      <c r="AK121" s="83" t="str">
        <f t="shared" si="7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4"/>
        <v/>
      </c>
      <c r="AE122" s="80" t="str">
        <f t="shared" si="5"/>
        <v/>
      </c>
      <c r="AF122" s="81"/>
      <c r="AG122" s="77"/>
      <c r="AH122" s="81"/>
      <c r="AI122" s="77"/>
      <c r="AJ122" s="82" t="str">
        <f t="shared" si="6"/>
        <v/>
      </c>
      <c r="AK122" s="83" t="str">
        <f t="shared" si="7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4"/>
        <v/>
      </c>
      <c r="AE123" s="80" t="str">
        <f t="shared" si="5"/>
        <v/>
      </c>
      <c r="AF123" s="81"/>
      <c r="AG123" s="77"/>
      <c r="AH123" s="81"/>
      <c r="AI123" s="77"/>
      <c r="AJ123" s="82" t="str">
        <f t="shared" si="6"/>
        <v/>
      </c>
      <c r="AK123" s="83" t="str">
        <f t="shared" si="7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4"/>
        <v/>
      </c>
      <c r="AE124" s="80" t="str">
        <f t="shared" si="5"/>
        <v/>
      </c>
      <c r="AF124" s="81"/>
      <c r="AG124" s="77"/>
      <c r="AH124" s="81"/>
      <c r="AI124" s="77"/>
      <c r="AJ124" s="82" t="str">
        <f t="shared" si="6"/>
        <v/>
      </c>
      <c r="AK124" s="83" t="str">
        <f t="shared" si="7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4"/>
        <v/>
      </c>
      <c r="AE125" s="80" t="str">
        <f t="shared" si="5"/>
        <v/>
      </c>
      <c r="AF125" s="81"/>
      <c r="AG125" s="77"/>
      <c r="AH125" s="81"/>
      <c r="AI125" s="77"/>
      <c r="AJ125" s="82" t="str">
        <f t="shared" si="6"/>
        <v/>
      </c>
      <c r="AK125" s="83" t="str">
        <f t="shared" si="7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4"/>
        <v/>
      </c>
      <c r="AE126" s="80" t="str">
        <f t="shared" si="5"/>
        <v/>
      </c>
      <c r="AF126" s="81"/>
      <c r="AG126" s="77"/>
      <c r="AH126" s="81"/>
      <c r="AI126" s="77"/>
      <c r="AJ126" s="82" t="str">
        <f t="shared" si="6"/>
        <v/>
      </c>
      <c r="AK126" s="83" t="str">
        <f t="shared" si="7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4"/>
        <v/>
      </c>
      <c r="AE127" s="80" t="str">
        <f t="shared" si="5"/>
        <v/>
      </c>
      <c r="AF127" s="81"/>
      <c r="AG127" s="77"/>
      <c r="AH127" s="81"/>
      <c r="AI127" s="77"/>
      <c r="AJ127" s="82" t="str">
        <f t="shared" si="6"/>
        <v/>
      </c>
      <c r="AK127" s="83" t="str">
        <f t="shared" si="7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4"/>
        <v/>
      </c>
      <c r="AE128" s="80" t="str">
        <f t="shared" si="5"/>
        <v/>
      </c>
      <c r="AF128" s="81"/>
      <c r="AG128" s="77"/>
      <c r="AH128" s="81"/>
      <c r="AI128" s="77"/>
      <c r="AJ128" s="82" t="str">
        <f t="shared" si="6"/>
        <v/>
      </c>
      <c r="AK128" s="83" t="str">
        <f t="shared" si="7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4"/>
        <v/>
      </c>
      <c r="AE129" s="80" t="str">
        <f t="shared" si="5"/>
        <v/>
      </c>
      <c r="AF129" s="81"/>
      <c r="AG129" s="77"/>
      <c r="AH129" s="81"/>
      <c r="AI129" s="77"/>
      <c r="AJ129" s="82" t="str">
        <f t="shared" si="6"/>
        <v/>
      </c>
      <c r="AK129" s="83" t="str">
        <f t="shared" si="7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4"/>
        <v/>
      </c>
      <c r="AE130" s="80" t="str">
        <f t="shared" si="5"/>
        <v/>
      </c>
      <c r="AF130" s="81"/>
      <c r="AG130" s="77"/>
      <c r="AH130" s="81"/>
      <c r="AI130" s="77"/>
      <c r="AJ130" s="82" t="str">
        <f t="shared" si="6"/>
        <v/>
      </c>
      <c r="AK130" s="83" t="str">
        <f t="shared" si="7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4"/>
        <v/>
      </c>
      <c r="AE131" s="80" t="str">
        <f t="shared" si="5"/>
        <v/>
      </c>
      <c r="AF131" s="81"/>
      <c r="AG131" s="77"/>
      <c r="AH131" s="81"/>
      <c r="AI131" s="77"/>
      <c r="AJ131" s="82" t="str">
        <f t="shared" si="6"/>
        <v/>
      </c>
      <c r="AK131" s="83" t="str">
        <f t="shared" si="7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8">IF(MIN(F132,J132,N132,R132,V132,Z132)&lt;&gt;0,MIN(F132,J132,N132,R132,V132,Z132),"")</f>
        <v/>
      </c>
      <c r="AE132" s="80" t="str">
        <f t="shared" ref="AE132:AE195" si="9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0">IF(AD132="","",IF(ISBLANK(AF132),"En cours",AD132+AF132))</f>
        <v/>
      </c>
      <c r="AK132" s="83" t="str">
        <f t="shared" ref="AK132:AK195" si="11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8"/>
        <v/>
      </c>
      <c r="AE133" s="80" t="str">
        <f t="shared" si="9"/>
        <v/>
      </c>
      <c r="AF133" s="81"/>
      <c r="AG133" s="77"/>
      <c r="AH133" s="81"/>
      <c r="AI133" s="77"/>
      <c r="AJ133" s="82" t="str">
        <f t="shared" si="10"/>
        <v/>
      </c>
      <c r="AK133" s="83" t="str">
        <f t="shared" si="11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8"/>
        <v/>
      </c>
      <c r="AE134" s="80" t="str">
        <f t="shared" si="9"/>
        <v/>
      </c>
      <c r="AF134" s="81"/>
      <c r="AG134" s="77"/>
      <c r="AH134" s="81"/>
      <c r="AI134" s="77"/>
      <c r="AJ134" s="82" t="str">
        <f t="shared" si="10"/>
        <v/>
      </c>
      <c r="AK134" s="83" t="str">
        <f t="shared" si="11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8"/>
        <v/>
      </c>
      <c r="AE135" s="80" t="str">
        <f t="shared" si="9"/>
        <v/>
      </c>
      <c r="AF135" s="81"/>
      <c r="AG135" s="77"/>
      <c r="AH135" s="81"/>
      <c r="AI135" s="77"/>
      <c r="AJ135" s="82" t="str">
        <f t="shared" si="10"/>
        <v/>
      </c>
      <c r="AK135" s="83" t="str">
        <f t="shared" si="11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8"/>
        <v/>
      </c>
      <c r="AE136" s="80" t="str">
        <f t="shared" si="9"/>
        <v/>
      </c>
      <c r="AF136" s="81"/>
      <c r="AG136" s="77"/>
      <c r="AH136" s="81"/>
      <c r="AI136" s="77"/>
      <c r="AJ136" s="82" t="str">
        <f t="shared" si="10"/>
        <v/>
      </c>
      <c r="AK136" s="83" t="str">
        <f t="shared" si="11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8"/>
        <v/>
      </c>
      <c r="AE137" s="80" t="str">
        <f t="shared" si="9"/>
        <v/>
      </c>
      <c r="AF137" s="81"/>
      <c r="AG137" s="77"/>
      <c r="AH137" s="81"/>
      <c r="AI137" s="77"/>
      <c r="AJ137" s="82" t="str">
        <f t="shared" si="10"/>
        <v/>
      </c>
      <c r="AK137" s="83" t="str">
        <f t="shared" si="11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8"/>
        <v/>
      </c>
      <c r="AE138" s="80" t="str">
        <f t="shared" si="9"/>
        <v/>
      </c>
      <c r="AF138" s="81"/>
      <c r="AG138" s="77"/>
      <c r="AH138" s="81"/>
      <c r="AI138" s="77"/>
      <c r="AJ138" s="82" t="str">
        <f t="shared" si="10"/>
        <v/>
      </c>
      <c r="AK138" s="83" t="str">
        <f t="shared" si="11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8"/>
        <v/>
      </c>
      <c r="AE139" s="80" t="str">
        <f t="shared" si="9"/>
        <v/>
      </c>
      <c r="AF139" s="81"/>
      <c r="AG139" s="77"/>
      <c r="AH139" s="81"/>
      <c r="AI139" s="77"/>
      <c r="AJ139" s="82" t="str">
        <f t="shared" si="10"/>
        <v/>
      </c>
      <c r="AK139" s="83" t="str">
        <f t="shared" si="11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8"/>
        <v/>
      </c>
      <c r="AE140" s="80" t="str">
        <f t="shared" si="9"/>
        <v/>
      </c>
      <c r="AF140" s="81"/>
      <c r="AG140" s="77"/>
      <c r="AH140" s="81"/>
      <c r="AI140" s="77"/>
      <c r="AJ140" s="82" t="str">
        <f t="shared" si="10"/>
        <v/>
      </c>
      <c r="AK140" s="83" t="str">
        <f t="shared" si="11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8"/>
        <v/>
      </c>
      <c r="AE141" s="80" t="str">
        <f t="shared" si="9"/>
        <v/>
      </c>
      <c r="AF141" s="81"/>
      <c r="AG141" s="77"/>
      <c r="AH141" s="81"/>
      <c r="AI141" s="77"/>
      <c r="AJ141" s="82" t="str">
        <f t="shared" si="10"/>
        <v/>
      </c>
      <c r="AK141" s="83" t="str">
        <f t="shared" si="11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8"/>
        <v/>
      </c>
      <c r="AE142" s="80" t="str">
        <f t="shared" si="9"/>
        <v/>
      </c>
      <c r="AF142" s="81"/>
      <c r="AG142" s="77"/>
      <c r="AH142" s="81"/>
      <c r="AI142" s="77"/>
      <c r="AJ142" s="82" t="str">
        <f t="shared" si="10"/>
        <v/>
      </c>
      <c r="AK142" s="83" t="str">
        <f t="shared" si="11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8"/>
        <v/>
      </c>
      <c r="AE143" s="80" t="str">
        <f t="shared" si="9"/>
        <v/>
      </c>
      <c r="AF143" s="81"/>
      <c r="AG143" s="77"/>
      <c r="AH143" s="81"/>
      <c r="AI143" s="77"/>
      <c r="AJ143" s="82" t="str">
        <f t="shared" si="10"/>
        <v/>
      </c>
      <c r="AK143" s="83" t="str">
        <f t="shared" si="11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8"/>
        <v/>
      </c>
      <c r="AE144" s="80" t="str">
        <f t="shared" si="9"/>
        <v/>
      </c>
      <c r="AF144" s="81"/>
      <c r="AG144" s="77"/>
      <c r="AH144" s="81"/>
      <c r="AI144" s="77"/>
      <c r="AJ144" s="82" t="str">
        <f t="shared" si="10"/>
        <v/>
      </c>
      <c r="AK144" s="83" t="str">
        <f t="shared" si="11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8"/>
        <v/>
      </c>
      <c r="AE145" s="80" t="str">
        <f t="shared" si="9"/>
        <v/>
      </c>
      <c r="AF145" s="81"/>
      <c r="AG145" s="77"/>
      <c r="AH145" s="81"/>
      <c r="AI145" s="77"/>
      <c r="AJ145" s="82" t="str">
        <f t="shared" si="10"/>
        <v/>
      </c>
      <c r="AK145" s="83" t="str">
        <f t="shared" si="11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8"/>
        <v/>
      </c>
      <c r="AE146" s="80" t="str">
        <f t="shared" si="9"/>
        <v/>
      </c>
      <c r="AF146" s="81"/>
      <c r="AG146" s="77"/>
      <c r="AH146" s="81"/>
      <c r="AI146" s="77"/>
      <c r="AJ146" s="82" t="str">
        <f t="shared" si="10"/>
        <v/>
      </c>
      <c r="AK146" s="83" t="str">
        <f t="shared" si="11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8"/>
        <v/>
      </c>
      <c r="AE147" s="80" t="str">
        <f t="shared" si="9"/>
        <v/>
      </c>
      <c r="AF147" s="81"/>
      <c r="AG147" s="77"/>
      <c r="AH147" s="81"/>
      <c r="AI147" s="77"/>
      <c r="AJ147" s="82" t="str">
        <f t="shared" si="10"/>
        <v/>
      </c>
      <c r="AK147" s="83" t="str">
        <f t="shared" si="11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8"/>
        <v/>
      </c>
      <c r="AE148" s="80" t="str">
        <f t="shared" si="9"/>
        <v/>
      </c>
      <c r="AF148" s="81"/>
      <c r="AG148" s="77"/>
      <c r="AH148" s="81"/>
      <c r="AI148" s="77"/>
      <c r="AJ148" s="82" t="str">
        <f t="shared" si="10"/>
        <v/>
      </c>
      <c r="AK148" s="83" t="str">
        <f t="shared" si="11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8"/>
        <v/>
      </c>
      <c r="AE149" s="80" t="str">
        <f t="shared" si="9"/>
        <v/>
      </c>
      <c r="AF149" s="81"/>
      <c r="AG149" s="77"/>
      <c r="AH149" s="81"/>
      <c r="AI149" s="77"/>
      <c r="AJ149" s="82" t="str">
        <f t="shared" si="10"/>
        <v/>
      </c>
      <c r="AK149" s="83" t="str">
        <f t="shared" si="11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8"/>
        <v/>
      </c>
      <c r="AE150" s="80" t="str">
        <f t="shared" si="9"/>
        <v/>
      </c>
      <c r="AF150" s="81"/>
      <c r="AG150" s="77"/>
      <c r="AH150" s="81"/>
      <c r="AI150" s="77"/>
      <c r="AJ150" s="82" t="str">
        <f t="shared" si="10"/>
        <v/>
      </c>
      <c r="AK150" s="83" t="str">
        <f t="shared" si="11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8"/>
        <v/>
      </c>
      <c r="AE151" s="80" t="str">
        <f t="shared" si="9"/>
        <v/>
      </c>
      <c r="AF151" s="81"/>
      <c r="AG151" s="77"/>
      <c r="AH151" s="81"/>
      <c r="AI151" s="77"/>
      <c r="AJ151" s="82" t="str">
        <f t="shared" si="10"/>
        <v/>
      </c>
      <c r="AK151" s="83" t="str">
        <f t="shared" si="11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8"/>
        <v/>
      </c>
      <c r="AE152" s="80" t="str">
        <f t="shared" si="9"/>
        <v/>
      </c>
      <c r="AF152" s="81"/>
      <c r="AG152" s="77"/>
      <c r="AH152" s="81"/>
      <c r="AI152" s="77"/>
      <c r="AJ152" s="82" t="str">
        <f t="shared" si="10"/>
        <v/>
      </c>
      <c r="AK152" s="83" t="str">
        <f t="shared" si="11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8"/>
        <v/>
      </c>
      <c r="AE153" s="80" t="str">
        <f t="shared" si="9"/>
        <v/>
      </c>
      <c r="AF153" s="81"/>
      <c r="AG153" s="77"/>
      <c r="AH153" s="81"/>
      <c r="AI153" s="77"/>
      <c r="AJ153" s="82" t="str">
        <f t="shared" si="10"/>
        <v/>
      </c>
      <c r="AK153" s="83" t="str">
        <f t="shared" si="11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8"/>
        <v/>
      </c>
      <c r="AE154" s="80" t="str">
        <f t="shared" si="9"/>
        <v/>
      </c>
      <c r="AF154" s="81"/>
      <c r="AG154" s="77"/>
      <c r="AH154" s="81"/>
      <c r="AI154" s="77"/>
      <c r="AJ154" s="82" t="str">
        <f t="shared" si="10"/>
        <v/>
      </c>
      <c r="AK154" s="83" t="str">
        <f t="shared" si="11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8"/>
        <v/>
      </c>
      <c r="AE155" s="80" t="str">
        <f t="shared" si="9"/>
        <v/>
      </c>
      <c r="AF155" s="81"/>
      <c r="AG155" s="77"/>
      <c r="AH155" s="81"/>
      <c r="AI155" s="77"/>
      <c r="AJ155" s="82" t="str">
        <f t="shared" si="10"/>
        <v/>
      </c>
      <c r="AK155" s="83" t="str">
        <f t="shared" si="11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8"/>
        <v/>
      </c>
      <c r="AE156" s="80" t="str">
        <f t="shared" si="9"/>
        <v/>
      </c>
      <c r="AF156" s="81"/>
      <c r="AG156" s="77"/>
      <c r="AH156" s="81"/>
      <c r="AI156" s="77"/>
      <c r="AJ156" s="82" t="str">
        <f t="shared" si="10"/>
        <v/>
      </c>
      <c r="AK156" s="83" t="str">
        <f t="shared" si="11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8"/>
        <v/>
      </c>
      <c r="AE157" s="80" t="str">
        <f t="shared" si="9"/>
        <v/>
      </c>
      <c r="AF157" s="81"/>
      <c r="AG157" s="77"/>
      <c r="AH157" s="81"/>
      <c r="AI157" s="77"/>
      <c r="AJ157" s="82" t="str">
        <f t="shared" si="10"/>
        <v/>
      </c>
      <c r="AK157" s="83" t="str">
        <f t="shared" si="11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8"/>
        <v/>
      </c>
      <c r="AE158" s="80" t="str">
        <f t="shared" si="9"/>
        <v/>
      </c>
      <c r="AF158" s="81"/>
      <c r="AG158" s="77"/>
      <c r="AH158" s="81"/>
      <c r="AI158" s="77"/>
      <c r="AJ158" s="82" t="str">
        <f t="shared" si="10"/>
        <v/>
      </c>
      <c r="AK158" s="83" t="str">
        <f t="shared" si="11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8"/>
        <v/>
      </c>
      <c r="AE159" s="80" t="str">
        <f t="shared" si="9"/>
        <v/>
      </c>
      <c r="AF159" s="81"/>
      <c r="AG159" s="77"/>
      <c r="AH159" s="81"/>
      <c r="AI159" s="77"/>
      <c r="AJ159" s="82" t="str">
        <f t="shared" si="10"/>
        <v/>
      </c>
      <c r="AK159" s="83" t="str">
        <f t="shared" si="11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8"/>
        <v/>
      </c>
      <c r="AE160" s="80" t="str">
        <f t="shared" si="9"/>
        <v/>
      </c>
      <c r="AF160" s="81"/>
      <c r="AG160" s="77"/>
      <c r="AH160" s="81"/>
      <c r="AI160" s="77"/>
      <c r="AJ160" s="82" t="str">
        <f t="shared" si="10"/>
        <v/>
      </c>
      <c r="AK160" s="83" t="str">
        <f t="shared" si="11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8"/>
        <v/>
      </c>
      <c r="AE161" s="80" t="str">
        <f t="shared" si="9"/>
        <v/>
      </c>
      <c r="AF161" s="81"/>
      <c r="AG161" s="77"/>
      <c r="AH161" s="81"/>
      <c r="AI161" s="77"/>
      <c r="AJ161" s="82" t="str">
        <f t="shared" si="10"/>
        <v/>
      </c>
      <c r="AK161" s="83" t="str">
        <f t="shared" si="11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8"/>
        <v/>
      </c>
      <c r="AE162" s="80" t="str">
        <f t="shared" si="9"/>
        <v/>
      </c>
      <c r="AF162" s="81"/>
      <c r="AG162" s="77"/>
      <c r="AH162" s="81"/>
      <c r="AI162" s="77"/>
      <c r="AJ162" s="82" t="str">
        <f t="shared" si="10"/>
        <v/>
      </c>
      <c r="AK162" s="83" t="str">
        <f t="shared" si="11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8"/>
        <v/>
      </c>
      <c r="AE163" s="80" t="str">
        <f t="shared" si="9"/>
        <v/>
      </c>
      <c r="AF163" s="81"/>
      <c r="AG163" s="77"/>
      <c r="AH163" s="81"/>
      <c r="AI163" s="77"/>
      <c r="AJ163" s="82" t="str">
        <f t="shared" si="10"/>
        <v/>
      </c>
      <c r="AK163" s="83" t="str">
        <f t="shared" si="11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8"/>
        <v/>
      </c>
      <c r="AE164" s="80" t="str">
        <f t="shared" si="9"/>
        <v/>
      </c>
      <c r="AF164" s="81"/>
      <c r="AG164" s="77"/>
      <c r="AH164" s="81"/>
      <c r="AI164" s="77"/>
      <c r="AJ164" s="82" t="str">
        <f t="shared" si="10"/>
        <v/>
      </c>
      <c r="AK164" s="83" t="str">
        <f t="shared" si="11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8"/>
        <v/>
      </c>
      <c r="AE165" s="80" t="str">
        <f t="shared" si="9"/>
        <v/>
      </c>
      <c r="AF165" s="81"/>
      <c r="AG165" s="77"/>
      <c r="AH165" s="81"/>
      <c r="AI165" s="77"/>
      <c r="AJ165" s="82" t="str">
        <f t="shared" si="10"/>
        <v/>
      </c>
      <c r="AK165" s="83" t="str">
        <f t="shared" si="11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8"/>
        <v/>
      </c>
      <c r="AE166" s="80" t="str">
        <f t="shared" si="9"/>
        <v/>
      </c>
      <c r="AF166" s="81"/>
      <c r="AG166" s="77"/>
      <c r="AH166" s="81"/>
      <c r="AI166" s="77"/>
      <c r="AJ166" s="82" t="str">
        <f t="shared" si="10"/>
        <v/>
      </c>
      <c r="AK166" s="83" t="str">
        <f t="shared" si="11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8"/>
        <v/>
      </c>
      <c r="AE167" s="80" t="str">
        <f t="shared" si="9"/>
        <v/>
      </c>
      <c r="AF167" s="81"/>
      <c r="AG167" s="77"/>
      <c r="AH167" s="81"/>
      <c r="AI167" s="77"/>
      <c r="AJ167" s="82" t="str">
        <f t="shared" si="10"/>
        <v/>
      </c>
      <c r="AK167" s="83" t="str">
        <f t="shared" si="11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8"/>
        <v/>
      </c>
      <c r="AE168" s="80" t="str">
        <f t="shared" si="9"/>
        <v/>
      </c>
      <c r="AF168" s="81"/>
      <c r="AG168" s="77"/>
      <c r="AH168" s="81"/>
      <c r="AI168" s="77"/>
      <c r="AJ168" s="82" t="str">
        <f t="shared" si="10"/>
        <v/>
      </c>
      <c r="AK168" s="83" t="str">
        <f t="shared" si="11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8"/>
        <v/>
      </c>
      <c r="AE169" s="80" t="str">
        <f t="shared" si="9"/>
        <v/>
      </c>
      <c r="AF169" s="81"/>
      <c r="AG169" s="77"/>
      <c r="AH169" s="81"/>
      <c r="AI169" s="77"/>
      <c r="AJ169" s="82" t="str">
        <f t="shared" si="10"/>
        <v/>
      </c>
      <c r="AK169" s="83" t="str">
        <f t="shared" si="11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8"/>
        <v/>
      </c>
      <c r="AE170" s="80" t="str">
        <f t="shared" si="9"/>
        <v/>
      </c>
      <c r="AF170" s="81"/>
      <c r="AG170" s="77"/>
      <c r="AH170" s="81"/>
      <c r="AI170" s="77"/>
      <c r="AJ170" s="82" t="str">
        <f t="shared" si="10"/>
        <v/>
      </c>
      <c r="AK170" s="83" t="str">
        <f t="shared" si="11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8"/>
        <v/>
      </c>
      <c r="AE171" s="80" t="str">
        <f t="shared" si="9"/>
        <v/>
      </c>
      <c r="AF171" s="81"/>
      <c r="AG171" s="77"/>
      <c r="AH171" s="81"/>
      <c r="AI171" s="77"/>
      <c r="AJ171" s="82" t="str">
        <f t="shared" si="10"/>
        <v/>
      </c>
      <c r="AK171" s="83" t="str">
        <f t="shared" si="11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8"/>
        <v/>
      </c>
      <c r="AE172" s="80" t="str">
        <f t="shared" si="9"/>
        <v/>
      </c>
      <c r="AF172" s="81"/>
      <c r="AG172" s="77"/>
      <c r="AH172" s="81"/>
      <c r="AI172" s="77"/>
      <c r="AJ172" s="82" t="str">
        <f t="shared" si="10"/>
        <v/>
      </c>
      <c r="AK172" s="83" t="str">
        <f t="shared" si="11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8"/>
        <v/>
      </c>
      <c r="AE173" s="80" t="str">
        <f t="shared" si="9"/>
        <v/>
      </c>
      <c r="AF173" s="81"/>
      <c r="AG173" s="77"/>
      <c r="AH173" s="81"/>
      <c r="AI173" s="77"/>
      <c r="AJ173" s="82" t="str">
        <f t="shared" si="10"/>
        <v/>
      </c>
      <c r="AK173" s="83" t="str">
        <f t="shared" si="11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8"/>
        <v/>
      </c>
      <c r="AE174" s="80" t="str">
        <f t="shared" si="9"/>
        <v/>
      </c>
      <c r="AF174" s="81"/>
      <c r="AG174" s="77"/>
      <c r="AH174" s="81"/>
      <c r="AI174" s="77"/>
      <c r="AJ174" s="82" t="str">
        <f t="shared" si="10"/>
        <v/>
      </c>
      <c r="AK174" s="83" t="str">
        <f t="shared" si="11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8"/>
        <v/>
      </c>
      <c r="AE175" s="80" t="str">
        <f t="shared" si="9"/>
        <v/>
      </c>
      <c r="AF175" s="81"/>
      <c r="AG175" s="77"/>
      <c r="AH175" s="81"/>
      <c r="AI175" s="77"/>
      <c r="AJ175" s="82" t="str">
        <f t="shared" si="10"/>
        <v/>
      </c>
      <c r="AK175" s="83" t="str">
        <f t="shared" si="11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8"/>
        <v/>
      </c>
      <c r="AE176" s="80" t="str">
        <f t="shared" si="9"/>
        <v/>
      </c>
      <c r="AF176" s="81"/>
      <c r="AG176" s="77"/>
      <c r="AH176" s="81"/>
      <c r="AI176" s="77"/>
      <c r="AJ176" s="82" t="str">
        <f t="shared" si="10"/>
        <v/>
      </c>
      <c r="AK176" s="83" t="str">
        <f t="shared" si="11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8"/>
        <v/>
      </c>
      <c r="AE177" s="80" t="str">
        <f t="shared" si="9"/>
        <v/>
      </c>
      <c r="AF177" s="81"/>
      <c r="AG177" s="77"/>
      <c r="AH177" s="81"/>
      <c r="AI177" s="77"/>
      <c r="AJ177" s="82" t="str">
        <f t="shared" si="10"/>
        <v/>
      </c>
      <c r="AK177" s="83" t="str">
        <f t="shared" si="11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8"/>
        <v/>
      </c>
      <c r="AE178" s="80" t="str">
        <f t="shared" si="9"/>
        <v/>
      </c>
      <c r="AF178" s="81"/>
      <c r="AG178" s="77"/>
      <c r="AH178" s="81"/>
      <c r="AI178" s="77"/>
      <c r="AJ178" s="82" t="str">
        <f t="shared" si="10"/>
        <v/>
      </c>
      <c r="AK178" s="83" t="str">
        <f t="shared" si="11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8"/>
        <v/>
      </c>
      <c r="AE179" s="80" t="str">
        <f t="shared" si="9"/>
        <v/>
      </c>
      <c r="AF179" s="81"/>
      <c r="AG179" s="77"/>
      <c r="AH179" s="81"/>
      <c r="AI179" s="77"/>
      <c r="AJ179" s="82" t="str">
        <f t="shared" si="10"/>
        <v/>
      </c>
      <c r="AK179" s="83" t="str">
        <f t="shared" si="11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8"/>
        <v/>
      </c>
      <c r="AE180" s="80" t="str">
        <f t="shared" si="9"/>
        <v/>
      </c>
      <c r="AF180" s="81"/>
      <c r="AG180" s="77"/>
      <c r="AH180" s="81"/>
      <c r="AI180" s="77"/>
      <c r="AJ180" s="82" t="str">
        <f t="shared" si="10"/>
        <v/>
      </c>
      <c r="AK180" s="83" t="str">
        <f t="shared" si="11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8"/>
        <v/>
      </c>
      <c r="AE181" s="80" t="str">
        <f t="shared" si="9"/>
        <v/>
      </c>
      <c r="AF181" s="81"/>
      <c r="AG181" s="77"/>
      <c r="AH181" s="81"/>
      <c r="AI181" s="77"/>
      <c r="AJ181" s="82" t="str">
        <f t="shared" si="10"/>
        <v/>
      </c>
      <c r="AK181" s="83" t="str">
        <f t="shared" si="11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8"/>
        <v/>
      </c>
      <c r="AE182" s="80" t="str">
        <f t="shared" si="9"/>
        <v/>
      </c>
      <c r="AF182" s="81"/>
      <c r="AG182" s="77"/>
      <c r="AH182" s="81"/>
      <c r="AI182" s="77"/>
      <c r="AJ182" s="82" t="str">
        <f t="shared" si="10"/>
        <v/>
      </c>
      <c r="AK182" s="83" t="str">
        <f t="shared" si="11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8"/>
        <v/>
      </c>
      <c r="AE183" s="80" t="str">
        <f t="shared" si="9"/>
        <v/>
      </c>
      <c r="AF183" s="81"/>
      <c r="AG183" s="77"/>
      <c r="AH183" s="81"/>
      <c r="AI183" s="77"/>
      <c r="AJ183" s="82" t="str">
        <f t="shared" si="10"/>
        <v/>
      </c>
      <c r="AK183" s="83" t="str">
        <f t="shared" si="11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8"/>
        <v/>
      </c>
      <c r="AE184" s="80" t="str">
        <f t="shared" si="9"/>
        <v/>
      </c>
      <c r="AF184" s="81"/>
      <c r="AG184" s="77"/>
      <c r="AH184" s="81"/>
      <c r="AI184" s="77"/>
      <c r="AJ184" s="82" t="str">
        <f t="shared" si="10"/>
        <v/>
      </c>
      <c r="AK184" s="83" t="str">
        <f t="shared" si="11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8"/>
        <v/>
      </c>
      <c r="AE185" s="80" t="str">
        <f t="shared" si="9"/>
        <v/>
      </c>
      <c r="AF185" s="81"/>
      <c r="AG185" s="77"/>
      <c r="AH185" s="81"/>
      <c r="AI185" s="77"/>
      <c r="AJ185" s="82" t="str">
        <f t="shared" si="10"/>
        <v/>
      </c>
      <c r="AK185" s="83" t="str">
        <f t="shared" si="11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8"/>
        <v/>
      </c>
      <c r="AE186" s="80" t="str">
        <f t="shared" si="9"/>
        <v/>
      </c>
      <c r="AF186" s="81"/>
      <c r="AG186" s="77"/>
      <c r="AH186" s="81"/>
      <c r="AI186" s="77"/>
      <c r="AJ186" s="82" t="str">
        <f t="shared" si="10"/>
        <v/>
      </c>
      <c r="AK186" s="83" t="str">
        <f t="shared" si="11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8"/>
        <v/>
      </c>
      <c r="AE187" s="80" t="str">
        <f t="shared" si="9"/>
        <v/>
      </c>
      <c r="AF187" s="81"/>
      <c r="AG187" s="77"/>
      <c r="AH187" s="81"/>
      <c r="AI187" s="77"/>
      <c r="AJ187" s="82" t="str">
        <f t="shared" si="10"/>
        <v/>
      </c>
      <c r="AK187" s="83" t="str">
        <f t="shared" si="11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8"/>
        <v/>
      </c>
      <c r="AE188" s="80" t="str">
        <f t="shared" si="9"/>
        <v/>
      </c>
      <c r="AF188" s="81"/>
      <c r="AG188" s="77"/>
      <c r="AH188" s="81"/>
      <c r="AI188" s="77"/>
      <c r="AJ188" s="82" t="str">
        <f t="shared" si="10"/>
        <v/>
      </c>
      <c r="AK188" s="83" t="str">
        <f t="shared" si="11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8"/>
        <v/>
      </c>
      <c r="AE189" s="80" t="str">
        <f t="shared" si="9"/>
        <v/>
      </c>
      <c r="AF189" s="81"/>
      <c r="AG189" s="77"/>
      <c r="AH189" s="81"/>
      <c r="AI189" s="77"/>
      <c r="AJ189" s="82" t="str">
        <f t="shared" si="10"/>
        <v/>
      </c>
      <c r="AK189" s="83" t="str">
        <f t="shared" si="11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8"/>
        <v/>
      </c>
      <c r="AE190" s="80" t="str">
        <f t="shared" si="9"/>
        <v/>
      </c>
      <c r="AF190" s="81"/>
      <c r="AG190" s="77"/>
      <c r="AH190" s="81"/>
      <c r="AI190" s="77"/>
      <c r="AJ190" s="82" t="str">
        <f t="shared" si="10"/>
        <v/>
      </c>
      <c r="AK190" s="83" t="str">
        <f t="shared" si="11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8"/>
        <v/>
      </c>
      <c r="AE191" s="80" t="str">
        <f t="shared" si="9"/>
        <v/>
      </c>
      <c r="AF191" s="81"/>
      <c r="AG191" s="77"/>
      <c r="AH191" s="81"/>
      <c r="AI191" s="77"/>
      <c r="AJ191" s="82" t="str">
        <f t="shared" si="10"/>
        <v/>
      </c>
      <c r="AK191" s="83" t="str">
        <f t="shared" si="11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8"/>
        <v/>
      </c>
      <c r="AE192" s="80" t="str">
        <f t="shared" si="9"/>
        <v/>
      </c>
      <c r="AF192" s="81"/>
      <c r="AG192" s="77"/>
      <c r="AH192" s="81"/>
      <c r="AI192" s="77"/>
      <c r="AJ192" s="82" t="str">
        <f t="shared" si="10"/>
        <v/>
      </c>
      <c r="AK192" s="83" t="str">
        <f t="shared" si="11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8"/>
        <v/>
      </c>
      <c r="AE193" s="80" t="str">
        <f t="shared" si="9"/>
        <v/>
      </c>
      <c r="AF193" s="81"/>
      <c r="AG193" s="77"/>
      <c r="AH193" s="81"/>
      <c r="AI193" s="77"/>
      <c r="AJ193" s="82" t="str">
        <f t="shared" si="10"/>
        <v/>
      </c>
      <c r="AK193" s="83" t="str">
        <f t="shared" si="11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8"/>
        <v/>
      </c>
      <c r="AE194" s="80" t="str">
        <f t="shared" si="9"/>
        <v/>
      </c>
      <c r="AF194" s="81"/>
      <c r="AG194" s="77"/>
      <c r="AH194" s="81"/>
      <c r="AI194" s="77"/>
      <c r="AJ194" s="82" t="str">
        <f t="shared" si="10"/>
        <v/>
      </c>
      <c r="AK194" s="83" t="str">
        <f t="shared" si="11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8"/>
        <v/>
      </c>
      <c r="AE195" s="80" t="str">
        <f t="shared" si="9"/>
        <v/>
      </c>
      <c r="AF195" s="81"/>
      <c r="AG195" s="77"/>
      <c r="AH195" s="81"/>
      <c r="AI195" s="77"/>
      <c r="AJ195" s="82" t="str">
        <f t="shared" si="10"/>
        <v/>
      </c>
      <c r="AK195" s="83" t="str">
        <f t="shared" si="11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2">IF(MIN(F196,J196,N196,R196,V196,Z196)&lt;&gt;0,MIN(F196,J196,N196,R196,V196,Z196),"")</f>
        <v/>
      </c>
      <c r="AE196" s="80" t="str">
        <f t="shared" ref="AE196:AE259" si="13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4">IF(AD196="","",IF(ISBLANK(AF196),"En cours",AD196+AF196))</f>
        <v/>
      </c>
      <c r="AK196" s="83" t="str">
        <f t="shared" ref="AK196:AK259" si="15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2"/>
        <v/>
      </c>
      <c r="AE197" s="80" t="str">
        <f t="shared" si="13"/>
        <v/>
      </c>
      <c r="AF197" s="81"/>
      <c r="AG197" s="77"/>
      <c r="AH197" s="81"/>
      <c r="AI197" s="77"/>
      <c r="AJ197" s="82" t="str">
        <f t="shared" si="14"/>
        <v/>
      </c>
      <c r="AK197" s="83" t="str">
        <f t="shared" si="15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2"/>
        <v/>
      </c>
      <c r="AE198" s="80" t="str">
        <f t="shared" si="13"/>
        <v/>
      </c>
      <c r="AF198" s="81"/>
      <c r="AG198" s="77"/>
      <c r="AH198" s="81"/>
      <c r="AI198" s="77"/>
      <c r="AJ198" s="82" t="str">
        <f t="shared" si="14"/>
        <v/>
      </c>
      <c r="AK198" s="83" t="str">
        <f t="shared" si="15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2"/>
        <v/>
      </c>
      <c r="AE199" s="80" t="str">
        <f t="shared" si="13"/>
        <v/>
      </c>
      <c r="AF199" s="81"/>
      <c r="AG199" s="77"/>
      <c r="AH199" s="81"/>
      <c r="AI199" s="77"/>
      <c r="AJ199" s="82" t="str">
        <f t="shared" si="14"/>
        <v/>
      </c>
      <c r="AK199" s="83" t="str">
        <f t="shared" si="15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2"/>
        <v/>
      </c>
      <c r="AE200" s="80" t="str">
        <f t="shared" si="13"/>
        <v/>
      </c>
      <c r="AF200" s="81"/>
      <c r="AG200" s="77"/>
      <c r="AH200" s="81"/>
      <c r="AI200" s="77"/>
      <c r="AJ200" s="82" t="str">
        <f t="shared" si="14"/>
        <v/>
      </c>
      <c r="AK200" s="83" t="str">
        <f t="shared" si="15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2"/>
        <v/>
      </c>
      <c r="AE201" s="80" t="str">
        <f t="shared" si="13"/>
        <v/>
      </c>
      <c r="AF201" s="81"/>
      <c r="AG201" s="77"/>
      <c r="AH201" s="81"/>
      <c r="AI201" s="77"/>
      <c r="AJ201" s="82" t="str">
        <f t="shared" si="14"/>
        <v/>
      </c>
      <c r="AK201" s="83" t="str">
        <f t="shared" si="15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2"/>
        <v/>
      </c>
      <c r="AE202" s="80" t="str">
        <f t="shared" si="13"/>
        <v/>
      </c>
      <c r="AF202" s="81"/>
      <c r="AG202" s="77"/>
      <c r="AH202" s="81"/>
      <c r="AI202" s="77"/>
      <c r="AJ202" s="82" t="str">
        <f t="shared" si="14"/>
        <v/>
      </c>
      <c r="AK202" s="83" t="str">
        <f t="shared" si="15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2"/>
        <v/>
      </c>
      <c r="AE203" s="80" t="str">
        <f t="shared" si="13"/>
        <v/>
      </c>
      <c r="AF203" s="81"/>
      <c r="AG203" s="77"/>
      <c r="AH203" s="81"/>
      <c r="AI203" s="77"/>
      <c r="AJ203" s="82" t="str">
        <f t="shared" si="14"/>
        <v/>
      </c>
      <c r="AK203" s="83" t="str">
        <f t="shared" si="15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2"/>
        <v/>
      </c>
      <c r="AE204" s="80" t="str">
        <f t="shared" si="13"/>
        <v/>
      </c>
      <c r="AF204" s="81"/>
      <c r="AG204" s="77"/>
      <c r="AH204" s="81"/>
      <c r="AI204" s="77"/>
      <c r="AJ204" s="82" t="str">
        <f t="shared" si="14"/>
        <v/>
      </c>
      <c r="AK204" s="83" t="str">
        <f t="shared" si="15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2"/>
        <v/>
      </c>
      <c r="AE205" s="80" t="str">
        <f t="shared" si="13"/>
        <v/>
      </c>
      <c r="AF205" s="81"/>
      <c r="AG205" s="77"/>
      <c r="AH205" s="81"/>
      <c r="AI205" s="77"/>
      <c r="AJ205" s="82" t="str">
        <f t="shared" si="14"/>
        <v/>
      </c>
      <c r="AK205" s="83" t="str">
        <f t="shared" si="15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2"/>
        <v/>
      </c>
      <c r="AE206" s="80" t="str">
        <f t="shared" si="13"/>
        <v/>
      </c>
      <c r="AF206" s="81"/>
      <c r="AG206" s="77"/>
      <c r="AH206" s="81"/>
      <c r="AI206" s="77"/>
      <c r="AJ206" s="82" t="str">
        <f t="shared" si="14"/>
        <v/>
      </c>
      <c r="AK206" s="83" t="str">
        <f t="shared" si="15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2"/>
        <v/>
      </c>
      <c r="AE207" s="80" t="str">
        <f t="shared" si="13"/>
        <v/>
      </c>
      <c r="AF207" s="81"/>
      <c r="AG207" s="77"/>
      <c r="AH207" s="81"/>
      <c r="AI207" s="77"/>
      <c r="AJ207" s="82" t="str">
        <f t="shared" si="14"/>
        <v/>
      </c>
      <c r="AK207" s="83" t="str">
        <f t="shared" si="15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2"/>
        <v/>
      </c>
      <c r="AE208" s="80" t="str">
        <f t="shared" si="13"/>
        <v/>
      </c>
      <c r="AF208" s="81"/>
      <c r="AG208" s="77"/>
      <c r="AH208" s="81"/>
      <c r="AI208" s="77"/>
      <c r="AJ208" s="82" t="str">
        <f t="shared" si="14"/>
        <v/>
      </c>
      <c r="AK208" s="83" t="str">
        <f t="shared" si="15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2"/>
        <v/>
      </c>
      <c r="AE209" s="80" t="str">
        <f t="shared" si="13"/>
        <v/>
      </c>
      <c r="AF209" s="81"/>
      <c r="AG209" s="77"/>
      <c r="AH209" s="81"/>
      <c r="AI209" s="77"/>
      <c r="AJ209" s="82" t="str">
        <f t="shared" si="14"/>
        <v/>
      </c>
      <c r="AK209" s="83" t="str">
        <f t="shared" si="15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2"/>
        <v/>
      </c>
      <c r="AE210" s="80" t="str">
        <f t="shared" si="13"/>
        <v/>
      </c>
      <c r="AF210" s="81"/>
      <c r="AG210" s="77"/>
      <c r="AH210" s="81"/>
      <c r="AI210" s="77"/>
      <c r="AJ210" s="82" t="str">
        <f t="shared" si="14"/>
        <v/>
      </c>
      <c r="AK210" s="83" t="str">
        <f t="shared" si="15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2"/>
        <v/>
      </c>
      <c r="AE211" s="80" t="str">
        <f t="shared" si="13"/>
        <v/>
      </c>
      <c r="AF211" s="81"/>
      <c r="AG211" s="77"/>
      <c r="AH211" s="81"/>
      <c r="AI211" s="77"/>
      <c r="AJ211" s="82" t="str">
        <f t="shared" si="14"/>
        <v/>
      </c>
      <c r="AK211" s="83" t="str">
        <f t="shared" si="15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2"/>
        <v/>
      </c>
      <c r="AE212" s="80" t="str">
        <f t="shared" si="13"/>
        <v/>
      </c>
      <c r="AF212" s="81"/>
      <c r="AG212" s="77"/>
      <c r="AH212" s="81"/>
      <c r="AI212" s="77"/>
      <c r="AJ212" s="82" t="str">
        <f t="shared" si="14"/>
        <v/>
      </c>
      <c r="AK212" s="83" t="str">
        <f t="shared" si="15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2"/>
        <v/>
      </c>
      <c r="AE213" s="80" t="str">
        <f t="shared" si="13"/>
        <v/>
      </c>
      <c r="AF213" s="81"/>
      <c r="AG213" s="77"/>
      <c r="AH213" s="81"/>
      <c r="AI213" s="77"/>
      <c r="AJ213" s="82" t="str">
        <f t="shared" si="14"/>
        <v/>
      </c>
      <c r="AK213" s="83" t="str">
        <f t="shared" si="15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2"/>
        <v/>
      </c>
      <c r="AE214" s="80" t="str">
        <f t="shared" si="13"/>
        <v/>
      </c>
      <c r="AF214" s="81"/>
      <c r="AG214" s="77"/>
      <c r="AH214" s="81"/>
      <c r="AI214" s="77"/>
      <c r="AJ214" s="82" t="str">
        <f t="shared" si="14"/>
        <v/>
      </c>
      <c r="AK214" s="83" t="str">
        <f t="shared" si="15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2"/>
        <v/>
      </c>
      <c r="AE215" s="80" t="str">
        <f t="shared" si="13"/>
        <v/>
      </c>
      <c r="AF215" s="81"/>
      <c r="AG215" s="77"/>
      <c r="AH215" s="81"/>
      <c r="AI215" s="77"/>
      <c r="AJ215" s="82" t="str">
        <f t="shared" si="14"/>
        <v/>
      </c>
      <c r="AK215" s="83" t="str">
        <f t="shared" si="15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2"/>
        <v/>
      </c>
      <c r="AE216" s="80" t="str">
        <f t="shared" si="13"/>
        <v/>
      </c>
      <c r="AF216" s="81"/>
      <c r="AG216" s="77"/>
      <c r="AH216" s="81"/>
      <c r="AI216" s="77"/>
      <c r="AJ216" s="82" t="str">
        <f t="shared" si="14"/>
        <v/>
      </c>
      <c r="AK216" s="83" t="str">
        <f t="shared" si="15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2"/>
        <v/>
      </c>
      <c r="AE217" s="80" t="str">
        <f t="shared" si="13"/>
        <v/>
      </c>
      <c r="AF217" s="81"/>
      <c r="AG217" s="77"/>
      <c r="AH217" s="81"/>
      <c r="AI217" s="77"/>
      <c r="AJ217" s="82" t="str">
        <f t="shared" si="14"/>
        <v/>
      </c>
      <c r="AK217" s="83" t="str">
        <f t="shared" si="15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2"/>
        <v/>
      </c>
      <c r="AE218" s="80" t="str">
        <f t="shared" si="13"/>
        <v/>
      </c>
      <c r="AF218" s="81"/>
      <c r="AG218" s="77"/>
      <c r="AH218" s="81"/>
      <c r="AI218" s="77"/>
      <c r="AJ218" s="82" t="str">
        <f t="shared" si="14"/>
        <v/>
      </c>
      <c r="AK218" s="83" t="str">
        <f t="shared" si="15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2"/>
        <v/>
      </c>
      <c r="AE219" s="80" t="str">
        <f t="shared" si="13"/>
        <v/>
      </c>
      <c r="AF219" s="81"/>
      <c r="AG219" s="77"/>
      <c r="AH219" s="81"/>
      <c r="AI219" s="77"/>
      <c r="AJ219" s="82" t="str">
        <f t="shared" si="14"/>
        <v/>
      </c>
      <c r="AK219" s="83" t="str">
        <f t="shared" si="15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2"/>
        <v/>
      </c>
      <c r="AE220" s="80" t="str">
        <f t="shared" si="13"/>
        <v/>
      </c>
      <c r="AF220" s="81"/>
      <c r="AG220" s="77"/>
      <c r="AH220" s="81"/>
      <c r="AI220" s="77"/>
      <c r="AJ220" s="82" t="str">
        <f t="shared" si="14"/>
        <v/>
      </c>
      <c r="AK220" s="83" t="str">
        <f t="shared" si="15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2"/>
        <v/>
      </c>
      <c r="AE221" s="80" t="str">
        <f t="shared" si="13"/>
        <v/>
      </c>
      <c r="AF221" s="81"/>
      <c r="AG221" s="77"/>
      <c r="AH221" s="81"/>
      <c r="AI221" s="77"/>
      <c r="AJ221" s="82" t="str">
        <f t="shared" si="14"/>
        <v/>
      </c>
      <c r="AK221" s="83" t="str">
        <f t="shared" si="15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2"/>
        <v/>
      </c>
      <c r="AE222" s="80" t="str">
        <f t="shared" si="13"/>
        <v/>
      </c>
      <c r="AF222" s="81"/>
      <c r="AG222" s="77"/>
      <c r="AH222" s="81"/>
      <c r="AI222" s="77"/>
      <c r="AJ222" s="82" t="str">
        <f t="shared" si="14"/>
        <v/>
      </c>
      <c r="AK222" s="83" t="str">
        <f t="shared" si="15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2"/>
        <v/>
      </c>
      <c r="AE223" s="80" t="str">
        <f t="shared" si="13"/>
        <v/>
      </c>
      <c r="AF223" s="81"/>
      <c r="AG223" s="77"/>
      <c r="AH223" s="81"/>
      <c r="AI223" s="77"/>
      <c r="AJ223" s="82" t="str">
        <f t="shared" si="14"/>
        <v/>
      </c>
      <c r="AK223" s="83" t="str">
        <f t="shared" si="15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2"/>
        <v/>
      </c>
      <c r="AE224" s="80" t="str">
        <f t="shared" si="13"/>
        <v/>
      </c>
      <c r="AF224" s="81"/>
      <c r="AG224" s="77"/>
      <c r="AH224" s="81"/>
      <c r="AI224" s="77"/>
      <c r="AJ224" s="82" t="str">
        <f t="shared" si="14"/>
        <v/>
      </c>
      <c r="AK224" s="83" t="str">
        <f t="shared" si="15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2"/>
        <v/>
      </c>
      <c r="AE225" s="80" t="str">
        <f t="shared" si="13"/>
        <v/>
      </c>
      <c r="AF225" s="81"/>
      <c r="AG225" s="77"/>
      <c r="AH225" s="81"/>
      <c r="AI225" s="77"/>
      <c r="AJ225" s="82" t="str">
        <f t="shared" si="14"/>
        <v/>
      </c>
      <c r="AK225" s="83" t="str">
        <f t="shared" si="15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2"/>
        <v/>
      </c>
      <c r="AE226" s="80" t="str">
        <f t="shared" si="13"/>
        <v/>
      </c>
      <c r="AF226" s="81"/>
      <c r="AG226" s="77"/>
      <c r="AH226" s="81"/>
      <c r="AI226" s="77"/>
      <c r="AJ226" s="82" t="str">
        <f t="shared" si="14"/>
        <v/>
      </c>
      <c r="AK226" s="83" t="str">
        <f t="shared" si="15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2"/>
        <v/>
      </c>
      <c r="AE227" s="80" t="str">
        <f t="shared" si="13"/>
        <v/>
      </c>
      <c r="AF227" s="81"/>
      <c r="AG227" s="77"/>
      <c r="AH227" s="81"/>
      <c r="AI227" s="77"/>
      <c r="AJ227" s="82" t="str">
        <f t="shared" si="14"/>
        <v/>
      </c>
      <c r="AK227" s="83" t="str">
        <f t="shared" si="15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2"/>
        <v/>
      </c>
      <c r="AE228" s="80" t="str">
        <f t="shared" si="13"/>
        <v/>
      </c>
      <c r="AF228" s="81"/>
      <c r="AG228" s="77"/>
      <c r="AH228" s="81"/>
      <c r="AI228" s="77"/>
      <c r="AJ228" s="82" t="str">
        <f t="shared" si="14"/>
        <v/>
      </c>
      <c r="AK228" s="83" t="str">
        <f t="shared" si="15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2"/>
        <v/>
      </c>
      <c r="AE229" s="80" t="str">
        <f t="shared" si="13"/>
        <v/>
      </c>
      <c r="AF229" s="81"/>
      <c r="AG229" s="77"/>
      <c r="AH229" s="81"/>
      <c r="AI229" s="77"/>
      <c r="AJ229" s="82" t="str">
        <f t="shared" si="14"/>
        <v/>
      </c>
      <c r="AK229" s="83" t="str">
        <f t="shared" si="15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2"/>
        <v/>
      </c>
      <c r="AE230" s="80" t="str">
        <f t="shared" si="13"/>
        <v/>
      </c>
      <c r="AF230" s="81"/>
      <c r="AG230" s="77"/>
      <c r="AH230" s="81"/>
      <c r="AI230" s="77"/>
      <c r="AJ230" s="82" t="str">
        <f t="shared" si="14"/>
        <v/>
      </c>
      <c r="AK230" s="83" t="str">
        <f t="shared" si="15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2"/>
        <v/>
      </c>
      <c r="AE231" s="80" t="str">
        <f t="shared" si="13"/>
        <v/>
      </c>
      <c r="AF231" s="81"/>
      <c r="AG231" s="77"/>
      <c r="AH231" s="81"/>
      <c r="AI231" s="77"/>
      <c r="AJ231" s="82" t="str">
        <f t="shared" si="14"/>
        <v/>
      </c>
      <c r="AK231" s="83" t="str">
        <f t="shared" si="15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2"/>
        <v/>
      </c>
      <c r="AE232" s="80" t="str">
        <f t="shared" si="13"/>
        <v/>
      </c>
      <c r="AF232" s="81"/>
      <c r="AG232" s="77"/>
      <c r="AH232" s="81"/>
      <c r="AI232" s="77"/>
      <c r="AJ232" s="82" t="str">
        <f t="shared" si="14"/>
        <v/>
      </c>
      <c r="AK232" s="83" t="str">
        <f t="shared" si="15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2"/>
        <v/>
      </c>
      <c r="AE233" s="80" t="str">
        <f t="shared" si="13"/>
        <v/>
      </c>
      <c r="AF233" s="81"/>
      <c r="AG233" s="77"/>
      <c r="AH233" s="81"/>
      <c r="AI233" s="77"/>
      <c r="AJ233" s="82" t="str">
        <f t="shared" si="14"/>
        <v/>
      </c>
      <c r="AK233" s="83" t="str">
        <f t="shared" si="15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2"/>
        <v/>
      </c>
      <c r="AE234" s="80" t="str">
        <f t="shared" si="13"/>
        <v/>
      </c>
      <c r="AF234" s="81"/>
      <c r="AG234" s="77"/>
      <c r="AH234" s="81"/>
      <c r="AI234" s="77"/>
      <c r="AJ234" s="82" t="str">
        <f t="shared" si="14"/>
        <v/>
      </c>
      <c r="AK234" s="83" t="str">
        <f t="shared" si="15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2"/>
        <v/>
      </c>
      <c r="AE235" s="80" t="str">
        <f t="shared" si="13"/>
        <v/>
      </c>
      <c r="AF235" s="81"/>
      <c r="AG235" s="77"/>
      <c r="AH235" s="81"/>
      <c r="AI235" s="77"/>
      <c r="AJ235" s="82" t="str">
        <f t="shared" si="14"/>
        <v/>
      </c>
      <c r="AK235" s="83" t="str">
        <f t="shared" si="15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2"/>
        <v/>
      </c>
      <c r="AE236" s="80" t="str">
        <f t="shared" si="13"/>
        <v/>
      </c>
      <c r="AF236" s="81"/>
      <c r="AG236" s="77"/>
      <c r="AH236" s="81"/>
      <c r="AI236" s="77"/>
      <c r="AJ236" s="82" t="str">
        <f t="shared" si="14"/>
        <v/>
      </c>
      <c r="AK236" s="83" t="str">
        <f t="shared" si="15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2"/>
        <v/>
      </c>
      <c r="AE237" s="80" t="str">
        <f t="shared" si="13"/>
        <v/>
      </c>
      <c r="AF237" s="81"/>
      <c r="AG237" s="77"/>
      <c r="AH237" s="81"/>
      <c r="AI237" s="77"/>
      <c r="AJ237" s="82" t="str">
        <f t="shared" si="14"/>
        <v/>
      </c>
      <c r="AK237" s="83" t="str">
        <f t="shared" si="15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2"/>
        <v/>
      </c>
      <c r="AE238" s="80" t="str">
        <f t="shared" si="13"/>
        <v/>
      </c>
      <c r="AF238" s="81"/>
      <c r="AG238" s="77"/>
      <c r="AH238" s="81"/>
      <c r="AI238" s="77"/>
      <c r="AJ238" s="82" t="str">
        <f t="shared" si="14"/>
        <v/>
      </c>
      <c r="AK238" s="83" t="str">
        <f t="shared" si="15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2"/>
        <v/>
      </c>
      <c r="AE239" s="80" t="str">
        <f t="shared" si="13"/>
        <v/>
      </c>
      <c r="AF239" s="81"/>
      <c r="AG239" s="77"/>
      <c r="AH239" s="81"/>
      <c r="AI239" s="77"/>
      <c r="AJ239" s="82" t="str">
        <f t="shared" si="14"/>
        <v/>
      </c>
      <c r="AK239" s="83" t="str">
        <f t="shared" si="15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2"/>
        <v/>
      </c>
      <c r="AE240" s="80" t="str">
        <f t="shared" si="13"/>
        <v/>
      </c>
      <c r="AF240" s="81"/>
      <c r="AG240" s="77"/>
      <c r="AH240" s="81"/>
      <c r="AI240" s="77"/>
      <c r="AJ240" s="82" t="str">
        <f t="shared" si="14"/>
        <v/>
      </c>
      <c r="AK240" s="83" t="str">
        <f t="shared" si="15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2"/>
        <v/>
      </c>
      <c r="AE241" s="80" t="str">
        <f t="shared" si="13"/>
        <v/>
      </c>
      <c r="AF241" s="81"/>
      <c r="AG241" s="77"/>
      <c r="AH241" s="81"/>
      <c r="AI241" s="77"/>
      <c r="AJ241" s="82" t="str">
        <f t="shared" si="14"/>
        <v/>
      </c>
      <c r="AK241" s="83" t="str">
        <f t="shared" si="15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2"/>
        <v/>
      </c>
      <c r="AE242" s="80" t="str">
        <f t="shared" si="13"/>
        <v/>
      </c>
      <c r="AF242" s="81"/>
      <c r="AG242" s="77"/>
      <c r="AH242" s="81"/>
      <c r="AI242" s="77"/>
      <c r="AJ242" s="82" t="str">
        <f t="shared" si="14"/>
        <v/>
      </c>
      <c r="AK242" s="83" t="str">
        <f t="shared" si="15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2"/>
        <v/>
      </c>
      <c r="AE243" s="80" t="str">
        <f t="shared" si="13"/>
        <v/>
      </c>
      <c r="AF243" s="81"/>
      <c r="AG243" s="77"/>
      <c r="AH243" s="81"/>
      <c r="AI243" s="77"/>
      <c r="AJ243" s="82" t="str">
        <f t="shared" si="14"/>
        <v/>
      </c>
      <c r="AK243" s="83" t="str">
        <f t="shared" si="15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2"/>
        <v/>
      </c>
      <c r="AE244" s="80" t="str">
        <f t="shared" si="13"/>
        <v/>
      </c>
      <c r="AF244" s="81"/>
      <c r="AG244" s="77"/>
      <c r="AH244" s="81"/>
      <c r="AI244" s="77"/>
      <c r="AJ244" s="82" t="str">
        <f t="shared" si="14"/>
        <v/>
      </c>
      <c r="AK244" s="83" t="str">
        <f t="shared" si="15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2"/>
        <v/>
      </c>
      <c r="AE245" s="80" t="str">
        <f t="shared" si="13"/>
        <v/>
      </c>
      <c r="AF245" s="81"/>
      <c r="AG245" s="77"/>
      <c r="AH245" s="81"/>
      <c r="AI245" s="77"/>
      <c r="AJ245" s="82" t="str">
        <f t="shared" si="14"/>
        <v/>
      </c>
      <c r="AK245" s="83" t="str">
        <f t="shared" si="15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2"/>
        <v/>
      </c>
      <c r="AE246" s="80" t="str">
        <f t="shared" si="13"/>
        <v/>
      </c>
      <c r="AF246" s="81"/>
      <c r="AG246" s="77"/>
      <c r="AH246" s="81"/>
      <c r="AI246" s="77"/>
      <c r="AJ246" s="82" t="str">
        <f t="shared" si="14"/>
        <v/>
      </c>
      <c r="AK246" s="83" t="str">
        <f t="shared" si="15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2"/>
        <v/>
      </c>
      <c r="AE247" s="80" t="str">
        <f t="shared" si="13"/>
        <v/>
      </c>
      <c r="AF247" s="81"/>
      <c r="AG247" s="77"/>
      <c r="AH247" s="81"/>
      <c r="AI247" s="77"/>
      <c r="AJ247" s="82" t="str">
        <f t="shared" si="14"/>
        <v/>
      </c>
      <c r="AK247" s="83" t="str">
        <f t="shared" si="15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2"/>
        <v/>
      </c>
      <c r="AE248" s="80" t="str">
        <f t="shared" si="13"/>
        <v/>
      </c>
      <c r="AF248" s="81"/>
      <c r="AG248" s="77"/>
      <c r="AH248" s="81"/>
      <c r="AI248" s="77"/>
      <c r="AJ248" s="82" t="str">
        <f t="shared" si="14"/>
        <v/>
      </c>
      <c r="AK248" s="83" t="str">
        <f t="shared" si="15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2"/>
        <v/>
      </c>
      <c r="AE249" s="80" t="str">
        <f t="shared" si="13"/>
        <v/>
      </c>
      <c r="AF249" s="81"/>
      <c r="AG249" s="77"/>
      <c r="AH249" s="81"/>
      <c r="AI249" s="77"/>
      <c r="AJ249" s="82" t="str">
        <f t="shared" si="14"/>
        <v/>
      </c>
      <c r="AK249" s="83" t="str">
        <f t="shared" si="15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2"/>
        <v/>
      </c>
      <c r="AE250" s="80" t="str">
        <f t="shared" si="13"/>
        <v/>
      </c>
      <c r="AF250" s="81"/>
      <c r="AG250" s="77"/>
      <c r="AH250" s="81"/>
      <c r="AI250" s="77"/>
      <c r="AJ250" s="82" t="str">
        <f t="shared" si="14"/>
        <v/>
      </c>
      <c r="AK250" s="83" t="str">
        <f t="shared" si="15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2"/>
        <v/>
      </c>
      <c r="AE251" s="80" t="str">
        <f t="shared" si="13"/>
        <v/>
      </c>
      <c r="AF251" s="81"/>
      <c r="AG251" s="77"/>
      <c r="AH251" s="81"/>
      <c r="AI251" s="77"/>
      <c r="AJ251" s="82" t="str">
        <f t="shared" si="14"/>
        <v/>
      </c>
      <c r="AK251" s="83" t="str">
        <f t="shared" si="15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2"/>
        <v/>
      </c>
      <c r="AE252" s="80" t="str">
        <f t="shared" si="13"/>
        <v/>
      </c>
      <c r="AF252" s="81"/>
      <c r="AG252" s="77"/>
      <c r="AH252" s="81"/>
      <c r="AI252" s="77"/>
      <c r="AJ252" s="82" t="str">
        <f t="shared" si="14"/>
        <v/>
      </c>
      <c r="AK252" s="83" t="str">
        <f t="shared" si="15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2"/>
        <v/>
      </c>
      <c r="AE253" s="80" t="str">
        <f t="shared" si="13"/>
        <v/>
      </c>
      <c r="AF253" s="81"/>
      <c r="AG253" s="77"/>
      <c r="AH253" s="81"/>
      <c r="AI253" s="77"/>
      <c r="AJ253" s="82" t="str">
        <f t="shared" si="14"/>
        <v/>
      </c>
      <c r="AK253" s="83" t="str">
        <f t="shared" si="15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2"/>
        <v/>
      </c>
      <c r="AE254" s="80" t="str">
        <f t="shared" si="13"/>
        <v/>
      </c>
      <c r="AF254" s="81"/>
      <c r="AG254" s="77"/>
      <c r="AH254" s="81"/>
      <c r="AI254" s="77"/>
      <c r="AJ254" s="82" t="str">
        <f t="shared" si="14"/>
        <v/>
      </c>
      <c r="AK254" s="83" t="str">
        <f t="shared" si="15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2"/>
        <v/>
      </c>
      <c r="AE255" s="80" t="str">
        <f t="shared" si="13"/>
        <v/>
      </c>
      <c r="AF255" s="81"/>
      <c r="AG255" s="77"/>
      <c r="AH255" s="81"/>
      <c r="AI255" s="77"/>
      <c r="AJ255" s="82" t="str">
        <f t="shared" si="14"/>
        <v/>
      </c>
      <c r="AK255" s="83" t="str">
        <f t="shared" si="15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2"/>
        <v/>
      </c>
      <c r="AE256" s="80" t="str">
        <f t="shared" si="13"/>
        <v/>
      </c>
      <c r="AF256" s="81"/>
      <c r="AG256" s="77"/>
      <c r="AH256" s="81"/>
      <c r="AI256" s="77"/>
      <c r="AJ256" s="82" t="str">
        <f t="shared" si="14"/>
        <v/>
      </c>
      <c r="AK256" s="83" t="str">
        <f t="shared" si="15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2"/>
        <v/>
      </c>
      <c r="AE257" s="80" t="str">
        <f t="shared" si="13"/>
        <v/>
      </c>
      <c r="AF257" s="81"/>
      <c r="AG257" s="77"/>
      <c r="AH257" s="81"/>
      <c r="AI257" s="77"/>
      <c r="AJ257" s="82" t="str">
        <f t="shared" si="14"/>
        <v/>
      </c>
      <c r="AK257" s="83" t="str">
        <f t="shared" si="15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2"/>
        <v/>
      </c>
      <c r="AE258" s="80" t="str">
        <f t="shared" si="13"/>
        <v/>
      </c>
      <c r="AF258" s="81"/>
      <c r="AG258" s="77"/>
      <c r="AH258" s="81"/>
      <c r="AI258" s="77"/>
      <c r="AJ258" s="82" t="str">
        <f t="shared" si="14"/>
        <v/>
      </c>
      <c r="AK258" s="83" t="str">
        <f t="shared" si="15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2"/>
        <v/>
      </c>
      <c r="AE259" s="80" t="str">
        <f t="shared" si="13"/>
        <v/>
      </c>
      <c r="AF259" s="81"/>
      <c r="AG259" s="77"/>
      <c r="AH259" s="81"/>
      <c r="AI259" s="77"/>
      <c r="AJ259" s="82" t="str">
        <f t="shared" si="14"/>
        <v/>
      </c>
      <c r="AK259" s="83" t="str">
        <f t="shared" si="15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16">IF(MIN(F260,J260,N260,R260,V260,Z260)&lt;&gt;0,MIN(F260,J260,N260,R260,V260,Z260),"")</f>
        <v/>
      </c>
      <c r="AE260" s="80" t="str">
        <f t="shared" ref="AE260:AE323" si="17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8">IF(AD260="","",IF(ISBLANK(AF260),"En cours",AD260+AF260))</f>
        <v/>
      </c>
      <c r="AK260" s="83" t="str">
        <f t="shared" ref="AK260:AK323" si="19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16"/>
        <v/>
      </c>
      <c r="AE261" s="80" t="str">
        <f t="shared" si="17"/>
        <v/>
      </c>
      <c r="AF261" s="81"/>
      <c r="AG261" s="77"/>
      <c r="AH261" s="81"/>
      <c r="AI261" s="77"/>
      <c r="AJ261" s="82" t="str">
        <f t="shared" si="18"/>
        <v/>
      </c>
      <c r="AK261" s="83" t="str">
        <f t="shared" si="19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16"/>
        <v/>
      </c>
      <c r="AE262" s="80" t="str">
        <f t="shared" si="17"/>
        <v/>
      </c>
      <c r="AF262" s="81"/>
      <c r="AG262" s="77"/>
      <c r="AH262" s="81"/>
      <c r="AI262" s="77"/>
      <c r="AJ262" s="82" t="str">
        <f t="shared" si="18"/>
        <v/>
      </c>
      <c r="AK262" s="83" t="str">
        <f t="shared" si="19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16"/>
        <v/>
      </c>
      <c r="AE263" s="80" t="str">
        <f t="shared" si="17"/>
        <v/>
      </c>
      <c r="AF263" s="81"/>
      <c r="AG263" s="77"/>
      <c r="AH263" s="81"/>
      <c r="AI263" s="77"/>
      <c r="AJ263" s="82" t="str">
        <f t="shared" si="18"/>
        <v/>
      </c>
      <c r="AK263" s="83" t="str">
        <f t="shared" si="19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16"/>
        <v/>
      </c>
      <c r="AE264" s="80" t="str">
        <f t="shared" si="17"/>
        <v/>
      </c>
      <c r="AF264" s="81"/>
      <c r="AG264" s="77"/>
      <c r="AH264" s="81"/>
      <c r="AI264" s="77"/>
      <c r="AJ264" s="82" t="str">
        <f t="shared" si="18"/>
        <v/>
      </c>
      <c r="AK264" s="83" t="str">
        <f t="shared" si="19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16"/>
        <v/>
      </c>
      <c r="AE265" s="80" t="str">
        <f t="shared" si="17"/>
        <v/>
      </c>
      <c r="AF265" s="81"/>
      <c r="AG265" s="77"/>
      <c r="AH265" s="81"/>
      <c r="AI265" s="77"/>
      <c r="AJ265" s="82" t="str">
        <f t="shared" si="18"/>
        <v/>
      </c>
      <c r="AK265" s="83" t="str">
        <f t="shared" si="19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16"/>
        <v/>
      </c>
      <c r="AE266" s="80" t="str">
        <f t="shared" si="17"/>
        <v/>
      </c>
      <c r="AF266" s="81"/>
      <c r="AG266" s="77"/>
      <c r="AH266" s="81"/>
      <c r="AI266" s="77"/>
      <c r="AJ266" s="82" t="str">
        <f t="shared" si="18"/>
        <v/>
      </c>
      <c r="AK266" s="83" t="str">
        <f t="shared" si="19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16"/>
        <v/>
      </c>
      <c r="AE267" s="80" t="str">
        <f t="shared" si="17"/>
        <v/>
      </c>
      <c r="AF267" s="81"/>
      <c r="AG267" s="77"/>
      <c r="AH267" s="81"/>
      <c r="AI267" s="77"/>
      <c r="AJ267" s="82" t="str">
        <f t="shared" si="18"/>
        <v/>
      </c>
      <c r="AK267" s="83" t="str">
        <f t="shared" si="19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16"/>
        <v/>
      </c>
      <c r="AE268" s="80" t="str">
        <f t="shared" si="17"/>
        <v/>
      </c>
      <c r="AF268" s="81"/>
      <c r="AG268" s="77"/>
      <c r="AH268" s="81"/>
      <c r="AI268" s="77"/>
      <c r="AJ268" s="82" t="str">
        <f t="shared" si="18"/>
        <v/>
      </c>
      <c r="AK268" s="83" t="str">
        <f t="shared" si="19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16"/>
        <v/>
      </c>
      <c r="AE269" s="80" t="str">
        <f t="shared" si="17"/>
        <v/>
      </c>
      <c r="AF269" s="81"/>
      <c r="AG269" s="77"/>
      <c r="AH269" s="81"/>
      <c r="AI269" s="77"/>
      <c r="AJ269" s="82" t="str">
        <f t="shared" si="18"/>
        <v/>
      </c>
      <c r="AK269" s="83" t="str">
        <f t="shared" si="19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16"/>
        <v/>
      </c>
      <c r="AE270" s="80" t="str">
        <f t="shared" si="17"/>
        <v/>
      </c>
      <c r="AF270" s="81"/>
      <c r="AG270" s="77"/>
      <c r="AH270" s="81"/>
      <c r="AI270" s="77"/>
      <c r="AJ270" s="82" t="str">
        <f t="shared" si="18"/>
        <v/>
      </c>
      <c r="AK270" s="83" t="str">
        <f t="shared" si="19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16"/>
        <v/>
      </c>
      <c r="AE271" s="80" t="str">
        <f t="shared" si="17"/>
        <v/>
      </c>
      <c r="AF271" s="81"/>
      <c r="AG271" s="77"/>
      <c r="AH271" s="81"/>
      <c r="AI271" s="77"/>
      <c r="AJ271" s="82" t="str">
        <f t="shared" si="18"/>
        <v/>
      </c>
      <c r="AK271" s="83" t="str">
        <f t="shared" si="19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16"/>
        <v/>
      </c>
      <c r="AE272" s="80" t="str">
        <f t="shared" si="17"/>
        <v/>
      </c>
      <c r="AF272" s="81"/>
      <c r="AG272" s="77"/>
      <c r="AH272" s="81"/>
      <c r="AI272" s="77"/>
      <c r="AJ272" s="82" t="str">
        <f t="shared" si="18"/>
        <v/>
      </c>
      <c r="AK272" s="83" t="str">
        <f t="shared" si="19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16"/>
        <v/>
      </c>
      <c r="AE273" s="80" t="str">
        <f t="shared" si="17"/>
        <v/>
      </c>
      <c r="AF273" s="81"/>
      <c r="AG273" s="77"/>
      <c r="AH273" s="81"/>
      <c r="AI273" s="77"/>
      <c r="AJ273" s="82" t="str">
        <f t="shared" si="18"/>
        <v/>
      </c>
      <c r="AK273" s="83" t="str">
        <f t="shared" si="19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16"/>
        <v/>
      </c>
      <c r="AE274" s="80" t="str">
        <f t="shared" si="17"/>
        <v/>
      </c>
      <c r="AF274" s="81"/>
      <c r="AG274" s="77"/>
      <c r="AH274" s="81"/>
      <c r="AI274" s="77"/>
      <c r="AJ274" s="82" t="str">
        <f t="shared" si="18"/>
        <v/>
      </c>
      <c r="AK274" s="83" t="str">
        <f t="shared" si="19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16"/>
        <v/>
      </c>
      <c r="AE275" s="80" t="str">
        <f t="shared" si="17"/>
        <v/>
      </c>
      <c r="AF275" s="81"/>
      <c r="AG275" s="77"/>
      <c r="AH275" s="81"/>
      <c r="AI275" s="77"/>
      <c r="AJ275" s="82" t="str">
        <f t="shared" si="18"/>
        <v/>
      </c>
      <c r="AK275" s="83" t="str">
        <f t="shared" si="19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16"/>
        <v/>
      </c>
      <c r="AE276" s="80" t="str">
        <f t="shared" si="17"/>
        <v/>
      </c>
      <c r="AF276" s="81"/>
      <c r="AG276" s="77"/>
      <c r="AH276" s="81"/>
      <c r="AI276" s="77"/>
      <c r="AJ276" s="82" t="str">
        <f t="shared" si="18"/>
        <v/>
      </c>
      <c r="AK276" s="83" t="str">
        <f t="shared" si="19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16"/>
        <v/>
      </c>
      <c r="AE277" s="80" t="str">
        <f t="shared" si="17"/>
        <v/>
      </c>
      <c r="AF277" s="81"/>
      <c r="AG277" s="77"/>
      <c r="AH277" s="81"/>
      <c r="AI277" s="77"/>
      <c r="AJ277" s="82" t="str">
        <f t="shared" si="18"/>
        <v/>
      </c>
      <c r="AK277" s="83" t="str">
        <f t="shared" si="19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16"/>
        <v/>
      </c>
      <c r="AE278" s="80" t="str">
        <f t="shared" si="17"/>
        <v/>
      </c>
      <c r="AF278" s="81"/>
      <c r="AG278" s="77"/>
      <c r="AH278" s="81"/>
      <c r="AI278" s="77"/>
      <c r="AJ278" s="82" t="str">
        <f t="shared" si="18"/>
        <v/>
      </c>
      <c r="AK278" s="83" t="str">
        <f t="shared" si="19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16"/>
        <v/>
      </c>
      <c r="AE279" s="80" t="str">
        <f t="shared" si="17"/>
        <v/>
      </c>
      <c r="AF279" s="81"/>
      <c r="AG279" s="77"/>
      <c r="AH279" s="81"/>
      <c r="AI279" s="77"/>
      <c r="AJ279" s="82" t="str">
        <f t="shared" si="18"/>
        <v/>
      </c>
      <c r="AK279" s="83" t="str">
        <f t="shared" si="19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16"/>
        <v/>
      </c>
      <c r="AE280" s="80" t="str">
        <f t="shared" si="17"/>
        <v/>
      </c>
      <c r="AF280" s="81"/>
      <c r="AG280" s="77"/>
      <c r="AH280" s="81"/>
      <c r="AI280" s="77"/>
      <c r="AJ280" s="82" t="str">
        <f t="shared" si="18"/>
        <v/>
      </c>
      <c r="AK280" s="83" t="str">
        <f t="shared" si="19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16"/>
        <v/>
      </c>
      <c r="AE281" s="80" t="str">
        <f t="shared" si="17"/>
        <v/>
      </c>
      <c r="AF281" s="81"/>
      <c r="AG281" s="77"/>
      <c r="AH281" s="81"/>
      <c r="AI281" s="77"/>
      <c r="AJ281" s="82" t="str">
        <f t="shared" si="18"/>
        <v/>
      </c>
      <c r="AK281" s="83" t="str">
        <f t="shared" si="19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16"/>
        <v/>
      </c>
      <c r="AE282" s="80" t="str">
        <f t="shared" si="17"/>
        <v/>
      </c>
      <c r="AF282" s="81"/>
      <c r="AG282" s="77"/>
      <c r="AH282" s="81"/>
      <c r="AI282" s="77"/>
      <c r="AJ282" s="82" t="str">
        <f t="shared" si="18"/>
        <v/>
      </c>
      <c r="AK282" s="83" t="str">
        <f t="shared" si="19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16"/>
        <v/>
      </c>
      <c r="AE283" s="80" t="str">
        <f t="shared" si="17"/>
        <v/>
      </c>
      <c r="AF283" s="81"/>
      <c r="AG283" s="77"/>
      <c r="AH283" s="81"/>
      <c r="AI283" s="77"/>
      <c r="AJ283" s="82" t="str">
        <f t="shared" si="18"/>
        <v/>
      </c>
      <c r="AK283" s="83" t="str">
        <f t="shared" si="19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16"/>
        <v/>
      </c>
      <c r="AE284" s="80" t="str">
        <f t="shared" si="17"/>
        <v/>
      </c>
      <c r="AF284" s="81"/>
      <c r="AG284" s="77"/>
      <c r="AH284" s="81"/>
      <c r="AI284" s="77"/>
      <c r="AJ284" s="82" t="str">
        <f t="shared" si="18"/>
        <v/>
      </c>
      <c r="AK284" s="83" t="str">
        <f t="shared" si="19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16"/>
        <v/>
      </c>
      <c r="AE285" s="80" t="str">
        <f t="shared" si="17"/>
        <v/>
      </c>
      <c r="AF285" s="81"/>
      <c r="AG285" s="77"/>
      <c r="AH285" s="81"/>
      <c r="AI285" s="77"/>
      <c r="AJ285" s="82" t="str">
        <f t="shared" si="18"/>
        <v/>
      </c>
      <c r="AK285" s="83" t="str">
        <f t="shared" si="19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16"/>
        <v/>
      </c>
      <c r="AE286" s="80" t="str">
        <f t="shared" si="17"/>
        <v/>
      </c>
      <c r="AF286" s="81"/>
      <c r="AG286" s="77"/>
      <c r="AH286" s="81"/>
      <c r="AI286" s="77"/>
      <c r="AJ286" s="82" t="str">
        <f t="shared" si="18"/>
        <v/>
      </c>
      <c r="AK286" s="83" t="str">
        <f t="shared" si="19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16"/>
        <v/>
      </c>
      <c r="AE287" s="80" t="str">
        <f t="shared" si="17"/>
        <v/>
      </c>
      <c r="AF287" s="81"/>
      <c r="AG287" s="77"/>
      <c r="AH287" s="81"/>
      <c r="AI287" s="77"/>
      <c r="AJ287" s="82" t="str">
        <f t="shared" si="18"/>
        <v/>
      </c>
      <c r="AK287" s="83" t="str">
        <f t="shared" si="19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16"/>
        <v/>
      </c>
      <c r="AE288" s="80" t="str">
        <f t="shared" si="17"/>
        <v/>
      </c>
      <c r="AF288" s="81"/>
      <c r="AG288" s="77"/>
      <c r="AH288" s="81"/>
      <c r="AI288" s="77"/>
      <c r="AJ288" s="82" t="str">
        <f t="shared" si="18"/>
        <v/>
      </c>
      <c r="AK288" s="83" t="str">
        <f t="shared" si="19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16"/>
        <v/>
      </c>
      <c r="AE289" s="80" t="str">
        <f t="shared" si="17"/>
        <v/>
      </c>
      <c r="AF289" s="81"/>
      <c r="AG289" s="77"/>
      <c r="AH289" s="81"/>
      <c r="AI289" s="77"/>
      <c r="AJ289" s="82" t="str">
        <f t="shared" si="18"/>
        <v/>
      </c>
      <c r="AK289" s="83" t="str">
        <f t="shared" si="19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16"/>
        <v/>
      </c>
      <c r="AE290" s="80" t="str">
        <f t="shared" si="17"/>
        <v/>
      </c>
      <c r="AF290" s="81"/>
      <c r="AG290" s="77"/>
      <c r="AH290" s="81"/>
      <c r="AI290" s="77"/>
      <c r="AJ290" s="82" t="str">
        <f t="shared" si="18"/>
        <v/>
      </c>
      <c r="AK290" s="83" t="str">
        <f t="shared" si="19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16"/>
        <v/>
      </c>
      <c r="AE291" s="80" t="str">
        <f t="shared" si="17"/>
        <v/>
      </c>
      <c r="AF291" s="81"/>
      <c r="AG291" s="77"/>
      <c r="AH291" s="81"/>
      <c r="AI291" s="77"/>
      <c r="AJ291" s="82" t="str">
        <f t="shared" si="18"/>
        <v/>
      </c>
      <c r="AK291" s="83" t="str">
        <f t="shared" si="19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16"/>
        <v/>
      </c>
      <c r="AE292" s="80" t="str">
        <f t="shared" si="17"/>
        <v/>
      </c>
      <c r="AF292" s="81"/>
      <c r="AG292" s="77"/>
      <c r="AH292" s="81"/>
      <c r="AI292" s="77"/>
      <c r="AJ292" s="82" t="str">
        <f t="shared" si="18"/>
        <v/>
      </c>
      <c r="AK292" s="83" t="str">
        <f t="shared" si="19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16"/>
        <v/>
      </c>
      <c r="AE293" s="80" t="str">
        <f t="shared" si="17"/>
        <v/>
      </c>
      <c r="AF293" s="81"/>
      <c r="AG293" s="77"/>
      <c r="AH293" s="81"/>
      <c r="AI293" s="77"/>
      <c r="AJ293" s="82" t="str">
        <f t="shared" si="18"/>
        <v/>
      </c>
      <c r="AK293" s="83" t="str">
        <f t="shared" si="19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16"/>
        <v/>
      </c>
      <c r="AE294" s="80" t="str">
        <f t="shared" si="17"/>
        <v/>
      </c>
      <c r="AF294" s="81"/>
      <c r="AG294" s="77"/>
      <c r="AH294" s="81"/>
      <c r="AI294" s="77"/>
      <c r="AJ294" s="82" t="str">
        <f t="shared" si="18"/>
        <v/>
      </c>
      <c r="AK294" s="83" t="str">
        <f t="shared" si="19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16"/>
        <v/>
      </c>
      <c r="AE295" s="80" t="str">
        <f t="shared" si="17"/>
        <v/>
      </c>
      <c r="AF295" s="81"/>
      <c r="AG295" s="77"/>
      <c r="AH295" s="81"/>
      <c r="AI295" s="77"/>
      <c r="AJ295" s="82" t="str">
        <f t="shared" si="18"/>
        <v/>
      </c>
      <c r="AK295" s="83" t="str">
        <f t="shared" si="19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16"/>
        <v/>
      </c>
      <c r="AE296" s="80" t="str">
        <f t="shared" si="17"/>
        <v/>
      </c>
      <c r="AF296" s="81"/>
      <c r="AG296" s="77"/>
      <c r="AH296" s="81"/>
      <c r="AI296" s="77"/>
      <c r="AJ296" s="82" t="str">
        <f t="shared" si="18"/>
        <v/>
      </c>
      <c r="AK296" s="83" t="str">
        <f t="shared" si="19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16"/>
        <v/>
      </c>
      <c r="AE297" s="80" t="str">
        <f t="shared" si="17"/>
        <v/>
      </c>
      <c r="AF297" s="81"/>
      <c r="AG297" s="77"/>
      <c r="AH297" s="81"/>
      <c r="AI297" s="77"/>
      <c r="AJ297" s="82" t="str">
        <f t="shared" si="18"/>
        <v/>
      </c>
      <c r="AK297" s="83" t="str">
        <f t="shared" si="19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16"/>
        <v/>
      </c>
      <c r="AE298" s="80" t="str">
        <f t="shared" si="17"/>
        <v/>
      </c>
      <c r="AF298" s="81"/>
      <c r="AG298" s="77"/>
      <c r="AH298" s="81"/>
      <c r="AI298" s="77"/>
      <c r="AJ298" s="82" t="str">
        <f t="shared" si="18"/>
        <v/>
      </c>
      <c r="AK298" s="83" t="str">
        <f t="shared" si="19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16"/>
        <v/>
      </c>
      <c r="AE299" s="80" t="str">
        <f t="shared" si="17"/>
        <v/>
      </c>
      <c r="AF299" s="81"/>
      <c r="AG299" s="77"/>
      <c r="AH299" s="81"/>
      <c r="AI299" s="77"/>
      <c r="AJ299" s="82" t="str">
        <f t="shared" si="18"/>
        <v/>
      </c>
      <c r="AK299" s="83" t="str">
        <f t="shared" si="19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16"/>
        <v/>
      </c>
      <c r="AE300" s="80" t="str">
        <f t="shared" si="17"/>
        <v/>
      </c>
      <c r="AF300" s="81"/>
      <c r="AG300" s="77"/>
      <c r="AH300" s="81"/>
      <c r="AI300" s="77"/>
      <c r="AJ300" s="82" t="str">
        <f t="shared" si="18"/>
        <v/>
      </c>
      <c r="AK300" s="83" t="str">
        <f t="shared" si="19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16"/>
        <v/>
      </c>
      <c r="AE301" s="80" t="str">
        <f t="shared" si="17"/>
        <v/>
      </c>
      <c r="AF301" s="81"/>
      <c r="AG301" s="77"/>
      <c r="AH301" s="81"/>
      <c r="AI301" s="77"/>
      <c r="AJ301" s="82" t="str">
        <f t="shared" si="18"/>
        <v/>
      </c>
      <c r="AK301" s="83" t="str">
        <f t="shared" si="19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16"/>
        <v/>
      </c>
      <c r="AE302" s="80" t="str">
        <f t="shared" si="17"/>
        <v/>
      </c>
      <c r="AF302" s="81"/>
      <c r="AG302" s="77"/>
      <c r="AH302" s="81"/>
      <c r="AI302" s="77"/>
      <c r="AJ302" s="82" t="str">
        <f t="shared" si="18"/>
        <v/>
      </c>
      <c r="AK302" s="83" t="str">
        <f t="shared" si="19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16"/>
        <v/>
      </c>
      <c r="AE303" s="80" t="str">
        <f t="shared" si="17"/>
        <v/>
      </c>
      <c r="AF303" s="81"/>
      <c r="AG303" s="77"/>
      <c r="AH303" s="81"/>
      <c r="AI303" s="77"/>
      <c r="AJ303" s="82" t="str">
        <f t="shared" si="18"/>
        <v/>
      </c>
      <c r="AK303" s="83" t="str">
        <f t="shared" si="19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16"/>
        <v/>
      </c>
      <c r="AE304" s="80" t="str">
        <f t="shared" si="17"/>
        <v/>
      </c>
      <c r="AF304" s="81"/>
      <c r="AG304" s="77"/>
      <c r="AH304" s="81"/>
      <c r="AI304" s="77"/>
      <c r="AJ304" s="82" t="str">
        <f t="shared" si="18"/>
        <v/>
      </c>
      <c r="AK304" s="83" t="str">
        <f t="shared" si="19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16"/>
        <v/>
      </c>
      <c r="AE305" s="80" t="str">
        <f t="shared" si="17"/>
        <v/>
      </c>
      <c r="AF305" s="81"/>
      <c r="AG305" s="77"/>
      <c r="AH305" s="81"/>
      <c r="AI305" s="77"/>
      <c r="AJ305" s="82" t="str">
        <f t="shared" si="18"/>
        <v/>
      </c>
      <c r="AK305" s="83" t="str">
        <f t="shared" si="19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16"/>
        <v/>
      </c>
      <c r="AE306" s="80" t="str">
        <f t="shared" si="17"/>
        <v/>
      </c>
      <c r="AF306" s="81"/>
      <c r="AG306" s="77"/>
      <c r="AH306" s="81"/>
      <c r="AI306" s="77"/>
      <c r="AJ306" s="82" t="str">
        <f t="shared" si="18"/>
        <v/>
      </c>
      <c r="AK306" s="83" t="str">
        <f t="shared" si="19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16"/>
        <v/>
      </c>
      <c r="AE307" s="80" t="str">
        <f t="shared" si="17"/>
        <v/>
      </c>
      <c r="AF307" s="81"/>
      <c r="AG307" s="77"/>
      <c r="AH307" s="81"/>
      <c r="AI307" s="77"/>
      <c r="AJ307" s="82" t="str">
        <f t="shared" si="18"/>
        <v/>
      </c>
      <c r="AK307" s="83" t="str">
        <f t="shared" si="19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16"/>
        <v/>
      </c>
      <c r="AE308" s="80" t="str">
        <f t="shared" si="17"/>
        <v/>
      </c>
      <c r="AF308" s="81"/>
      <c r="AG308" s="77"/>
      <c r="AH308" s="81"/>
      <c r="AI308" s="77"/>
      <c r="AJ308" s="82" t="str">
        <f t="shared" si="18"/>
        <v/>
      </c>
      <c r="AK308" s="83" t="str">
        <f t="shared" si="19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16"/>
        <v/>
      </c>
      <c r="AE309" s="80" t="str">
        <f t="shared" si="17"/>
        <v/>
      </c>
      <c r="AF309" s="81"/>
      <c r="AG309" s="77"/>
      <c r="AH309" s="81"/>
      <c r="AI309" s="77"/>
      <c r="AJ309" s="82" t="str">
        <f t="shared" si="18"/>
        <v/>
      </c>
      <c r="AK309" s="83" t="str">
        <f t="shared" si="19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16"/>
        <v/>
      </c>
      <c r="AE310" s="80" t="str">
        <f t="shared" si="17"/>
        <v/>
      </c>
      <c r="AF310" s="81"/>
      <c r="AG310" s="77"/>
      <c r="AH310" s="81"/>
      <c r="AI310" s="77"/>
      <c r="AJ310" s="82" t="str">
        <f t="shared" si="18"/>
        <v/>
      </c>
      <c r="AK310" s="83" t="str">
        <f t="shared" si="19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16"/>
        <v/>
      </c>
      <c r="AE311" s="80" t="str">
        <f t="shared" si="17"/>
        <v/>
      </c>
      <c r="AF311" s="81"/>
      <c r="AG311" s="77"/>
      <c r="AH311" s="81"/>
      <c r="AI311" s="77"/>
      <c r="AJ311" s="82" t="str">
        <f t="shared" si="18"/>
        <v/>
      </c>
      <c r="AK311" s="83" t="str">
        <f t="shared" si="19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16"/>
        <v/>
      </c>
      <c r="AE312" s="80" t="str">
        <f t="shared" si="17"/>
        <v/>
      </c>
      <c r="AF312" s="81"/>
      <c r="AG312" s="77"/>
      <c r="AH312" s="81"/>
      <c r="AI312" s="77"/>
      <c r="AJ312" s="82" t="str">
        <f t="shared" si="18"/>
        <v/>
      </c>
      <c r="AK312" s="83" t="str">
        <f t="shared" si="19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16"/>
        <v/>
      </c>
      <c r="AE313" s="80" t="str">
        <f t="shared" si="17"/>
        <v/>
      </c>
      <c r="AF313" s="81"/>
      <c r="AG313" s="77"/>
      <c r="AH313" s="81"/>
      <c r="AI313" s="77"/>
      <c r="AJ313" s="82" t="str">
        <f t="shared" si="18"/>
        <v/>
      </c>
      <c r="AK313" s="83" t="str">
        <f t="shared" si="19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16"/>
        <v/>
      </c>
      <c r="AE314" s="80" t="str">
        <f t="shared" si="17"/>
        <v/>
      </c>
      <c r="AF314" s="81"/>
      <c r="AG314" s="77"/>
      <c r="AH314" s="81"/>
      <c r="AI314" s="77"/>
      <c r="AJ314" s="82" t="str">
        <f t="shared" si="18"/>
        <v/>
      </c>
      <c r="AK314" s="83" t="str">
        <f t="shared" si="19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16"/>
        <v/>
      </c>
      <c r="AE315" s="80" t="str">
        <f t="shared" si="17"/>
        <v/>
      </c>
      <c r="AF315" s="81"/>
      <c r="AG315" s="77"/>
      <c r="AH315" s="81"/>
      <c r="AI315" s="77"/>
      <c r="AJ315" s="82" t="str">
        <f t="shared" si="18"/>
        <v/>
      </c>
      <c r="AK315" s="83" t="str">
        <f t="shared" si="19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16"/>
        <v/>
      </c>
      <c r="AE316" s="80" t="str">
        <f t="shared" si="17"/>
        <v/>
      </c>
      <c r="AF316" s="81"/>
      <c r="AG316" s="77"/>
      <c r="AH316" s="81"/>
      <c r="AI316" s="77"/>
      <c r="AJ316" s="82" t="str">
        <f t="shared" si="18"/>
        <v/>
      </c>
      <c r="AK316" s="83" t="str">
        <f t="shared" si="19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16"/>
        <v/>
      </c>
      <c r="AE317" s="80" t="str">
        <f t="shared" si="17"/>
        <v/>
      </c>
      <c r="AF317" s="81"/>
      <c r="AG317" s="77"/>
      <c r="AH317" s="81"/>
      <c r="AI317" s="77"/>
      <c r="AJ317" s="82" t="str">
        <f t="shared" si="18"/>
        <v/>
      </c>
      <c r="AK317" s="83" t="str">
        <f t="shared" si="19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16"/>
        <v/>
      </c>
      <c r="AE318" s="80" t="str">
        <f t="shared" si="17"/>
        <v/>
      </c>
      <c r="AF318" s="81"/>
      <c r="AG318" s="77"/>
      <c r="AH318" s="81"/>
      <c r="AI318" s="77"/>
      <c r="AJ318" s="82" t="str">
        <f t="shared" si="18"/>
        <v/>
      </c>
      <c r="AK318" s="83" t="str">
        <f t="shared" si="19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16"/>
        <v/>
      </c>
      <c r="AE319" s="80" t="str">
        <f t="shared" si="17"/>
        <v/>
      </c>
      <c r="AF319" s="81"/>
      <c r="AG319" s="77"/>
      <c r="AH319" s="81"/>
      <c r="AI319" s="77"/>
      <c r="AJ319" s="82" t="str">
        <f t="shared" si="18"/>
        <v/>
      </c>
      <c r="AK319" s="83" t="str">
        <f t="shared" si="19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16"/>
        <v/>
      </c>
      <c r="AE320" s="80" t="str">
        <f t="shared" si="17"/>
        <v/>
      </c>
      <c r="AF320" s="81"/>
      <c r="AG320" s="77"/>
      <c r="AH320" s="81"/>
      <c r="AI320" s="77"/>
      <c r="AJ320" s="82" t="str">
        <f t="shared" si="18"/>
        <v/>
      </c>
      <c r="AK320" s="83" t="str">
        <f t="shared" si="19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16"/>
        <v/>
      </c>
      <c r="AE321" s="80" t="str">
        <f t="shared" si="17"/>
        <v/>
      </c>
      <c r="AF321" s="81"/>
      <c r="AG321" s="77"/>
      <c r="AH321" s="81"/>
      <c r="AI321" s="77"/>
      <c r="AJ321" s="82" t="str">
        <f t="shared" si="18"/>
        <v/>
      </c>
      <c r="AK321" s="83" t="str">
        <f t="shared" si="19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16"/>
        <v/>
      </c>
      <c r="AE322" s="80" t="str">
        <f t="shared" si="17"/>
        <v/>
      </c>
      <c r="AF322" s="81"/>
      <c r="AG322" s="77"/>
      <c r="AH322" s="81"/>
      <c r="AI322" s="77"/>
      <c r="AJ322" s="82" t="str">
        <f t="shared" si="18"/>
        <v/>
      </c>
      <c r="AK322" s="83" t="str">
        <f t="shared" si="19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16"/>
        <v/>
      </c>
      <c r="AE323" s="80" t="str">
        <f t="shared" si="17"/>
        <v/>
      </c>
      <c r="AF323" s="81"/>
      <c r="AG323" s="77"/>
      <c r="AH323" s="81"/>
      <c r="AI323" s="77"/>
      <c r="AJ323" s="82" t="str">
        <f t="shared" si="18"/>
        <v/>
      </c>
      <c r="AK323" s="83" t="str">
        <f t="shared" si="19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0">IF(MIN(F324,J324,N324,R324,V324,Z324)&lt;&gt;0,MIN(F324,J324,N324,R324,V324,Z324),"")</f>
        <v/>
      </c>
      <c r="AE324" s="80" t="str">
        <f t="shared" ref="AE324:AE350" si="21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2">IF(AD324="","",IF(ISBLANK(AF324),"En cours",AD324+AF324))</f>
        <v/>
      </c>
      <c r="AK324" s="83" t="str">
        <f t="shared" ref="AK324:AK350" si="23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0"/>
        <v/>
      </c>
      <c r="AE325" s="80" t="str">
        <f t="shared" si="21"/>
        <v/>
      </c>
      <c r="AF325" s="81"/>
      <c r="AG325" s="77"/>
      <c r="AH325" s="81"/>
      <c r="AI325" s="77"/>
      <c r="AJ325" s="82" t="str">
        <f t="shared" si="22"/>
        <v/>
      </c>
      <c r="AK325" s="83" t="str">
        <f t="shared" si="23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0"/>
        <v/>
      </c>
      <c r="AE326" s="80" t="str">
        <f t="shared" si="21"/>
        <v/>
      </c>
      <c r="AF326" s="81"/>
      <c r="AG326" s="77"/>
      <c r="AH326" s="81"/>
      <c r="AI326" s="77"/>
      <c r="AJ326" s="82" t="str">
        <f t="shared" si="22"/>
        <v/>
      </c>
      <c r="AK326" s="83" t="str">
        <f t="shared" si="23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0"/>
        <v/>
      </c>
      <c r="AE327" s="80" t="str">
        <f t="shared" si="21"/>
        <v/>
      </c>
      <c r="AF327" s="81"/>
      <c r="AG327" s="77"/>
      <c r="AH327" s="81"/>
      <c r="AI327" s="77"/>
      <c r="AJ327" s="82" t="str">
        <f t="shared" si="22"/>
        <v/>
      </c>
      <c r="AK327" s="83" t="str">
        <f t="shared" si="23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0"/>
        <v/>
      </c>
      <c r="AE328" s="80" t="str">
        <f t="shared" si="21"/>
        <v/>
      </c>
      <c r="AF328" s="81"/>
      <c r="AG328" s="77"/>
      <c r="AH328" s="81"/>
      <c r="AI328" s="77"/>
      <c r="AJ328" s="82" t="str">
        <f t="shared" si="22"/>
        <v/>
      </c>
      <c r="AK328" s="83" t="str">
        <f t="shared" si="23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0"/>
        <v/>
      </c>
      <c r="AE329" s="80" t="str">
        <f t="shared" si="21"/>
        <v/>
      </c>
      <c r="AF329" s="81"/>
      <c r="AG329" s="77"/>
      <c r="AH329" s="81"/>
      <c r="AI329" s="77"/>
      <c r="AJ329" s="82" t="str">
        <f t="shared" si="22"/>
        <v/>
      </c>
      <c r="AK329" s="83" t="str">
        <f t="shared" si="23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0"/>
        <v/>
      </c>
      <c r="AE330" s="80" t="str">
        <f t="shared" si="21"/>
        <v/>
      </c>
      <c r="AF330" s="81"/>
      <c r="AG330" s="77"/>
      <c r="AH330" s="81"/>
      <c r="AI330" s="77"/>
      <c r="AJ330" s="82" t="str">
        <f t="shared" si="22"/>
        <v/>
      </c>
      <c r="AK330" s="83" t="str">
        <f t="shared" si="23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0"/>
        <v/>
      </c>
      <c r="AE331" s="80" t="str">
        <f t="shared" si="21"/>
        <v/>
      </c>
      <c r="AF331" s="81"/>
      <c r="AG331" s="77"/>
      <c r="AH331" s="81"/>
      <c r="AI331" s="77"/>
      <c r="AJ331" s="82" t="str">
        <f t="shared" si="22"/>
        <v/>
      </c>
      <c r="AK331" s="83" t="str">
        <f t="shared" si="23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0"/>
        <v/>
      </c>
      <c r="AE332" s="80" t="str">
        <f t="shared" si="21"/>
        <v/>
      </c>
      <c r="AF332" s="81"/>
      <c r="AG332" s="77"/>
      <c r="AH332" s="81"/>
      <c r="AI332" s="77"/>
      <c r="AJ332" s="82" t="str">
        <f t="shared" si="22"/>
        <v/>
      </c>
      <c r="AK332" s="83" t="str">
        <f t="shared" si="23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0"/>
        <v/>
      </c>
      <c r="AE333" s="80" t="str">
        <f t="shared" si="21"/>
        <v/>
      </c>
      <c r="AF333" s="81"/>
      <c r="AG333" s="77"/>
      <c r="AH333" s="81"/>
      <c r="AI333" s="77"/>
      <c r="AJ333" s="82" t="str">
        <f t="shared" si="22"/>
        <v/>
      </c>
      <c r="AK333" s="83" t="str">
        <f t="shared" si="23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0"/>
        <v/>
      </c>
      <c r="AE334" s="80" t="str">
        <f t="shared" si="21"/>
        <v/>
      </c>
      <c r="AF334" s="81"/>
      <c r="AG334" s="77"/>
      <c r="AH334" s="81"/>
      <c r="AI334" s="77"/>
      <c r="AJ334" s="82" t="str">
        <f t="shared" si="22"/>
        <v/>
      </c>
      <c r="AK334" s="83" t="str">
        <f t="shared" si="23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0"/>
        <v/>
      </c>
      <c r="AE335" s="80" t="str">
        <f t="shared" si="21"/>
        <v/>
      </c>
      <c r="AF335" s="81"/>
      <c r="AG335" s="77"/>
      <c r="AH335" s="81"/>
      <c r="AI335" s="77"/>
      <c r="AJ335" s="82" t="str">
        <f t="shared" si="22"/>
        <v/>
      </c>
      <c r="AK335" s="83" t="str">
        <f t="shared" si="23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0"/>
        <v/>
      </c>
      <c r="AE336" s="80" t="str">
        <f t="shared" si="21"/>
        <v/>
      </c>
      <c r="AF336" s="81"/>
      <c r="AG336" s="77"/>
      <c r="AH336" s="81"/>
      <c r="AI336" s="77"/>
      <c r="AJ336" s="82" t="str">
        <f t="shared" si="22"/>
        <v/>
      </c>
      <c r="AK336" s="83" t="str">
        <f t="shared" si="23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0"/>
        <v/>
      </c>
      <c r="AE337" s="80" t="str">
        <f t="shared" si="21"/>
        <v/>
      </c>
      <c r="AF337" s="81"/>
      <c r="AG337" s="77"/>
      <c r="AH337" s="81"/>
      <c r="AI337" s="77"/>
      <c r="AJ337" s="82" t="str">
        <f t="shared" si="22"/>
        <v/>
      </c>
      <c r="AK337" s="83" t="str">
        <f t="shared" si="23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0"/>
        <v/>
      </c>
      <c r="AE338" s="80" t="str">
        <f t="shared" si="21"/>
        <v/>
      </c>
      <c r="AF338" s="81"/>
      <c r="AG338" s="77"/>
      <c r="AH338" s="81"/>
      <c r="AI338" s="77"/>
      <c r="AJ338" s="82" t="str">
        <f t="shared" si="22"/>
        <v/>
      </c>
      <c r="AK338" s="83" t="str">
        <f t="shared" si="23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0"/>
        <v/>
      </c>
      <c r="AE339" s="80" t="str">
        <f t="shared" si="21"/>
        <v/>
      </c>
      <c r="AF339" s="81"/>
      <c r="AG339" s="77"/>
      <c r="AH339" s="81"/>
      <c r="AI339" s="77"/>
      <c r="AJ339" s="82" t="str">
        <f t="shared" si="22"/>
        <v/>
      </c>
      <c r="AK339" s="83" t="str">
        <f t="shared" si="23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0"/>
        <v/>
      </c>
      <c r="AE340" s="80" t="str">
        <f t="shared" si="21"/>
        <v/>
      </c>
      <c r="AF340" s="81"/>
      <c r="AG340" s="77"/>
      <c r="AH340" s="81"/>
      <c r="AI340" s="77"/>
      <c r="AJ340" s="82" t="str">
        <f t="shared" si="22"/>
        <v/>
      </c>
      <c r="AK340" s="83" t="str">
        <f t="shared" si="23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0"/>
        <v/>
      </c>
      <c r="AE341" s="80" t="str">
        <f t="shared" si="21"/>
        <v/>
      </c>
      <c r="AF341" s="81"/>
      <c r="AG341" s="77"/>
      <c r="AH341" s="81"/>
      <c r="AI341" s="77"/>
      <c r="AJ341" s="82" t="str">
        <f t="shared" si="22"/>
        <v/>
      </c>
      <c r="AK341" s="83" t="str">
        <f t="shared" si="23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0"/>
        <v/>
      </c>
      <c r="AE342" s="80" t="str">
        <f t="shared" si="21"/>
        <v/>
      </c>
      <c r="AF342" s="81"/>
      <c r="AG342" s="77"/>
      <c r="AH342" s="81"/>
      <c r="AI342" s="77"/>
      <c r="AJ342" s="82" t="str">
        <f t="shared" si="22"/>
        <v/>
      </c>
      <c r="AK342" s="83" t="str">
        <f t="shared" si="23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0"/>
        <v/>
      </c>
      <c r="AE343" s="80" t="str">
        <f t="shared" si="21"/>
        <v/>
      </c>
      <c r="AF343" s="81"/>
      <c r="AG343" s="77"/>
      <c r="AH343" s="81"/>
      <c r="AI343" s="77"/>
      <c r="AJ343" s="82" t="str">
        <f t="shared" si="22"/>
        <v/>
      </c>
      <c r="AK343" s="83" t="str">
        <f t="shared" si="23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0"/>
        <v/>
      </c>
      <c r="AE344" s="80" t="str">
        <f t="shared" si="21"/>
        <v/>
      </c>
      <c r="AF344" s="81"/>
      <c r="AG344" s="77"/>
      <c r="AH344" s="81"/>
      <c r="AI344" s="77"/>
      <c r="AJ344" s="82" t="str">
        <f t="shared" si="22"/>
        <v/>
      </c>
      <c r="AK344" s="83" t="str">
        <f t="shared" si="23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0"/>
        <v/>
      </c>
      <c r="AE345" s="80" t="str">
        <f t="shared" si="21"/>
        <v/>
      </c>
      <c r="AF345" s="81"/>
      <c r="AG345" s="77"/>
      <c r="AH345" s="81"/>
      <c r="AI345" s="77"/>
      <c r="AJ345" s="82" t="str">
        <f t="shared" si="22"/>
        <v/>
      </c>
      <c r="AK345" s="83" t="str">
        <f t="shared" si="23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0"/>
        <v/>
      </c>
      <c r="AE346" s="80" t="str">
        <f t="shared" si="21"/>
        <v/>
      </c>
      <c r="AF346" s="81"/>
      <c r="AG346" s="77"/>
      <c r="AH346" s="81"/>
      <c r="AI346" s="77"/>
      <c r="AJ346" s="82" t="str">
        <f t="shared" si="22"/>
        <v/>
      </c>
      <c r="AK346" s="83" t="str">
        <f t="shared" si="23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0"/>
        <v/>
      </c>
      <c r="AE347" s="80" t="str">
        <f t="shared" si="21"/>
        <v/>
      </c>
      <c r="AF347" s="81"/>
      <c r="AG347" s="77"/>
      <c r="AH347" s="81"/>
      <c r="AI347" s="77"/>
      <c r="AJ347" s="82" t="str">
        <f t="shared" si="22"/>
        <v/>
      </c>
      <c r="AK347" s="83" t="str">
        <f t="shared" si="23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0"/>
        <v/>
      </c>
      <c r="AE348" s="80" t="str">
        <f t="shared" si="21"/>
        <v/>
      </c>
      <c r="AF348" s="81"/>
      <c r="AG348" s="77"/>
      <c r="AH348" s="81"/>
      <c r="AI348" s="77"/>
      <c r="AJ348" s="82" t="str">
        <f t="shared" si="22"/>
        <v/>
      </c>
      <c r="AK348" s="83" t="str">
        <f t="shared" si="23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0"/>
        <v/>
      </c>
      <c r="AE349" s="80" t="str">
        <f t="shared" si="21"/>
        <v/>
      </c>
      <c r="AF349" s="81"/>
      <c r="AG349" s="77"/>
      <c r="AH349" s="81"/>
      <c r="AI349" s="77"/>
      <c r="AJ349" s="82" t="str">
        <f t="shared" si="22"/>
        <v/>
      </c>
      <c r="AK349" s="83" t="str">
        <f t="shared" si="23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0"/>
        <v/>
      </c>
      <c r="AE350" s="80" t="str">
        <f t="shared" si="21"/>
        <v/>
      </c>
      <c r="AF350" s="81"/>
      <c r="AG350" s="77"/>
      <c r="AH350" s="81"/>
      <c r="AI350" s="77"/>
      <c r="AJ350" s="82" t="str">
        <f t="shared" si="22"/>
        <v/>
      </c>
      <c r="AK350" s="83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3867" priority="8633" stopIfTrue="1" operator="equal">
      <formula>"En cours"</formula>
    </cfRule>
    <cfRule type="cellIs" dxfId="3866" priority="8634" stopIfTrue="1" operator="notEqual">
      <formula>"En cours"</formula>
    </cfRule>
  </conditionalFormatting>
  <conditionalFormatting sqref="AK36">
    <cfRule type="cellIs" dxfId="3865" priority="8635" stopIfTrue="1" operator="equal">
      <formula>"En cours"</formula>
    </cfRule>
    <cfRule type="cellIs" dxfId="3864" priority="8636" stopIfTrue="1" operator="notEqual">
      <formula>"En cours"</formula>
    </cfRule>
  </conditionalFormatting>
  <conditionalFormatting sqref="AJ34">
    <cfRule type="cellIs" dxfId="1987" priority="31769" stopIfTrue="1" operator="equal">
      <formula>"En cours"</formula>
    </cfRule>
    <cfRule type="cellIs" dxfId="1986" priority="31770" stopIfTrue="1" operator="notEqual">
      <formula>"En cours"</formula>
    </cfRule>
  </conditionalFormatting>
  <conditionalFormatting sqref="AK34">
    <cfRule type="cellIs" dxfId="1985" priority="31771" stopIfTrue="1" operator="equal">
      <formula>"En cours"</formula>
    </cfRule>
    <cfRule type="cellIs" dxfId="1984" priority="31772" stopIfTrue="1" operator="notEqual">
      <formula>"En cours"</formula>
    </cfRule>
  </conditionalFormatting>
  <conditionalFormatting sqref="AJ35">
    <cfRule type="cellIs" dxfId="1675" priority="32081" stopIfTrue="1" operator="equal">
      <formula>"En cours"</formula>
    </cfRule>
  </conditionalFormatting>
  <conditionalFormatting sqref="AJ35">
    <cfRule type="cellIs" dxfId="1674" priority="32082" stopIfTrue="1" operator="notEqual">
      <formula>"En cours"</formula>
    </cfRule>
  </conditionalFormatting>
  <conditionalFormatting sqref="AK35">
    <cfRule type="cellIs" dxfId="1673" priority="32083" stopIfTrue="1" operator="equal">
      <formula>"En cours"</formula>
    </cfRule>
  </conditionalFormatting>
  <conditionalFormatting sqref="AK35">
    <cfRule type="cellIs" dxfId="1672" priority="32084" stopIfTrue="1" operator="notEqual">
      <formula>"En cours"</formula>
    </cfRule>
  </conditionalFormatting>
  <conditionalFormatting sqref="AJ22">
    <cfRule type="cellIs" dxfId="511" priority="33245" stopIfTrue="1" operator="equal">
      <formula>"En cours"</formula>
    </cfRule>
  </conditionalFormatting>
  <conditionalFormatting sqref="AJ22">
    <cfRule type="cellIs" dxfId="510" priority="33246" stopIfTrue="1" operator="notEqual">
      <formula>"En cours"</formula>
    </cfRule>
  </conditionalFormatting>
  <conditionalFormatting sqref="AK22">
    <cfRule type="cellIs" dxfId="509" priority="33247" stopIfTrue="1" operator="equal">
      <formula>"En cours"</formula>
    </cfRule>
  </conditionalFormatting>
  <conditionalFormatting sqref="AK22">
    <cfRule type="cellIs" dxfId="508" priority="33248" stopIfTrue="1" operator="notEqual">
      <formula>"En cours"</formula>
    </cfRule>
  </conditionalFormatting>
  <conditionalFormatting sqref="AJ8">
    <cfRule type="cellIs" dxfId="423" priority="33333" stopIfTrue="1" operator="equal">
      <formula>"En cours"</formula>
    </cfRule>
  </conditionalFormatting>
  <conditionalFormatting sqref="AJ8">
    <cfRule type="cellIs" dxfId="422" priority="33334" stopIfTrue="1" operator="notEqual">
      <formula>"En cours"</formula>
    </cfRule>
  </conditionalFormatting>
  <conditionalFormatting sqref="AK8">
    <cfRule type="cellIs" dxfId="421" priority="33335" stopIfTrue="1" operator="equal">
      <formula>"En cours"</formula>
    </cfRule>
  </conditionalFormatting>
  <conditionalFormatting sqref="AK8">
    <cfRule type="cellIs" dxfId="420" priority="33336" stopIfTrue="1" operator="notEqual">
      <formula>"En cours"</formula>
    </cfRule>
  </conditionalFormatting>
  <conditionalFormatting sqref="AJ26">
    <cfRule type="cellIs" dxfId="415" priority="33341" stopIfTrue="1" operator="equal">
      <formula>"En cours"</formula>
    </cfRule>
  </conditionalFormatting>
  <conditionalFormatting sqref="AJ26">
    <cfRule type="cellIs" dxfId="414" priority="33342" stopIfTrue="1" operator="notEqual">
      <formula>"En cours"</formula>
    </cfRule>
  </conditionalFormatting>
  <conditionalFormatting sqref="AK26">
    <cfRule type="cellIs" dxfId="413" priority="33343" stopIfTrue="1" operator="equal">
      <formula>"En cours"</formula>
    </cfRule>
  </conditionalFormatting>
  <conditionalFormatting sqref="AK26">
    <cfRule type="cellIs" dxfId="412" priority="33344" stopIfTrue="1" operator="notEqual">
      <formula>"En cours"</formula>
    </cfRule>
  </conditionalFormatting>
  <conditionalFormatting sqref="AJ20">
    <cfRule type="cellIs" dxfId="391" priority="33365" stopIfTrue="1" operator="equal">
      <formula>"En cours"</formula>
    </cfRule>
  </conditionalFormatting>
  <conditionalFormatting sqref="AJ20">
    <cfRule type="cellIs" dxfId="390" priority="33366" stopIfTrue="1" operator="notEqual">
      <formula>"En cours"</formula>
    </cfRule>
  </conditionalFormatting>
  <conditionalFormatting sqref="AK20">
    <cfRule type="cellIs" dxfId="389" priority="33367" stopIfTrue="1" operator="equal">
      <formula>"En cours"</formula>
    </cfRule>
  </conditionalFormatting>
  <conditionalFormatting sqref="AK20">
    <cfRule type="cellIs" dxfId="388" priority="33368" stopIfTrue="1" operator="notEqual">
      <formula>"En cours"</formula>
    </cfRule>
  </conditionalFormatting>
  <conditionalFormatting sqref="AJ32">
    <cfRule type="cellIs" dxfId="323" priority="33433" stopIfTrue="1" operator="equal">
      <formula>"En cours"</formula>
    </cfRule>
  </conditionalFormatting>
  <conditionalFormatting sqref="AJ32">
    <cfRule type="cellIs" dxfId="322" priority="33434" stopIfTrue="1" operator="notEqual">
      <formula>"En cours"</formula>
    </cfRule>
  </conditionalFormatting>
  <conditionalFormatting sqref="AK32">
    <cfRule type="cellIs" dxfId="321" priority="33435" stopIfTrue="1" operator="equal">
      <formula>"En cours"</formula>
    </cfRule>
  </conditionalFormatting>
  <conditionalFormatting sqref="AK32">
    <cfRule type="cellIs" dxfId="320" priority="33436" stopIfTrue="1" operator="notEqual">
      <formula>"En cours"</formula>
    </cfRule>
  </conditionalFormatting>
  <conditionalFormatting sqref="AJ29">
    <cfRule type="cellIs" dxfId="319" priority="33437" stopIfTrue="1" operator="equal">
      <formula>"En cours"</formula>
    </cfRule>
  </conditionalFormatting>
  <conditionalFormatting sqref="AJ29">
    <cfRule type="cellIs" dxfId="318" priority="33438" stopIfTrue="1" operator="notEqual">
      <formula>"En cours"</formula>
    </cfRule>
  </conditionalFormatting>
  <conditionalFormatting sqref="AK29">
    <cfRule type="cellIs" dxfId="317" priority="33439" stopIfTrue="1" operator="equal">
      <formula>"En cours"</formula>
    </cfRule>
  </conditionalFormatting>
  <conditionalFormatting sqref="AK29">
    <cfRule type="cellIs" dxfId="316" priority="33440" stopIfTrue="1" operator="notEqual">
      <formula>"En cours"</formula>
    </cfRule>
  </conditionalFormatting>
  <conditionalFormatting sqref="AJ24">
    <cfRule type="cellIs" dxfId="219" priority="33537" stopIfTrue="1" operator="equal">
      <formula>"En cours"</formula>
    </cfRule>
  </conditionalFormatting>
  <conditionalFormatting sqref="AJ24">
    <cfRule type="cellIs" dxfId="218" priority="33538" stopIfTrue="1" operator="notEqual">
      <formula>"En cours"</formula>
    </cfRule>
  </conditionalFormatting>
  <conditionalFormatting sqref="AK24">
    <cfRule type="cellIs" dxfId="217" priority="33539" stopIfTrue="1" operator="equal">
      <formula>"En cours"</formula>
    </cfRule>
  </conditionalFormatting>
  <conditionalFormatting sqref="AK24">
    <cfRule type="cellIs" dxfId="216" priority="33540" stopIfTrue="1" operator="notEqual">
      <formula>"En cours"</formula>
    </cfRule>
  </conditionalFormatting>
  <conditionalFormatting sqref="AJ31">
    <cfRule type="cellIs" dxfId="91" priority="33665" stopIfTrue="1" operator="equal">
      <formula>"En cours"</formula>
    </cfRule>
  </conditionalFormatting>
  <conditionalFormatting sqref="AJ31">
    <cfRule type="cellIs" dxfId="90" priority="33666" stopIfTrue="1" operator="notEqual">
      <formula>"En cours"</formula>
    </cfRule>
  </conditionalFormatting>
  <conditionalFormatting sqref="AK31">
    <cfRule type="cellIs" dxfId="89" priority="33667" stopIfTrue="1" operator="equal">
      <formula>"En cours"</formula>
    </cfRule>
  </conditionalFormatting>
  <conditionalFormatting sqref="AK31">
    <cfRule type="cellIs" dxfId="88" priority="33668" stopIfTrue="1" operator="notEqual">
      <formula>"En cours"</formula>
    </cfRule>
  </conditionalFormatting>
  <conditionalFormatting sqref="AJ5">
    <cfRule type="cellIs" dxfId="87" priority="33669" stopIfTrue="1" operator="equal">
      <formula>"En cours"</formula>
    </cfRule>
  </conditionalFormatting>
  <conditionalFormatting sqref="AJ5">
    <cfRule type="cellIs" dxfId="86" priority="33670" stopIfTrue="1" operator="notEqual">
      <formula>"En cours"</formula>
    </cfRule>
  </conditionalFormatting>
  <conditionalFormatting sqref="AK5">
    <cfRule type="cellIs" dxfId="85" priority="33671" stopIfTrue="1" operator="equal">
      <formula>"En cours"</formula>
    </cfRule>
  </conditionalFormatting>
  <conditionalFormatting sqref="AK5">
    <cfRule type="cellIs" dxfId="84" priority="33672" stopIfTrue="1" operator="notEqual">
      <formula>"En cours"</formula>
    </cfRule>
  </conditionalFormatting>
  <conditionalFormatting sqref="AJ4">
    <cfRule type="cellIs" dxfId="83" priority="33673" stopIfTrue="1" operator="equal">
      <formula>"En cours"</formula>
    </cfRule>
    <cfRule type="cellIs" dxfId="82" priority="33674" stopIfTrue="1" operator="notEqual">
      <formula>"En cours"</formula>
    </cfRule>
  </conditionalFormatting>
  <conditionalFormatting sqref="AK4">
    <cfRule type="cellIs" dxfId="81" priority="33675" stopIfTrue="1" operator="equal">
      <formula>"En cours"</formula>
    </cfRule>
    <cfRule type="cellIs" dxfId="80" priority="33676" stopIfTrue="1" operator="notEqual">
      <formula>"En cours"</formula>
    </cfRule>
  </conditionalFormatting>
  <conditionalFormatting sqref="AJ25">
    <cfRule type="cellIs" dxfId="79" priority="33677" stopIfTrue="1" operator="equal">
      <formula>"En cours"</formula>
    </cfRule>
  </conditionalFormatting>
  <conditionalFormatting sqref="AJ25">
    <cfRule type="cellIs" dxfId="78" priority="33678" stopIfTrue="1" operator="notEqual">
      <formula>"En cours"</formula>
    </cfRule>
  </conditionalFormatting>
  <conditionalFormatting sqref="AK25">
    <cfRule type="cellIs" dxfId="77" priority="33679" stopIfTrue="1" operator="equal">
      <formula>"En cours"</formula>
    </cfRule>
  </conditionalFormatting>
  <conditionalFormatting sqref="AK25">
    <cfRule type="cellIs" dxfId="76" priority="33680" stopIfTrue="1" operator="notEqual">
      <formula>"En cours"</formula>
    </cfRule>
  </conditionalFormatting>
  <conditionalFormatting sqref="AJ9">
    <cfRule type="cellIs" dxfId="75" priority="33681" stopIfTrue="1" operator="equal">
      <formula>"En cours"</formula>
    </cfRule>
  </conditionalFormatting>
  <conditionalFormatting sqref="AJ9">
    <cfRule type="cellIs" dxfId="74" priority="33682" stopIfTrue="1" operator="notEqual">
      <formula>"En cours"</formula>
    </cfRule>
  </conditionalFormatting>
  <conditionalFormatting sqref="AK9">
    <cfRule type="cellIs" dxfId="73" priority="33683" stopIfTrue="1" operator="equal">
      <formula>"En cours"</formula>
    </cfRule>
  </conditionalFormatting>
  <conditionalFormatting sqref="AK9">
    <cfRule type="cellIs" dxfId="72" priority="33684" stopIfTrue="1" operator="notEqual">
      <formula>"En cours"</formula>
    </cfRule>
  </conditionalFormatting>
  <conditionalFormatting sqref="AJ21">
    <cfRule type="cellIs" dxfId="71" priority="33685" stopIfTrue="1" operator="equal">
      <formula>"En cours"</formula>
    </cfRule>
  </conditionalFormatting>
  <conditionalFormatting sqref="AJ21">
    <cfRule type="cellIs" dxfId="70" priority="33686" stopIfTrue="1" operator="notEqual">
      <formula>"En cours"</formula>
    </cfRule>
  </conditionalFormatting>
  <conditionalFormatting sqref="AK21">
    <cfRule type="cellIs" dxfId="69" priority="33687" stopIfTrue="1" operator="equal">
      <formula>"En cours"</formula>
    </cfRule>
  </conditionalFormatting>
  <conditionalFormatting sqref="AK21">
    <cfRule type="cellIs" dxfId="68" priority="33688" stopIfTrue="1" operator="notEqual">
      <formula>"En cours"</formula>
    </cfRule>
  </conditionalFormatting>
  <conditionalFormatting sqref="AJ10">
    <cfRule type="cellIs" dxfId="67" priority="33689" stopIfTrue="1" operator="equal">
      <formula>"En cours"</formula>
    </cfRule>
  </conditionalFormatting>
  <conditionalFormatting sqref="AJ10">
    <cfRule type="cellIs" dxfId="66" priority="33690" stopIfTrue="1" operator="notEqual">
      <formula>"En cours"</formula>
    </cfRule>
  </conditionalFormatting>
  <conditionalFormatting sqref="AK10">
    <cfRule type="cellIs" dxfId="65" priority="33691" stopIfTrue="1" operator="equal">
      <formula>"En cours"</formula>
    </cfRule>
  </conditionalFormatting>
  <conditionalFormatting sqref="AK10">
    <cfRule type="cellIs" dxfId="64" priority="33692" stopIfTrue="1" operator="notEqual">
      <formula>"En cours"</formula>
    </cfRule>
  </conditionalFormatting>
  <conditionalFormatting sqref="AJ6">
    <cfRule type="cellIs" dxfId="63" priority="33693" stopIfTrue="1" operator="equal">
      <formula>"En cours"</formula>
    </cfRule>
  </conditionalFormatting>
  <conditionalFormatting sqref="AJ6">
    <cfRule type="cellIs" dxfId="62" priority="33694" stopIfTrue="1" operator="notEqual">
      <formula>"En cours"</formula>
    </cfRule>
  </conditionalFormatting>
  <conditionalFormatting sqref="AK6">
    <cfRule type="cellIs" dxfId="61" priority="33695" stopIfTrue="1" operator="equal">
      <formula>"En cours"</formula>
    </cfRule>
  </conditionalFormatting>
  <conditionalFormatting sqref="AK6">
    <cfRule type="cellIs" dxfId="60" priority="33696" stopIfTrue="1" operator="notEqual">
      <formula>"En cours"</formula>
    </cfRule>
  </conditionalFormatting>
  <conditionalFormatting sqref="AJ7">
    <cfRule type="cellIs" dxfId="59" priority="33697" stopIfTrue="1" operator="equal">
      <formula>"En cours"</formula>
    </cfRule>
  </conditionalFormatting>
  <conditionalFormatting sqref="AJ7">
    <cfRule type="cellIs" dxfId="58" priority="33698" stopIfTrue="1" operator="notEqual">
      <formula>"En cours"</formula>
    </cfRule>
  </conditionalFormatting>
  <conditionalFormatting sqref="AK7">
    <cfRule type="cellIs" dxfId="57" priority="33699" stopIfTrue="1" operator="equal">
      <formula>"En cours"</formula>
    </cfRule>
  </conditionalFormatting>
  <conditionalFormatting sqref="AK7">
    <cfRule type="cellIs" dxfId="56" priority="33700" stopIfTrue="1" operator="notEqual">
      <formula>"En cours"</formula>
    </cfRule>
  </conditionalFormatting>
  <conditionalFormatting sqref="AJ11">
    <cfRule type="cellIs" dxfId="55" priority="33701" stopIfTrue="1" operator="equal">
      <formula>"En cours"</formula>
    </cfRule>
  </conditionalFormatting>
  <conditionalFormatting sqref="AJ11">
    <cfRule type="cellIs" dxfId="54" priority="33702" stopIfTrue="1" operator="notEqual">
      <formula>"En cours"</formula>
    </cfRule>
  </conditionalFormatting>
  <conditionalFormatting sqref="AK11">
    <cfRule type="cellIs" dxfId="53" priority="33703" stopIfTrue="1" operator="equal">
      <formula>"En cours"</formula>
    </cfRule>
  </conditionalFormatting>
  <conditionalFormatting sqref="AK11">
    <cfRule type="cellIs" dxfId="52" priority="33704" stopIfTrue="1" operator="notEqual">
      <formula>"En cours"</formula>
    </cfRule>
  </conditionalFormatting>
  <conditionalFormatting sqref="AJ16">
    <cfRule type="cellIs" dxfId="51" priority="33705" stopIfTrue="1" operator="equal">
      <formula>"En cours"</formula>
    </cfRule>
  </conditionalFormatting>
  <conditionalFormatting sqref="AJ16">
    <cfRule type="cellIs" dxfId="50" priority="33706" stopIfTrue="1" operator="notEqual">
      <formula>"En cours"</formula>
    </cfRule>
  </conditionalFormatting>
  <conditionalFormatting sqref="AK16">
    <cfRule type="cellIs" dxfId="49" priority="33707" stopIfTrue="1" operator="equal">
      <formula>"En cours"</formula>
    </cfRule>
  </conditionalFormatting>
  <conditionalFormatting sqref="AK16">
    <cfRule type="cellIs" dxfId="48" priority="33708" stopIfTrue="1" operator="notEqual">
      <formula>"En cours"</formula>
    </cfRule>
  </conditionalFormatting>
  <conditionalFormatting sqref="AJ15">
    <cfRule type="cellIs" dxfId="47" priority="33709" stopIfTrue="1" operator="equal">
      <formula>"En cours"</formula>
    </cfRule>
  </conditionalFormatting>
  <conditionalFormatting sqref="AJ15">
    <cfRule type="cellIs" dxfId="46" priority="33710" stopIfTrue="1" operator="notEqual">
      <formula>"En cours"</formula>
    </cfRule>
  </conditionalFormatting>
  <conditionalFormatting sqref="AK15">
    <cfRule type="cellIs" dxfId="45" priority="33711" stopIfTrue="1" operator="equal">
      <formula>"En cours"</formula>
    </cfRule>
  </conditionalFormatting>
  <conditionalFormatting sqref="AK15">
    <cfRule type="cellIs" dxfId="44" priority="33712" stopIfTrue="1" operator="notEqual">
      <formula>"En cours"</formula>
    </cfRule>
  </conditionalFormatting>
  <conditionalFormatting sqref="AJ27">
    <cfRule type="cellIs" dxfId="43" priority="33713" stopIfTrue="1" operator="equal">
      <formula>"En cours"</formula>
    </cfRule>
  </conditionalFormatting>
  <conditionalFormatting sqref="AJ27">
    <cfRule type="cellIs" dxfId="42" priority="33714" stopIfTrue="1" operator="notEqual">
      <formula>"En cours"</formula>
    </cfRule>
  </conditionalFormatting>
  <conditionalFormatting sqref="AK27">
    <cfRule type="cellIs" dxfId="41" priority="33715" stopIfTrue="1" operator="equal">
      <formula>"En cours"</formula>
    </cfRule>
  </conditionalFormatting>
  <conditionalFormatting sqref="AK27">
    <cfRule type="cellIs" dxfId="40" priority="33716" stopIfTrue="1" operator="notEqual">
      <formula>"En cours"</formula>
    </cfRule>
  </conditionalFormatting>
  <conditionalFormatting sqref="AJ19">
    <cfRule type="cellIs" dxfId="39" priority="33717" stopIfTrue="1" operator="equal">
      <formula>"En cours"</formula>
    </cfRule>
  </conditionalFormatting>
  <conditionalFormatting sqref="AJ19">
    <cfRule type="cellIs" dxfId="38" priority="33718" stopIfTrue="1" operator="notEqual">
      <formula>"En cours"</formula>
    </cfRule>
  </conditionalFormatting>
  <conditionalFormatting sqref="AK19">
    <cfRule type="cellIs" dxfId="37" priority="33719" stopIfTrue="1" operator="equal">
      <formula>"En cours"</formula>
    </cfRule>
  </conditionalFormatting>
  <conditionalFormatting sqref="AK19">
    <cfRule type="cellIs" dxfId="36" priority="33720" stopIfTrue="1" operator="notEqual">
      <formula>"En cours"</formula>
    </cfRule>
  </conditionalFormatting>
  <conditionalFormatting sqref="AJ23">
    <cfRule type="cellIs" dxfId="35" priority="33721" stopIfTrue="1" operator="equal">
      <formula>"En cours"</formula>
    </cfRule>
  </conditionalFormatting>
  <conditionalFormatting sqref="AJ23">
    <cfRule type="cellIs" dxfId="34" priority="33722" stopIfTrue="1" operator="notEqual">
      <formula>"En cours"</formula>
    </cfRule>
  </conditionalFormatting>
  <conditionalFormatting sqref="AK23">
    <cfRule type="cellIs" dxfId="33" priority="33723" stopIfTrue="1" operator="equal">
      <formula>"En cours"</formula>
    </cfRule>
  </conditionalFormatting>
  <conditionalFormatting sqref="AK23">
    <cfRule type="cellIs" dxfId="32" priority="33724" stopIfTrue="1" operator="notEqual">
      <formula>"En cours"</formula>
    </cfRule>
  </conditionalFormatting>
  <conditionalFormatting sqref="AJ12">
    <cfRule type="cellIs" dxfId="31" priority="33725" stopIfTrue="1" operator="equal">
      <formula>"En cours"</formula>
    </cfRule>
  </conditionalFormatting>
  <conditionalFormatting sqref="AJ12">
    <cfRule type="cellIs" dxfId="30" priority="33726" stopIfTrue="1" operator="notEqual">
      <formula>"En cours"</formula>
    </cfRule>
  </conditionalFormatting>
  <conditionalFormatting sqref="AK12">
    <cfRule type="cellIs" dxfId="29" priority="33727" stopIfTrue="1" operator="equal">
      <formula>"En cours"</formula>
    </cfRule>
  </conditionalFormatting>
  <conditionalFormatting sqref="AK12">
    <cfRule type="cellIs" dxfId="28" priority="33728" stopIfTrue="1" operator="notEqual">
      <formula>"En cours"</formula>
    </cfRule>
  </conditionalFormatting>
  <conditionalFormatting sqref="AJ14">
    <cfRule type="cellIs" dxfId="27" priority="33729" stopIfTrue="1" operator="equal">
      <formula>"En cours"</formula>
    </cfRule>
  </conditionalFormatting>
  <conditionalFormatting sqref="AJ14">
    <cfRule type="cellIs" dxfId="26" priority="33730" stopIfTrue="1" operator="notEqual">
      <formula>"En cours"</formula>
    </cfRule>
  </conditionalFormatting>
  <conditionalFormatting sqref="AK14">
    <cfRule type="cellIs" dxfId="25" priority="33731" stopIfTrue="1" operator="equal">
      <formula>"En cours"</formula>
    </cfRule>
  </conditionalFormatting>
  <conditionalFormatting sqref="AK14">
    <cfRule type="cellIs" dxfId="24" priority="33732" stopIfTrue="1" operator="notEqual">
      <formula>"En cours"</formula>
    </cfRule>
  </conditionalFormatting>
  <conditionalFormatting sqref="AJ13">
    <cfRule type="cellIs" dxfId="23" priority="33733" stopIfTrue="1" operator="equal">
      <formula>"En cours"</formula>
    </cfRule>
  </conditionalFormatting>
  <conditionalFormatting sqref="AJ13">
    <cfRule type="cellIs" dxfId="22" priority="33734" stopIfTrue="1" operator="notEqual">
      <formula>"En cours"</formula>
    </cfRule>
  </conditionalFormatting>
  <conditionalFormatting sqref="AK13">
    <cfRule type="cellIs" dxfId="21" priority="33735" stopIfTrue="1" operator="equal">
      <formula>"En cours"</formula>
    </cfRule>
  </conditionalFormatting>
  <conditionalFormatting sqref="AK13">
    <cfRule type="cellIs" dxfId="20" priority="33736" stopIfTrue="1" operator="notEqual">
      <formula>"En cours"</formula>
    </cfRule>
  </conditionalFormatting>
  <conditionalFormatting sqref="AJ30">
    <cfRule type="cellIs" dxfId="19" priority="33737" stopIfTrue="1" operator="equal">
      <formula>"En cours"</formula>
    </cfRule>
  </conditionalFormatting>
  <conditionalFormatting sqref="AJ30">
    <cfRule type="cellIs" dxfId="18" priority="33738" stopIfTrue="1" operator="notEqual">
      <formula>"En cours"</formula>
    </cfRule>
  </conditionalFormatting>
  <conditionalFormatting sqref="AK30">
    <cfRule type="cellIs" dxfId="17" priority="33739" stopIfTrue="1" operator="equal">
      <formula>"En cours"</formula>
    </cfRule>
  </conditionalFormatting>
  <conditionalFormatting sqref="AK30">
    <cfRule type="cellIs" dxfId="16" priority="33740" stopIfTrue="1" operator="notEqual">
      <formula>"En cours"</formula>
    </cfRule>
  </conditionalFormatting>
  <conditionalFormatting sqref="AJ17">
    <cfRule type="cellIs" dxfId="15" priority="33741" stopIfTrue="1" operator="equal">
      <formula>"En cours"</formula>
    </cfRule>
  </conditionalFormatting>
  <conditionalFormatting sqref="AJ17">
    <cfRule type="cellIs" dxfId="14" priority="33742" stopIfTrue="1" operator="notEqual">
      <formula>"En cours"</formula>
    </cfRule>
  </conditionalFormatting>
  <conditionalFormatting sqref="AK17">
    <cfRule type="cellIs" dxfId="13" priority="33743" stopIfTrue="1" operator="equal">
      <formula>"En cours"</formula>
    </cfRule>
  </conditionalFormatting>
  <conditionalFormatting sqref="AK17">
    <cfRule type="cellIs" dxfId="12" priority="33744" stopIfTrue="1" operator="notEqual">
      <formula>"En cours"</formula>
    </cfRule>
  </conditionalFormatting>
  <conditionalFormatting sqref="AJ33">
    <cfRule type="cellIs" dxfId="11" priority="33745" stopIfTrue="1" operator="equal">
      <formula>"En cours"</formula>
    </cfRule>
  </conditionalFormatting>
  <conditionalFormatting sqref="AJ33">
    <cfRule type="cellIs" dxfId="10" priority="33746" stopIfTrue="1" operator="notEqual">
      <formula>"En cours"</formula>
    </cfRule>
  </conditionalFormatting>
  <conditionalFormatting sqref="AK33">
    <cfRule type="cellIs" dxfId="9" priority="33747" stopIfTrue="1" operator="equal">
      <formula>"En cours"</formula>
    </cfRule>
  </conditionalFormatting>
  <conditionalFormatting sqref="AK33">
    <cfRule type="cellIs" dxfId="8" priority="33748" stopIfTrue="1" operator="notEqual">
      <formula>"En cours"</formula>
    </cfRule>
  </conditionalFormatting>
  <conditionalFormatting sqref="AJ28">
    <cfRule type="cellIs" dxfId="7" priority="33749" stopIfTrue="1" operator="equal">
      <formula>"En cours"</formula>
    </cfRule>
    <cfRule type="cellIs" dxfId="6" priority="33750" stopIfTrue="1" operator="notEqual">
      <formula>"En cours"</formula>
    </cfRule>
  </conditionalFormatting>
  <conditionalFormatting sqref="AK28">
    <cfRule type="cellIs" dxfId="5" priority="33751" stopIfTrue="1" operator="equal">
      <formula>"En cours"</formula>
    </cfRule>
    <cfRule type="cellIs" dxfId="4" priority="33752" stopIfTrue="1" operator="notEqual">
      <formula>"En cours"</formula>
    </cfRule>
  </conditionalFormatting>
  <conditionalFormatting sqref="AJ18">
    <cfRule type="cellIs" dxfId="3" priority="33753" stopIfTrue="1" operator="equal">
      <formula>"En cours"</formula>
    </cfRule>
  </conditionalFormatting>
  <conditionalFormatting sqref="AJ18">
    <cfRule type="cellIs" dxfId="2" priority="33754" stopIfTrue="1" operator="notEqual">
      <formula>"En cours"</formula>
    </cfRule>
  </conditionalFormatting>
  <conditionalFormatting sqref="AK18">
    <cfRule type="cellIs" dxfId="1" priority="33755" stopIfTrue="1" operator="equal">
      <formula>"En cours"</formula>
    </cfRule>
  </conditionalFormatting>
  <conditionalFormatting sqref="AK18">
    <cfRule type="cellIs" dxfId="0" priority="3375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E38" sqref="E3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197"/>
      <c r="C5" s="197"/>
      <c r="D5" s="197"/>
      <c r="E5" s="197"/>
      <c r="F5" s="19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2024-08-06T19:10:19Z</dcterms:modified>
</cp:coreProperties>
</file>