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D9010FFD-490B-4D9E-A2DF-9DF3230AB02F}" xr6:coauthVersionLast="47" xr6:coauthVersionMax="47" xr10:uidLastSave="{00000000-0000-0000-0000-000000000000}"/>
  <bookViews>
    <workbookView xWindow="5970" yWindow="2115" windowWidth="27180" windowHeight="18765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77" i="4" l="1"/>
  <c r="AE77" i="4"/>
  <c r="AK77" i="4" s="1"/>
  <c r="AD77" i="4"/>
  <c r="AE75" i="4"/>
  <c r="AK75" i="4" s="1"/>
  <c r="AD75" i="4"/>
  <c r="AJ75" i="4" s="1"/>
  <c r="AE74" i="4"/>
  <c r="AK74" i="4" s="1"/>
  <c r="AD74" i="4"/>
  <c r="AJ74" i="4" s="1"/>
  <c r="AK76" i="4"/>
  <c r="AE76" i="4"/>
  <c r="AD76" i="4"/>
  <c r="AJ76" i="4" s="1"/>
  <c r="AE73" i="4"/>
  <c r="AK73" i="4" s="1"/>
  <c r="AD73" i="4"/>
  <c r="AJ73" i="4" s="1"/>
  <c r="AE71" i="4"/>
  <c r="AK71" i="4" s="1"/>
  <c r="AD71" i="4"/>
  <c r="AJ71" i="4" s="1"/>
  <c r="AJ63" i="4"/>
  <c r="AE63" i="4"/>
  <c r="AK63" i="4" s="1"/>
  <c r="AD63" i="4"/>
  <c r="AE69" i="4"/>
  <c r="AK69" i="4" s="1"/>
  <c r="AD69" i="4"/>
  <c r="AJ69" i="4" s="1"/>
  <c r="AE68" i="4"/>
  <c r="AK68" i="4" s="1"/>
  <c r="AD68" i="4"/>
  <c r="AJ68" i="4" s="1"/>
  <c r="AK61" i="4"/>
  <c r="AE61" i="4"/>
  <c r="AD61" i="4"/>
  <c r="AJ61" i="4" s="1"/>
  <c r="AE72" i="4"/>
  <c r="AK72" i="4" s="1"/>
  <c r="AD72" i="4"/>
  <c r="AJ72" i="4" s="1"/>
  <c r="AE64" i="4"/>
  <c r="AK64" i="4" s="1"/>
  <c r="AD64" i="4"/>
  <c r="AJ64" i="4" s="1"/>
  <c r="AJ62" i="4"/>
  <c r="AE62" i="4"/>
  <c r="AK62" i="4" s="1"/>
  <c r="AD62" i="4"/>
  <c r="AE65" i="4"/>
  <c r="AK65" i="4" s="1"/>
  <c r="AD65" i="4"/>
  <c r="AJ65" i="4" s="1"/>
  <c r="AE70" i="4"/>
  <c r="AK70" i="4" s="1"/>
  <c r="AD70" i="4"/>
  <c r="AJ70" i="4" s="1"/>
  <c r="AK59" i="4"/>
  <c r="AE59" i="4"/>
  <c r="AD59" i="4"/>
  <c r="AJ59" i="4" s="1"/>
  <c r="AE67" i="4"/>
  <c r="AK67" i="4" s="1"/>
  <c r="AD67" i="4"/>
  <c r="AJ67" i="4" s="1"/>
  <c r="AJ56" i="4"/>
  <c r="AE56" i="4"/>
  <c r="AK56" i="4" s="1"/>
  <c r="AD56" i="4"/>
  <c r="AJ60" i="4"/>
  <c r="AE60" i="4"/>
  <c r="AK60" i="4" s="1"/>
  <c r="AD60" i="4"/>
  <c r="AE66" i="4"/>
  <c r="AK66" i="4" s="1"/>
  <c r="AD66" i="4"/>
  <c r="AJ66" i="4" s="1"/>
  <c r="AE58" i="4"/>
  <c r="AK58" i="4" s="1"/>
  <c r="AD58" i="4"/>
  <c r="AJ58" i="4" s="1"/>
  <c r="AK57" i="4"/>
  <c r="AE57" i="4"/>
  <c r="AD57" i="4"/>
  <c r="AJ57" i="4" s="1"/>
  <c r="AE53" i="4"/>
  <c r="AK53" i="4" s="1"/>
  <c r="AD53" i="4"/>
  <c r="AJ53" i="4" s="1"/>
  <c r="AE55" i="4"/>
  <c r="AK55" i="4" s="1"/>
  <c r="AD55" i="4"/>
  <c r="AJ55" i="4" s="1"/>
  <c r="AJ52" i="4"/>
  <c r="AE52" i="4"/>
  <c r="AK52" i="4" s="1"/>
  <c r="AD52" i="4"/>
  <c r="AE54" i="4"/>
  <c r="AK54" i="4" s="1"/>
  <c r="AD54" i="4"/>
  <c r="AJ54" i="4" s="1"/>
  <c r="AE51" i="4"/>
  <c r="AK51" i="4" s="1"/>
  <c r="AD51" i="4"/>
  <c r="AJ51" i="4" s="1"/>
  <c r="AK47" i="4"/>
  <c r="AE47" i="4"/>
  <c r="AD47" i="4"/>
  <c r="AJ47" i="4" s="1"/>
  <c r="AE43" i="4"/>
  <c r="AK43" i="4" s="1"/>
  <c r="AD43" i="4"/>
  <c r="AJ43" i="4" s="1"/>
  <c r="AE50" i="4"/>
  <c r="AK50" i="4" s="1"/>
  <c r="AD50" i="4"/>
  <c r="AJ50" i="4" s="1"/>
  <c r="AJ44" i="4"/>
  <c r="AE44" i="4"/>
  <c r="AK44" i="4" s="1"/>
  <c r="AD44" i="4"/>
  <c r="AE45" i="4"/>
  <c r="AK45" i="4" s="1"/>
  <c r="AD45" i="4"/>
  <c r="AJ45" i="4" s="1"/>
  <c r="AE48" i="4"/>
  <c r="AK48" i="4" s="1"/>
  <c r="AD48" i="4"/>
  <c r="AJ48" i="4" s="1"/>
  <c r="AK36" i="4"/>
  <c r="AE36" i="4"/>
  <c r="AD36" i="4"/>
  <c r="AJ36" i="4" s="1"/>
  <c r="AE49" i="4"/>
  <c r="AK49" i="4" s="1"/>
  <c r="AD49" i="4"/>
  <c r="AJ49" i="4" s="1"/>
  <c r="AE42" i="4"/>
  <c r="AK42" i="4" s="1"/>
  <c r="AD42" i="4"/>
  <c r="AJ42" i="4" s="1"/>
  <c r="AJ40" i="4"/>
  <c r="AE40" i="4"/>
  <c r="AK40" i="4" s="1"/>
  <c r="AD40" i="4"/>
  <c r="AE33" i="4"/>
  <c r="AK33" i="4" s="1"/>
  <c r="AD33" i="4"/>
  <c r="AJ33" i="4" s="1"/>
  <c r="AE32" i="4"/>
  <c r="AK32" i="4" s="1"/>
  <c r="AD32" i="4"/>
  <c r="AJ32" i="4" s="1"/>
  <c r="AK31" i="4"/>
  <c r="AE31" i="4"/>
  <c r="AD31" i="4"/>
  <c r="AJ31" i="4" s="1"/>
  <c r="AE46" i="4"/>
  <c r="AK46" i="4" s="1"/>
  <c r="AD46" i="4"/>
  <c r="AJ46" i="4" s="1"/>
  <c r="AE39" i="4"/>
  <c r="AK39" i="4" s="1"/>
  <c r="AD39" i="4"/>
  <c r="AJ39" i="4" s="1"/>
  <c r="AJ35" i="4"/>
  <c r="AE35" i="4"/>
  <c r="AK35" i="4" s="1"/>
  <c r="AD35" i="4"/>
  <c r="AE27" i="4"/>
  <c r="AK27" i="4" s="1"/>
  <c r="AD27" i="4"/>
  <c r="AJ27" i="4" s="1"/>
  <c r="AE38" i="4"/>
  <c r="AK38" i="4" s="1"/>
  <c r="AD38" i="4"/>
  <c r="AJ38" i="4" s="1"/>
  <c r="AK37" i="4"/>
  <c r="AE37" i="4"/>
  <c r="AD37" i="4"/>
  <c r="AJ37" i="4" s="1"/>
  <c r="AE22" i="4"/>
  <c r="AK22" i="4" s="1"/>
  <c r="AD22" i="4"/>
  <c r="AJ22" i="4" s="1"/>
  <c r="AE41" i="4"/>
  <c r="AK41" i="4" s="1"/>
  <c r="AD41" i="4"/>
  <c r="AJ41" i="4" s="1"/>
  <c r="AJ30" i="4"/>
  <c r="AE30" i="4"/>
  <c r="AK30" i="4" s="1"/>
  <c r="AD30" i="4"/>
  <c r="AE29" i="4"/>
  <c r="AK29" i="4" s="1"/>
  <c r="AD29" i="4"/>
  <c r="AJ29" i="4" s="1"/>
  <c r="AE34" i="4"/>
  <c r="AK34" i="4" s="1"/>
  <c r="AD34" i="4"/>
  <c r="AJ34" i="4" s="1"/>
  <c r="AK28" i="4"/>
  <c r="AE28" i="4"/>
  <c r="AD28" i="4"/>
  <c r="AJ28" i="4" s="1"/>
  <c r="AE21" i="4"/>
  <c r="AK21" i="4" s="1"/>
  <c r="AD21" i="4"/>
  <c r="AJ21" i="4" s="1"/>
  <c r="AE26" i="4"/>
  <c r="AK26" i="4" s="1"/>
  <c r="AD26" i="4"/>
  <c r="AJ26" i="4" s="1"/>
  <c r="AJ24" i="4"/>
  <c r="AE24" i="4"/>
  <c r="AK24" i="4" s="1"/>
  <c r="AD24" i="4"/>
  <c r="AE25" i="4"/>
  <c r="AK25" i="4" s="1"/>
  <c r="AD25" i="4"/>
  <c r="AJ25" i="4" s="1"/>
  <c r="AE23" i="4"/>
  <c r="AK23" i="4" s="1"/>
  <c r="AD23" i="4"/>
  <c r="AJ23" i="4" s="1"/>
  <c r="AK17" i="4"/>
  <c r="AE17" i="4"/>
  <c r="AD17" i="4"/>
  <c r="AJ17" i="4" s="1"/>
  <c r="AE14" i="4"/>
  <c r="AK14" i="4" s="1"/>
  <c r="AD14" i="4"/>
  <c r="AJ14" i="4" s="1"/>
  <c r="AE19" i="4"/>
  <c r="AK19" i="4" s="1"/>
  <c r="AD19" i="4"/>
  <c r="AJ19" i="4" s="1"/>
  <c r="AJ18" i="4"/>
  <c r="AE18" i="4"/>
  <c r="AK18" i="4" s="1"/>
  <c r="AD18" i="4"/>
  <c r="AE13" i="4"/>
  <c r="AK13" i="4" s="1"/>
  <c r="AD13" i="4"/>
  <c r="AJ13" i="4" s="1"/>
  <c r="AE15" i="4"/>
  <c r="AK15" i="4" s="1"/>
  <c r="AD15" i="4"/>
  <c r="AJ15" i="4" s="1"/>
  <c r="AK11" i="4"/>
  <c r="AE11" i="4"/>
  <c r="AD11" i="4"/>
  <c r="AJ11" i="4" s="1"/>
  <c r="AE16" i="4"/>
  <c r="AK16" i="4" s="1"/>
  <c r="AD16" i="4"/>
  <c r="AJ16" i="4" s="1"/>
  <c r="AE9" i="4"/>
  <c r="AK9" i="4" s="1"/>
  <c r="AD9" i="4"/>
  <c r="AJ9" i="4" s="1"/>
  <c r="AJ12" i="4"/>
  <c r="AE12" i="4"/>
  <c r="AK12" i="4" s="1"/>
  <c r="AD12" i="4"/>
  <c r="AE20" i="4"/>
  <c r="AK20" i="4" s="1"/>
  <c r="AD20" i="4"/>
  <c r="AJ20" i="4" s="1"/>
  <c r="AE6" i="4"/>
  <c r="AK6" i="4" s="1"/>
  <c r="AD6" i="4"/>
  <c r="AJ6" i="4" s="1"/>
  <c r="AK5" i="4"/>
  <c r="AE5" i="4"/>
  <c r="AD5" i="4"/>
  <c r="AJ5" i="4" s="1"/>
  <c r="AE8" i="4"/>
  <c r="AK8" i="4" s="1"/>
  <c r="AD8" i="4"/>
  <c r="AJ8" i="4" s="1"/>
  <c r="AE10" i="4"/>
  <c r="AK10" i="4" s="1"/>
  <c r="AD10" i="4"/>
  <c r="AJ10" i="4" s="1"/>
  <c r="AJ7" i="4"/>
  <c r="AE7" i="4"/>
  <c r="AK7" i="4" s="1"/>
  <c r="AD7" i="4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119" i="4"/>
  <c r="AK119" i="4" s="1"/>
  <c r="AD119" i="4"/>
  <c r="AJ119" i="4" s="1"/>
  <c r="AE145" i="4"/>
  <c r="AK145" i="4" s="1"/>
  <c r="AD145" i="4"/>
  <c r="AJ14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118" i="4"/>
  <c r="AK118" i="4" s="1"/>
  <c r="AD118" i="4"/>
  <c r="AJ118" i="4" s="1"/>
  <c r="AE177" i="4"/>
  <c r="AK177" i="4" s="1"/>
  <c r="AD177" i="4"/>
  <c r="AJ177" i="4" s="1"/>
  <c r="AE161" i="4"/>
  <c r="AK161" i="4" s="1"/>
  <c r="AD161" i="4"/>
  <c r="AJ161" i="4" s="1"/>
  <c r="AE93" i="4"/>
  <c r="AK93" i="4" s="1"/>
  <c r="AD93" i="4"/>
  <c r="AJ93" i="4" s="1"/>
  <c r="AE153" i="4"/>
  <c r="AK153" i="4" s="1"/>
  <c r="AD153" i="4"/>
  <c r="AJ153" i="4" s="1"/>
  <c r="AE147" i="4"/>
  <c r="AK147" i="4" s="1"/>
  <c r="AD147" i="4"/>
  <c r="AJ147" i="4" s="1"/>
  <c r="AE158" i="4"/>
  <c r="AK158" i="4" s="1"/>
  <c r="AD158" i="4"/>
  <c r="AJ158" i="4" s="1"/>
  <c r="AE134" i="4"/>
  <c r="AK134" i="4" s="1"/>
  <c r="AD134" i="4"/>
  <c r="AJ134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100" i="4"/>
  <c r="AK100" i="4" s="1"/>
  <c r="AD100" i="4"/>
  <c r="AJ100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102" i="4"/>
  <c r="AK102" i="4" s="1"/>
  <c r="AD102" i="4"/>
  <c r="AJ102" i="4" s="1"/>
  <c r="AE125" i="4"/>
  <c r="AK125" i="4" s="1"/>
  <c r="AD125" i="4"/>
  <c r="AJ125" i="4" s="1"/>
  <c r="AE133" i="4"/>
  <c r="AK133" i="4" s="1"/>
  <c r="AD133" i="4"/>
  <c r="AJ133" i="4" s="1"/>
  <c r="AE156" i="4"/>
  <c r="AK156" i="4" s="1"/>
  <c r="AD156" i="4"/>
  <c r="AJ156" i="4" s="1"/>
  <c r="AE111" i="4"/>
  <c r="AK111" i="4" s="1"/>
  <c r="AD111" i="4"/>
  <c r="AJ111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92" i="4"/>
  <c r="AK92" i="4" s="1"/>
  <c r="AD92" i="4"/>
  <c r="AJ92" i="4" s="1"/>
  <c r="AE141" i="4"/>
  <c r="AK141" i="4" s="1"/>
  <c r="AD141" i="4"/>
  <c r="AJ141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179" i="4"/>
  <c r="AK179" i="4" s="1"/>
  <c r="AD179" i="4"/>
  <c r="AJ179" i="4" s="1"/>
  <c r="AE117" i="4"/>
  <c r="AK117" i="4" s="1"/>
  <c r="AD117" i="4"/>
  <c r="AJ117" i="4" s="1"/>
  <c r="AE109" i="4"/>
  <c r="AK109" i="4" s="1"/>
  <c r="AD109" i="4"/>
  <c r="AJ109" i="4" s="1"/>
  <c r="AE159" i="4"/>
  <c r="AK159" i="4" s="1"/>
  <c r="AD159" i="4"/>
  <c r="AJ159" i="4" s="1"/>
  <c r="AE137" i="4"/>
  <c r="AK137" i="4" s="1"/>
  <c r="AD137" i="4"/>
  <c r="AJ137" i="4" s="1"/>
  <c r="AE106" i="4"/>
  <c r="AK106" i="4" s="1"/>
  <c r="AD106" i="4"/>
  <c r="AJ106" i="4" s="1"/>
  <c r="AE26" i="5"/>
  <c r="AK26" i="5" s="1"/>
  <c r="AD26" i="5"/>
  <c r="AJ26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86" i="4"/>
  <c r="AK86" i="4" s="1"/>
  <c r="AD86" i="4"/>
  <c r="AJ86" i="4" s="1"/>
  <c r="AE84" i="4"/>
  <c r="AK84" i="4" s="1"/>
  <c r="AD84" i="4"/>
  <c r="AJ84" i="4" s="1"/>
  <c r="AE150" i="4"/>
  <c r="AK150" i="4" s="1"/>
  <c r="AD150" i="4"/>
  <c r="AJ150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80" i="4"/>
  <c r="AK80" i="4" s="1"/>
  <c r="AD80" i="4"/>
  <c r="AJ80" i="4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83" i="4"/>
  <c r="AK83" i="4" s="1"/>
  <c r="AD83" i="4"/>
  <c r="AJ83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131" i="4"/>
  <c r="AK131" i="4" s="1"/>
  <c r="AD131" i="4"/>
  <c r="AJ131" i="4" s="1"/>
  <c r="AE169" i="4"/>
  <c r="AK169" i="4" s="1"/>
  <c r="AD169" i="4"/>
  <c r="AJ169" i="4" s="1"/>
  <c r="AE33" i="5"/>
  <c r="AK33" i="5" s="1"/>
  <c r="AD33" i="5"/>
  <c r="AJ33" i="5" s="1"/>
  <c r="AE173" i="4"/>
  <c r="AK173" i="4" s="1"/>
  <c r="AD173" i="4"/>
  <c r="AJ173" i="4" s="1"/>
  <c r="AE132" i="4"/>
  <c r="AK132" i="4" s="1"/>
  <c r="AD132" i="4"/>
  <c r="AJ132" i="4" s="1"/>
  <c r="AE88" i="4"/>
  <c r="AK88" i="4" s="1"/>
  <c r="AD88" i="4"/>
  <c r="AJ88" i="4" s="1"/>
  <c r="AE142" i="4"/>
  <c r="AK142" i="4" s="1"/>
  <c r="AD142" i="4"/>
  <c r="AJ142" i="4" s="1"/>
  <c r="AE136" i="4"/>
  <c r="AK136" i="4" s="1"/>
  <c r="AD136" i="4"/>
  <c r="AJ136" i="4" s="1"/>
  <c r="AE138" i="4"/>
  <c r="AK138" i="4" s="1"/>
  <c r="AD138" i="4"/>
  <c r="AJ138" i="4" s="1"/>
  <c r="AE81" i="4"/>
  <c r="AK81" i="4" s="1"/>
  <c r="AD81" i="4"/>
  <c r="AJ81" i="4" s="1"/>
  <c r="AE105" i="4"/>
  <c r="AK105" i="4" s="1"/>
  <c r="AD105" i="4"/>
  <c r="AJ105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<sst xmlns="http://schemas.openxmlformats.org/spreadsheetml/2006/main" count="167" uniqueCount="102">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</sst>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5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8"/>
          <a:chOff x="8439150" y="1257299"/>
          <a:chExt cx="4581526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6"/>
            <a:ext cx="4533903" cy="1200152"/>
            <a:chOff x="7698064" y="870453"/>
            <a:chExt cx="3897982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34" cy="333376"/>
                <a:chOff x="7724775" y="1544583"/>
                <a:chExt cx="1790734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34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3" y="1535061"/>
                <a:ext cx="1596283" cy="342901"/>
                <a:chOff x="9999763" y="1535061"/>
                <a:chExt cx="1596283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3" y="1535061"/>
                      <a:ext cx="1596283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55" tableBorderDxfId="954">
  <tableColumns count="4">
    <tableColumn id="1" xr3:uid="{86185E31-EC52-4ECC-BC3E-33C26B14F7C2}" name="Series" dataDxfId="953">
      <calculatedColumnFormula>_xlfn.CONCAT($V$7," ",V8)</calculatedColumnFormula>
    </tableColumn>
    <tableColumn id="2" xr3:uid="{788D8AF7-A2FF-4152-9FEC-3D734C94A926}" name="Serie" dataDxfId="952"/>
    <tableColumn id="3" xr3:uid="{98F42830-BCA0-414B-9FEF-78FCD5DB348B}" name="indexMin" dataDxfId="951"/>
    <tableColumn id="4" xr3:uid="{E4B94243-8BBE-45E2-AAC0-0D18C5A6695E}" name="indexMax" dataDxfId="9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9" dataDxfId="947" headerRowBorderDxfId="948" tableBorderDxfId="946">
  <tableColumns count="1">
    <tableColumn id="1" xr3:uid="{8473C081-0E42-4FA9-8C99-E5B7E8CD3209}" name="Tours" dataDxfId="9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44" headerRowBorderDxfId="943" tableBorderDxfId="9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41" dataDxfId="940" tableBorderDxfId="939">
  <autoFilter ref="D12:F13" xr:uid="{FCA0E9AA-8BD9-46EB-B07B-67F06EACCB48}"/>
  <tableColumns count="3">
    <tableColumn id="1" xr3:uid="{47561816-2B53-47F6-822E-269C476F3FFD}" name="Tour importé" dataDxfId="938"/>
    <tableColumn id="2" xr3:uid="{E2C3F515-D8A3-4FC2-B632-32DB6D91A198}" name="Type" dataDxfId="937">
      <calculatedColumnFormula>INDEX(TableauType[TYPE],Tableau6[[#This Row],[TypeIndex]])</calculatedColumnFormula>
    </tableColumn>
    <tableColumn id="3" xr3:uid="{617E6B65-5E58-4C9B-9DC4-488608A74753}" name="TypeIndex" dataDxfId="9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35" dataDxfId="934">
  <autoFilter ref="AD7:AD15" xr:uid="{9029752C-EFC9-4C60-BDF1-B009EF2F440D}"/>
  <tableColumns count="1">
    <tableColumn id="1" xr3:uid="{47EFDC89-116E-4E91-94A2-C4CDC0579100}" name="Fichiers" dataDxfId="9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32" headerRowBorderDxfId="931" tableBorderDxfId="930" totalsRowBorderDxfId="929">
  <autoFilter ref="U18:V22" xr:uid="{BBFFD128-4797-4BD5-B581-AA8D8277F8F3}"/>
  <tableColumns count="2">
    <tableColumn id="1" xr3:uid="{903026A3-43DC-4900-8F6E-2271BCA97B81}" name="Colonne1" dataDxfId="928"/>
    <tableColumn id="2" xr3:uid="{C9FC1671-8A12-4C52-9797-E5DB3A7B67E7}" name="Colonne2" dataDxfId="9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7" t="s">
        <v>81</v>
      </c>
      <c r="Q5" s="178"/>
      <c r="R5" s="17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80">
        <f>IF(Tableau6[Type]=INDEX(TableauType[],1),U19,V19)</f>
        <v>0</v>
      </c>
      <c r="Q6" s="181"/>
      <c r="R6" s="18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3" t="str">
        <f>IF(Tableau6[Type]=INDEX(TableauType[],1),U20,V20)</f>
        <v>export_DAME_Net_12.xlsx</v>
      </c>
      <c r="Q7" s="184"/>
      <c r="R7" s="185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6" t="str">
        <f>IF(Tableau6[Type]=INDEX(TableauType[],1),U21,V21)</f>
        <v>export_DAME_Brut_34.xlsx</v>
      </c>
      <c r="Q8" s="187"/>
      <c r="R8" s="188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9" t="str">
        <f>IF(Tableau6[Type]=INDEX(TableauType[],1),U22,V22)</f>
        <v>export_DAME_Net_34.xlsx</v>
      </c>
      <c r="Q9" s="190"/>
      <c r="R9" s="191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DAME</v>
      </c>
      <c r="F13" s="109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5" t="s">
        <v>1</v>
      </c>
      <c r="C15" s="175"/>
      <c r="D15" s="175"/>
      <c r="E15" s="175"/>
      <c r="F15" s="175"/>
      <c r="G15" s="175"/>
      <c r="H15" s="175"/>
      <c r="I15" s="175"/>
      <c r="K15" s="176" t="s">
        <v>2</v>
      </c>
      <c r="L15" s="176"/>
      <c r="M15" s="176"/>
      <c r="N15" s="176"/>
      <c r="O15" s="176"/>
      <c r="P15" s="176"/>
      <c r="Q15" s="176"/>
      <c r="R15" s="17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2" t="s">
        <v>98</v>
      </c>
      <c r="Y18" s="173"/>
      <c r="Z18" s="173"/>
      <c r="AA18" s="173"/>
      <c r="AB18" s="174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2" t="s">
        <v>99</v>
      </c>
      <c r="Y22" s="173"/>
      <c r="Z22" s="173"/>
      <c r="AA22" s="173"/>
      <c r="AB22" s="17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(DAME)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82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35" si="0">IF(MIN(F4,J4,N4,R4,V4,Z4)&lt;&gt;0,MIN(F4,J4,N4,R4,V4,Z4),"")</f>
        <v/>
      </c>
      <c r="AE4" s="163" t="str">
        <f t="shared" ref="AE4:AE35" si="1">IF(MIN(H4,L4,P4,T4,X4,AB4)&lt;&gt;0,MIN(H4,L4,P4,T4,X4,AB4),"")</f>
        <v/>
      </c>
      <c r="AF4" s="163"/>
      <c r="AG4" s="162"/>
      <c r="AH4" s="163"/>
      <c r="AI4" s="162"/>
      <c r="AJ4" s="161" t="str">
        <f t="shared" ref="AJ4:AJ35" si="2">IF(AD4="","",IF(ISBLANK(AF4),"En cours",AD4+AF4))</f>
        <v/>
      </c>
      <c r="AK4" s="161" t="str">
        <f t="shared" ref="AK4:AK35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si="0"/>
        <v/>
      </c>
      <c r="AE21" s="163" t="str">
        <f t="shared" si="1"/>
        <v/>
      </c>
      <c r="AF21" s="163"/>
      <c r="AG21" s="162"/>
      <c r="AH21" s="163"/>
      <c r="AI21" s="162"/>
      <c r="AJ21" s="161" t="str">
        <f t="shared" si="2"/>
        <v/>
      </c>
      <c r="AK21" s="161" t="str">
        <f t="shared" si="3"/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0"/>
        <v/>
      </c>
      <c r="AE22" s="163" t="str">
        <f t="shared" si="1"/>
        <v/>
      </c>
      <c r="AF22" s="163"/>
      <c r="AG22" s="162"/>
      <c r="AH22" s="163"/>
      <c r="AI22" s="162"/>
      <c r="AJ22" s="161" t="str">
        <f t="shared" si="2"/>
        <v/>
      </c>
      <c r="AK22" s="161" t="str">
        <f t="shared" si="3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0"/>
        <v/>
      </c>
      <c r="AE23" s="163" t="str">
        <f t="shared" si="1"/>
        <v/>
      </c>
      <c r="AF23" s="163"/>
      <c r="AG23" s="162"/>
      <c r="AH23" s="163"/>
      <c r="AI23" s="162"/>
      <c r="AJ23" s="161" t="str">
        <f t="shared" si="2"/>
        <v/>
      </c>
      <c r="AK23" s="161" t="str">
        <f t="shared" si="3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0"/>
        <v/>
      </c>
      <c r="AE24" s="163" t="str">
        <f t="shared" si="1"/>
        <v/>
      </c>
      <c r="AF24" s="163"/>
      <c r="AG24" s="162"/>
      <c r="AH24" s="163"/>
      <c r="AI24" s="162"/>
      <c r="AJ24" s="161" t="str">
        <f t="shared" si="2"/>
        <v/>
      </c>
      <c r="AK24" s="161" t="str">
        <f t="shared" si="3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0"/>
        <v/>
      </c>
      <c r="AE25" s="163" t="str">
        <f t="shared" si="1"/>
        <v/>
      </c>
      <c r="AF25" s="163"/>
      <c r="AG25" s="162"/>
      <c r="AH25" s="163"/>
      <c r="AI25" s="162"/>
      <c r="AJ25" s="161" t="str">
        <f t="shared" si="2"/>
        <v/>
      </c>
      <c r="AK25" s="161" t="str">
        <f t="shared" si="3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0"/>
        <v/>
      </c>
      <c r="AE26" s="163" t="str">
        <f t="shared" si="1"/>
        <v/>
      </c>
      <c r="AF26" s="163"/>
      <c r="AG26" s="162"/>
      <c r="AH26" s="163"/>
      <c r="AI26" s="162"/>
      <c r="AJ26" s="161" t="str">
        <f t="shared" si="2"/>
        <v/>
      </c>
      <c r="AK26" s="161" t="str">
        <f t="shared" si="3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0"/>
        <v/>
      </c>
      <c r="AE27" s="163" t="str">
        <f t="shared" si="1"/>
        <v/>
      </c>
      <c r="AF27" s="163"/>
      <c r="AG27" s="162"/>
      <c r="AH27" s="163"/>
      <c r="AI27" s="162"/>
      <c r="AJ27" s="161" t="str">
        <f t="shared" si="2"/>
        <v/>
      </c>
      <c r="AK27" s="161" t="str">
        <f t="shared" si="3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0"/>
        <v/>
      </c>
      <c r="AE28" s="163" t="str">
        <f t="shared" si="1"/>
        <v/>
      </c>
      <c r="AF28" s="163"/>
      <c r="AG28" s="162"/>
      <c r="AH28" s="163"/>
      <c r="AI28" s="162"/>
      <c r="AJ28" s="161" t="str">
        <f t="shared" si="2"/>
        <v/>
      </c>
      <c r="AK28" s="161" t="str">
        <f t="shared" si="3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0"/>
        <v/>
      </c>
      <c r="AE29" s="163" t="str">
        <f t="shared" si="1"/>
        <v/>
      </c>
      <c r="AF29" s="163"/>
      <c r="AG29" s="162"/>
      <c r="AH29" s="163"/>
      <c r="AI29" s="162"/>
      <c r="AJ29" s="161" t="str">
        <f t="shared" si="2"/>
        <v/>
      </c>
      <c r="AK29" s="161" t="str">
        <f t="shared" si="3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0"/>
        <v/>
      </c>
      <c r="AE30" s="163" t="str">
        <f t="shared" si="1"/>
        <v/>
      </c>
      <c r="AF30" s="163"/>
      <c r="AG30" s="162"/>
      <c r="AH30" s="163"/>
      <c r="AI30" s="162"/>
      <c r="AJ30" s="161" t="str">
        <f t="shared" si="2"/>
        <v/>
      </c>
      <c r="AK30" s="161" t="str">
        <f t="shared" si="3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0"/>
        <v/>
      </c>
      <c r="AE31" s="163" t="str">
        <f t="shared" si="1"/>
        <v/>
      </c>
      <c r="AF31" s="163"/>
      <c r="AG31" s="162"/>
      <c r="AH31" s="163"/>
      <c r="AI31" s="162"/>
      <c r="AJ31" s="161" t="str">
        <f t="shared" si="2"/>
        <v/>
      </c>
      <c r="AK31" s="161" t="str">
        <f t="shared" si="3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0"/>
        <v/>
      </c>
      <c r="AE32" s="163" t="str">
        <f t="shared" si="1"/>
        <v/>
      </c>
      <c r="AF32" s="163"/>
      <c r="AG32" s="162"/>
      <c r="AH32" s="163"/>
      <c r="AI32" s="162"/>
      <c r="AJ32" s="161" t="str">
        <f t="shared" si="2"/>
        <v/>
      </c>
      <c r="AK32" s="161" t="str">
        <f t="shared" si="3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0"/>
        <v/>
      </c>
      <c r="AE33" s="163" t="str">
        <f t="shared" si="1"/>
        <v/>
      </c>
      <c r="AF33" s="163"/>
      <c r="AG33" s="162"/>
      <c r="AH33" s="163"/>
      <c r="AI33" s="162"/>
      <c r="AJ33" s="161" t="str">
        <f t="shared" si="2"/>
        <v/>
      </c>
      <c r="AK33" s="161" t="str">
        <f t="shared" si="3"/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 t="shared" si="0"/>
        <v/>
      </c>
      <c r="AE34" s="163" t="str">
        <f t="shared" si="1"/>
        <v/>
      </c>
      <c r="AF34" s="163"/>
      <c r="AG34" s="162"/>
      <c r="AH34" s="163"/>
      <c r="AI34" s="162"/>
      <c r="AJ34" s="161" t="str">
        <f t="shared" si="2"/>
        <v/>
      </c>
      <c r="AK34" s="161" t="str">
        <f t="shared" si="3"/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 t="shared" si="0"/>
        <v/>
      </c>
      <c r="AE35" s="163" t="str">
        <f t="shared" si="1"/>
        <v/>
      </c>
      <c r="AF35" s="163"/>
      <c r="AG35" s="162"/>
      <c r="AH35" s="163"/>
      <c r="AI35" s="162"/>
      <c r="AJ35" s="161" t="str">
        <f t="shared" si="2"/>
        <v/>
      </c>
      <c r="AK35" s="161" t="str">
        <f t="shared" si="3"/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 t="shared" ref="AD36:AD67" si="4">IF(MIN(F36,J36,N36,R36,V36,Z36)&lt;&gt;0,MIN(F36,J36,N36,R36,V36,Z36),"")</f>
        <v/>
      </c>
      <c r="AE36" s="163" t="str">
        <f t="shared" ref="AE36:AE67" si="5">IF(MIN(H36,L36,P36,T36,X36,AB36)&lt;&gt;0,MIN(H36,L36,P36,T36,X36,AB36),"")</f>
        <v/>
      </c>
      <c r="AF36" s="163"/>
      <c r="AG36" s="162"/>
      <c r="AH36" s="163"/>
      <c r="AI36" s="162"/>
      <c r="AJ36" s="161" t="str">
        <f t="shared" ref="AJ36:AJ67" si="6">IF(AD36="","",IF(ISBLANK(AF36),"En cours",AD36+AF36))</f>
        <v/>
      </c>
      <c r="AK36" s="161" t="str">
        <f t="shared" ref="AK36:AK67" si="7"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 t="shared" si="4"/>
        <v/>
      </c>
      <c r="AE37" s="163" t="str">
        <f t="shared" si="5"/>
        <v/>
      </c>
      <c r="AF37" s="163"/>
      <c r="AG37" s="162"/>
      <c r="AH37" s="163"/>
      <c r="AI37" s="162"/>
      <c r="AJ37" s="161" t="str">
        <f t="shared" si="6"/>
        <v/>
      </c>
      <c r="AK37" s="161" t="str">
        <f t="shared" si="7"/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 t="shared" si="4"/>
        <v/>
      </c>
      <c r="AE38" s="163" t="str">
        <f t="shared" si="5"/>
        <v/>
      </c>
      <c r="AF38" s="163"/>
      <c r="AG38" s="162"/>
      <c r="AH38" s="163"/>
      <c r="AI38" s="162"/>
      <c r="AJ38" s="161" t="str">
        <f t="shared" si="6"/>
        <v/>
      </c>
      <c r="AK38" s="161" t="str">
        <f t="shared" si="7"/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 t="shared" si="4"/>
        <v/>
      </c>
      <c r="AE39" s="163" t="str">
        <f t="shared" si="5"/>
        <v/>
      </c>
      <c r="AF39" s="163"/>
      <c r="AG39" s="162"/>
      <c r="AH39" s="163"/>
      <c r="AI39" s="162"/>
      <c r="AJ39" s="161" t="str">
        <f t="shared" si="6"/>
        <v/>
      </c>
      <c r="AK39" s="161" t="str">
        <f t="shared" si="7"/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 t="shared" si="4"/>
        <v/>
      </c>
      <c r="AE40" s="163" t="str">
        <f t="shared" si="5"/>
        <v/>
      </c>
      <c r="AF40" s="163"/>
      <c r="AG40" s="162"/>
      <c r="AH40" s="163"/>
      <c r="AI40" s="162"/>
      <c r="AJ40" s="161" t="str">
        <f t="shared" si="6"/>
        <v/>
      </c>
      <c r="AK40" s="161" t="str">
        <f t="shared" si="7"/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 t="shared" si="4"/>
        <v/>
      </c>
      <c r="AE41" s="163" t="str">
        <f t="shared" si="5"/>
        <v/>
      </c>
      <c r="AF41" s="163"/>
      <c r="AG41" s="162"/>
      <c r="AH41" s="163"/>
      <c r="AI41" s="162"/>
      <c r="AJ41" s="161" t="str">
        <f t="shared" si="6"/>
        <v/>
      </c>
      <c r="AK41" s="161" t="str">
        <f t="shared" si="7"/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 t="shared" si="4"/>
        <v/>
      </c>
      <c r="AE42" s="163" t="str">
        <f t="shared" si="5"/>
        <v/>
      </c>
      <c r="AF42" s="163"/>
      <c r="AG42" s="162"/>
      <c r="AH42" s="163"/>
      <c r="AI42" s="162"/>
      <c r="AJ42" s="161" t="str">
        <f t="shared" si="6"/>
        <v/>
      </c>
      <c r="AK42" s="161" t="str">
        <f t="shared" si="7"/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 t="shared" si="4"/>
        <v/>
      </c>
      <c r="AE43" s="163" t="str">
        <f t="shared" si="5"/>
        <v/>
      </c>
      <c r="AF43" s="163"/>
      <c r="AG43" s="162"/>
      <c r="AH43" s="163"/>
      <c r="AI43" s="162"/>
      <c r="AJ43" s="161" t="str">
        <f t="shared" si="6"/>
        <v/>
      </c>
      <c r="AK43" s="161" t="str">
        <f t="shared" si="7"/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 t="shared" si="4"/>
        <v/>
      </c>
      <c r="AE44" s="163" t="str">
        <f t="shared" si="5"/>
        <v/>
      </c>
      <c r="AF44" s="163"/>
      <c r="AG44" s="162"/>
      <c r="AH44" s="163"/>
      <c r="AI44" s="162"/>
      <c r="AJ44" s="161" t="str">
        <f t="shared" si="6"/>
        <v/>
      </c>
      <c r="AK44" s="161" t="str">
        <f t="shared" si="7"/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 t="shared" si="4"/>
        <v/>
      </c>
      <c r="AE45" s="163" t="str">
        <f t="shared" si="5"/>
        <v/>
      </c>
      <c r="AF45" s="163"/>
      <c r="AG45" s="162"/>
      <c r="AH45" s="163"/>
      <c r="AI45" s="162"/>
      <c r="AJ45" s="161" t="str">
        <f t="shared" si="6"/>
        <v/>
      </c>
      <c r="AK45" s="161" t="str">
        <f t="shared" si="7"/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 t="shared" si="4"/>
        <v/>
      </c>
      <c r="AE46" s="163" t="str">
        <f t="shared" si="5"/>
        <v/>
      </c>
      <c r="AF46" s="163"/>
      <c r="AG46" s="162"/>
      <c r="AH46" s="163"/>
      <c r="AI46" s="162"/>
      <c r="AJ46" s="161" t="str">
        <f t="shared" si="6"/>
        <v/>
      </c>
      <c r="AK46" s="161" t="str">
        <f t="shared" si="7"/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 t="shared" si="4"/>
        <v/>
      </c>
      <c r="AE47" s="163" t="str">
        <f t="shared" si="5"/>
        <v/>
      </c>
      <c r="AF47" s="163"/>
      <c r="AG47" s="162"/>
      <c r="AH47" s="163"/>
      <c r="AI47" s="162"/>
      <c r="AJ47" s="161" t="str">
        <f t="shared" si="6"/>
        <v/>
      </c>
      <c r="AK47" s="161" t="str">
        <f t="shared" si="7"/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 t="shared" si="4"/>
        <v/>
      </c>
      <c r="AE48" s="163" t="str">
        <f t="shared" si="5"/>
        <v/>
      </c>
      <c r="AF48" s="163"/>
      <c r="AG48" s="162"/>
      <c r="AH48" s="163"/>
      <c r="AI48" s="162"/>
      <c r="AJ48" s="161" t="str">
        <f t="shared" si="6"/>
        <v/>
      </c>
      <c r="AK48" s="161" t="str">
        <f t="shared" si="7"/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 t="shared" si="4"/>
        <v/>
      </c>
      <c r="AE49" s="163" t="str">
        <f t="shared" si="5"/>
        <v/>
      </c>
      <c r="AF49" s="163"/>
      <c r="AG49" s="162"/>
      <c r="AH49" s="163"/>
      <c r="AI49" s="162"/>
      <c r="AJ49" s="161" t="str">
        <f t="shared" si="6"/>
        <v/>
      </c>
      <c r="AK49" s="161" t="str">
        <f t="shared" si="7"/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 t="shared" si="4"/>
        <v/>
      </c>
      <c r="AE50" s="163" t="str">
        <f t="shared" si="5"/>
        <v/>
      </c>
      <c r="AF50" s="163"/>
      <c r="AG50" s="162"/>
      <c r="AH50" s="163"/>
      <c r="AI50" s="162"/>
      <c r="AJ50" s="161" t="str">
        <f t="shared" si="6"/>
        <v/>
      </c>
      <c r="AK50" s="161" t="str">
        <f t="shared" si="7"/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 t="shared" si="4"/>
        <v/>
      </c>
      <c r="AE51" s="163" t="str">
        <f t="shared" si="5"/>
        <v/>
      </c>
      <c r="AF51" s="163"/>
      <c r="AG51" s="162"/>
      <c r="AH51" s="163"/>
      <c r="AI51" s="162"/>
      <c r="AJ51" s="161" t="str">
        <f t="shared" si="6"/>
        <v/>
      </c>
      <c r="AK51" s="161" t="str">
        <f t="shared" si="7"/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 t="shared" si="4"/>
        <v/>
      </c>
      <c r="AE52" s="163" t="str">
        <f t="shared" si="5"/>
        <v/>
      </c>
      <c r="AF52" s="163"/>
      <c r="AG52" s="162"/>
      <c r="AH52" s="163"/>
      <c r="AI52" s="162"/>
      <c r="AJ52" s="161" t="str">
        <f t="shared" si="6"/>
        <v/>
      </c>
      <c r="AK52" s="161" t="str">
        <f t="shared" si="7"/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 t="shared" si="4"/>
        <v/>
      </c>
      <c r="AE53" s="163" t="str">
        <f t="shared" si="5"/>
        <v/>
      </c>
      <c r="AF53" s="163"/>
      <c r="AG53" s="162"/>
      <c r="AH53" s="163"/>
      <c r="AI53" s="162"/>
      <c r="AJ53" s="161" t="str">
        <f t="shared" si="6"/>
        <v/>
      </c>
      <c r="AK53" s="161" t="str">
        <f t="shared" si="7"/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 t="shared" si="4"/>
        <v/>
      </c>
      <c r="AE54" s="163" t="str">
        <f t="shared" si="5"/>
        <v/>
      </c>
      <c r="AF54" s="163"/>
      <c r="AG54" s="162"/>
      <c r="AH54" s="163"/>
      <c r="AI54" s="162"/>
      <c r="AJ54" s="161" t="str">
        <f t="shared" si="6"/>
        <v/>
      </c>
      <c r="AK54" s="161" t="str">
        <f t="shared" si="7"/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 t="shared" si="4"/>
        <v/>
      </c>
      <c r="AE55" s="163" t="str">
        <f t="shared" si="5"/>
        <v/>
      </c>
      <c r="AF55" s="163"/>
      <c r="AG55" s="162"/>
      <c r="AH55" s="163"/>
      <c r="AI55" s="162"/>
      <c r="AJ55" s="161" t="str">
        <f t="shared" si="6"/>
        <v/>
      </c>
      <c r="AK55" s="161" t="str">
        <f t="shared" si="7"/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 t="shared" si="4"/>
        <v/>
      </c>
      <c r="AE56" s="163" t="str">
        <f t="shared" si="5"/>
        <v/>
      </c>
      <c r="AF56" s="163"/>
      <c r="AG56" s="162"/>
      <c r="AH56" s="163"/>
      <c r="AI56" s="162"/>
      <c r="AJ56" s="161" t="str">
        <f t="shared" si="6"/>
        <v/>
      </c>
      <c r="AK56" s="161" t="str">
        <f t="shared" si="7"/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 t="shared" si="4"/>
        <v/>
      </c>
      <c r="AE57" s="163" t="str">
        <f t="shared" si="5"/>
        <v/>
      </c>
      <c r="AF57" s="163"/>
      <c r="AG57" s="162"/>
      <c r="AH57" s="163"/>
      <c r="AI57" s="162"/>
      <c r="AJ57" s="161" t="str">
        <f t="shared" si="6"/>
        <v/>
      </c>
      <c r="AK57" s="161" t="str">
        <f t="shared" si="7"/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 t="shared" si="4"/>
        <v/>
      </c>
      <c r="AE58" s="163" t="str">
        <f t="shared" si="5"/>
        <v/>
      </c>
      <c r="AF58" s="163"/>
      <c r="AG58" s="162"/>
      <c r="AH58" s="163"/>
      <c r="AI58" s="162"/>
      <c r="AJ58" s="161" t="str">
        <f t="shared" si="6"/>
        <v/>
      </c>
      <c r="AK58" s="161" t="str">
        <f t="shared" si="7"/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 t="shared" si="4"/>
        <v/>
      </c>
      <c r="AE59" s="163" t="str">
        <f t="shared" si="5"/>
        <v/>
      </c>
      <c r="AF59" s="163"/>
      <c r="AG59" s="162"/>
      <c r="AH59" s="163"/>
      <c r="AI59" s="162"/>
      <c r="AJ59" s="161" t="str">
        <f t="shared" si="6"/>
        <v/>
      </c>
      <c r="AK59" s="161" t="str">
        <f t="shared" si="7"/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 t="shared" si="4"/>
        <v/>
      </c>
      <c r="AE60" s="163" t="str">
        <f t="shared" si="5"/>
        <v/>
      </c>
      <c r="AF60" s="163"/>
      <c r="AG60" s="162"/>
      <c r="AH60" s="163"/>
      <c r="AI60" s="162"/>
      <c r="AJ60" s="161" t="str">
        <f t="shared" si="6"/>
        <v/>
      </c>
      <c r="AK60" s="161" t="str">
        <f t="shared" si="7"/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 t="shared" si="4"/>
        <v/>
      </c>
      <c r="AE61" s="163" t="str">
        <f t="shared" si="5"/>
        <v/>
      </c>
      <c r="AF61" s="163"/>
      <c r="AG61" s="162"/>
      <c r="AH61" s="163"/>
      <c r="AI61" s="162"/>
      <c r="AJ61" s="161" t="str">
        <f t="shared" si="6"/>
        <v/>
      </c>
      <c r="AK61" s="161" t="str">
        <f t="shared" si="7"/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 t="shared" si="4"/>
        <v/>
      </c>
      <c r="AE62" s="163" t="str">
        <f t="shared" si="5"/>
        <v/>
      </c>
      <c r="AF62" s="163"/>
      <c r="AG62" s="162"/>
      <c r="AH62" s="163"/>
      <c r="AI62" s="162"/>
      <c r="AJ62" s="161" t="str">
        <f t="shared" si="6"/>
        <v/>
      </c>
      <c r="AK62" s="161" t="str">
        <f t="shared" si="7"/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 t="shared" si="4"/>
        <v/>
      </c>
      <c r="AE63" s="163" t="str">
        <f t="shared" si="5"/>
        <v/>
      </c>
      <c r="AF63" s="163"/>
      <c r="AG63" s="162"/>
      <c r="AH63" s="163"/>
      <c r="AI63" s="162"/>
      <c r="AJ63" s="161" t="str">
        <f t="shared" si="6"/>
        <v/>
      </c>
      <c r="AK63" s="161" t="str">
        <f t="shared" si="7"/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 t="shared" si="4"/>
        <v/>
      </c>
      <c r="AE64" s="163" t="str">
        <f t="shared" si="5"/>
        <v/>
      </c>
      <c r="AF64" s="163"/>
      <c r="AG64" s="162"/>
      <c r="AH64" s="163"/>
      <c r="AI64" s="162"/>
      <c r="AJ64" s="161" t="str">
        <f t="shared" si="6"/>
        <v/>
      </c>
      <c r="AK64" s="161" t="str">
        <f t="shared" si="7"/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 t="shared" si="4"/>
        <v/>
      </c>
      <c r="AE65" s="163" t="str">
        <f t="shared" si="5"/>
        <v/>
      </c>
      <c r="AF65" s="163"/>
      <c r="AG65" s="162"/>
      <c r="AH65" s="163"/>
      <c r="AI65" s="162"/>
      <c r="AJ65" s="161" t="str">
        <f t="shared" si="6"/>
        <v/>
      </c>
      <c r="AK65" s="161" t="str">
        <f t="shared" si="7"/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 t="shared" si="4"/>
        <v/>
      </c>
      <c r="AE66" s="163" t="str">
        <f t="shared" si="5"/>
        <v/>
      </c>
      <c r="AF66" s="163"/>
      <c r="AG66" s="162"/>
      <c r="AH66" s="163"/>
      <c r="AI66" s="162"/>
      <c r="AJ66" s="161" t="str">
        <f t="shared" si="6"/>
        <v/>
      </c>
      <c r="AK66" s="161" t="str">
        <f t="shared" si="7"/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 t="shared" si="4"/>
        <v/>
      </c>
      <c r="AE67" s="163" t="str">
        <f t="shared" si="5"/>
        <v/>
      </c>
      <c r="AF67" s="163"/>
      <c r="AG67" s="162"/>
      <c r="AH67" s="163"/>
      <c r="AI67" s="162"/>
      <c r="AJ67" s="161" t="str">
        <f t="shared" si="6"/>
        <v/>
      </c>
      <c r="AK67" s="161" t="str">
        <f t="shared" si="7"/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 t="shared" ref="AD68:AD77" si="8">IF(MIN(F68,J68,N68,R68,V68,Z68)&lt;&gt;0,MIN(F68,J68,N68,R68,V68,Z68),"")</f>
        <v/>
      </c>
      <c r="AE68" s="163" t="str">
        <f t="shared" ref="AE68:AE77" si="9">IF(MIN(H68,L68,P68,T68,X68,AB68)&lt;&gt;0,MIN(H68,L68,P68,T68,X68,AB68),"")</f>
        <v/>
      </c>
      <c r="AF68" s="163"/>
      <c r="AG68" s="162"/>
      <c r="AH68" s="163"/>
      <c r="AI68" s="162"/>
      <c r="AJ68" s="161" t="str">
        <f t="shared" ref="AJ68:AJ77" si="10">IF(AD68="","",IF(ISBLANK(AF68),"En cours",AD68+AF68))</f>
        <v/>
      </c>
      <c r="AK68" s="161" t="str">
        <f t="shared" ref="AK68:AK77" si="11"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 t="shared" si="8"/>
        <v/>
      </c>
      <c r="AE69" s="163" t="str">
        <f t="shared" si="9"/>
        <v/>
      </c>
      <c r="AF69" s="163"/>
      <c r="AG69" s="162"/>
      <c r="AH69" s="163"/>
      <c r="AI69" s="162"/>
      <c r="AJ69" s="161" t="str">
        <f t="shared" si="10"/>
        <v/>
      </c>
      <c r="AK69" s="161" t="str">
        <f t="shared" si="11"/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 t="shared" si="8"/>
        <v/>
      </c>
      <c r="AE70" s="163" t="str">
        <f t="shared" si="9"/>
        <v/>
      </c>
      <c r="AF70" s="163"/>
      <c r="AG70" s="162"/>
      <c r="AH70" s="163"/>
      <c r="AI70" s="162"/>
      <c r="AJ70" s="161" t="str">
        <f t="shared" si="10"/>
        <v/>
      </c>
      <c r="AK70" s="161" t="str">
        <f t="shared" si="11"/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 t="shared" si="8"/>
        <v/>
      </c>
      <c r="AE71" s="163" t="str">
        <f t="shared" si="9"/>
        <v/>
      </c>
      <c r="AF71" s="163"/>
      <c r="AG71" s="162"/>
      <c r="AH71" s="163"/>
      <c r="AI71" s="162"/>
      <c r="AJ71" s="161" t="str">
        <f t="shared" si="10"/>
        <v/>
      </c>
      <c r="AK71" s="161" t="str">
        <f t="shared" si="11"/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 t="shared" si="8"/>
        <v/>
      </c>
      <c r="AE72" s="163" t="str">
        <f t="shared" si="9"/>
        <v/>
      </c>
      <c r="AF72" s="163"/>
      <c r="AG72" s="162"/>
      <c r="AH72" s="163"/>
      <c r="AI72" s="162"/>
      <c r="AJ72" s="161" t="str">
        <f t="shared" si="10"/>
        <v/>
      </c>
      <c r="AK72" s="161" t="str">
        <f t="shared" si="11"/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 t="shared" si="8"/>
        <v/>
      </c>
      <c r="AE73" s="163" t="str">
        <f t="shared" si="9"/>
        <v/>
      </c>
      <c r="AF73" s="163"/>
      <c r="AG73" s="162"/>
      <c r="AH73" s="163"/>
      <c r="AI73" s="162"/>
      <c r="AJ73" s="161" t="str">
        <f t="shared" si="10"/>
        <v/>
      </c>
      <c r="AK73" s="161" t="str">
        <f t="shared" si="11"/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 t="shared" si="8"/>
        <v/>
      </c>
      <c r="AE74" s="163" t="str">
        <f t="shared" si="9"/>
        <v/>
      </c>
      <c r="AF74" s="163"/>
      <c r="AG74" s="162"/>
      <c r="AH74" s="163"/>
      <c r="AI74" s="162"/>
      <c r="AJ74" s="161" t="str">
        <f t="shared" si="10"/>
        <v/>
      </c>
      <c r="AK74" s="161" t="str">
        <f t="shared" si="11"/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 t="shared" si="8"/>
        <v/>
      </c>
      <c r="AE75" s="163" t="str">
        <f t="shared" si="9"/>
        <v/>
      </c>
      <c r="AF75" s="163"/>
      <c r="AG75" s="162"/>
      <c r="AH75" s="163"/>
      <c r="AI75" s="162"/>
      <c r="AJ75" s="161" t="str">
        <f t="shared" si="10"/>
        <v/>
      </c>
      <c r="AK75" s="161" t="str">
        <f t="shared" si="11"/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 t="shared" si="8"/>
        <v/>
      </c>
      <c r="AE76" s="163" t="str">
        <f t="shared" si="9"/>
        <v/>
      </c>
      <c r="AF76" s="163"/>
      <c r="AG76" s="162"/>
      <c r="AH76" s="163"/>
      <c r="AI76" s="162"/>
      <c r="AJ76" s="161" t="str">
        <f t="shared" si="10"/>
        <v/>
      </c>
      <c r="AK76" s="161" t="str">
        <f t="shared" si="11"/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 t="shared" si="8"/>
        <v/>
      </c>
      <c r="AE77" s="163" t="str">
        <f t="shared" si="9"/>
        <v/>
      </c>
      <c r="AF77" s="163"/>
      <c r="AG77" s="162"/>
      <c r="AH77" s="163"/>
      <c r="AI77" s="162"/>
      <c r="AJ77" s="161" t="str">
        <f t="shared" si="10"/>
        <v/>
      </c>
      <c r="AK77" s="161" t="str">
        <f t="shared" si="11"/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 t="shared" ref="AD78:AD131" si="12">IF(MIN(F78,J78,N78,R78,V78,Z78)&lt;&gt;0,MIN(F78,J78,N78,R78,V78,Z78),"")</f>
        <v/>
      </c>
      <c r="AE78" s="163" t="str">
        <f t="shared" ref="AE78:AE131" si="13">IF(MIN(H78,L78,P78,T78,X78,AB78)&lt;&gt;0,MIN(H78,L78,P78,T78,X78,AB78),"")</f>
        <v/>
      </c>
      <c r="AF78" s="163"/>
      <c r="AG78" s="162"/>
      <c r="AH78" s="163"/>
      <c r="AI78" s="162"/>
      <c r="AJ78" s="161" t="str">
        <f t="shared" ref="AJ78:AJ131" si="14">IF(AD78="","",IF(ISBLANK(AF78),"En cours",AD78+AF78))</f>
        <v/>
      </c>
      <c r="AK78" s="161" t="str">
        <f t="shared" ref="AK78:AK131" si="15"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 t="shared" si="12"/>
        <v/>
      </c>
      <c r="AE79" s="163" t="str">
        <f t="shared" si="13"/>
        <v/>
      </c>
      <c r="AF79" s="163"/>
      <c r="AG79" s="162"/>
      <c r="AH79" s="163"/>
      <c r="AI79" s="162"/>
      <c r="AJ79" s="161" t="str">
        <f t="shared" si="14"/>
        <v/>
      </c>
      <c r="AK79" s="161" t="str">
        <f t="shared" si="15"/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 t="shared" si="12"/>
        <v/>
      </c>
      <c r="AE80" s="163" t="str">
        <f t="shared" si="13"/>
        <v/>
      </c>
      <c r="AF80" s="163"/>
      <c r="AG80" s="162"/>
      <c r="AH80" s="163"/>
      <c r="AI80" s="162"/>
      <c r="AJ80" s="161" t="str">
        <f t="shared" si="14"/>
        <v/>
      </c>
      <c r="AK80" s="161" t="str">
        <f t="shared" si="15"/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 t="shared" si="12"/>
        <v/>
      </c>
      <c r="AE81" s="163" t="str">
        <f t="shared" si="13"/>
        <v/>
      </c>
      <c r="AF81" s="163"/>
      <c r="AG81" s="162"/>
      <c r="AH81" s="163"/>
      <c r="AI81" s="162"/>
      <c r="AJ81" s="161" t="str">
        <f t="shared" si="14"/>
        <v/>
      </c>
      <c r="AK81" s="161" t="str">
        <f t="shared" si="15"/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 t="shared" si="12"/>
        <v/>
      </c>
      <c r="AE82" s="163" t="str">
        <f t="shared" si="13"/>
        <v/>
      </c>
      <c r="AF82" s="163"/>
      <c r="AG82" s="162"/>
      <c r="AH82" s="163"/>
      <c r="AI82" s="162"/>
      <c r="AJ82" s="161" t="str">
        <f t="shared" si="14"/>
        <v/>
      </c>
      <c r="AK82" s="161" t="str">
        <f t="shared" si="15"/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 t="shared" si="12"/>
        <v/>
      </c>
      <c r="AE83" s="163" t="str">
        <f t="shared" si="13"/>
        <v/>
      </c>
      <c r="AF83" s="163"/>
      <c r="AG83" s="162"/>
      <c r="AH83" s="163"/>
      <c r="AI83" s="162"/>
      <c r="AJ83" s="161" t="str">
        <f t="shared" si="14"/>
        <v/>
      </c>
      <c r="AK83" s="161" t="str">
        <f t="shared" si="15"/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 t="shared" si="12"/>
        <v/>
      </c>
      <c r="AE84" s="163" t="str">
        <f t="shared" si="13"/>
        <v/>
      </c>
      <c r="AF84" s="163"/>
      <c r="AG84" s="162"/>
      <c r="AH84" s="163"/>
      <c r="AI84" s="162"/>
      <c r="AJ84" s="161" t="str">
        <f t="shared" si="14"/>
        <v/>
      </c>
      <c r="AK84" s="161" t="str">
        <f t="shared" si="15"/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 t="shared" si="12"/>
        <v/>
      </c>
      <c r="AE85" s="163" t="str">
        <f t="shared" si="13"/>
        <v/>
      </c>
      <c r="AF85" s="163"/>
      <c r="AG85" s="162"/>
      <c r="AH85" s="163"/>
      <c r="AI85" s="162"/>
      <c r="AJ85" s="161" t="str">
        <f t="shared" si="14"/>
        <v/>
      </c>
      <c r="AK85" s="161" t="str">
        <f t="shared" si="15"/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 t="shared" si="12"/>
        <v/>
      </c>
      <c r="AE86" s="163" t="str">
        <f t="shared" si="13"/>
        <v/>
      </c>
      <c r="AF86" s="163"/>
      <c r="AG86" s="162"/>
      <c r="AH86" s="163"/>
      <c r="AI86" s="162"/>
      <c r="AJ86" s="161" t="str">
        <f t="shared" si="14"/>
        <v/>
      </c>
      <c r="AK86" s="161" t="str">
        <f t="shared" si="15"/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 t="shared" si="12"/>
        <v/>
      </c>
      <c r="AE87" s="163" t="str">
        <f t="shared" si="13"/>
        <v/>
      </c>
      <c r="AF87" s="163"/>
      <c r="AG87" s="162"/>
      <c r="AH87" s="163"/>
      <c r="AI87" s="162"/>
      <c r="AJ87" s="161" t="str">
        <f t="shared" si="14"/>
        <v/>
      </c>
      <c r="AK87" s="161" t="str">
        <f t="shared" si="15"/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 t="shared" si="12"/>
        <v/>
      </c>
      <c r="AE88" s="163" t="str">
        <f t="shared" si="13"/>
        <v/>
      </c>
      <c r="AF88" s="163"/>
      <c r="AG88" s="162"/>
      <c r="AH88" s="163"/>
      <c r="AI88" s="162"/>
      <c r="AJ88" s="161" t="str">
        <f t="shared" si="14"/>
        <v/>
      </c>
      <c r="AK88" s="161" t="str">
        <f t="shared" si="15"/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 t="shared" si="12"/>
        <v/>
      </c>
      <c r="AE89" s="163" t="str">
        <f t="shared" si="13"/>
        <v/>
      </c>
      <c r="AF89" s="163"/>
      <c r="AG89" s="162"/>
      <c r="AH89" s="163"/>
      <c r="AI89" s="162"/>
      <c r="AJ89" s="161" t="str">
        <f t="shared" si="14"/>
        <v/>
      </c>
      <c r="AK89" s="161" t="str">
        <f t="shared" si="15"/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 t="shared" si="12"/>
        <v/>
      </c>
      <c r="AE90" s="163" t="str">
        <f t="shared" si="13"/>
        <v/>
      </c>
      <c r="AF90" s="163"/>
      <c r="AG90" s="162"/>
      <c r="AH90" s="163"/>
      <c r="AI90" s="162"/>
      <c r="AJ90" s="161" t="str">
        <f t="shared" si="14"/>
        <v/>
      </c>
      <c r="AK90" s="161" t="str">
        <f t="shared" si="15"/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 t="shared" si="12"/>
        <v/>
      </c>
      <c r="AE91" s="163" t="str">
        <f t="shared" si="13"/>
        <v/>
      </c>
      <c r="AF91" s="163"/>
      <c r="AG91" s="162"/>
      <c r="AH91" s="163"/>
      <c r="AI91" s="162"/>
      <c r="AJ91" s="161" t="str">
        <f t="shared" si="14"/>
        <v/>
      </c>
      <c r="AK91" s="161" t="str">
        <f t="shared" si="15"/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 t="shared" si="12"/>
        <v/>
      </c>
      <c r="AE92" s="163" t="str">
        <f t="shared" si="13"/>
        <v/>
      </c>
      <c r="AF92" s="163"/>
      <c r="AG92" s="162"/>
      <c r="AH92" s="163"/>
      <c r="AI92" s="162"/>
      <c r="AJ92" s="161" t="str">
        <f t="shared" si="14"/>
        <v/>
      </c>
      <c r="AK92" s="161" t="str">
        <f t="shared" si="15"/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 t="shared" si="12"/>
        <v/>
      </c>
      <c r="AE93" s="163" t="str">
        <f t="shared" si="13"/>
        <v/>
      </c>
      <c r="AF93" s="163"/>
      <c r="AG93" s="162"/>
      <c r="AH93" s="163"/>
      <c r="AI93" s="162"/>
      <c r="AJ93" s="161" t="str">
        <f t="shared" si="14"/>
        <v/>
      </c>
      <c r="AK93" s="161" t="str">
        <f t="shared" si="15"/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 t="shared" si="12"/>
        <v/>
      </c>
      <c r="AE94" s="163" t="str">
        <f t="shared" si="13"/>
        <v/>
      </c>
      <c r="AF94" s="163"/>
      <c r="AG94" s="162"/>
      <c r="AH94" s="163"/>
      <c r="AI94" s="162"/>
      <c r="AJ94" s="161" t="str">
        <f t="shared" si="14"/>
        <v/>
      </c>
      <c r="AK94" s="161" t="str">
        <f t="shared" si="15"/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 t="shared" si="12"/>
        <v/>
      </c>
      <c r="AE95" s="163" t="str">
        <f t="shared" si="13"/>
        <v/>
      </c>
      <c r="AF95" s="163"/>
      <c r="AG95" s="162"/>
      <c r="AH95" s="163"/>
      <c r="AI95" s="162"/>
      <c r="AJ95" s="161" t="str">
        <f t="shared" si="14"/>
        <v/>
      </c>
      <c r="AK95" s="161" t="str">
        <f t="shared" si="15"/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 t="shared" si="12"/>
        <v/>
      </c>
      <c r="AE96" s="163" t="str">
        <f t="shared" si="13"/>
        <v/>
      </c>
      <c r="AF96" s="163"/>
      <c r="AG96" s="162"/>
      <c r="AH96" s="163"/>
      <c r="AI96" s="162"/>
      <c r="AJ96" s="161" t="str">
        <f t="shared" si="14"/>
        <v/>
      </c>
      <c r="AK96" s="161" t="str">
        <f t="shared" si="15"/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 t="shared" si="12"/>
        <v/>
      </c>
      <c r="AE97" s="163" t="str">
        <f t="shared" si="13"/>
        <v/>
      </c>
      <c r="AF97" s="163"/>
      <c r="AG97" s="162"/>
      <c r="AH97" s="163"/>
      <c r="AI97" s="162"/>
      <c r="AJ97" s="161" t="str">
        <f t="shared" si="14"/>
        <v/>
      </c>
      <c r="AK97" s="161" t="str">
        <f t="shared" si="15"/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 t="shared" si="12"/>
        <v/>
      </c>
      <c r="AE98" s="163" t="str">
        <f t="shared" si="13"/>
        <v/>
      </c>
      <c r="AF98" s="163"/>
      <c r="AG98" s="162"/>
      <c r="AH98" s="163"/>
      <c r="AI98" s="162"/>
      <c r="AJ98" s="161" t="str">
        <f t="shared" si="14"/>
        <v/>
      </c>
      <c r="AK98" s="161" t="str">
        <f t="shared" si="15"/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 t="shared" si="12"/>
        <v/>
      </c>
      <c r="AE99" s="163" t="str">
        <f t="shared" si="13"/>
        <v/>
      </c>
      <c r="AF99" s="163"/>
      <c r="AG99" s="162"/>
      <c r="AH99" s="163"/>
      <c r="AI99" s="162"/>
      <c r="AJ99" s="161" t="str">
        <f t="shared" si="14"/>
        <v/>
      </c>
      <c r="AK99" s="161" t="str">
        <f t="shared" si="15"/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 t="shared" si="12"/>
        <v/>
      </c>
      <c r="AE100" s="163" t="str">
        <f t="shared" si="13"/>
        <v/>
      </c>
      <c r="AF100" s="163"/>
      <c r="AG100" s="162"/>
      <c r="AH100" s="163"/>
      <c r="AI100" s="162"/>
      <c r="AJ100" s="161" t="str">
        <f t="shared" si="14"/>
        <v/>
      </c>
      <c r="AK100" s="161" t="str">
        <f t="shared" si="15"/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 t="shared" si="12"/>
        <v/>
      </c>
      <c r="AE101" s="163" t="str">
        <f t="shared" si="13"/>
        <v/>
      </c>
      <c r="AF101" s="163"/>
      <c r="AG101" s="162"/>
      <c r="AH101" s="163"/>
      <c r="AI101" s="162"/>
      <c r="AJ101" s="161" t="str">
        <f t="shared" si="14"/>
        <v/>
      </c>
      <c r="AK101" s="161" t="str">
        <f t="shared" si="15"/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 t="shared" si="12"/>
        <v/>
      </c>
      <c r="AE102" s="163" t="str">
        <f t="shared" si="13"/>
        <v/>
      </c>
      <c r="AF102" s="163"/>
      <c r="AG102" s="162"/>
      <c r="AH102" s="163"/>
      <c r="AI102" s="162"/>
      <c r="AJ102" s="161" t="str">
        <f t="shared" si="14"/>
        <v/>
      </c>
      <c r="AK102" s="161" t="str">
        <f t="shared" si="15"/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 t="shared" si="12"/>
        <v/>
      </c>
      <c r="AE103" s="163" t="str">
        <f t="shared" si="13"/>
        <v/>
      </c>
      <c r="AF103" s="163"/>
      <c r="AG103" s="162"/>
      <c r="AH103" s="163"/>
      <c r="AI103" s="162"/>
      <c r="AJ103" s="161" t="str">
        <f t="shared" si="14"/>
        <v/>
      </c>
      <c r="AK103" s="161" t="str">
        <f t="shared" si="15"/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 t="shared" si="12"/>
        <v/>
      </c>
      <c r="AE104" s="163" t="str">
        <f t="shared" si="13"/>
        <v/>
      </c>
      <c r="AF104" s="163"/>
      <c r="AG104" s="162"/>
      <c r="AH104" s="163"/>
      <c r="AI104" s="162"/>
      <c r="AJ104" s="161" t="str">
        <f t="shared" si="14"/>
        <v/>
      </c>
      <c r="AK104" s="161" t="str">
        <f t="shared" si="15"/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 t="shared" si="12"/>
        <v/>
      </c>
      <c r="AE105" s="163" t="str">
        <f t="shared" si="13"/>
        <v/>
      </c>
      <c r="AF105" s="163"/>
      <c r="AG105" s="162"/>
      <c r="AH105" s="163"/>
      <c r="AI105" s="162"/>
      <c r="AJ105" s="161" t="str">
        <f t="shared" si="14"/>
        <v/>
      </c>
      <c r="AK105" s="161" t="str">
        <f t="shared" si="15"/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 t="shared" si="12"/>
        <v/>
      </c>
      <c r="AE106" s="163" t="str">
        <f t="shared" si="13"/>
        <v/>
      </c>
      <c r="AF106" s="163"/>
      <c r="AG106" s="162"/>
      <c r="AH106" s="163"/>
      <c r="AI106" s="162"/>
      <c r="AJ106" s="161" t="str">
        <f t="shared" si="14"/>
        <v/>
      </c>
      <c r="AK106" s="161" t="str">
        <f t="shared" si="15"/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 t="shared" si="12"/>
        <v/>
      </c>
      <c r="AE107" s="163" t="str">
        <f t="shared" si="13"/>
        <v/>
      </c>
      <c r="AF107" s="163"/>
      <c r="AG107" s="162"/>
      <c r="AH107" s="163"/>
      <c r="AI107" s="162"/>
      <c r="AJ107" s="161" t="str">
        <f t="shared" si="14"/>
        <v/>
      </c>
      <c r="AK107" s="161" t="str">
        <f t="shared" si="15"/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 t="shared" si="12"/>
        <v/>
      </c>
      <c r="AE108" s="163" t="str">
        <f t="shared" si="13"/>
        <v/>
      </c>
      <c r="AF108" s="163"/>
      <c r="AG108" s="162"/>
      <c r="AH108" s="163"/>
      <c r="AI108" s="162"/>
      <c r="AJ108" s="161" t="str">
        <f t="shared" si="14"/>
        <v/>
      </c>
      <c r="AK108" s="161" t="str">
        <f t="shared" si="15"/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 t="shared" si="12"/>
        <v/>
      </c>
      <c r="AE109" s="163" t="str">
        <f t="shared" si="13"/>
        <v/>
      </c>
      <c r="AF109" s="163"/>
      <c r="AG109" s="162"/>
      <c r="AH109" s="163"/>
      <c r="AI109" s="162"/>
      <c r="AJ109" s="161" t="str">
        <f t="shared" si="14"/>
        <v/>
      </c>
      <c r="AK109" s="161" t="str">
        <f t="shared" si="15"/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 t="shared" si="12"/>
        <v/>
      </c>
      <c r="AE110" s="163" t="str">
        <f t="shared" si="13"/>
        <v/>
      </c>
      <c r="AF110" s="163"/>
      <c r="AG110" s="162"/>
      <c r="AH110" s="163"/>
      <c r="AI110" s="162"/>
      <c r="AJ110" s="161" t="str">
        <f t="shared" si="14"/>
        <v/>
      </c>
      <c r="AK110" s="161" t="str">
        <f t="shared" si="15"/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 t="shared" si="12"/>
        <v/>
      </c>
      <c r="AE111" s="163" t="str">
        <f t="shared" si="13"/>
        <v/>
      </c>
      <c r="AF111" s="163"/>
      <c r="AG111" s="162"/>
      <c r="AH111" s="163"/>
      <c r="AI111" s="162"/>
      <c r="AJ111" s="161" t="str">
        <f t="shared" si="14"/>
        <v/>
      </c>
      <c r="AK111" s="161" t="str">
        <f t="shared" si="15"/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 t="shared" si="12"/>
        <v/>
      </c>
      <c r="AE112" s="163" t="str">
        <f t="shared" si="13"/>
        <v/>
      </c>
      <c r="AF112" s="163"/>
      <c r="AG112" s="162"/>
      <c r="AH112" s="163"/>
      <c r="AI112" s="162"/>
      <c r="AJ112" s="161" t="str">
        <f t="shared" si="14"/>
        <v/>
      </c>
      <c r="AK112" s="161" t="str">
        <f t="shared" si="15"/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 t="shared" si="12"/>
        <v/>
      </c>
      <c r="AE113" s="163" t="str">
        <f t="shared" si="13"/>
        <v/>
      </c>
      <c r="AF113" s="163"/>
      <c r="AG113" s="162"/>
      <c r="AH113" s="163"/>
      <c r="AI113" s="162"/>
      <c r="AJ113" s="161" t="str">
        <f t="shared" si="14"/>
        <v/>
      </c>
      <c r="AK113" s="161" t="str">
        <f t="shared" si="15"/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 t="shared" si="12"/>
        <v/>
      </c>
      <c r="AE114" s="163" t="str">
        <f t="shared" si="13"/>
        <v/>
      </c>
      <c r="AF114" s="163"/>
      <c r="AG114" s="162"/>
      <c r="AH114" s="163"/>
      <c r="AI114" s="162"/>
      <c r="AJ114" s="161" t="str">
        <f t="shared" si="14"/>
        <v/>
      </c>
      <c r="AK114" s="161" t="str">
        <f t="shared" si="15"/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 t="shared" si="12"/>
        <v/>
      </c>
      <c r="AE115" s="163" t="str">
        <f t="shared" si="13"/>
        <v/>
      </c>
      <c r="AF115" s="163"/>
      <c r="AG115" s="162"/>
      <c r="AH115" s="163"/>
      <c r="AI115" s="162"/>
      <c r="AJ115" s="161" t="str">
        <f t="shared" si="14"/>
        <v/>
      </c>
      <c r="AK115" s="161" t="str">
        <f t="shared" si="15"/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 t="shared" si="12"/>
        <v/>
      </c>
      <c r="AE116" s="163" t="str">
        <f t="shared" si="13"/>
        <v/>
      </c>
      <c r="AF116" s="163"/>
      <c r="AG116" s="162"/>
      <c r="AH116" s="163"/>
      <c r="AI116" s="162"/>
      <c r="AJ116" s="161" t="str">
        <f t="shared" si="14"/>
        <v/>
      </c>
      <c r="AK116" s="161" t="str">
        <f t="shared" si="15"/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 t="shared" si="12"/>
        <v/>
      </c>
      <c r="AE117" s="163" t="str">
        <f t="shared" si="13"/>
        <v/>
      </c>
      <c r="AF117" s="163"/>
      <c r="AG117" s="162"/>
      <c r="AH117" s="163"/>
      <c r="AI117" s="162"/>
      <c r="AJ117" s="161" t="str">
        <f t="shared" si="14"/>
        <v/>
      </c>
      <c r="AK117" s="161" t="str">
        <f t="shared" si="15"/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 t="shared" si="12"/>
        <v/>
      </c>
      <c r="AE118" s="163" t="str">
        <f t="shared" si="13"/>
        <v/>
      </c>
      <c r="AF118" s="163"/>
      <c r="AG118" s="162"/>
      <c r="AH118" s="163"/>
      <c r="AI118" s="162"/>
      <c r="AJ118" s="161" t="str">
        <f t="shared" si="14"/>
        <v/>
      </c>
      <c r="AK118" s="161" t="str">
        <f t="shared" si="15"/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 t="shared" si="12"/>
        <v/>
      </c>
      <c r="AE119" s="163" t="str">
        <f t="shared" si="13"/>
        <v/>
      </c>
      <c r="AF119" s="163"/>
      <c r="AG119" s="162"/>
      <c r="AH119" s="163"/>
      <c r="AI119" s="162"/>
      <c r="AJ119" s="161" t="str">
        <f t="shared" si="14"/>
        <v/>
      </c>
      <c r="AK119" s="161" t="str">
        <f t="shared" si="15"/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 t="shared" si="12"/>
        <v/>
      </c>
      <c r="AE120" s="163" t="str">
        <f t="shared" si="13"/>
        <v/>
      </c>
      <c r="AF120" s="163"/>
      <c r="AG120" s="162"/>
      <c r="AH120" s="163"/>
      <c r="AI120" s="162"/>
      <c r="AJ120" s="161" t="str">
        <f t="shared" si="14"/>
        <v/>
      </c>
      <c r="AK120" s="161" t="str">
        <f t="shared" si="15"/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 t="shared" si="12"/>
        <v/>
      </c>
      <c r="AE121" s="163" t="str">
        <f t="shared" si="13"/>
        <v/>
      </c>
      <c r="AF121" s="163"/>
      <c r="AG121" s="162"/>
      <c r="AH121" s="163"/>
      <c r="AI121" s="162"/>
      <c r="AJ121" s="161" t="str">
        <f t="shared" si="14"/>
        <v/>
      </c>
      <c r="AK121" s="161" t="str">
        <f t="shared" si="15"/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 t="shared" si="12"/>
        <v/>
      </c>
      <c r="AE122" s="163" t="str">
        <f t="shared" si="13"/>
        <v/>
      </c>
      <c r="AF122" s="163"/>
      <c r="AG122" s="162"/>
      <c r="AH122" s="163"/>
      <c r="AI122" s="162"/>
      <c r="AJ122" s="161" t="str">
        <f t="shared" si="14"/>
        <v/>
      </c>
      <c r="AK122" s="161" t="str">
        <f t="shared" si="15"/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 t="shared" si="12"/>
        <v/>
      </c>
      <c r="AE123" s="163" t="str">
        <f t="shared" si="13"/>
        <v/>
      </c>
      <c r="AF123" s="163"/>
      <c r="AG123" s="162"/>
      <c r="AH123" s="163"/>
      <c r="AI123" s="162"/>
      <c r="AJ123" s="161" t="str">
        <f t="shared" si="14"/>
        <v/>
      </c>
      <c r="AK123" s="161" t="str">
        <f t="shared" si="15"/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 t="shared" si="12"/>
        <v/>
      </c>
      <c r="AE124" s="163" t="str">
        <f t="shared" si="13"/>
        <v/>
      </c>
      <c r="AF124" s="163"/>
      <c r="AG124" s="162"/>
      <c r="AH124" s="163"/>
      <c r="AI124" s="162"/>
      <c r="AJ124" s="161" t="str">
        <f t="shared" si="14"/>
        <v/>
      </c>
      <c r="AK124" s="161" t="str">
        <f t="shared" si="15"/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 t="shared" si="12"/>
        <v/>
      </c>
      <c r="AE125" s="163" t="str">
        <f t="shared" si="13"/>
        <v/>
      </c>
      <c r="AF125" s="163"/>
      <c r="AG125" s="162"/>
      <c r="AH125" s="163"/>
      <c r="AI125" s="162"/>
      <c r="AJ125" s="161" t="str">
        <f t="shared" si="14"/>
        <v/>
      </c>
      <c r="AK125" s="161" t="str">
        <f t="shared" si="15"/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 t="shared" si="12"/>
        <v/>
      </c>
      <c r="AE126" s="163" t="str">
        <f t="shared" si="13"/>
        <v/>
      </c>
      <c r="AF126" s="163"/>
      <c r="AG126" s="162"/>
      <c r="AH126" s="163"/>
      <c r="AI126" s="162"/>
      <c r="AJ126" s="161" t="str">
        <f t="shared" si="14"/>
        <v/>
      </c>
      <c r="AK126" s="161" t="str">
        <f t="shared" si="15"/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 t="shared" si="12"/>
        <v/>
      </c>
      <c r="AE127" s="163" t="str">
        <f t="shared" si="13"/>
        <v/>
      </c>
      <c r="AF127" s="163"/>
      <c r="AG127" s="162"/>
      <c r="AH127" s="163"/>
      <c r="AI127" s="162"/>
      <c r="AJ127" s="161" t="str">
        <f t="shared" si="14"/>
        <v/>
      </c>
      <c r="AK127" s="161" t="str">
        <f t="shared" si="15"/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 t="shared" si="12"/>
        <v/>
      </c>
      <c r="AE128" s="163" t="str">
        <f t="shared" si="13"/>
        <v/>
      </c>
      <c r="AF128" s="163"/>
      <c r="AG128" s="162"/>
      <c r="AH128" s="163"/>
      <c r="AI128" s="162"/>
      <c r="AJ128" s="161" t="str">
        <f t="shared" si="14"/>
        <v/>
      </c>
      <c r="AK128" s="161" t="str">
        <f t="shared" si="15"/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 t="shared" si="12"/>
        <v/>
      </c>
      <c r="AE129" s="163" t="str">
        <f t="shared" si="13"/>
        <v/>
      </c>
      <c r="AF129" s="163"/>
      <c r="AG129" s="162"/>
      <c r="AH129" s="163"/>
      <c r="AI129" s="162"/>
      <c r="AJ129" s="161" t="str">
        <f t="shared" si="14"/>
        <v/>
      </c>
      <c r="AK129" s="161" t="str">
        <f t="shared" si="15"/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 t="shared" si="12"/>
        <v/>
      </c>
      <c r="AE130" s="163" t="str">
        <f t="shared" si="13"/>
        <v/>
      </c>
      <c r="AF130" s="163"/>
      <c r="AG130" s="162"/>
      <c r="AH130" s="163"/>
      <c r="AI130" s="162"/>
      <c r="AJ130" s="161" t="str">
        <f t="shared" si="14"/>
        <v/>
      </c>
      <c r="AK130" s="161" t="str">
        <f t="shared" si="15"/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 t="shared" si="12"/>
        <v/>
      </c>
      <c r="AE131" s="163" t="str">
        <f t="shared" si="13"/>
        <v/>
      </c>
      <c r="AF131" s="163"/>
      <c r="AG131" s="162"/>
      <c r="AH131" s="163"/>
      <c r="AI131" s="162"/>
      <c r="AJ131" s="161" t="str">
        <f t="shared" si="14"/>
        <v/>
      </c>
      <c r="AK131" s="161" t="str">
        <f t="shared" si="15"/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 t="shared" ref="AD132:AD195" si="16">IF(MIN(F132,J132,N132,R132,V132,Z132)&lt;&gt;0,MIN(F132,J132,N132,R132,V132,Z132),"")</f>
        <v/>
      </c>
      <c r="AE132" s="163" t="str">
        <f t="shared" ref="AE132:AE195" si="17">IF(MIN(H132,L132,P132,T132,X132,AB132)&lt;&gt;0,MIN(H132,L132,P132,T132,X132,AB132),"")</f>
        <v/>
      </c>
      <c r="AF132" s="163"/>
      <c r="AG132" s="162"/>
      <c r="AH132" s="163"/>
      <c r="AI132" s="162"/>
      <c r="AJ132" s="161" t="str">
        <f t="shared" ref="AJ132:AJ195" si="18">IF(AD132="","",IF(ISBLANK(AF132),"En cours",AD132+AF132))</f>
        <v/>
      </c>
      <c r="AK132" s="161" t="str">
        <f t="shared" ref="AK132:AK195" si="19"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 t="shared" si="16"/>
        <v/>
      </c>
      <c r="AE133" s="163" t="str">
        <f t="shared" si="17"/>
        <v/>
      </c>
      <c r="AF133" s="163"/>
      <c r="AG133" s="162"/>
      <c r="AH133" s="163"/>
      <c r="AI133" s="162"/>
      <c r="AJ133" s="161" t="str">
        <f t="shared" si="18"/>
        <v/>
      </c>
      <c r="AK133" s="161" t="str">
        <f t="shared" si="19"/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 t="shared" si="16"/>
        <v/>
      </c>
      <c r="AE134" s="163" t="str">
        <f t="shared" si="17"/>
        <v/>
      </c>
      <c r="AF134" s="163"/>
      <c r="AG134" s="162"/>
      <c r="AH134" s="163"/>
      <c r="AI134" s="162"/>
      <c r="AJ134" s="161" t="str">
        <f t="shared" si="18"/>
        <v/>
      </c>
      <c r="AK134" s="161" t="str">
        <f t="shared" si="19"/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 t="shared" si="16"/>
        <v/>
      </c>
      <c r="AE135" s="163" t="str">
        <f t="shared" si="17"/>
        <v/>
      </c>
      <c r="AF135" s="163"/>
      <c r="AG135" s="162"/>
      <c r="AH135" s="163"/>
      <c r="AI135" s="162"/>
      <c r="AJ135" s="161" t="str">
        <f t="shared" si="18"/>
        <v/>
      </c>
      <c r="AK135" s="161" t="str">
        <f t="shared" si="19"/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 t="shared" si="16"/>
        <v/>
      </c>
      <c r="AE136" s="163" t="str">
        <f t="shared" si="17"/>
        <v/>
      </c>
      <c r="AF136" s="163"/>
      <c r="AG136" s="162"/>
      <c r="AH136" s="163"/>
      <c r="AI136" s="162"/>
      <c r="AJ136" s="161" t="str">
        <f t="shared" si="18"/>
        <v/>
      </c>
      <c r="AK136" s="161" t="str">
        <f t="shared" si="19"/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 t="shared" si="16"/>
        <v/>
      </c>
      <c r="AE137" s="163" t="str">
        <f t="shared" si="17"/>
        <v/>
      </c>
      <c r="AF137" s="163"/>
      <c r="AG137" s="162"/>
      <c r="AH137" s="163"/>
      <c r="AI137" s="162"/>
      <c r="AJ137" s="161" t="str">
        <f t="shared" si="18"/>
        <v/>
      </c>
      <c r="AK137" s="161" t="str">
        <f t="shared" si="19"/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 t="shared" si="16"/>
        <v/>
      </c>
      <c r="AE138" s="163" t="str">
        <f t="shared" si="17"/>
        <v/>
      </c>
      <c r="AF138" s="163"/>
      <c r="AG138" s="162"/>
      <c r="AH138" s="163"/>
      <c r="AI138" s="162"/>
      <c r="AJ138" s="161" t="str">
        <f t="shared" si="18"/>
        <v/>
      </c>
      <c r="AK138" s="161" t="str">
        <f t="shared" si="19"/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 t="shared" si="16"/>
        <v/>
      </c>
      <c r="AE139" s="163" t="str">
        <f t="shared" si="17"/>
        <v/>
      </c>
      <c r="AF139" s="163"/>
      <c r="AG139" s="162"/>
      <c r="AH139" s="163"/>
      <c r="AI139" s="162"/>
      <c r="AJ139" s="161" t="str">
        <f t="shared" si="18"/>
        <v/>
      </c>
      <c r="AK139" s="161" t="str">
        <f t="shared" si="19"/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 t="shared" si="16"/>
        <v/>
      </c>
      <c r="AE140" s="163" t="str">
        <f t="shared" si="17"/>
        <v/>
      </c>
      <c r="AF140" s="163"/>
      <c r="AG140" s="162"/>
      <c r="AH140" s="163"/>
      <c r="AI140" s="162"/>
      <c r="AJ140" s="161" t="str">
        <f t="shared" si="18"/>
        <v/>
      </c>
      <c r="AK140" s="161" t="str">
        <f t="shared" si="19"/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 t="shared" si="16"/>
        <v/>
      </c>
      <c r="AE141" s="163" t="str">
        <f t="shared" si="17"/>
        <v/>
      </c>
      <c r="AF141" s="163"/>
      <c r="AG141" s="162"/>
      <c r="AH141" s="163"/>
      <c r="AI141" s="162"/>
      <c r="AJ141" s="161" t="str">
        <f t="shared" si="18"/>
        <v/>
      </c>
      <c r="AK141" s="161" t="str">
        <f t="shared" si="19"/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 t="shared" si="16"/>
        <v/>
      </c>
      <c r="AE142" s="163" t="str">
        <f t="shared" si="17"/>
        <v/>
      </c>
      <c r="AF142" s="163"/>
      <c r="AG142" s="162"/>
      <c r="AH142" s="163"/>
      <c r="AI142" s="162"/>
      <c r="AJ142" s="161" t="str">
        <f t="shared" si="18"/>
        <v/>
      </c>
      <c r="AK142" s="161" t="str">
        <f t="shared" si="19"/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 t="shared" si="16"/>
        <v/>
      </c>
      <c r="AE143" s="163" t="str">
        <f t="shared" si="17"/>
        <v/>
      </c>
      <c r="AF143" s="163"/>
      <c r="AG143" s="162"/>
      <c r="AH143" s="163"/>
      <c r="AI143" s="162"/>
      <c r="AJ143" s="161" t="str">
        <f t="shared" si="18"/>
        <v/>
      </c>
      <c r="AK143" s="161" t="str">
        <f t="shared" si="19"/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 t="shared" si="16"/>
        <v/>
      </c>
      <c r="AE144" s="163" t="str">
        <f t="shared" si="17"/>
        <v/>
      </c>
      <c r="AF144" s="163"/>
      <c r="AG144" s="162"/>
      <c r="AH144" s="163"/>
      <c r="AI144" s="162"/>
      <c r="AJ144" s="161" t="str">
        <f t="shared" si="18"/>
        <v/>
      </c>
      <c r="AK144" s="161" t="str">
        <f t="shared" si="19"/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 t="shared" si="16"/>
        <v/>
      </c>
      <c r="AE145" s="163" t="str">
        <f t="shared" si="17"/>
        <v/>
      </c>
      <c r="AF145" s="163"/>
      <c r="AG145" s="162"/>
      <c r="AH145" s="163"/>
      <c r="AI145" s="162"/>
      <c r="AJ145" s="161" t="str">
        <f t="shared" si="18"/>
        <v/>
      </c>
      <c r="AK145" s="161" t="str">
        <f t="shared" si="19"/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 t="shared" si="16"/>
        <v/>
      </c>
      <c r="AE146" s="163" t="str">
        <f t="shared" si="17"/>
        <v/>
      </c>
      <c r="AF146" s="163"/>
      <c r="AG146" s="162"/>
      <c r="AH146" s="163"/>
      <c r="AI146" s="162"/>
      <c r="AJ146" s="161" t="str">
        <f t="shared" si="18"/>
        <v/>
      </c>
      <c r="AK146" s="161" t="str">
        <f t="shared" si="19"/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 t="shared" si="16"/>
        <v/>
      </c>
      <c r="AE147" s="163" t="str">
        <f t="shared" si="17"/>
        <v/>
      </c>
      <c r="AF147" s="163"/>
      <c r="AG147" s="162"/>
      <c r="AH147" s="163"/>
      <c r="AI147" s="162"/>
      <c r="AJ147" s="161" t="str">
        <f t="shared" si="18"/>
        <v/>
      </c>
      <c r="AK147" s="161" t="str">
        <f t="shared" si="19"/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 t="shared" si="16"/>
        <v/>
      </c>
      <c r="AE148" s="163" t="str">
        <f t="shared" si="17"/>
        <v/>
      </c>
      <c r="AF148" s="163"/>
      <c r="AG148" s="162"/>
      <c r="AH148" s="163"/>
      <c r="AI148" s="162"/>
      <c r="AJ148" s="161" t="str">
        <f t="shared" si="18"/>
        <v/>
      </c>
      <c r="AK148" s="161" t="str">
        <f t="shared" si="19"/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 t="shared" si="16"/>
        <v/>
      </c>
      <c r="AE149" s="163" t="str">
        <f t="shared" si="17"/>
        <v/>
      </c>
      <c r="AF149" s="163"/>
      <c r="AG149" s="162"/>
      <c r="AH149" s="163"/>
      <c r="AI149" s="162"/>
      <c r="AJ149" s="161" t="str">
        <f t="shared" si="18"/>
        <v/>
      </c>
      <c r="AK149" s="161" t="str">
        <f t="shared" si="19"/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 t="shared" si="16"/>
        <v/>
      </c>
      <c r="AE150" s="163" t="str">
        <f t="shared" si="17"/>
        <v/>
      </c>
      <c r="AF150" s="163"/>
      <c r="AG150" s="162"/>
      <c r="AH150" s="163"/>
      <c r="AI150" s="162"/>
      <c r="AJ150" s="161" t="str">
        <f t="shared" si="18"/>
        <v/>
      </c>
      <c r="AK150" s="161" t="str">
        <f t="shared" si="19"/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 t="shared" si="16"/>
        <v/>
      </c>
      <c r="AE151" s="163" t="str">
        <f t="shared" si="17"/>
        <v/>
      </c>
      <c r="AF151" s="163"/>
      <c r="AG151" s="162"/>
      <c r="AH151" s="163"/>
      <c r="AI151" s="162"/>
      <c r="AJ151" s="161" t="str">
        <f t="shared" si="18"/>
        <v/>
      </c>
      <c r="AK151" s="161" t="str">
        <f t="shared" si="19"/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 t="shared" si="16"/>
        <v/>
      </c>
      <c r="AE152" s="163" t="str">
        <f t="shared" si="17"/>
        <v/>
      </c>
      <c r="AF152" s="163"/>
      <c r="AG152" s="162"/>
      <c r="AH152" s="163"/>
      <c r="AI152" s="162"/>
      <c r="AJ152" s="161" t="str">
        <f t="shared" si="18"/>
        <v/>
      </c>
      <c r="AK152" s="161" t="str">
        <f t="shared" si="19"/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 t="shared" si="16"/>
        <v/>
      </c>
      <c r="AE153" s="163" t="str">
        <f t="shared" si="17"/>
        <v/>
      </c>
      <c r="AF153" s="163"/>
      <c r="AG153" s="162"/>
      <c r="AH153" s="163"/>
      <c r="AI153" s="162"/>
      <c r="AJ153" s="161" t="str">
        <f t="shared" si="18"/>
        <v/>
      </c>
      <c r="AK153" s="161" t="str">
        <f t="shared" si="19"/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 t="shared" si="16"/>
        <v/>
      </c>
      <c r="AE154" s="163" t="str">
        <f t="shared" si="17"/>
        <v/>
      </c>
      <c r="AF154" s="163"/>
      <c r="AG154" s="162"/>
      <c r="AH154" s="163"/>
      <c r="AI154" s="162"/>
      <c r="AJ154" s="161" t="str">
        <f t="shared" si="18"/>
        <v/>
      </c>
      <c r="AK154" s="161" t="str">
        <f t="shared" si="19"/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 t="shared" si="16"/>
        <v/>
      </c>
      <c r="AE155" s="163" t="str">
        <f t="shared" si="17"/>
        <v/>
      </c>
      <c r="AF155" s="163"/>
      <c r="AG155" s="162"/>
      <c r="AH155" s="163"/>
      <c r="AI155" s="162"/>
      <c r="AJ155" s="161" t="str">
        <f t="shared" si="18"/>
        <v/>
      </c>
      <c r="AK155" s="161" t="str">
        <f t="shared" si="19"/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 t="shared" si="16"/>
        <v/>
      </c>
      <c r="AE156" s="163" t="str">
        <f t="shared" si="17"/>
        <v/>
      </c>
      <c r="AF156" s="163"/>
      <c r="AG156" s="162"/>
      <c r="AH156" s="163"/>
      <c r="AI156" s="162"/>
      <c r="AJ156" s="161" t="str">
        <f t="shared" si="18"/>
        <v/>
      </c>
      <c r="AK156" s="161" t="str">
        <f t="shared" si="19"/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 t="shared" si="16"/>
        <v/>
      </c>
      <c r="AE157" s="163" t="str">
        <f t="shared" si="17"/>
        <v/>
      </c>
      <c r="AF157" s="163"/>
      <c r="AG157" s="162"/>
      <c r="AH157" s="163"/>
      <c r="AI157" s="162"/>
      <c r="AJ157" s="161" t="str">
        <f t="shared" si="18"/>
        <v/>
      </c>
      <c r="AK157" s="161" t="str">
        <f t="shared" si="19"/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 t="shared" si="16"/>
        <v/>
      </c>
      <c r="AE158" s="163" t="str">
        <f t="shared" si="17"/>
        <v/>
      </c>
      <c r="AF158" s="163"/>
      <c r="AG158" s="162"/>
      <c r="AH158" s="163"/>
      <c r="AI158" s="162"/>
      <c r="AJ158" s="161" t="str">
        <f t="shared" si="18"/>
        <v/>
      </c>
      <c r="AK158" s="161" t="str">
        <f t="shared" si="19"/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 t="shared" si="16"/>
        <v/>
      </c>
      <c r="AE159" s="163" t="str">
        <f t="shared" si="17"/>
        <v/>
      </c>
      <c r="AF159" s="163"/>
      <c r="AG159" s="162"/>
      <c r="AH159" s="163"/>
      <c r="AI159" s="162"/>
      <c r="AJ159" s="161" t="str">
        <f t="shared" si="18"/>
        <v/>
      </c>
      <c r="AK159" s="161" t="str">
        <f t="shared" si="19"/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 t="shared" si="16"/>
        <v/>
      </c>
      <c r="AE160" s="163" t="str">
        <f t="shared" si="17"/>
        <v/>
      </c>
      <c r="AF160" s="163"/>
      <c r="AG160" s="162"/>
      <c r="AH160" s="163"/>
      <c r="AI160" s="162"/>
      <c r="AJ160" s="161" t="str">
        <f t="shared" si="18"/>
        <v/>
      </c>
      <c r="AK160" s="161" t="str">
        <f t="shared" si="19"/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 t="shared" si="16"/>
        <v/>
      </c>
      <c r="AE161" s="163" t="str">
        <f t="shared" si="17"/>
        <v/>
      </c>
      <c r="AF161" s="163"/>
      <c r="AG161" s="162"/>
      <c r="AH161" s="163"/>
      <c r="AI161" s="162"/>
      <c r="AJ161" s="161" t="str">
        <f t="shared" si="18"/>
        <v/>
      </c>
      <c r="AK161" s="161" t="str">
        <f t="shared" si="19"/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 t="shared" si="16"/>
        <v/>
      </c>
      <c r="AE162" s="163" t="str">
        <f t="shared" si="17"/>
        <v/>
      </c>
      <c r="AF162" s="163"/>
      <c r="AG162" s="162"/>
      <c r="AH162" s="163"/>
      <c r="AI162" s="162"/>
      <c r="AJ162" s="161" t="str">
        <f t="shared" si="18"/>
        <v/>
      </c>
      <c r="AK162" s="161" t="str">
        <f t="shared" si="19"/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 t="shared" si="16"/>
        <v/>
      </c>
      <c r="AE163" s="163" t="str">
        <f t="shared" si="17"/>
        <v/>
      </c>
      <c r="AF163" s="163"/>
      <c r="AG163" s="162"/>
      <c r="AH163" s="163"/>
      <c r="AI163" s="162"/>
      <c r="AJ163" s="161" t="str">
        <f t="shared" si="18"/>
        <v/>
      </c>
      <c r="AK163" s="161" t="str">
        <f t="shared" si="19"/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 t="shared" si="16"/>
        <v/>
      </c>
      <c r="AE164" s="163" t="str">
        <f t="shared" si="17"/>
        <v/>
      </c>
      <c r="AF164" s="163"/>
      <c r="AG164" s="162"/>
      <c r="AH164" s="163"/>
      <c r="AI164" s="162"/>
      <c r="AJ164" s="161" t="str">
        <f t="shared" si="18"/>
        <v/>
      </c>
      <c r="AK164" s="161" t="str">
        <f t="shared" si="19"/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 t="shared" si="16"/>
        <v/>
      </c>
      <c r="AE165" s="163" t="str">
        <f t="shared" si="17"/>
        <v/>
      </c>
      <c r="AF165" s="163"/>
      <c r="AG165" s="162"/>
      <c r="AH165" s="163"/>
      <c r="AI165" s="162"/>
      <c r="AJ165" s="161" t="str">
        <f t="shared" si="18"/>
        <v/>
      </c>
      <c r="AK165" s="161" t="str">
        <f t="shared" si="19"/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 t="shared" si="16"/>
        <v/>
      </c>
      <c r="AE166" s="163" t="str">
        <f t="shared" si="17"/>
        <v/>
      </c>
      <c r="AF166" s="163"/>
      <c r="AG166" s="162"/>
      <c r="AH166" s="163"/>
      <c r="AI166" s="162"/>
      <c r="AJ166" s="161" t="str">
        <f t="shared" si="18"/>
        <v/>
      </c>
      <c r="AK166" s="161" t="str">
        <f t="shared" si="19"/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 t="shared" si="16"/>
        <v/>
      </c>
      <c r="AE167" s="163" t="str">
        <f t="shared" si="17"/>
        <v/>
      </c>
      <c r="AF167" s="163"/>
      <c r="AG167" s="162"/>
      <c r="AH167" s="163"/>
      <c r="AI167" s="162"/>
      <c r="AJ167" s="161" t="str">
        <f t="shared" si="18"/>
        <v/>
      </c>
      <c r="AK167" s="161" t="str">
        <f t="shared" si="19"/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 t="shared" si="16"/>
        <v/>
      </c>
      <c r="AE168" s="163" t="str">
        <f t="shared" si="17"/>
        <v/>
      </c>
      <c r="AF168" s="163"/>
      <c r="AG168" s="162"/>
      <c r="AH168" s="163"/>
      <c r="AI168" s="162"/>
      <c r="AJ168" s="161" t="str">
        <f t="shared" si="18"/>
        <v/>
      </c>
      <c r="AK168" s="161" t="str">
        <f t="shared" si="19"/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 t="shared" si="16"/>
        <v/>
      </c>
      <c r="AE169" s="163" t="str">
        <f t="shared" si="17"/>
        <v/>
      </c>
      <c r="AF169" s="163"/>
      <c r="AG169" s="162"/>
      <c r="AH169" s="163"/>
      <c r="AI169" s="162"/>
      <c r="AJ169" s="161" t="str">
        <f t="shared" si="18"/>
        <v/>
      </c>
      <c r="AK169" s="161" t="str">
        <f t="shared" si="19"/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 t="shared" si="16"/>
        <v/>
      </c>
      <c r="AE170" s="163" t="str">
        <f t="shared" si="17"/>
        <v/>
      </c>
      <c r="AF170" s="163"/>
      <c r="AG170" s="162"/>
      <c r="AH170" s="163"/>
      <c r="AI170" s="162"/>
      <c r="AJ170" s="161" t="str">
        <f t="shared" si="18"/>
        <v/>
      </c>
      <c r="AK170" s="161" t="str">
        <f t="shared" si="19"/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 t="shared" si="16"/>
        <v/>
      </c>
      <c r="AE171" s="163" t="str">
        <f t="shared" si="17"/>
        <v/>
      </c>
      <c r="AF171" s="163"/>
      <c r="AG171" s="162"/>
      <c r="AH171" s="163"/>
      <c r="AI171" s="162"/>
      <c r="AJ171" s="161" t="str">
        <f t="shared" si="18"/>
        <v/>
      </c>
      <c r="AK171" s="161" t="str">
        <f t="shared" si="19"/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 t="shared" si="16"/>
        <v/>
      </c>
      <c r="AE172" s="163" t="str">
        <f t="shared" si="17"/>
        <v/>
      </c>
      <c r="AF172" s="163"/>
      <c r="AG172" s="162"/>
      <c r="AH172" s="163"/>
      <c r="AI172" s="162"/>
      <c r="AJ172" s="161" t="str">
        <f t="shared" si="18"/>
        <v/>
      </c>
      <c r="AK172" s="161" t="str">
        <f t="shared" si="19"/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 t="shared" si="16"/>
        <v/>
      </c>
      <c r="AE173" s="163" t="str">
        <f t="shared" si="17"/>
        <v/>
      </c>
      <c r="AF173" s="163"/>
      <c r="AG173" s="162"/>
      <c r="AH173" s="163"/>
      <c r="AI173" s="162"/>
      <c r="AJ173" s="161" t="str">
        <f t="shared" si="18"/>
        <v/>
      </c>
      <c r="AK173" s="161" t="str">
        <f t="shared" si="19"/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 t="shared" si="16"/>
        <v/>
      </c>
      <c r="AE174" s="163" t="str">
        <f t="shared" si="17"/>
        <v/>
      </c>
      <c r="AF174" s="163"/>
      <c r="AG174" s="162"/>
      <c r="AH174" s="163"/>
      <c r="AI174" s="162"/>
      <c r="AJ174" s="161" t="str">
        <f t="shared" si="18"/>
        <v/>
      </c>
      <c r="AK174" s="161" t="str">
        <f t="shared" si="19"/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 t="shared" si="16"/>
        <v/>
      </c>
      <c r="AE175" s="163" t="str">
        <f t="shared" si="17"/>
        <v/>
      </c>
      <c r="AF175" s="163"/>
      <c r="AG175" s="162"/>
      <c r="AH175" s="163"/>
      <c r="AI175" s="162"/>
      <c r="AJ175" s="161" t="str">
        <f t="shared" si="18"/>
        <v/>
      </c>
      <c r="AK175" s="161" t="str">
        <f t="shared" si="19"/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 t="shared" si="16"/>
        <v/>
      </c>
      <c r="AE176" s="163" t="str">
        <f t="shared" si="17"/>
        <v/>
      </c>
      <c r="AF176" s="163"/>
      <c r="AG176" s="162"/>
      <c r="AH176" s="163"/>
      <c r="AI176" s="162"/>
      <c r="AJ176" s="161" t="str">
        <f t="shared" si="18"/>
        <v/>
      </c>
      <c r="AK176" s="161" t="str">
        <f t="shared" si="19"/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 t="shared" si="16"/>
        <v/>
      </c>
      <c r="AE177" s="163" t="str">
        <f t="shared" si="17"/>
        <v/>
      </c>
      <c r="AF177" s="163"/>
      <c r="AG177" s="162"/>
      <c r="AH177" s="163"/>
      <c r="AI177" s="162"/>
      <c r="AJ177" s="161" t="str">
        <f t="shared" si="18"/>
        <v/>
      </c>
      <c r="AK177" s="161" t="str">
        <f t="shared" si="19"/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 t="shared" si="16"/>
        <v/>
      </c>
      <c r="AE178" s="163" t="str">
        <f t="shared" si="17"/>
        <v/>
      </c>
      <c r="AF178" s="163"/>
      <c r="AG178" s="162"/>
      <c r="AH178" s="163"/>
      <c r="AI178" s="162"/>
      <c r="AJ178" s="161" t="str">
        <f t="shared" si="18"/>
        <v/>
      </c>
      <c r="AK178" s="161" t="str">
        <f t="shared" si="19"/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 t="shared" si="16"/>
        <v/>
      </c>
      <c r="AE179" s="163" t="str">
        <f t="shared" si="17"/>
        <v/>
      </c>
      <c r="AF179" s="163"/>
      <c r="AG179" s="162"/>
      <c r="AH179" s="163"/>
      <c r="AI179" s="162"/>
      <c r="AJ179" s="161" t="str">
        <f t="shared" si="18"/>
        <v/>
      </c>
      <c r="AK179" s="161" t="str">
        <f t="shared" si="19"/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 t="shared" si="16"/>
        <v/>
      </c>
      <c r="AE180" s="163" t="str">
        <f t="shared" si="17"/>
        <v/>
      </c>
      <c r="AF180" s="163"/>
      <c r="AG180" s="162"/>
      <c r="AH180" s="163"/>
      <c r="AI180" s="162"/>
      <c r="AJ180" s="161" t="str">
        <f t="shared" si="18"/>
        <v/>
      </c>
      <c r="AK180" s="161" t="str">
        <f t="shared" si="19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16"/>
        <v/>
      </c>
      <c r="AE181" s="159" t="str">
        <f t="shared" si="17"/>
        <v/>
      </c>
      <c r="AF181" s="159"/>
      <c r="AG181" s="158"/>
      <c r="AH181" s="159"/>
      <c r="AI181" s="158"/>
      <c r="AJ181" s="160" t="str">
        <f t="shared" si="18"/>
        <v/>
      </c>
      <c r="AK181" s="161" t="str">
        <f t="shared" si="19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6"/>
        <v/>
      </c>
      <c r="AE182" s="76" t="str">
        <f t="shared" si="17"/>
        <v/>
      </c>
      <c r="AF182" s="77"/>
      <c r="AG182" s="73"/>
      <c r="AH182" s="77"/>
      <c r="AI182" s="73"/>
      <c r="AJ182" s="78" t="str">
        <f t="shared" si="18"/>
        <v/>
      </c>
      <c r="AK182" s="79" t="str">
        <f t="shared" si="19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6"/>
        <v/>
      </c>
      <c r="AE183" s="76" t="str">
        <f t="shared" si="17"/>
        <v/>
      </c>
      <c r="AF183" s="77"/>
      <c r="AG183" s="73"/>
      <c r="AH183" s="77"/>
      <c r="AI183" s="73"/>
      <c r="AJ183" s="78" t="str">
        <f t="shared" si="18"/>
        <v/>
      </c>
      <c r="AK183" s="79" t="str">
        <f t="shared" si="19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6"/>
        <v/>
      </c>
      <c r="AE184" s="76" t="str">
        <f t="shared" si="17"/>
        <v/>
      </c>
      <c r="AF184" s="77"/>
      <c r="AG184" s="73"/>
      <c r="AH184" s="77"/>
      <c r="AI184" s="73"/>
      <c r="AJ184" s="78" t="str">
        <f t="shared" si="18"/>
        <v/>
      </c>
      <c r="AK184" s="79" t="str">
        <f t="shared" si="19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6"/>
        <v/>
      </c>
      <c r="AE185" s="76" t="str">
        <f t="shared" si="17"/>
        <v/>
      </c>
      <c r="AF185" s="77"/>
      <c r="AG185" s="73"/>
      <c r="AH185" s="77"/>
      <c r="AI185" s="73"/>
      <c r="AJ185" s="78" t="str">
        <f t="shared" si="18"/>
        <v/>
      </c>
      <c r="AK185" s="79" t="str">
        <f t="shared" si="19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6"/>
        <v/>
      </c>
      <c r="AE186" s="76" t="str">
        <f t="shared" si="17"/>
        <v/>
      </c>
      <c r="AF186" s="77"/>
      <c r="AG186" s="73"/>
      <c r="AH186" s="77"/>
      <c r="AI186" s="73"/>
      <c r="AJ186" s="78" t="str">
        <f t="shared" si="18"/>
        <v/>
      </c>
      <c r="AK186" s="79" t="str">
        <f t="shared" si="19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6"/>
        <v/>
      </c>
      <c r="AE187" s="76" t="str">
        <f t="shared" si="17"/>
        <v/>
      </c>
      <c r="AF187" s="77"/>
      <c r="AG187" s="73"/>
      <c r="AH187" s="77"/>
      <c r="AI187" s="73"/>
      <c r="AJ187" s="78" t="str">
        <f t="shared" si="18"/>
        <v/>
      </c>
      <c r="AK187" s="79" t="str">
        <f t="shared" si="19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6"/>
        <v/>
      </c>
      <c r="AE188" s="76" t="str">
        <f t="shared" si="17"/>
        <v/>
      </c>
      <c r="AF188" s="77"/>
      <c r="AG188" s="73"/>
      <c r="AH188" s="77"/>
      <c r="AI188" s="73"/>
      <c r="AJ188" s="78" t="str">
        <f t="shared" si="18"/>
        <v/>
      </c>
      <c r="AK188" s="79" t="str">
        <f t="shared" si="19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6"/>
        <v/>
      </c>
      <c r="AE189" s="76" t="str">
        <f t="shared" si="17"/>
        <v/>
      </c>
      <c r="AF189" s="77"/>
      <c r="AG189" s="73"/>
      <c r="AH189" s="77"/>
      <c r="AI189" s="73"/>
      <c r="AJ189" s="78" t="str">
        <f t="shared" si="18"/>
        <v/>
      </c>
      <c r="AK189" s="79" t="str">
        <f t="shared" si="19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6"/>
        <v/>
      </c>
      <c r="AE190" s="76" t="str">
        <f t="shared" si="17"/>
        <v/>
      </c>
      <c r="AF190" s="77"/>
      <c r="AG190" s="73"/>
      <c r="AH190" s="77"/>
      <c r="AI190" s="73"/>
      <c r="AJ190" s="78" t="str">
        <f t="shared" si="18"/>
        <v/>
      </c>
      <c r="AK190" s="79" t="str">
        <f t="shared" si="19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6"/>
        <v/>
      </c>
      <c r="AE191" s="76" t="str">
        <f t="shared" si="17"/>
        <v/>
      </c>
      <c r="AF191" s="77"/>
      <c r="AG191" s="73"/>
      <c r="AH191" s="77"/>
      <c r="AI191" s="73"/>
      <c r="AJ191" s="78" t="str">
        <f t="shared" si="18"/>
        <v/>
      </c>
      <c r="AK191" s="79" t="str">
        <f t="shared" si="19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6"/>
        <v/>
      </c>
      <c r="AE192" s="76" t="str">
        <f t="shared" si="17"/>
        <v/>
      </c>
      <c r="AF192" s="77"/>
      <c r="AG192" s="73"/>
      <c r="AH192" s="77"/>
      <c r="AI192" s="73"/>
      <c r="AJ192" s="78" t="str">
        <f t="shared" si="18"/>
        <v/>
      </c>
      <c r="AK192" s="79" t="str">
        <f t="shared" si="19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6"/>
        <v/>
      </c>
      <c r="AE193" s="76" t="str">
        <f t="shared" si="17"/>
        <v/>
      </c>
      <c r="AF193" s="77"/>
      <c r="AG193" s="73"/>
      <c r="AH193" s="77"/>
      <c r="AI193" s="73"/>
      <c r="AJ193" s="78" t="str">
        <f t="shared" si="18"/>
        <v/>
      </c>
      <c r="AK193" s="79" t="str">
        <f t="shared" si="19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6"/>
        <v/>
      </c>
      <c r="AE194" s="76" t="str">
        <f t="shared" si="17"/>
        <v/>
      </c>
      <c r="AF194" s="77"/>
      <c r="AG194" s="73"/>
      <c r="AH194" s="77"/>
      <c r="AI194" s="73"/>
      <c r="AJ194" s="78" t="str">
        <f t="shared" si="18"/>
        <v/>
      </c>
      <c r="AK194" s="79" t="str">
        <f t="shared" si="19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6"/>
        <v/>
      </c>
      <c r="AE195" s="76" t="str">
        <f t="shared" si="17"/>
        <v/>
      </c>
      <c r="AF195" s="77"/>
      <c r="AG195" s="73"/>
      <c r="AH195" s="77"/>
      <c r="AI195" s="73"/>
      <c r="AJ195" s="78" t="str">
        <f t="shared" si="18"/>
        <v/>
      </c>
      <c r="AK195" s="79" t="str">
        <f t="shared" si="19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20">IF(MIN(F196,J196,N196,R196,V196,Z196)&lt;&gt;0,MIN(F196,J196,N196,R196,V196,Z196),"")</f>
        <v/>
      </c>
      <c r="AE196" s="76" t="str">
        <f t="shared" ref="AE196:AE259" si="21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22">IF(AD196="","",IF(ISBLANK(AF196),"En cours",AD196+AF196))</f>
        <v/>
      </c>
      <c r="AK196" s="79" t="str">
        <f t="shared" ref="AK196:AK259" si="23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20"/>
        <v/>
      </c>
      <c r="AE197" s="76" t="str">
        <f t="shared" si="21"/>
        <v/>
      </c>
      <c r="AF197" s="77"/>
      <c r="AG197" s="73"/>
      <c r="AH197" s="77"/>
      <c r="AI197" s="73"/>
      <c r="AJ197" s="78" t="str">
        <f t="shared" si="22"/>
        <v/>
      </c>
      <c r="AK197" s="79" t="str">
        <f t="shared" si="23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20"/>
        <v/>
      </c>
      <c r="AE198" s="76" t="str">
        <f t="shared" si="21"/>
        <v/>
      </c>
      <c r="AF198" s="77"/>
      <c r="AG198" s="73"/>
      <c r="AH198" s="77"/>
      <c r="AI198" s="73"/>
      <c r="AJ198" s="78" t="str">
        <f t="shared" si="22"/>
        <v/>
      </c>
      <c r="AK198" s="79" t="str">
        <f t="shared" si="23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20"/>
        <v/>
      </c>
      <c r="AE199" s="76" t="str">
        <f t="shared" si="21"/>
        <v/>
      </c>
      <c r="AF199" s="77"/>
      <c r="AG199" s="73"/>
      <c r="AH199" s="77"/>
      <c r="AI199" s="73"/>
      <c r="AJ199" s="78" t="str">
        <f t="shared" si="22"/>
        <v/>
      </c>
      <c r="AK199" s="79" t="str">
        <f t="shared" si="23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20"/>
        <v/>
      </c>
      <c r="AE200" s="76" t="str">
        <f t="shared" si="21"/>
        <v/>
      </c>
      <c r="AF200" s="77"/>
      <c r="AG200" s="73"/>
      <c r="AH200" s="77"/>
      <c r="AI200" s="73"/>
      <c r="AJ200" s="78" t="str">
        <f t="shared" si="22"/>
        <v/>
      </c>
      <c r="AK200" s="79" t="str">
        <f t="shared" si="23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20"/>
        <v/>
      </c>
      <c r="AE201" s="76" t="str">
        <f t="shared" si="21"/>
        <v/>
      </c>
      <c r="AF201" s="77"/>
      <c r="AG201" s="73"/>
      <c r="AH201" s="77"/>
      <c r="AI201" s="73"/>
      <c r="AJ201" s="78" t="str">
        <f t="shared" si="22"/>
        <v/>
      </c>
      <c r="AK201" s="79" t="str">
        <f t="shared" si="23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20"/>
        <v/>
      </c>
      <c r="AE202" s="76" t="str">
        <f t="shared" si="21"/>
        <v/>
      </c>
      <c r="AF202" s="77"/>
      <c r="AG202" s="73"/>
      <c r="AH202" s="77"/>
      <c r="AI202" s="73"/>
      <c r="AJ202" s="78" t="str">
        <f t="shared" si="22"/>
        <v/>
      </c>
      <c r="AK202" s="79" t="str">
        <f t="shared" si="23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20"/>
        <v/>
      </c>
      <c r="AE203" s="76" t="str">
        <f t="shared" si="21"/>
        <v/>
      </c>
      <c r="AF203" s="77"/>
      <c r="AG203" s="73"/>
      <c r="AH203" s="77"/>
      <c r="AI203" s="73"/>
      <c r="AJ203" s="78" t="str">
        <f t="shared" si="22"/>
        <v/>
      </c>
      <c r="AK203" s="79" t="str">
        <f t="shared" si="23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20"/>
        <v/>
      </c>
      <c r="AE204" s="76" t="str">
        <f t="shared" si="21"/>
        <v/>
      </c>
      <c r="AF204" s="77"/>
      <c r="AG204" s="73"/>
      <c r="AH204" s="77"/>
      <c r="AI204" s="73"/>
      <c r="AJ204" s="78" t="str">
        <f t="shared" si="22"/>
        <v/>
      </c>
      <c r="AK204" s="79" t="str">
        <f t="shared" si="23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20"/>
        <v/>
      </c>
      <c r="AE205" s="76" t="str">
        <f t="shared" si="21"/>
        <v/>
      </c>
      <c r="AF205" s="77"/>
      <c r="AG205" s="73"/>
      <c r="AH205" s="77"/>
      <c r="AI205" s="73"/>
      <c r="AJ205" s="78" t="str">
        <f t="shared" si="22"/>
        <v/>
      </c>
      <c r="AK205" s="79" t="str">
        <f t="shared" si="23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20"/>
        <v/>
      </c>
      <c r="AE206" s="76" t="str">
        <f t="shared" si="21"/>
        <v/>
      </c>
      <c r="AF206" s="77"/>
      <c r="AG206" s="73"/>
      <c r="AH206" s="77"/>
      <c r="AI206" s="73"/>
      <c r="AJ206" s="78" t="str">
        <f t="shared" si="22"/>
        <v/>
      </c>
      <c r="AK206" s="79" t="str">
        <f t="shared" si="23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20"/>
        <v/>
      </c>
      <c r="AE207" s="76" t="str">
        <f t="shared" si="21"/>
        <v/>
      </c>
      <c r="AF207" s="77"/>
      <c r="AG207" s="73"/>
      <c r="AH207" s="77"/>
      <c r="AI207" s="73"/>
      <c r="AJ207" s="78" t="str">
        <f t="shared" si="22"/>
        <v/>
      </c>
      <c r="AK207" s="79" t="str">
        <f t="shared" si="23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20"/>
        <v/>
      </c>
      <c r="AE208" s="76" t="str">
        <f t="shared" si="21"/>
        <v/>
      </c>
      <c r="AF208" s="77"/>
      <c r="AG208" s="73"/>
      <c r="AH208" s="77"/>
      <c r="AI208" s="73"/>
      <c r="AJ208" s="78" t="str">
        <f t="shared" si="22"/>
        <v/>
      </c>
      <c r="AK208" s="79" t="str">
        <f t="shared" si="23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20"/>
        <v/>
      </c>
      <c r="AE209" s="76" t="str">
        <f t="shared" si="21"/>
        <v/>
      </c>
      <c r="AF209" s="77"/>
      <c r="AG209" s="73"/>
      <c r="AH209" s="77"/>
      <c r="AI209" s="73"/>
      <c r="AJ209" s="78" t="str">
        <f t="shared" si="22"/>
        <v/>
      </c>
      <c r="AK209" s="79" t="str">
        <f t="shared" si="23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20"/>
        <v/>
      </c>
      <c r="AE210" s="76" t="str">
        <f t="shared" si="21"/>
        <v/>
      </c>
      <c r="AF210" s="77"/>
      <c r="AG210" s="73"/>
      <c r="AH210" s="77"/>
      <c r="AI210" s="73"/>
      <c r="AJ210" s="78" t="str">
        <f t="shared" si="22"/>
        <v/>
      </c>
      <c r="AK210" s="79" t="str">
        <f t="shared" si="23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20"/>
        <v/>
      </c>
      <c r="AE211" s="76" t="str">
        <f t="shared" si="21"/>
        <v/>
      </c>
      <c r="AF211" s="77"/>
      <c r="AG211" s="73"/>
      <c r="AH211" s="77"/>
      <c r="AI211" s="73"/>
      <c r="AJ211" s="78" t="str">
        <f t="shared" si="22"/>
        <v/>
      </c>
      <c r="AK211" s="79" t="str">
        <f t="shared" si="23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20"/>
        <v/>
      </c>
      <c r="AE212" s="76" t="str">
        <f t="shared" si="21"/>
        <v/>
      </c>
      <c r="AF212" s="77"/>
      <c r="AG212" s="73"/>
      <c r="AH212" s="77"/>
      <c r="AI212" s="73"/>
      <c r="AJ212" s="78" t="str">
        <f t="shared" si="22"/>
        <v/>
      </c>
      <c r="AK212" s="79" t="str">
        <f t="shared" si="23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20"/>
        <v/>
      </c>
      <c r="AE213" s="76" t="str">
        <f t="shared" si="21"/>
        <v/>
      </c>
      <c r="AF213" s="77"/>
      <c r="AG213" s="73"/>
      <c r="AH213" s="77"/>
      <c r="AI213" s="73"/>
      <c r="AJ213" s="78" t="str">
        <f t="shared" si="22"/>
        <v/>
      </c>
      <c r="AK213" s="79" t="str">
        <f t="shared" si="23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20"/>
        <v/>
      </c>
      <c r="AE214" s="76" t="str">
        <f t="shared" si="21"/>
        <v/>
      </c>
      <c r="AF214" s="77"/>
      <c r="AG214" s="73"/>
      <c r="AH214" s="77"/>
      <c r="AI214" s="73"/>
      <c r="AJ214" s="78" t="str">
        <f t="shared" si="22"/>
        <v/>
      </c>
      <c r="AK214" s="79" t="str">
        <f t="shared" si="23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20"/>
        <v/>
      </c>
      <c r="AE215" s="76" t="str">
        <f t="shared" si="21"/>
        <v/>
      </c>
      <c r="AF215" s="77"/>
      <c r="AG215" s="73"/>
      <c r="AH215" s="77"/>
      <c r="AI215" s="73"/>
      <c r="AJ215" s="78" t="str">
        <f t="shared" si="22"/>
        <v/>
      </c>
      <c r="AK215" s="79" t="str">
        <f t="shared" si="23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20"/>
        <v/>
      </c>
      <c r="AE216" s="76" t="str">
        <f t="shared" si="21"/>
        <v/>
      </c>
      <c r="AF216" s="77"/>
      <c r="AG216" s="73"/>
      <c r="AH216" s="77"/>
      <c r="AI216" s="73"/>
      <c r="AJ216" s="78" t="str">
        <f t="shared" si="22"/>
        <v/>
      </c>
      <c r="AK216" s="79" t="str">
        <f t="shared" si="23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20"/>
        <v/>
      </c>
      <c r="AE217" s="76" t="str">
        <f t="shared" si="21"/>
        <v/>
      </c>
      <c r="AF217" s="77"/>
      <c r="AG217" s="73"/>
      <c r="AH217" s="77"/>
      <c r="AI217" s="73"/>
      <c r="AJ217" s="78" t="str">
        <f t="shared" si="22"/>
        <v/>
      </c>
      <c r="AK217" s="79" t="str">
        <f t="shared" si="23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20"/>
        <v/>
      </c>
      <c r="AE218" s="76" t="str">
        <f t="shared" si="21"/>
        <v/>
      </c>
      <c r="AF218" s="77"/>
      <c r="AG218" s="73"/>
      <c r="AH218" s="77"/>
      <c r="AI218" s="73"/>
      <c r="AJ218" s="78" t="str">
        <f t="shared" si="22"/>
        <v/>
      </c>
      <c r="AK218" s="79" t="str">
        <f t="shared" si="23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20"/>
        <v/>
      </c>
      <c r="AE219" s="76" t="str">
        <f t="shared" si="21"/>
        <v/>
      </c>
      <c r="AF219" s="77"/>
      <c r="AG219" s="73"/>
      <c r="AH219" s="77"/>
      <c r="AI219" s="73"/>
      <c r="AJ219" s="78" t="str">
        <f t="shared" si="22"/>
        <v/>
      </c>
      <c r="AK219" s="79" t="str">
        <f t="shared" si="23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20"/>
        <v/>
      </c>
      <c r="AE220" s="76" t="str">
        <f t="shared" si="21"/>
        <v/>
      </c>
      <c r="AF220" s="77"/>
      <c r="AG220" s="73"/>
      <c r="AH220" s="77"/>
      <c r="AI220" s="73"/>
      <c r="AJ220" s="78" t="str">
        <f t="shared" si="22"/>
        <v/>
      </c>
      <c r="AK220" s="79" t="str">
        <f t="shared" si="23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20"/>
        <v/>
      </c>
      <c r="AE221" s="76" t="str">
        <f t="shared" si="21"/>
        <v/>
      </c>
      <c r="AF221" s="77"/>
      <c r="AG221" s="73"/>
      <c r="AH221" s="77"/>
      <c r="AI221" s="73"/>
      <c r="AJ221" s="78" t="str">
        <f t="shared" si="22"/>
        <v/>
      </c>
      <c r="AK221" s="79" t="str">
        <f t="shared" si="23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20"/>
        <v/>
      </c>
      <c r="AE222" s="76" t="str">
        <f t="shared" si="21"/>
        <v/>
      </c>
      <c r="AF222" s="77"/>
      <c r="AG222" s="73"/>
      <c r="AH222" s="77"/>
      <c r="AI222" s="73"/>
      <c r="AJ222" s="78" t="str">
        <f t="shared" si="22"/>
        <v/>
      </c>
      <c r="AK222" s="79" t="str">
        <f t="shared" si="23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20"/>
        <v/>
      </c>
      <c r="AE223" s="76" t="str">
        <f t="shared" si="21"/>
        <v/>
      </c>
      <c r="AF223" s="77"/>
      <c r="AG223" s="73"/>
      <c r="AH223" s="77"/>
      <c r="AI223" s="73"/>
      <c r="AJ223" s="78" t="str">
        <f t="shared" si="22"/>
        <v/>
      </c>
      <c r="AK223" s="79" t="str">
        <f t="shared" si="23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20"/>
        <v/>
      </c>
      <c r="AE224" s="76" t="str">
        <f t="shared" si="21"/>
        <v/>
      </c>
      <c r="AF224" s="77"/>
      <c r="AG224" s="73"/>
      <c r="AH224" s="77"/>
      <c r="AI224" s="73"/>
      <c r="AJ224" s="78" t="str">
        <f t="shared" si="22"/>
        <v/>
      </c>
      <c r="AK224" s="79" t="str">
        <f t="shared" si="23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20"/>
        <v/>
      </c>
      <c r="AE225" s="76" t="str">
        <f t="shared" si="21"/>
        <v/>
      </c>
      <c r="AF225" s="77"/>
      <c r="AG225" s="73"/>
      <c r="AH225" s="77"/>
      <c r="AI225" s="73"/>
      <c r="AJ225" s="78" t="str">
        <f t="shared" si="22"/>
        <v/>
      </c>
      <c r="AK225" s="79" t="str">
        <f t="shared" si="23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20"/>
        <v/>
      </c>
      <c r="AE226" s="76" t="str">
        <f t="shared" si="21"/>
        <v/>
      </c>
      <c r="AF226" s="77"/>
      <c r="AG226" s="73"/>
      <c r="AH226" s="77"/>
      <c r="AI226" s="73"/>
      <c r="AJ226" s="78" t="str">
        <f t="shared" si="22"/>
        <v/>
      </c>
      <c r="AK226" s="79" t="str">
        <f t="shared" si="23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20"/>
        <v/>
      </c>
      <c r="AE227" s="76" t="str">
        <f t="shared" si="21"/>
        <v/>
      </c>
      <c r="AF227" s="77"/>
      <c r="AG227" s="73"/>
      <c r="AH227" s="77"/>
      <c r="AI227" s="73"/>
      <c r="AJ227" s="78" t="str">
        <f t="shared" si="22"/>
        <v/>
      </c>
      <c r="AK227" s="79" t="str">
        <f t="shared" si="23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20"/>
        <v/>
      </c>
      <c r="AE228" s="76" t="str">
        <f t="shared" si="21"/>
        <v/>
      </c>
      <c r="AF228" s="77"/>
      <c r="AG228" s="73"/>
      <c r="AH228" s="77"/>
      <c r="AI228" s="73"/>
      <c r="AJ228" s="78" t="str">
        <f t="shared" si="22"/>
        <v/>
      </c>
      <c r="AK228" s="79" t="str">
        <f t="shared" si="23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20"/>
        <v/>
      </c>
      <c r="AE229" s="76" t="str">
        <f t="shared" si="21"/>
        <v/>
      </c>
      <c r="AF229" s="77"/>
      <c r="AG229" s="73"/>
      <c r="AH229" s="77"/>
      <c r="AI229" s="73"/>
      <c r="AJ229" s="78" t="str">
        <f t="shared" si="22"/>
        <v/>
      </c>
      <c r="AK229" s="79" t="str">
        <f t="shared" si="23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20"/>
        <v/>
      </c>
      <c r="AE230" s="76" t="str">
        <f t="shared" si="21"/>
        <v/>
      </c>
      <c r="AF230" s="77"/>
      <c r="AG230" s="73"/>
      <c r="AH230" s="77"/>
      <c r="AI230" s="73"/>
      <c r="AJ230" s="78" t="str">
        <f t="shared" si="22"/>
        <v/>
      </c>
      <c r="AK230" s="79" t="str">
        <f t="shared" si="23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20"/>
        <v/>
      </c>
      <c r="AE231" s="76" t="str">
        <f t="shared" si="21"/>
        <v/>
      </c>
      <c r="AF231" s="77"/>
      <c r="AG231" s="73"/>
      <c r="AH231" s="77"/>
      <c r="AI231" s="73"/>
      <c r="AJ231" s="78" t="str">
        <f t="shared" si="22"/>
        <v/>
      </c>
      <c r="AK231" s="79" t="str">
        <f t="shared" si="23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20"/>
        <v/>
      </c>
      <c r="AE232" s="76" t="str">
        <f t="shared" si="21"/>
        <v/>
      </c>
      <c r="AF232" s="77"/>
      <c r="AG232" s="73"/>
      <c r="AH232" s="77"/>
      <c r="AI232" s="73"/>
      <c r="AJ232" s="78" t="str">
        <f t="shared" si="22"/>
        <v/>
      </c>
      <c r="AK232" s="79" t="str">
        <f t="shared" si="23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20"/>
        <v/>
      </c>
      <c r="AE233" s="76" t="str">
        <f t="shared" si="21"/>
        <v/>
      </c>
      <c r="AF233" s="77"/>
      <c r="AG233" s="73"/>
      <c r="AH233" s="77"/>
      <c r="AI233" s="73"/>
      <c r="AJ233" s="78" t="str">
        <f t="shared" si="22"/>
        <v/>
      </c>
      <c r="AK233" s="79" t="str">
        <f t="shared" si="23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20"/>
        <v/>
      </c>
      <c r="AE234" s="76" t="str">
        <f t="shared" si="21"/>
        <v/>
      </c>
      <c r="AF234" s="77"/>
      <c r="AG234" s="73"/>
      <c r="AH234" s="77"/>
      <c r="AI234" s="73"/>
      <c r="AJ234" s="78" t="str">
        <f t="shared" si="22"/>
        <v/>
      </c>
      <c r="AK234" s="79" t="str">
        <f t="shared" si="23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20"/>
        <v/>
      </c>
      <c r="AE235" s="76" t="str">
        <f t="shared" si="21"/>
        <v/>
      </c>
      <c r="AF235" s="77"/>
      <c r="AG235" s="73"/>
      <c r="AH235" s="77"/>
      <c r="AI235" s="73"/>
      <c r="AJ235" s="78" t="str">
        <f t="shared" si="22"/>
        <v/>
      </c>
      <c r="AK235" s="79" t="str">
        <f t="shared" si="23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20"/>
        <v/>
      </c>
      <c r="AE236" s="76" t="str">
        <f t="shared" si="21"/>
        <v/>
      </c>
      <c r="AF236" s="77"/>
      <c r="AG236" s="73"/>
      <c r="AH236" s="77"/>
      <c r="AI236" s="73"/>
      <c r="AJ236" s="78" t="str">
        <f t="shared" si="22"/>
        <v/>
      </c>
      <c r="AK236" s="79" t="str">
        <f t="shared" si="23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20"/>
        <v/>
      </c>
      <c r="AE237" s="76" t="str">
        <f t="shared" si="21"/>
        <v/>
      </c>
      <c r="AF237" s="77"/>
      <c r="AG237" s="73"/>
      <c r="AH237" s="77"/>
      <c r="AI237" s="73"/>
      <c r="AJ237" s="78" t="str">
        <f t="shared" si="22"/>
        <v/>
      </c>
      <c r="AK237" s="79" t="str">
        <f t="shared" si="23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20"/>
        <v/>
      </c>
      <c r="AE238" s="76" t="str">
        <f t="shared" si="21"/>
        <v/>
      </c>
      <c r="AF238" s="77"/>
      <c r="AG238" s="73"/>
      <c r="AH238" s="77"/>
      <c r="AI238" s="73"/>
      <c r="AJ238" s="78" t="str">
        <f t="shared" si="22"/>
        <v/>
      </c>
      <c r="AK238" s="79" t="str">
        <f t="shared" si="23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20"/>
        <v/>
      </c>
      <c r="AE239" s="76" t="str">
        <f t="shared" si="21"/>
        <v/>
      </c>
      <c r="AF239" s="77"/>
      <c r="AG239" s="73"/>
      <c r="AH239" s="77"/>
      <c r="AI239" s="73"/>
      <c r="AJ239" s="78" t="str">
        <f t="shared" si="22"/>
        <v/>
      </c>
      <c r="AK239" s="79" t="str">
        <f t="shared" si="23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20"/>
        <v/>
      </c>
      <c r="AE240" s="76" t="str">
        <f t="shared" si="21"/>
        <v/>
      </c>
      <c r="AF240" s="77"/>
      <c r="AG240" s="73"/>
      <c r="AH240" s="77"/>
      <c r="AI240" s="73"/>
      <c r="AJ240" s="78" t="str">
        <f t="shared" si="22"/>
        <v/>
      </c>
      <c r="AK240" s="79" t="str">
        <f t="shared" si="23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20"/>
        <v/>
      </c>
      <c r="AE241" s="76" t="str">
        <f t="shared" si="21"/>
        <v/>
      </c>
      <c r="AF241" s="77"/>
      <c r="AG241" s="73"/>
      <c r="AH241" s="77"/>
      <c r="AI241" s="73"/>
      <c r="AJ241" s="78" t="str">
        <f t="shared" si="22"/>
        <v/>
      </c>
      <c r="AK241" s="79" t="str">
        <f t="shared" si="23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20"/>
        <v/>
      </c>
      <c r="AE242" s="76" t="str">
        <f t="shared" si="21"/>
        <v/>
      </c>
      <c r="AF242" s="77"/>
      <c r="AG242" s="73"/>
      <c r="AH242" s="77"/>
      <c r="AI242" s="73"/>
      <c r="AJ242" s="78" t="str">
        <f t="shared" si="22"/>
        <v/>
      </c>
      <c r="AK242" s="79" t="str">
        <f t="shared" si="23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20"/>
        <v/>
      </c>
      <c r="AE243" s="76" t="str">
        <f t="shared" si="21"/>
        <v/>
      </c>
      <c r="AF243" s="77"/>
      <c r="AG243" s="73"/>
      <c r="AH243" s="77"/>
      <c r="AI243" s="73"/>
      <c r="AJ243" s="78" t="str">
        <f t="shared" si="22"/>
        <v/>
      </c>
      <c r="AK243" s="79" t="str">
        <f t="shared" si="23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20"/>
        <v/>
      </c>
      <c r="AE244" s="76" t="str">
        <f t="shared" si="21"/>
        <v/>
      </c>
      <c r="AF244" s="77"/>
      <c r="AG244" s="73"/>
      <c r="AH244" s="77"/>
      <c r="AI244" s="73"/>
      <c r="AJ244" s="78" t="str">
        <f t="shared" si="22"/>
        <v/>
      </c>
      <c r="AK244" s="79" t="str">
        <f t="shared" si="23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20"/>
        <v/>
      </c>
      <c r="AE245" s="76" t="str">
        <f t="shared" si="21"/>
        <v/>
      </c>
      <c r="AF245" s="77"/>
      <c r="AG245" s="73"/>
      <c r="AH245" s="77"/>
      <c r="AI245" s="73"/>
      <c r="AJ245" s="78" t="str">
        <f t="shared" si="22"/>
        <v/>
      </c>
      <c r="AK245" s="79" t="str">
        <f t="shared" si="23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20"/>
        <v/>
      </c>
      <c r="AE246" s="76" t="str">
        <f t="shared" si="21"/>
        <v/>
      </c>
      <c r="AF246" s="77"/>
      <c r="AG246" s="73"/>
      <c r="AH246" s="77"/>
      <c r="AI246" s="73"/>
      <c r="AJ246" s="78" t="str">
        <f t="shared" si="22"/>
        <v/>
      </c>
      <c r="AK246" s="79" t="str">
        <f t="shared" si="23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20"/>
        <v/>
      </c>
      <c r="AE247" s="76" t="str">
        <f t="shared" si="21"/>
        <v/>
      </c>
      <c r="AF247" s="77"/>
      <c r="AG247" s="73"/>
      <c r="AH247" s="77"/>
      <c r="AI247" s="73"/>
      <c r="AJ247" s="78" t="str">
        <f t="shared" si="22"/>
        <v/>
      </c>
      <c r="AK247" s="79" t="str">
        <f t="shared" si="23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20"/>
        <v/>
      </c>
      <c r="AE248" s="76" t="str">
        <f t="shared" si="21"/>
        <v/>
      </c>
      <c r="AF248" s="77"/>
      <c r="AG248" s="73"/>
      <c r="AH248" s="77"/>
      <c r="AI248" s="73"/>
      <c r="AJ248" s="78" t="str">
        <f t="shared" si="22"/>
        <v/>
      </c>
      <c r="AK248" s="79" t="str">
        <f t="shared" si="23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20"/>
        <v/>
      </c>
      <c r="AE249" s="76" t="str">
        <f t="shared" si="21"/>
        <v/>
      </c>
      <c r="AF249" s="77"/>
      <c r="AG249" s="73"/>
      <c r="AH249" s="77"/>
      <c r="AI249" s="73"/>
      <c r="AJ249" s="78" t="str">
        <f t="shared" si="22"/>
        <v/>
      </c>
      <c r="AK249" s="79" t="str">
        <f t="shared" si="23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20"/>
        <v/>
      </c>
      <c r="AE250" s="76" t="str">
        <f t="shared" si="21"/>
        <v/>
      </c>
      <c r="AF250" s="77"/>
      <c r="AG250" s="73"/>
      <c r="AH250" s="77"/>
      <c r="AI250" s="73"/>
      <c r="AJ250" s="78" t="str">
        <f t="shared" si="22"/>
        <v/>
      </c>
      <c r="AK250" s="79" t="str">
        <f t="shared" si="23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20"/>
        <v/>
      </c>
      <c r="AE251" s="76" t="str">
        <f t="shared" si="21"/>
        <v/>
      </c>
      <c r="AF251" s="77"/>
      <c r="AG251" s="73"/>
      <c r="AH251" s="77"/>
      <c r="AI251" s="73"/>
      <c r="AJ251" s="78" t="str">
        <f t="shared" si="22"/>
        <v/>
      </c>
      <c r="AK251" s="79" t="str">
        <f t="shared" si="23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20"/>
        <v/>
      </c>
      <c r="AE252" s="76" t="str">
        <f t="shared" si="21"/>
        <v/>
      </c>
      <c r="AF252" s="77"/>
      <c r="AG252" s="73"/>
      <c r="AH252" s="77"/>
      <c r="AI252" s="73"/>
      <c r="AJ252" s="78" t="str">
        <f t="shared" si="22"/>
        <v/>
      </c>
      <c r="AK252" s="79" t="str">
        <f t="shared" si="23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20"/>
        <v/>
      </c>
      <c r="AE253" s="76" t="str">
        <f t="shared" si="21"/>
        <v/>
      </c>
      <c r="AF253" s="77"/>
      <c r="AG253" s="73"/>
      <c r="AH253" s="77"/>
      <c r="AI253" s="73"/>
      <c r="AJ253" s="78" t="str">
        <f t="shared" si="22"/>
        <v/>
      </c>
      <c r="AK253" s="79" t="str">
        <f t="shared" si="23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20"/>
        <v/>
      </c>
      <c r="AE254" s="76" t="str">
        <f t="shared" si="21"/>
        <v/>
      </c>
      <c r="AF254" s="77"/>
      <c r="AG254" s="73"/>
      <c r="AH254" s="77"/>
      <c r="AI254" s="73"/>
      <c r="AJ254" s="78" t="str">
        <f t="shared" si="22"/>
        <v/>
      </c>
      <c r="AK254" s="79" t="str">
        <f t="shared" si="23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20"/>
        <v/>
      </c>
      <c r="AE255" s="76" t="str">
        <f t="shared" si="21"/>
        <v/>
      </c>
      <c r="AF255" s="77"/>
      <c r="AG255" s="73"/>
      <c r="AH255" s="77"/>
      <c r="AI255" s="73"/>
      <c r="AJ255" s="78" t="str">
        <f t="shared" si="22"/>
        <v/>
      </c>
      <c r="AK255" s="79" t="str">
        <f t="shared" si="23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20"/>
        <v/>
      </c>
      <c r="AE256" s="76" t="str">
        <f t="shared" si="21"/>
        <v/>
      </c>
      <c r="AF256" s="77"/>
      <c r="AG256" s="73"/>
      <c r="AH256" s="77"/>
      <c r="AI256" s="73"/>
      <c r="AJ256" s="78" t="str">
        <f t="shared" si="22"/>
        <v/>
      </c>
      <c r="AK256" s="79" t="str">
        <f t="shared" si="23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20"/>
        <v/>
      </c>
      <c r="AE257" s="76" t="str">
        <f t="shared" si="21"/>
        <v/>
      </c>
      <c r="AF257" s="77"/>
      <c r="AG257" s="73"/>
      <c r="AH257" s="77"/>
      <c r="AI257" s="73"/>
      <c r="AJ257" s="78" t="str">
        <f t="shared" si="22"/>
        <v/>
      </c>
      <c r="AK257" s="79" t="str">
        <f t="shared" si="23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20"/>
        <v/>
      </c>
      <c r="AE258" s="76" t="str">
        <f t="shared" si="21"/>
        <v/>
      </c>
      <c r="AF258" s="77"/>
      <c r="AG258" s="73"/>
      <c r="AH258" s="77"/>
      <c r="AI258" s="73"/>
      <c r="AJ258" s="78" t="str">
        <f t="shared" si="22"/>
        <v/>
      </c>
      <c r="AK258" s="79" t="str">
        <f t="shared" si="23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20"/>
        <v/>
      </c>
      <c r="AE259" s="76" t="str">
        <f t="shared" si="21"/>
        <v/>
      </c>
      <c r="AF259" s="77"/>
      <c r="AG259" s="73"/>
      <c r="AH259" s="77"/>
      <c r="AI259" s="73"/>
      <c r="AJ259" s="78" t="str">
        <f t="shared" si="22"/>
        <v/>
      </c>
      <c r="AK259" s="79" t="str">
        <f t="shared" si="23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4">IF(MIN(F260,J260,N260,R260,V260,Z260)&lt;&gt;0,MIN(F260,J260,N260,R260,V260,Z260),"")</f>
        <v/>
      </c>
      <c r="AE260" s="76" t="str">
        <f t="shared" ref="AE260:AE323" si="25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6">IF(AD260="","",IF(ISBLANK(AF260),"En cours",AD260+AF260))</f>
        <v/>
      </c>
      <c r="AK260" s="79" t="str">
        <f t="shared" ref="AK260:AK323" si="27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4"/>
        <v/>
      </c>
      <c r="AE261" s="76" t="str">
        <f t="shared" si="25"/>
        <v/>
      </c>
      <c r="AF261" s="77"/>
      <c r="AG261" s="73"/>
      <c r="AH261" s="77"/>
      <c r="AI261" s="73"/>
      <c r="AJ261" s="78" t="str">
        <f t="shared" si="26"/>
        <v/>
      </c>
      <c r="AK261" s="79" t="str">
        <f t="shared" si="27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4"/>
        <v/>
      </c>
      <c r="AE262" s="76" t="str">
        <f t="shared" si="25"/>
        <v/>
      </c>
      <c r="AF262" s="77"/>
      <c r="AG262" s="73"/>
      <c r="AH262" s="77"/>
      <c r="AI262" s="73"/>
      <c r="AJ262" s="78" t="str">
        <f t="shared" si="26"/>
        <v/>
      </c>
      <c r="AK262" s="79" t="str">
        <f t="shared" si="27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4"/>
        <v/>
      </c>
      <c r="AE263" s="76" t="str">
        <f t="shared" si="25"/>
        <v/>
      </c>
      <c r="AF263" s="77"/>
      <c r="AG263" s="73"/>
      <c r="AH263" s="77"/>
      <c r="AI263" s="73"/>
      <c r="AJ263" s="78" t="str">
        <f t="shared" si="26"/>
        <v/>
      </c>
      <c r="AK263" s="79" t="str">
        <f t="shared" si="27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4"/>
        <v/>
      </c>
      <c r="AE264" s="76" t="str">
        <f t="shared" si="25"/>
        <v/>
      </c>
      <c r="AF264" s="77"/>
      <c r="AG264" s="73"/>
      <c r="AH264" s="77"/>
      <c r="AI264" s="73"/>
      <c r="AJ264" s="78" t="str">
        <f t="shared" si="26"/>
        <v/>
      </c>
      <c r="AK264" s="79" t="str">
        <f t="shared" si="27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4"/>
        <v/>
      </c>
      <c r="AE265" s="76" t="str">
        <f t="shared" si="25"/>
        <v/>
      </c>
      <c r="AF265" s="77"/>
      <c r="AG265" s="73"/>
      <c r="AH265" s="77"/>
      <c r="AI265" s="73"/>
      <c r="AJ265" s="78" t="str">
        <f t="shared" si="26"/>
        <v/>
      </c>
      <c r="AK265" s="79" t="str">
        <f t="shared" si="27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4"/>
        <v/>
      </c>
      <c r="AE266" s="76" t="str">
        <f t="shared" si="25"/>
        <v/>
      </c>
      <c r="AF266" s="77"/>
      <c r="AG266" s="73"/>
      <c r="AH266" s="77"/>
      <c r="AI266" s="73"/>
      <c r="AJ266" s="78" t="str">
        <f t="shared" si="26"/>
        <v/>
      </c>
      <c r="AK266" s="79" t="str">
        <f t="shared" si="27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4"/>
        <v/>
      </c>
      <c r="AE267" s="76" t="str">
        <f t="shared" si="25"/>
        <v/>
      </c>
      <c r="AF267" s="77"/>
      <c r="AG267" s="73"/>
      <c r="AH267" s="77"/>
      <c r="AI267" s="73"/>
      <c r="AJ267" s="78" t="str">
        <f t="shared" si="26"/>
        <v/>
      </c>
      <c r="AK267" s="79" t="str">
        <f t="shared" si="27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4"/>
        <v/>
      </c>
      <c r="AE268" s="76" t="str">
        <f t="shared" si="25"/>
        <v/>
      </c>
      <c r="AF268" s="77"/>
      <c r="AG268" s="73"/>
      <c r="AH268" s="77"/>
      <c r="AI268" s="73"/>
      <c r="AJ268" s="78" t="str">
        <f t="shared" si="26"/>
        <v/>
      </c>
      <c r="AK268" s="79" t="str">
        <f t="shared" si="27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4"/>
        <v/>
      </c>
      <c r="AE269" s="76" t="str">
        <f t="shared" si="25"/>
        <v/>
      </c>
      <c r="AF269" s="77"/>
      <c r="AG269" s="73"/>
      <c r="AH269" s="77"/>
      <c r="AI269" s="73"/>
      <c r="AJ269" s="78" t="str">
        <f t="shared" si="26"/>
        <v/>
      </c>
      <c r="AK269" s="79" t="str">
        <f t="shared" si="27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4"/>
        <v/>
      </c>
      <c r="AE270" s="76" t="str">
        <f t="shared" si="25"/>
        <v/>
      </c>
      <c r="AF270" s="77"/>
      <c r="AG270" s="73"/>
      <c r="AH270" s="77"/>
      <c r="AI270" s="73"/>
      <c r="AJ270" s="78" t="str">
        <f t="shared" si="26"/>
        <v/>
      </c>
      <c r="AK270" s="79" t="str">
        <f t="shared" si="27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4"/>
        <v/>
      </c>
      <c r="AE271" s="76" t="str">
        <f t="shared" si="25"/>
        <v/>
      </c>
      <c r="AF271" s="77"/>
      <c r="AG271" s="73"/>
      <c r="AH271" s="77"/>
      <c r="AI271" s="73"/>
      <c r="AJ271" s="78" t="str">
        <f t="shared" si="26"/>
        <v/>
      </c>
      <c r="AK271" s="79" t="str">
        <f t="shared" si="27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4"/>
        <v/>
      </c>
      <c r="AE272" s="76" t="str">
        <f t="shared" si="25"/>
        <v/>
      </c>
      <c r="AF272" s="77"/>
      <c r="AG272" s="73"/>
      <c r="AH272" s="77"/>
      <c r="AI272" s="73"/>
      <c r="AJ272" s="78" t="str">
        <f t="shared" si="26"/>
        <v/>
      </c>
      <c r="AK272" s="79" t="str">
        <f t="shared" si="27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4"/>
        <v/>
      </c>
      <c r="AE273" s="76" t="str">
        <f t="shared" si="25"/>
        <v/>
      </c>
      <c r="AF273" s="77"/>
      <c r="AG273" s="73"/>
      <c r="AH273" s="77"/>
      <c r="AI273" s="73"/>
      <c r="AJ273" s="78" t="str">
        <f t="shared" si="26"/>
        <v/>
      </c>
      <c r="AK273" s="79" t="str">
        <f t="shared" si="27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4"/>
        <v/>
      </c>
      <c r="AE274" s="76" t="str">
        <f t="shared" si="25"/>
        <v/>
      </c>
      <c r="AF274" s="77"/>
      <c r="AG274" s="73"/>
      <c r="AH274" s="77"/>
      <c r="AI274" s="73"/>
      <c r="AJ274" s="78" t="str">
        <f t="shared" si="26"/>
        <v/>
      </c>
      <c r="AK274" s="79" t="str">
        <f t="shared" si="27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4"/>
        <v/>
      </c>
      <c r="AE275" s="76" t="str">
        <f t="shared" si="25"/>
        <v/>
      </c>
      <c r="AF275" s="77"/>
      <c r="AG275" s="73"/>
      <c r="AH275" s="77"/>
      <c r="AI275" s="73"/>
      <c r="AJ275" s="78" t="str">
        <f t="shared" si="26"/>
        <v/>
      </c>
      <c r="AK275" s="79" t="str">
        <f t="shared" si="27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4"/>
        <v/>
      </c>
      <c r="AE276" s="76" t="str">
        <f t="shared" si="25"/>
        <v/>
      </c>
      <c r="AF276" s="77"/>
      <c r="AG276" s="73"/>
      <c r="AH276" s="77"/>
      <c r="AI276" s="73"/>
      <c r="AJ276" s="78" t="str">
        <f t="shared" si="26"/>
        <v/>
      </c>
      <c r="AK276" s="79" t="str">
        <f t="shared" si="27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4"/>
        <v/>
      </c>
      <c r="AE277" s="76" t="str">
        <f t="shared" si="25"/>
        <v/>
      </c>
      <c r="AF277" s="77"/>
      <c r="AG277" s="73"/>
      <c r="AH277" s="77"/>
      <c r="AI277" s="73"/>
      <c r="AJ277" s="78" t="str">
        <f t="shared" si="26"/>
        <v/>
      </c>
      <c r="AK277" s="79" t="str">
        <f t="shared" si="27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4"/>
        <v/>
      </c>
      <c r="AE278" s="76" t="str">
        <f t="shared" si="25"/>
        <v/>
      </c>
      <c r="AF278" s="77"/>
      <c r="AG278" s="73"/>
      <c r="AH278" s="77"/>
      <c r="AI278" s="73"/>
      <c r="AJ278" s="78" t="str">
        <f t="shared" si="26"/>
        <v/>
      </c>
      <c r="AK278" s="79" t="str">
        <f t="shared" si="27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4"/>
        <v/>
      </c>
      <c r="AE279" s="76" t="str">
        <f t="shared" si="25"/>
        <v/>
      </c>
      <c r="AF279" s="77"/>
      <c r="AG279" s="73"/>
      <c r="AH279" s="77"/>
      <c r="AI279" s="73"/>
      <c r="AJ279" s="78" t="str">
        <f t="shared" si="26"/>
        <v/>
      </c>
      <c r="AK279" s="79" t="str">
        <f t="shared" si="27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4"/>
        <v/>
      </c>
      <c r="AE280" s="76" t="str">
        <f t="shared" si="25"/>
        <v/>
      </c>
      <c r="AF280" s="77"/>
      <c r="AG280" s="73"/>
      <c r="AH280" s="77"/>
      <c r="AI280" s="73"/>
      <c r="AJ280" s="78" t="str">
        <f t="shared" si="26"/>
        <v/>
      </c>
      <c r="AK280" s="79" t="str">
        <f t="shared" si="27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4"/>
        <v/>
      </c>
      <c r="AE281" s="76" t="str">
        <f t="shared" si="25"/>
        <v/>
      </c>
      <c r="AF281" s="77"/>
      <c r="AG281" s="73"/>
      <c r="AH281" s="77"/>
      <c r="AI281" s="73"/>
      <c r="AJ281" s="78" t="str">
        <f t="shared" si="26"/>
        <v/>
      </c>
      <c r="AK281" s="79" t="str">
        <f t="shared" si="27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4"/>
        <v/>
      </c>
      <c r="AE282" s="76" t="str">
        <f t="shared" si="25"/>
        <v/>
      </c>
      <c r="AF282" s="77"/>
      <c r="AG282" s="73"/>
      <c r="AH282" s="77"/>
      <c r="AI282" s="73"/>
      <c r="AJ282" s="78" t="str">
        <f t="shared" si="26"/>
        <v/>
      </c>
      <c r="AK282" s="79" t="str">
        <f t="shared" si="27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4"/>
        <v/>
      </c>
      <c r="AE283" s="76" t="str">
        <f t="shared" si="25"/>
        <v/>
      </c>
      <c r="AF283" s="77"/>
      <c r="AG283" s="73"/>
      <c r="AH283" s="77"/>
      <c r="AI283" s="73"/>
      <c r="AJ283" s="78" t="str">
        <f t="shared" si="26"/>
        <v/>
      </c>
      <c r="AK283" s="79" t="str">
        <f t="shared" si="27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4"/>
        <v/>
      </c>
      <c r="AE284" s="76" t="str">
        <f t="shared" si="25"/>
        <v/>
      </c>
      <c r="AF284" s="77"/>
      <c r="AG284" s="73"/>
      <c r="AH284" s="77"/>
      <c r="AI284" s="73"/>
      <c r="AJ284" s="78" t="str">
        <f t="shared" si="26"/>
        <v/>
      </c>
      <c r="AK284" s="79" t="str">
        <f t="shared" si="27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4"/>
        <v/>
      </c>
      <c r="AE285" s="76" t="str">
        <f t="shared" si="25"/>
        <v/>
      </c>
      <c r="AF285" s="77"/>
      <c r="AG285" s="73"/>
      <c r="AH285" s="77"/>
      <c r="AI285" s="73"/>
      <c r="AJ285" s="78" t="str">
        <f t="shared" si="26"/>
        <v/>
      </c>
      <c r="AK285" s="79" t="str">
        <f t="shared" si="27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4"/>
        <v/>
      </c>
      <c r="AE286" s="76" t="str">
        <f t="shared" si="25"/>
        <v/>
      </c>
      <c r="AF286" s="77"/>
      <c r="AG286" s="73"/>
      <c r="AH286" s="77"/>
      <c r="AI286" s="73"/>
      <c r="AJ286" s="78" t="str">
        <f t="shared" si="26"/>
        <v/>
      </c>
      <c r="AK286" s="79" t="str">
        <f t="shared" si="27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4"/>
        <v/>
      </c>
      <c r="AE287" s="76" t="str">
        <f t="shared" si="25"/>
        <v/>
      </c>
      <c r="AF287" s="77"/>
      <c r="AG287" s="73"/>
      <c r="AH287" s="77"/>
      <c r="AI287" s="73"/>
      <c r="AJ287" s="78" t="str">
        <f t="shared" si="26"/>
        <v/>
      </c>
      <c r="AK287" s="79" t="str">
        <f t="shared" si="27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4"/>
        <v/>
      </c>
      <c r="AE288" s="76" t="str">
        <f t="shared" si="25"/>
        <v/>
      </c>
      <c r="AF288" s="77"/>
      <c r="AG288" s="73"/>
      <c r="AH288" s="77"/>
      <c r="AI288" s="73"/>
      <c r="AJ288" s="78" t="str">
        <f t="shared" si="26"/>
        <v/>
      </c>
      <c r="AK288" s="79" t="str">
        <f t="shared" si="27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4"/>
        <v/>
      </c>
      <c r="AE289" s="76" t="str">
        <f t="shared" si="25"/>
        <v/>
      </c>
      <c r="AF289" s="77"/>
      <c r="AG289" s="73"/>
      <c r="AH289" s="77"/>
      <c r="AI289" s="73"/>
      <c r="AJ289" s="78" t="str">
        <f t="shared" si="26"/>
        <v/>
      </c>
      <c r="AK289" s="79" t="str">
        <f t="shared" si="27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4"/>
        <v/>
      </c>
      <c r="AE290" s="76" t="str">
        <f t="shared" si="25"/>
        <v/>
      </c>
      <c r="AF290" s="77"/>
      <c r="AG290" s="73"/>
      <c r="AH290" s="77"/>
      <c r="AI290" s="73"/>
      <c r="AJ290" s="78" t="str">
        <f t="shared" si="26"/>
        <v/>
      </c>
      <c r="AK290" s="79" t="str">
        <f t="shared" si="27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4"/>
        <v/>
      </c>
      <c r="AE291" s="76" t="str">
        <f t="shared" si="25"/>
        <v/>
      </c>
      <c r="AF291" s="77"/>
      <c r="AG291" s="73"/>
      <c r="AH291" s="77"/>
      <c r="AI291" s="73"/>
      <c r="AJ291" s="78" t="str">
        <f t="shared" si="26"/>
        <v/>
      </c>
      <c r="AK291" s="79" t="str">
        <f t="shared" si="27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4"/>
        <v/>
      </c>
      <c r="AE292" s="76" t="str">
        <f t="shared" si="25"/>
        <v/>
      </c>
      <c r="AF292" s="77"/>
      <c r="AG292" s="73"/>
      <c r="AH292" s="77"/>
      <c r="AI292" s="73"/>
      <c r="AJ292" s="78" t="str">
        <f t="shared" si="26"/>
        <v/>
      </c>
      <c r="AK292" s="79" t="str">
        <f t="shared" si="27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4"/>
        <v/>
      </c>
      <c r="AE293" s="76" t="str">
        <f t="shared" si="25"/>
        <v/>
      </c>
      <c r="AF293" s="77"/>
      <c r="AG293" s="73"/>
      <c r="AH293" s="77"/>
      <c r="AI293" s="73"/>
      <c r="AJ293" s="78" t="str">
        <f t="shared" si="26"/>
        <v/>
      </c>
      <c r="AK293" s="79" t="str">
        <f t="shared" si="27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4"/>
        <v/>
      </c>
      <c r="AE294" s="76" t="str">
        <f t="shared" si="25"/>
        <v/>
      </c>
      <c r="AF294" s="77"/>
      <c r="AG294" s="73"/>
      <c r="AH294" s="77"/>
      <c r="AI294" s="73"/>
      <c r="AJ294" s="78" t="str">
        <f t="shared" si="26"/>
        <v/>
      </c>
      <c r="AK294" s="79" t="str">
        <f t="shared" si="27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4"/>
        <v/>
      </c>
      <c r="AE295" s="76" t="str">
        <f t="shared" si="25"/>
        <v/>
      </c>
      <c r="AF295" s="77"/>
      <c r="AG295" s="73"/>
      <c r="AH295" s="77"/>
      <c r="AI295" s="73"/>
      <c r="AJ295" s="78" t="str">
        <f t="shared" si="26"/>
        <v/>
      </c>
      <c r="AK295" s="79" t="str">
        <f t="shared" si="27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4"/>
        <v/>
      </c>
      <c r="AE296" s="76" t="str">
        <f t="shared" si="25"/>
        <v/>
      </c>
      <c r="AF296" s="77"/>
      <c r="AG296" s="73"/>
      <c r="AH296" s="77"/>
      <c r="AI296" s="73"/>
      <c r="AJ296" s="78" t="str">
        <f t="shared" si="26"/>
        <v/>
      </c>
      <c r="AK296" s="79" t="str">
        <f t="shared" si="27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4"/>
        <v/>
      </c>
      <c r="AE297" s="76" t="str">
        <f t="shared" si="25"/>
        <v/>
      </c>
      <c r="AF297" s="77"/>
      <c r="AG297" s="73"/>
      <c r="AH297" s="77"/>
      <c r="AI297" s="73"/>
      <c r="AJ297" s="78" t="str">
        <f t="shared" si="26"/>
        <v/>
      </c>
      <c r="AK297" s="79" t="str">
        <f t="shared" si="27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4"/>
        <v/>
      </c>
      <c r="AE298" s="76" t="str">
        <f t="shared" si="25"/>
        <v/>
      </c>
      <c r="AF298" s="77"/>
      <c r="AG298" s="73"/>
      <c r="AH298" s="77"/>
      <c r="AI298" s="73"/>
      <c r="AJ298" s="78" t="str">
        <f t="shared" si="26"/>
        <v/>
      </c>
      <c r="AK298" s="79" t="str">
        <f t="shared" si="27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4"/>
        <v/>
      </c>
      <c r="AE299" s="76" t="str">
        <f t="shared" si="25"/>
        <v/>
      </c>
      <c r="AF299" s="77"/>
      <c r="AG299" s="73"/>
      <c r="AH299" s="77"/>
      <c r="AI299" s="73"/>
      <c r="AJ299" s="78" t="str">
        <f t="shared" si="26"/>
        <v/>
      </c>
      <c r="AK299" s="79" t="str">
        <f t="shared" si="27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4"/>
        <v/>
      </c>
      <c r="AE300" s="76" t="str">
        <f t="shared" si="25"/>
        <v/>
      </c>
      <c r="AF300" s="77"/>
      <c r="AG300" s="73"/>
      <c r="AH300" s="77"/>
      <c r="AI300" s="73"/>
      <c r="AJ300" s="78" t="str">
        <f t="shared" si="26"/>
        <v/>
      </c>
      <c r="AK300" s="79" t="str">
        <f t="shared" si="27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4"/>
        <v/>
      </c>
      <c r="AE301" s="76" t="str">
        <f t="shared" si="25"/>
        <v/>
      </c>
      <c r="AF301" s="77"/>
      <c r="AG301" s="73"/>
      <c r="AH301" s="77"/>
      <c r="AI301" s="73"/>
      <c r="AJ301" s="78" t="str">
        <f t="shared" si="26"/>
        <v/>
      </c>
      <c r="AK301" s="79" t="str">
        <f t="shared" si="27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4"/>
        <v/>
      </c>
      <c r="AE302" s="76" t="str">
        <f t="shared" si="25"/>
        <v/>
      </c>
      <c r="AF302" s="77"/>
      <c r="AG302" s="73"/>
      <c r="AH302" s="77"/>
      <c r="AI302" s="73"/>
      <c r="AJ302" s="78" t="str">
        <f t="shared" si="26"/>
        <v/>
      </c>
      <c r="AK302" s="79" t="str">
        <f t="shared" si="27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4"/>
        <v/>
      </c>
      <c r="AE303" s="76" t="str">
        <f t="shared" si="25"/>
        <v/>
      </c>
      <c r="AF303" s="77"/>
      <c r="AG303" s="73"/>
      <c r="AH303" s="77"/>
      <c r="AI303" s="73"/>
      <c r="AJ303" s="78" t="str">
        <f t="shared" si="26"/>
        <v/>
      </c>
      <c r="AK303" s="79" t="str">
        <f t="shared" si="27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4"/>
        <v/>
      </c>
      <c r="AE304" s="76" t="str">
        <f t="shared" si="25"/>
        <v/>
      </c>
      <c r="AF304" s="77"/>
      <c r="AG304" s="73"/>
      <c r="AH304" s="77"/>
      <c r="AI304" s="73"/>
      <c r="AJ304" s="78" t="str">
        <f t="shared" si="26"/>
        <v/>
      </c>
      <c r="AK304" s="79" t="str">
        <f t="shared" si="27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4"/>
        <v/>
      </c>
      <c r="AE305" s="76" t="str">
        <f t="shared" si="25"/>
        <v/>
      </c>
      <c r="AF305" s="77"/>
      <c r="AG305" s="73"/>
      <c r="AH305" s="77"/>
      <c r="AI305" s="73"/>
      <c r="AJ305" s="78" t="str">
        <f t="shared" si="26"/>
        <v/>
      </c>
      <c r="AK305" s="79" t="str">
        <f t="shared" si="27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4"/>
        <v/>
      </c>
      <c r="AE306" s="76" t="str">
        <f t="shared" si="25"/>
        <v/>
      </c>
      <c r="AF306" s="77"/>
      <c r="AG306" s="73"/>
      <c r="AH306" s="77"/>
      <c r="AI306" s="73"/>
      <c r="AJ306" s="78" t="str">
        <f t="shared" si="26"/>
        <v/>
      </c>
      <c r="AK306" s="79" t="str">
        <f t="shared" si="27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4"/>
        <v/>
      </c>
      <c r="AE307" s="76" t="str">
        <f t="shared" si="25"/>
        <v/>
      </c>
      <c r="AF307" s="77"/>
      <c r="AG307" s="73"/>
      <c r="AH307" s="77"/>
      <c r="AI307" s="73"/>
      <c r="AJ307" s="78" t="str">
        <f t="shared" si="26"/>
        <v/>
      </c>
      <c r="AK307" s="79" t="str">
        <f t="shared" si="27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4"/>
        <v/>
      </c>
      <c r="AE308" s="76" t="str">
        <f t="shared" si="25"/>
        <v/>
      </c>
      <c r="AF308" s="77"/>
      <c r="AG308" s="73"/>
      <c r="AH308" s="77"/>
      <c r="AI308" s="73"/>
      <c r="AJ308" s="78" t="str">
        <f t="shared" si="26"/>
        <v/>
      </c>
      <c r="AK308" s="79" t="str">
        <f t="shared" si="27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4"/>
        <v/>
      </c>
      <c r="AE309" s="76" t="str">
        <f t="shared" si="25"/>
        <v/>
      </c>
      <c r="AF309" s="77"/>
      <c r="AG309" s="73"/>
      <c r="AH309" s="77"/>
      <c r="AI309" s="73"/>
      <c r="AJ309" s="78" t="str">
        <f t="shared" si="26"/>
        <v/>
      </c>
      <c r="AK309" s="79" t="str">
        <f t="shared" si="27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4"/>
        <v/>
      </c>
      <c r="AE310" s="76" t="str">
        <f t="shared" si="25"/>
        <v/>
      </c>
      <c r="AF310" s="77"/>
      <c r="AG310" s="73"/>
      <c r="AH310" s="77"/>
      <c r="AI310" s="73"/>
      <c r="AJ310" s="78" t="str">
        <f t="shared" si="26"/>
        <v/>
      </c>
      <c r="AK310" s="79" t="str">
        <f t="shared" si="27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4"/>
        <v/>
      </c>
      <c r="AE311" s="76" t="str">
        <f t="shared" si="25"/>
        <v/>
      </c>
      <c r="AF311" s="77"/>
      <c r="AG311" s="73"/>
      <c r="AH311" s="77"/>
      <c r="AI311" s="73"/>
      <c r="AJ311" s="78" t="str">
        <f t="shared" si="26"/>
        <v/>
      </c>
      <c r="AK311" s="79" t="str">
        <f t="shared" si="27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4"/>
        <v/>
      </c>
      <c r="AE312" s="76" t="str">
        <f t="shared" si="25"/>
        <v/>
      </c>
      <c r="AF312" s="77"/>
      <c r="AG312" s="73"/>
      <c r="AH312" s="77"/>
      <c r="AI312" s="73"/>
      <c r="AJ312" s="78" t="str">
        <f t="shared" si="26"/>
        <v/>
      </c>
      <c r="AK312" s="79" t="str">
        <f t="shared" si="27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4"/>
        <v/>
      </c>
      <c r="AE313" s="76" t="str">
        <f t="shared" si="25"/>
        <v/>
      </c>
      <c r="AF313" s="77"/>
      <c r="AG313" s="73"/>
      <c r="AH313" s="77"/>
      <c r="AI313" s="73"/>
      <c r="AJ313" s="78" t="str">
        <f t="shared" si="26"/>
        <v/>
      </c>
      <c r="AK313" s="79" t="str">
        <f t="shared" si="27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4"/>
        <v/>
      </c>
      <c r="AE314" s="76" t="str">
        <f t="shared" si="25"/>
        <v/>
      </c>
      <c r="AF314" s="77"/>
      <c r="AG314" s="73"/>
      <c r="AH314" s="77"/>
      <c r="AI314" s="73"/>
      <c r="AJ314" s="78" t="str">
        <f t="shared" si="26"/>
        <v/>
      </c>
      <c r="AK314" s="79" t="str">
        <f t="shared" si="27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4"/>
        <v/>
      </c>
      <c r="AE315" s="76" t="str">
        <f t="shared" si="25"/>
        <v/>
      </c>
      <c r="AF315" s="77"/>
      <c r="AG315" s="73"/>
      <c r="AH315" s="77"/>
      <c r="AI315" s="73"/>
      <c r="AJ315" s="78" t="str">
        <f t="shared" si="26"/>
        <v/>
      </c>
      <c r="AK315" s="79" t="str">
        <f t="shared" si="27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4"/>
        <v/>
      </c>
      <c r="AE316" s="76" t="str">
        <f t="shared" si="25"/>
        <v/>
      </c>
      <c r="AF316" s="77"/>
      <c r="AG316" s="73"/>
      <c r="AH316" s="77"/>
      <c r="AI316" s="73"/>
      <c r="AJ316" s="78" t="str">
        <f t="shared" si="26"/>
        <v/>
      </c>
      <c r="AK316" s="79" t="str">
        <f t="shared" si="27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4"/>
        <v/>
      </c>
      <c r="AE317" s="76" t="str">
        <f t="shared" si="25"/>
        <v/>
      </c>
      <c r="AF317" s="77"/>
      <c r="AG317" s="73"/>
      <c r="AH317" s="77"/>
      <c r="AI317" s="73"/>
      <c r="AJ317" s="78" t="str">
        <f t="shared" si="26"/>
        <v/>
      </c>
      <c r="AK317" s="79" t="str">
        <f t="shared" si="27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4"/>
        <v/>
      </c>
      <c r="AE318" s="76" t="str">
        <f t="shared" si="25"/>
        <v/>
      </c>
      <c r="AF318" s="77"/>
      <c r="AG318" s="73"/>
      <c r="AH318" s="77"/>
      <c r="AI318" s="73"/>
      <c r="AJ318" s="78" t="str">
        <f t="shared" si="26"/>
        <v/>
      </c>
      <c r="AK318" s="79" t="str">
        <f t="shared" si="27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4"/>
        <v/>
      </c>
      <c r="AE319" s="76" t="str">
        <f t="shared" si="25"/>
        <v/>
      </c>
      <c r="AF319" s="77"/>
      <c r="AG319" s="73"/>
      <c r="AH319" s="77"/>
      <c r="AI319" s="73"/>
      <c r="AJ319" s="78" t="str">
        <f t="shared" si="26"/>
        <v/>
      </c>
      <c r="AK319" s="79" t="str">
        <f t="shared" si="27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4"/>
        <v/>
      </c>
      <c r="AE320" s="76" t="str">
        <f t="shared" si="25"/>
        <v/>
      </c>
      <c r="AF320" s="77"/>
      <c r="AG320" s="73"/>
      <c r="AH320" s="77"/>
      <c r="AI320" s="73"/>
      <c r="AJ320" s="78" t="str">
        <f t="shared" si="26"/>
        <v/>
      </c>
      <c r="AK320" s="79" t="str">
        <f t="shared" si="27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4"/>
        <v/>
      </c>
      <c r="AE321" s="76" t="str">
        <f t="shared" si="25"/>
        <v/>
      </c>
      <c r="AF321" s="77"/>
      <c r="AG321" s="73"/>
      <c r="AH321" s="77"/>
      <c r="AI321" s="73"/>
      <c r="AJ321" s="78" t="str">
        <f t="shared" si="26"/>
        <v/>
      </c>
      <c r="AK321" s="79" t="str">
        <f t="shared" si="27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4"/>
        <v/>
      </c>
      <c r="AE322" s="76" t="str">
        <f t="shared" si="25"/>
        <v/>
      </c>
      <c r="AF322" s="77"/>
      <c r="AG322" s="73"/>
      <c r="AH322" s="77"/>
      <c r="AI322" s="73"/>
      <c r="AJ322" s="78" t="str">
        <f t="shared" si="26"/>
        <v/>
      </c>
      <c r="AK322" s="79" t="str">
        <f t="shared" si="27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4"/>
        <v/>
      </c>
      <c r="AE323" s="76" t="str">
        <f t="shared" si="25"/>
        <v/>
      </c>
      <c r="AF323" s="77"/>
      <c r="AG323" s="73"/>
      <c r="AH323" s="77"/>
      <c r="AI323" s="73"/>
      <c r="AJ323" s="78" t="str">
        <f t="shared" si="26"/>
        <v/>
      </c>
      <c r="AK323" s="79" t="str">
        <f t="shared" si="27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8">IF(MIN(F324,J324,N324,R324,V324,Z324)&lt;&gt;0,MIN(F324,J324,N324,R324,V324,Z324),"")</f>
        <v/>
      </c>
      <c r="AE324" s="76" t="str">
        <f t="shared" ref="AE324:AE350" si="29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30">IF(AD324="","",IF(ISBLANK(AF324),"En cours",AD324+AF324))</f>
        <v/>
      </c>
      <c r="AK324" s="79" t="str">
        <f t="shared" ref="AK324:AK350" si="31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8"/>
        <v/>
      </c>
      <c r="AE325" s="76" t="str">
        <f t="shared" si="29"/>
        <v/>
      </c>
      <c r="AF325" s="77"/>
      <c r="AG325" s="73"/>
      <c r="AH325" s="77"/>
      <c r="AI325" s="73"/>
      <c r="AJ325" s="78" t="str">
        <f t="shared" si="30"/>
        <v/>
      </c>
      <c r="AK325" s="79" t="str">
        <f t="shared" si="31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8"/>
        <v/>
      </c>
      <c r="AE326" s="76" t="str">
        <f t="shared" si="29"/>
        <v/>
      </c>
      <c r="AF326" s="77"/>
      <c r="AG326" s="73"/>
      <c r="AH326" s="77"/>
      <c r="AI326" s="73"/>
      <c r="AJ326" s="78" t="str">
        <f t="shared" si="30"/>
        <v/>
      </c>
      <c r="AK326" s="79" t="str">
        <f t="shared" si="31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8"/>
        <v/>
      </c>
      <c r="AE327" s="76" t="str">
        <f t="shared" si="29"/>
        <v/>
      </c>
      <c r="AF327" s="77"/>
      <c r="AG327" s="73"/>
      <c r="AH327" s="77"/>
      <c r="AI327" s="73"/>
      <c r="AJ327" s="78" t="str">
        <f t="shared" si="30"/>
        <v/>
      </c>
      <c r="AK327" s="79" t="str">
        <f t="shared" si="31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8"/>
        <v/>
      </c>
      <c r="AE328" s="76" t="str">
        <f t="shared" si="29"/>
        <v/>
      </c>
      <c r="AF328" s="77"/>
      <c r="AG328" s="73"/>
      <c r="AH328" s="77"/>
      <c r="AI328" s="73"/>
      <c r="AJ328" s="78" t="str">
        <f t="shared" si="30"/>
        <v/>
      </c>
      <c r="AK328" s="79" t="str">
        <f t="shared" si="31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8"/>
        <v/>
      </c>
      <c r="AE329" s="76" t="str">
        <f t="shared" si="29"/>
        <v/>
      </c>
      <c r="AF329" s="77"/>
      <c r="AG329" s="73"/>
      <c r="AH329" s="77"/>
      <c r="AI329" s="73"/>
      <c r="AJ329" s="78" t="str">
        <f t="shared" si="30"/>
        <v/>
      </c>
      <c r="AK329" s="79" t="str">
        <f t="shared" si="31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8"/>
        <v/>
      </c>
      <c r="AE330" s="76" t="str">
        <f t="shared" si="29"/>
        <v/>
      </c>
      <c r="AF330" s="77"/>
      <c r="AG330" s="73"/>
      <c r="AH330" s="77"/>
      <c r="AI330" s="73"/>
      <c r="AJ330" s="78" t="str">
        <f t="shared" si="30"/>
        <v/>
      </c>
      <c r="AK330" s="79" t="str">
        <f t="shared" si="31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8"/>
        <v/>
      </c>
      <c r="AE331" s="76" t="str">
        <f t="shared" si="29"/>
        <v/>
      </c>
      <c r="AF331" s="77"/>
      <c r="AG331" s="73"/>
      <c r="AH331" s="77"/>
      <c r="AI331" s="73"/>
      <c r="AJ331" s="78" t="str">
        <f t="shared" si="30"/>
        <v/>
      </c>
      <c r="AK331" s="79" t="str">
        <f t="shared" si="31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8"/>
        <v/>
      </c>
      <c r="AE332" s="76" t="str">
        <f t="shared" si="29"/>
        <v/>
      </c>
      <c r="AF332" s="77"/>
      <c r="AG332" s="73"/>
      <c r="AH332" s="77"/>
      <c r="AI332" s="73"/>
      <c r="AJ332" s="78" t="str">
        <f t="shared" si="30"/>
        <v/>
      </c>
      <c r="AK332" s="79" t="str">
        <f t="shared" si="31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8"/>
        <v/>
      </c>
      <c r="AE333" s="76" t="str">
        <f t="shared" si="29"/>
        <v/>
      </c>
      <c r="AF333" s="77"/>
      <c r="AG333" s="73"/>
      <c r="AH333" s="77"/>
      <c r="AI333" s="73"/>
      <c r="AJ333" s="78" t="str">
        <f t="shared" si="30"/>
        <v/>
      </c>
      <c r="AK333" s="79" t="str">
        <f t="shared" si="31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8"/>
        <v/>
      </c>
      <c r="AE334" s="76" t="str">
        <f t="shared" si="29"/>
        <v/>
      </c>
      <c r="AF334" s="77"/>
      <c r="AG334" s="73"/>
      <c r="AH334" s="77"/>
      <c r="AI334" s="73"/>
      <c r="AJ334" s="78" t="str">
        <f t="shared" si="30"/>
        <v/>
      </c>
      <c r="AK334" s="79" t="str">
        <f t="shared" si="31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8"/>
        <v/>
      </c>
      <c r="AE335" s="76" t="str">
        <f t="shared" si="29"/>
        <v/>
      </c>
      <c r="AF335" s="77"/>
      <c r="AG335" s="73"/>
      <c r="AH335" s="77"/>
      <c r="AI335" s="73"/>
      <c r="AJ335" s="78" t="str">
        <f t="shared" si="30"/>
        <v/>
      </c>
      <c r="AK335" s="79" t="str">
        <f t="shared" si="31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8"/>
        <v/>
      </c>
      <c r="AE336" s="76" t="str">
        <f t="shared" si="29"/>
        <v/>
      </c>
      <c r="AF336" s="77"/>
      <c r="AG336" s="73"/>
      <c r="AH336" s="77"/>
      <c r="AI336" s="73"/>
      <c r="AJ336" s="78" t="str">
        <f t="shared" si="30"/>
        <v/>
      </c>
      <c r="AK336" s="79" t="str">
        <f t="shared" si="31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8"/>
        <v/>
      </c>
      <c r="AE337" s="76" t="str">
        <f t="shared" si="29"/>
        <v/>
      </c>
      <c r="AF337" s="77"/>
      <c r="AG337" s="73"/>
      <c r="AH337" s="77"/>
      <c r="AI337" s="73"/>
      <c r="AJ337" s="78" t="str">
        <f t="shared" si="30"/>
        <v/>
      </c>
      <c r="AK337" s="79" t="str">
        <f t="shared" si="31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8"/>
        <v/>
      </c>
      <c r="AE338" s="76" t="str">
        <f t="shared" si="29"/>
        <v/>
      </c>
      <c r="AF338" s="77"/>
      <c r="AG338" s="73"/>
      <c r="AH338" s="77"/>
      <c r="AI338" s="73"/>
      <c r="AJ338" s="78" t="str">
        <f t="shared" si="30"/>
        <v/>
      </c>
      <c r="AK338" s="79" t="str">
        <f t="shared" si="31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8"/>
        <v/>
      </c>
      <c r="AE339" s="76" t="str">
        <f t="shared" si="29"/>
        <v/>
      </c>
      <c r="AF339" s="77"/>
      <c r="AG339" s="73"/>
      <c r="AH339" s="77"/>
      <c r="AI339" s="73"/>
      <c r="AJ339" s="78" t="str">
        <f t="shared" si="30"/>
        <v/>
      </c>
      <c r="AK339" s="79" t="str">
        <f t="shared" si="31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8"/>
        <v/>
      </c>
      <c r="AE340" s="76" t="str">
        <f t="shared" si="29"/>
        <v/>
      </c>
      <c r="AF340" s="77"/>
      <c r="AG340" s="73"/>
      <c r="AH340" s="77"/>
      <c r="AI340" s="73"/>
      <c r="AJ340" s="78" t="str">
        <f t="shared" si="30"/>
        <v/>
      </c>
      <c r="AK340" s="79" t="str">
        <f t="shared" si="31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8"/>
        <v/>
      </c>
      <c r="AE341" s="76" t="str">
        <f t="shared" si="29"/>
        <v/>
      </c>
      <c r="AF341" s="77"/>
      <c r="AG341" s="73"/>
      <c r="AH341" s="77"/>
      <c r="AI341" s="73"/>
      <c r="AJ341" s="78" t="str">
        <f t="shared" si="30"/>
        <v/>
      </c>
      <c r="AK341" s="79" t="str">
        <f t="shared" si="31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8"/>
        <v/>
      </c>
      <c r="AE342" s="76" t="str">
        <f t="shared" si="29"/>
        <v/>
      </c>
      <c r="AF342" s="77"/>
      <c r="AG342" s="73"/>
      <c r="AH342" s="77"/>
      <c r="AI342" s="73"/>
      <c r="AJ342" s="78" t="str">
        <f t="shared" si="30"/>
        <v/>
      </c>
      <c r="AK342" s="79" t="str">
        <f t="shared" si="31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8"/>
        <v/>
      </c>
      <c r="AE343" s="76" t="str">
        <f t="shared" si="29"/>
        <v/>
      </c>
      <c r="AF343" s="77"/>
      <c r="AG343" s="73"/>
      <c r="AH343" s="77"/>
      <c r="AI343" s="73"/>
      <c r="AJ343" s="78" t="str">
        <f t="shared" si="30"/>
        <v/>
      </c>
      <c r="AK343" s="79" t="str">
        <f t="shared" si="31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8"/>
        <v/>
      </c>
      <c r="AE344" s="76" t="str">
        <f t="shared" si="29"/>
        <v/>
      </c>
      <c r="AF344" s="77"/>
      <c r="AG344" s="73"/>
      <c r="AH344" s="77"/>
      <c r="AI344" s="73"/>
      <c r="AJ344" s="78" t="str">
        <f t="shared" si="30"/>
        <v/>
      </c>
      <c r="AK344" s="79" t="str">
        <f t="shared" si="31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8"/>
        <v/>
      </c>
      <c r="AE345" s="76" t="str">
        <f t="shared" si="29"/>
        <v/>
      </c>
      <c r="AF345" s="77"/>
      <c r="AG345" s="73"/>
      <c r="AH345" s="77"/>
      <c r="AI345" s="73"/>
      <c r="AJ345" s="78" t="str">
        <f t="shared" si="30"/>
        <v/>
      </c>
      <c r="AK345" s="79" t="str">
        <f t="shared" si="31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8"/>
        <v/>
      </c>
      <c r="AE346" s="76" t="str">
        <f t="shared" si="29"/>
        <v/>
      </c>
      <c r="AF346" s="77"/>
      <c r="AG346" s="73"/>
      <c r="AH346" s="77"/>
      <c r="AI346" s="73"/>
      <c r="AJ346" s="78" t="str">
        <f t="shared" si="30"/>
        <v/>
      </c>
      <c r="AK346" s="79" t="str">
        <f t="shared" si="31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8"/>
        <v/>
      </c>
      <c r="AE347" s="76" t="str">
        <f t="shared" si="29"/>
        <v/>
      </c>
      <c r="AF347" s="77"/>
      <c r="AG347" s="73"/>
      <c r="AH347" s="77"/>
      <c r="AI347" s="73"/>
      <c r="AJ347" s="78" t="str">
        <f t="shared" si="30"/>
        <v/>
      </c>
      <c r="AK347" s="79" t="str">
        <f t="shared" si="31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8"/>
        <v/>
      </c>
      <c r="AE348" s="76" t="str">
        <f t="shared" si="29"/>
        <v/>
      </c>
      <c r="AF348" s="77"/>
      <c r="AG348" s="73"/>
      <c r="AH348" s="77"/>
      <c r="AI348" s="73"/>
      <c r="AJ348" s="78" t="str">
        <f t="shared" si="30"/>
        <v/>
      </c>
      <c r="AK348" s="79" t="str">
        <f t="shared" si="31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8"/>
        <v/>
      </c>
      <c r="AE349" s="76" t="str">
        <f t="shared" si="29"/>
        <v/>
      </c>
      <c r="AF349" s="77"/>
      <c r="AG349" s="73"/>
      <c r="AH349" s="77"/>
      <c r="AI349" s="73"/>
      <c r="AJ349" s="78" t="str">
        <f t="shared" si="30"/>
        <v/>
      </c>
      <c r="AK349" s="79" t="str">
        <f t="shared" si="31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8"/>
        <v/>
      </c>
      <c r="AE350" s="76" t="str">
        <f t="shared" si="29"/>
        <v/>
      </c>
      <c r="AF350" s="77"/>
      <c r="AG350" s="73"/>
      <c r="AH350" s="77"/>
      <c r="AI350" s="73"/>
      <c r="AJ350" s="78" t="str">
        <f t="shared" si="30"/>
        <v/>
      </c>
      <c r="AK350" s="79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926" priority="76289" stopIfTrue="1" operator="equal">
      <formula>"En cours"</formula>
    </cfRule>
  </conditionalFormatting>
  <conditionalFormatting sqref="AJ181">
    <cfRule type="cellIs" dxfId="925" priority="76290" stopIfTrue="1" operator="notEqual">
      <formula>"En cours"</formula>
    </cfRule>
  </conditionalFormatting>
  <conditionalFormatting sqref="AK181">
    <cfRule type="cellIs" dxfId="924" priority="76291" stopIfTrue="1" operator="equal">
      <formula>"En cours"</formula>
    </cfRule>
  </conditionalFormatting>
  <conditionalFormatting sqref="AK181">
    <cfRule type="cellIs" dxfId="923" priority="76292" stopIfTrue="1" operator="notEqual">
      <formula>"En cours"</formula>
    </cfRule>
  </conditionalFormatting>
  <conditionalFormatting sqref="AJ98">
    <cfRule type="cellIs" dxfId="922" priority="139625" stopIfTrue="1" operator="equal">
      <formula>"En cours"</formula>
    </cfRule>
  </conditionalFormatting>
  <conditionalFormatting sqref="AJ98">
    <cfRule type="cellIs" dxfId="921" priority="139626" stopIfTrue="1" operator="notEqual">
      <formula>"En cours"</formula>
    </cfRule>
  </conditionalFormatting>
  <conditionalFormatting sqref="AK98">
    <cfRule type="cellIs" dxfId="920" priority="139627" stopIfTrue="1" operator="equal">
      <formula>"En cours"</formula>
    </cfRule>
  </conditionalFormatting>
  <conditionalFormatting sqref="AK98">
    <cfRule type="cellIs" dxfId="919" priority="139628" stopIfTrue="1" operator="notEqual">
      <formula>"En cours"</formula>
    </cfRule>
  </conditionalFormatting>
  <conditionalFormatting sqref="AJ100">
    <cfRule type="cellIs" dxfId="918" priority="139633" stopIfTrue="1" operator="equal">
      <formula>"En cours"</formula>
    </cfRule>
  </conditionalFormatting>
  <conditionalFormatting sqref="AJ100">
    <cfRule type="cellIs" dxfId="917" priority="139634" stopIfTrue="1" operator="notEqual">
      <formula>"En cours"</formula>
    </cfRule>
  </conditionalFormatting>
  <conditionalFormatting sqref="AK100">
    <cfRule type="cellIs" dxfId="916" priority="139635" stopIfTrue="1" operator="equal">
      <formula>"En cours"</formula>
    </cfRule>
  </conditionalFormatting>
  <conditionalFormatting sqref="AK100">
    <cfRule type="cellIs" dxfId="915" priority="139636" stopIfTrue="1" operator="notEqual">
      <formula>"En cours"</formula>
    </cfRule>
  </conditionalFormatting>
  <conditionalFormatting sqref="AJ103">
    <cfRule type="cellIs" dxfId="914" priority="139661" stopIfTrue="1" operator="equal">
      <formula>"En cours"</formula>
    </cfRule>
  </conditionalFormatting>
  <conditionalFormatting sqref="AJ103">
    <cfRule type="cellIs" dxfId="913" priority="139662" stopIfTrue="1" operator="notEqual">
      <formula>"En cours"</formula>
    </cfRule>
  </conditionalFormatting>
  <conditionalFormatting sqref="AK103">
    <cfRule type="cellIs" dxfId="912" priority="139663" stopIfTrue="1" operator="equal">
      <formula>"En cours"</formula>
    </cfRule>
  </conditionalFormatting>
  <conditionalFormatting sqref="AK103">
    <cfRule type="cellIs" dxfId="911" priority="139664" stopIfTrue="1" operator="notEqual">
      <formula>"En cours"</formula>
    </cfRule>
  </conditionalFormatting>
  <conditionalFormatting sqref="AJ111">
    <cfRule type="cellIs" dxfId="910" priority="139709" stopIfTrue="1" operator="equal">
      <formula>"En cours"</formula>
    </cfRule>
  </conditionalFormatting>
  <conditionalFormatting sqref="AJ111">
    <cfRule type="cellIs" dxfId="909" priority="139710" stopIfTrue="1" operator="notEqual">
      <formula>"En cours"</formula>
    </cfRule>
  </conditionalFormatting>
  <conditionalFormatting sqref="AK111">
    <cfRule type="cellIs" dxfId="908" priority="139711" stopIfTrue="1" operator="equal">
      <formula>"En cours"</formula>
    </cfRule>
  </conditionalFormatting>
  <conditionalFormatting sqref="AK111">
    <cfRule type="cellIs" dxfId="907" priority="139712" stopIfTrue="1" operator="notEqual">
      <formula>"En cours"</formula>
    </cfRule>
  </conditionalFormatting>
  <conditionalFormatting sqref="AJ109">
    <cfRule type="cellIs" dxfId="906" priority="139717" stopIfTrue="1" operator="equal">
      <formula>"En cours"</formula>
    </cfRule>
  </conditionalFormatting>
  <conditionalFormatting sqref="AJ109">
    <cfRule type="cellIs" dxfId="905" priority="139718" stopIfTrue="1" operator="notEqual">
      <formula>"En cours"</formula>
    </cfRule>
  </conditionalFormatting>
  <conditionalFormatting sqref="AK109">
    <cfRule type="cellIs" dxfId="904" priority="139719" stopIfTrue="1" operator="equal">
      <formula>"En cours"</formula>
    </cfRule>
  </conditionalFormatting>
  <conditionalFormatting sqref="AK109">
    <cfRule type="cellIs" dxfId="903" priority="139720" stopIfTrue="1" operator="notEqual">
      <formula>"En cours"</formula>
    </cfRule>
  </conditionalFormatting>
  <conditionalFormatting sqref="AJ106">
    <cfRule type="cellIs" dxfId="902" priority="139721" stopIfTrue="1" operator="equal">
      <formula>"En cours"</formula>
    </cfRule>
  </conditionalFormatting>
  <conditionalFormatting sqref="AJ106">
    <cfRule type="cellIs" dxfId="901" priority="139722" stopIfTrue="1" operator="notEqual">
      <formula>"En cours"</formula>
    </cfRule>
  </conditionalFormatting>
  <conditionalFormatting sqref="AK106">
    <cfRule type="cellIs" dxfId="900" priority="139723" stopIfTrue="1" operator="equal">
      <formula>"En cours"</formula>
    </cfRule>
  </conditionalFormatting>
  <conditionalFormatting sqref="AK106">
    <cfRule type="cellIs" dxfId="899" priority="139724" stopIfTrue="1" operator="notEqual">
      <formula>"En cours"</formula>
    </cfRule>
  </conditionalFormatting>
  <conditionalFormatting sqref="AJ119">
    <cfRule type="cellIs" dxfId="898" priority="139737" stopIfTrue="1" operator="equal">
      <formula>"En cours"</formula>
    </cfRule>
  </conditionalFormatting>
  <conditionalFormatting sqref="AJ119">
    <cfRule type="cellIs" dxfId="897" priority="139738" stopIfTrue="1" operator="notEqual">
      <formula>"En cours"</formula>
    </cfRule>
  </conditionalFormatting>
  <conditionalFormatting sqref="AK119">
    <cfRule type="cellIs" dxfId="896" priority="139739" stopIfTrue="1" operator="equal">
      <formula>"En cours"</formula>
    </cfRule>
  </conditionalFormatting>
  <conditionalFormatting sqref="AK119">
    <cfRule type="cellIs" dxfId="895" priority="139740" stopIfTrue="1" operator="notEqual">
      <formula>"En cours"</formula>
    </cfRule>
  </conditionalFormatting>
  <conditionalFormatting sqref="AJ105">
    <cfRule type="cellIs" dxfId="894" priority="139741" stopIfTrue="1" operator="equal">
      <formula>"En cours"</formula>
    </cfRule>
  </conditionalFormatting>
  <conditionalFormatting sqref="AJ105">
    <cfRule type="cellIs" dxfId="893" priority="139742" stopIfTrue="1" operator="notEqual">
      <formula>"En cours"</formula>
    </cfRule>
  </conditionalFormatting>
  <conditionalFormatting sqref="AK105">
    <cfRule type="cellIs" dxfId="892" priority="139743" stopIfTrue="1" operator="equal">
      <formula>"En cours"</formula>
    </cfRule>
  </conditionalFormatting>
  <conditionalFormatting sqref="AK105">
    <cfRule type="cellIs" dxfId="891" priority="139744" stopIfTrue="1" operator="notEqual">
      <formula>"En cours"</formula>
    </cfRule>
  </conditionalFormatting>
  <conditionalFormatting sqref="AJ79">
    <cfRule type="cellIs" dxfId="890" priority="140073" stopIfTrue="1" operator="equal">
      <formula>"En cours"</formula>
    </cfRule>
  </conditionalFormatting>
  <conditionalFormatting sqref="AJ79">
    <cfRule type="cellIs" dxfId="889" priority="140074" stopIfTrue="1" operator="notEqual">
      <formula>"En cours"</formula>
    </cfRule>
  </conditionalFormatting>
  <conditionalFormatting sqref="AK79">
    <cfRule type="cellIs" dxfId="888" priority="140075" stopIfTrue="1" operator="equal">
      <formula>"En cours"</formula>
    </cfRule>
  </conditionalFormatting>
  <conditionalFormatting sqref="AK79">
    <cfRule type="cellIs" dxfId="887" priority="140076" stopIfTrue="1" operator="notEqual">
      <formula>"En cours"</formula>
    </cfRule>
  </conditionalFormatting>
  <conditionalFormatting sqref="AJ82">
    <cfRule type="cellIs" dxfId="886" priority="140205" stopIfTrue="1" operator="equal">
      <formula>"En cours"</formula>
    </cfRule>
  </conditionalFormatting>
  <conditionalFormatting sqref="AJ82">
    <cfRule type="cellIs" dxfId="885" priority="140206" stopIfTrue="1" operator="notEqual">
      <formula>"En cours"</formula>
    </cfRule>
  </conditionalFormatting>
  <conditionalFormatting sqref="AK82">
    <cfRule type="cellIs" dxfId="884" priority="140207" stopIfTrue="1" operator="equal">
      <formula>"En cours"</formula>
    </cfRule>
  </conditionalFormatting>
  <conditionalFormatting sqref="AK82">
    <cfRule type="cellIs" dxfId="883" priority="140208" stopIfTrue="1" operator="notEqual">
      <formula>"En cours"</formula>
    </cfRule>
  </conditionalFormatting>
  <conditionalFormatting sqref="AJ125">
    <cfRule type="cellIs" dxfId="882" priority="140253" stopIfTrue="1" operator="equal">
      <formula>"En cours"</formula>
    </cfRule>
  </conditionalFormatting>
  <conditionalFormatting sqref="AJ125">
    <cfRule type="cellIs" dxfId="881" priority="140254" stopIfTrue="1" operator="notEqual">
      <formula>"En cours"</formula>
    </cfRule>
  </conditionalFormatting>
  <conditionalFormatting sqref="AK125">
    <cfRule type="cellIs" dxfId="880" priority="140255" stopIfTrue="1" operator="equal">
      <formula>"En cours"</formula>
    </cfRule>
  </conditionalFormatting>
  <conditionalFormatting sqref="AK125">
    <cfRule type="cellIs" dxfId="879" priority="140256" stopIfTrue="1" operator="notEqual">
      <formula>"En cours"</formula>
    </cfRule>
  </conditionalFormatting>
  <conditionalFormatting sqref="AJ128">
    <cfRule type="cellIs" dxfId="878" priority="140305" stopIfTrue="1" operator="equal">
      <formula>"En cours"</formula>
    </cfRule>
  </conditionalFormatting>
  <conditionalFormatting sqref="AJ128">
    <cfRule type="cellIs" dxfId="877" priority="140306" stopIfTrue="1" operator="notEqual">
      <formula>"En cours"</formula>
    </cfRule>
  </conditionalFormatting>
  <conditionalFormatting sqref="AK128">
    <cfRule type="cellIs" dxfId="876" priority="140307" stopIfTrue="1" operator="equal">
      <formula>"En cours"</formula>
    </cfRule>
  </conditionalFormatting>
  <conditionalFormatting sqref="AK128">
    <cfRule type="cellIs" dxfId="875" priority="140308" stopIfTrue="1" operator="notEqual">
      <formula>"En cours"</formula>
    </cfRule>
  </conditionalFormatting>
  <conditionalFormatting sqref="AJ126">
    <cfRule type="cellIs" dxfId="874" priority="140313" stopIfTrue="1" operator="equal">
      <formula>"En cours"</formula>
    </cfRule>
  </conditionalFormatting>
  <conditionalFormatting sqref="AJ126">
    <cfRule type="cellIs" dxfId="873" priority="140314" stopIfTrue="1" operator="notEqual">
      <formula>"En cours"</formula>
    </cfRule>
  </conditionalFormatting>
  <conditionalFormatting sqref="AK126">
    <cfRule type="cellIs" dxfId="872" priority="140315" stopIfTrue="1" operator="equal">
      <formula>"En cours"</formula>
    </cfRule>
  </conditionalFormatting>
  <conditionalFormatting sqref="AK126">
    <cfRule type="cellIs" dxfId="871" priority="140316" stopIfTrue="1" operator="notEqual">
      <formula>"En cours"</formula>
    </cfRule>
  </conditionalFormatting>
  <conditionalFormatting sqref="AJ107">
    <cfRule type="cellIs" dxfId="870" priority="140317" stopIfTrue="1" operator="equal">
      <formula>"En cours"</formula>
    </cfRule>
  </conditionalFormatting>
  <conditionalFormatting sqref="AJ107">
    <cfRule type="cellIs" dxfId="869" priority="140318" stopIfTrue="1" operator="notEqual">
      <formula>"En cours"</formula>
    </cfRule>
  </conditionalFormatting>
  <conditionalFormatting sqref="AK107">
    <cfRule type="cellIs" dxfId="868" priority="140319" stopIfTrue="1" operator="equal">
      <formula>"En cours"</formula>
    </cfRule>
  </conditionalFormatting>
  <conditionalFormatting sqref="AK107">
    <cfRule type="cellIs" dxfId="867" priority="140320" stopIfTrue="1" operator="notEqual">
      <formula>"En cours"</formula>
    </cfRule>
  </conditionalFormatting>
  <conditionalFormatting sqref="AJ134">
    <cfRule type="cellIs" dxfId="866" priority="140337" stopIfTrue="1" operator="equal">
      <formula>"En cours"</formula>
    </cfRule>
  </conditionalFormatting>
  <conditionalFormatting sqref="AJ134">
    <cfRule type="cellIs" dxfId="865" priority="140338" stopIfTrue="1" operator="notEqual">
      <formula>"En cours"</formula>
    </cfRule>
  </conditionalFormatting>
  <conditionalFormatting sqref="AK134">
    <cfRule type="cellIs" dxfId="864" priority="140339" stopIfTrue="1" operator="equal">
      <formula>"En cours"</formula>
    </cfRule>
  </conditionalFormatting>
  <conditionalFormatting sqref="AK134">
    <cfRule type="cellIs" dxfId="863" priority="140340" stopIfTrue="1" operator="notEqual">
      <formula>"En cours"</formula>
    </cfRule>
  </conditionalFormatting>
  <conditionalFormatting sqref="AJ137">
    <cfRule type="cellIs" dxfId="862" priority="140689" stopIfTrue="1" operator="equal">
      <formula>"En cours"</formula>
    </cfRule>
  </conditionalFormatting>
  <conditionalFormatting sqref="AJ137">
    <cfRule type="cellIs" dxfId="861" priority="140690" stopIfTrue="1" operator="notEqual">
      <formula>"En cours"</formula>
    </cfRule>
  </conditionalFormatting>
  <conditionalFormatting sqref="AK137">
    <cfRule type="cellIs" dxfId="860" priority="140691" stopIfTrue="1" operator="equal">
      <formula>"En cours"</formula>
    </cfRule>
  </conditionalFormatting>
  <conditionalFormatting sqref="AK137">
    <cfRule type="cellIs" dxfId="859" priority="140692" stopIfTrue="1" operator="notEqual">
      <formula>"En cours"</formula>
    </cfRule>
  </conditionalFormatting>
  <conditionalFormatting sqref="AJ140">
    <cfRule type="cellIs" dxfId="858" priority="140697" stopIfTrue="1" operator="equal">
      <formula>"En cours"</formula>
    </cfRule>
  </conditionalFormatting>
  <conditionalFormatting sqref="AJ140">
    <cfRule type="cellIs" dxfId="857" priority="140698" stopIfTrue="1" operator="notEqual">
      <formula>"En cours"</formula>
    </cfRule>
  </conditionalFormatting>
  <conditionalFormatting sqref="AK140">
    <cfRule type="cellIs" dxfId="856" priority="140699" stopIfTrue="1" operator="equal">
      <formula>"En cours"</formula>
    </cfRule>
  </conditionalFormatting>
  <conditionalFormatting sqref="AK140">
    <cfRule type="cellIs" dxfId="855" priority="140700" stopIfTrue="1" operator="notEqual">
      <formula>"En cours"</formula>
    </cfRule>
  </conditionalFormatting>
  <conditionalFormatting sqref="AJ139">
    <cfRule type="cellIs" dxfId="854" priority="140701" stopIfTrue="1" operator="equal">
      <formula>"En cours"</formula>
    </cfRule>
  </conditionalFormatting>
  <conditionalFormatting sqref="AJ139">
    <cfRule type="cellIs" dxfId="853" priority="140702" stopIfTrue="1" operator="notEqual">
      <formula>"En cours"</formula>
    </cfRule>
  </conditionalFormatting>
  <conditionalFormatting sqref="AK139">
    <cfRule type="cellIs" dxfId="852" priority="140703" stopIfTrue="1" operator="equal">
      <formula>"En cours"</formula>
    </cfRule>
  </conditionalFormatting>
  <conditionalFormatting sqref="AK139">
    <cfRule type="cellIs" dxfId="851" priority="140704" stopIfTrue="1" operator="notEqual">
      <formula>"En cours"</formula>
    </cfRule>
  </conditionalFormatting>
  <conditionalFormatting sqref="AJ81">
    <cfRule type="cellIs" dxfId="850" priority="140713" stopIfTrue="1" operator="equal">
      <formula>"En cours"</formula>
    </cfRule>
  </conditionalFormatting>
  <conditionalFormatting sqref="AJ81">
    <cfRule type="cellIs" dxfId="849" priority="140714" stopIfTrue="1" operator="notEqual">
      <formula>"En cours"</formula>
    </cfRule>
  </conditionalFormatting>
  <conditionalFormatting sqref="AK81">
    <cfRule type="cellIs" dxfId="848" priority="140715" stopIfTrue="1" operator="equal">
      <formula>"En cours"</formula>
    </cfRule>
  </conditionalFormatting>
  <conditionalFormatting sqref="AK81">
    <cfRule type="cellIs" dxfId="847" priority="140716" stopIfTrue="1" operator="notEqual">
      <formula>"En cours"</formula>
    </cfRule>
  </conditionalFormatting>
  <conditionalFormatting sqref="AJ143">
    <cfRule type="cellIs" dxfId="846" priority="140789" stopIfTrue="1" operator="equal">
      <formula>"En cours"</formula>
    </cfRule>
  </conditionalFormatting>
  <conditionalFormatting sqref="AJ143">
    <cfRule type="cellIs" dxfId="845" priority="140790" stopIfTrue="1" operator="notEqual">
      <formula>"En cours"</formula>
    </cfRule>
  </conditionalFormatting>
  <conditionalFormatting sqref="AK143">
    <cfRule type="cellIs" dxfId="844" priority="140791" stopIfTrue="1" operator="equal">
      <formula>"En cours"</formula>
    </cfRule>
  </conditionalFormatting>
  <conditionalFormatting sqref="AK143">
    <cfRule type="cellIs" dxfId="843" priority="140792" stopIfTrue="1" operator="notEqual">
      <formula>"En cours"</formula>
    </cfRule>
  </conditionalFormatting>
  <conditionalFormatting sqref="AJ150">
    <cfRule type="cellIs" dxfId="842" priority="140825" stopIfTrue="1" operator="equal">
      <formula>"En cours"</formula>
    </cfRule>
  </conditionalFormatting>
  <conditionalFormatting sqref="AJ150">
    <cfRule type="cellIs" dxfId="841" priority="140826" stopIfTrue="1" operator="notEqual">
      <formula>"En cours"</formula>
    </cfRule>
  </conditionalFormatting>
  <conditionalFormatting sqref="AK150">
    <cfRule type="cellIs" dxfId="840" priority="140827" stopIfTrue="1" operator="equal">
      <formula>"En cours"</formula>
    </cfRule>
  </conditionalFormatting>
  <conditionalFormatting sqref="AK150">
    <cfRule type="cellIs" dxfId="839" priority="140828" stopIfTrue="1" operator="notEqual">
      <formula>"En cours"</formula>
    </cfRule>
  </conditionalFormatting>
  <conditionalFormatting sqref="AJ151">
    <cfRule type="cellIs" dxfId="838" priority="140829" stopIfTrue="1" operator="equal">
      <formula>"En cours"</formula>
    </cfRule>
  </conditionalFormatting>
  <conditionalFormatting sqref="AJ151">
    <cfRule type="cellIs" dxfId="837" priority="140830" stopIfTrue="1" operator="notEqual">
      <formula>"En cours"</formula>
    </cfRule>
  </conditionalFormatting>
  <conditionalFormatting sqref="AK151">
    <cfRule type="cellIs" dxfId="836" priority="140831" stopIfTrue="1" operator="equal">
      <formula>"En cours"</formula>
    </cfRule>
  </conditionalFormatting>
  <conditionalFormatting sqref="AK151">
    <cfRule type="cellIs" dxfId="835" priority="140832" stopIfTrue="1" operator="notEqual">
      <formula>"En cours"</formula>
    </cfRule>
  </conditionalFormatting>
  <conditionalFormatting sqref="AJ149">
    <cfRule type="cellIs" dxfId="834" priority="140845" stopIfTrue="1" operator="equal">
      <formula>"En cours"</formula>
    </cfRule>
  </conditionalFormatting>
  <conditionalFormatting sqref="AJ149">
    <cfRule type="cellIs" dxfId="833" priority="140846" stopIfTrue="1" operator="notEqual">
      <formula>"En cours"</formula>
    </cfRule>
  </conditionalFormatting>
  <conditionalFormatting sqref="AK149">
    <cfRule type="cellIs" dxfId="832" priority="140847" stopIfTrue="1" operator="equal">
      <formula>"En cours"</formula>
    </cfRule>
  </conditionalFormatting>
  <conditionalFormatting sqref="AK149">
    <cfRule type="cellIs" dxfId="831" priority="140848" stopIfTrue="1" operator="notEqual">
      <formula>"En cours"</formula>
    </cfRule>
  </conditionalFormatting>
  <conditionalFormatting sqref="AJ97">
    <cfRule type="cellIs" dxfId="830" priority="140873" stopIfTrue="1" operator="equal">
      <formula>"En cours"</formula>
    </cfRule>
  </conditionalFormatting>
  <conditionalFormatting sqref="AJ97">
    <cfRule type="cellIs" dxfId="829" priority="140874" stopIfTrue="1" operator="notEqual">
      <formula>"En cours"</formula>
    </cfRule>
  </conditionalFormatting>
  <conditionalFormatting sqref="AK97">
    <cfRule type="cellIs" dxfId="828" priority="140875" stopIfTrue="1" operator="equal">
      <formula>"En cours"</formula>
    </cfRule>
  </conditionalFormatting>
  <conditionalFormatting sqref="AK97">
    <cfRule type="cellIs" dxfId="827" priority="140876" stopIfTrue="1" operator="notEqual">
      <formula>"En cours"</formula>
    </cfRule>
  </conditionalFormatting>
  <conditionalFormatting sqref="AJ152">
    <cfRule type="cellIs" dxfId="826" priority="140881" stopIfTrue="1" operator="equal">
      <formula>"En cours"</formula>
    </cfRule>
  </conditionalFormatting>
  <conditionalFormatting sqref="AJ152">
    <cfRule type="cellIs" dxfId="825" priority="140882" stopIfTrue="1" operator="notEqual">
      <formula>"En cours"</formula>
    </cfRule>
  </conditionalFormatting>
  <conditionalFormatting sqref="AK152">
    <cfRule type="cellIs" dxfId="824" priority="140883" stopIfTrue="1" operator="equal">
      <formula>"En cours"</formula>
    </cfRule>
  </conditionalFormatting>
  <conditionalFormatting sqref="AK152">
    <cfRule type="cellIs" dxfId="823" priority="140884" stopIfTrue="1" operator="notEqual">
      <formula>"En cours"</formula>
    </cfRule>
  </conditionalFormatting>
  <conditionalFormatting sqref="AJ115">
    <cfRule type="cellIs" dxfId="822" priority="140905" stopIfTrue="1" operator="equal">
      <formula>"En cours"</formula>
    </cfRule>
  </conditionalFormatting>
  <conditionalFormatting sqref="AJ115">
    <cfRule type="cellIs" dxfId="821" priority="140906" stopIfTrue="1" operator="notEqual">
      <formula>"En cours"</formula>
    </cfRule>
  </conditionalFormatting>
  <conditionalFormatting sqref="AK115">
    <cfRule type="cellIs" dxfId="820" priority="140907" stopIfTrue="1" operator="equal">
      <formula>"En cours"</formula>
    </cfRule>
  </conditionalFormatting>
  <conditionalFormatting sqref="AK115">
    <cfRule type="cellIs" dxfId="819" priority="140908" stopIfTrue="1" operator="notEqual">
      <formula>"En cours"</formula>
    </cfRule>
  </conditionalFormatting>
  <conditionalFormatting sqref="AJ104">
    <cfRule type="cellIs" dxfId="818" priority="140913" stopIfTrue="1" operator="equal">
      <formula>"En cours"</formula>
    </cfRule>
  </conditionalFormatting>
  <conditionalFormatting sqref="AJ104">
    <cfRule type="cellIs" dxfId="817" priority="140914" stopIfTrue="1" operator="notEqual">
      <formula>"En cours"</formula>
    </cfRule>
  </conditionalFormatting>
  <conditionalFormatting sqref="AK104">
    <cfRule type="cellIs" dxfId="816" priority="140915" stopIfTrue="1" operator="equal">
      <formula>"En cours"</formula>
    </cfRule>
  </conditionalFormatting>
  <conditionalFormatting sqref="AK104">
    <cfRule type="cellIs" dxfId="815" priority="140916" stopIfTrue="1" operator="notEqual">
      <formula>"En cours"</formula>
    </cfRule>
  </conditionalFormatting>
  <conditionalFormatting sqref="AJ157">
    <cfRule type="cellIs" dxfId="814" priority="140941" stopIfTrue="1" operator="equal">
      <formula>"En cours"</formula>
    </cfRule>
  </conditionalFormatting>
  <conditionalFormatting sqref="AJ157">
    <cfRule type="cellIs" dxfId="813" priority="140942" stopIfTrue="1" operator="notEqual">
      <formula>"En cours"</formula>
    </cfRule>
  </conditionalFormatting>
  <conditionalFormatting sqref="AK157">
    <cfRule type="cellIs" dxfId="812" priority="140943" stopIfTrue="1" operator="equal">
      <formula>"En cours"</formula>
    </cfRule>
  </conditionalFormatting>
  <conditionalFormatting sqref="AK157">
    <cfRule type="cellIs" dxfId="811" priority="140944" stopIfTrue="1" operator="notEqual">
      <formula>"En cours"</formula>
    </cfRule>
  </conditionalFormatting>
  <conditionalFormatting sqref="AJ161">
    <cfRule type="cellIs" dxfId="810" priority="140977" stopIfTrue="1" operator="equal">
      <formula>"En cours"</formula>
    </cfRule>
  </conditionalFormatting>
  <conditionalFormatting sqref="AJ161">
    <cfRule type="cellIs" dxfId="809" priority="140978" stopIfTrue="1" operator="notEqual">
      <formula>"En cours"</formula>
    </cfRule>
  </conditionalFormatting>
  <conditionalFormatting sqref="AK161">
    <cfRule type="cellIs" dxfId="808" priority="140979" stopIfTrue="1" operator="equal">
      <formula>"En cours"</formula>
    </cfRule>
  </conditionalFormatting>
  <conditionalFormatting sqref="AK161">
    <cfRule type="cellIs" dxfId="807" priority="140980" stopIfTrue="1" operator="notEqual">
      <formula>"En cours"</formula>
    </cfRule>
  </conditionalFormatting>
  <conditionalFormatting sqref="AJ164">
    <cfRule type="cellIs" dxfId="806" priority="140993" stopIfTrue="1" operator="equal">
      <formula>"En cours"</formula>
    </cfRule>
  </conditionalFormatting>
  <conditionalFormatting sqref="AJ164">
    <cfRule type="cellIs" dxfId="805" priority="140994" stopIfTrue="1" operator="notEqual">
      <formula>"En cours"</formula>
    </cfRule>
  </conditionalFormatting>
  <conditionalFormatting sqref="AK164">
    <cfRule type="cellIs" dxfId="804" priority="140995" stopIfTrue="1" operator="equal">
      <formula>"En cours"</formula>
    </cfRule>
  </conditionalFormatting>
  <conditionalFormatting sqref="AK164">
    <cfRule type="cellIs" dxfId="803" priority="140996" stopIfTrue="1" operator="notEqual">
      <formula>"En cours"</formula>
    </cfRule>
  </conditionalFormatting>
  <conditionalFormatting sqref="AJ167">
    <cfRule type="cellIs" dxfId="802" priority="141261" stopIfTrue="1" operator="equal">
      <formula>"En cours"</formula>
    </cfRule>
  </conditionalFormatting>
  <conditionalFormatting sqref="AJ167">
    <cfRule type="cellIs" dxfId="801" priority="141262" stopIfTrue="1" operator="notEqual">
      <formula>"En cours"</formula>
    </cfRule>
  </conditionalFormatting>
  <conditionalFormatting sqref="AK167">
    <cfRule type="cellIs" dxfId="800" priority="141263" stopIfTrue="1" operator="equal">
      <formula>"En cours"</formula>
    </cfRule>
  </conditionalFormatting>
  <conditionalFormatting sqref="AK167">
    <cfRule type="cellIs" dxfId="799" priority="141264" stopIfTrue="1" operator="notEqual">
      <formula>"En cours"</formula>
    </cfRule>
  </conditionalFormatting>
  <conditionalFormatting sqref="AJ78">
    <cfRule type="cellIs" dxfId="798" priority="141269" stopIfTrue="1" operator="equal">
      <formula>"En cours"</formula>
    </cfRule>
  </conditionalFormatting>
  <conditionalFormatting sqref="AJ78">
    <cfRule type="cellIs" dxfId="797" priority="141270" stopIfTrue="1" operator="notEqual">
      <formula>"En cours"</formula>
    </cfRule>
  </conditionalFormatting>
  <conditionalFormatting sqref="AK78">
    <cfRule type="cellIs" dxfId="796" priority="141271" stopIfTrue="1" operator="equal">
      <formula>"En cours"</formula>
    </cfRule>
  </conditionalFormatting>
  <conditionalFormatting sqref="AK78">
    <cfRule type="cellIs" dxfId="795" priority="141272" stopIfTrue="1" operator="notEqual">
      <formula>"En cours"</formula>
    </cfRule>
  </conditionalFormatting>
  <conditionalFormatting sqref="AJ136">
    <cfRule type="cellIs" dxfId="794" priority="141285" stopIfTrue="1" operator="equal">
      <formula>"En cours"</formula>
    </cfRule>
  </conditionalFormatting>
  <conditionalFormatting sqref="AJ136">
    <cfRule type="cellIs" dxfId="793" priority="141286" stopIfTrue="1" operator="notEqual">
      <formula>"En cours"</formula>
    </cfRule>
  </conditionalFormatting>
  <conditionalFormatting sqref="AK136">
    <cfRule type="cellIs" dxfId="792" priority="141287" stopIfTrue="1" operator="equal">
      <formula>"En cours"</formula>
    </cfRule>
  </conditionalFormatting>
  <conditionalFormatting sqref="AK136">
    <cfRule type="cellIs" dxfId="791" priority="141288" stopIfTrue="1" operator="notEqual">
      <formula>"En cours"</formula>
    </cfRule>
  </conditionalFormatting>
  <conditionalFormatting sqref="AJ169">
    <cfRule type="cellIs" dxfId="790" priority="141301" stopIfTrue="1" operator="equal">
      <formula>"En cours"</formula>
    </cfRule>
  </conditionalFormatting>
  <conditionalFormatting sqref="AJ169">
    <cfRule type="cellIs" dxfId="789" priority="141302" stopIfTrue="1" operator="notEqual">
      <formula>"En cours"</formula>
    </cfRule>
  </conditionalFormatting>
  <conditionalFormatting sqref="AK169">
    <cfRule type="cellIs" dxfId="788" priority="141303" stopIfTrue="1" operator="equal">
      <formula>"En cours"</formula>
    </cfRule>
  </conditionalFormatting>
  <conditionalFormatting sqref="AK169">
    <cfRule type="cellIs" dxfId="787" priority="141304" stopIfTrue="1" operator="notEqual">
      <formula>"En cours"</formula>
    </cfRule>
  </conditionalFormatting>
  <conditionalFormatting sqref="AJ142">
    <cfRule type="cellIs" dxfId="786" priority="141305" stopIfTrue="1" operator="equal">
      <formula>"En cours"</formula>
    </cfRule>
  </conditionalFormatting>
  <conditionalFormatting sqref="AJ142">
    <cfRule type="cellIs" dxfId="785" priority="141306" stopIfTrue="1" operator="notEqual">
      <formula>"En cours"</formula>
    </cfRule>
  </conditionalFormatting>
  <conditionalFormatting sqref="AK142">
    <cfRule type="cellIs" dxfId="784" priority="141307" stopIfTrue="1" operator="equal">
      <formula>"En cours"</formula>
    </cfRule>
  </conditionalFormatting>
  <conditionalFormatting sqref="AK142">
    <cfRule type="cellIs" dxfId="783" priority="141308" stopIfTrue="1" operator="notEqual">
      <formula>"En cours"</formula>
    </cfRule>
  </conditionalFormatting>
  <conditionalFormatting sqref="AJ145">
    <cfRule type="cellIs" dxfId="782" priority="141313" stopIfTrue="1" operator="equal">
      <formula>"En cours"</formula>
    </cfRule>
  </conditionalFormatting>
  <conditionalFormatting sqref="AJ145">
    <cfRule type="cellIs" dxfId="781" priority="141314" stopIfTrue="1" operator="notEqual">
      <formula>"En cours"</formula>
    </cfRule>
  </conditionalFormatting>
  <conditionalFormatting sqref="AK145">
    <cfRule type="cellIs" dxfId="780" priority="141315" stopIfTrue="1" operator="equal">
      <formula>"En cours"</formula>
    </cfRule>
  </conditionalFormatting>
  <conditionalFormatting sqref="AK145">
    <cfRule type="cellIs" dxfId="779" priority="141316" stopIfTrue="1" operator="notEqual">
      <formula>"En cours"</formula>
    </cfRule>
  </conditionalFormatting>
  <conditionalFormatting sqref="AJ123">
    <cfRule type="cellIs" dxfId="778" priority="141365" stopIfTrue="1" operator="equal">
      <formula>"En cours"</formula>
    </cfRule>
  </conditionalFormatting>
  <conditionalFormatting sqref="AJ123">
    <cfRule type="cellIs" dxfId="777" priority="141366" stopIfTrue="1" operator="notEqual">
      <formula>"En cours"</formula>
    </cfRule>
  </conditionalFormatting>
  <conditionalFormatting sqref="AK123">
    <cfRule type="cellIs" dxfId="776" priority="141367" stopIfTrue="1" operator="equal">
      <formula>"En cours"</formula>
    </cfRule>
  </conditionalFormatting>
  <conditionalFormatting sqref="AK123">
    <cfRule type="cellIs" dxfId="775" priority="141368" stopIfTrue="1" operator="notEqual">
      <formula>"En cours"</formula>
    </cfRule>
  </conditionalFormatting>
  <conditionalFormatting sqref="AJ88">
    <cfRule type="cellIs" dxfId="774" priority="141373" stopIfTrue="1" operator="equal">
      <formula>"En cours"</formula>
    </cfRule>
  </conditionalFormatting>
  <conditionalFormatting sqref="AJ88">
    <cfRule type="cellIs" dxfId="773" priority="141374" stopIfTrue="1" operator="notEqual">
      <formula>"En cours"</formula>
    </cfRule>
  </conditionalFormatting>
  <conditionalFormatting sqref="AK88">
    <cfRule type="cellIs" dxfId="772" priority="141375" stopIfTrue="1" operator="equal">
      <formula>"En cours"</formula>
    </cfRule>
  </conditionalFormatting>
  <conditionalFormatting sqref="AK88">
    <cfRule type="cellIs" dxfId="771" priority="141376" stopIfTrue="1" operator="notEqual">
      <formula>"En cours"</formula>
    </cfRule>
  </conditionalFormatting>
  <conditionalFormatting sqref="AJ156">
    <cfRule type="cellIs" dxfId="770" priority="141413" stopIfTrue="1" operator="equal">
      <formula>"En cours"</formula>
    </cfRule>
  </conditionalFormatting>
  <conditionalFormatting sqref="AJ156">
    <cfRule type="cellIs" dxfId="769" priority="141414" stopIfTrue="1" operator="notEqual">
      <formula>"En cours"</formula>
    </cfRule>
  </conditionalFormatting>
  <conditionalFormatting sqref="AK156">
    <cfRule type="cellIs" dxfId="768" priority="141415" stopIfTrue="1" operator="equal">
      <formula>"En cours"</formula>
    </cfRule>
  </conditionalFormatting>
  <conditionalFormatting sqref="AK156">
    <cfRule type="cellIs" dxfId="767" priority="141416" stopIfTrue="1" operator="notEqual">
      <formula>"En cours"</formula>
    </cfRule>
  </conditionalFormatting>
  <conditionalFormatting sqref="AJ129">
    <cfRule type="cellIs" dxfId="766" priority="141445" stopIfTrue="1" operator="equal">
      <formula>"En cours"</formula>
    </cfRule>
  </conditionalFormatting>
  <conditionalFormatting sqref="AJ129">
    <cfRule type="cellIs" dxfId="765" priority="141446" stopIfTrue="1" operator="notEqual">
      <formula>"En cours"</formula>
    </cfRule>
  </conditionalFormatting>
  <conditionalFormatting sqref="AK129">
    <cfRule type="cellIs" dxfId="764" priority="141447" stopIfTrue="1" operator="equal">
      <formula>"En cours"</formula>
    </cfRule>
  </conditionalFormatting>
  <conditionalFormatting sqref="AK129">
    <cfRule type="cellIs" dxfId="763" priority="141448" stopIfTrue="1" operator="notEqual">
      <formula>"En cours"</formula>
    </cfRule>
  </conditionalFormatting>
  <conditionalFormatting sqref="AJ163">
    <cfRule type="cellIs" dxfId="762" priority="141453" stopIfTrue="1" operator="equal">
      <formula>"En cours"</formula>
    </cfRule>
  </conditionalFormatting>
  <conditionalFormatting sqref="AJ163">
    <cfRule type="cellIs" dxfId="761" priority="141454" stopIfTrue="1" operator="notEqual">
      <formula>"En cours"</formula>
    </cfRule>
  </conditionalFormatting>
  <conditionalFormatting sqref="AK163">
    <cfRule type="cellIs" dxfId="760" priority="141455" stopIfTrue="1" operator="equal">
      <formula>"En cours"</formula>
    </cfRule>
  </conditionalFormatting>
  <conditionalFormatting sqref="AK163">
    <cfRule type="cellIs" dxfId="759" priority="141456" stopIfTrue="1" operator="notEqual">
      <formula>"En cours"</formula>
    </cfRule>
  </conditionalFormatting>
  <conditionalFormatting sqref="AJ171">
    <cfRule type="cellIs" dxfId="758" priority="141485" stopIfTrue="1" operator="equal">
      <formula>"En cours"</formula>
    </cfRule>
  </conditionalFormatting>
  <conditionalFormatting sqref="AJ171">
    <cfRule type="cellIs" dxfId="757" priority="141486" stopIfTrue="1" operator="notEqual">
      <formula>"En cours"</formula>
    </cfRule>
  </conditionalFormatting>
  <conditionalFormatting sqref="AK171">
    <cfRule type="cellIs" dxfId="756" priority="141487" stopIfTrue="1" operator="equal">
      <formula>"En cours"</formula>
    </cfRule>
  </conditionalFormatting>
  <conditionalFormatting sqref="AK171">
    <cfRule type="cellIs" dxfId="755" priority="141488" stopIfTrue="1" operator="notEqual">
      <formula>"En cours"</formula>
    </cfRule>
  </conditionalFormatting>
  <conditionalFormatting sqref="AJ154">
    <cfRule type="cellIs" dxfId="754" priority="141489" stopIfTrue="1" operator="equal">
      <formula>"En cours"</formula>
    </cfRule>
  </conditionalFormatting>
  <conditionalFormatting sqref="AJ154">
    <cfRule type="cellIs" dxfId="753" priority="141490" stopIfTrue="1" operator="notEqual">
      <formula>"En cours"</formula>
    </cfRule>
  </conditionalFormatting>
  <conditionalFormatting sqref="AK154">
    <cfRule type="cellIs" dxfId="752" priority="141491" stopIfTrue="1" operator="equal">
      <formula>"En cours"</formula>
    </cfRule>
  </conditionalFormatting>
  <conditionalFormatting sqref="AK154">
    <cfRule type="cellIs" dxfId="751" priority="141492" stopIfTrue="1" operator="notEqual">
      <formula>"En cours"</formula>
    </cfRule>
  </conditionalFormatting>
  <conditionalFormatting sqref="AJ120">
    <cfRule type="cellIs" dxfId="750" priority="141741" stopIfTrue="1" operator="equal">
      <formula>"En cours"</formula>
    </cfRule>
  </conditionalFormatting>
  <conditionalFormatting sqref="AJ120">
    <cfRule type="cellIs" dxfId="749" priority="141742" stopIfTrue="1" operator="notEqual">
      <formula>"En cours"</formula>
    </cfRule>
  </conditionalFormatting>
  <conditionalFormatting sqref="AK120">
    <cfRule type="cellIs" dxfId="748" priority="141743" stopIfTrue="1" operator="equal">
      <formula>"En cours"</formula>
    </cfRule>
  </conditionalFormatting>
  <conditionalFormatting sqref="AK120">
    <cfRule type="cellIs" dxfId="747" priority="141744" stopIfTrue="1" operator="notEqual">
      <formula>"En cours"</formula>
    </cfRule>
  </conditionalFormatting>
  <conditionalFormatting sqref="AJ80">
    <cfRule type="cellIs" dxfId="746" priority="141749" stopIfTrue="1" operator="equal">
      <formula>"En cours"</formula>
    </cfRule>
  </conditionalFormatting>
  <conditionalFormatting sqref="AJ80">
    <cfRule type="cellIs" dxfId="745" priority="141750" stopIfTrue="1" operator="notEqual">
      <formula>"En cours"</formula>
    </cfRule>
  </conditionalFormatting>
  <conditionalFormatting sqref="AK80">
    <cfRule type="cellIs" dxfId="744" priority="141751" stopIfTrue="1" operator="equal">
      <formula>"En cours"</formula>
    </cfRule>
  </conditionalFormatting>
  <conditionalFormatting sqref="AK80">
    <cfRule type="cellIs" dxfId="743" priority="141752" stopIfTrue="1" operator="notEqual">
      <formula>"En cours"</formula>
    </cfRule>
  </conditionalFormatting>
  <conditionalFormatting sqref="AJ138">
    <cfRule type="cellIs" dxfId="742" priority="141769" stopIfTrue="1" operator="equal">
      <formula>"En cours"</formula>
    </cfRule>
  </conditionalFormatting>
  <conditionalFormatting sqref="AJ138">
    <cfRule type="cellIs" dxfId="741" priority="141770" stopIfTrue="1" operator="notEqual">
      <formula>"En cours"</formula>
    </cfRule>
  </conditionalFormatting>
  <conditionalFormatting sqref="AK138">
    <cfRule type="cellIs" dxfId="740" priority="141771" stopIfTrue="1" operator="equal">
      <formula>"En cours"</formula>
    </cfRule>
  </conditionalFormatting>
  <conditionalFormatting sqref="AK138">
    <cfRule type="cellIs" dxfId="739" priority="141772" stopIfTrue="1" operator="notEqual">
      <formula>"En cours"</formula>
    </cfRule>
  </conditionalFormatting>
  <conditionalFormatting sqref="AJ121">
    <cfRule type="cellIs" dxfId="738" priority="141781" stopIfTrue="1" operator="equal">
      <formula>"En cours"</formula>
    </cfRule>
  </conditionalFormatting>
  <conditionalFormatting sqref="AJ121">
    <cfRule type="cellIs" dxfId="737" priority="141782" stopIfTrue="1" operator="notEqual">
      <formula>"En cours"</formula>
    </cfRule>
  </conditionalFormatting>
  <conditionalFormatting sqref="AK121">
    <cfRule type="cellIs" dxfId="736" priority="141783" stopIfTrue="1" operator="equal">
      <formula>"En cours"</formula>
    </cfRule>
  </conditionalFormatting>
  <conditionalFormatting sqref="AK121">
    <cfRule type="cellIs" dxfId="735" priority="141784" stopIfTrue="1" operator="notEqual">
      <formula>"En cours"</formula>
    </cfRule>
  </conditionalFormatting>
  <conditionalFormatting sqref="AJ83">
    <cfRule type="cellIs" dxfId="734" priority="141785" stopIfTrue="1" operator="equal">
      <formula>"En cours"</formula>
    </cfRule>
  </conditionalFormatting>
  <conditionalFormatting sqref="AJ83">
    <cfRule type="cellIs" dxfId="733" priority="141786" stopIfTrue="1" operator="notEqual">
      <formula>"En cours"</formula>
    </cfRule>
  </conditionalFormatting>
  <conditionalFormatting sqref="AK83">
    <cfRule type="cellIs" dxfId="732" priority="141787" stopIfTrue="1" operator="equal">
      <formula>"En cours"</formula>
    </cfRule>
  </conditionalFormatting>
  <conditionalFormatting sqref="AK83">
    <cfRule type="cellIs" dxfId="731" priority="141788" stopIfTrue="1" operator="notEqual">
      <formula>"En cours"</formula>
    </cfRule>
  </conditionalFormatting>
  <conditionalFormatting sqref="AJ170">
    <cfRule type="cellIs" dxfId="730" priority="141809" stopIfTrue="1" operator="equal">
      <formula>"En cours"</formula>
    </cfRule>
  </conditionalFormatting>
  <conditionalFormatting sqref="AJ170">
    <cfRule type="cellIs" dxfId="729" priority="141810" stopIfTrue="1" operator="notEqual">
      <formula>"En cours"</formula>
    </cfRule>
  </conditionalFormatting>
  <conditionalFormatting sqref="AK170">
    <cfRule type="cellIs" dxfId="728" priority="141811" stopIfTrue="1" operator="equal">
      <formula>"En cours"</formula>
    </cfRule>
  </conditionalFormatting>
  <conditionalFormatting sqref="AK170">
    <cfRule type="cellIs" dxfId="727" priority="141812" stopIfTrue="1" operator="notEqual">
      <formula>"En cours"</formula>
    </cfRule>
  </conditionalFormatting>
  <conditionalFormatting sqref="AJ93">
    <cfRule type="cellIs" dxfId="726" priority="141821" stopIfTrue="1" operator="equal">
      <formula>"En cours"</formula>
    </cfRule>
  </conditionalFormatting>
  <conditionalFormatting sqref="AJ93">
    <cfRule type="cellIs" dxfId="725" priority="141822" stopIfTrue="1" operator="notEqual">
      <formula>"En cours"</formula>
    </cfRule>
  </conditionalFormatting>
  <conditionalFormatting sqref="AK93">
    <cfRule type="cellIs" dxfId="724" priority="141823" stopIfTrue="1" operator="equal">
      <formula>"En cours"</formula>
    </cfRule>
  </conditionalFormatting>
  <conditionalFormatting sqref="AK93">
    <cfRule type="cellIs" dxfId="723" priority="141824" stopIfTrue="1" operator="notEqual">
      <formula>"En cours"</formula>
    </cfRule>
  </conditionalFormatting>
  <conditionalFormatting sqref="AJ84">
    <cfRule type="cellIs" dxfId="722" priority="141825" stopIfTrue="1" operator="equal">
      <formula>"En cours"</formula>
    </cfRule>
  </conditionalFormatting>
  <conditionalFormatting sqref="AJ84">
    <cfRule type="cellIs" dxfId="721" priority="141826" stopIfTrue="1" operator="notEqual">
      <formula>"En cours"</formula>
    </cfRule>
  </conditionalFormatting>
  <conditionalFormatting sqref="AK84">
    <cfRule type="cellIs" dxfId="720" priority="141827" stopIfTrue="1" operator="equal">
      <formula>"En cours"</formula>
    </cfRule>
  </conditionalFormatting>
  <conditionalFormatting sqref="AK84">
    <cfRule type="cellIs" dxfId="719" priority="141828" stopIfTrue="1" operator="notEqual">
      <formula>"En cours"</formula>
    </cfRule>
  </conditionalFormatting>
  <conditionalFormatting sqref="AJ89">
    <cfRule type="cellIs" dxfId="718" priority="141849" stopIfTrue="1" operator="equal">
      <formula>"En cours"</formula>
    </cfRule>
  </conditionalFormatting>
  <conditionalFormatting sqref="AJ89">
    <cfRule type="cellIs" dxfId="717" priority="141850" stopIfTrue="1" operator="notEqual">
      <formula>"En cours"</formula>
    </cfRule>
  </conditionalFormatting>
  <conditionalFormatting sqref="AK89">
    <cfRule type="cellIs" dxfId="716" priority="141851" stopIfTrue="1" operator="equal">
      <formula>"En cours"</formula>
    </cfRule>
  </conditionalFormatting>
  <conditionalFormatting sqref="AK89">
    <cfRule type="cellIs" dxfId="715" priority="141852" stopIfTrue="1" operator="notEqual">
      <formula>"En cours"</formula>
    </cfRule>
  </conditionalFormatting>
  <conditionalFormatting sqref="AJ148">
    <cfRule type="cellIs" dxfId="714" priority="141861" stopIfTrue="1" operator="equal">
      <formula>"En cours"</formula>
    </cfRule>
  </conditionalFormatting>
  <conditionalFormatting sqref="AJ148">
    <cfRule type="cellIs" dxfId="713" priority="141862" stopIfTrue="1" operator="notEqual">
      <formula>"En cours"</formula>
    </cfRule>
  </conditionalFormatting>
  <conditionalFormatting sqref="AK148">
    <cfRule type="cellIs" dxfId="712" priority="141863" stopIfTrue="1" operator="equal">
      <formula>"En cours"</formula>
    </cfRule>
  </conditionalFormatting>
  <conditionalFormatting sqref="AK148">
    <cfRule type="cellIs" dxfId="711" priority="141864" stopIfTrue="1" operator="notEqual">
      <formula>"En cours"</formula>
    </cfRule>
  </conditionalFormatting>
  <conditionalFormatting sqref="AJ96">
    <cfRule type="cellIs" dxfId="710" priority="141881" stopIfTrue="1" operator="equal">
      <formula>"En cours"</formula>
    </cfRule>
  </conditionalFormatting>
  <conditionalFormatting sqref="AJ96">
    <cfRule type="cellIs" dxfId="709" priority="141882" stopIfTrue="1" operator="notEqual">
      <formula>"En cours"</formula>
    </cfRule>
  </conditionalFormatting>
  <conditionalFormatting sqref="AK96">
    <cfRule type="cellIs" dxfId="708" priority="141883" stopIfTrue="1" operator="equal">
      <formula>"En cours"</formula>
    </cfRule>
  </conditionalFormatting>
  <conditionalFormatting sqref="AK96">
    <cfRule type="cellIs" dxfId="707" priority="141884" stopIfTrue="1" operator="notEqual">
      <formula>"En cours"</formula>
    </cfRule>
  </conditionalFormatting>
  <conditionalFormatting sqref="AJ101">
    <cfRule type="cellIs" dxfId="706" priority="141901" stopIfTrue="1" operator="equal">
      <formula>"En cours"</formula>
    </cfRule>
  </conditionalFormatting>
  <conditionalFormatting sqref="AJ101">
    <cfRule type="cellIs" dxfId="705" priority="141902" stopIfTrue="1" operator="notEqual">
      <formula>"En cours"</formula>
    </cfRule>
  </conditionalFormatting>
  <conditionalFormatting sqref="AK101">
    <cfRule type="cellIs" dxfId="704" priority="141903" stopIfTrue="1" operator="equal">
      <formula>"En cours"</formula>
    </cfRule>
  </conditionalFormatting>
  <conditionalFormatting sqref="AK101">
    <cfRule type="cellIs" dxfId="703" priority="141904" stopIfTrue="1" operator="notEqual">
      <formula>"En cours"</formula>
    </cfRule>
  </conditionalFormatting>
  <conditionalFormatting sqref="AJ114">
    <cfRule type="cellIs" dxfId="702" priority="141909" stopIfTrue="1" operator="equal">
      <formula>"En cours"</formula>
    </cfRule>
  </conditionalFormatting>
  <conditionalFormatting sqref="AJ114">
    <cfRule type="cellIs" dxfId="701" priority="141910" stopIfTrue="1" operator="notEqual">
      <formula>"En cours"</formula>
    </cfRule>
  </conditionalFormatting>
  <conditionalFormatting sqref="AK114">
    <cfRule type="cellIs" dxfId="700" priority="141911" stopIfTrue="1" operator="equal">
      <formula>"En cours"</formula>
    </cfRule>
  </conditionalFormatting>
  <conditionalFormatting sqref="AK114">
    <cfRule type="cellIs" dxfId="699" priority="141912" stopIfTrue="1" operator="notEqual">
      <formula>"En cours"</formula>
    </cfRule>
  </conditionalFormatting>
  <conditionalFormatting sqref="AJ116">
    <cfRule type="cellIs" dxfId="698" priority="141921" stopIfTrue="1" operator="equal">
      <formula>"En cours"</formula>
    </cfRule>
  </conditionalFormatting>
  <conditionalFormatting sqref="AJ116">
    <cfRule type="cellIs" dxfId="697" priority="141922" stopIfTrue="1" operator="notEqual">
      <formula>"En cours"</formula>
    </cfRule>
  </conditionalFormatting>
  <conditionalFormatting sqref="AK116">
    <cfRule type="cellIs" dxfId="696" priority="141923" stopIfTrue="1" operator="equal">
      <formula>"En cours"</formula>
    </cfRule>
  </conditionalFormatting>
  <conditionalFormatting sqref="AK116">
    <cfRule type="cellIs" dxfId="695" priority="141924" stopIfTrue="1" operator="notEqual">
      <formula>"En cours"</formula>
    </cfRule>
  </conditionalFormatting>
  <conditionalFormatting sqref="AJ159">
    <cfRule type="cellIs" dxfId="694" priority="141933" stopIfTrue="1" operator="equal">
      <formula>"En cours"</formula>
    </cfRule>
  </conditionalFormatting>
  <conditionalFormatting sqref="AJ159">
    <cfRule type="cellIs" dxfId="693" priority="141934" stopIfTrue="1" operator="notEqual">
      <formula>"En cours"</formula>
    </cfRule>
  </conditionalFormatting>
  <conditionalFormatting sqref="AK159">
    <cfRule type="cellIs" dxfId="692" priority="141935" stopIfTrue="1" operator="equal">
      <formula>"En cours"</formula>
    </cfRule>
  </conditionalFormatting>
  <conditionalFormatting sqref="AK159">
    <cfRule type="cellIs" dxfId="691" priority="141936" stopIfTrue="1" operator="notEqual">
      <formula>"En cours"</formula>
    </cfRule>
  </conditionalFormatting>
  <conditionalFormatting sqref="AJ160">
    <cfRule type="cellIs" dxfId="690" priority="141965" stopIfTrue="1" operator="equal">
      <formula>"En cours"</formula>
    </cfRule>
  </conditionalFormatting>
  <conditionalFormatting sqref="AJ160">
    <cfRule type="cellIs" dxfId="689" priority="141966" stopIfTrue="1" operator="notEqual">
      <formula>"En cours"</formula>
    </cfRule>
  </conditionalFormatting>
  <conditionalFormatting sqref="AK160">
    <cfRule type="cellIs" dxfId="688" priority="141967" stopIfTrue="1" operator="equal">
      <formula>"En cours"</formula>
    </cfRule>
  </conditionalFormatting>
  <conditionalFormatting sqref="AK160">
    <cfRule type="cellIs" dxfId="687" priority="141968" stopIfTrue="1" operator="notEqual">
      <formula>"En cours"</formula>
    </cfRule>
  </conditionalFormatting>
  <conditionalFormatting sqref="AJ165">
    <cfRule type="cellIs" dxfId="686" priority="142373" stopIfTrue="1" operator="equal">
      <formula>"En cours"</formula>
    </cfRule>
  </conditionalFormatting>
  <conditionalFormatting sqref="AJ165">
    <cfRule type="cellIs" dxfId="685" priority="142374" stopIfTrue="1" operator="notEqual">
      <formula>"En cours"</formula>
    </cfRule>
  </conditionalFormatting>
  <conditionalFormatting sqref="AK165">
    <cfRule type="cellIs" dxfId="684" priority="142375" stopIfTrue="1" operator="equal">
      <formula>"En cours"</formula>
    </cfRule>
  </conditionalFormatting>
  <conditionalFormatting sqref="AK165">
    <cfRule type="cellIs" dxfId="683" priority="142376" stopIfTrue="1" operator="notEqual">
      <formula>"En cours"</formula>
    </cfRule>
  </conditionalFormatting>
  <conditionalFormatting sqref="AJ166">
    <cfRule type="cellIs" dxfId="682" priority="142385" stopIfTrue="1" operator="equal">
      <formula>"En cours"</formula>
    </cfRule>
  </conditionalFormatting>
  <conditionalFormatting sqref="AJ166">
    <cfRule type="cellIs" dxfId="681" priority="142386" stopIfTrue="1" operator="notEqual">
      <formula>"En cours"</formula>
    </cfRule>
  </conditionalFormatting>
  <conditionalFormatting sqref="AK166">
    <cfRule type="cellIs" dxfId="680" priority="142387" stopIfTrue="1" operator="equal">
      <formula>"En cours"</formula>
    </cfRule>
  </conditionalFormatting>
  <conditionalFormatting sqref="AK166">
    <cfRule type="cellIs" dxfId="679" priority="142388" stopIfTrue="1" operator="notEqual">
      <formula>"En cours"</formula>
    </cfRule>
  </conditionalFormatting>
  <conditionalFormatting sqref="AJ172">
    <cfRule type="cellIs" dxfId="678" priority="142389" stopIfTrue="1" operator="equal">
      <formula>"En cours"</formula>
    </cfRule>
  </conditionalFormatting>
  <conditionalFormatting sqref="AJ172">
    <cfRule type="cellIs" dxfId="677" priority="142390" stopIfTrue="1" operator="notEqual">
      <formula>"En cours"</formula>
    </cfRule>
  </conditionalFormatting>
  <conditionalFormatting sqref="AK172">
    <cfRule type="cellIs" dxfId="676" priority="142391" stopIfTrue="1" operator="equal">
      <formula>"En cours"</formula>
    </cfRule>
  </conditionalFormatting>
  <conditionalFormatting sqref="AK172">
    <cfRule type="cellIs" dxfId="675" priority="142392" stopIfTrue="1" operator="notEqual">
      <formula>"En cours"</formula>
    </cfRule>
  </conditionalFormatting>
  <conditionalFormatting sqref="AJ173">
    <cfRule type="cellIs" dxfId="674" priority="142393" stopIfTrue="1" operator="equal">
      <formula>"En cours"</formula>
    </cfRule>
  </conditionalFormatting>
  <conditionalFormatting sqref="AJ173">
    <cfRule type="cellIs" dxfId="673" priority="142394" stopIfTrue="1" operator="notEqual">
      <formula>"En cours"</formula>
    </cfRule>
  </conditionalFormatting>
  <conditionalFormatting sqref="AK173">
    <cfRule type="cellIs" dxfId="672" priority="142395" stopIfTrue="1" operator="equal">
      <formula>"En cours"</formula>
    </cfRule>
  </conditionalFormatting>
  <conditionalFormatting sqref="AK173">
    <cfRule type="cellIs" dxfId="671" priority="142396" stopIfTrue="1" operator="notEqual">
      <formula>"En cours"</formula>
    </cfRule>
  </conditionalFormatting>
  <conditionalFormatting sqref="AJ177">
    <cfRule type="cellIs" dxfId="670" priority="142409" stopIfTrue="1" operator="equal">
      <formula>"En cours"</formula>
    </cfRule>
  </conditionalFormatting>
  <conditionalFormatting sqref="AJ177">
    <cfRule type="cellIs" dxfId="669" priority="142410" stopIfTrue="1" operator="notEqual">
      <formula>"En cours"</formula>
    </cfRule>
  </conditionalFormatting>
  <conditionalFormatting sqref="AK177">
    <cfRule type="cellIs" dxfId="668" priority="142411" stopIfTrue="1" operator="equal">
      <formula>"En cours"</formula>
    </cfRule>
  </conditionalFormatting>
  <conditionalFormatting sqref="AK177">
    <cfRule type="cellIs" dxfId="667" priority="142412" stopIfTrue="1" operator="notEqual">
      <formula>"En cours"</formula>
    </cfRule>
  </conditionalFormatting>
  <conditionalFormatting sqref="AJ174">
    <cfRule type="cellIs" dxfId="666" priority="142429" stopIfTrue="1" operator="equal">
      <formula>"En cours"</formula>
    </cfRule>
  </conditionalFormatting>
  <conditionalFormatting sqref="AJ174">
    <cfRule type="cellIs" dxfId="665" priority="142430" stopIfTrue="1" operator="notEqual">
      <formula>"En cours"</formula>
    </cfRule>
  </conditionalFormatting>
  <conditionalFormatting sqref="AK174">
    <cfRule type="cellIs" dxfId="664" priority="142431" stopIfTrue="1" operator="equal">
      <formula>"En cours"</formula>
    </cfRule>
  </conditionalFormatting>
  <conditionalFormatting sqref="AK174">
    <cfRule type="cellIs" dxfId="663" priority="142432" stopIfTrue="1" operator="notEqual">
      <formula>"En cours"</formula>
    </cfRule>
  </conditionalFormatting>
  <conditionalFormatting sqref="AJ86">
    <cfRule type="cellIs" dxfId="662" priority="142433" stopIfTrue="1" operator="equal">
      <formula>"En cours"</formula>
    </cfRule>
  </conditionalFormatting>
  <conditionalFormatting sqref="AJ86">
    <cfRule type="cellIs" dxfId="661" priority="142434" stopIfTrue="1" operator="notEqual">
      <formula>"En cours"</formula>
    </cfRule>
  </conditionalFormatting>
  <conditionalFormatting sqref="AK86">
    <cfRule type="cellIs" dxfId="660" priority="142435" stopIfTrue="1" operator="equal">
      <formula>"En cours"</formula>
    </cfRule>
  </conditionalFormatting>
  <conditionalFormatting sqref="AK86">
    <cfRule type="cellIs" dxfId="659" priority="142436" stopIfTrue="1" operator="notEqual">
      <formula>"En cours"</formula>
    </cfRule>
  </conditionalFormatting>
  <conditionalFormatting sqref="AJ146">
    <cfRule type="cellIs" dxfId="658" priority="142437" stopIfTrue="1" operator="equal">
      <formula>"En cours"</formula>
    </cfRule>
  </conditionalFormatting>
  <conditionalFormatting sqref="AJ146">
    <cfRule type="cellIs" dxfId="657" priority="142438" stopIfTrue="1" operator="notEqual">
      <formula>"En cours"</formula>
    </cfRule>
  </conditionalFormatting>
  <conditionalFormatting sqref="AK146">
    <cfRule type="cellIs" dxfId="656" priority="142439" stopIfTrue="1" operator="equal">
      <formula>"En cours"</formula>
    </cfRule>
  </conditionalFormatting>
  <conditionalFormatting sqref="AK146">
    <cfRule type="cellIs" dxfId="655" priority="142440" stopIfTrue="1" operator="notEqual">
      <formula>"En cours"</formula>
    </cfRule>
  </conditionalFormatting>
  <conditionalFormatting sqref="AJ87">
    <cfRule type="cellIs" dxfId="654" priority="142445" stopIfTrue="1" operator="equal">
      <formula>"En cours"</formula>
    </cfRule>
  </conditionalFormatting>
  <conditionalFormatting sqref="AJ87">
    <cfRule type="cellIs" dxfId="653" priority="142446" stopIfTrue="1" operator="notEqual">
      <formula>"En cours"</formula>
    </cfRule>
  </conditionalFormatting>
  <conditionalFormatting sqref="AK87">
    <cfRule type="cellIs" dxfId="652" priority="142447" stopIfTrue="1" operator="equal">
      <formula>"En cours"</formula>
    </cfRule>
  </conditionalFormatting>
  <conditionalFormatting sqref="AK87">
    <cfRule type="cellIs" dxfId="651" priority="142448" stopIfTrue="1" operator="notEqual">
      <formula>"En cours"</formula>
    </cfRule>
  </conditionalFormatting>
  <conditionalFormatting sqref="AJ168">
    <cfRule type="cellIs" dxfId="650" priority="142453" stopIfTrue="1" operator="equal">
      <formula>"En cours"</formula>
    </cfRule>
  </conditionalFormatting>
  <conditionalFormatting sqref="AJ168">
    <cfRule type="cellIs" dxfId="649" priority="142454" stopIfTrue="1" operator="notEqual">
      <formula>"En cours"</formula>
    </cfRule>
  </conditionalFormatting>
  <conditionalFormatting sqref="AK168">
    <cfRule type="cellIs" dxfId="648" priority="142455" stopIfTrue="1" operator="equal">
      <formula>"En cours"</formula>
    </cfRule>
  </conditionalFormatting>
  <conditionalFormatting sqref="AK168">
    <cfRule type="cellIs" dxfId="647" priority="142456" stopIfTrue="1" operator="notEqual">
      <formula>"En cours"</formula>
    </cfRule>
  </conditionalFormatting>
  <conditionalFormatting sqref="AJ144">
    <cfRule type="cellIs" dxfId="646" priority="142465" stopIfTrue="1" operator="equal">
      <formula>"En cours"</formula>
    </cfRule>
  </conditionalFormatting>
  <conditionalFormatting sqref="AJ144">
    <cfRule type="cellIs" dxfId="645" priority="142466" stopIfTrue="1" operator="notEqual">
      <formula>"En cours"</formula>
    </cfRule>
  </conditionalFormatting>
  <conditionalFormatting sqref="AK144">
    <cfRule type="cellIs" dxfId="644" priority="142467" stopIfTrue="1" operator="equal">
      <formula>"En cours"</formula>
    </cfRule>
  </conditionalFormatting>
  <conditionalFormatting sqref="AK144">
    <cfRule type="cellIs" dxfId="643" priority="142468" stopIfTrue="1" operator="notEqual">
      <formula>"En cours"</formula>
    </cfRule>
  </conditionalFormatting>
  <conditionalFormatting sqref="AJ99">
    <cfRule type="cellIs" dxfId="642" priority="142473" stopIfTrue="1" operator="equal">
      <formula>"En cours"</formula>
    </cfRule>
  </conditionalFormatting>
  <conditionalFormatting sqref="AJ99">
    <cfRule type="cellIs" dxfId="641" priority="142474" stopIfTrue="1" operator="notEqual">
      <formula>"En cours"</formula>
    </cfRule>
  </conditionalFormatting>
  <conditionalFormatting sqref="AK99">
    <cfRule type="cellIs" dxfId="640" priority="142475" stopIfTrue="1" operator="equal">
      <formula>"En cours"</formula>
    </cfRule>
  </conditionalFormatting>
  <conditionalFormatting sqref="AK99">
    <cfRule type="cellIs" dxfId="639" priority="142476" stopIfTrue="1" operator="notEqual">
      <formula>"En cours"</formula>
    </cfRule>
  </conditionalFormatting>
  <conditionalFormatting sqref="AJ90">
    <cfRule type="cellIs" dxfId="638" priority="142477" stopIfTrue="1" operator="equal">
      <formula>"En cours"</formula>
    </cfRule>
  </conditionalFormatting>
  <conditionalFormatting sqref="AJ90">
    <cfRule type="cellIs" dxfId="637" priority="142478" stopIfTrue="1" operator="notEqual">
      <formula>"En cours"</formula>
    </cfRule>
  </conditionalFormatting>
  <conditionalFormatting sqref="AK90">
    <cfRule type="cellIs" dxfId="636" priority="142479" stopIfTrue="1" operator="equal">
      <formula>"En cours"</formula>
    </cfRule>
  </conditionalFormatting>
  <conditionalFormatting sqref="AK90">
    <cfRule type="cellIs" dxfId="635" priority="142480" stopIfTrue="1" operator="notEqual">
      <formula>"En cours"</formula>
    </cfRule>
  </conditionalFormatting>
  <conditionalFormatting sqref="AJ141">
    <cfRule type="cellIs" dxfId="634" priority="142481" stopIfTrue="1" operator="equal">
      <formula>"En cours"</formula>
    </cfRule>
  </conditionalFormatting>
  <conditionalFormatting sqref="AJ141">
    <cfRule type="cellIs" dxfId="633" priority="142482" stopIfTrue="1" operator="notEqual">
      <formula>"En cours"</formula>
    </cfRule>
  </conditionalFormatting>
  <conditionalFormatting sqref="AK141">
    <cfRule type="cellIs" dxfId="632" priority="142483" stopIfTrue="1" operator="equal">
      <formula>"En cours"</formula>
    </cfRule>
  </conditionalFormatting>
  <conditionalFormatting sqref="AK141">
    <cfRule type="cellIs" dxfId="631" priority="142484" stopIfTrue="1" operator="notEqual">
      <formula>"En cours"</formula>
    </cfRule>
  </conditionalFormatting>
  <conditionalFormatting sqref="AJ85">
    <cfRule type="cellIs" dxfId="630" priority="142485" stopIfTrue="1" operator="equal">
      <formula>"En cours"</formula>
    </cfRule>
  </conditionalFormatting>
  <conditionalFormatting sqref="AJ85">
    <cfRule type="cellIs" dxfId="629" priority="142486" stopIfTrue="1" operator="notEqual">
      <formula>"En cours"</formula>
    </cfRule>
  </conditionalFormatting>
  <conditionalFormatting sqref="AK85">
    <cfRule type="cellIs" dxfId="628" priority="142487" stopIfTrue="1" operator="equal">
      <formula>"En cours"</formula>
    </cfRule>
  </conditionalFormatting>
  <conditionalFormatting sqref="AK85">
    <cfRule type="cellIs" dxfId="627" priority="142488" stopIfTrue="1" operator="notEqual">
      <formula>"En cours"</formula>
    </cfRule>
  </conditionalFormatting>
  <conditionalFormatting sqref="AJ91">
    <cfRule type="cellIs" dxfId="626" priority="142501" stopIfTrue="1" operator="equal">
      <formula>"En cours"</formula>
    </cfRule>
  </conditionalFormatting>
  <conditionalFormatting sqref="AJ91">
    <cfRule type="cellIs" dxfId="625" priority="142502" stopIfTrue="1" operator="notEqual">
      <formula>"En cours"</formula>
    </cfRule>
  </conditionalFormatting>
  <conditionalFormatting sqref="AK91">
    <cfRule type="cellIs" dxfId="624" priority="142503" stopIfTrue="1" operator="equal">
      <formula>"En cours"</formula>
    </cfRule>
  </conditionalFormatting>
  <conditionalFormatting sqref="AK91">
    <cfRule type="cellIs" dxfId="623" priority="142504" stopIfTrue="1" operator="notEqual">
      <formula>"En cours"</formula>
    </cfRule>
  </conditionalFormatting>
  <conditionalFormatting sqref="AJ92">
    <cfRule type="cellIs" dxfId="622" priority="142509" stopIfTrue="1" operator="equal">
      <formula>"En cours"</formula>
    </cfRule>
  </conditionalFormatting>
  <conditionalFormatting sqref="AJ92">
    <cfRule type="cellIs" dxfId="621" priority="142510" stopIfTrue="1" operator="notEqual">
      <formula>"En cours"</formula>
    </cfRule>
  </conditionalFormatting>
  <conditionalFormatting sqref="AK92">
    <cfRule type="cellIs" dxfId="620" priority="142511" stopIfTrue="1" operator="equal">
      <formula>"En cours"</formula>
    </cfRule>
  </conditionalFormatting>
  <conditionalFormatting sqref="AK92">
    <cfRule type="cellIs" dxfId="619" priority="142512" stopIfTrue="1" operator="notEqual">
      <formula>"En cours"</formula>
    </cfRule>
  </conditionalFormatting>
  <conditionalFormatting sqref="AJ95">
    <cfRule type="cellIs" dxfId="618" priority="142521" stopIfTrue="1" operator="equal">
      <formula>"En cours"</formula>
    </cfRule>
  </conditionalFormatting>
  <conditionalFormatting sqref="AJ95">
    <cfRule type="cellIs" dxfId="617" priority="142522" stopIfTrue="1" operator="notEqual">
      <formula>"En cours"</formula>
    </cfRule>
  </conditionalFormatting>
  <conditionalFormatting sqref="AK95">
    <cfRule type="cellIs" dxfId="616" priority="142523" stopIfTrue="1" operator="equal">
      <formula>"En cours"</formula>
    </cfRule>
  </conditionalFormatting>
  <conditionalFormatting sqref="AK95">
    <cfRule type="cellIs" dxfId="615" priority="142524" stopIfTrue="1" operator="notEqual">
      <formula>"En cours"</formula>
    </cfRule>
  </conditionalFormatting>
  <conditionalFormatting sqref="AJ178">
    <cfRule type="cellIs" dxfId="614" priority="142525" stopIfTrue="1" operator="equal">
      <formula>"En cours"</formula>
    </cfRule>
  </conditionalFormatting>
  <conditionalFormatting sqref="AJ178">
    <cfRule type="cellIs" dxfId="613" priority="142526" stopIfTrue="1" operator="notEqual">
      <formula>"En cours"</formula>
    </cfRule>
  </conditionalFormatting>
  <conditionalFormatting sqref="AK178">
    <cfRule type="cellIs" dxfId="612" priority="142527" stopIfTrue="1" operator="equal">
      <formula>"En cours"</formula>
    </cfRule>
  </conditionalFormatting>
  <conditionalFormatting sqref="AK178">
    <cfRule type="cellIs" dxfId="611" priority="142528" stopIfTrue="1" operator="notEqual">
      <formula>"En cours"</formula>
    </cfRule>
  </conditionalFormatting>
  <conditionalFormatting sqref="AJ122">
    <cfRule type="cellIs" dxfId="610" priority="142529" stopIfTrue="1" operator="equal">
      <formula>"En cours"</formula>
    </cfRule>
  </conditionalFormatting>
  <conditionalFormatting sqref="AJ122">
    <cfRule type="cellIs" dxfId="609" priority="142530" stopIfTrue="1" operator="notEqual">
      <formula>"En cours"</formula>
    </cfRule>
  </conditionalFormatting>
  <conditionalFormatting sqref="AK122">
    <cfRule type="cellIs" dxfId="608" priority="142531" stopIfTrue="1" operator="equal">
      <formula>"En cours"</formula>
    </cfRule>
  </conditionalFormatting>
  <conditionalFormatting sqref="AK122">
    <cfRule type="cellIs" dxfId="607" priority="142532" stopIfTrue="1" operator="notEqual">
      <formula>"En cours"</formula>
    </cfRule>
  </conditionalFormatting>
  <conditionalFormatting sqref="AJ147">
    <cfRule type="cellIs" dxfId="606" priority="142537" stopIfTrue="1" operator="equal">
      <formula>"En cours"</formula>
    </cfRule>
  </conditionalFormatting>
  <conditionalFormatting sqref="AJ147">
    <cfRule type="cellIs" dxfId="605" priority="142538" stopIfTrue="1" operator="notEqual">
      <formula>"En cours"</formula>
    </cfRule>
  </conditionalFormatting>
  <conditionalFormatting sqref="AK147">
    <cfRule type="cellIs" dxfId="604" priority="142539" stopIfTrue="1" operator="equal">
      <formula>"En cours"</formula>
    </cfRule>
  </conditionalFormatting>
  <conditionalFormatting sqref="AK147">
    <cfRule type="cellIs" dxfId="603" priority="142540" stopIfTrue="1" operator="notEqual">
      <formula>"En cours"</formula>
    </cfRule>
  </conditionalFormatting>
  <conditionalFormatting sqref="AJ94">
    <cfRule type="cellIs" dxfId="602" priority="142565" stopIfTrue="1" operator="equal">
      <formula>"En cours"</formula>
    </cfRule>
  </conditionalFormatting>
  <conditionalFormatting sqref="AJ94">
    <cfRule type="cellIs" dxfId="601" priority="142566" stopIfTrue="1" operator="notEqual">
      <formula>"En cours"</formula>
    </cfRule>
  </conditionalFormatting>
  <conditionalFormatting sqref="AK94">
    <cfRule type="cellIs" dxfId="600" priority="142567" stopIfTrue="1" operator="equal">
      <formula>"En cours"</formula>
    </cfRule>
  </conditionalFormatting>
  <conditionalFormatting sqref="AK94">
    <cfRule type="cellIs" dxfId="599" priority="142568" stopIfTrue="1" operator="notEqual">
      <formula>"En cours"</formula>
    </cfRule>
  </conditionalFormatting>
  <conditionalFormatting sqref="AJ179">
    <cfRule type="cellIs" dxfId="598" priority="142577" stopIfTrue="1" operator="equal">
      <formula>"En cours"</formula>
    </cfRule>
  </conditionalFormatting>
  <conditionalFormatting sqref="AJ179">
    <cfRule type="cellIs" dxfId="597" priority="142578" stopIfTrue="1" operator="notEqual">
      <formula>"En cours"</formula>
    </cfRule>
  </conditionalFormatting>
  <conditionalFormatting sqref="AK179">
    <cfRule type="cellIs" dxfId="596" priority="142579" stopIfTrue="1" operator="equal">
      <formula>"En cours"</formula>
    </cfRule>
  </conditionalFormatting>
  <conditionalFormatting sqref="AK179">
    <cfRule type="cellIs" dxfId="595" priority="142580" stopIfTrue="1" operator="notEqual">
      <formula>"En cours"</formula>
    </cfRule>
  </conditionalFormatting>
  <conditionalFormatting sqref="AJ155">
    <cfRule type="cellIs" dxfId="594" priority="142589" stopIfTrue="1" operator="equal">
      <formula>"En cours"</formula>
    </cfRule>
  </conditionalFormatting>
  <conditionalFormatting sqref="AJ155">
    <cfRule type="cellIs" dxfId="593" priority="142590" stopIfTrue="1" operator="notEqual">
      <formula>"En cours"</formula>
    </cfRule>
  </conditionalFormatting>
  <conditionalFormatting sqref="AK155">
    <cfRule type="cellIs" dxfId="592" priority="142591" stopIfTrue="1" operator="equal">
      <formula>"En cours"</formula>
    </cfRule>
  </conditionalFormatting>
  <conditionalFormatting sqref="AK155">
    <cfRule type="cellIs" dxfId="591" priority="142592" stopIfTrue="1" operator="notEqual">
      <formula>"En cours"</formula>
    </cfRule>
  </conditionalFormatting>
  <conditionalFormatting sqref="AJ102">
    <cfRule type="cellIs" dxfId="590" priority="142597" stopIfTrue="1" operator="equal">
      <formula>"En cours"</formula>
    </cfRule>
  </conditionalFormatting>
  <conditionalFormatting sqref="AJ102">
    <cfRule type="cellIs" dxfId="589" priority="142598" stopIfTrue="1" operator="notEqual">
      <formula>"En cours"</formula>
    </cfRule>
  </conditionalFormatting>
  <conditionalFormatting sqref="AK102">
    <cfRule type="cellIs" dxfId="588" priority="142599" stopIfTrue="1" operator="equal">
      <formula>"En cours"</formula>
    </cfRule>
  </conditionalFormatting>
  <conditionalFormatting sqref="AK102">
    <cfRule type="cellIs" dxfId="587" priority="142600" stopIfTrue="1" operator="notEqual">
      <formula>"En cours"</formula>
    </cfRule>
  </conditionalFormatting>
  <conditionalFormatting sqref="AJ175">
    <cfRule type="cellIs" dxfId="586" priority="142605" stopIfTrue="1" operator="equal">
      <formula>"En cours"</formula>
    </cfRule>
    <cfRule type="cellIs" dxfId="585" priority="142606" stopIfTrue="1" operator="notEqual">
      <formula>"En cours"</formula>
    </cfRule>
  </conditionalFormatting>
  <conditionalFormatting sqref="AK175">
    <cfRule type="cellIs" dxfId="584" priority="142607" stopIfTrue="1" operator="equal">
      <formula>"En cours"</formula>
    </cfRule>
    <cfRule type="cellIs" dxfId="583" priority="142608" stopIfTrue="1" operator="notEqual">
      <formula>"En cours"</formula>
    </cfRule>
  </conditionalFormatting>
  <conditionalFormatting sqref="AJ176">
    <cfRule type="cellIs" dxfId="582" priority="142609" stopIfTrue="1" operator="equal">
      <formula>"En cours"</formula>
    </cfRule>
    <cfRule type="cellIs" dxfId="581" priority="142610" stopIfTrue="1" operator="notEqual">
      <formula>"En cours"</formula>
    </cfRule>
  </conditionalFormatting>
  <conditionalFormatting sqref="AK176">
    <cfRule type="cellIs" dxfId="580" priority="142611" stopIfTrue="1" operator="equal">
      <formula>"En cours"</formula>
    </cfRule>
    <cfRule type="cellIs" dxfId="579" priority="142612" stopIfTrue="1" operator="notEqual">
      <formula>"En cours"</formula>
    </cfRule>
  </conditionalFormatting>
  <conditionalFormatting sqref="AJ133">
    <cfRule type="cellIs" dxfId="578" priority="142617" stopIfTrue="1" operator="equal">
      <formula>"En cours"</formula>
    </cfRule>
  </conditionalFormatting>
  <conditionalFormatting sqref="AJ133">
    <cfRule type="cellIs" dxfId="577" priority="142618" stopIfTrue="1" operator="notEqual">
      <formula>"En cours"</formula>
    </cfRule>
  </conditionalFormatting>
  <conditionalFormatting sqref="AK133">
    <cfRule type="cellIs" dxfId="576" priority="142619" stopIfTrue="1" operator="equal">
      <formula>"En cours"</formula>
    </cfRule>
  </conditionalFormatting>
  <conditionalFormatting sqref="AK133">
    <cfRule type="cellIs" dxfId="575" priority="142620" stopIfTrue="1" operator="notEqual">
      <formula>"En cours"</formula>
    </cfRule>
  </conditionalFormatting>
  <conditionalFormatting sqref="AJ158">
    <cfRule type="cellIs" dxfId="574" priority="142621" stopIfTrue="1" operator="equal">
      <formula>"En cours"</formula>
    </cfRule>
  </conditionalFormatting>
  <conditionalFormatting sqref="AJ158">
    <cfRule type="cellIs" dxfId="573" priority="142622" stopIfTrue="1" operator="notEqual">
      <formula>"En cours"</formula>
    </cfRule>
  </conditionalFormatting>
  <conditionalFormatting sqref="AK158">
    <cfRule type="cellIs" dxfId="572" priority="142623" stopIfTrue="1" operator="equal">
      <formula>"En cours"</formula>
    </cfRule>
  </conditionalFormatting>
  <conditionalFormatting sqref="AK158">
    <cfRule type="cellIs" dxfId="571" priority="142624" stopIfTrue="1" operator="notEqual">
      <formula>"En cours"</formula>
    </cfRule>
  </conditionalFormatting>
  <conditionalFormatting sqref="AJ162">
    <cfRule type="cellIs" dxfId="570" priority="142629" stopIfTrue="1" operator="equal">
      <formula>"En cours"</formula>
    </cfRule>
  </conditionalFormatting>
  <conditionalFormatting sqref="AJ162">
    <cfRule type="cellIs" dxfId="569" priority="142630" stopIfTrue="1" operator="notEqual">
      <formula>"En cours"</formula>
    </cfRule>
  </conditionalFormatting>
  <conditionalFormatting sqref="AK162">
    <cfRule type="cellIs" dxfId="568" priority="142631" stopIfTrue="1" operator="equal">
      <formula>"En cours"</formula>
    </cfRule>
  </conditionalFormatting>
  <conditionalFormatting sqref="AK162">
    <cfRule type="cellIs" dxfId="567" priority="142632" stopIfTrue="1" operator="notEqual">
      <formula>"En cours"</formula>
    </cfRule>
  </conditionalFormatting>
  <conditionalFormatting sqref="AJ124">
    <cfRule type="cellIs" dxfId="566" priority="142637" stopIfTrue="1" operator="equal">
      <formula>"En cours"</formula>
    </cfRule>
  </conditionalFormatting>
  <conditionalFormatting sqref="AJ124">
    <cfRule type="cellIs" dxfId="565" priority="142638" stopIfTrue="1" operator="notEqual">
      <formula>"En cours"</formula>
    </cfRule>
  </conditionalFormatting>
  <conditionalFormatting sqref="AK124">
    <cfRule type="cellIs" dxfId="564" priority="142639" stopIfTrue="1" operator="equal">
      <formula>"En cours"</formula>
    </cfRule>
  </conditionalFormatting>
  <conditionalFormatting sqref="AK124">
    <cfRule type="cellIs" dxfId="563" priority="142640" stopIfTrue="1" operator="notEqual">
      <formula>"En cours"</formula>
    </cfRule>
  </conditionalFormatting>
  <conditionalFormatting sqref="AJ117">
    <cfRule type="cellIs" dxfId="562" priority="142649" stopIfTrue="1" operator="equal">
      <formula>"En cours"</formula>
    </cfRule>
  </conditionalFormatting>
  <conditionalFormatting sqref="AJ117">
    <cfRule type="cellIs" dxfId="561" priority="142650" stopIfTrue="1" operator="notEqual">
      <formula>"En cours"</formula>
    </cfRule>
  </conditionalFormatting>
  <conditionalFormatting sqref="AK117">
    <cfRule type="cellIs" dxfId="560" priority="142651" stopIfTrue="1" operator="equal">
      <formula>"En cours"</formula>
    </cfRule>
  </conditionalFormatting>
  <conditionalFormatting sqref="AK117">
    <cfRule type="cellIs" dxfId="559" priority="142652" stopIfTrue="1" operator="notEqual">
      <formula>"En cours"</formula>
    </cfRule>
  </conditionalFormatting>
  <conditionalFormatting sqref="AJ110">
    <cfRule type="cellIs" dxfId="558" priority="142657" stopIfTrue="1" operator="equal">
      <formula>"En cours"</formula>
    </cfRule>
  </conditionalFormatting>
  <conditionalFormatting sqref="AJ110">
    <cfRule type="cellIs" dxfId="557" priority="142658" stopIfTrue="1" operator="notEqual">
      <formula>"En cours"</formula>
    </cfRule>
  </conditionalFormatting>
  <conditionalFormatting sqref="AK110">
    <cfRule type="cellIs" dxfId="556" priority="142659" stopIfTrue="1" operator="equal">
      <formula>"En cours"</formula>
    </cfRule>
  </conditionalFormatting>
  <conditionalFormatting sqref="AK110">
    <cfRule type="cellIs" dxfId="555" priority="142660" stopIfTrue="1" operator="notEqual">
      <formula>"En cours"</formula>
    </cfRule>
  </conditionalFormatting>
  <conditionalFormatting sqref="AJ153">
    <cfRule type="cellIs" dxfId="554" priority="142661" stopIfTrue="1" operator="equal">
      <formula>"En cours"</formula>
    </cfRule>
  </conditionalFormatting>
  <conditionalFormatting sqref="AJ153">
    <cfRule type="cellIs" dxfId="553" priority="142662" stopIfTrue="1" operator="notEqual">
      <formula>"En cours"</formula>
    </cfRule>
  </conditionalFormatting>
  <conditionalFormatting sqref="AK153">
    <cfRule type="cellIs" dxfId="552" priority="142663" stopIfTrue="1" operator="equal">
      <formula>"En cours"</formula>
    </cfRule>
  </conditionalFormatting>
  <conditionalFormatting sqref="AK153">
    <cfRule type="cellIs" dxfId="551" priority="142664" stopIfTrue="1" operator="notEqual">
      <formula>"En cours"</formula>
    </cfRule>
  </conditionalFormatting>
  <conditionalFormatting sqref="AJ132">
    <cfRule type="cellIs" dxfId="550" priority="142665" stopIfTrue="1" operator="equal">
      <formula>"En cours"</formula>
    </cfRule>
  </conditionalFormatting>
  <conditionalFormatting sqref="AJ132">
    <cfRule type="cellIs" dxfId="549" priority="142666" stopIfTrue="1" operator="notEqual">
      <formula>"En cours"</formula>
    </cfRule>
  </conditionalFormatting>
  <conditionalFormatting sqref="AK132">
    <cfRule type="cellIs" dxfId="548" priority="142667" stopIfTrue="1" operator="equal">
      <formula>"En cours"</formula>
    </cfRule>
  </conditionalFormatting>
  <conditionalFormatting sqref="AK132">
    <cfRule type="cellIs" dxfId="547" priority="142668" stopIfTrue="1" operator="notEqual">
      <formula>"En cours"</formula>
    </cfRule>
  </conditionalFormatting>
  <conditionalFormatting sqref="AJ127">
    <cfRule type="cellIs" dxfId="546" priority="142669" stopIfTrue="1" operator="equal">
      <formula>"En cours"</formula>
    </cfRule>
  </conditionalFormatting>
  <conditionalFormatting sqref="AJ127">
    <cfRule type="cellIs" dxfId="545" priority="142670" stopIfTrue="1" operator="notEqual">
      <formula>"En cours"</formula>
    </cfRule>
  </conditionalFormatting>
  <conditionalFormatting sqref="AK127">
    <cfRule type="cellIs" dxfId="544" priority="142671" stopIfTrue="1" operator="equal">
      <formula>"En cours"</formula>
    </cfRule>
  </conditionalFormatting>
  <conditionalFormatting sqref="AK127">
    <cfRule type="cellIs" dxfId="543" priority="142672" stopIfTrue="1" operator="notEqual">
      <formula>"En cours"</formula>
    </cfRule>
  </conditionalFormatting>
  <conditionalFormatting sqref="AJ131">
    <cfRule type="cellIs" dxfId="542" priority="142673" stopIfTrue="1" operator="equal">
      <formula>"En cours"</formula>
    </cfRule>
  </conditionalFormatting>
  <conditionalFormatting sqref="AJ131">
    <cfRule type="cellIs" dxfId="541" priority="142674" stopIfTrue="1" operator="notEqual">
      <formula>"En cours"</formula>
    </cfRule>
  </conditionalFormatting>
  <conditionalFormatting sqref="AK131">
    <cfRule type="cellIs" dxfId="540" priority="142675" stopIfTrue="1" operator="equal">
      <formula>"En cours"</formula>
    </cfRule>
  </conditionalFormatting>
  <conditionalFormatting sqref="AK131">
    <cfRule type="cellIs" dxfId="539" priority="142676" stopIfTrue="1" operator="notEqual">
      <formula>"En cours"</formula>
    </cfRule>
  </conditionalFormatting>
  <conditionalFormatting sqref="AJ113">
    <cfRule type="cellIs" dxfId="538" priority="142689" stopIfTrue="1" operator="equal">
      <formula>"En cours"</formula>
    </cfRule>
  </conditionalFormatting>
  <conditionalFormatting sqref="AJ113">
    <cfRule type="cellIs" dxfId="537" priority="142690" stopIfTrue="1" operator="notEqual">
      <formula>"En cours"</formula>
    </cfRule>
  </conditionalFormatting>
  <conditionalFormatting sqref="AK113">
    <cfRule type="cellIs" dxfId="536" priority="142691" stopIfTrue="1" operator="equal">
      <formula>"En cours"</formula>
    </cfRule>
  </conditionalFormatting>
  <conditionalFormatting sqref="AK113">
    <cfRule type="cellIs" dxfId="535" priority="142692" stopIfTrue="1" operator="notEqual">
      <formula>"En cours"</formula>
    </cfRule>
  </conditionalFormatting>
  <conditionalFormatting sqref="AJ112">
    <cfRule type="cellIs" dxfId="534" priority="142697" stopIfTrue="1" operator="equal">
      <formula>"En cours"</formula>
    </cfRule>
  </conditionalFormatting>
  <conditionalFormatting sqref="AJ112">
    <cfRule type="cellIs" dxfId="533" priority="142698" stopIfTrue="1" operator="notEqual">
      <formula>"En cours"</formula>
    </cfRule>
  </conditionalFormatting>
  <conditionalFormatting sqref="AK112">
    <cfRule type="cellIs" dxfId="532" priority="142699" stopIfTrue="1" operator="equal">
      <formula>"En cours"</formula>
    </cfRule>
  </conditionalFormatting>
  <conditionalFormatting sqref="AK112">
    <cfRule type="cellIs" dxfId="531" priority="142700" stopIfTrue="1" operator="notEqual">
      <formula>"En cours"</formula>
    </cfRule>
  </conditionalFormatting>
  <conditionalFormatting sqref="AJ118">
    <cfRule type="cellIs" dxfId="530" priority="142705" stopIfTrue="1" operator="equal">
      <formula>"En cours"</formula>
    </cfRule>
  </conditionalFormatting>
  <conditionalFormatting sqref="AJ118">
    <cfRule type="cellIs" dxfId="529" priority="142706" stopIfTrue="1" operator="notEqual">
      <formula>"En cours"</formula>
    </cfRule>
  </conditionalFormatting>
  <conditionalFormatting sqref="AK118">
    <cfRule type="cellIs" dxfId="528" priority="142707" stopIfTrue="1" operator="equal">
      <formula>"En cours"</formula>
    </cfRule>
  </conditionalFormatting>
  <conditionalFormatting sqref="AK118">
    <cfRule type="cellIs" dxfId="527" priority="142708" stopIfTrue="1" operator="notEqual">
      <formula>"En cours"</formula>
    </cfRule>
  </conditionalFormatting>
  <conditionalFormatting sqref="AJ180">
    <cfRule type="cellIs" dxfId="526" priority="142721" stopIfTrue="1" operator="equal">
      <formula>"En cours"</formula>
    </cfRule>
  </conditionalFormatting>
  <conditionalFormatting sqref="AJ180">
    <cfRule type="cellIs" dxfId="525" priority="142722" stopIfTrue="1" operator="notEqual">
      <formula>"En cours"</formula>
    </cfRule>
  </conditionalFormatting>
  <conditionalFormatting sqref="AK180">
    <cfRule type="cellIs" dxfId="524" priority="142723" stopIfTrue="1" operator="equal">
      <formula>"En cours"</formula>
    </cfRule>
  </conditionalFormatting>
  <conditionalFormatting sqref="AK180">
    <cfRule type="cellIs" dxfId="523" priority="142724" stopIfTrue="1" operator="notEqual">
      <formula>"En cours"</formula>
    </cfRule>
  </conditionalFormatting>
  <conditionalFormatting sqref="AJ108">
    <cfRule type="cellIs" dxfId="522" priority="142729" stopIfTrue="1" operator="equal">
      <formula>"En cours"</formula>
    </cfRule>
  </conditionalFormatting>
  <conditionalFormatting sqref="AJ108">
    <cfRule type="cellIs" dxfId="521" priority="142730" stopIfTrue="1" operator="notEqual">
      <formula>"En cours"</formula>
    </cfRule>
  </conditionalFormatting>
  <conditionalFormatting sqref="AK108">
    <cfRule type="cellIs" dxfId="520" priority="142731" stopIfTrue="1" operator="equal">
      <formula>"En cours"</formula>
    </cfRule>
  </conditionalFormatting>
  <conditionalFormatting sqref="AK108">
    <cfRule type="cellIs" dxfId="519" priority="142732" stopIfTrue="1" operator="notEqual">
      <formula>"En cours"</formula>
    </cfRule>
  </conditionalFormatting>
  <conditionalFormatting sqref="AJ130">
    <cfRule type="cellIs" dxfId="518" priority="142733" stopIfTrue="1" operator="equal">
      <formula>"En cours"</formula>
    </cfRule>
  </conditionalFormatting>
  <conditionalFormatting sqref="AJ130">
    <cfRule type="cellIs" dxfId="517" priority="142734" stopIfTrue="1" operator="notEqual">
      <formula>"En cours"</formula>
    </cfRule>
  </conditionalFormatting>
  <conditionalFormatting sqref="AK130">
    <cfRule type="cellIs" dxfId="516" priority="142735" stopIfTrue="1" operator="equal">
      <formula>"En cours"</formula>
    </cfRule>
  </conditionalFormatting>
  <conditionalFormatting sqref="AK130">
    <cfRule type="cellIs" dxfId="515" priority="142736" stopIfTrue="1" operator="notEqual">
      <formula>"En cours"</formula>
    </cfRule>
  </conditionalFormatting>
  <conditionalFormatting sqref="AJ135">
    <cfRule type="cellIs" dxfId="514" priority="142737" stopIfTrue="1" operator="equal">
      <formula>"En cours"</formula>
    </cfRule>
  </conditionalFormatting>
  <conditionalFormatting sqref="AJ135">
    <cfRule type="cellIs" dxfId="513" priority="142738" stopIfTrue="1" operator="notEqual">
      <formula>"En cours"</formula>
    </cfRule>
  </conditionalFormatting>
  <conditionalFormatting sqref="AK135">
    <cfRule type="cellIs" dxfId="512" priority="142739" stopIfTrue="1" operator="equal">
      <formula>"En cours"</formula>
    </cfRule>
  </conditionalFormatting>
  <conditionalFormatting sqref="AK135">
    <cfRule type="cellIs" dxfId="511" priority="142740" stopIfTrue="1" operator="notEqual">
      <formula>"En cours"</formula>
    </cfRule>
  </conditionalFormatting>
  <conditionalFormatting sqref="AJ4">
    <cfRule type="cellIs" dxfId="510" priority="147181" stopIfTrue="1" operator="equal">
      <formula>"En cours"</formula>
    </cfRule>
  </conditionalFormatting>
  <conditionalFormatting sqref="AJ4">
    <cfRule type="cellIs" dxfId="509" priority="147182" stopIfTrue="1" operator="notEqual">
      <formula>"En cours"</formula>
    </cfRule>
  </conditionalFormatting>
  <conditionalFormatting sqref="AK4">
    <cfRule type="cellIs" dxfId="508" priority="147183" stopIfTrue="1" operator="equal">
      <formula>"En cours"</formula>
    </cfRule>
  </conditionalFormatting>
  <conditionalFormatting sqref="AK4">
    <cfRule type="cellIs" dxfId="507" priority="147184" stopIfTrue="1" operator="notEqual">
      <formula>"En cours"</formula>
    </cfRule>
  </conditionalFormatting>
  <conditionalFormatting sqref="AJ7">
    <cfRule type="cellIs" dxfId="506" priority="147185" stopIfTrue="1" operator="equal">
      <formula>"En cours"</formula>
    </cfRule>
  </conditionalFormatting>
  <conditionalFormatting sqref="AJ7">
    <cfRule type="cellIs" dxfId="505" priority="147186" stopIfTrue="1" operator="notEqual">
      <formula>"En cours"</formula>
    </cfRule>
  </conditionalFormatting>
  <conditionalFormatting sqref="AK7">
    <cfRule type="cellIs" dxfId="504" priority="147187" stopIfTrue="1" operator="equal">
      <formula>"En cours"</formula>
    </cfRule>
  </conditionalFormatting>
  <conditionalFormatting sqref="AK7">
    <cfRule type="cellIs" dxfId="503" priority="147188" stopIfTrue="1" operator="notEqual">
      <formula>"En cours"</formula>
    </cfRule>
  </conditionalFormatting>
  <conditionalFormatting sqref="AJ10">
    <cfRule type="cellIs" dxfId="502" priority="147189" stopIfTrue="1" operator="equal">
      <formula>"En cours"</formula>
    </cfRule>
  </conditionalFormatting>
  <conditionalFormatting sqref="AJ10">
    <cfRule type="cellIs" dxfId="501" priority="147190" stopIfTrue="1" operator="notEqual">
      <formula>"En cours"</formula>
    </cfRule>
  </conditionalFormatting>
  <conditionalFormatting sqref="AK10">
    <cfRule type="cellIs" dxfId="500" priority="147191" stopIfTrue="1" operator="equal">
      <formula>"En cours"</formula>
    </cfRule>
  </conditionalFormatting>
  <conditionalFormatting sqref="AK10">
    <cfRule type="cellIs" dxfId="499" priority="147192" stopIfTrue="1" operator="notEqual">
      <formula>"En cours"</formula>
    </cfRule>
  </conditionalFormatting>
  <conditionalFormatting sqref="AJ8">
    <cfRule type="cellIs" dxfId="498" priority="147193" stopIfTrue="1" operator="equal">
      <formula>"En cours"</formula>
    </cfRule>
  </conditionalFormatting>
  <conditionalFormatting sqref="AJ8">
    <cfRule type="cellIs" dxfId="497" priority="147194" stopIfTrue="1" operator="notEqual">
      <formula>"En cours"</formula>
    </cfRule>
  </conditionalFormatting>
  <conditionalFormatting sqref="AK8">
    <cfRule type="cellIs" dxfId="496" priority="147195" stopIfTrue="1" operator="equal">
      <formula>"En cours"</formula>
    </cfRule>
  </conditionalFormatting>
  <conditionalFormatting sqref="AK8">
    <cfRule type="cellIs" dxfId="495" priority="147196" stopIfTrue="1" operator="notEqual">
      <formula>"En cours"</formula>
    </cfRule>
  </conditionalFormatting>
  <conditionalFormatting sqref="AJ5">
    <cfRule type="cellIs" dxfId="494" priority="147197" stopIfTrue="1" operator="equal">
      <formula>"En cours"</formula>
    </cfRule>
  </conditionalFormatting>
  <conditionalFormatting sqref="AJ5">
    <cfRule type="cellIs" dxfId="493" priority="147198" stopIfTrue="1" operator="notEqual">
      <formula>"En cours"</formula>
    </cfRule>
  </conditionalFormatting>
  <conditionalFormatting sqref="AK5">
    <cfRule type="cellIs" dxfId="492" priority="147199" stopIfTrue="1" operator="equal">
      <formula>"En cours"</formula>
    </cfRule>
  </conditionalFormatting>
  <conditionalFormatting sqref="AK5">
    <cfRule type="cellIs" dxfId="491" priority="147200" stopIfTrue="1" operator="notEqual">
      <formula>"En cours"</formula>
    </cfRule>
  </conditionalFormatting>
  <conditionalFormatting sqref="AJ6">
    <cfRule type="cellIs" dxfId="490" priority="147201" stopIfTrue="1" operator="equal">
      <formula>"En cours"</formula>
    </cfRule>
  </conditionalFormatting>
  <conditionalFormatting sqref="AJ6">
    <cfRule type="cellIs" dxfId="489" priority="147202" stopIfTrue="1" operator="notEqual">
      <formula>"En cours"</formula>
    </cfRule>
  </conditionalFormatting>
  <conditionalFormatting sqref="AK6">
    <cfRule type="cellIs" dxfId="488" priority="147203" stopIfTrue="1" operator="equal">
      <formula>"En cours"</formula>
    </cfRule>
  </conditionalFormatting>
  <conditionalFormatting sqref="AK6">
    <cfRule type="cellIs" dxfId="487" priority="147204" stopIfTrue="1" operator="notEqual">
      <formula>"En cours"</formula>
    </cfRule>
  </conditionalFormatting>
  <conditionalFormatting sqref="AJ20">
    <cfRule type="cellIs" dxfId="486" priority="147205" stopIfTrue="1" operator="equal">
      <formula>"En cours"</formula>
    </cfRule>
  </conditionalFormatting>
  <conditionalFormatting sqref="AJ20">
    <cfRule type="cellIs" dxfId="485" priority="147206" stopIfTrue="1" operator="notEqual">
      <formula>"En cours"</formula>
    </cfRule>
  </conditionalFormatting>
  <conditionalFormatting sqref="AK20">
    <cfRule type="cellIs" dxfId="484" priority="147207" stopIfTrue="1" operator="equal">
      <formula>"En cours"</formula>
    </cfRule>
  </conditionalFormatting>
  <conditionalFormatting sqref="AK20">
    <cfRule type="cellIs" dxfId="483" priority="147208" stopIfTrue="1" operator="notEqual">
      <formula>"En cours"</formula>
    </cfRule>
  </conditionalFormatting>
  <conditionalFormatting sqref="AJ12">
    <cfRule type="cellIs" dxfId="482" priority="147209" stopIfTrue="1" operator="equal">
      <formula>"En cours"</formula>
    </cfRule>
  </conditionalFormatting>
  <conditionalFormatting sqref="AJ12">
    <cfRule type="cellIs" dxfId="481" priority="147210" stopIfTrue="1" operator="notEqual">
      <formula>"En cours"</formula>
    </cfRule>
  </conditionalFormatting>
  <conditionalFormatting sqref="AK12">
    <cfRule type="cellIs" dxfId="480" priority="147211" stopIfTrue="1" operator="equal">
      <formula>"En cours"</formula>
    </cfRule>
  </conditionalFormatting>
  <conditionalFormatting sqref="AK12">
    <cfRule type="cellIs" dxfId="479" priority="147212" stopIfTrue="1" operator="notEqual">
      <formula>"En cours"</formula>
    </cfRule>
  </conditionalFormatting>
  <conditionalFormatting sqref="AJ9">
    <cfRule type="cellIs" dxfId="478" priority="147213" stopIfTrue="1" operator="equal">
      <formula>"En cours"</formula>
    </cfRule>
  </conditionalFormatting>
  <conditionalFormatting sqref="AJ9">
    <cfRule type="cellIs" dxfId="477" priority="147214" stopIfTrue="1" operator="notEqual">
      <formula>"En cours"</formula>
    </cfRule>
  </conditionalFormatting>
  <conditionalFormatting sqref="AK9">
    <cfRule type="cellIs" dxfId="476" priority="147215" stopIfTrue="1" operator="equal">
      <formula>"En cours"</formula>
    </cfRule>
  </conditionalFormatting>
  <conditionalFormatting sqref="AK9">
    <cfRule type="cellIs" dxfId="475" priority="147216" stopIfTrue="1" operator="notEqual">
      <formula>"En cours"</formula>
    </cfRule>
  </conditionalFormatting>
  <conditionalFormatting sqref="AJ16">
    <cfRule type="cellIs" dxfId="474" priority="147217" stopIfTrue="1" operator="equal">
      <formula>"En cours"</formula>
    </cfRule>
  </conditionalFormatting>
  <conditionalFormatting sqref="AJ16">
    <cfRule type="cellIs" dxfId="473" priority="147218" stopIfTrue="1" operator="notEqual">
      <formula>"En cours"</formula>
    </cfRule>
  </conditionalFormatting>
  <conditionalFormatting sqref="AK16">
    <cfRule type="cellIs" dxfId="472" priority="147219" stopIfTrue="1" operator="equal">
      <formula>"En cours"</formula>
    </cfRule>
  </conditionalFormatting>
  <conditionalFormatting sqref="AK16">
    <cfRule type="cellIs" dxfId="471" priority="147220" stopIfTrue="1" operator="notEqual">
      <formula>"En cours"</formula>
    </cfRule>
  </conditionalFormatting>
  <conditionalFormatting sqref="AJ11">
    <cfRule type="cellIs" dxfId="470" priority="147221" stopIfTrue="1" operator="equal">
      <formula>"En cours"</formula>
    </cfRule>
  </conditionalFormatting>
  <conditionalFormatting sqref="AJ11">
    <cfRule type="cellIs" dxfId="469" priority="147222" stopIfTrue="1" operator="notEqual">
      <formula>"En cours"</formula>
    </cfRule>
  </conditionalFormatting>
  <conditionalFormatting sqref="AK11">
    <cfRule type="cellIs" dxfId="468" priority="147223" stopIfTrue="1" operator="equal">
      <formula>"En cours"</formula>
    </cfRule>
  </conditionalFormatting>
  <conditionalFormatting sqref="AK11">
    <cfRule type="cellIs" dxfId="467" priority="147224" stopIfTrue="1" operator="notEqual">
      <formula>"En cours"</formula>
    </cfRule>
  </conditionalFormatting>
  <conditionalFormatting sqref="AJ15">
    <cfRule type="cellIs" dxfId="466" priority="147225" stopIfTrue="1" operator="equal">
      <formula>"En cours"</formula>
    </cfRule>
  </conditionalFormatting>
  <conditionalFormatting sqref="AJ15">
    <cfRule type="cellIs" dxfId="465" priority="147226" stopIfTrue="1" operator="notEqual">
      <formula>"En cours"</formula>
    </cfRule>
  </conditionalFormatting>
  <conditionalFormatting sqref="AK15">
    <cfRule type="cellIs" dxfId="464" priority="147227" stopIfTrue="1" operator="equal">
      <formula>"En cours"</formula>
    </cfRule>
  </conditionalFormatting>
  <conditionalFormatting sqref="AK15">
    <cfRule type="cellIs" dxfId="463" priority="147228" stopIfTrue="1" operator="notEqual">
      <formula>"En cours"</formula>
    </cfRule>
  </conditionalFormatting>
  <conditionalFormatting sqref="AJ13">
    <cfRule type="cellIs" dxfId="462" priority="147229" stopIfTrue="1" operator="equal">
      <formula>"En cours"</formula>
    </cfRule>
  </conditionalFormatting>
  <conditionalFormatting sqref="AJ13">
    <cfRule type="cellIs" dxfId="461" priority="147230" stopIfTrue="1" operator="notEqual">
      <formula>"En cours"</formula>
    </cfRule>
  </conditionalFormatting>
  <conditionalFormatting sqref="AK13">
    <cfRule type="cellIs" dxfId="460" priority="147231" stopIfTrue="1" operator="equal">
      <formula>"En cours"</formula>
    </cfRule>
  </conditionalFormatting>
  <conditionalFormatting sqref="AK13">
    <cfRule type="cellIs" dxfId="459" priority="147232" stopIfTrue="1" operator="notEqual">
      <formula>"En cours"</formula>
    </cfRule>
  </conditionalFormatting>
  <conditionalFormatting sqref="AJ18">
    <cfRule type="cellIs" dxfId="458" priority="147233" stopIfTrue="1" operator="equal">
      <formula>"En cours"</formula>
    </cfRule>
  </conditionalFormatting>
  <conditionalFormatting sqref="AJ18">
    <cfRule type="cellIs" dxfId="457" priority="147234" stopIfTrue="1" operator="notEqual">
      <formula>"En cours"</formula>
    </cfRule>
  </conditionalFormatting>
  <conditionalFormatting sqref="AK18">
    <cfRule type="cellIs" dxfId="456" priority="147235" stopIfTrue="1" operator="equal">
      <formula>"En cours"</formula>
    </cfRule>
  </conditionalFormatting>
  <conditionalFormatting sqref="AK18">
    <cfRule type="cellIs" dxfId="455" priority="147236" stopIfTrue="1" operator="notEqual">
      <formula>"En cours"</formula>
    </cfRule>
  </conditionalFormatting>
  <conditionalFormatting sqref="AJ19">
    <cfRule type="cellIs" dxfId="454" priority="147237" stopIfTrue="1" operator="equal">
      <formula>"En cours"</formula>
    </cfRule>
  </conditionalFormatting>
  <conditionalFormatting sqref="AJ19">
    <cfRule type="cellIs" dxfId="453" priority="147238" stopIfTrue="1" operator="notEqual">
      <formula>"En cours"</formula>
    </cfRule>
  </conditionalFormatting>
  <conditionalFormatting sqref="AK19">
    <cfRule type="cellIs" dxfId="452" priority="147239" stopIfTrue="1" operator="equal">
      <formula>"En cours"</formula>
    </cfRule>
  </conditionalFormatting>
  <conditionalFormatting sqref="AK19">
    <cfRule type="cellIs" dxfId="451" priority="147240" stopIfTrue="1" operator="notEqual">
      <formula>"En cours"</formula>
    </cfRule>
  </conditionalFormatting>
  <conditionalFormatting sqref="AJ14">
    <cfRule type="cellIs" dxfId="450" priority="147241" stopIfTrue="1" operator="equal">
      <formula>"En cours"</formula>
    </cfRule>
  </conditionalFormatting>
  <conditionalFormatting sqref="AJ14">
    <cfRule type="cellIs" dxfId="449" priority="147242" stopIfTrue="1" operator="notEqual">
      <formula>"En cours"</formula>
    </cfRule>
  </conditionalFormatting>
  <conditionalFormatting sqref="AK14">
    <cfRule type="cellIs" dxfId="448" priority="147243" stopIfTrue="1" operator="equal">
      <formula>"En cours"</formula>
    </cfRule>
  </conditionalFormatting>
  <conditionalFormatting sqref="AK14">
    <cfRule type="cellIs" dxfId="447" priority="147244" stopIfTrue="1" operator="notEqual">
      <formula>"En cours"</formula>
    </cfRule>
  </conditionalFormatting>
  <conditionalFormatting sqref="AJ17">
    <cfRule type="cellIs" dxfId="446" priority="147245" stopIfTrue="1" operator="equal">
      <formula>"En cours"</formula>
    </cfRule>
  </conditionalFormatting>
  <conditionalFormatting sqref="AJ17">
    <cfRule type="cellIs" dxfId="445" priority="147246" stopIfTrue="1" operator="notEqual">
      <formula>"En cours"</formula>
    </cfRule>
  </conditionalFormatting>
  <conditionalFormatting sqref="AK17">
    <cfRule type="cellIs" dxfId="444" priority="147247" stopIfTrue="1" operator="equal">
      <formula>"En cours"</formula>
    </cfRule>
  </conditionalFormatting>
  <conditionalFormatting sqref="AK17">
    <cfRule type="cellIs" dxfId="443" priority="147248" stopIfTrue="1" operator="notEqual">
      <formula>"En cours"</formula>
    </cfRule>
  </conditionalFormatting>
  <conditionalFormatting sqref="AJ23">
    <cfRule type="cellIs" dxfId="442" priority="147249" stopIfTrue="1" operator="equal">
      <formula>"En cours"</formula>
    </cfRule>
  </conditionalFormatting>
  <conditionalFormatting sqref="AJ23">
    <cfRule type="cellIs" dxfId="441" priority="147250" stopIfTrue="1" operator="notEqual">
      <formula>"En cours"</formula>
    </cfRule>
  </conditionalFormatting>
  <conditionalFormatting sqref="AK23">
    <cfRule type="cellIs" dxfId="440" priority="147251" stopIfTrue="1" operator="equal">
      <formula>"En cours"</formula>
    </cfRule>
  </conditionalFormatting>
  <conditionalFormatting sqref="AK23">
    <cfRule type="cellIs" dxfId="439" priority="147252" stopIfTrue="1" operator="notEqual">
      <formula>"En cours"</formula>
    </cfRule>
  </conditionalFormatting>
  <conditionalFormatting sqref="AJ25">
    <cfRule type="cellIs" dxfId="438" priority="147253" stopIfTrue="1" operator="equal">
      <formula>"En cours"</formula>
    </cfRule>
  </conditionalFormatting>
  <conditionalFormatting sqref="AJ25">
    <cfRule type="cellIs" dxfId="437" priority="147254" stopIfTrue="1" operator="notEqual">
      <formula>"En cours"</formula>
    </cfRule>
  </conditionalFormatting>
  <conditionalFormatting sqref="AK25">
    <cfRule type="cellIs" dxfId="436" priority="147255" stopIfTrue="1" operator="equal">
      <formula>"En cours"</formula>
    </cfRule>
  </conditionalFormatting>
  <conditionalFormatting sqref="AK25">
    <cfRule type="cellIs" dxfId="435" priority="147256" stopIfTrue="1" operator="notEqual">
      <formula>"En cours"</formula>
    </cfRule>
  </conditionalFormatting>
  <conditionalFormatting sqref="AJ24">
    <cfRule type="cellIs" dxfId="434" priority="147257" stopIfTrue="1" operator="equal">
      <formula>"En cours"</formula>
    </cfRule>
  </conditionalFormatting>
  <conditionalFormatting sqref="AJ24">
    <cfRule type="cellIs" dxfId="433" priority="147258" stopIfTrue="1" operator="notEqual">
      <formula>"En cours"</formula>
    </cfRule>
  </conditionalFormatting>
  <conditionalFormatting sqref="AK24">
    <cfRule type="cellIs" dxfId="432" priority="147259" stopIfTrue="1" operator="equal">
      <formula>"En cours"</formula>
    </cfRule>
  </conditionalFormatting>
  <conditionalFormatting sqref="AK24">
    <cfRule type="cellIs" dxfId="431" priority="147260" stopIfTrue="1" operator="notEqual">
      <formula>"En cours"</formula>
    </cfRule>
  </conditionalFormatting>
  <conditionalFormatting sqref="AJ26">
    <cfRule type="cellIs" dxfId="430" priority="147261" stopIfTrue="1" operator="equal">
      <formula>"En cours"</formula>
    </cfRule>
  </conditionalFormatting>
  <conditionalFormatting sqref="AJ26">
    <cfRule type="cellIs" dxfId="429" priority="147262" stopIfTrue="1" operator="notEqual">
      <formula>"En cours"</formula>
    </cfRule>
  </conditionalFormatting>
  <conditionalFormatting sqref="AK26">
    <cfRule type="cellIs" dxfId="428" priority="147263" stopIfTrue="1" operator="equal">
      <formula>"En cours"</formula>
    </cfRule>
  </conditionalFormatting>
  <conditionalFormatting sqref="AK26">
    <cfRule type="cellIs" dxfId="427" priority="147264" stopIfTrue="1" operator="notEqual">
      <formula>"En cours"</formula>
    </cfRule>
  </conditionalFormatting>
  <conditionalFormatting sqref="AJ21">
    <cfRule type="cellIs" dxfId="426" priority="147265" stopIfTrue="1" operator="equal">
      <formula>"En cours"</formula>
    </cfRule>
  </conditionalFormatting>
  <conditionalFormatting sqref="AJ21">
    <cfRule type="cellIs" dxfId="425" priority="147266" stopIfTrue="1" operator="notEqual">
      <formula>"En cours"</formula>
    </cfRule>
  </conditionalFormatting>
  <conditionalFormatting sqref="AK21">
    <cfRule type="cellIs" dxfId="424" priority="147267" stopIfTrue="1" operator="equal">
      <formula>"En cours"</formula>
    </cfRule>
  </conditionalFormatting>
  <conditionalFormatting sqref="AK21">
    <cfRule type="cellIs" dxfId="423" priority="147268" stopIfTrue="1" operator="notEqual">
      <formula>"En cours"</formula>
    </cfRule>
  </conditionalFormatting>
  <conditionalFormatting sqref="AJ28">
    <cfRule type="cellIs" dxfId="422" priority="147269" stopIfTrue="1" operator="equal">
      <formula>"En cours"</formula>
    </cfRule>
  </conditionalFormatting>
  <conditionalFormatting sqref="AJ28">
    <cfRule type="cellIs" dxfId="421" priority="147270" stopIfTrue="1" operator="notEqual">
      <formula>"En cours"</formula>
    </cfRule>
  </conditionalFormatting>
  <conditionalFormatting sqref="AK28">
    <cfRule type="cellIs" dxfId="420" priority="147271" stopIfTrue="1" operator="equal">
      <formula>"En cours"</formula>
    </cfRule>
  </conditionalFormatting>
  <conditionalFormatting sqref="AK28">
    <cfRule type="cellIs" dxfId="419" priority="147272" stopIfTrue="1" operator="notEqual">
      <formula>"En cours"</formula>
    </cfRule>
  </conditionalFormatting>
  <conditionalFormatting sqref="AJ34">
    <cfRule type="cellIs" dxfId="418" priority="147273" stopIfTrue="1" operator="equal">
      <formula>"En cours"</formula>
    </cfRule>
  </conditionalFormatting>
  <conditionalFormatting sqref="AJ34">
    <cfRule type="cellIs" dxfId="417" priority="147274" stopIfTrue="1" operator="notEqual">
      <formula>"En cours"</formula>
    </cfRule>
  </conditionalFormatting>
  <conditionalFormatting sqref="AK34">
    <cfRule type="cellIs" dxfId="416" priority="147275" stopIfTrue="1" operator="equal">
      <formula>"En cours"</formula>
    </cfRule>
  </conditionalFormatting>
  <conditionalFormatting sqref="AK34">
    <cfRule type="cellIs" dxfId="415" priority="147276" stopIfTrue="1" operator="notEqual">
      <formula>"En cours"</formula>
    </cfRule>
  </conditionalFormatting>
  <conditionalFormatting sqref="AJ29">
    <cfRule type="cellIs" dxfId="414" priority="147277" stopIfTrue="1" operator="equal">
      <formula>"En cours"</formula>
    </cfRule>
  </conditionalFormatting>
  <conditionalFormatting sqref="AJ29">
    <cfRule type="cellIs" dxfId="413" priority="147278" stopIfTrue="1" operator="notEqual">
      <formula>"En cours"</formula>
    </cfRule>
  </conditionalFormatting>
  <conditionalFormatting sqref="AK29">
    <cfRule type="cellIs" dxfId="412" priority="147279" stopIfTrue="1" operator="equal">
      <formula>"En cours"</formula>
    </cfRule>
  </conditionalFormatting>
  <conditionalFormatting sqref="AK29">
    <cfRule type="cellIs" dxfId="411" priority="147280" stopIfTrue="1" operator="notEqual">
      <formula>"En cours"</formula>
    </cfRule>
  </conditionalFormatting>
  <conditionalFormatting sqref="AJ30">
    <cfRule type="cellIs" dxfId="410" priority="147281" stopIfTrue="1" operator="equal">
      <formula>"En cours"</formula>
    </cfRule>
  </conditionalFormatting>
  <conditionalFormatting sqref="AJ30">
    <cfRule type="cellIs" dxfId="409" priority="147282" stopIfTrue="1" operator="notEqual">
      <formula>"En cours"</formula>
    </cfRule>
  </conditionalFormatting>
  <conditionalFormatting sqref="AK30">
    <cfRule type="cellIs" dxfId="408" priority="147283" stopIfTrue="1" operator="equal">
      <formula>"En cours"</formula>
    </cfRule>
  </conditionalFormatting>
  <conditionalFormatting sqref="AK30">
    <cfRule type="cellIs" dxfId="407" priority="147284" stopIfTrue="1" operator="notEqual">
      <formula>"En cours"</formula>
    </cfRule>
  </conditionalFormatting>
  <conditionalFormatting sqref="AJ41">
    <cfRule type="cellIs" dxfId="406" priority="147285" stopIfTrue="1" operator="equal">
      <formula>"En cours"</formula>
    </cfRule>
  </conditionalFormatting>
  <conditionalFormatting sqref="AJ41">
    <cfRule type="cellIs" dxfId="405" priority="147286" stopIfTrue="1" operator="notEqual">
      <formula>"En cours"</formula>
    </cfRule>
  </conditionalFormatting>
  <conditionalFormatting sqref="AK41">
    <cfRule type="cellIs" dxfId="404" priority="147287" stopIfTrue="1" operator="equal">
      <formula>"En cours"</formula>
    </cfRule>
  </conditionalFormatting>
  <conditionalFormatting sqref="AK41">
    <cfRule type="cellIs" dxfId="403" priority="147288" stopIfTrue="1" operator="notEqual">
      <formula>"En cours"</formula>
    </cfRule>
  </conditionalFormatting>
  <conditionalFormatting sqref="AJ22">
    <cfRule type="cellIs" dxfId="402" priority="147289" stopIfTrue="1" operator="equal">
      <formula>"En cours"</formula>
    </cfRule>
  </conditionalFormatting>
  <conditionalFormatting sqref="AJ22">
    <cfRule type="cellIs" dxfId="401" priority="147290" stopIfTrue="1" operator="notEqual">
      <formula>"En cours"</formula>
    </cfRule>
  </conditionalFormatting>
  <conditionalFormatting sqref="AK22">
    <cfRule type="cellIs" dxfId="400" priority="147291" stopIfTrue="1" operator="equal">
      <formula>"En cours"</formula>
    </cfRule>
  </conditionalFormatting>
  <conditionalFormatting sqref="AK22">
    <cfRule type="cellIs" dxfId="399" priority="147292" stopIfTrue="1" operator="notEqual">
      <formula>"En cours"</formula>
    </cfRule>
  </conditionalFormatting>
  <conditionalFormatting sqref="AJ37">
    <cfRule type="cellIs" dxfId="398" priority="147293" stopIfTrue="1" operator="equal">
      <formula>"En cours"</formula>
    </cfRule>
  </conditionalFormatting>
  <conditionalFormatting sqref="AJ37">
    <cfRule type="cellIs" dxfId="397" priority="147294" stopIfTrue="1" operator="notEqual">
      <formula>"En cours"</formula>
    </cfRule>
  </conditionalFormatting>
  <conditionalFormatting sqref="AK37">
    <cfRule type="cellIs" dxfId="396" priority="147295" stopIfTrue="1" operator="equal">
      <formula>"En cours"</formula>
    </cfRule>
  </conditionalFormatting>
  <conditionalFormatting sqref="AK37">
    <cfRule type="cellIs" dxfId="395" priority="147296" stopIfTrue="1" operator="notEqual">
      <formula>"En cours"</formula>
    </cfRule>
  </conditionalFormatting>
  <conditionalFormatting sqref="AJ38">
    <cfRule type="cellIs" dxfId="394" priority="147297" stopIfTrue="1" operator="equal">
      <formula>"En cours"</formula>
    </cfRule>
  </conditionalFormatting>
  <conditionalFormatting sqref="AJ38">
    <cfRule type="cellIs" dxfId="393" priority="147298" stopIfTrue="1" operator="notEqual">
      <formula>"En cours"</formula>
    </cfRule>
  </conditionalFormatting>
  <conditionalFormatting sqref="AK38">
    <cfRule type="cellIs" dxfId="392" priority="147299" stopIfTrue="1" operator="equal">
      <formula>"En cours"</formula>
    </cfRule>
  </conditionalFormatting>
  <conditionalFormatting sqref="AK38">
    <cfRule type="cellIs" dxfId="391" priority="147300" stopIfTrue="1" operator="notEqual">
      <formula>"En cours"</formula>
    </cfRule>
  </conditionalFormatting>
  <conditionalFormatting sqref="AJ27">
    <cfRule type="cellIs" dxfId="390" priority="147301" stopIfTrue="1" operator="equal">
      <formula>"En cours"</formula>
    </cfRule>
  </conditionalFormatting>
  <conditionalFormatting sqref="AJ27">
    <cfRule type="cellIs" dxfId="389" priority="147302" stopIfTrue="1" operator="notEqual">
      <formula>"En cours"</formula>
    </cfRule>
  </conditionalFormatting>
  <conditionalFormatting sqref="AK27">
    <cfRule type="cellIs" dxfId="388" priority="147303" stopIfTrue="1" operator="equal">
      <formula>"En cours"</formula>
    </cfRule>
  </conditionalFormatting>
  <conditionalFormatting sqref="AK27">
    <cfRule type="cellIs" dxfId="387" priority="147304" stopIfTrue="1" operator="notEqual">
      <formula>"En cours"</formula>
    </cfRule>
  </conditionalFormatting>
  <conditionalFormatting sqref="AJ35">
    <cfRule type="cellIs" dxfId="386" priority="147305" stopIfTrue="1" operator="equal">
      <formula>"En cours"</formula>
    </cfRule>
  </conditionalFormatting>
  <conditionalFormatting sqref="AJ35">
    <cfRule type="cellIs" dxfId="385" priority="147306" stopIfTrue="1" operator="notEqual">
      <formula>"En cours"</formula>
    </cfRule>
  </conditionalFormatting>
  <conditionalFormatting sqref="AK35">
    <cfRule type="cellIs" dxfId="384" priority="147307" stopIfTrue="1" operator="equal">
      <formula>"En cours"</formula>
    </cfRule>
  </conditionalFormatting>
  <conditionalFormatting sqref="AK35">
    <cfRule type="cellIs" dxfId="383" priority="147308" stopIfTrue="1" operator="notEqual">
      <formula>"En cours"</formula>
    </cfRule>
  </conditionalFormatting>
  <conditionalFormatting sqref="AJ39">
    <cfRule type="cellIs" dxfId="382" priority="147309" stopIfTrue="1" operator="equal">
      <formula>"En cours"</formula>
    </cfRule>
  </conditionalFormatting>
  <conditionalFormatting sqref="AJ39">
    <cfRule type="cellIs" dxfId="381" priority="147310" stopIfTrue="1" operator="notEqual">
      <formula>"En cours"</formula>
    </cfRule>
  </conditionalFormatting>
  <conditionalFormatting sqref="AK39">
    <cfRule type="cellIs" dxfId="380" priority="147311" stopIfTrue="1" operator="equal">
      <formula>"En cours"</formula>
    </cfRule>
  </conditionalFormatting>
  <conditionalFormatting sqref="AK39">
    <cfRule type="cellIs" dxfId="379" priority="147312" stopIfTrue="1" operator="notEqual">
      <formula>"En cours"</formula>
    </cfRule>
  </conditionalFormatting>
  <conditionalFormatting sqref="AJ46">
    <cfRule type="cellIs" dxfId="378" priority="147313" stopIfTrue="1" operator="equal">
      <formula>"En cours"</formula>
    </cfRule>
  </conditionalFormatting>
  <conditionalFormatting sqref="AJ46">
    <cfRule type="cellIs" dxfId="377" priority="147314" stopIfTrue="1" operator="notEqual">
      <formula>"En cours"</formula>
    </cfRule>
  </conditionalFormatting>
  <conditionalFormatting sqref="AK46">
    <cfRule type="cellIs" dxfId="376" priority="147315" stopIfTrue="1" operator="equal">
      <formula>"En cours"</formula>
    </cfRule>
  </conditionalFormatting>
  <conditionalFormatting sqref="AK46">
    <cfRule type="cellIs" dxfId="375" priority="147316" stopIfTrue="1" operator="notEqual">
      <formula>"En cours"</formula>
    </cfRule>
  </conditionalFormatting>
  <conditionalFormatting sqref="AJ31">
    <cfRule type="cellIs" dxfId="374" priority="147317" stopIfTrue="1" operator="equal">
      <formula>"En cours"</formula>
    </cfRule>
  </conditionalFormatting>
  <conditionalFormatting sqref="AJ31">
    <cfRule type="cellIs" dxfId="373" priority="147318" stopIfTrue="1" operator="notEqual">
      <formula>"En cours"</formula>
    </cfRule>
  </conditionalFormatting>
  <conditionalFormatting sqref="AK31">
    <cfRule type="cellIs" dxfId="372" priority="147319" stopIfTrue="1" operator="equal">
      <formula>"En cours"</formula>
    </cfRule>
  </conditionalFormatting>
  <conditionalFormatting sqref="AK31">
    <cfRule type="cellIs" dxfId="371" priority="147320" stopIfTrue="1" operator="notEqual">
      <formula>"En cours"</formula>
    </cfRule>
  </conditionalFormatting>
  <conditionalFormatting sqref="AJ32">
    <cfRule type="cellIs" dxfId="370" priority="147321" stopIfTrue="1" operator="equal">
      <formula>"En cours"</formula>
    </cfRule>
  </conditionalFormatting>
  <conditionalFormatting sqref="AJ32">
    <cfRule type="cellIs" dxfId="369" priority="147322" stopIfTrue="1" operator="notEqual">
      <formula>"En cours"</formula>
    </cfRule>
  </conditionalFormatting>
  <conditionalFormatting sqref="AK32">
    <cfRule type="cellIs" dxfId="368" priority="147323" stopIfTrue="1" operator="equal">
      <formula>"En cours"</formula>
    </cfRule>
  </conditionalFormatting>
  <conditionalFormatting sqref="AK32">
    <cfRule type="cellIs" dxfId="367" priority="147324" stopIfTrue="1" operator="notEqual">
      <formula>"En cours"</formula>
    </cfRule>
  </conditionalFormatting>
  <conditionalFormatting sqref="AJ33">
    <cfRule type="cellIs" dxfId="366" priority="147325" stopIfTrue="1" operator="equal">
      <formula>"En cours"</formula>
    </cfRule>
  </conditionalFormatting>
  <conditionalFormatting sqref="AJ33">
    <cfRule type="cellIs" dxfId="365" priority="147326" stopIfTrue="1" operator="notEqual">
      <formula>"En cours"</formula>
    </cfRule>
  </conditionalFormatting>
  <conditionalFormatting sqref="AK33">
    <cfRule type="cellIs" dxfId="364" priority="147327" stopIfTrue="1" operator="equal">
      <formula>"En cours"</formula>
    </cfRule>
  </conditionalFormatting>
  <conditionalFormatting sqref="AK33">
    <cfRule type="cellIs" dxfId="363" priority="147328" stopIfTrue="1" operator="notEqual">
      <formula>"En cours"</formula>
    </cfRule>
  </conditionalFormatting>
  <conditionalFormatting sqref="AJ40">
    <cfRule type="cellIs" dxfId="362" priority="147329" stopIfTrue="1" operator="equal">
      <formula>"En cours"</formula>
    </cfRule>
  </conditionalFormatting>
  <conditionalFormatting sqref="AJ40">
    <cfRule type="cellIs" dxfId="361" priority="147330" stopIfTrue="1" operator="notEqual">
      <formula>"En cours"</formula>
    </cfRule>
  </conditionalFormatting>
  <conditionalFormatting sqref="AK40">
    <cfRule type="cellIs" dxfId="360" priority="147331" stopIfTrue="1" operator="equal">
      <formula>"En cours"</formula>
    </cfRule>
  </conditionalFormatting>
  <conditionalFormatting sqref="AK40">
    <cfRule type="cellIs" dxfId="359" priority="147332" stopIfTrue="1" operator="notEqual">
      <formula>"En cours"</formula>
    </cfRule>
  </conditionalFormatting>
  <conditionalFormatting sqref="AJ42">
    <cfRule type="cellIs" dxfId="358" priority="147333" stopIfTrue="1" operator="equal">
      <formula>"En cours"</formula>
    </cfRule>
  </conditionalFormatting>
  <conditionalFormatting sqref="AJ42">
    <cfRule type="cellIs" dxfId="357" priority="147334" stopIfTrue="1" operator="notEqual">
      <formula>"En cours"</formula>
    </cfRule>
  </conditionalFormatting>
  <conditionalFormatting sqref="AK42">
    <cfRule type="cellIs" dxfId="356" priority="147335" stopIfTrue="1" operator="equal">
      <formula>"En cours"</formula>
    </cfRule>
  </conditionalFormatting>
  <conditionalFormatting sqref="AK42">
    <cfRule type="cellIs" dxfId="355" priority="147336" stopIfTrue="1" operator="notEqual">
      <formula>"En cours"</formula>
    </cfRule>
  </conditionalFormatting>
  <conditionalFormatting sqref="AJ49">
    <cfRule type="cellIs" dxfId="354" priority="147337" stopIfTrue="1" operator="equal">
      <formula>"En cours"</formula>
    </cfRule>
  </conditionalFormatting>
  <conditionalFormatting sqref="AJ49">
    <cfRule type="cellIs" dxfId="353" priority="147338" stopIfTrue="1" operator="notEqual">
      <formula>"En cours"</formula>
    </cfRule>
  </conditionalFormatting>
  <conditionalFormatting sqref="AK49">
    <cfRule type="cellIs" dxfId="352" priority="147339" stopIfTrue="1" operator="equal">
      <formula>"En cours"</formula>
    </cfRule>
  </conditionalFormatting>
  <conditionalFormatting sqref="AK49">
    <cfRule type="cellIs" dxfId="351" priority="147340" stopIfTrue="1" operator="notEqual">
      <formula>"En cours"</formula>
    </cfRule>
  </conditionalFormatting>
  <conditionalFormatting sqref="AJ36">
    <cfRule type="cellIs" dxfId="350" priority="147341" stopIfTrue="1" operator="equal">
      <formula>"En cours"</formula>
    </cfRule>
  </conditionalFormatting>
  <conditionalFormatting sqref="AJ36">
    <cfRule type="cellIs" dxfId="349" priority="147342" stopIfTrue="1" operator="notEqual">
      <formula>"En cours"</formula>
    </cfRule>
  </conditionalFormatting>
  <conditionalFormatting sqref="AK36">
    <cfRule type="cellIs" dxfId="348" priority="147343" stopIfTrue="1" operator="equal">
      <formula>"En cours"</formula>
    </cfRule>
  </conditionalFormatting>
  <conditionalFormatting sqref="AK36">
    <cfRule type="cellIs" dxfId="347" priority="147344" stopIfTrue="1" operator="notEqual">
      <formula>"En cours"</formula>
    </cfRule>
  </conditionalFormatting>
  <conditionalFormatting sqref="AJ48">
    <cfRule type="cellIs" dxfId="346" priority="147345" stopIfTrue="1" operator="equal">
      <formula>"En cours"</formula>
    </cfRule>
  </conditionalFormatting>
  <conditionalFormatting sqref="AJ48">
    <cfRule type="cellIs" dxfId="345" priority="147346" stopIfTrue="1" operator="notEqual">
      <formula>"En cours"</formula>
    </cfRule>
  </conditionalFormatting>
  <conditionalFormatting sqref="AK48">
    <cfRule type="cellIs" dxfId="344" priority="147347" stopIfTrue="1" operator="equal">
      <formula>"En cours"</formula>
    </cfRule>
  </conditionalFormatting>
  <conditionalFormatting sqref="AK48">
    <cfRule type="cellIs" dxfId="343" priority="147348" stopIfTrue="1" operator="notEqual">
      <formula>"En cours"</formula>
    </cfRule>
  </conditionalFormatting>
  <conditionalFormatting sqref="AJ45">
    <cfRule type="cellIs" dxfId="342" priority="147349" stopIfTrue="1" operator="equal">
      <formula>"En cours"</formula>
    </cfRule>
  </conditionalFormatting>
  <conditionalFormatting sqref="AJ45">
    <cfRule type="cellIs" dxfId="341" priority="147350" stopIfTrue="1" operator="notEqual">
      <formula>"En cours"</formula>
    </cfRule>
  </conditionalFormatting>
  <conditionalFormatting sqref="AK45">
    <cfRule type="cellIs" dxfId="340" priority="147351" stopIfTrue="1" operator="equal">
      <formula>"En cours"</formula>
    </cfRule>
  </conditionalFormatting>
  <conditionalFormatting sqref="AK45">
    <cfRule type="cellIs" dxfId="339" priority="147352" stopIfTrue="1" operator="notEqual">
      <formula>"En cours"</formula>
    </cfRule>
  </conditionalFormatting>
  <conditionalFormatting sqref="AJ44">
    <cfRule type="cellIs" dxfId="338" priority="147353" stopIfTrue="1" operator="equal">
      <formula>"En cours"</formula>
    </cfRule>
  </conditionalFormatting>
  <conditionalFormatting sqref="AJ44">
    <cfRule type="cellIs" dxfId="337" priority="147354" stopIfTrue="1" operator="notEqual">
      <formula>"En cours"</formula>
    </cfRule>
  </conditionalFormatting>
  <conditionalFormatting sqref="AK44">
    <cfRule type="cellIs" dxfId="336" priority="147355" stopIfTrue="1" operator="equal">
      <formula>"En cours"</formula>
    </cfRule>
  </conditionalFormatting>
  <conditionalFormatting sqref="AK44">
    <cfRule type="cellIs" dxfId="335" priority="147356" stopIfTrue="1" operator="notEqual">
      <formula>"En cours"</formula>
    </cfRule>
  </conditionalFormatting>
  <conditionalFormatting sqref="AJ50">
    <cfRule type="cellIs" dxfId="334" priority="147357" stopIfTrue="1" operator="equal">
      <formula>"En cours"</formula>
    </cfRule>
  </conditionalFormatting>
  <conditionalFormatting sqref="AJ50">
    <cfRule type="cellIs" dxfId="333" priority="147358" stopIfTrue="1" operator="notEqual">
      <formula>"En cours"</formula>
    </cfRule>
  </conditionalFormatting>
  <conditionalFormatting sqref="AK50">
    <cfRule type="cellIs" dxfId="332" priority="147359" stopIfTrue="1" operator="equal">
      <formula>"En cours"</formula>
    </cfRule>
  </conditionalFormatting>
  <conditionalFormatting sqref="AK50">
    <cfRule type="cellIs" dxfId="331" priority="147360" stopIfTrue="1" operator="notEqual">
      <formula>"En cours"</formula>
    </cfRule>
  </conditionalFormatting>
  <conditionalFormatting sqref="AJ43">
    <cfRule type="cellIs" dxfId="330" priority="147361" stopIfTrue="1" operator="equal">
      <formula>"En cours"</formula>
    </cfRule>
  </conditionalFormatting>
  <conditionalFormatting sqref="AJ43">
    <cfRule type="cellIs" dxfId="329" priority="147362" stopIfTrue="1" operator="notEqual">
      <formula>"En cours"</formula>
    </cfRule>
  </conditionalFormatting>
  <conditionalFormatting sqref="AK43">
    <cfRule type="cellIs" dxfId="328" priority="147363" stopIfTrue="1" operator="equal">
      <formula>"En cours"</formula>
    </cfRule>
  </conditionalFormatting>
  <conditionalFormatting sqref="AK43">
    <cfRule type="cellIs" dxfId="327" priority="147364" stopIfTrue="1" operator="notEqual">
      <formula>"En cours"</formula>
    </cfRule>
  </conditionalFormatting>
  <conditionalFormatting sqref="AJ47">
    <cfRule type="cellIs" dxfId="326" priority="147365" stopIfTrue="1" operator="equal">
      <formula>"En cours"</formula>
    </cfRule>
  </conditionalFormatting>
  <conditionalFormatting sqref="AJ47">
    <cfRule type="cellIs" dxfId="325" priority="147366" stopIfTrue="1" operator="notEqual">
      <formula>"En cours"</formula>
    </cfRule>
  </conditionalFormatting>
  <conditionalFormatting sqref="AK47">
    <cfRule type="cellIs" dxfId="324" priority="147367" stopIfTrue="1" operator="equal">
      <formula>"En cours"</formula>
    </cfRule>
  </conditionalFormatting>
  <conditionalFormatting sqref="AK47">
    <cfRule type="cellIs" dxfId="323" priority="147368" stopIfTrue="1" operator="notEqual">
      <formula>"En cours"</formula>
    </cfRule>
  </conditionalFormatting>
  <conditionalFormatting sqref="AJ51">
    <cfRule type="cellIs" dxfId="322" priority="147369" stopIfTrue="1" operator="equal">
      <formula>"En cours"</formula>
    </cfRule>
  </conditionalFormatting>
  <conditionalFormatting sqref="AJ51">
    <cfRule type="cellIs" dxfId="321" priority="147370" stopIfTrue="1" operator="notEqual">
      <formula>"En cours"</formula>
    </cfRule>
  </conditionalFormatting>
  <conditionalFormatting sqref="AK51">
    <cfRule type="cellIs" dxfId="320" priority="147371" stopIfTrue="1" operator="equal">
      <formula>"En cours"</formula>
    </cfRule>
  </conditionalFormatting>
  <conditionalFormatting sqref="AK51">
    <cfRule type="cellIs" dxfId="319" priority="147372" stopIfTrue="1" operator="notEqual">
      <formula>"En cours"</formula>
    </cfRule>
  </conditionalFormatting>
  <conditionalFormatting sqref="AJ54">
    <cfRule type="cellIs" dxfId="318" priority="147373" stopIfTrue="1" operator="equal">
      <formula>"En cours"</formula>
    </cfRule>
  </conditionalFormatting>
  <conditionalFormatting sqref="AJ54">
    <cfRule type="cellIs" dxfId="317" priority="147374" stopIfTrue="1" operator="notEqual">
      <formula>"En cours"</formula>
    </cfRule>
  </conditionalFormatting>
  <conditionalFormatting sqref="AK54">
    <cfRule type="cellIs" dxfId="316" priority="147375" stopIfTrue="1" operator="equal">
      <formula>"En cours"</formula>
    </cfRule>
  </conditionalFormatting>
  <conditionalFormatting sqref="AK54">
    <cfRule type="cellIs" dxfId="315" priority="147376" stopIfTrue="1" operator="notEqual">
      <formula>"En cours"</formula>
    </cfRule>
  </conditionalFormatting>
  <conditionalFormatting sqref="AJ52">
    <cfRule type="cellIs" dxfId="314" priority="147377" stopIfTrue="1" operator="equal">
      <formula>"En cours"</formula>
    </cfRule>
  </conditionalFormatting>
  <conditionalFormatting sqref="AJ52">
    <cfRule type="cellIs" dxfId="313" priority="147378" stopIfTrue="1" operator="notEqual">
      <formula>"En cours"</formula>
    </cfRule>
  </conditionalFormatting>
  <conditionalFormatting sqref="AK52">
    <cfRule type="cellIs" dxfId="312" priority="147379" stopIfTrue="1" operator="equal">
      <formula>"En cours"</formula>
    </cfRule>
  </conditionalFormatting>
  <conditionalFormatting sqref="AK52">
    <cfRule type="cellIs" dxfId="311" priority="147380" stopIfTrue="1" operator="notEqual">
      <formula>"En cours"</formula>
    </cfRule>
  </conditionalFormatting>
  <conditionalFormatting sqref="AJ55">
    <cfRule type="cellIs" dxfId="310" priority="147381" stopIfTrue="1" operator="equal">
      <formula>"En cours"</formula>
    </cfRule>
  </conditionalFormatting>
  <conditionalFormatting sqref="AJ55">
    <cfRule type="cellIs" dxfId="309" priority="147382" stopIfTrue="1" operator="notEqual">
      <formula>"En cours"</formula>
    </cfRule>
  </conditionalFormatting>
  <conditionalFormatting sqref="AK55">
    <cfRule type="cellIs" dxfId="308" priority="147383" stopIfTrue="1" operator="equal">
      <formula>"En cours"</formula>
    </cfRule>
  </conditionalFormatting>
  <conditionalFormatting sqref="AK55">
    <cfRule type="cellIs" dxfId="307" priority="147384" stopIfTrue="1" operator="notEqual">
      <formula>"En cours"</formula>
    </cfRule>
  </conditionalFormatting>
  <conditionalFormatting sqref="AJ53">
    <cfRule type="cellIs" dxfId="306" priority="147385" stopIfTrue="1" operator="equal">
      <formula>"En cours"</formula>
    </cfRule>
  </conditionalFormatting>
  <conditionalFormatting sqref="AJ53">
    <cfRule type="cellIs" dxfId="305" priority="147386" stopIfTrue="1" operator="notEqual">
      <formula>"En cours"</formula>
    </cfRule>
  </conditionalFormatting>
  <conditionalFormatting sqref="AK53">
    <cfRule type="cellIs" dxfId="304" priority="147387" stopIfTrue="1" operator="equal">
      <formula>"En cours"</formula>
    </cfRule>
  </conditionalFormatting>
  <conditionalFormatting sqref="AK53">
    <cfRule type="cellIs" dxfId="303" priority="147388" stopIfTrue="1" operator="notEqual">
      <formula>"En cours"</formula>
    </cfRule>
  </conditionalFormatting>
  <conditionalFormatting sqref="AJ57">
    <cfRule type="cellIs" dxfId="302" priority="147389" stopIfTrue="1" operator="equal">
      <formula>"En cours"</formula>
    </cfRule>
  </conditionalFormatting>
  <conditionalFormatting sqref="AJ57">
    <cfRule type="cellIs" dxfId="301" priority="147390" stopIfTrue="1" operator="notEqual">
      <formula>"En cours"</formula>
    </cfRule>
  </conditionalFormatting>
  <conditionalFormatting sqref="AK57">
    <cfRule type="cellIs" dxfId="300" priority="147391" stopIfTrue="1" operator="equal">
      <formula>"En cours"</formula>
    </cfRule>
  </conditionalFormatting>
  <conditionalFormatting sqref="AK57">
    <cfRule type="cellIs" dxfId="299" priority="147392" stopIfTrue="1" operator="notEqual">
      <formula>"En cours"</formula>
    </cfRule>
  </conditionalFormatting>
  <conditionalFormatting sqref="AJ58">
    <cfRule type="cellIs" dxfId="298" priority="147393" stopIfTrue="1" operator="equal">
      <formula>"En cours"</formula>
    </cfRule>
  </conditionalFormatting>
  <conditionalFormatting sqref="AJ58">
    <cfRule type="cellIs" dxfId="297" priority="147394" stopIfTrue="1" operator="notEqual">
      <formula>"En cours"</formula>
    </cfRule>
  </conditionalFormatting>
  <conditionalFormatting sqref="AK58">
    <cfRule type="cellIs" dxfId="296" priority="147395" stopIfTrue="1" operator="equal">
      <formula>"En cours"</formula>
    </cfRule>
  </conditionalFormatting>
  <conditionalFormatting sqref="AK58">
    <cfRule type="cellIs" dxfId="295" priority="147396" stopIfTrue="1" operator="notEqual">
      <formula>"En cours"</formula>
    </cfRule>
  </conditionalFormatting>
  <conditionalFormatting sqref="AJ66">
    <cfRule type="cellIs" dxfId="294" priority="147397" stopIfTrue="1" operator="equal">
      <formula>"En cours"</formula>
    </cfRule>
  </conditionalFormatting>
  <conditionalFormatting sqref="AJ66">
    <cfRule type="cellIs" dxfId="293" priority="147398" stopIfTrue="1" operator="notEqual">
      <formula>"En cours"</formula>
    </cfRule>
  </conditionalFormatting>
  <conditionalFormatting sqref="AK66">
    <cfRule type="cellIs" dxfId="292" priority="147399" stopIfTrue="1" operator="equal">
      <formula>"En cours"</formula>
    </cfRule>
  </conditionalFormatting>
  <conditionalFormatting sqref="AK66">
    <cfRule type="cellIs" dxfId="291" priority="147400" stopIfTrue="1" operator="notEqual">
      <formula>"En cours"</formula>
    </cfRule>
  </conditionalFormatting>
  <conditionalFormatting sqref="AJ60">
    <cfRule type="cellIs" dxfId="290" priority="147401" stopIfTrue="1" operator="equal">
      <formula>"En cours"</formula>
    </cfRule>
  </conditionalFormatting>
  <conditionalFormatting sqref="AJ60">
    <cfRule type="cellIs" dxfId="289" priority="147402" stopIfTrue="1" operator="notEqual">
      <formula>"En cours"</formula>
    </cfRule>
  </conditionalFormatting>
  <conditionalFormatting sqref="AK60">
    <cfRule type="cellIs" dxfId="288" priority="147403" stopIfTrue="1" operator="equal">
      <formula>"En cours"</formula>
    </cfRule>
  </conditionalFormatting>
  <conditionalFormatting sqref="AK60">
    <cfRule type="cellIs" dxfId="287" priority="147404" stopIfTrue="1" operator="notEqual">
      <formula>"En cours"</formula>
    </cfRule>
  </conditionalFormatting>
  <conditionalFormatting sqref="AJ56">
    <cfRule type="cellIs" dxfId="286" priority="147405" stopIfTrue="1" operator="equal">
      <formula>"En cours"</formula>
    </cfRule>
  </conditionalFormatting>
  <conditionalFormatting sqref="AJ56">
    <cfRule type="cellIs" dxfId="285" priority="147406" stopIfTrue="1" operator="notEqual">
      <formula>"En cours"</formula>
    </cfRule>
  </conditionalFormatting>
  <conditionalFormatting sqref="AK56">
    <cfRule type="cellIs" dxfId="284" priority="147407" stopIfTrue="1" operator="equal">
      <formula>"En cours"</formula>
    </cfRule>
  </conditionalFormatting>
  <conditionalFormatting sqref="AK56">
    <cfRule type="cellIs" dxfId="283" priority="147408" stopIfTrue="1" operator="notEqual">
      <formula>"En cours"</formula>
    </cfRule>
  </conditionalFormatting>
  <conditionalFormatting sqref="AJ67">
    <cfRule type="cellIs" dxfId="282" priority="147409" stopIfTrue="1" operator="equal">
      <formula>"En cours"</formula>
    </cfRule>
  </conditionalFormatting>
  <conditionalFormatting sqref="AJ67">
    <cfRule type="cellIs" dxfId="281" priority="147410" stopIfTrue="1" operator="notEqual">
      <formula>"En cours"</formula>
    </cfRule>
  </conditionalFormatting>
  <conditionalFormatting sqref="AK67">
    <cfRule type="cellIs" dxfId="280" priority="147411" stopIfTrue="1" operator="equal">
      <formula>"En cours"</formula>
    </cfRule>
  </conditionalFormatting>
  <conditionalFormatting sqref="AK67">
    <cfRule type="cellIs" dxfId="279" priority="147412" stopIfTrue="1" operator="notEqual">
      <formula>"En cours"</formula>
    </cfRule>
  </conditionalFormatting>
  <conditionalFormatting sqref="AJ59">
    <cfRule type="cellIs" dxfId="278" priority="147413" stopIfTrue="1" operator="equal">
      <formula>"En cours"</formula>
    </cfRule>
  </conditionalFormatting>
  <conditionalFormatting sqref="AJ59">
    <cfRule type="cellIs" dxfId="277" priority="147414" stopIfTrue="1" operator="notEqual">
      <formula>"En cours"</formula>
    </cfRule>
  </conditionalFormatting>
  <conditionalFormatting sqref="AK59">
    <cfRule type="cellIs" dxfId="276" priority="147415" stopIfTrue="1" operator="equal">
      <formula>"En cours"</formula>
    </cfRule>
  </conditionalFormatting>
  <conditionalFormatting sqref="AK59">
    <cfRule type="cellIs" dxfId="275" priority="147416" stopIfTrue="1" operator="notEqual">
      <formula>"En cours"</formula>
    </cfRule>
  </conditionalFormatting>
  <conditionalFormatting sqref="AJ70">
    <cfRule type="cellIs" dxfId="274" priority="147417" stopIfTrue="1" operator="equal">
      <formula>"En cours"</formula>
    </cfRule>
  </conditionalFormatting>
  <conditionalFormatting sqref="AJ70">
    <cfRule type="cellIs" dxfId="273" priority="147418" stopIfTrue="1" operator="notEqual">
      <formula>"En cours"</formula>
    </cfRule>
  </conditionalFormatting>
  <conditionalFormatting sqref="AK70">
    <cfRule type="cellIs" dxfId="272" priority="147419" stopIfTrue="1" operator="equal">
      <formula>"En cours"</formula>
    </cfRule>
  </conditionalFormatting>
  <conditionalFormatting sqref="AK70">
    <cfRule type="cellIs" dxfId="271" priority="147420" stopIfTrue="1" operator="notEqual">
      <formula>"En cours"</formula>
    </cfRule>
  </conditionalFormatting>
  <conditionalFormatting sqref="AJ65">
    <cfRule type="cellIs" dxfId="270" priority="147421" stopIfTrue="1" operator="equal">
      <formula>"En cours"</formula>
    </cfRule>
  </conditionalFormatting>
  <conditionalFormatting sqref="AJ65">
    <cfRule type="cellIs" dxfId="269" priority="147422" stopIfTrue="1" operator="notEqual">
      <formula>"En cours"</formula>
    </cfRule>
  </conditionalFormatting>
  <conditionalFormatting sqref="AK65">
    <cfRule type="cellIs" dxfId="268" priority="147423" stopIfTrue="1" operator="equal">
      <formula>"En cours"</formula>
    </cfRule>
  </conditionalFormatting>
  <conditionalFormatting sqref="AK65">
    <cfRule type="cellIs" dxfId="267" priority="147424" stopIfTrue="1" operator="notEqual">
      <formula>"En cours"</formula>
    </cfRule>
  </conditionalFormatting>
  <conditionalFormatting sqref="AJ62">
    <cfRule type="cellIs" dxfId="266" priority="147425" stopIfTrue="1" operator="equal">
      <formula>"En cours"</formula>
    </cfRule>
  </conditionalFormatting>
  <conditionalFormatting sqref="AJ62">
    <cfRule type="cellIs" dxfId="265" priority="147426" stopIfTrue="1" operator="notEqual">
      <formula>"En cours"</formula>
    </cfRule>
  </conditionalFormatting>
  <conditionalFormatting sqref="AK62">
    <cfRule type="cellIs" dxfId="264" priority="147427" stopIfTrue="1" operator="equal">
      <formula>"En cours"</formula>
    </cfRule>
  </conditionalFormatting>
  <conditionalFormatting sqref="AK62">
    <cfRule type="cellIs" dxfId="263" priority="147428" stopIfTrue="1" operator="notEqual">
      <formula>"En cours"</formula>
    </cfRule>
  </conditionalFormatting>
  <conditionalFormatting sqref="AJ64">
    <cfRule type="cellIs" dxfId="262" priority="147429" stopIfTrue="1" operator="equal">
      <formula>"En cours"</formula>
    </cfRule>
  </conditionalFormatting>
  <conditionalFormatting sqref="AJ64">
    <cfRule type="cellIs" dxfId="261" priority="147430" stopIfTrue="1" operator="notEqual">
      <formula>"En cours"</formula>
    </cfRule>
  </conditionalFormatting>
  <conditionalFormatting sqref="AK64">
    <cfRule type="cellIs" dxfId="260" priority="147431" stopIfTrue="1" operator="equal">
      <formula>"En cours"</formula>
    </cfRule>
  </conditionalFormatting>
  <conditionalFormatting sqref="AK64">
    <cfRule type="cellIs" dxfId="259" priority="147432" stopIfTrue="1" operator="notEqual">
      <formula>"En cours"</formula>
    </cfRule>
  </conditionalFormatting>
  <conditionalFormatting sqref="AJ72">
    <cfRule type="cellIs" dxfId="258" priority="147433" stopIfTrue="1" operator="equal">
      <formula>"En cours"</formula>
    </cfRule>
  </conditionalFormatting>
  <conditionalFormatting sqref="AJ72">
    <cfRule type="cellIs" dxfId="257" priority="147434" stopIfTrue="1" operator="notEqual">
      <formula>"En cours"</formula>
    </cfRule>
  </conditionalFormatting>
  <conditionalFormatting sqref="AK72">
    <cfRule type="cellIs" dxfId="256" priority="147435" stopIfTrue="1" operator="equal">
      <formula>"En cours"</formula>
    </cfRule>
  </conditionalFormatting>
  <conditionalFormatting sqref="AK72">
    <cfRule type="cellIs" dxfId="255" priority="147436" stopIfTrue="1" operator="notEqual">
      <formula>"En cours"</formula>
    </cfRule>
  </conditionalFormatting>
  <conditionalFormatting sqref="AJ61">
    <cfRule type="cellIs" dxfId="254" priority="147437" stopIfTrue="1" operator="equal">
      <formula>"En cours"</formula>
    </cfRule>
  </conditionalFormatting>
  <conditionalFormatting sqref="AJ61">
    <cfRule type="cellIs" dxfId="253" priority="147438" stopIfTrue="1" operator="notEqual">
      <formula>"En cours"</formula>
    </cfRule>
  </conditionalFormatting>
  <conditionalFormatting sqref="AK61">
    <cfRule type="cellIs" dxfId="252" priority="147439" stopIfTrue="1" operator="equal">
      <formula>"En cours"</formula>
    </cfRule>
  </conditionalFormatting>
  <conditionalFormatting sqref="AK61">
    <cfRule type="cellIs" dxfId="251" priority="147440" stopIfTrue="1" operator="notEqual">
      <formula>"En cours"</formula>
    </cfRule>
  </conditionalFormatting>
  <conditionalFormatting sqref="AJ68">
    <cfRule type="cellIs" dxfId="250" priority="147441" stopIfTrue="1" operator="equal">
      <formula>"En cours"</formula>
    </cfRule>
  </conditionalFormatting>
  <conditionalFormatting sqref="AJ68">
    <cfRule type="cellIs" dxfId="249" priority="147442" stopIfTrue="1" operator="notEqual">
      <formula>"En cours"</formula>
    </cfRule>
  </conditionalFormatting>
  <conditionalFormatting sqref="AK68">
    <cfRule type="cellIs" dxfId="248" priority="147443" stopIfTrue="1" operator="equal">
      <formula>"En cours"</formula>
    </cfRule>
  </conditionalFormatting>
  <conditionalFormatting sqref="AK68">
    <cfRule type="cellIs" dxfId="247" priority="147444" stopIfTrue="1" operator="notEqual">
      <formula>"En cours"</formula>
    </cfRule>
  </conditionalFormatting>
  <conditionalFormatting sqref="AJ69">
    <cfRule type="cellIs" dxfId="246" priority="147445" stopIfTrue="1" operator="equal">
      <formula>"En cours"</formula>
    </cfRule>
  </conditionalFormatting>
  <conditionalFormatting sqref="AJ69">
    <cfRule type="cellIs" dxfId="245" priority="147446" stopIfTrue="1" operator="notEqual">
      <formula>"En cours"</formula>
    </cfRule>
  </conditionalFormatting>
  <conditionalFormatting sqref="AK69">
    <cfRule type="cellIs" dxfId="244" priority="147447" stopIfTrue="1" operator="equal">
      <formula>"En cours"</formula>
    </cfRule>
  </conditionalFormatting>
  <conditionalFormatting sqref="AK69">
    <cfRule type="cellIs" dxfId="243" priority="147448" stopIfTrue="1" operator="notEqual">
      <formula>"En cours"</formula>
    </cfRule>
  </conditionalFormatting>
  <conditionalFormatting sqref="AJ63">
    <cfRule type="cellIs" dxfId="242" priority="147449" stopIfTrue="1" operator="equal">
      <formula>"En cours"</formula>
    </cfRule>
  </conditionalFormatting>
  <conditionalFormatting sqref="AJ63">
    <cfRule type="cellIs" dxfId="241" priority="147450" stopIfTrue="1" operator="notEqual">
      <formula>"En cours"</formula>
    </cfRule>
  </conditionalFormatting>
  <conditionalFormatting sqref="AK63">
    <cfRule type="cellIs" dxfId="240" priority="147451" stopIfTrue="1" operator="equal">
      <formula>"En cours"</formula>
    </cfRule>
  </conditionalFormatting>
  <conditionalFormatting sqref="AK63">
    <cfRule type="cellIs" dxfId="239" priority="147452" stopIfTrue="1" operator="notEqual">
      <formula>"En cours"</formula>
    </cfRule>
  </conditionalFormatting>
  <conditionalFormatting sqref="AJ71">
    <cfRule type="cellIs" dxfId="238" priority="147453" stopIfTrue="1" operator="equal">
      <formula>"En cours"</formula>
    </cfRule>
  </conditionalFormatting>
  <conditionalFormatting sqref="AJ71">
    <cfRule type="cellIs" dxfId="237" priority="147454" stopIfTrue="1" operator="notEqual">
      <formula>"En cours"</formula>
    </cfRule>
  </conditionalFormatting>
  <conditionalFormatting sqref="AK71">
    <cfRule type="cellIs" dxfId="236" priority="147455" stopIfTrue="1" operator="equal">
      <formula>"En cours"</formula>
    </cfRule>
  </conditionalFormatting>
  <conditionalFormatting sqref="AK71">
    <cfRule type="cellIs" dxfId="235" priority="147456" stopIfTrue="1" operator="notEqual">
      <formula>"En cours"</formula>
    </cfRule>
  </conditionalFormatting>
  <conditionalFormatting sqref="AJ73">
    <cfRule type="cellIs" dxfId="234" priority="147457" stopIfTrue="1" operator="equal">
      <formula>"En cours"</formula>
    </cfRule>
  </conditionalFormatting>
  <conditionalFormatting sqref="AJ73">
    <cfRule type="cellIs" dxfId="233" priority="147458" stopIfTrue="1" operator="notEqual">
      <formula>"En cours"</formula>
    </cfRule>
  </conditionalFormatting>
  <conditionalFormatting sqref="AK73">
    <cfRule type="cellIs" dxfId="232" priority="147459" stopIfTrue="1" operator="equal">
      <formula>"En cours"</formula>
    </cfRule>
  </conditionalFormatting>
  <conditionalFormatting sqref="AK73">
    <cfRule type="cellIs" dxfId="231" priority="147460" stopIfTrue="1" operator="notEqual">
      <formula>"En cours"</formula>
    </cfRule>
  </conditionalFormatting>
  <conditionalFormatting sqref="AJ76">
    <cfRule type="cellIs" dxfId="230" priority="147461" stopIfTrue="1" operator="equal">
      <formula>"En cours"</formula>
    </cfRule>
  </conditionalFormatting>
  <conditionalFormatting sqref="AJ76">
    <cfRule type="cellIs" dxfId="229" priority="147462" stopIfTrue="1" operator="notEqual">
      <formula>"En cours"</formula>
    </cfRule>
  </conditionalFormatting>
  <conditionalFormatting sqref="AK76">
    <cfRule type="cellIs" dxfId="228" priority="147463" stopIfTrue="1" operator="equal">
      <formula>"En cours"</formula>
    </cfRule>
  </conditionalFormatting>
  <conditionalFormatting sqref="AK76">
    <cfRule type="cellIs" dxfId="227" priority="147464" stopIfTrue="1" operator="notEqual">
      <formula>"En cours"</formula>
    </cfRule>
  </conditionalFormatting>
  <conditionalFormatting sqref="AJ74">
    <cfRule type="cellIs" dxfId="226" priority="147465" stopIfTrue="1" operator="equal">
      <formula>"En cours"</formula>
    </cfRule>
  </conditionalFormatting>
  <conditionalFormatting sqref="AJ74">
    <cfRule type="cellIs" dxfId="225" priority="147466" stopIfTrue="1" operator="notEqual">
      <formula>"En cours"</formula>
    </cfRule>
  </conditionalFormatting>
  <conditionalFormatting sqref="AK74">
    <cfRule type="cellIs" dxfId="224" priority="147467" stopIfTrue="1" operator="equal">
      <formula>"En cours"</formula>
    </cfRule>
  </conditionalFormatting>
  <conditionalFormatting sqref="AK74">
    <cfRule type="cellIs" dxfId="223" priority="147468" stopIfTrue="1" operator="notEqual">
      <formula>"En cours"</formula>
    </cfRule>
  </conditionalFormatting>
  <conditionalFormatting sqref="AJ75">
    <cfRule type="cellIs" dxfId="222" priority="147469" stopIfTrue="1" operator="equal">
      <formula>"En cours"</formula>
    </cfRule>
  </conditionalFormatting>
  <conditionalFormatting sqref="AJ75">
    <cfRule type="cellIs" dxfId="221" priority="147470" stopIfTrue="1" operator="notEqual">
      <formula>"En cours"</formula>
    </cfRule>
  </conditionalFormatting>
  <conditionalFormatting sqref="AK75">
    <cfRule type="cellIs" dxfId="220" priority="147471" stopIfTrue="1" operator="equal">
      <formula>"En cours"</formula>
    </cfRule>
  </conditionalFormatting>
  <conditionalFormatting sqref="AK75">
    <cfRule type="cellIs" dxfId="219" priority="147472" stopIfTrue="1" operator="notEqual">
      <formula>"En cours"</formula>
    </cfRule>
  </conditionalFormatting>
  <conditionalFormatting sqref="AJ77">
    <cfRule type="cellIs" dxfId="218" priority="147473" stopIfTrue="1" operator="equal">
      <formula>"En cours"</formula>
    </cfRule>
  </conditionalFormatting>
  <conditionalFormatting sqref="AJ77">
    <cfRule type="cellIs" dxfId="217" priority="147474" stopIfTrue="1" operator="notEqual">
      <formula>"En cours"</formula>
    </cfRule>
  </conditionalFormatting>
  <conditionalFormatting sqref="AK77">
    <cfRule type="cellIs" dxfId="216" priority="147475" stopIfTrue="1" operator="equal">
      <formula>"En cours"</formula>
    </cfRule>
  </conditionalFormatting>
  <conditionalFormatting sqref="AK77">
    <cfRule type="cellIs" dxfId="215" priority="1474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24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20" si="0">IF(MIN(F4,J4,N4,R4,V4,Z4)&lt;&gt;0,MIN(F4,J4,N4,R4,V4,Z4),"")</f>
        <v/>
      </c>
      <c r="AE4" s="163" t="str">
        <f t="shared" ref="AE4:AE20" si="1">IF(MIN(H4,L4,P4,T4,X4,AB4)&lt;&gt;0,MIN(H4,L4,P4,T4,X4,AB4),"")</f>
        <v/>
      </c>
      <c r="AF4" s="163"/>
      <c r="AG4" s="162"/>
      <c r="AH4" s="163"/>
      <c r="AI4" s="162"/>
      <c r="AJ4" s="161" t="str">
        <f t="shared" ref="AJ4:AJ20" si="2">IF(AD4="","",IF(ISBLANK(AF4),"En cours",AD4+AF4))</f>
        <v/>
      </c>
      <c r="AK4" s="161" t="str">
        <f t="shared" ref="AK4:AK20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ref="AD21:AD67" si="4">IF(MIN(F21,J21,N21,R21,V21,Z21)&lt;&gt;0,MIN(F21,J21,N21,R21,V21,Z21),"")</f>
        <v/>
      </c>
      <c r="AE21" s="163" t="str">
        <f t="shared" ref="AE21:AE67" si="5">IF(MIN(H21,L21,P21,T21,X21,AB21)&lt;&gt;0,MIN(H21,L21,P21,T21,X21,AB21),"")</f>
        <v/>
      </c>
      <c r="AF21" s="163"/>
      <c r="AG21" s="162"/>
      <c r="AH21" s="163"/>
      <c r="AI21" s="162"/>
      <c r="AJ21" s="161" t="str">
        <f t="shared" ref="AJ21:AJ67" si="6">IF(AD21="","",IF(ISBLANK(AF21),"En cours",AD21+AF21))</f>
        <v/>
      </c>
      <c r="AK21" s="161" t="str">
        <f t="shared" ref="AK21:AK67" si="7"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4"/>
        <v/>
      </c>
      <c r="AE22" s="163" t="str">
        <f t="shared" si="5"/>
        <v/>
      </c>
      <c r="AF22" s="163"/>
      <c r="AG22" s="162"/>
      <c r="AH22" s="163"/>
      <c r="AI22" s="162"/>
      <c r="AJ22" s="161" t="str">
        <f t="shared" si="6"/>
        <v/>
      </c>
      <c r="AK22" s="161" t="str">
        <f t="shared" si="7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4"/>
        <v/>
      </c>
      <c r="AE23" s="163" t="str">
        <f t="shared" si="5"/>
        <v/>
      </c>
      <c r="AF23" s="163"/>
      <c r="AG23" s="162"/>
      <c r="AH23" s="163"/>
      <c r="AI23" s="162"/>
      <c r="AJ23" s="161" t="str">
        <f t="shared" si="6"/>
        <v/>
      </c>
      <c r="AK23" s="161" t="str">
        <f t="shared" si="7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4"/>
        <v/>
      </c>
      <c r="AE24" s="163" t="str">
        <f t="shared" si="5"/>
        <v/>
      </c>
      <c r="AF24" s="163"/>
      <c r="AG24" s="162"/>
      <c r="AH24" s="163"/>
      <c r="AI24" s="162"/>
      <c r="AJ24" s="161" t="str">
        <f t="shared" si="6"/>
        <v/>
      </c>
      <c r="AK24" s="161" t="str">
        <f t="shared" si="7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4"/>
        <v/>
      </c>
      <c r="AE25" s="163" t="str">
        <f t="shared" si="5"/>
        <v/>
      </c>
      <c r="AF25" s="163"/>
      <c r="AG25" s="162"/>
      <c r="AH25" s="163"/>
      <c r="AI25" s="162"/>
      <c r="AJ25" s="161" t="str">
        <f t="shared" si="6"/>
        <v/>
      </c>
      <c r="AK25" s="161" t="str">
        <f t="shared" si="7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4"/>
        <v/>
      </c>
      <c r="AE26" s="163" t="str">
        <f t="shared" si="5"/>
        <v/>
      </c>
      <c r="AF26" s="163"/>
      <c r="AG26" s="162"/>
      <c r="AH26" s="163"/>
      <c r="AI26" s="162"/>
      <c r="AJ26" s="161" t="str">
        <f t="shared" si="6"/>
        <v/>
      </c>
      <c r="AK26" s="161" t="str">
        <f t="shared" si="7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4"/>
        <v/>
      </c>
      <c r="AE27" s="163" t="str">
        <f t="shared" si="5"/>
        <v/>
      </c>
      <c r="AF27" s="163"/>
      <c r="AG27" s="162"/>
      <c r="AH27" s="163"/>
      <c r="AI27" s="162"/>
      <c r="AJ27" s="161" t="str">
        <f t="shared" si="6"/>
        <v/>
      </c>
      <c r="AK27" s="161" t="str">
        <f t="shared" si="7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4"/>
        <v/>
      </c>
      <c r="AE28" s="163" t="str">
        <f t="shared" si="5"/>
        <v/>
      </c>
      <c r="AF28" s="163"/>
      <c r="AG28" s="162"/>
      <c r="AH28" s="163"/>
      <c r="AI28" s="162"/>
      <c r="AJ28" s="161" t="str">
        <f t="shared" si="6"/>
        <v/>
      </c>
      <c r="AK28" s="161" t="str">
        <f t="shared" si="7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4"/>
        <v/>
      </c>
      <c r="AE29" s="163" t="str">
        <f t="shared" si="5"/>
        <v/>
      </c>
      <c r="AF29" s="163"/>
      <c r="AG29" s="162"/>
      <c r="AH29" s="163"/>
      <c r="AI29" s="162"/>
      <c r="AJ29" s="161" t="str">
        <f t="shared" si="6"/>
        <v/>
      </c>
      <c r="AK29" s="161" t="str">
        <f t="shared" si="7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4"/>
        <v/>
      </c>
      <c r="AE30" s="163" t="str">
        <f t="shared" si="5"/>
        <v/>
      </c>
      <c r="AF30" s="163"/>
      <c r="AG30" s="162"/>
      <c r="AH30" s="163"/>
      <c r="AI30" s="162"/>
      <c r="AJ30" s="161" t="str">
        <f t="shared" si="6"/>
        <v/>
      </c>
      <c r="AK30" s="161" t="str">
        <f t="shared" si="7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4"/>
        <v/>
      </c>
      <c r="AE31" s="163" t="str">
        <f t="shared" si="5"/>
        <v/>
      </c>
      <c r="AF31" s="163"/>
      <c r="AG31" s="162"/>
      <c r="AH31" s="163"/>
      <c r="AI31" s="162"/>
      <c r="AJ31" s="161" t="str">
        <f t="shared" si="6"/>
        <v/>
      </c>
      <c r="AK31" s="161" t="str">
        <f t="shared" si="7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4"/>
        <v/>
      </c>
      <c r="AE32" s="163" t="str">
        <f t="shared" si="5"/>
        <v/>
      </c>
      <c r="AF32" s="163"/>
      <c r="AG32" s="162"/>
      <c r="AH32" s="163"/>
      <c r="AI32" s="162"/>
      <c r="AJ32" s="161" t="str">
        <f t="shared" si="6"/>
        <v/>
      </c>
      <c r="AK32" s="161" t="str">
        <f t="shared" si="7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4"/>
        <v/>
      </c>
      <c r="AE33" s="163" t="str">
        <f t="shared" si="5"/>
        <v/>
      </c>
      <c r="AF33" s="163"/>
      <c r="AG33" s="162"/>
      <c r="AH33" s="163"/>
      <c r="AI33" s="162"/>
      <c r="AJ33" s="161" t="str">
        <f t="shared" si="6"/>
        <v/>
      </c>
      <c r="AK33" s="161" t="str">
        <f t="shared" si="7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4"/>
        <v/>
      </c>
      <c r="AE34" s="129" t="str">
        <f t="shared" si="5"/>
        <v/>
      </c>
      <c r="AF34" s="129"/>
      <c r="AG34" s="128"/>
      <c r="AH34" s="129"/>
      <c r="AI34" s="128"/>
      <c r="AJ34" s="127" t="str">
        <f t="shared" si="6"/>
        <v/>
      </c>
      <c r="AK34" s="127" t="str">
        <f t="shared" si="7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4"/>
        <v/>
      </c>
      <c r="AE35" s="129" t="str">
        <f t="shared" si="5"/>
        <v/>
      </c>
      <c r="AF35" s="129"/>
      <c r="AG35" s="128"/>
      <c r="AH35" s="129"/>
      <c r="AI35" s="128"/>
      <c r="AJ35" s="127" t="str">
        <f t="shared" si="6"/>
        <v/>
      </c>
      <c r="AK35" s="127" t="str">
        <f t="shared" si="7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si="4"/>
        <v/>
      </c>
      <c r="AE36" s="126" t="str">
        <f t="shared" si="5"/>
        <v/>
      </c>
      <c r="AF36" s="126"/>
      <c r="AG36" s="125"/>
      <c r="AH36" s="126"/>
      <c r="AI36" s="125"/>
      <c r="AJ36" s="124" t="str">
        <f t="shared" si="6"/>
        <v/>
      </c>
      <c r="AK36" s="124" t="str">
        <f t="shared" si="7"/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4"/>
        <v/>
      </c>
      <c r="AE37" s="97" t="str">
        <f t="shared" si="5"/>
        <v/>
      </c>
      <c r="AF37" s="97"/>
      <c r="AG37" s="96"/>
      <c r="AH37" s="97"/>
      <c r="AI37" s="96"/>
      <c r="AJ37" s="98" t="str">
        <f t="shared" si="6"/>
        <v/>
      </c>
      <c r="AK37" s="99" t="str">
        <f t="shared" si="7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4"/>
        <v/>
      </c>
      <c r="AE38" s="97" t="str">
        <f t="shared" si="5"/>
        <v/>
      </c>
      <c r="AF38" s="97"/>
      <c r="AG38" s="96"/>
      <c r="AH38" s="97"/>
      <c r="AI38" s="96"/>
      <c r="AJ38" s="98" t="str">
        <f t="shared" si="6"/>
        <v/>
      </c>
      <c r="AK38" s="99" t="str">
        <f t="shared" si="7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4"/>
        <v/>
      </c>
      <c r="AE39" s="97" t="str">
        <f t="shared" si="5"/>
        <v/>
      </c>
      <c r="AF39" s="97"/>
      <c r="AG39" s="96"/>
      <c r="AH39" s="97"/>
      <c r="AI39" s="96"/>
      <c r="AJ39" s="98" t="str">
        <f t="shared" si="6"/>
        <v/>
      </c>
      <c r="AK39" s="99" t="str">
        <f t="shared" si="7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4"/>
        <v/>
      </c>
      <c r="AE40" s="97" t="str">
        <f t="shared" si="5"/>
        <v/>
      </c>
      <c r="AF40" s="97"/>
      <c r="AG40" s="96"/>
      <c r="AH40" s="97"/>
      <c r="AI40" s="96"/>
      <c r="AJ40" s="98" t="str">
        <f t="shared" si="6"/>
        <v/>
      </c>
      <c r="AK40" s="99" t="str">
        <f t="shared" si="7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4"/>
        <v/>
      </c>
      <c r="AE41" s="97" t="str">
        <f t="shared" si="5"/>
        <v/>
      </c>
      <c r="AF41" s="97"/>
      <c r="AG41" s="96"/>
      <c r="AH41" s="97"/>
      <c r="AI41" s="96"/>
      <c r="AJ41" s="98" t="str">
        <f t="shared" si="6"/>
        <v/>
      </c>
      <c r="AK41" s="99" t="str">
        <f t="shared" si="7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4"/>
        <v/>
      </c>
      <c r="AE42" s="97" t="str">
        <f t="shared" si="5"/>
        <v/>
      </c>
      <c r="AF42" s="97"/>
      <c r="AG42" s="96"/>
      <c r="AH42" s="97"/>
      <c r="AI42" s="96"/>
      <c r="AJ42" s="98" t="str">
        <f t="shared" si="6"/>
        <v/>
      </c>
      <c r="AK42" s="99" t="str">
        <f t="shared" si="7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4"/>
        <v/>
      </c>
      <c r="AE43" s="97" t="str">
        <f t="shared" si="5"/>
        <v/>
      </c>
      <c r="AF43" s="97"/>
      <c r="AG43" s="96"/>
      <c r="AH43" s="97"/>
      <c r="AI43" s="96"/>
      <c r="AJ43" s="98" t="str">
        <f t="shared" si="6"/>
        <v/>
      </c>
      <c r="AK43" s="99" t="str">
        <f t="shared" si="7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4"/>
        <v/>
      </c>
      <c r="AE44" s="97" t="str">
        <f t="shared" si="5"/>
        <v/>
      </c>
      <c r="AF44" s="97"/>
      <c r="AG44" s="96"/>
      <c r="AH44" s="97"/>
      <c r="AI44" s="96"/>
      <c r="AJ44" s="98" t="str">
        <f t="shared" si="6"/>
        <v/>
      </c>
      <c r="AK44" s="99" t="str">
        <f t="shared" si="7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4"/>
        <v/>
      </c>
      <c r="AE45" s="97" t="str">
        <f t="shared" si="5"/>
        <v/>
      </c>
      <c r="AF45" s="97"/>
      <c r="AG45" s="96"/>
      <c r="AH45" s="97"/>
      <c r="AI45" s="96"/>
      <c r="AJ45" s="98" t="str">
        <f t="shared" si="6"/>
        <v/>
      </c>
      <c r="AK45" s="99" t="str">
        <f t="shared" si="7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4"/>
        <v/>
      </c>
      <c r="AE46" s="97" t="str">
        <f t="shared" si="5"/>
        <v/>
      </c>
      <c r="AF46" s="97"/>
      <c r="AG46" s="96"/>
      <c r="AH46" s="97"/>
      <c r="AI46" s="96"/>
      <c r="AJ46" s="98" t="str">
        <f t="shared" si="6"/>
        <v/>
      </c>
      <c r="AK46" s="99" t="str">
        <f t="shared" si="7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4"/>
        <v/>
      </c>
      <c r="AE47" s="97" t="str">
        <f t="shared" si="5"/>
        <v/>
      </c>
      <c r="AF47" s="97"/>
      <c r="AG47" s="96"/>
      <c r="AH47" s="97"/>
      <c r="AI47" s="96"/>
      <c r="AJ47" s="98" t="str">
        <f t="shared" si="6"/>
        <v/>
      </c>
      <c r="AK47" s="99" t="str">
        <f t="shared" si="7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4"/>
        <v/>
      </c>
      <c r="AE48" s="76" t="str">
        <f t="shared" si="5"/>
        <v/>
      </c>
      <c r="AF48" s="77"/>
      <c r="AG48" s="73"/>
      <c r="AH48" s="77"/>
      <c r="AI48" s="73"/>
      <c r="AJ48" s="78" t="str">
        <f t="shared" si="6"/>
        <v/>
      </c>
      <c r="AK48" s="79" t="str">
        <f t="shared" si="7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4"/>
        <v/>
      </c>
      <c r="AE49" s="76" t="str">
        <f t="shared" si="5"/>
        <v/>
      </c>
      <c r="AF49" s="77"/>
      <c r="AG49" s="73"/>
      <c r="AH49" s="77"/>
      <c r="AI49" s="73"/>
      <c r="AJ49" s="78" t="str">
        <f t="shared" si="6"/>
        <v/>
      </c>
      <c r="AK49" s="79" t="str">
        <f t="shared" si="7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4"/>
        <v/>
      </c>
      <c r="AE50" s="76" t="str">
        <f t="shared" si="5"/>
        <v/>
      </c>
      <c r="AF50" s="77"/>
      <c r="AG50" s="73"/>
      <c r="AH50" s="77"/>
      <c r="AI50" s="73"/>
      <c r="AJ50" s="78" t="str">
        <f t="shared" si="6"/>
        <v/>
      </c>
      <c r="AK50" s="79" t="str">
        <f t="shared" si="7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4"/>
        <v/>
      </c>
      <c r="AE51" s="76" t="str">
        <f t="shared" si="5"/>
        <v/>
      </c>
      <c r="AF51" s="77"/>
      <c r="AG51" s="73"/>
      <c r="AH51" s="77"/>
      <c r="AI51" s="73"/>
      <c r="AJ51" s="78" t="str">
        <f t="shared" si="6"/>
        <v/>
      </c>
      <c r="AK51" s="79" t="str">
        <f t="shared" si="7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4"/>
        <v/>
      </c>
      <c r="AE52" s="76" t="str">
        <f t="shared" si="5"/>
        <v/>
      </c>
      <c r="AF52" s="77"/>
      <c r="AG52" s="73"/>
      <c r="AH52" s="77"/>
      <c r="AI52" s="73"/>
      <c r="AJ52" s="78" t="str">
        <f t="shared" si="6"/>
        <v/>
      </c>
      <c r="AK52" s="79" t="str">
        <f t="shared" si="7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4"/>
        <v/>
      </c>
      <c r="AE53" s="76" t="str">
        <f t="shared" si="5"/>
        <v/>
      </c>
      <c r="AF53" s="77"/>
      <c r="AG53" s="73"/>
      <c r="AH53" s="77"/>
      <c r="AI53" s="73"/>
      <c r="AJ53" s="78" t="str">
        <f t="shared" si="6"/>
        <v/>
      </c>
      <c r="AK53" s="79" t="str">
        <f t="shared" si="7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4"/>
        <v/>
      </c>
      <c r="AE54" s="76" t="str">
        <f t="shared" si="5"/>
        <v/>
      </c>
      <c r="AF54" s="77"/>
      <c r="AG54" s="73"/>
      <c r="AH54" s="77"/>
      <c r="AI54" s="73"/>
      <c r="AJ54" s="78" t="str">
        <f t="shared" si="6"/>
        <v/>
      </c>
      <c r="AK54" s="79" t="str">
        <f t="shared" si="7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4"/>
        <v/>
      </c>
      <c r="AE55" s="76" t="str">
        <f t="shared" si="5"/>
        <v/>
      </c>
      <c r="AF55" s="77"/>
      <c r="AG55" s="73"/>
      <c r="AH55" s="77"/>
      <c r="AI55" s="73"/>
      <c r="AJ55" s="78" t="str">
        <f t="shared" si="6"/>
        <v/>
      </c>
      <c r="AK55" s="79" t="str">
        <f t="shared" si="7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4"/>
        <v/>
      </c>
      <c r="AE56" s="76" t="str">
        <f t="shared" si="5"/>
        <v/>
      </c>
      <c r="AF56" s="77"/>
      <c r="AG56" s="73"/>
      <c r="AH56" s="77"/>
      <c r="AI56" s="73"/>
      <c r="AJ56" s="78" t="str">
        <f t="shared" si="6"/>
        <v/>
      </c>
      <c r="AK56" s="79" t="str">
        <f t="shared" si="7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4"/>
        <v/>
      </c>
      <c r="AE57" s="76" t="str">
        <f t="shared" si="5"/>
        <v/>
      </c>
      <c r="AF57" s="77"/>
      <c r="AG57" s="73"/>
      <c r="AH57" s="77"/>
      <c r="AI57" s="73"/>
      <c r="AJ57" s="78" t="str">
        <f t="shared" si="6"/>
        <v/>
      </c>
      <c r="AK57" s="79" t="str">
        <f t="shared" si="7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4"/>
        <v/>
      </c>
      <c r="AE58" s="76" t="str">
        <f t="shared" si="5"/>
        <v/>
      </c>
      <c r="AF58" s="77"/>
      <c r="AG58" s="73"/>
      <c r="AH58" s="77"/>
      <c r="AI58" s="73"/>
      <c r="AJ58" s="78" t="str">
        <f t="shared" si="6"/>
        <v/>
      </c>
      <c r="AK58" s="79" t="str">
        <f t="shared" si="7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4"/>
        <v/>
      </c>
      <c r="AE59" s="76" t="str">
        <f t="shared" si="5"/>
        <v/>
      </c>
      <c r="AF59" s="77"/>
      <c r="AG59" s="73"/>
      <c r="AH59" s="77"/>
      <c r="AI59" s="73"/>
      <c r="AJ59" s="78" t="str">
        <f t="shared" si="6"/>
        <v/>
      </c>
      <c r="AK59" s="79" t="str">
        <f t="shared" si="7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4"/>
        <v/>
      </c>
      <c r="AE60" s="76" t="str">
        <f t="shared" si="5"/>
        <v/>
      </c>
      <c r="AF60" s="77"/>
      <c r="AG60" s="73"/>
      <c r="AH60" s="77"/>
      <c r="AI60" s="73"/>
      <c r="AJ60" s="78" t="str">
        <f t="shared" si="6"/>
        <v/>
      </c>
      <c r="AK60" s="79" t="str">
        <f t="shared" si="7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4"/>
        <v/>
      </c>
      <c r="AE61" s="76" t="str">
        <f t="shared" si="5"/>
        <v/>
      </c>
      <c r="AF61" s="77"/>
      <c r="AG61" s="73"/>
      <c r="AH61" s="77"/>
      <c r="AI61" s="73"/>
      <c r="AJ61" s="78" t="str">
        <f t="shared" si="6"/>
        <v/>
      </c>
      <c r="AK61" s="79" t="str">
        <f t="shared" si="7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4"/>
        <v/>
      </c>
      <c r="AE62" s="76" t="str">
        <f t="shared" si="5"/>
        <v/>
      </c>
      <c r="AF62" s="77"/>
      <c r="AG62" s="73"/>
      <c r="AH62" s="77"/>
      <c r="AI62" s="73"/>
      <c r="AJ62" s="78" t="str">
        <f t="shared" si="6"/>
        <v/>
      </c>
      <c r="AK62" s="79" t="str">
        <f t="shared" si="7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4"/>
        <v/>
      </c>
      <c r="AE63" s="76" t="str">
        <f t="shared" si="5"/>
        <v/>
      </c>
      <c r="AF63" s="77"/>
      <c r="AG63" s="73"/>
      <c r="AH63" s="77"/>
      <c r="AI63" s="73"/>
      <c r="AJ63" s="78" t="str">
        <f t="shared" si="6"/>
        <v/>
      </c>
      <c r="AK63" s="79" t="str">
        <f t="shared" si="7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4"/>
        <v/>
      </c>
      <c r="AE64" s="76" t="str">
        <f t="shared" si="5"/>
        <v/>
      </c>
      <c r="AF64" s="77"/>
      <c r="AG64" s="73"/>
      <c r="AH64" s="77"/>
      <c r="AI64" s="73"/>
      <c r="AJ64" s="78" t="str">
        <f t="shared" si="6"/>
        <v/>
      </c>
      <c r="AK64" s="79" t="str">
        <f t="shared" si="7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4"/>
        <v/>
      </c>
      <c r="AE65" s="76" t="str">
        <f t="shared" si="5"/>
        <v/>
      </c>
      <c r="AF65" s="77"/>
      <c r="AG65" s="73"/>
      <c r="AH65" s="77"/>
      <c r="AI65" s="73"/>
      <c r="AJ65" s="78" t="str">
        <f t="shared" si="6"/>
        <v/>
      </c>
      <c r="AK65" s="79" t="str">
        <f t="shared" si="7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4"/>
        <v/>
      </c>
      <c r="AE66" s="76" t="str">
        <f t="shared" si="5"/>
        <v/>
      </c>
      <c r="AF66" s="77"/>
      <c r="AG66" s="73"/>
      <c r="AH66" s="77"/>
      <c r="AI66" s="73"/>
      <c r="AJ66" s="78" t="str">
        <f t="shared" si="6"/>
        <v/>
      </c>
      <c r="AK66" s="79" t="str">
        <f t="shared" si="7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4"/>
        <v/>
      </c>
      <c r="AE67" s="76" t="str">
        <f t="shared" si="5"/>
        <v/>
      </c>
      <c r="AF67" s="77"/>
      <c r="AG67" s="73"/>
      <c r="AH67" s="77"/>
      <c r="AI67" s="73"/>
      <c r="AJ67" s="78" t="str">
        <f t="shared" si="6"/>
        <v/>
      </c>
      <c r="AK67" s="79" t="str">
        <f t="shared" si="7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8">IF(MIN(F68,J68,N68,R68,V68,Z68)&lt;&gt;0,MIN(F68,J68,N68,R68,V68,Z68),"")</f>
        <v/>
      </c>
      <c r="AE68" s="76" t="str">
        <f t="shared" ref="AE68:AE131" si="9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10">IF(AD68="","",IF(ISBLANK(AF68),"En cours",AD68+AF68))</f>
        <v/>
      </c>
      <c r="AK68" s="79" t="str">
        <f t="shared" ref="AK68:AK131" si="11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8"/>
        <v/>
      </c>
      <c r="AE69" s="76" t="str">
        <f t="shared" si="9"/>
        <v/>
      </c>
      <c r="AF69" s="77"/>
      <c r="AG69" s="73"/>
      <c r="AH69" s="77"/>
      <c r="AI69" s="73"/>
      <c r="AJ69" s="78" t="str">
        <f t="shared" si="10"/>
        <v/>
      </c>
      <c r="AK69" s="79" t="str">
        <f t="shared" si="11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8"/>
        <v/>
      </c>
      <c r="AE70" s="76" t="str">
        <f t="shared" si="9"/>
        <v/>
      </c>
      <c r="AF70" s="77"/>
      <c r="AG70" s="73"/>
      <c r="AH70" s="77"/>
      <c r="AI70" s="73"/>
      <c r="AJ70" s="78" t="str">
        <f t="shared" si="10"/>
        <v/>
      </c>
      <c r="AK70" s="79" t="str">
        <f t="shared" si="11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8"/>
        <v/>
      </c>
      <c r="AE71" s="76" t="str">
        <f t="shared" si="9"/>
        <v/>
      </c>
      <c r="AF71" s="77"/>
      <c r="AG71" s="73"/>
      <c r="AH71" s="77"/>
      <c r="AI71" s="73"/>
      <c r="AJ71" s="78" t="str">
        <f t="shared" si="10"/>
        <v/>
      </c>
      <c r="AK71" s="79" t="str">
        <f t="shared" si="11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8"/>
        <v/>
      </c>
      <c r="AE72" s="76" t="str">
        <f t="shared" si="9"/>
        <v/>
      </c>
      <c r="AF72" s="77"/>
      <c r="AG72" s="73"/>
      <c r="AH72" s="77"/>
      <c r="AI72" s="73"/>
      <c r="AJ72" s="78" t="str">
        <f t="shared" si="10"/>
        <v/>
      </c>
      <c r="AK72" s="79" t="str">
        <f t="shared" si="11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8"/>
        <v/>
      </c>
      <c r="AE73" s="76" t="str">
        <f t="shared" si="9"/>
        <v/>
      </c>
      <c r="AF73" s="77"/>
      <c r="AG73" s="73"/>
      <c r="AH73" s="77"/>
      <c r="AI73" s="73"/>
      <c r="AJ73" s="78" t="str">
        <f t="shared" si="10"/>
        <v/>
      </c>
      <c r="AK73" s="79" t="str">
        <f t="shared" si="11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8"/>
        <v/>
      </c>
      <c r="AE74" s="76" t="str">
        <f t="shared" si="9"/>
        <v/>
      </c>
      <c r="AF74" s="77"/>
      <c r="AG74" s="73"/>
      <c r="AH74" s="77"/>
      <c r="AI74" s="73"/>
      <c r="AJ74" s="78" t="str">
        <f t="shared" si="10"/>
        <v/>
      </c>
      <c r="AK74" s="79" t="str">
        <f t="shared" si="11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8"/>
        <v/>
      </c>
      <c r="AE75" s="76" t="str">
        <f t="shared" si="9"/>
        <v/>
      </c>
      <c r="AF75" s="77"/>
      <c r="AG75" s="73"/>
      <c r="AH75" s="77"/>
      <c r="AI75" s="73"/>
      <c r="AJ75" s="78" t="str">
        <f t="shared" si="10"/>
        <v/>
      </c>
      <c r="AK75" s="79" t="str">
        <f t="shared" si="11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8"/>
        <v/>
      </c>
      <c r="AE76" s="76" t="str">
        <f t="shared" si="9"/>
        <v/>
      </c>
      <c r="AF76" s="77"/>
      <c r="AG76" s="73"/>
      <c r="AH76" s="77"/>
      <c r="AI76" s="73"/>
      <c r="AJ76" s="78" t="str">
        <f t="shared" si="10"/>
        <v/>
      </c>
      <c r="AK76" s="79" t="str">
        <f t="shared" si="11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8"/>
        <v/>
      </c>
      <c r="AE77" s="76" t="str">
        <f t="shared" si="9"/>
        <v/>
      </c>
      <c r="AF77" s="77"/>
      <c r="AG77" s="73"/>
      <c r="AH77" s="77"/>
      <c r="AI77" s="73"/>
      <c r="AJ77" s="78" t="str">
        <f t="shared" si="10"/>
        <v/>
      </c>
      <c r="AK77" s="79" t="str">
        <f t="shared" si="11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8"/>
        <v/>
      </c>
      <c r="AE78" s="76" t="str">
        <f t="shared" si="9"/>
        <v/>
      </c>
      <c r="AF78" s="77"/>
      <c r="AG78" s="73"/>
      <c r="AH78" s="77"/>
      <c r="AI78" s="73"/>
      <c r="AJ78" s="78" t="str">
        <f t="shared" si="10"/>
        <v/>
      </c>
      <c r="AK78" s="79" t="str">
        <f t="shared" si="11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8"/>
        <v/>
      </c>
      <c r="AE79" s="76" t="str">
        <f t="shared" si="9"/>
        <v/>
      </c>
      <c r="AF79" s="77"/>
      <c r="AG79" s="73"/>
      <c r="AH79" s="77"/>
      <c r="AI79" s="73"/>
      <c r="AJ79" s="78" t="str">
        <f t="shared" si="10"/>
        <v/>
      </c>
      <c r="AK79" s="79" t="str">
        <f t="shared" si="11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8"/>
        <v/>
      </c>
      <c r="AE80" s="76" t="str">
        <f t="shared" si="9"/>
        <v/>
      </c>
      <c r="AF80" s="77"/>
      <c r="AG80" s="73"/>
      <c r="AH80" s="77"/>
      <c r="AI80" s="73"/>
      <c r="AJ80" s="78" t="str">
        <f t="shared" si="10"/>
        <v/>
      </c>
      <c r="AK80" s="79" t="str">
        <f t="shared" si="11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8"/>
        <v/>
      </c>
      <c r="AE81" s="76" t="str">
        <f t="shared" si="9"/>
        <v/>
      </c>
      <c r="AF81" s="77"/>
      <c r="AG81" s="73"/>
      <c r="AH81" s="77"/>
      <c r="AI81" s="73"/>
      <c r="AJ81" s="78" t="str">
        <f t="shared" si="10"/>
        <v/>
      </c>
      <c r="AK81" s="79" t="str">
        <f t="shared" si="11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8"/>
        <v/>
      </c>
      <c r="AE82" s="76" t="str">
        <f t="shared" si="9"/>
        <v/>
      </c>
      <c r="AF82" s="77"/>
      <c r="AG82" s="73"/>
      <c r="AH82" s="77"/>
      <c r="AI82" s="73"/>
      <c r="AJ82" s="78" t="str">
        <f t="shared" si="10"/>
        <v/>
      </c>
      <c r="AK82" s="79" t="str">
        <f t="shared" si="11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8"/>
        <v/>
      </c>
      <c r="AE83" s="76" t="str">
        <f t="shared" si="9"/>
        <v/>
      </c>
      <c r="AF83" s="77"/>
      <c r="AG83" s="73"/>
      <c r="AH83" s="77"/>
      <c r="AI83" s="73"/>
      <c r="AJ83" s="78" t="str">
        <f t="shared" si="10"/>
        <v/>
      </c>
      <c r="AK83" s="79" t="str">
        <f t="shared" si="11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8"/>
        <v/>
      </c>
      <c r="AE84" s="76" t="str">
        <f t="shared" si="9"/>
        <v/>
      </c>
      <c r="AF84" s="77"/>
      <c r="AG84" s="73"/>
      <c r="AH84" s="77"/>
      <c r="AI84" s="73"/>
      <c r="AJ84" s="78" t="str">
        <f t="shared" si="10"/>
        <v/>
      </c>
      <c r="AK84" s="79" t="str">
        <f t="shared" si="11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8"/>
        <v/>
      </c>
      <c r="AE85" s="76" t="str">
        <f t="shared" si="9"/>
        <v/>
      </c>
      <c r="AF85" s="77"/>
      <c r="AG85" s="73"/>
      <c r="AH85" s="77"/>
      <c r="AI85" s="73"/>
      <c r="AJ85" s="78" t="str">
        <f t="shared" si="10"/>
        <v/>
      </c>
      <c r="AK85" s="79" t="str">
        <f t="shared" si="11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8"/>
        <v/>
      </c>
      <c r="AE86" s="76" t="str">
        <f t="shared" si="9"/>
        <v/>
      </c>
      <c r="AF86" s="77"/>
      <c r="AG86" s="73"/>
      <c r="AH86" s="77"/>
      <c r="AI86" s="73"/>
      <c r="AJ86" s="78" t="str">
        <f t="shared" si="10"/>
        <v/>
      </c>
      <c r="AK86" s="79" t="str">
        <f t="shared" si="11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8"/>
        <v/>
      </c>
      <c r="AE87" s="76" t="str">
        <f t="shared" si="9"/>
        <v/>
      </c>
      <c r="AF87" s="77"/>
      <c r="AG87" s="73"/>
      <c r="AH87" s="77"/>
      <c r="AI87" s="73"/>
      <c r="AJ87" s="78" t="str">
        <f t="shared" si="10"/>
        <v/>
      </c>
      <c r="AK87" s="79" t="str">
        <f t="shared" si="11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8"/>
        <v/>
      </c>
      <c r="AE88" s="76" t="str">
        <f t="shared" si="9"/>
        <v/>
      </c>
      <c r="AF88" s="77"/>
      <c r="AG88" s="73"/>
      <c r="AH88" s="77"/>
      <c r="AI88" s="73"/>
      <c r="AJ88" s="78" t="str">
        <f t="shared" si="10"/>
        <v/>
      </c>
      <c r="AK88" s="79" t="str">
        <f t="shared" si="11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8"/>
        <v/>
      </c>
      <c r="AE89" s="76" t="str">
        <f t="shared" si="9"/>
        <v/>
      </c>
      <c r="AF89" s="77"/>
      <c r="AG89" s="73"/>
      <c r="AH89" s="77"/>
      <c r="AI89" s="73"/>
      <c r="AJ89" s="78" t="str">
        <f t="shared" si="10"/>
        <v/>
      </c>
      <c r="AK89" s="79" t="str">
        <f t="shared" si="11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8"/>
        <v/>
      </c>
      <c r="AE90" s="76" t="str">
        <f t="shared" si="9"/>
        <v/>
      </c>
      <c r="AF90" s="77"/>
      <c r="AG90" s="73"/>
      <c r="AH90" s="77"/>
      <c r="AI90" s="73"/>
      <c r="AJ90" s="78" t="str">
        <f t="shared" si="10"/>
        <v/>
      </c>
      <c r="AK90" s="79" t="str">
        <f t="shared" si="11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8"/>
        <v/>
      </c>
      <c r="AE91" s="76" t="str">
        <f t="shared" si="9"/>
        <v/>
      </c>
      <c r="AF91" s="77"/>
      <c r="AG91" s="73"/>
      <c r="AH91" s="77"/>
      <c r="AI91" s="73"/>
      <c r="AJ91" s="78" t="str">
        <f t="shared" si="10"/>
        <v/>
      </c>
      <c r="AK91" s="79" t="str">
        <f t="shared" si="11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8"/>
        <v/>
      </c>
      <c r="AE92" s="76" t="str">
        <f t="shared" si="9"/>
        <v/>
      </c>
      <c r="AF92" s="77"/>
      <c r="AG92" s="73"/>
      <c r="AH92" s="77"/>
      <c r="AI92" s="73"/>
      <c r="AJ92" s="78" t="str">
        <f t="shared" si="10"/>
        <v/>
      </c>
      <c r="AK92" s="79" t="str">
        <f t="shared" si="11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8"/>
        <v/>
      </c>
      <c r="AE93" s="76" t="str">
        <f t="shared" si="9"/>
        <v/>
      </c>
      <c r="AF93" s="77"/>
      <c r="AG93" s="73"/>
      <c r="AH93" s="77"/>
      <c r="AI93" s="73"/>
      <c r="AJ93" s="78" t="str">
        <f t="shared" si="10"/>
        <v/>
      </c>
      <c r="AK93" s="79" t="str">
        <f t="shared" si="11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8"/>
        <v/>
      </c>
      <c r="AE94" s="76" t="str">
        <f t="shared" si="9"/>
        <v/>
      </c>
      <c r="AF94" s="77"/>
      <c r="AG94" s="73"/>
      <c r="AH94" s="77"/>
      <c r="AI94" s="73"/>
      <c r="AJ94" s="78" t="str">
        <f t="shared" si="10"/>
        <v/>
      </c>
      <c r="AK94" s="79" t="str">
        <f t="shared" si="11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8"/>
        <v/>
      </c>
      <c r="AE95" s="76" t="str">
        <f t="shared" si="9"/>
        <v/>
      </c>
      <c r="AF95" s="77"/>
      <c r="AG95" s="73"/>
      <c r="AH95" s="77"/>
      <c r="AI95" s="73"/>
      <c r="AJ95" s="78" t="str">
        <f t="shared" si="10"/>
        <v/>
      </c>
      <c r="AK95" s="79" t="str">
        <f t="shared" si="11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8"/>
        <v/>
      </c>
      <c r="AE96" s="76" t="str">
        <f t="shared" si="9"/>
        <v/>
      </c>
      <c r="AF96" s="77"/>
      <c r="AG96" s="73"/>
      <c r="AH96" s="77"/>
      <c r="AI96" s="73"/>
      <c r="AJ96" s="78" t="str">
        <f t="shared" si="10"/>
        <v/>
      </c>
      <c r="AK96" s="79" t="str">
        <f t="shared" si="11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8"/>
        <v/>
      </c>
      <c r="AE97" s="76" t="str">
        <f t="shared" si="9"/>
        <v/>
      </c>
      <c r="AF97" s="77"/>
      <c r="AG97" s="73"/>
      <c r="AH97" s="77"/>
      <c r="AI97" s="73"/>
      <c r="AJ97" s="78" t="str">
        <f t="shared" si="10"/>
        <v/>
      </c>
      <c r="AK97" s="79" t="str">
        <f t="shared" si="11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8"/>
        <v/>
      </c>
      <c r="AE98" s="76" t="str">
        <f t="shared" si="9"/>
        <v/>
      </c>
      <c r="AF98" s="77"/>
      <c r="AG98" s="73"/>
      <c r="AH98" s="77"/>
      <c r="AI98" s="73"/>
      <c r="AJ98" s="78" t="str">
        <f t="shared" si="10"/>
        <v/>
      </c>
      <c r="AK98" s="79" t="str">
        <f t="shared" si="11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8"/>
        <v/>
      </c>
      <c r="AE99" s="76" t="str">
        <f t="shared" si="9"/>
        <v/>
      </c>
      <c r="AF99" s="77"/>
      <c r="AG99" s="73"/>
      <c r="AH99" s="77"/>
      <c r="AI99" s="73"/>
      <c r="AJ99" s="78" t="str">
        <f t="shared" si="10"/>
        <v/>
      </c>
      <c r="AK99" s="79" t="str">
        <f t="shared" si="11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8"/>
        <v/>
      </c>
      <c r="AE100" s="76" t="str">
        <f t="shared" si="9"/>
        <v/>
      </c>
      <c r="AF100" s="77"/>
      <c r="AG100" s="73"/>
      <c r="AH100" s="77"/>
      <c r="AI100" s="73"/>
      <c r="AJ100" s="78" t="str">
        <f t="shared" si="10"/>
        <v/>
      </c>
      <c r="AK100" s="79" t="str">
        <f t="shared" si="11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8"/>
        <v/>
      </c>
      <c r="AE101" s="76" t="str">
        <f t="shared" si="9"/>
        <v/>
      </c>
      <c r="AF101" s="77"/>
      <c r="AG101" s="73"/>
      <c r="AH101" s="77"/>
      <c r="AI101" s="73"/>
      <c r="AJ101" s="78" t="str">
        <f t="shared" si="10"/>
        <v/>
      </c>
      <c r="AK101" s="79" t="str">
        <f t="shared" si="11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8"/>
        <v/>
      </c>
      <c r="AE102" s="76" t="str">
        <f t="shared" si="9"/>
        <v/>
      </c>
      <c r="AF102" s="77"/>
      <c r="AG102" s="73"/>
      <c r="AH102" s="77"/>
      <c r="AI102" s="73"/>
      <c r="AJ102" s="78" t="str">
        <f t="shared" si="10"/>
        <v/>
      </c>
      <c r="AK102" s="79" t="str">
        <f t="shared" si="11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8"/>
        <v/>
      </c>
      <c r="AE103" s="76" t="str">
        <f t="shared" si="9"/>
        <v/>
      </c>
      <c r="AF103" s="77"/>
      <c r="AG103" s="73"/>
      <c r="AH103" s="77"/>
      <c r="AI103" s="73"/>
      <c r="AJ103" s="78" t="str">
        <f t="shared" si="10"/>
        <v/>
      </c>
      <c r="AK103" s="79" t="str">
        <f t="shared" si="11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8"/>
        <v/>
      </c>
      <c r="AE104" s="76" t="str">
        <f t="shared" si="9"/>
        <v/>
      </c>
      <c r="AF104" s="77"/>
      <c r="AG104" s="73"/>
      <c r="AH104" s="77"/>
      <c r="AI104" s="73"/>
      <c r="AJ104" s="78" t="str">
        <f t="shared" si="10"/>
        <v/>
      </c>
      <c r="AK104" s="79" t="str">
        <f t="shared" si="11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8"/>
        <v/>
      </c>
      <c r="AE105" s="76" t="str">
        <f t="shared" si="9"/>
        <v/>
      </c>
      <c r="AF105" s="77"/>
      <c r="AG105" s="73"/>
      <c r="AH105" s="77"/>
      <c r="AI105" s="73"/>
      <c r="AJ105" s="78" t="str">
        <f t="shared" si="10"/>
        <v/>
      </c>
      <c r="AK105" s="79" t="str">
        <f t="shared" si="11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8"/>
        <v/>
      </c>
      <c r="AE106" s="76" t="str">
        <f t="shared" si="9"/>
        <v/>
      </c>
      <c r="AF106" s="77"/>
      <c r="AG106" s="73"/>
      <c r="AH106" s="77"/>
      <c r="AI106" s="73"/>
      <c r="AJ106" s="78" t="str">
        <f t="shared" si="10"/>
        <v/>
      </c>
      <c r="AK106" s="79" t="str">
        <f t="shared" si="11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8"/>
        <v/>
      </c>
      <c r="AE107" s="76" t="str">
        <f t="shared" si="9"/>
        <v/>
      </c>
      <c r="AF107" s="77"/>
      <c r="AG107" s="73"/>
      <c r="AH107" s="77"/>
      <c r="AI107" s="73"/>
      <c r="AJ107" s="78" t="str">
        <f t="shared" si="10"/>
        <v/>
      </c>
      <c r="AK107" s="79" t="str">
        <f t="shared" si="11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8"/>
        <v/>
      </c>
      <c r="AE108" s="76" t="str">
        <f t="shared" si="9"/>
        <v/>
      </c>
      <c r="AF108" s="77"/>
      <c r="AG108" s="73"/>
      <c r="AH108" s="77"/>
      <c r="AI108" s="73"/>
      <c r="AJ108" s="78" t="str">
        <f t="shared" si="10"/>
        <v/>
      </c>
      <c r="AK108" s="79" t="str">
        <f t="shared" si="11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8"/>
        <v/>
      </c>
      <c r="AE109" s="76" t="str">
        <f t="shared" si="9"/>
        <v/>
      </c>
      <c r="AF109" s="77"/>
      <c r="AG109" s="73"/>
      <c r="AH109" s="77"/>
      <c r="AI109" s="73"/>
      <c r="AJ109" s="78" t="str">
        <f t="shared" si="10"/>
        <v/>
      </c>
      <c r="AK109" s="79" t="str">
        <f t="shared" si="11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8"/>
        <v/>
      </c>
      <c r="AE110" s="76" t="str">
        <f t="shared" si="9"/>
        <v/>
      </c>
      <c r="AF110" s="77"/>
      <c r="AG110" s="73"/>
      <c r="AH110" s="77"/>
      <c r="AI110" s="73"/>
      <c r="AJ110" s="78" t="str">
        <f t="shared" si="10"/>
        <v/>
      </c>
      <c r="AK110" s="79" t="str">
        <f t="shared" si="11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8"/>
        <v/>
      </c>
      <c r="AE111" s="76" t="str">
        <f t="shared" si="9"/>
        <v/>
      </c>
      <c r="AF111" s="77"/>
      <c r="AG111" s="73"/>
      <c r="AH111" s="77"/>
      <c r="AI111" s="73"/>
      <c r="AJ111" s="78" t="str">
        <f t="shared" si="10"/>
        <v/>
      </c>
      <c r="AK111" s="79" t="str">
        <f t="shared" si="11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8"/>
        <v/>
      </c>
      <c r="AE112" s="76" t="str">
        <f t="shared" si="9"/>
        <v/>
      </c>
      <c r="AF112" s="77"/>
      <c r="AG112" s="73"/>
      <c r="AH112" s="77"/>
      <c r="AI112" s="73"/>
      <c r="AJ112" s="78" t="str">
        <f t="shared" si="10"/>
        <v/>
      </c>
      <c r="AK112" s="79" t="str">
        <f t="shared" si="11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8"/>
        <v/>
      </c>
      <c r="AE113" s="76" t="str">
        <f t="shared" si="9"/>
        <v/>
      </c>
      <c r="AF113" s="77"/>
      <c r="AG113" s="73"/>
      <c r="AH113" s="77"/>
      <c r="AI113" s="73"/>
      <c r="AJ113" s="78" t="str">
        <f t="shared" si="10"/>
        <v/>
      </c>
      <c r="AK113" s="79" t="str">
        <f t="shared" si="11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8"/>
        <v/>
      </c>
      <c r="AE114" s="76" t="str">
        <f t="shared" si="9"/>
        <v/>
      </c>
      <c r="AF114" s="77"/>
      <c r="AG114" s="73"/>
      <c r="AH114" s="77"/>
      <c r="AI114" s="73"/>
      <c r="AJ114" s="78" t="str">
        <f t="shared" si="10"/>
        <v/>
      </c>
      <c r="AK114" s="79" t="str">
        <f t="shared" si="11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8"/>
        <v/>
      </c>
      <c r="AE115" s="76" t="str">
        <f t="shared" si="9"/>
        <v/>
      </c>
      <c r="AF115" s="77"/>
      <c r="AG115" s="73"/>
      <c r="AH115" s="77"/>
      <c r="AI115" s="73"/>
      <c r="AJ115" s="78" t="str">
        <f t="shared" si="10"/>
        <v/>
      </c>
      <c r="AK115" s="79" t="str">
        <f t="shared" si="11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8"/>
        <v/>
      </c>
      <c r="AE116" s="76" t="str">
        <f t="shared" si="9"/>
        <v/>
      </c>
      <c r="AF116" s="77"/>
      <c r="AG116" s="73"/>
      <c r="AH116" s="77"/>
      <c r="AI116" s="73"/>
      <c r="AJ116" s="78" t="str">
        <f t="shared" si="10"/>
        <v/>
      </c>
      <c r="AK116" s="79" t="str">
        <f t="shared" si="11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8"/>
        <v/>
      </c>
      <c r="AE117" s="76" t="str">
        <f t="shared" si="9"/>
        <v/>
      </c>
      <c r="AF117" s="77"/>
      <c r="AG117" s="73"/>
      <c r="AH117" s="77"/>
      <c r="AI117" s="73"/>
      <c r="AJ117" s="78" t="str">
        <f t="shared" si="10"/>
        <v/>
      </c>
      <c r="AK117" s="79" t="str">
        <f t="shared" si="11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8"/>
        <v/>
      </c>
      <c r="AE118" s="76" t="str">
        <f t="shared" si="9"/>
        <v/>
      </c>
      <c r="AF118" s="77"/>
      <c r="AG118" s="73"/>
      <c r="AH118" s="77"/>
      <c r="AI118" s="73"/>
      <c r="AJ118" s="78" t="str">
        <f t="shared" si="10"/>
        <v/>
      </c>
      <c r="AK118" s="79" t="str">
        <f t="shared" si="11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8"/>
        <v/>
      </c>
      <c r="AE119" s="76" t="str">
        <f t="shared" si="9"/>
        <v/>
      </c>
      <c r="AF119" s="77"/>
      <c r="AG119" s="73"/>
      <c r="AH119" s="77"/>
      <c r="AI119" s="73"/>
      <c r="AJ119" s="78" t="str">
        <f t="shared" si="10"/>
        <v/>
      </c>
      <c r="AK119" s="79" t="str">
        <f t="shared" si="11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8"/>
        <v/>
      </c>
      <c r="AE120" s="76" t="str">
        <f t="shared" si="9"/>
        <v/>
      </c>
      <c r="AF120" s="77"/>
      <c r="AG120" s="73"/>
      <c r="AH120" s="77"/>
      <c r="AI120" s="73"/>
      <c r="AJ120" s="78" t="str">
        <f t="shared" si="10"/>
        <v/>
      </c>
      <c r="AK120" s="79" t="str">
        <f t="shared" si="11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8"/>
        <v/>
      </c>
      <c r="AE121" s="76" t="str">
        <f t="shared" si="9"/>
        <v/>
      </c>
      <c r="AF121" s="77"/>
      <c r="AG121" s="73"/>
      <c r="AH121" s="77"/>
      <c r="AI121" s="73"/>
      <c r="AJ121" s="78" t="str">
        <f t="shared" si="10"/>
        <v/>
      </c>
      <c r="AK121" s="79" t="str">
        <f t="shared" si="11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8"/>
        <v/>
      </c>
      <c r="AE122" s="76" t="str">
        <f t="shared" si="9"/>
        <v/>
      </c>
      <c r="AF122" s="77"/>
      <c r="AG122" s="73"/>
      <c r="AH122" s="77"/>
      <c r="AI122" s="73"/>
      <c r="AJ122" s="78" t="str">
        <f t="shared" si="10"/>
        <v/>
      </c>
      <c r="AK122" s="79" t="str">
        <f t="shared" si="11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8"/>
        <v/>
      </c>
      <c r="AE123" s="76" t="str">
        <f t="shared" si="9"/>
        <v/>
      </c>
      <c r="AF123" s="77"/>
      <c r="AG123" s="73"/>
      <c r="AH123" s="77"/>
      <c r="AI123" s="73"/>
      <c r="AJ123" s="78" t="str">
        <f t="shared" si="10"/>
        <v/>
      </c>
      <c r="AK123" s="79" t="str">
        <f t="shared" si="11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8"/>
        <v/>
      </c>
      <c r="AE124" s="76" t="str">
        <f t="shared" si="9"/>
        <v/>
      </c>
      <c r="AF124" s="77"/>
      <c r="AG124" s="73"/>
      <c r="AH124" s="77"/>
      <c r="AI124" s="73"/>
      <c r="AJ124" s="78" t="str">
        <f t="shared" si="10"/>
        <v/>
      </c>
      <c r="AK124" s="79" t="str">
        <f t="shared" si="11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8"/>
        <v/>
      </c>
      <c r="AE125" s="76" t="str">
        <f t="shared" si="9"/>
        <v/>
      </c>
      <c r="AF125" s="77"/>
      <c r="AG125" s="73"/>
      <c r="AH125" s="77"/>
      <c r="AI125" s="73"/>
      <c r="AJ125" s="78" t="str">
        <f t="shared" si="10"/>
        <v/>
      </c>
      <c r="AK125" s="79" t="str">
        <f t="shared" si="11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8"/>
        <v/>
      </c>
      <c r="AE126" s="76" t="str">
        <f t="shared" si="9"/>
        <v/>
      </c>
      <c r="AF126" s="77"/>
      <c r="AG126" s="73"/>
      <c r="AH126" s="77"/>
      <c r="AI126" s="73"/>
      <c r="AJ126" s="78" t="str">
        <f t="shared" si="10"/>
        <v/>
      </c>
      <c r="AK126" s="79" t="str">
        <f t="shared" si="11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8"/>
        <v/>
      </c>
      <c r="AE127" s="76" t="str">
        <f t="shared" si="9"/>
        <v/>
      </c>
      <c r="AF127" s="77"/>
      <c r="AG127" s="73"/>
      <c r="AH127" s="77"/>
      <c r="AI127" s="73"/>
      <c r="AJ127" s="78" t="str">
        <f t="shared" si="10"/>
        <v/>
      </c>
      <c r="AK127" s="79" t="str">
        <f t="shared" si="11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8"/>
        <v/>
      </c>
      <c r="AE128" s="76" t="str">
        <f t="shared" si="9"/>
        <v/>
      </c>
      <c r="AF128" s="77"/>
      <c r="AG128" s="73"/>
      <c r="AH128" s="77"/>
      <c r="AI128" s="73"/>
      <c r="AJ128" s="78" t="str">
        <f t="shared" si="10"/>
        <v/>
      </c>
      <c r="AK128" s="79" t="str">
        <f t="shared" si="11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8"/>
        <v/>
      </c>
      <c r="AE129" s="76" t="str">
        <f t="shared" si="9"/>
        <v/>
      </c>
      <c r="AF129" s="77"/>
      <c r="AG129" s="73"/>
      <c r="AH129" s="77"/>
      <c r="AI129" s="73"/>
      <c r="AJ129" s="78" t="str">
        <f t="shared" si="10"/>
        <v/>
      </c>
      <c r="AK129" s="79" t="str">
        <f t="shared" si="11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8"/>
        <v/>
      </c>
      <c r="AE130" s="76" t="str">
        <f t="shared" si="9"/>
        <v/>
      </c>
      <c r="AF130" s="77"/>
      <c r="AG130" s="73"/>
      <c r="AH130" s="77"/>
      <c r="AI130" s="73"/>
      <c r="AJ130" s="78" t="str">
        <f t="shared" si="10"/>
        <v/>
      </c>
      <c r="AK130" s="79" t="str">
        <f t="shared" si="11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8"/>
        <v/>
      </c>
      <c r="AE131" s="76" t="str">
        <f t="shared" si="9"/>
        <v/>
      </c>
      <c r="AF131" s="77"/>
      <c r="AG131" s="73"/>
      <c r="AH131" s="77"/>
      <c r="AI131" s="73"/>
      <c r="AJ131" s="78" t="str">
        <f t="shared" si="10"/>
        <v/>
      </c>
      <c r="AK131" s="79" t="str">
        <f t="shared" si="11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12">IF(MIN(F132,J132,N132,R132,V132,Z132)&lt;&gt;0,MIN(F132,J132,N132,R132,V132,Z132),"")</f>
        <v/>
      </c>
      <c r="AE132" s="76" t="str">
        <f t="shared" ref="AE132:AE195" si="13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4">IF(AD132="","",IF(ISBLANK(AF132),"En cours",AD132+AF132))</f>
        <v/>
      </c>
      <c r="AK132" s="79" t="str">
        <f t="shared" ref="AK132:AK195" si="15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12"/>
        <v/>
      </c>
      <c r="AE133" s="76" t="str">
        <f t="shared" si="13"/>
        <v/>
      </c>
      <c r="AF133" s="77"/>
      <c r="AG133" s="73"/>
      <c r="AH133" s="77"/>
      <c r="AI133" s="73"/>
      <c r="AJ133" s="78" t="str">
        <f t="shared" si="14"/>
        <v/>
      </c>
      <c r="AK133" s="79" t="str">
        <f t="shared" si="15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12"/>
        <v/>
      </c>
      <c r="AE134" s="76" t="str">
        <f t="shared" si="13"/>
        <v/>
      </c>
      <c r="AF134" s="77"/>
      <c r="AG134" s="73"/>
      <c r="AH134" s="77"/>
      <c r="AI134" s="73"/>
      <c r="AJ134" s="78" t="str">
        <f t="shared" si="14"/>
        <v/>
      </c>
      <c r="AK134" s="79" t="str">
        <f t="shared" si="15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12"/>
        <v/>
      </c>
      <c r="AE135" s="76" t="str">
        <f t="shared" si="13"/>
        <v/>
      </c>
      <c r="AF135" s="77"/>
      <c r="AG135" s="73"/>
      <c r="AH135" s="77"/>
      <c r="AI135" s="73"/>
      <c r="AJ135" s="78" t="str">
        <f t="shared" si="14"/>
        <v/>
      </c>
      <c r="AK135" s="79" t="str">
        <f t="shared" si="15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12"/>
        <v/>
      </c>
      <c r="AE136" s="76" t="str">
        <f t="shared" si="13"/>
        <v/>
      </c>
      <c r="AF136" s="77"/>
      <c r="AG136" s="73"/>
      <c r="AH136" s="77"/>
      <c r="AI136" s="73"/>
      <c r="AJ136" s="78" t="str">
        <f t="shared" si="14"/>
        <v/>
      </c>
      <c r="AK136" s="79" t="str">
        <f t="shared" si="15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12"/>
        <v/>
      </c>
      <c r="AE137" s="76" t="str">
        <f t="shared" si="13"/>
        <v/>
      </c>
      <c r="AF137" s="77"/>
      <c r="AG137" s="73"/>
      <c r="AH137" s="77"/>
      <c r="AI137" s="73"/>
      <c r="AJ137" s="78" t="str">
        <f t="shared" si="14"/>
        <v/>
      </c>
      <c r="AK137" s="79" t="str">
        <f t="shared" si="15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12"/>
        <v/>
      </c>
      <c r="AE138" s="76" t="str">
        <f t="shared" si="13"/>
        <v/>
      </c>
      <c r="AF138" s="77"/>
      <c r="AG138" s="73"/>
      <c r="AH138" s="77"/>
      <c r="AI138" s="73"/>
      <c r="AJ138" s="78" t="str">
        <f t="shared" si="14"/>
        <v/>
      </c>
      <c r="AK138" s="79" t="str">
        <f t="shared" si="15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12"/>
        <v/>
      </c>
      <c r="AE139" s="76" t="str">
        <f t="shared" si="13"/>
        <v/>
      </c>
      <c r="AF139" s="77"/>
      <c r="AG139" s="73"/>
      <c r="AH139" s="77"/>
      <c r="AI139" s="73"/>
      <c r="AJ139" s="78" t="str">
        <f t="shared" si="14"/>
        <v/>
      </c>
      <c r="AK139" s="79" t="str">
        <f t="shared" si="15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12"/>
        <v/>
      </c>
      <c r="AE140" s="76" t="str">
        <f t="shared" si="13"/>
        <v/>
      </c>
      <c r="AF140" s="77"/>
      <c r="AG140" s="73"/>
      <c r="AH140" s="77"/>
      <c r="AI140" s="73"/>
      <c r="AJ140" s="78" t="str">
        <f t="shared" si="14"/>
        <v/>
      </c>
      <c r="AK140" s="79" t="str">
        <f t="shared" si="15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12"/>
        <v/>
      </c>
      <c r="AE141" s="76" t="str">
        <f t="shared" si="13"/>
        <v/>
      </c>
      <c r="AF141" s="77"/>
      <c r="AG141" s="73"/>
      <c r="AH141" s="77"/>
      <c r="AI141" s="73"/>
      <c r="AJ141" s="78" t="str">
        <f t="shared" si="14"/>
        <v/>
      </c>
      <c r="AK141" s="79" t="str">
        <f t="shared" si="15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12"/>
        <v/>
      </c>
      <c r="AE142" s="76" t="str">
        <f t="shared" si="13"/>
        <v/>
      </c>
      <c r="AF142" s="77"/>
      <c r="AG142" s="73"/>
      <c r="AH142" s="77"/>
      <c r="AI142" s="73"/>
      <c r="AJ142" s="78" t="str">
        <f t="shared" si="14"/>
        <v/>
      </c>
      <c r="AK142" s="79" t="str">
        <f t="shared" si="15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12"/>
        <v/>
      </c>
      <c r="AE143" s="76" t="str">
        <f t="shared" si="13"/>
        <v/>
      </c>
      <c r="AF143" s="77"/>
      <c r="AG143" s="73"/>
      <c r="AH143" s="77"/>
      <c r="AI143" s="73"/>
      <c r="AJ143" s="78" t="str">
        <f t="shared" si="14"/>
        <v/>
      </c>
      <c r="AK143" s="79" t="str">
        <f t="shared" si="15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12"/>
        <v/>
      </c>
      <c r="AE144" s="76" t="str">
        <f t="shared" si="13"/>
        <v/>
      </c>
      <c r="AF144" s="77"/>
      <c r="AG144" s="73"/>
      <c r="AH144" s="77"/>
      <c r="AI144" s="73"/>
      <c r="AJ144" s="78" t="str">
        <f t="shared" si="14"/>
        <v/>
      </c>
      <c r="AK144" s="79" t="str">
        <f t="shared" si="15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12"/>
        <v/>
      </c>
      <c r="AE145" s="76" t="str">
        <f t="shared" si="13"/>
        <v/>
      </c>
      <c r="AF145" s="77"/>
      <c r="AG145" s="73"/>
      <c r="AH145" s="77"/>
      <c r="AI145" s="73"/>
      <c r="AJ145" s="78" t="str">
        <f t="shared" si="14"/>
        <v/>
      </c>
      <c r="AK145" s="79" t="str">
        <f t="shared" si="15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12"/>
        <v/>
      </c>
      <c r="AE146" s="76" t="str">
        <f t="shared" si="13"/>
        <v/>
      </c>
      <c r="AF146" s="77"/>
      <c r="AG146" s="73"/>
      <c r="AH146" s="77"/>
      <c r="AI146" s="73"/>
      <c r="AJ146" s="78" t="str">
        <f t="shared" si="14"/>
        <v/>
      </c>
      <c r="AK146" s="79" t="str">
        <f t="shared" si="15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12"/>
        <v/>
      </c>
      <c r="AE147" s="76" t="str">
        <f t="shared" si="13"/>
        <v/>
      </c>
      <c r="AF147" s="77"/>
      <c r="AG147" s="73"/>
      <c r="AH147" s="77"/>
      <c r="AI147" s="73"/>
      <c r="AJ147" s="78" t="str">
        <f t="shared" si="14"/>
        <v/>
      </c>
      <c r="AK147" s="79" t="str">
        <f t="shared" si="15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12"/>
        <v/>
      </c>
      <c r="AE148" s="76" t="str">
        <f t="shared" si="13"/>
        <v/>
      </c>
      <c r="AF148" s="77"/>
      <c r="AG148" s="73"/>
      <c r="AH148" s="77"/>
      <c r="AI148" s="73"/>
      <c r="AJ148" s="78" t="str">
        <f t="shared" si="14"/>
        <v/>
      </c>
      <c r="AK148" s="79" t="str">
        <f t="shared" si="15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12"/>
        <v/>
      </c>
      <c r="AE149" s="76" t="str">
        <f t="shared" si="13"/>
        <v/>
      </c>
      <c r="AF149" s="77"/>
      <c r="AG149" s="73"/>
      <c r="AH149" s="77"/>
      <c r="AI149" s="73"/>
      <c r="AJ149" s="78" t="str">
        <f t="shared" si="14"/>
        <v/>
      </c>
      <c r="AK149" s="79" t="str">
        <f t="shared" si="15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12"/>
        <v/>
      </c>
      <c r="AE150" s="76" t="str">
        <f t="shared" si="13"/>
        <v/>
      </c>
      <c r="AF150" s="77"/>
      <c r="AG150" s="73"/>
      <c r="AH150" s="77"/>
      <c r="AI150" s="73"/>
      <c r="AJ150" s="78" t="str">
        <f t="shared" si="14"/>
        <v/>
      </c>
      <c r="AK150" s="79" t="str">
        <f t="shared" si="15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12"/>
        <v/>
      </c>
      <c r="AE151" s="76" t="str">
        <f t="shared" si="13"/>
        <v/>
      </c>
      <c r="AF151" s="77"/>
      <c r="AG151" s="73"/>
      <c r="AH151" s="77"/>
      <c r="AI151" s="73"/>
      <c r="AJ151" s="78" t="str">
        <f t="shared" si="14"/>
        <v/>
      </c>
      <c r="AK151" s="79" t="str">
        <f t="shared" si="15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12"/>
        <v/>
      </c>
      <c r="AE152" s="76" t="str">
        <f t="shared" si="13"/>
        <v/>
      </c>
      <c r="AF152" s="77"/>
      <c r="AG152" s="73"/>
      <c r="AH152" s="77"/>
      <c r="AI152" s="73"/>
      <c r="AJ152" s="78" t="str">
        <f t="shared" si="14"/>
        <v/>
      </c>
      <c r="AK152" s="79" t="str">
        <f t="shared" si="15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12"/>
        <v/>
      </c>
      <c r="AE153" s="76" t="str">
        <f t="shared" si="13"/>
        <v/>
      </c>
      <c r="AF153" s="77"/>
      <c r="AG153" s="73"/>
      <c r="AH153" s="77"/>
      <c r="AI153" s="73"/>
      <c r="AJ153" s="78" t="str">
        <f t="shared" si="14"/>
        <v/>
      </c>
      <c r="AK153" s="79" t="str">
        <f t="shared" si="15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12"/>
        <v/>
      </c>
      <c r="AE154" s="76" t="str">
        <f t="shared" si="13"/>
        <v/>
      </c>
      <c r="AF154" s="77"/>
      <c r="AG154" s="73"/>
      <c r="AH154" s="77"/>
      <c r="AI154" s="73"/>
      <c r="AJ154" s="78" t="str">
        <f t="shared" si="14"/>
        <v/>
      </c>
      <c r="AK154" s="79" t="str">
        <f t="shared" si="15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12"/>
        <v/>
      </c>
      <c r="AE155" s="76" t="str">
        <f t="shared" si="13"/>
        <v/>
      </c>
      <c r="AF155" s="77"/>
      <c r="AG155" s="73"/>
      <c r="AH155" s="77"/>
      <c r="AI155" s="73"/>
      <c r="AJ155" s="78" t="str">
        <f t="shared" si="14"/>
        <v/>
      </c>
      <c r="AK155" s="79" t="str">
        <f t="shared" si="15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12"/>
        <v/>
      </c>
      <c r="AE156" s="76" t="str">
        <f t="shared" si="13"/>
        <v/>
      </c>
      <c r="AF156" s="77"/>
      <c r="AG156" s="73"/>
      <c r="AH156" s="77"/>
      <c r="AI156" s="73"/>
      <c r="AJ156" s="78" t="str">
        <f t="shared" si="14"/>
        <v/>
      </c>
      <c r="AK156" s="79" t="str">
        <f t="shared" si="15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12"/>
        <v/>
      </c>
      <c r="AE157" s="76" t="str">
        <f t="shared" si="13"/>
        <v/>
      </c>
      <c r="AF157" s="77"/>
      <c r="AG157" s="73"/>
      <c r="AH157" s="77"/>
      <c r="AI157" s="73"/>
      <c r="AJ157" s="78" t="str">
        <f t="shared" si="14"/>
        <v/>
      </c>
      <c r="AK157" s="79" t="str">
        <f t="shared" si="15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12"/>
        <v/>
      </c>
      <c r="AE158" s="76" t="str">
        <f t="shared" si="13"/>
        <v/>
      </c>
      <c r="AF158" s="77"/>
      <c r="AG158" s="73"/>
      <c r="AH158" s="77"/>
      <c r="AI158" s="73"/>
      <c r="AJ158" s="78" t="str">
        <f t="shared" si="14"/>
        <v/>
      </c>
      <c r="AK158" s="79" t="str">
        <f t="shared" si="15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12"/>
        <v/>
      </c>
      <c r="AE159" s="76" t="str">
        <f t="shared" si="13"/>
        <v/>
      </c>
      <c r="AF159" s="77"/>
      <c r="AG159" s="73"/>
      <c r="AH159" s="77"/>
      <c r="AI159" s="73"/>
      <c r="AJ159" s="78" t="str">
        <f t="shared" si="14"/>
        <v/>
      </c>
      <c r="AK159" s="79" t="str">
        <f t="shared" si="15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12"/>
        <v/>
      </c>
      <c r="AE160" s="76" t="str">
        <f t="shared" si="13"/>
        <v/>
      </c>
      <c r="AF160" s="77"/>
      <c r="AG160" s="73"/>
      <c r="AH160" s="77"/>
      <c r="AI160" s="73"/>
      <c r="AJ160" s="78" t="str">
        <f t="shared" si="14"/>
        <v/>
      </c>
      <c r="AK160" s="79" t="str">
        <f t="shared" si="15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12"/>
        <v/>
      </c>
      <c r="AE161" s="76" t="str">
        <f t="shared" si="13"/>
        <v/>
      </c>
      <c r="AF161" s="77"/>
      <c r="AG161" s="73"/>
      <c r="AH161" s="77"/>
      <c r="AI161" s="73"/>
      <c r="AJ161" s="78" t="str">
        <f t="shared" si="14"/>
        <v/>
      </c>
      <c r="AK161" s="79" t="str">
        <f t="shared" si="15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12"/>
        <v/>
      </c>
      <c r="AE162" s="76" t="str">
        <f t="shared" si="13"/>
        <v/>
      </c>
      <c r="AF162" s="77"/>
      <c r="AG162" s="73"/>
      <c r="AH162" s="77"/>
      <c r="AI162" s="73"/>
      <c r="AJ162" s="78" t="str">
        <f t="shared" si="14"/>
        <v/>
      </c>
      <c r="AK162" s="79" t="str">
        <f t="shared" si="15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12"/>
        <v/>
      </c>
      <c r="AE163" s="76" t="str">
        <f t="shared" si="13"/>
        <v/>
      </c>
      <c r="AF163" s="77"/>
      <c r="AG163" s="73"/>
      <c r="AH163" s="77"/>
      <c r="AI163" s="73"/>
      <c r="AJ163" s="78" t="str">
        <f t="shared" si="14"/>
        <v/>
      </c>
      <c r="AK163" s="79" t="str">
        <f t="shared" si="15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12"/>
        <v/>
      </c>
      <c r="AE164" s="76" t="str">
        <f t="shared" si="13"/>
        <v/>
      </c>
      <c r="AF164" s="77"/>
      <c r="AG164" s="73"/>
      <c r="AH164" s="77"/>
      <c r="AI164" s="73"/>
      <c r="AJ164" s="78" t="str">
        <f t="shared" si="14"/>
        <v/>
      </c>
      <c r="AK164" s="79" t="str">
        <f t="shared" si="15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12"/>
        <v/>
      </c>
      <c r="AE165" s="76" t="str">
        <f t="shared" si="13"/>
        <v/>
      </c>
      <c r="AF165" s="77"/>
      <c r="AG165" s="73"/>
      <c r="AH165" s="77"/>
      <c r="AI165" s="73"/>
      <c r="AJ165" s="78" t="str">
        <f t="shared" si="14"/>
        <v/>
      </c>
      <c r="AK165" s="79" t="str">
        <f t="shared" si="15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12"/>
        <v/>
      </c>
      <c r="AE166" s="76" t="str">
        <f t="shared" si="13"/>
        <v/>
      </c>
      <c r="AF166" s="77"/>
      <c r="AG166" s="73"/>
      <c r="AH166" s="77"/>
      <c r="AI166" s="73"/>
      <c r="AJ166" s="78" t="str">
        <f t="shared" si="14"/>
        <v/>
      </c>
      <c r="AK166" s="79" t="str">
        <f t="shared" si="15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12"/>
        <v/>
      </c>
      <c r="AE167" s="76" t="str">
        <f t="shared" si="13"/>
        <v/>
      </c>
      <c r="AF167" s="77"/>
      <c r="AG167" s="73"/>
      <c r="AH167" s="77"/>
      <c r="AI167" s="73"/>
      <c r="AJ167" s="78" t="str">
        <f t="shared" si="14"/>
        <v/>
      </c>
      <c r="AK167" s="79" t="str">
        <f t="shared" si="15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12"/>
        <v/>
      </c>
      <c r="AE168" s="76" t="str">
        <f t="shared" si="13"/>
        <v/>
      </c>
      <c r="AF168" s="77"/>
      <c r="AG168" s="73"/>
      <c r="AH168" s="77"/>
      <c r="AI168" s="73"/>
      <c r="AJ168" s="78" t="str">
        <f t="shared" si="14"/>
        <v/>
      </c>
      <c r="AK168" s="79" t="str">
        <f t="shared" si="15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12"/>
        <v/>
      </c>
      <c r="AE169" s="76" t="str">
        <f t="shared" si="13"/>
        <v/>
      </c>
      <c r="AF169" s="77"/>
      <c r="AG169" s="73"/>
      <c r="AH169" s="77"/>
      <c r="AI169" s="73"/>
      <c r="AJ169" s="78" t="str">
        <f t="shared" si="14"/>
        <v/>
      </c>
      <c r="AK169" s="79" t="str">
        <f t="shared" si="15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12"/>
        <v/>
      </c>
      <c r="AE170" s="76" t="str">
        <f t="shared" si="13"/>
        <v/>
      </c>
      <c r="AF170" s="77"/>
      <c r="AG170" s="73"/>
      <c r="AH170" s="77"/>
      <c r="AI170" s="73"/>
      <c r="AJ170" s="78" t="str">
        <f t="shared" si="14"/>
        <v/>
      </c>
      <c r="AK170" s="79" t="str">
        <f t="shared" si="15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12"/>
        <v/>
      </c>
      <c r="AE171" s="76" t="str">
        <f t="shared" si="13"/>
        <v/>
      </c>
      <c r="AF171" s="77"/>
      <c r="AG171" s="73"/>
      <c r="AH171" s="77"/>
      <c r="AI171" s="73"/>
      <c r="AJ171" s="78" t="str">
        <f t="shared" si="14"/>
        <v/>
      </c>
      <c r="AK171" s="79" t="str">
        <f t="shared" si="15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12"/>
        <v/>
      </c>
      <c r="AE172" s="76" t="str">
        <f t="shared" si="13"/>
        <v/>
      </c>
      <c r="AF172" s="77"/>
      <c r="AG172" s="73"/>
      <c r="AH172" s="77"/>
      <c r="AI172" s="73"/>
      <c r="AJ172" s="78" t="str">
        <f t="shared" si="14"/>
        <v/>
      </c>
      <c r="AK172" s="79" t="str">
        <f t="shared" si="15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12"/>
        <v/>
      </c>
      <c r="AE173" s="76" t="str">
        <f t="shared" si="13"/>
        <v/>
      </c>
      <c r="AF173" s="77"/>
      <c r="AG173" s="73"/>
      <c r="AH173" s="77"/>
      <c r="AI173" s="73"/>
      <c r="AJ173" s="78" t="str">
        <f t="shared" si="14"/>
        <v/>
      </c>
      <c r="AK173" s="79" t="str">
        <f t="shared" si="15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12"/>
        <v/>
      </c>
      <c r="AE174" s="76" t="str">
        <f t="shared" si="13"/>
        <v/>
      </c>
      <c r="AF174" s="77"/>
      <c r="AG174" s="73"/>
      <c r="AH174" s="77"/>
      <c r="AI174" s="73"/>
      <c r="AJ174" s="78" t="str">
        <f t="shared" si="14"/>
        <v/>
      </c>
      <c r="AK174" s="79" t="str">
        <f t="shared" si="15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12"/>
        <v/>
      </c>
      <c r="AE175" s="76" t="str">
        <f t="shared" si="13"/>
        <v/>
      </c>
      <c r="AF175" s="77"/>
      <c r="AG175" s="73"/>
      <c r="AH175" s="77"/>
      <c r="AI175" s="73"/>
      <c r="AJ175" s="78" t="str">
        <f t="shared" si="14"/>
        <v/>
      </c>
      <c r="AK175" s="79" t="str">
        <f t="shared" si="15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12"/>
        <v/>
      </c>
      <c r="AE176" s="76" t="str">
        <f t="shared" si="13"/>
        <v/>
      </c>
      <c r="AF176" s="77"/>
      <c r="AG176" s="73"/>
      <c r="AH176" s="77"/>
      <c r="AI176" s="73"/>
      <c r="AJ176" s="78" t="str">
        <f t="shared" si="14"/>
        <v/>
      </c>
      <c r="AK176" s="79" t="str">
        <f t="shared" si="15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12"/>
        <v/>
      </c>
      <c r="AE177" s="76" t="str">
        <f t="shared" si="13"/>
        <v/>
      </c>
      <c r="AF177" s="77"/>
      <c r="AG177" s="73"/>
      <c r="AH177" s="77"/>
      <c r="AI177" s="73"/>
      <c r="AJ177" s="78" t="str">
        <f t="shared" si="14"/>
        <v/>
      </c>
      <c r="AK177" s="79" t="str">
        <f t="shared" si="15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12"/>
        <v/>
      </c>
      <c r="AE178" s="76" t="str">
        <f t="shared" si="13"/>
        <v/>
      </c>
      <c r="AF178" s="77"/>
      <c r="AG178" s="73"/>
      <c r="AH178" s="77"/>
      <c r="AI178" s="73"/>
      <c r="AJ178" s="78" t="str">
        <f t="shared" si="14"/>
        <v/>
      </c>
      <c r="AK178" s="79" t="str">
        <f t="shared" si="15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12"/>
        <v/>
      </c>
      <c r="AE179" s="76" t="str">
        <f t="shared" si="13"/>
        <v/>
      </c>
      <c r="AF179" s="77"/>
      <c r="AG179" s="73"/>
      <c r="AH179" s="77"/>
      <c r="AI179" s="73"/>
      <c r="AJ179" s="78" t="str">
        <f t="shared" si="14"/>
        <v/>
      </c>
      <c r="AK179" s="79" t="str">
        <f t="shared" si="15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12"/>
        <v/>
      </c>
      <c r="AE180" s="76" t="str">
        <f t="shared" si="13"/>
        <v/>
      </c>
      <c r="AF180" s="77"/>
      <c r="AG180" s="73"/>
      <c r="AH180" s="77"/>
      <c r="AI180" s="73"/>
      <c r="AJ180" s="78" t="str">
        <f t="shared" si="14"/>
        <v/>
      </c>
      <c r="AK180" s="79" t="str">
        <f t="shared" si="15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12"/>
        <v/>
      </c>
      <c r="AE181" s="76" t="str">
        <f t="shared" si="13"/>
        <v/>
      </c>
      <c r="AF181" s="77"/>
      <c r="AG181" s="73"/>
      <c r="AH181" s="77"/>
      <c r="AI181" s="73"/>
      <c r="AJ181" s="78" t="str">
        <f t="shared" si="14"/>
        <v/>
      </c>
      <c r="AK181" s="79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2"/>
        <v/>
      </c>
      <c r="AE182" s="76" t="str">
        <f t="shared" si="13"/>
        <v/>
      </c>
      <c r="AF182" s="77"/>
      <c r="AG182" s="73"/>
      <c r="AH182" s="77"/>
      <c r="AI182" s="73"/>
      <c r="AJ182" s="78" t="str">
        <f t="shared" si="14"/>
        <v/>
      </c>
      <c r="AK182" s="79" t="str">
        <f t="shared" si="15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2"/>
        <v/>
      </c>
      <c r="AE183" s="76" t="str">
        <f t="shared" si="13"/>
        <v/>
      </c>
      <c r="AF183" s="77"/>
      <c r="AG183" s="73"/>
      <c r="AH183" s="77"/>
      <c r="AI183" s="73"/>
      <c r="AJ183" s="78" t="str">
        <f t="shared" si="14"/>
        <v/>
      </c>
      <c r="AK183" s="79" t="str">
        <f t="shared" si="15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2"/>
        <v/>
      </c>
      <c r="AE184" s="76" t="str">
        <f t="shared" si="13"/>
        <v/>
      </c>
      <c r="AF184" s="77"/>
      <c r="AG184" s="73"/>
      <c r="AH184" s="77"/>
      <c r="AI184" s="73"/>
      <c r="AJ184" s="78" t="str">
        <f t="shared" si="14"/>
        <v/>
      </c>
      <c r="AK184" s="79" t="str">
        <f t="shared" si="15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2"/>
        <v/>
      </c>
      <c r="AE185" s="76" t="str">
        <f t="shared" si="13"/>
        <v/>
      </c>
      <c r="AF185" s="77"/>
      <c r="AG185" s="73"/>
      <c r="AH185" s="77"/>
      <c r="AI185" s="73"/>
      <c r="AJ185" s="78" t="str">
        <f t="shared" si="14"/>
        <v/>
      </c>
      <c r="AK185" s="79" t="str">
        <f t="shared" si="15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2"/>
        <v/>
      </c>
      <c r="AE186" s="76" t="str">
        <f t="shared" si="13"/>
        <v/>
      </c>
      <c r="AF186" s="77"/>
      <c r="AG186" s="73"/>
      <c r="AH186" s="77"/>
      <c r="AI186" s="73"/>
      <c r="AJ186" s="78" t="str">
        <f t="shared" si="14"/>
        <v/>
      </c>
      <c r="AK186" s="79" t="str">
        <f t="shared" si="15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2"/>
        <v/>
      </c>
      <c r="AE187" s="76" t="str">
        <f t="shared" si="13"/>
        <v/>
      </c>
      <c r="AF187" s="77"/>
      <c r="AG187" s="73"/>
      <c r="AH187" s="77"/>
      <c r="AI187" s="73"/>
      <c r="AJ187" s="78" t="str">
        <f t="shared" si="14"/>
        <v/>
      </c>
      <c r="AK187" s="79" t="str">
        <f t="shared" si="15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2"/>
        <v/>
      </c>
      <c r="AE188" s="76" t="str">
        <f t="shared" si="13"/>
        <v/>
      </c>
      <c r="AF188" s="77"/>
      <c r="AG188" s="73"/>
      <c r="AH188" s="77"/>
      <c r="AI188" s="73"/>
      <c r="AJ188" s="78" t="str">
        <f t="shared" si="14"/>
        <v/>
      </c>
      <c r="AK188" s="79" t="str">
        <f t="shared" si="15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2"/>
        <v/>
      </c>
      <c r="AE189" s="76" t="str">
        <f t="shared" si="13"/>
        <v/>
      </c>
      <c r="AF189" s="77"/>
      <c r="AG189" s="73"/>
      <c r="AH189" s="77"/>
      <c r="AI189" s="73"/>
      <c r="AJ189" s="78" t="str">
        <f t="shared" si="14"/>
        <v/>
      </c>
      <c r="AK189" s="79" t="str">
        <f t="shared" si="15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2"/>
        <v/>
      </c>
      <c r="AE190" s="76" t="str">
        <f t="shared" si="13"/>
        <v/>
      </c>
      <c r="AF190" s="77"/>
      <c r="AG190" s="73"/>
      <c r="AH190" s="77"/>
      <c r="AI190" s="73"/>
      <c r="AJ190" s="78" t="str">
        <f t="shared" si="14"/>
        <v/>
      </c>
      <c r="AK190" s="79" t="str">
        <f t="shared" si="15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2"/>
        <v/>
      </c>
      <c r="AE191" s="76" t="str">
        <f t="shared" si="13"/>
        <v/>
      </c>
      <c r="AF191" s="77"/>
      <c r="AG191" s="73"/>
      <c r="AH191" s="77"/>
      <c r="AI191" s="73"/>
      <c r="AJ191" s="78" t="str">
        <f t="shared" si="14"/>
        <v/>
      </c>
      <c r="AK191" s="79" t="str">
        <f t="shared" si="15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2"/>
        <v/>
      </c>
      <c r="AE192" s="76" t="str">
        <f t="shared" si="13"/>
        <v/>
      </c>
      <c r="AF192" s="77"/>
      <c r="AG192" s="73"/>
      <c r="AH192" s="77"/>
      <c r="AI192" s="73"/>
      <c r="AJ192" s="78" t="str">
        <f t="shared" si="14"/>
        <v/>
      </c>
      <c r="AK192" s="79" t="str">
        <f t="shared" si="15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2"/>
        <v/>
      </c>
      <c r="AE193" s="76" t="str">
        <f t="shared" si="13"/>
        <v/>
      </c>
      <c r="AF193" s="77"/>
      <c r="AG193" s="73"/>
      <c r="AH193" s="77"/>
      <c r="AI193" s="73"/>
      <c r="AJ193" s="78" t="str">
        <f t="shared" si="14"/>
        <v/>
      </c>
      <c r="AK193" s="79" t="str">
        <f t="shared" si="15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2"/>
        <v/>
      </c>
      <c r="AE194" s="76" t="str">
        <f t="shared" si="13"/>
        <v/>
      </c>
      <c r="AF194" s="77"/>
      <c r="AG194" s="73"/>
      <c r="AH194" s="77"/>
      <c r="AI194" s="73"/>
      <c r="AJ194" s="78" t="str">
        <f t="shared" si="14"/>
        <v/>
      </c>
      <c r="AK194" s="79" t="str">
        <f t="shared" si="15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2"/>
        <v/>
      </c>
      <c r="AE195" s="76" t="str">
        <f t="shared" si="13"/>
        <v/>
      </c>
      <c r="AF195" s="77"/>
      <c r="AG195" s="73"/>
      <c r="AH195" s="77"/>
      <c r="AI195" s="73"/>
      <c r="AJ195" s="78" t="str">
        <f t="shared" si="14"/>
        <v/>
      </c>
      <c r="AK195" s="79" t="str">
        <f t="shared" si="15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6">IF(MIN(F196,J196,N196,R196,V196,Z196)&lt;&gt;0,MIN(F196,J196,N196,R196,V196,Z196),"")</f>
        <v/>
      </c>
      <c r="AE196" s="76" t="str">
        <f t="shared" ref="AE196:AE259" si="17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8">IF(AD196="","",IF(ISBLANK(AF196),"En cours",AD196+AF196))</f>
        <v/>
      </c>
      <c r="AK196" s="79" t="str">
        <f t="shared" ref="AK196:AK259" si="19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6"/>
        <v/>
      </c>
      <c r="AE197" s="76" t="str">
        <f t="shared" si="17"/>
        <v/>
      </c>
      <c r="AF197" s="77"/>
      <c r="AG197" s="73"/>
      <c r="AH197" s="77"/>
      <c r="AI197" s="73"/>
      <c r="AJ197" s="78" t="str">
        <f t="shared" si="18"/>
        <v/>
      </c>
      <c r="AK197" s="79" t="str">
        <f t="shared" si="19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6"/>
        <v/>
      </c>
      <c r="AE198" s="76" t="str">
        <f t="shared" si="17"/>
        <v/>
      </c>
      <c r="AF198" s="77"/>
      <c r="AG198" s="73"/>
      <c r="AH198" s="77"/>
      <c r="AI198" s="73"/>
      <c r="AJ198" s="78" t="str">
        <f t="shared" si="18"/>
        <v/>
      </c>
      <c r="AK198" s="79" t="str">
        <f t="shared" si="19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6"/>
        <v/>
      </c>
      <c r="AE199" s="76" t="str">
        <f t="shared" si="17"/>
        <v/>
      </c>
      <c r="AF199" s="77"/>
      <c r="AG199" s="73"/>
      <c r="AH199" s="77"/>
      <c r="AI199" s="73"/>
      <c r="AJ199" s="78" t="str">
        <f t="shared" si="18"/>
        <v/>
      </c>
      <c r="AK199" s="79" t="str">
        <f t="shared" si="19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6"/>
        <v/>
      </c>
      <c r="AE200" s="76" t="str">
        <f t="shared" si="17"/>
        <v/>
      </c>
      <c r="AF200" s="77"/>
      <c r="AG200" s="73"/>
      <c r="AH200" s="77"/>
      <c r="AI200" s="73"/>
      <c r="AJ200" s="78" t="str">
        <f t="shared" si="18"/>
        <v/>
      </c>
      <c r="AK200" s="79" t="str">
        <f t="shared" si="19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6"/>
        <v/>
      </c>
      <c r="AE201" s="76" t="str">
        <f t="shared" si="17"/>
        <v/>
      </c>
      <c r="AF201" s="77"/>
      <c r="AG201" s="73"/>
      <c r="AH201" s="77"/>
      <c r="AI201" s="73"/>
      <c r="AJ201" s="78" t="str">
        <f t="shared" si="18"/>
        <v/>
      </c>
      <c r="AK201" s="79" t="str">
        <f t="shared" si="19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6"/>
        <v/>
      </c>
      <c r="AE202" s="76" t="str">
        <f t="shared" si="17"/>
        <v/>
      </c>
      <c r="AF202" s="77"/>
      <c r="AG202" s="73"/>
      <c r="AH202" s="77"/>
      <c r="AI202" s="73"/>
      <c r="AJ202" s="78" t="str">
        <f t="shared" si="18"/>
        <v/>
      </c>
      <c r="AK202" s="79" t="str">
        <f t="shared" si="19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6"/>
        <v/>
      </c>
      <c r="AE203" s="76" t="str">
        <f t="shared" si="17"/>
        <v/>
      </c>
      <c r="AF203" s="77"/>
      <c r="AG203" s="73"/>
      <c r="AH203" s="77"/>
      <c r="AI203" s="73"/>
      <c r="AJ203" s="78" t="str">
        <f t="shared" si="18"/>
        <v/>
      </c>
      <c r="AK203" s="79" t="str">
        <f t="shared" si="19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6"/>
        <v/>
      </c>
      <c r="AE204" s="76" t="str">
        <f t="shared" si="17"/>
        <v/>
      </c>
      <c r="AF204" s="77"/>
      <c r="AG204" s="73"/>
      <c r="AH204" s="77"/>
      <c r="AI204" s="73"/>
      <c r="AJ204" s="78" t="str">
        <f t="shared" si="18"/>
        <v/>
      </c>
      <c r="AK204" s="79" t="str">
        <f t="shared" si="19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6"/>
        <v/>
      </c>
      <c r="AE205" s="76" t="str">
        <f t="shared" si="17"/>
        <v/>
      </c>
      <c r="AF205" s="77"/>
      <c r="AG205" s="73"/>
      <c r="AH205" s="77"/>
      <c r="AI205" s="73"/>
      <c r="AJ205" s="78" t="str">
        <f t="shared" si="18"/>
        <v/>
      </c>
      <c r="AK205" s="79" t="str">
        <f t="shared" si="19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6"/>
        <v/>
      </c>
      <c r="AE206" s="76" t="str">
        <f t="shared" si="17"/>
        <v/>
      </c>
      <c r="AF206" s="77"/>
      <c r="AG206" s="73"/>
      <c r="AH206" s="77"/>
      <c r="AI206" s="73"/>
      <c r="AJ206" s="78" t="str">
        <f t="shared" si="18"/>
        <v/>
      </c>
      <c r="AK206" s="79" t="str">
        <f t="shared" si="19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6"/>
        <v/>
      </c>
      <c r="AE207" s="76" t="str">
        <f t="shared" si="17"/>
        <v/>
      </c>
      <c r="AF207" s="77"/>
      <c r="AG207" s="73"/>
      <c r="AH207" s="77"/>
      <c r="AI207" s="73"/>
      <c r="AJ207" s="78" t="str">
        <f t="shared" si="18"/>
        <v/>
      </c>
      <c r="AK207" s="79" t="str">
        <f t="shared" si="19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6"/>
        <v/>
      </c>
      <c r="AE208" s="76" t="str">
        <f t="shared" si="17"/>
        <v/>
      </c>
      <c r="AF208" s="77"/>
      <c r="AG208" s="73"/>
      <c r="AH208" s="77"/>
      <c r="AI208" s="73"/>
      <c r="AJ208" s="78" t="str">
        <f t="shared" si="18"/>
        <v/>
      </c>
      <c r="AK208" s="79" t="str">
        <f t="shared" si="19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6"/>
        <v/>
      </c>
      <c r="AE209" s="76" t="str">
        <f t="shared" si="17"/>
        <v/>
      </c>
      <c r="AF209" s="77"/>
      <c r="AG209" s="73"/>
      <c r="AH209" s="77"/>
      <c r="AI209" s="73"/>
      <c r="AJ209" s="78" t="str">
        <f t="shared" si="18"/>
        <v/>
      </c>
      <c r="AK209" s="79" t="str">
        <f t="shared" si="19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6"/>
        <v/>
      </c>
      <c r="AE210" s="76" t="str">
        <f t="shared" si="17"/>
        <v/>
      </c>
      <c r="AF210" s="77"/>
      <c r="AG210" s="73"/>
      <c r="AH210" s="77"/>
      <c r="AI210" s="73"/>
      <c r="AJ210" s="78" t="str">
        <f t="shared" si="18"/>
        <v/>
      </c>
      <c r="AK210" s="79" t="str">
        <f t="shared" si="19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6"/>
        <v/>
      </c>
      <c r="AE211" s="76" t="str">
        <f t="shared" si="17"/>
        <v/>
      </c>
      <c r="AF211" s="77"/>
      <c r="AG211" s="73"/>
      <c r="AH211" s="77"/>
      <c r="AI211" s="73"/>
      <c r="AJ211" s="78" t="str">
        <f t="shared" si="18"/>
        <v/>
      </c>
      <c r="AK211" s="79" t="str">
        <f t="shared" si="19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6"/>
        <v/>
      </c>
      <c r="AE212" s="76" t="str">
        <f t="shared" si="17"/>
        <v/>
      </c>
      <c r="AF212" s="77"/>
      <c r="AG212" s="73"/>
      <c r="AH212" s="77"/>
      <c r="AI212" s="73"/>
      <c r="AJ212" s="78" t="str">
        <f t="shared" si="18"/>
        <v/>
      </c>
      <c r="AK212" s="79" t="str">
        <f t="shared" si="19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6"/>
        <v/>
      </c>
      <c r="AE213" s="76" t="str">
        <f t="shared" si="17"/>
        <v/>
      </c>
      <c r="AF213" s="77"/>
      <c r="AG213" s="73"/>
      <c r="AH213" s="77"/>
      <c r="AI213" s="73"/>
      <c r="AJ213" s="78" t="str">
        <f t="shared" si="18"/>
        <v/>
      </c>
      <c r="AK213" s="79" t="str">
        <f t="shared" si="19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6"/>
        <v/>
      </c>
      <c r="AE214" s="76" t="str">
        <f t="shared" si="17"/>
        <v/>
      </c>
      <c r="AF214" s="77"/>
      <c r="AG214" s="73"/>
      <c r="AH214" s="77"/>
      <c r="AI214" s="73"/>
      <c r="AJ214" s="78" t="str">
        <f t="shared" si="18"/>
        <v/>
      </c>
      <c r="AK214" s="79" t="str">
        <f t="shared" si="19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6"/>
        <v/>
      </c>
      <c r="AE215" s="76" t="str">
        <f t="shared" si="17"/>
        <v/>
      </c>
      <c r="AF215" s="77"/>
      <c r="AG215" s="73"/>
      <c r="AH215" s="77"/>
      <c r="AI215" s="73"/>
      <c r="AJ215" s="78" t="str">
        <f t="shared" si="18"/>
        <v/>
      </c>
      <c r="AK215" s="79" t="str">
        <f t="shared" si="19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6"/>
        <v/>
      </c>
      <c r="AE216" s="76" t="str">
        <f t="shared" si="17"/>
        <v/>
      </c>
      <c r="AF216" s="77"/>
      <c r="AG216" s="73"/>
      <c r="AH216" s="77"/>
      <c r="AI216" s="73"/>
      <c r="AJ216" s="78" t="str">
        <f t="shared" si="18"/>
        <v/>
      </c>
      <c r="AK216" s="79" t="str">
        <f t="shared" si="19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6"/>
        <v/>
      </c>
      <c r="AE217" s="76" t="str">
        <f t="shared" si="17"/>
        <v/>
      </c>
      <c r="AF217" s="77"/>
      <c r="AG217" s="73"/>
      <c r="AH217" s="77"/>
      <c r="AI217" s="73"/>
      <c r="AJ217" s="78" t="str">
        <f t="shared" si="18"/>
        <v/>
      </c>
      <c r="AK217" s="79" t="str">
        <f t="shared" si="19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6"/>
        <v/>
      </c>
      <c r="AE218" s="76" t="str">
        <f t="shared" si="17"/>
        <v/>
      </c>
      <c r="AF218" s="77"/>
      <c r="AG218" s="73"/>
      <c r="AH218" s="77"/>
      <c r="AI218" s="73"/>
      <c r="AJ218" s="78" t="str">
        <f t="shared" si="18"/>
        <v/>
      </c>
      <c r="AK218" s="79" t="str">
        <f t="shared" si="19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6"/>
        <v/>
      </c>
      <c r="AE219" s="76" t="str">
        <f t="shared" si="17"/>
        <v/>
      </c>
      <c r="AF219" s="77"/>
      <c r="AG219" s="73"/>
      <c r="AH219" s="77"/>
      <c r="AI219" s="73"/>
      <c r="AJ219" s="78" t="str">
        <f t="shared" si="18"/>
        <v/>
      </c>
      <c r="AK219" s="79" t="str">
        <f t="shared" si="19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6"/>
        <v/>
      </c>
      <c r="AE220" s="76" t="str">
        <f t="shared" si="17"/>
        <v/>
      </c>
      <c r="AF220" s="77"/>
      <c r="AG220" s="73"/>
      <c r="AH220" s="77"/>
      <c r="AI220" s="73"/>
      <c r="AJ220" s="78" t="str">
        <f t="shared" si="18"/>
        <v/>
      </c>
      <c r="AK220" s="79" t="str">
        <f t="shared" si="19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6"/>
        <v/>
      </c>
      <c r="AE221" s="76" t="str">
        <f t="shared" si="17"/>
        <v/>
      </c>
      <c r="AF221" s="77"/>
      <c r="AG221" s="73"/>
      <c r="AH221" s="77"/>
      <c r="AI221" s="73"/>
      <c r="AJ221" s="78" t="str">
        <f t="shared" si="18"/>
        <v/>
      </c>
      <c r="AK221" s="79" t="str">
        <f t="shared" si="19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6"/>
        <v/>
      </c>
      <c r="AE222" s="76" t="str">
        <f t="shared" si="17"/>
        <v/>
      </c>
      <c r="AF222" s="77"/>
      <c r="AG222" s="73"/>
      <c r="AH222" s="77"/>
      <c r="AI222" s="73"/>
      <c r="AJ222" s="78" t="str">
        <f t="shared" si="18"/>
        <v/>
      </c>
      <c r="AK222" s="79" t="str">
        <f t="shared" si="19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6"/>
        <v/>
      </c>
      <c r="AE223" s="76" t="str">
        <f t="shared" si="17"/>
        <v/>
      </c>
      <c r="AF223" s="77"/>
      <c r="AG223" s="73"/>
      <c r="AH223" s="77"/>
      <c r="AI223" s="73"/>
      <c r="AJ223" s="78" t="str">
        <f t="shared" si="18"/>
        <v/>
      </c>
      <c r="AK223" s="79" t="str">
        <f t="shared" si="19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6"/>
        <v/>
      </c>
      <c r="AE224" s="76" t="str">
        <f t="shared" si="17"/>
        <v/>
      </c>
      <c r="AF224" s="77"/>
      <c r="AG224" s="73"/>
      <c r="AH224" s="77"/>
      <c r="AI224" s="73"/>
      <c r="AJ224" s="78" t="str">
        <f t="shared" si="18"/>
        <v/>
      </c>
      <c r="AK224" s="79" t="str">
        <f t="shared" si="19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6"/>
        <v/>
      </c>
      <c r="AE225" s="76" t="str">
        <f t="shared" si="17"/>
        <v/>
      </c>
      <c r="AF225" s="77"/>
      <c r="AG225" s="73"/>
      <c r="AH225" s="77"/>
      <c r="AI225" s="73"/>
      <c r="AJ225" s="78" t="str">
        <f t="shared" si="18"/>
        <v/>
      </c>
      <c r="AK225" s="79" t="str">
        <f t="shared" si="19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6"/>
        <v/>
      </c>
      <c r="AE226" s="76" t="str">
        <f t="shared" si="17"/>
        <v/>
      </c>
      <c r="AF226" s="77"/>
      <c r="AG226" s="73"/>
      <c r="AH226" s="77"/>
      <c r="AI226" s="73"/>
      <c r="AJ226" s="78" t="str">
        <f t="shared" si="18"/>
        <v/>
      </c>
      <c r="AK226" s="79" t="str">
        <f t="shared" si="19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6"/>
        <v/>
      </c>
      <c r="AE227" s="76" t="str">
        <f t="shared" si="17"/>
        <v/>
      </c>
      <c r="AF227" s="77"/>
      <c r="AG227" s="73"/>
      <c r="AH227" s="77"/>
      <c r="AI227" s="73"/>
      <c r="AJ227" s="78" t="str">
        <f t="shared" si="18"/>
        <v/>
      </c>
      <c r="AK227" s="79" t="str">
        <f t="shared" si="19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6"/>
        <v/>
      </c>
      <c r="AE228" s="76" t="str">
        <f t="shared" si="17"/>
        <v/>
      </c>
      <c r="AF228" s="77"/>
      <c r="AG228" s="73"/>
      <c r="AH228" s="77"/>
      <c r="AI228" s="73"/>
      <c r="AJ228" s="78" t="str">
        <f t="shared" si="18"/>
        <v/>
      </c>
      <c r="AK228" s="79" t="str">
        <f t="shared" si="19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6"/>
        <v/>
      </c>
      <c r="AE229" s="76" t="str">
        <f t="shared" si="17"/>
        <v/>
      </c>
      <c r="AF229" s="77"/>
      <c r="AG229" s="73"/>
      <c r="AH229" s="77"/>
      <c r="AI229" s="73"/>
      <c r="AJ229" s="78" t="str">
        <f t="shared" si="18"/>
        <v/>
      </c>
      <c r="AK229" s="79" t="str">
        <f t="shared" si="19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6"/>
        <v/>
      </c>
      <c r="AE230" s="76" t="str">
        <f t="shared" si="17"/>
        <v/>
      </c>
      <c r="AF230" s="77"/>
      <c r="AG230" s="73"/>
      <c r="AH230" s="77"/>
      <c r="AI230" s="73"/>
      <c r="AJ230" s="78" t="str">
        <f t="shared" si="18"/>
        <v/>
      </c>
      <c r="AK230" s="79" t="str">
        <f t="shared" si="19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6"/>
        <v/>
      </c>
      <c r="AE231" s="76" t="str">
        <f t="shared" si="17"/>
        <v/>
      </c>
      <c r="AF231" s="77"/>
      <c r="AG231" s="73"/>
      <c r="AH231" s="77"/>
      <c r="AI231" s="73"/>
      <c r="AJ231" s="78" t="str">
        <f t="shared" si="18"/>
        <v/>
      </c>
      <c r="AK231" s="79" t="str">
        <f t="shared" si="19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6"/>
        <v/>
      </c>
      <c r="AE232" s="76" t="str">
        <f t="shared" si="17"/>
        <v/>
      </c>
      <c r="AF232" s="77"/>
      <c r="AG232" s="73"/>
      <c r="AH232" s="77"/>
      <c r="AI232" s="73"/>
      <c r="AJ232" s="78" t="str">
        <f t="shared" si="18"/>
        <v/>
      </c>
      <c r="AK232" s="79" t="str">
        <f t="shared" si="19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6"/>
        <v/>
      </c>
      <c r="AE233" s="76" t="str">
        <f t="shared" si="17"/>
        <v/>
      </c>
      <c r="AF233" s="77"/>
      <c r="AG233" s="73"/>
      <c r="AH233" s="77"/>
      <c r="AI233" s="73"/>
      <c r="AJ233" s="78" t="str">
        <f t="shared" si="18"/>
        <v/>
      </c>
      <c r="AK233" s="79" t="str">
        <f t="shared" si="19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6"/>
        <v/>
      </c>
      <c r="AE234" s="76" t="str">
        <f t="shared" si="17"/>
        <v/>
      </c>
      <c r="AF234" s="77"/>
      <c r="AG234" s="73"/>
      <c r="AH234" s="77"/>
      <c r="AI234" s="73"/>
      <c r="AJ234" s="78" t="str">
        <f t="shared" si="18"/>
        <v/>
      </c>
      <c r="AK234" s="79" t="str">
        <f t="shared" si="19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6"/>
        <v/>
      </c>
      <c r="AE235" s="76" t="str">
        <f t="shared" si="17"/>
        <v/>
      </c>
      <c r="AF235" s="77"/>
      <c r="AG235" s="73"/>
      <c r="AH235" s="77"/>
      <c r="AI235" s="73"/>
      <c r="AJ235" s="78" t="str">
        <f t="shared" si="18"/>
        <v/>
      </c>
      <c r="AK235" s="79" t="str">
        <f t="shared" si="19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6"/>
        <v/>
      </c>
      <c r="AE236" s="76" t="str">
        <f t="shared" si="17"/>
        <v/>
      </c>
      <c r="AF236" s="77"/>
      <c r="AG236" s="73"/>
      <c r="AH236" s="77"/>
      <c r="AI236" s="73"/>
      <c r="AJ236" s="78" t="str">
        <f t="shared" si="18"/>
        <v/>
      </c>
      <c r="AK236" s="79" t="str">
        <f t="shared" si="19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6"/>
        <v/>
      </c>
      <c r="AE237" s="76" t="str">
        <f t="shared" si="17"/>
        <v/>
      </c>
      <c r="AF237" s="77"/>
      <c r="AG237" s="73"/>
      <c r="AH237" s="77"/>
      <c r="AI237" s="73"/>
      <c r="AJ237" s="78" t="str">
        <f t="shared" si="18"/>
        <v/>
      </c>
      <c r="AK237" s="79" t="str">
        <f t="shared" si="19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6"/>
        <v/>
      </c>
      <c r="AE238" s="76" t="str">
        <f t="shared" si="17"/>
        <v/>
      </c>
      <c r="AF238" s="77"/>
      <c r="AG238" s="73"/>
      <c r="AH238" s="77"/>
      <c r="AI238" s="73"/>
      <c r="AJ238" s="78" t="str">
        <f t="shared" si="18"/>
        <v/>
      </c>
      <c r="AK238" s="79" t="str">
        <f t="shared" si="19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6"/>
        <v/>
      </c>
      <c r="AE239" s="76" t="str">
        <f t="shared" si="17"/>
        <v/>
      </c>
      <c r="AF239" s="77"/>
      <c r="AG239" s="73"/>
      <c r="AH239" s="77"/>
      <c r="AI239" s="73"/>
      <c r="AJ239" s="78" t="str">
        <f t="shared" si="18"/>
        <v/>
      </c>
      <c r="AK239" s="79" t="str">
        <f t="shared" si="19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6"/>
        <v/>
      </c>
      <c r="AE240" s="76" t="str">
        <f t="shared" si="17"/>
        <v/>
      </c>
      <c r="AF240" s="77"/>
      <c r="AG240" s="73"/>
      <c r="AH240" s="77"/>
      <c r="AI240" s="73"/>
      <c r="AJ240" s="78" t="str">
        <f t="shared" si="18"/>
        <v/>
      </c>
      <c r="AK240" s="79" t="str">
        <f t="shared" si="19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6"/>
        <v/>
      </c>
      <c r="AE241" s="76" t="str">
        <f t="shared" si="17"/>
        <v/>
      </c>
      <c r="AF241" s="77"/>
      <c r="AG241" s="73"/>
      <c r="AH241" s="77"/>
      <c r="AI241" s="73"/>
      <c r="AJ241" s="78" t="str">
        <f t="shared" si="18"/>
        <v/>
      </c>
      <c r="AK241" s="79" t="str">
        <f t="shared" si="19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6"/>
        <v/>
      </c>
      <c r="AE242" s="76" t="str">
        <f t="shared" si="17"/>
        <v/>
      </c>
      <c r="AF242" s="77"/>
      <c r="AG242" s="73"/>
      <c r="AH242" s="77"/>
      <c r="AI242" s="73"/>
      <c r="AJ242" s="78" t="str">
        <f t="shared" si="18"/>
        <v/>
      </c>
      <c r="AK242" s="79" t="str">
        <f t="shared" si="19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6"/>
        <v/>
      </c>
      <c r="AE243" s="76" t="str">
        <f t="shared" si="17"/>
        <v/>
      </c>
      <c r="AF243" s="77"/>
      <c r="AG243" s="73"/>
      <c r="AH243" s="77"/>
      <c r="AI243" s="73"/>
      <c r="AJ243" s="78" t="str">
        <f t="shared" si="18"/>
        <v/>
      </c>
      <c r="AK243" s="79" t="str">
        <f t="shared" si="19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6"/>
        <v/>
      </c>
      <c r="AE244" s="76" t="str">
        <f t="shared" si="17"/>
        <v/>
      </c>
      <c r="AF244" s="77"/>
      <c r="AG244" s="73"/>
      <c r="AH244" s="77"/>
      <c r="AI244" s="73"/>
      <c r="AJ244" s="78" t="str">
        <f t="shared" si="18"/>
        <v/>
      </c>
      <c r="AK244" s="79" t="str">
        <f t="shared" si="19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6"/>
        <v/>
      </c>
      <c r="AE245" s="76" t="str">
        <f t="shared" si="17"/>
        <v/>
      </c>
      <c r="AF245" s="77"/>
      <c r="AG245" s="73"/>
      <c r="AH245" s="77"/>
      <c r="AI245" s="73"/>
      <c r="AJ245" s="78" t="str">
        <f t="shared" si="18"/>
        <v/>
      </c>
      <c r="AK245" s="79" t="str">
        <f t="shared" si="19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6"/>
        <v/>
      </c>
      <c r="AE246" s="76" t="str">
        <f t="shared" si="17"/>
        <v/>
      </c>
      <c r="AF246" s="77"/>
      <c r="AG246" s="73"/>
      <c r="AH246" s="77"/>
      <c r="AI246" s="73"/>
      <c r="AJ246" s="78" t="str">
        <f t="shared" si="18"/>
        <v/>
      </c>
      <c r="AK246" s="79" t="str">
        <f t="shared" si="19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6"/>
        <v/>
      </c>
      <c r="AE247" s="76" t="str">
        <f t="shared" si="17"/>
        <v/>
      </c>
      <c r="AF247" s="77"/>
      <c r="AG247" s="73"/>
      <c r="AH247" s="77"/>
      <c r="AI247" s="73"/>
      <c r="AJ247" s="78" t="str">
        <f t="shared" si="18"/>
        <v/>
      </c>
      <c r="AK247" s="79" t="str">
        <f t="shared" si="19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6"/>
        <v/>
      </c>
      <c r="AE248" s="76" t="str">
        <f t="shared" si="17"/>
        <v/>
      </c>
      <c r="AF248" s="77"/>
      <c r="AG248" s="73"/>
      <c r="AH248" s="77"/>
      <c r="AI248" s="73"/>
      <c r="AJ248" s="78" t="str">
        <f t="shared" si="18"/>
        <v/>
      </c>
      <c r="AK248" s="79" t="str">
        <f t="shared" si="19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6"/>
        <v/>
      </c>
      <c r="AE249" s="76" t="str">
        <f t="shared" si="17"/>
        <v/>
      </c>
      <c r="AF249" s="77"/>
      <c r="AG249" s="73"/>
      <c r="AH249" s="77"/>
      <c r="AI249" s="73"/>
      <c r="AJ249" s="78" t="str">
        <f t="shared" si="18"/>
        <v/>
      </c>
      <c r="AK249" s="79" t="str">
        <f t="shared" si="19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6"/>
        <v/>
      </c>
      <c r="AE250" s="76" t="str">
        <f t="shared" si="17"/>
        <v/>
      </c>
      <c r="AF250" s="77"/>
      <c r="AG250" s="73"/>
      <c r="AH250" s="77"/>
      <c r="AI250" s="73"/>
      <c r="AJ250" s="78" t="str">
        <f t="shared" si="18"/>
        <v/>
      </c>
      <c r="AK250" s="79" t="str">
        <f t="shared" si="19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6"/>
        <v/>
      </c>
      <c r="AE251" s="76" t="str">
        <f t="shared" si="17"/>
        <v/>
      </c>
      <c r="AF251" s="77"/>
      <c r="AG251" s="73"/>
      <c r="AH251" s="77"/>
      <c r="AI251" s="73"/>
      <c r="AJ251" s="78" t="str">
        <f t="shared" si="18"/>
        <v/>
      </c>
      <c r="AK251" s="79" t="str">
        <f t="shared" si="19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6"/>
        <v/>
      </c>
      <c r="AE252" s="76" t="str">
        <f t="shared" si="17"/>
        <v/>
      </c>
      <c r="AF252" s="77"/>
      <c r="AG252" s="73"/>
      <c r="AH252" s="77"/>
      <c r="AI252" s="73"/>
      <c r="AJ252" s="78" t="str">
        <f t="shared" si="18"/>
        <v/>
      </c>
      <c r="AK252" s="79" t="str">
        <f t="shared" si="19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6"/>
        <v/>
      </c>
      <c r="AE253" s="76" t="str">
        <f t="shared" si="17"/>
        <v/>
      </c>
      <c r="AF253" s="77"/>
      <c r="AG253" s="73"/>
      <c r="AH253" s="77"/>
      <c r="AI253" s="73"/>
      <c r="AJ253" s="78" t="str">
        <f t="shared" si="18"/>
        <v/>
      </c>
      <c r="AK253" s="79" t="str">
        <f t="shared" si="19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6"/>
        <v/>
      </c>
      <c r="AE254" s="76" t="str">
        <f t="shared" si="17"/>
        <v/>
      </c>
      <c r="AF254" s="77"/>
      <c r="AG254" s="73"/>
      <c r="AH254" s="77"/>
      <c r="AI254" s="73"/>
      <c r="AJ254" s="78" t="str">
        <f t="shared" si="18"/>
        <v/>
      </c>
      <c r="AK254" s="79" t="str">
        <f t="shared" si="19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6"/>
        <v/>
      </c>
      <c r="AE255" s="76" t="str">
        <f t="shared" si="17"/>
        <v/>
      </c>
      <c r="AF255" s="77"/>
      <c r="AG255" s="73"/>
      <c r="AH255" s="77"/>
      <c r="AI255" s="73"/>
      <c r="AJ255" s="78" t="str">
        <f t="shared" si="18"/>
        <v/>
      </c>
      <c r="AK255" s="79" t="str">
        <f t="shared" si="19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6"/>
        <v/>
      </c>
      <c r="AE256" s="76" t="str">
        <f t="shared" si="17"/>
        <v/>
      </c>
      <c r="AF256" s="77"/>
      <c r="AG256" s="73"/>
      <c r="AH256" s="77"/>
      <c r="AI256" s="73"/>
      <c r="AJ256" s="78" t="str">
        <f t="shared" si="18"/>
        <v/>
      </c>
      <c r="AK256" s="79" t="str">
        <f t="shared" si="19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6"/>
        <v/>
      </c>
      <c r="AE257" s="76" t="str">
        <f t="shared" si="17"/>
        <v/>
      </c>
      <c r="AF257" s="77"/>
      <c r="AG257" s="73"/>
      <c r="AH257" s="77"/>
      <c r="AI257" s="73"/>
      <c r="AJ257" s="78" t="str">
        <f t="shared" si="18"/>
        <v/>
      </c>
      <c r="AK257" s="79" t="str">
        <f t="shared" si="19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6"/>
        <v/>
      </c>
      <c r="AE258" s="76" t="str">
        <f t="shared" si="17"/>
        <v/>
      </c>
      <c r="AF258" s="77"/>
      <c r="AG258" s="73"/>
      <c r="AH258" s="77"/>
      <c r="AI258" s="73"/>
      <c r="AJ258" s="78" t="str">
        <f t="shared" si="18"/>
        <v/>
      </c>
      <c r="AK258" s="79" t="str">
        <f t="shared" si="19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6"/>
        <v/>
      </c>
      <c r="AE259" s="76" t="str">
        <f t="shared" si="17"/>
        <v/>
      </c>
      <c r="AF259" s="77"/>
      <c r="AG259" s="73"/>
      <c r="AH259" s="77"/>
      <c r="AI259" s="73"/>
      <c r="AJ259" s="78" t="str">
        <f t="shared" si="18"/>
        <v/>
      </c>
      <c r="AK259" s="79" t="str">
        <f t="shared" si="19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0">IF(MIN(F260,J260,N260,R260,V260,Z260)&lt;&gt;0,MIN(F260,J260,N260,R260,V260,Z260),"")</f>
        <v/>
      </c>
      <c r="AE260" s="76" t="str">
        <f t="shared" ref="AE260:AE323" si="21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2">IF(AD260="","",IF(ISBLANK(AF260),"En cours",AD260+AF260))</f>
        <v/>
      </c>
      <c r="AK260" s="79" t="str">
        <f t="shared" ref="AK260:AK323" si="23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0"/>
        <v/>
      </c>
      <c r="AE261" s="76" t="str">
        <f t="shared" si="21"/>
        <v/>
      </c>
      <c r="AF261" s="77"/>
      <c r="AG261" s="73"/>
      <c r="AH261" s="77"/>
      <c r="AI261" s="73"/>
      <c r="AJ261" s="78" t="str">
        <f t="shared" si="22"/>
        <v/>
      </c>
      <c r="AK261" s="79" t="str">
        <f t="shared" si="23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0"/>
        <v/>
      </c>
      <c r="AE262" s="76" t="str">
        <f t="shared" si="21"/>
        <v/>
      </c>
      <c r="AF262" s="77"/>
      <c r="AG262" s="73"/>
      <c r="AH262" s="77"/>
      <c r="AI262" s="73"/>
      <c r="AJ262" s="78" t="str">
        <f t="shared" si="22"/>
        <v/>
      </c>
      <c r="AK262" s="79" t="str">
        <f t="shared" si="23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0"/>
        <v/>
      </c>
      <c r="AE263" s="76" t="str">
        <f t="shared" si="21"/>
        <v/>
      </c>
      <c r="AF263" s="77"/>
      <c r="AG263" s="73"/>
      <c r="AH263" s="77"/>
      <c r="AI263" s="73"/>
      <c r="AJ263" s="78" t="str">
        <f t="shared" si="22"/>
        <v/>
      </c>
      <c r="AK263" s="79" t="str">
        <f t="shared" si="23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0"/>
        <v/>
      </c>
      <c r="AE264" s="76" t="str">
        <f t="shared" si="21"/>
        <v/>
      </c>
      <c r="AF264" s="77"/>
      <c r="AG264" s="73"/>
      <c r="AH264" s="77"/>
      <c r="AI264" s="73"/>
      <c r="AJ264" s="78" t="str">
        <f t="shared" si="22"/>
        <v/>
      </c>
      <c r="AK264" s="79" t="str">
        <f t="shared" si="23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0"/>
        <v/>
      </c>
      <c r="AE265" s="76" t="str">
        <f t="shared" si="21"/>
        <v/>
      </c>
      <c r="AF265" s="77"/>
      <c r="AG265" s="73"/>
      <c r="AH265" s="77"/>
      <c r="AI265" s="73"/>
      <c r="AJ265" s="78" t="str">
        <f t="shared" si="22"/>
        <v/>
      </c>
      <c r="AK265" s="79" t="str">
        <f t="shared" si="23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0"/>
        <v/>
      </c>
      <c r="AE266" s="76" t="str">
        <f t="shared" si="21"/>
        <v/>
      </c>
      <c r="AF266" s="77"/>
      <c r="AG266" s="73"/>
      <c r="AH266" s="77"/>
      <c r="AI266" s="73"/>
      <c r="AJ266" s="78" t="str">
        <f t="shared" si="22"/>
        <v/>
      </c>
      <c r="AK266" s="79" t="str">
        <f t="shared" si="23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0"/>
        <v/>
      </c>
      <c r="AE267" s="76" t="str">
        <f t="shared" si="21"/>
        <v/>
      </c>
      <c r="AF267" s="77"/>
      <c r="AG267" s="73"/>
      <c r="AH267" s="77"/>
      <c r="AI267" s="73"/>
      <c r="AJ267" s="78" t="str">
        <f t="shared" si="22"/>
        <v/>
      </c>
      <c r="AK267" s="79" t="str">
        <f t="shared" si="23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0"/>
        <v/>
      </c>
      <c r="AE268" s="76" t="str">
        <f t="shared" si="21"/>
        <v/>
      </c>
      <c r="AF268" s="77"/>
      <c r="AG268" s="73"/>
      <c r="AH268" s="77"/>
      <c r="AI268" s="73"/>
      <c r="AJ268" s="78" t="str">
        <f t="shared" si="22"/>
        <v/>
      </c>
      <c r="AK268" s="79" t="str">
        <f t="shared" si="23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0"/>
        <v/>
      </c>
      <c r="AE269" s="76" t="str">
        <f t="shared" si="21"/>
        <v/>
      </c>
      <c r="AF269" s="77"/>
      <c r="AG269" s="73"/>
      <c r="AH269" s="77"/>
      <c r="AI269" s="73"/>
      <c r="AJ269" s="78" t="str">
        <f t="shared" si="22"/>
        <v/>
      </c>
      <c r="AK269" s="79" t="str">
        <f t="shared" si="23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0"/>
        <v/>
      </c>
      <c r="AE270" s="76" t="str">
        <f t="shared" si="21"/>
        <v/>
      </c>
      <c r="AF270" s="77"/>
      <c r="AG270" s="73"/>
      <c r="AH270" s="77"/>
      <c r="AI270" s="73"/>
      <c r="AJ270" s="78" t="str">
        <f t="shared" si="22"/>
        <v/>
      </c>
      <c r="AK270" s="79" t="str">
        <f t="shared" si="23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0"/>
        <v/>
      </c>
      <c r="AE271" s="76" t="str">
        <f t="shared" si="21"/>
        <v/>
      </c>
      <c r="AF271" s="77"/>
      <c r="AG271" s="73"/>
      <c r="AH271" s="77"/>
      <c r="AI271" s="73"/>
      <c r="AJ271" s="78" t="str">
        <f t="shared" si="22"/>
        <v/>
      </c>
      <c r="AK271" s="79" t="str">
        <f t="shared" si="23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0"/>
        <v/>
      </c>
      <c r="AE272" s="76" t="str">
        <f t="shared" si="21"/>
        <v/>
      </c>
      <c r="AF272" s="77"/>
      <c r="AG272" s="73"/>
      <c r="AH272" s="77"/>
      <c r="AI272" s="73"/>
      <c r="AJ272" s="78" t="str">
        <f t="shared" si="22"/>
        <v/>
      </c>
      <c r="AK272" s="79" t="str">
        <f t="shared" si="23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0"/>
        <v/>
      </c>
      <c r="AE273" s="76" t="str">
        <f t="shared" si="21"/>
        <v/>
      </c>
      <c r="AF273" s="77"/>
      <c r="AG273" s="73"/>
      <c r="AH273" s="77"/>
      <c r="AI273" s="73"/>
      <c r="AJ273" s="78" t="str">
        <f t="shared" si="22"/>
        <v/>
      </c>
      <c r="AK273" s="79" t="str">
        <f t="shared" si="23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0"/>
        <v/>
      </c>
      <c r="AE274" s="76" t="str">
        <f t="shared" si="21"/>
        <v/>
      </c>
      <c r="AF274" s="77"/>
      <c r="AG274" s="73"/>
      <c r="AH274" s="77"/>
      <c r="AI274" s="73"/>
      <c r="AJ274" s="78" t="str">
        <f t="shared" si="22"/>
        <v/>
      </c>
      <c r="AK274" s="79" t="str">
        <f t="shared" si="23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0"/>
        <v/>
      </c>
      <c r="AE275" s="76" t="str">
        <f t="shared" si="21"/>
        <v/>
      </c>
      <c r="AF275" s="77"/>
      <c r="AG275" s="73"/>
      <c r="AH275" s="77"/>
      <c r="AI275" s="73"/>
      <c r="AJ275" s="78" t="str">
        <f t="shared" si="22"/>
        <v/>
      </c>
      <c r="AK275" s="79" t="str">
        <f t="shared" si="23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0"/>
        <v/>
      </c>
      <c r="AE276" s="76" t="str">
        <f t="shared" si="21"/>
        <v/>
      </c>
      <c r="AF276" s="77"/>
      <c r="AG276" s="73"/>
      <c r="AH276" s="77"/>
      <c r="AI276" s="73"/>
      <c r="AJ276" s="78" t="str">
        <f t="shared" si="22"/>
        <v/>
      </c>
      <c r="AK276" s="79" t="str">
        <f t="shared" si="23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0"/>
        <v/>
      </c>
      <c r="AE277" s="76" t="str">
        <f t="shared" si="21"/>
        <v/>
      </c>
      <c r="AF277" s="77"/>
      <c r="AG277" s="73"/>
      <c r="AH277" s="77"/>
      <c r="AI277" s="73"/>
      <c r="AJ277" s="78" t="str">
        <f t="shared" si="22"/>
        <v/>
      </c>
      <c r="AK277" s="79" t="str">
        <f t="shared" si="23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0"/>
        <v/>
      </c>
      <c r="AE278" s="76" t="str">
        <f t="shared" si="21"/>
        <v/>
      </c>
      <c r="AF278" s="77"/>
      <c r="AG278" s="73"/>
      <c r="AH278" s="77"/>
      <c r="AI278" s="73"/>
      <c r="AJ278" s="78" t="str">
        <f t="shared" si="22"/>
        <v/>
      </c>
      <c r="AK278" s="79" t="str">
        <f t="shared" si="23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0"/>
        <v/>
      </c>
      <c r="AE279" s="76" t="str">
        <f t="shared" si="21"/>
        <v/>
      </c>
      <c r="AF279" s="77"/>
      <c r="AG279" s="73"/>
      <c r="AH279" s="77"/>
      <c r="AI279" s="73"/>
      <c r="AJ279" s="78" t="str">
        <f t="shared" si="22"/>
        <v/>
      </c>
      <c r="AK279" s="79" t="str">
        <f t="shared" si="23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0"/>
        <v/>
      </c>
      <c r="AE280" s="76" t="str">
        <f t="shared" si="21"/>
        <v/>
      </c>
      <c r="AF280" s="77"/>
      <c r="AG280" s="73"/>
      <c r="AH280" s="77"/>
      <c r="AI280" s="73"/>
      <c r="AJ280" s="78" t="str">
        <f t="shared" si="22"/>
        <v/>
      </c>
      <c r="AK280" s="79" t="str">
        <f t="shared" si="23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0"/>
        <v/>
      </c>
      <c r="AE281" s="76" t="str">
        <f t="shared" si="21"/>
        <v/>
      </c>
      <c r="AF281" s="77"/>
      <c r="AG281" s="73"/>
      <c r="AH281" s="77"/>
      <c r="AI281" s="73"/>
      <c r="AJ281" s="78" t="str">
        <f t="shared" si="22"/>
        <v/>
      </c>
      <c r="AK281" s="79" t="str">
        <f t="shared" si="23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0"/>
        <v/>
      </c>
      <c r="AE282" s="76" t="str">
        <f t="shared" si="21"/>
        <v/>
      </c>
      <c r="AF282" s="77"/>
      <c r="AG282" s="73"/>
      <c r="AH282" s="77"/>
      <c r="AI282" s="73"/>
      <c r="AJ282" s="78" t="str">
        <f t="shared" si="22"/>
        <v/>
      </c>
      <c r="AK282" s="79" t="str">
        <f t="shared" si="23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0"/>
        <v/>
      </c>
      <c r="AE283" s="76" t="str">
        <f t="shared" si="21"/>
        <v/>
      </c>
      <c r="AF283" s="77"/>
      <c r="AG283" s="73"/>
      <c r="AH283" s="77"/>
      <c r="AI283" s="73"/>
      <c r="AJ283" s="78" t="str">
        <f t="shared" si="22"/>
        <v/>
      </c>
      <c r="AK283" s="79" t="str">
        <f t="shared" si="23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0"/>
        <v/>
      </c>
      <c r="AE284" s="76" t="str">
        <f t="shared" si="21"/>
        <v/>
      </c>
      <c r="AF284" s="77"/>
      <c r="AG284" s="73"/>
      <c r="AH284" s="77"/>
      <c r="AI284" s="73"/>
      <c r="AJ284" s="78" t="str">
        <f t="shared" si="22"/>
        <v/>
      </c>
      <c r="AK284" s="79" t="str">
        <f t="shared" si="23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0"/>
        <v/>
      </c>
      <c r="AE285" s="76" t="str">
        <f t="shared" si="21"/>
        <v/>
      </c>
      <c r="AF285" s="77"/>
      <c r="AG285" s="73"/>
      <c r="AH285" s="77"/>
      <c r="AI285" s="73"/>
      <c r="AJ285" s="78" t="str">
        <f t="shared" si="22"/>
        <v/>
      </c>
      <c r="AK285" s="79" t="str">
        <f t="shared" si="23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0"/>
        <v/>
      </c>
      <c r="AE286" s="76" t="str">
        <f t="shared" si="21"/>
        <v/>
      </c>
      <c r="AF286" s="77"/>
      <c r="AG286" s="73"/>
      <c r="AH286" s="77"/>
      <c r="AI286" s="73"/>
      <c r="AJ286" s="78" t="str">
        <f t="shared" si="22"/>
        <v/>
      </c>
      <c r="AK286" s="79" t="str">
        <f t="shared" si="23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0"/>
        <v/>
      </c>
      <c r="AE287" s="76" t="str">
        <f t="shared" si="21"/>
        <v/>
      </c>
      <c r="AF287" s="77"/>
      <c r="AG287" s="73"/>
      <c r="AH287" s="77"/>
      <c r="AI287" s="73"/>
      <c r="AJ287" s="78" t="str">
        <f t="shared" si="22"/>
        <v/>
      </c>
      <c r="AK287" s="79" t="str">
        <f t="shared" si="23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0"/>
        <v/>
      </c>
      <c r="AE288" s="76" t="str">
        <f t="shared" si="21"/>
        <v/>
      </c>
      <c r="AF288" s="77"/>
      <c r="AG288" s="73"/>
      <c r="AH288" s="77"/>
      <c r="AI288" s="73"/>
      <c r="AJ288" s="78" t="str">
        <f t="shared" si="22"/>
        <v/>
      </c>
      <c r="AK288" s="79" t="str">
        <f t="shared" si="23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0"/>
        <v/>
      </c>
      <c r="AE289" s="76" t="str">
        <f t="shared" si="21"/>
        <v/>
      </c>
      <c r="AF289" s="77"/>
      <c r="AG289" s="73"/>
      <c r="AH289" s="77"/>
      <c r="AI289" s="73"/>
      <c r="AJ289" s="78" t="str">
        <f t="shared" si="22"/>
        <v/>
      </c>
      <c r="AK289" s="79" t="str">
        <f t="shared" si="23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0"/>
        <v/>
      </c>
      <c r="AE290" s="76" t="str">
        <f t="shared" si="21"/>
        <v/>
      </c>
      <c r="AF290" s="77"/>
      <c r="AG290" s="73"/>
      <c r="AH290" s="77"/>
      <c r="AI290" s="73"/>
      <c r="AJ290" s="78" t="str">
        <f t="shared" si="22"/>
        <v/>
      </c>
      <c r="AK290" s="79" t="str">
        <f t="shared" si="23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0"/>
        <v/>
      </c>
      <c r="AE291" s="76" t="str">
        <f t="shared" si="21"/>
        <v/>
      </c>
      <c r="AF291" s="77"/>
      <c r="AG291" s="73"/>
      <c r="AH291" s="77"/>
      <c r="AI291" s="73"/>
      <c r="AJ291" s="78" t="str">
        <f t="shared" si="22"/>
        <v/>
      </c>
      <c r="AK291" s="79" t="str">
        <f t="shared" si="23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0"/>
        <v/>
      </c>
      <c r="AE292" s="76" t="str">
        <f t="shared" si="21"/>
        <v/>
      </c>
      <c r="AF292" s="77"/>
      <c r="AG292" s="73"/>
      <c r="AH292" s="77"/>
      <c r="AI292" s="73"/>
      <c r="AJ292" s="78" t="str">
        <f t="shared" si="22"/>
        <v/>
      </c>
      <c r="AK292" s="79" t="str">
        <f t="shared" si="23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0"/>
        <v/>
      </c>
      <c r="AE293" s="76" t="str">
        <f t="shared" si="21"/>
        <v/>
      </c>
      <c r="AF293" s="77"/>
      <c r="AG293" s="73"/>
      <c r="AH293" s="77"/>
      <c r="AI293" s="73"/>
      <c r="AJ293" s="78" t="str">
        <f t="shared" si="22"/>
        <v/>
      </c>
      <c r="AK293" s="79" t="str">
        <f t="shared" si="23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0"/>
        <v/>
      </c>
      <c r="AE294" s="76" t="str">
        <f t="shared" si="21"/>
        <v/>
      </c>
      <c r="AF294" s="77"/>
      <c r="AG294" s="73"/>
      <c r="AH294" s="77"/>
      <c r="AI294" s="73"/>
      <c r="AJ294" s="78" t="str">
        <f t="shared" si="22"/>
        <v/>
      </c>
      <c r="AK294" s="79" t="str">
        <f t="shared" si="23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0"/>
        <v/>
      </c>
      <c r="AE295" s="76" t="str">
        <f t="shared" si="21"/>
        <v/>
      </c>
      <c r="AF295" s="77"/>
      <c r="AG295" s="73"/>
      <c r="AH295" s="77"/>
      <c r="AI295" s="73"/>
      <c r="AJ295" s="78" t="str">
        <f t="shared" si="22"/>
        <v/>
      </c>
      <c r="AK295" s="79" t="str">
        <f t="shared" si="23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0"/>
        <v/>
      </c>
      <c r="AE296" s="76" t="str">
        <f t="shared" si="21"/>
        <v/>
      </c>
      <c r="AF296" s="77"/>
      <c r="AG296" s="73"/>
      <c r="AH296" s="77"/>
      <c r="AI296" s="73"/>
      <c r="AJ296" s="78" t="str">
        <f t="shared" si="22"/>
        <v/>
      </c>
      <c r="AK296" s="79" t="str">
        <f t="shared" si="23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0"/>
        <v/>
      </c>
      <c r="AE297" s="76" t="str">
        <f t="shared" si="21"/>
        <v/>
      </c>
      <c r="AF297" s="77"/>
      <c r="AG297" s="73"/>
      <c r="AH297" s="77"/>
      <c r="AI297" s="73"/>
      <c r="AJ297" s="78" t="str">
        <f t="shared" si="22"/>
        <v/>
      </c>
      <c r="AK297" s="79" t="str">
        <f t="shared" si="23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0"/>
        <v/>
      </c>
      <c r="AE298" s="76" t="str">
        <f t="shared" si="21"/>
        <v/>
      </c>
      <c r="AF298" s="77"/>
      <c r="AG298" s="73"/>
      <c r="AH298" s="77"/>
      <c r="AI298" s="73"/>
      <c r="AJ298" s="78" t="str">
        <f t="shared" si="22"/>
        <v/>
      </c>
      <c r="AK298" s="79" t="str">
        <f t="shared" si="23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0"/>
        <v/>
      </c>
      <c r="AE299" s="76" t="str">
        <f t="shared" si="21"/>
        <v/>
      </c>
      <c r="AF299" s="77"/>
      <c r="AG299" s="73"/>
      <c r="AH299" s="77"/>
      <c r="AI299" s="73"/>
      <c r="AJ299" s="78" t="str">
        <f t="shared" si="22"/>
        <v/>
      </c>
      <c r="AK299" s="79" t="str">
        <f t="shared" si="23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0"/>
        <v/>
      </c>
      <c r="AE300" s="76" t="str">
        <f t="shared" si="21"/>
        <v/>
      </c>
      <c r="AF300" s="77"/>
      <c r="AG300" s="73"/>
      <c r="AH300" s="77"/>
      <c r="AI300" s="73"/>
      <c r="AJ300" s="78" t="str">
        <f t="shared" si="22"/>
        <v/>
      </c>
      <c r="AK300" s="79" t="str">
        <f t="shared" si="23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0"/>
        <v/>
      </c>
      <c r="AE301" s="76" t="str">
        <f t="shared" si="21"/>
        <v/>
      </c>
      <c r="AF301" s="77"/>
      <c r="AG301" s="73"/>
      <c r="AH301" s="77"/>
      <c r="AI301" s="73"/>
      <c r="AJ301" s="78" t="str">
        <f t="shared" si="22"/>
        <v/>
      </c>
      <c r="AK301" s="79" t="str">
        <f t="shared" si="23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0"/>
        <v/>
      </c>
      <c r="AE302" s="76" t="str">
        <f t="shared" si="21"/>
        <v/>
      </c>
      <c r="AF302" s="77"/>
      <c r="AG302" s="73"/>
      <c r="AH302" s="77"/>
      <c r="AI302" s="73"/>
      <c r="AJ302" s="78" t="str">
        <f t="shared" si="22"/>
        <v/>
      </c>
      <c r="AK302" s="79" t="str">
        <f t="shared" si="23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0"/>
        <v/>
      </c>
      <c r="AE303" s="76" t="str">
        <f t="shared" si="21"/>
        <v/>
      </c>
      <c r="AF303" s="77"/>
      <c r="AG303" s="73"/>
      <c r="AH303" s="77"/>
      <c r="AI303" s="73"/>
      <c r="AJ303" s="78" t="str">
        <f t="shared" si="22"/>
        <v/>
      </c>
      <c r="AK303" s="79" t="str">
        <f t="shared" si="23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0"/>
        <v/>
      </c>
      <c r="AE304" s="76" t="str">
        <f t="shared" si="21"/>
        <v/>
      </c>
      <c r="AF304" s="77"/>
      <c r="AG304" s="73"/>
      <c r="AH304" s="77"/>
      <c r="AI304" s="73"/>
      <c r="AJ304" s="78" t="str">
        <f t="shared" si="22"/>
        <v/>
      </c>
      <c r="AK304" s="79" t="str">
        <f t="shared" si="23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0"/>
        <v/>
      </c>
      <c r="AE305" s="76" t="str">
        <f t="shared" si="21"/>
        <v/>
      </c>
      <c r="AF305" s="77"/>
      <c r="AG305" s="73"/>
      <c r="AH305" s="77"/>
      <c r="AI305" s="73"/>
      <c r="AJ305" s="78" t="str">
        <f t="shared" si="22"/>
        <v/>
      </c>
      <c r="AK305" s="79" t="str">
        <f t="shared" si="23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0"/>
        <v/>
      </c>
      <c r="AE306" s="76" t="str">
        <f t="shared" si="21"/>
        <v/>
      </c>
      <c r="AF306" s="77"/>
      <c r="AG306" s="73"/>
      <c r="AH306" s="77"/>
      <c r="AI306" s="73"/>
      <c r="AJ306" s="78" t="str">
        <f t="shared" si="22"/>
        <v/>
      </c>
      <c r="AK306" s="79" t="str">
        <f t="shared" si="23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0"/>
        <v/>
      </c>
      <c r="AE307" s="76" t="str">
        <f t="shared" si="21"/>
        <v/>
      </c>
      <c r="AF307" s="77"/>
      <c r="AG307" s="73"/>
      <c r="AH307" s="77"/>
      <c r="AI307" s="73"/>
      <c r="AJ307" s="78" t="str">
        <f t="shared" si="22"/>
        <v/>
      </c>
      <c r="AK307" s="79" t="str">
        <f t="shared" si="23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0"/>
        <v/>
      </c>
      <c r="AE308" s="76" t="str">
        <f t="shared" si="21"/>
        <v/>
      </c>
      <c r="AF308" s="77"/>
      <c r="AG308" s="73"/>
      <c r="AH308" s="77"/>
      <c r="AI308" s="73"/>
      <c r="AJ308" s="78" t="str">
        <f t="shared" si="22"/>
        <v/>
      </c>
      <c r="AK308" s="79" t="str">
        <f t="shared" si="23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0"/>
        <v/>
      </c>
      <c r="AE309" s="76" t="str">
        <f t="shared" si="21"/>
        <v/>
      </c>
      <c r="AF309" s="77"/>
      <c r="AG309" s="73"/>
      <c r="AH309" s="77"/>
      <c r="AI309" s="73"/>
      <c r="AJ309" s="78" t="str">
        <f t="shared" si="22"/>
        <v/>
      </c>
      <c r="AK309" s="79" t="str">
        <f t="shared" si="23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0"/>
        <v/>
      </c>
      <c r="AE310" s="76" t="str">
        <f t="shared" si="21"/>
        <v/>
      </c>
      <c r="AF310" s="77"/>
      <c r="AG310" s="73"/>
      <c r="AH310" s="77"/>
      <c r="AI310" s="73"/>
      <c r="AJ310" s="78" t="str">
        <f t="shared" si="22"/>
        <v/>
      </c>
      <c r="AK310" s="79" t="str">
        <f t="shared" si="23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0"/>
        <v/>
      </c>
      <c r="AE311" s="76" t="str">
        <f t="shared" si="21"/>
        <v/>
      </c>
      <c r="AF311" s="77"/>
      <c r="AG311" s="73"/>
      <c r="AH311" s="77"/>
      <c r="AI311" s="73"/>
      <c r="AJ311" s="78" t="str">
        <f t="shared" si="22"/>
        <v/>
      </c>
      <c r="AK311" s="79" t="str">
        <f t="shared" si="23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0"/>
        <v/>
      </c>
      <c r="AE312" s="76" t="str">
        <f t="shared" si="21"/>
        <v/>
      </c>
      <c r="AF312" s="77"/>
      <c r="AG312" s="73"/>
      <c r="AH312" s="77"/>
      <c r="AI312" s="73"/>
      <c r="AJ312" s="78" t="str">
        <f t="shared" si="22"/>
        <v/>
      </c>
      <c r="AK312" s="79" t="str">
        <f t="shared" si="23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0"/>
        <v/>
      </c>
      <c r="AE313" s="76" t="str">
        <f t="shared" si="21"/>
        <v/>
      </c>
      <c r="AF313" s="77"/>
      <c r="AG313" s="73"/>
      <c r="AH313" s="77"/>
      <c r="AI313" s="73"/>
      <c r="AJ313" s="78" t="str">
        <f t="shared" si="22"/>
        <v/>
      </c>
      <c r="AK313" s="79" t="str">
        <f t="shared" si="23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0"/>
        <v/>
      </c>
      <c r="AE314" s="76" t="str">
        <f t="shared" si="21"/>
        <v/>
      </c>
      <c r="AF314" s="77"/>
      <c r="AG314" s="73"/>
      <c r="AH314" s="77"/>
      <c r="AI314" s="73"/>
      <c r="AJ314" s="78" t="str">
        <f t="shared" si="22"/>
        <v/>
      </c>
      <c r="AK314" s="79" t="str">
        <f t="shared" si="23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0"/>
        <v/>
      </c>
      <c r="AE315" s="76" t="str">
        <f t="shared" si="21"/>
        <v/>
      </c>
      <c r="AF315" s="77"/>
      <c r="AG315" s="73"/>
      <c r="AH315" s="77"/>
      <c r="AI315" s="73"/>
      <c r="AJ315" s="78" t="str">
        <f t="shared" si="22"/>
        <v/>
      </c>
      <c r="AK315" s="79" t="str">
        <f t="shared" si="23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0"/>
        <v/>
      </c>
      <c r="AE316" s="76" t="str">
        <f t="shared" si="21"/>
        <v/>
      </c>
      <c r="AF316" s="77"/>
      <c r="AG316" s="73"/>
      <c r="AH316" s="77"/>
      <c r="AI316" s="73"/>
      <c r="AJ316" s="78" t="str">
        <f t="shared" si="22"/>
        <v/>
      </c>
      <c r="AK316" s="79" t="str">
        <f t="shared" si="23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0"/>
        <v/>
      </c>
      <c r="AE317" s="76" t="str">
        <f t="shared" si="21"/>
        <v/>
      </c>
      <c r="AF317" s="77"/>
      <c r="AG317" s="73"/>
      <c r="AH317" s="77"/>
      <c r="AI317" s="73"/>
      <c r="AJ317" s="78" t="str">
        <f t="shared" si="22"/>
        <v/>
      </c>
      <c r="AK317" s="79" t="str">
        <f t="shared" si="23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0"/>
        <v/>
      </c>
      <c r="AE318" s="76" t="str">
        <f t="shared" si="21"/>
        <v/>
      </c>
      <c r="AF318" s="77"/>
      <c r="AG318" s="73"/>
      <c r="AH318" s="77"/>
      <c r="AI318" s="73"/>
      <c r="AJ318" s="78" t="str">
        <f t="shared" si="22"/>
        <v/>
      </c>
      <c r="AK318" s="79" t="str">
        <f t="shared" si="23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0"/>
        <v/>
      </c>
      <c r="AE319" s="76" t="str">
        <f t="shared" si="21"/>
        <v/>
      </c>
      <c r="AF319" s="77"/>
      <c r="AG319" s="73"/>
      <c r="AH319" s="77"/>
      <c r="AI319" s="73"/>
      <c r="AJ319" s="78" t="str">
        <f t="shared" si="22"/>
        <v/>
      </c>
      <c r="AK319" s="79" t="str">
        <f t="shared" si="23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0"/>
        <v/>
      </c>
      <c r="AE320" s="76" t="str">
        <f t="shared" si="21"/>
        <v/>
      </c>
      <c r="AF320" s="77"/>
      <c r="AG320" s="73"/>
      <c r="AH320" s="77"/>
      <c r="AI320" s="73"/>
      <c r="AJ320" s="78" t="str">
        <f t="shared" si="22"/>
        <v/>
      </c>
      <c r="AK320" s="79" t="str">
        <f t="shared" si="23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0"/>
        <v/>
      </c>
      <c r="AE321" s="76" t="str">
        <f t="shared" si="21"/>
        <v/>
      </c>
      <c r="AF321" s="77"/>
      <c r="AG321" s="73"/>
      <c r="AH321" s="77"/>
      <c r="AI321" s="73"/>
      <c r="AJ321" s="78" t="str">
        <f t="shared" si="22"/>
        <v/>
      </c>
      <c r="AK321" s="79" t="str">
        <f t="shared" si="23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0"/>
        <v/>
      </c>
      <c r="AE322" s="76" t="str">
        <f t="shared" si="21"/>
        <v/>
      </c>
      <c r="AF322" s="77"/>
      <c r="AG322" s="73"/>
      <c r="AH322" s="77"/>
      <c r="AI322" s="73"/>
      <c r="AJ322" s="78" t="str">
        <f t="shared" si="22"/>
        <v/>
      </c>
      <c r="AK322" s="79" t="str">
        <f t="shared" si="23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0"/>
        <v/>
      </c>
      <c r="AE323" s="76" t="str">
        <f t="shared" si="21"/>
        <v/>
      </c>
      <c r="AF323" s="77"/>
      <c r="AG323" s="73"/>
      <c r="AH323" s="77"/>
      <c r="AI323" s="73"/>
      <c r="AJ323" s="78" t="str">
        <f t="shared" si="22"/>
        <v/>
      </c>
      <c r="AK323" s="79" t="str">
        <f t="shared" si="23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4">IF(MIN(F324,J324,N324,R324,V324,Z324)&lt;&gt;0,MIN(F324,J324,N324,R324,V324,Z324),"")</f>
        <v/>
      </c>
      <c r="AE324" s="76" t="str">
        <f t="shared" ref="AE324:AE350" si="25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6">IF(AD324="","",IF(ISBLANK(AF324),"En cours",AD324+AF324))</f>
        <v/>
      </c>
      <c r="AK324" s="79" t="str">
        <f t="shared" ref="AK324:AK350" si="27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4"/>
        <v/>
      </c>
      <c r="AE325" s="76" t="str">
        <f t="shared" si="25"/>
        <v/>
      </c>
      <c r="AF325" s="77"/>
      <c r="AG325" s="73"/>
      <c r="AH325" s="77"/>
      <c r="AI325" s="73"/>
      <c r="AJ325" s="78" t="str">
        <f t="shared" si="26"/>
        <v/>
      </c>
      <c r="AK325" s="79" t="str">
        <f t="shared" si="27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4"/>
        <v/>
      </c>
      <c r="AE326" s="76" t="str">
        <f t="shared" si="25"/>
        <v/>
      </c>
      <c r="AF326" s="77"/>
      <c r="AG326" s="73"/>
      <c r="AH326" s="77"/>
      <c r="AI326" s="73"/>
      <c r="AJ326" s="78" t="str">
        <f t="shared" si="26"/>
        <v/>
      </c>
      <c r="AK326" s="79" t="str">
        <f t="shared" si="27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4"/>
        <v/>
      </c>
      <c r="AE327" s="76" t="str">
        <f t="shared" si="25"/>
        <v/>
      </c>
      <c r="AF327" s="77"/>
      <c r="AG327" s="73"/>
      <c r="AH327" s="77"/>
      <c r="AI327" s="73"/>
      <c r="AJ327" s="78" t="str">
        <f t="shared" si="26"/>
        <v/>
      </c>
      <c r="AK327" s="79" t="str">
        <f t="shared" si="27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4"/>
        <v/>
      </c>
      <c r="AE328" s="76" t="str">
        <f t="shared" si="25"/>
        <v/>
      </c>
      <c r="AF328" s="77"/>
      <c r="AG328" s="73"/>
      <c r="AH328" s="77"/>
      <c r="AI328" s="73"/>
      <c r="AJ328" s="78" t="str">
        <f t="shared" si="26"/>
        <v/>
      </c>
      <c r="AK328" s="79" t="str">
        <f t="shared" si="27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4"/>
        <v/>
      </c>
      <c r="AE329" s="76" t="str">
        <f t="shared" si="25"/>
        <v/>
      </c>
      <c r="AF329" s="77"/>
      <c r="AG329" s="73"/>
      <c r="AH329" s="77"/>
      <c r="AI329" s="73"/>
      <c r="AJ329" s="78" t="str">
        <f t="shared" si="26"/>
        <v/>
      </c>
      <c r="AK329" s="79" t="str">
        <f t="shared" si="27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4"/>
        <v/>
      </c>
      <c r="AE330" s="76" t="str">
        <f t="shared" si="25"/>
        <v/>
      </c>
      <c r="AF330" s="77"/>
      <c r="AG330" s="73"/>
      <c r="AH330" s="77"/>
      <c r="AI330" s="73"/>
      <c r="AJ330" s="78" t="str">
        <f t="shared" si="26"/>
        <v/>
      </c>
      <c r="AK330" s="79" t="str">
        <f t="shared" si="27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4"/>
        <v/>
      </c>
      <c r="AE331" s="76" t="str">
        <f t="shared" si="25"/>
        <v/>
      </c>
      <c r="AF331" s="77"/>
      <c r="AG331" s="73"/>
      <c r="AH331" s="77"/>
      <c r="AI331" s="73"/>
      <c r="AJ331" s="78" t="str">
        <f t="shared" si="26"/>
        <v/>
      </c>
      <c r="AK331" s="79" t="str">
        <f t="shared" si="27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4"/>
        <v/>
      </c>
      <c r="AE332" s="76" t="str">
        <f t="shared" si="25"/>
        <v/>
      </c>
      <c r="AF332" s="77"/>
      <c r="AG332" s="73"/>
      <c r="AH332" s="77"/>
      <c r="AI332" s="73"/>
      <c r="AJ332" s="78" t="str">
        <f t="shared" si="26"/>
        <v/>
      </c>
      <c r="AK332" s="79" t="str">
        <f t="shared" si="27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4"/>
        <v/>
      </c>
      <c r="AE333" s="76" t="str">
        <f t="shared" si="25"/>
        <v/>
      </c>
      <c r="AF333" s="77"/>
      <c r="AG333" s="73"/>
      <c r="AH333" s="77"/>
      <c r="AI333" s="73"/>
      <c r="AJ333" s="78" t="str">
        <f t="shared" si="26"/>
        <v/>
      </c>
      <c r="AK333" s="79" t="str">
        <f t="shared" si="27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4"/>
        <v/>
      </c>
      <c r="AE334" s="76" t="str">
        <f t="shared" si="25"/>
        <v/>
      </c>
      <c r="AF334" s="77"/>
      <c r="AG334" s="73"/>
      <c r="AH334" s="77"/>
      <c r="AI334" s="73"/>
      <c r="AJ334" s="78" t="str">
        <f t="shared" si="26"/>
        <v/>
      </c>
      <c r="AK334" s="79" t="str">
        <f t="shared" si="27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4"/>
        <v/>
      </c>
      <c r="AE335" s="76" t="str">
        <f t="shared" si="25"/>
        <v/>
      </c>
      <c r="AF335" s="77"/>
      <c r="AG335" s="73"/>
      <c r="AH335" s="77"/>
      <c r="AI335" s="73"/>
      <c r="AJ335" s="78" t="str">
        <f t="shared" si="26"/>
        <v/>
      </c>
      <c r="AK335" s="79" t="str">
        <f t="shared" si="27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4"/>
        <v/>
      </c>
      <c r="AE336" s="76" t="str">
        <f t="shared" si="25"/>
        <v/>
      </c>
      <c r="AF336" s="77"/>
      <c r="AG336" s="73"/>
      <c r="AH336" s="77"/>
      <c r="AI336" s="73"/>
      <c r="AJ336" s="78" t="str">
        <f t="shared" si="26"/>
        <v/>
      </c>
      <c r="AK336" s="79" t="str">
        <f t="shared" si="27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4"/>
        <v/>
      </c>
      <c r="AE337" s="76" t="str">
        <f t="shared" si="25"/>
        <v/>
      </c>
      <c r="AF337" s="77"/>
      <c r="AG337" s="73"/>
      <c r="AH337" s="77"/>
      <c r="AI337" s="73"/>
      <c r="AJ337" s="78" t="str">
        <f t="shared" si="26"/>
        <v/>
      </c>
      <c r="AK337" s="79" t="str">
        <f t="shared" si="27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4"/>
        <v/>
      </c>
      <c r="AE338" s="76" t="str">
        <f t="shared" si="25"/>
        <v/>
      </c>
      <c r="AF338" s="77"/>
      <c r="AG338" s="73"/>
      <c r="AH338" s="77"/>
      <c r="AI338" s="73"/>
      <c r="AJ338" s="78" t="str">
        <f t="shared" si="26"/>
        <v/>
      </c>
      <c r="AK338" s="79" t="str">
        <f t="shared" si="27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4"/>
        <v/>
      </c>
      <c r="AE339" s="76" t="str">
        <f t="shared" si="25"/>
        <v/>
      </c>
      <c r="AF339" s="77"/>
      <c r="AG339" s="73"/>
      <c r="AH339" s="77"/>
      <c r="AI339" s="73"/>
      <c r="AJ339" s="78" t="str">
        <f t="shared" si="26"/>
        <v/>
      </c>
      <c r="AK339" s="79" t="str">
        <f t="shared" si="27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4"/>
        <v/>
      </c>
      <c r="AE340" s="76" t="str">
        <f t="shared" si="25"/>
        <v/>
      </c>
      <c r="AF340" s="77"/>
      <c r="AG340" s="73"/>
      <c r="AH340" s="77"/>
      <c r="AI340" s="73"/>
      <c r="AJ340" s="78" t="str">
        <f t="shared" si="26"/>
        <v/>
      </c>
      <c r="AK340" s="79" t="str">
        <f t="shared" si="27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4"/>
        <v/>
      </c>
      <c r="AE341" s="76" t="str">
        <f t="shared" si="25"/>
        <v/>
      </c>
      <c r="AF341" s="77"/>
      <c r="AG341" s="73"/>
      <c r="AH341" s="77"/>
      <c r="AI341" s="73"/>
      <c r="AJ341" s="78" t="str">
        <f t="shared" si="26"/>
        <v/>
      </c>
      <c r="AK341" s="79" t="str">
        <f t="shared" si="27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4"/>
        <v/>
      </c>
      <c r="AE342" s="76" t="str">
        <f t="shared" si="25"/>
        <v/>
      </c>
      <c r="AF342" s="77"/>
      <c r="AG342" s="73"/>
      <c r="AH342" s="77"/>
      <c r="AI342" s="73"/>
      <c r="AJ342" s="78" t="str">
        <f t="shared" si="26"/>
        <v/>
      </c>
      <c r="AK342" s="79" t="str">
        <f t="shared" si="27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4"/>
        <v/>
      </c>
      <c r="AE343" s="76" t="str">
        <f t="shared" si="25"/>
        <v/>
      </c>
      <c r="AF343" s="77"/>
      <c r="AG343" s="73"/>
      <c r="AH343" s="77"/>
      <c r="AI343" s="73"/>
      <c r="AJ343" s="78" t="str">
        <f t="shared" si="26"/>
        <v/>
      </c>
      <c r="AK343" s="79" t="str">
        <f t="shared" si="27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4"/>
        <v/>
      </c>
      <c r="AE344" s="76" t="str">
        <f t="shared" si="25"/>
        <v/>
      </c>
      <c r="AF344" s="77"/>
      <c r="AG344" s="73"/>
      <c r="AH344" s="77"/>
      <c r="AI344" s="73"/>
      <c r="AJ344" s="78" t="str">
        <f t="shared" si="26"/>
        <v/>
      </c>
      <c r="AK344" s="79" t="str">
        <f t="shared" si="27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4"/>
        <v/>
      </c>
      <c r="AE345" s="76" t="str">
        <f t="shared" si="25"/>
        <v/>
      </c>
      <c r="AF345" s="77"/>
      <c r="AG345" s="73"/>
      <c r="AH345" s="77"/>
      <c r="AI345" s="73"/>
      <c r="AJ345" s="78" t="str">
        <f t="shared" si="26"/>
        <v/>
      </c>
      <c r="AK345" s="79" t="str">
        <f t="shared" si="27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4"/>
        <v/>
      </c>
      <c r="AE346" s="76" t="str">
        <f t="shared" si="25"/>
        <v/>
      </c>
      <c r="AF346" s="77"/>
      <c r="AG346" s="73"/>
      <c r="AH346" s="77"/>
      <c r="AI346" s="73"/>
      <c r="AJ346" s="78" t="str">
        <f t="shared" si="26"/>
        <v/>
      </c>
      <c r="AK346" s="79" t="str">
        <f t="shared" si="27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4"/>
        <v/>
      </c>
      <c r="AE347" s="76" t="str">
        <f t="shared" si="25"/>
        <v/>
      </c>
      <c r="AF347" s="77"/>
      <c r="AG347" s="73"/>
      <c r="AH347" s="77"/>
      <c r="AI347" s="73"/>
      <c r="AJ347" s="78" t="str">
        <f t="shared" si="26"/>
        <v/>
      </c>
      <c r="AK347" s="79" t="str">
        <f t="shared" si="27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4"/>
        <v/>
      </c>
      <c r="AE348" s="76" t="str">
        <f t="shared" si="25"/>
        <v/>
      </c>
      <c r="AF348" s="77"/>
      <c r="AG348" s="73"/>
      <c r="AH348" s="77"/>
      <c r="AI348" s="73"/>
      <c r="AJ348" s="78" t="str">
        <f t="shared" si="26"/>
        <v/>
      </c>
      <c r="AK348" s="79" t="str">
        <f t="shared" si="27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4"/>
        <v/>
      </c>
      <c r="AE349" s="76" t="str">
        <f t="shared" si="25"/>
        <v/>
      </c>
      <c r="AF349" s="77"/>
      <c r="AG349" s="73"/>
      <c r="AH349" s="77"/>
      <c r="AI349" s="73"/>
      <c r="AJ349" s="78" t="str">
        <f t="shared" si="26"/>
        <v/>
      </c>
      <c r="AK349" s="79" t="str">
        <f t="shared" si="27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4"/>
        <v/>
      </c>
      <c r="AE350" s="76" t="str">
        <f t="shared" si="25"/>
        <v/>
      </c>
      <c r="AF350" s="77"/>
      <c r="AG350" s="73"/>
      <c r="AH350" s="77"/>
      <c r="AI350" s="73"/>
      <c r="AJ350" s="78" t="str">
        <f t="shared" si="26"/>
        <v/>
      </c>
      <c r="AK350" s="79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76" priority="8633" stopIfTrue="1" operator="equal">
      <formula>"En cours"</formula>
    </cfRule>
    <cfRule type="cellIs" dxfId="175" priority="8634" stopIfTrue="1" operator="notEqual">
      <formula>"En cours"</formula>
    </cfRule>
  </conditionalFormatting>
  <conditionalFormatting sqref="AK36">
    <cfRule type="cellIs" dxfId="174" priority="8635" stopIfTrue="1" operator="equal">
      <formula>"En cours"</formula>
    </cfRule>
    <cfRule type="cellIs" dxfId="173" priority="8636" stopIfTrue="1" operator="notEqual">
      <formula>"En cours"</formula>
    </cfRule>
  </conditionalFormatting>
  <conditionalFormatting sqref="AJ34">
    <cfRule type="cellIs" dxfId="172" priority="31769" stopIfTrue="1" operator="equal">
      <formula>"En cours"</formula>
    </cfRule>
    <cfRule type="cellIs" dxfId="171" priority="31770" stopIfTrue="1" operator="notEqual">
      <formula>"En cours"</formula>
    </cfRule>
  </conditionalFormatting>
  <conditionalFormatting sqref="AK34">
    <cfRule type="cellIs" dxfId="170" priority="31771" stopIfTrue="1" operator="equal">
      <formula>"En cours"</formula>
    </cfRule>
    <cfRule type="cellIs" dxfId="169" priority="31772" stopIfTrue="1" operator="notEqual">
      <formula>"En cours"</formula>
    </cfRule>
  </conditionalFormatting>
  <conditionalFormatting sqref="AJ35">
    <cfRule type="cellIs" dxfId="168" priority="32081" stopIfTrue="1" operator="equal">
      <formula>"En cours"</formula>
    </cfRule>
  </conditionalFormatting>
  <conditionalFormatting sqref="AJ35">
    <cfRule type="cellIs" dxfId="167" priority="32082" stopIfTrue="1" operator="notEqual">
      <formula>"En cours"</formula>
    </cfRule>
  </conditionalFormatting>
  <conditionalFormatting sqref="AK35">
    <cfRule type="cellIs" dxfId="166" priority="32083" stopIfTrue="1" operator="equal">
      <formula>"En cours"</formula>
    </cfRule>
  </conditionalFormatting>
  <conditionalFormatting sqref="AK35">
    <cfRule type="cellIs" dxfId="165" priority="32084" stopIfTrue="1" operator="notEqual">
      <formula>"En cours"</formula>
    </cfRule>
  </conditionalFormatting>
  <conditionalFormatting sqref="AJ22">
    <cfRule type="cellIs" dxfId="164" priority="43381" stopIfTrue="1" operator="equal">
      <formula>"En cours"</formula>
    </cfRule>
  </conditionalFormatting>
  <conditionalFormatting sqref="AJ22">
    <cfRule type="cellIs" dxfId="163" priority="43382" stopIfTrue="1" operator="notEqual">
      <formula>"En cours"</formula>
    </cfRule>
  </conditionalFormatting>
  <conditionalFormatting sqref="AK22">
    <cfRule type="cellIs" dxfId="162" priority="43383" stopIfTrue="1" operator="equal">
      <formula>"En cours"</formula>
    </cfRule>
  </conditionalFormatting>
  <conditionalFormatting sqref="AK22">
    <cfRule type="cellIs" dxfId="161" priority="43384" stopIfTrue="1" operator="notEqual">
      <formula>"En cours"</formula>
    </cfRule>
  </conditionalFormatting>
  <conditionalFormatting sqref="AJ26">
    <cfRule type="cellIs" dxfId="160" priority="43477" stopIfTrue="1" operator="equal">
      <formula>"En cours"</formula>
    </cfRule>
  </conditionalFormatting>
  <conditionalFormatting sqref="AJ26">
    <cfRule type="cellIs" dxfId="159" priority="43478" stopIfTrue="1" operator="notEqual">
      <formula>"En cours"</formula>
    </cfRule>
  </conditionalFormatting>
  <conditionalFormatting sqref="AK26">
    <cfRule type="cellIs" dxfId="158" priority="43479" stopIfTrue="1" operator="equal">
      <formula>"En cours"</formula>
    </cfRule>
  </conditionalFormatting>
  <conditionalFormatting sqref="AK26">
    <cfRule type="cellIs" dxfId="157" priority="43480" stopIfTrue="1" operator="notEqual">
      <formula>"En cours"</formula>
    </cfRule>
  </conditionalFormatting>
  <conditionalFormatting sqref="AJ32">
    <cfRule type="cellIs" dxfId="156" priority="43569" stopIfTrue="1" operator="equal">
      <formula>"En cours"</formula>
    </cfRule>
  </conditionalFormatting>
  <conditionalFormatting sqref="AJ32">
    <cfRule type="cellIs" dxfId="155" priority="43570" stopIfTrue="1" operator="notEqual">
      <formula>"En cours"</formula>
    </cfRule>
  </conditionalFormatting>
  <conditionalFormatting sqref="AK32">
    <cfRule type="cellIs" dxfId="154" priority="43571" stopIfTrue="1" operator="equal">
      <formula>"En cours"</formula>
    </cfRule>
  </conditionalFormatting>
  <conditionalFormatting sqref="AK32">
    <cfRule type="cellIs" dxfId="153" priority="43572" stopIfTrue="1" operator="notEqual">
      <formula>"En cours"</formula>
    </cfRule>
  </conditionalFormatting>
  <conditionalFormatting sqref="AJ29">
    <cfRule type="cellIs" dxfId="152" priority="43573" stopIfTrue="1" operator="equal">
      <formula>"En cours"</formula>
    </cfRule>
  </conditionalFormatting>
  <conditionalFormatting sqref="AJ29">
    <cfRule type="cellIs" dxfId="151" priority="43574" stopIfTrue="1" operator="notEqual">
      <formula>"En cours"</formula>
    </cfRule>
  </conditionalFormatting>
  <conditionalFormatting sqref="AK29">
    <cfRule type="cellIs" dxfId="150" priority="43575" stopIfTrue="1" operator="equal">
      <formula>"En cours"</formula>
    </cfRule>
  </conditionalFormatting>
  <conditionalFormatting sqref="AK29">
    <cfRule type="cellIs" dxfId="149" priority="43576" stopIfTrue="1" operator="notEqual">
      <formula>"En cours"</formula>
    </cfRule>
  </conditionalFormatting>
  <conditionalFormatting sqref="AJ24">
    <cfRule type="cellIs" dxfId="148" priority="43673" stopIfTrue="1" operator="equal">
      <formula>"En cours"</formula>
    </cfRule>
  </conditionalFormatting>
  <conditionalFormatting sqref="AJ24">
    <cfRule type="cellIs" dxfId="147" priority="43674" stopIfTrue="1" operator="notEqual">
      <formula>"En cours"</formula>
    </cfRule>
  </conditionalFormatting>
  <conditionalFormatting sqref="AK24">
    <cfRule type="cellIs" dxfId="146" priority="43675" stopIfTrue="1" operator="equal">
      <formula>"En cours"</formula>
    </cfRule>
  </conditionalFormatting>
  <conditionalFormatting sqref="AK24">
    <cfRule type="cellIs" dxfId="145" priority="43676" stopIfTrue="1" operator="notEqual">
      <formula>"En cours"</formula>
    </cfRule>
  </conditionalFormatting>
  <conditionalFormatting sqref="AJ31">
    <cfRule type="cellIs" dxfId="144" priority="43801" stopIfTrue="1" operator="equal">
      <formula>"En cours"</formula>
    </cfRule>
  </conditionalFormatting>
  <conditionalFormatting sqref="AJ31">
    <cfRule type="cellIs" dxfId="143" priority="43802" stopIfTrue="1" operator="notEqual">
      <formula>"En cours"</formula>
    </cfRule>
  </conditionalFormatting>
  <conditionalFormatting sqref="AK31">
    <cfRule type="cellIs" dxfId="142" priority="43803" stopIfTrue="1" operator="equal">
      <formula>"En cours"</formula>
    </cfRule>
  </conditionalFormatting>
  <conditionalFormatting sqref="AK31">
    <cfRule type="cellIs" dxfId="141" priority="43804" stopIfTrue="1" operator="notEqual">
      <formula>"En cours"</formula>
    </cfRule>
  </conditionalFormatting>
  <conditionalFormatting sqref="AJ25">
    <cfRule type="cellIs" dxfId="140" priority="43813" stopIfTrue="1" operator="equal">
      <formula>"En cours"</formula>
    </cfRule>
  </conditionalFormatting>
  <conditionalFormatting sqref="AJ25">
    <cfRule type="cellIs" dxfId="139" priority="43814" stopIfTrue="1" operator="notEqual">
      <formula>"En cours"</formula>
    </cfRule>
  </conditionalFormatting>
  <conditionalFormatting sqref="AK25">
    <cfRule type="cellIs" dxfId="138" priority="43815" stopIfTrue="1" operator="equal">
      <formula>"En cours"</formula>
    </cfRule>
  </conditionalFormatting>
  <conditionalFormatting sqref="AK25">
    <cfRule type="cellIs" dxfId="137" priority="43816" stopIfTrue="1" operator="notEqual">
      <formula>"En cours"</formula>
    </cfRule>
  </conditionalFormatting>
  <conditionalFormatting sqref="AJ21">
    <cfRule type="cellIs" dxfId="136" priority="43821" stopIfTrue="1" operator="equal">
      <formula>"En cours"</formula>
    </cfRule>
  </conditionalFormatting>
  <conditionalFormatting sqref="AJ21">
    <cfRule type="cellIs" dxfId="135" priority="43822" stopIfTrue="1" operator="notEqual">
      <formula>"En cours"</formula>
    </cfRule>
  </conditionalFormatting>
  <conditionalFormatting sqref="AK21">
    <cfRule type="cellIs" dxfId="134" priority="43823" stopIfTrue="1" operator="equal">
      <formula>"En cours"</formula>
    </cfRule>
  </conditionalFormatting>
  <conditionalFormatting sqref="AK21">
    <cfRule type="cellIs" dxfId="133" priority="43824" stopIfTrue="1" operator="notEqual">
      <formula>"En cours"</formula>
    </cfRule>
  </conditionalFormatting>
  <conditionalFormatting sqref="AJ27">
    <cfRule type="cellIs" dxfId="132" priority="43849" stopIfTrue="1" operator="equal">
      <formula>"En cours"</formula>
    </cfRule>
  </conditionalFormatting>
  <conditionalFormatting sqref="AJ27">
    <cfRule type="cellIs" dxfId="131" priority="43850" stopIfTrue="1" operator="notEqual">
      <formula>"En cours"</formula>
    </cfRule>
  </conditionalFormatting>
  <conditionalFormatting sqref="AK27">
    <cfRule type="cellIs" dxfId="130" priority="43851" stopIfTrue="1" operator="equal">
      <formula>"En cours"</formula>
    </cfRule>
  </conditionalFormatting>
  <conditionalFormatting sqref="AK27">
    <cfRule type="cellIs" dxfId="129" priority="43852" stopIfTrue="1" operator="notEqual">
      <formula>"En cours"</formula>
    </cfRule>
  </conditionalFormatting>
  <conditionalFormatting sqref="AJ23">
    <cfRule type="cellIs" dxfId="128" priority="43857" stopIfTrue="1" operator="equal">
      <formula>"En cours"</formula>
    </cfRule>
  </conditionalFormatting>
  <conditionalFormatting sqref="AJ23">
    <cfRule type="cellIs" dxfId="127" priority="43858" stopIfTrue="1" operator="notEqual">
      <formula>"En cours"</formula>
    </cfRule>
  </conditionalFormatting>
  <conditionalFormatting sqref="AK23">
    <cfRule type="cellIs" dxfId="126" priority="43859" stopIfTrue="1" operator="equal">
      <formula>"En cours"</formula>
    </cfRule>
  </conditionalFormatting>
  <conditionalFormatting sqref="AK23">
    <cfRule type="cellIs" dxfId="125" priority="43860" stopIfTrue="1" operator="notEqual">
      <formula>"En cours"</formula>
    </cfRule>
  </conditionalFormatting>
  <conditionalFormatting sqref="AJ30">
    <cfRule type="cellIs" dxfId="124" priority="43873" stopIfTrue="1" operator="equal">
      <formula>"En cours"</formula>
    </cfRule>
  </conditionalFormatting>
  <conditionalFormatting sqref="AJ30">
    <cfRule type="cellIs" dxfId="123" priority="43874" stopIfTrue="1" operator="notEqual">
      <formula>"En cours"</formula>
    </cfRule>
  </conditionalFormatting>
  <conditionalFormatting sqref="AK30">
    <cfRule type="cellIs" dxfId="122" priority="43875" stopIfTrue="1" operator="equal">
      <formula>"En cours"</formula>
    </cfRule>
  </conditionalFormatting>
  <conditionalFormatting sqref="AK30">
    <cfRule type="cellIs" dxfId="121" priority="43876" stopIfTrue="1" operator="notEqual">
      <formula>"En cours"</formula>
    </cfRule>
  </conditionalFormatting>
  <conditionalFormatting sqref="AJ33">
    <cfRule type="cellIs" dxfId="120" priority="43881" stopIfTrue="1" operator="equal">
      <formula>"En cours"</formula>
    </cfRule>
  </conditionalFormatting>
  <conditionalFormatting sqref="AJ33">
    <cfRule type="cellIs" dxfId="119" priority="43882" stopIfTrue="1" operator="notEqual">
      <formula>"En cours"</formula>
    </cfRule>
  </conditionalFormatting>
  <conditionalFormatting sqref="AK33">
    <cfRule type="cellIs" dxfId="118" priority="43883" stopIfTrue="1" operator="equal">
      <formula>"En cours"</formula>
    </cfRule>
  </conditionalFormatting>
  <conditionalFormatting sqref="AK33">
    <cfRule type="cellIs" dxfId="117" priority="43884" stopIfTrue="1" operator="notEqual">
      <formula>"En cours"</formula>
    </cfRule>
  </conditionalFormatting>
  <conditionalFormatting sqref="AJ28">
    <cfRule type="cellIs" dxfId="116" priority="43885" stopIfTrue="1" operator="equal">
      <formula>"En cours"</formula>
    </cfRule>
    <cfRule type="cellIs" dxfId="115" priority="43886" stopIfTrue="1" operator="notEqual">
      <formula>"En cours"</formula>
    </cfRule>
  </conditionalFormatting>
  <conditionalFormatting sqref="AK28">
    <cfRule type="cellIs" dxfId="114" priority="43887" stopIfTrue="1" operator="equal">
      <formula>"En cours"</formula>
    </cfRule>
    <cfRule type="cellIs" dxfId="113" priority="43888" stopIfTrue="1" operator="notEqual">
      <formula>"En cours"</formula>
    </cfRule>
  </conditionalFormatting>
  <conditionalFormatting sqref="AJ5">
    <cfRule type="cellIs" dxfId="112" priority="44777" stopIfTrue="1" operator="equal">
      <formula>"En cours"</formula>
    </cfRule>
  </conditionalFormatting>
  <conditionalFormatting sqref="AJ5">
    <cfRule type="cellIs" dxfId="111" priority="44778" stopIfTrue="1" operator="notEqual">
      <formula>"En cours"</formula>
    </cfRule>
  </conditionalFormatting>
  <conditionalFormatting sqref="AK5">
    <cfRule type="cellIs" dxfId="110" priority="44779" stopIfTrue="1" operator="equal">
      <formula>"En cours"</formula>
    </cfRule>
  </conditionalFormatting>
  <conditionalFormatting sqref="AK5">
    <cfRule type="cellIs" dxfId="109" priority="44780" stopIfTrue="1" operator="notEqual">
      <formula>"En cours"</formula>
    </cfRule>
  </conditionalFormatting>
  <conditionalFormatting sqref="AJ6">
    <cfRule type="cellIs" dxfId="108" priority="44781" stopIfTrue="1" operator="equal">
      <formula>"En cours"</formula>
    </cfRule>
  </conditionalFormatting>
  <conditionalFormatting sqref="AJ6">
    <cfRule type="cellIs" dxfId="107" priority="44782" stopIfTrue="1" operator="notEqual">
      <formula>"En cours"</formula>
    </cfRule>
  </conditionalFormatting>
  <conditionalFormatting sqref="AK6">
    <cfRule type="cellIs" dxfId="106" priority="44783" stopIfTrue="1" operator="equal">
      <formula>"En cours"</formula>
    </cfRule>
  </conditionalFormatting>
  <conditionalFormatting sqref="AK6">
    <cfRule type="cellIs" dxfId="105" priority="44784" stopIfTrue="1" operator="notEqual">
      <formula>"En cours"</formula>
    </cfRule>
  </conditionalFormatting>
  <conditionalFormatting sqref="AJ4">
    <cfRule type="cellIs" dxfId="104" priority="44785" stopIfTrue="1" operator="equal">
      <formula>"En cours"</formula>
    </cfRule>
    <cfRule type="cellIs" dxfId="103" priority="44786" stopIfTrue="1" operator="notEqual">
      <formula>"En cours"</formula>
    </cfRule>
  </conditionalFormatting>
  <conditionalFormatting sqref="AK4">
    <cfRule type="cellIs" dxfId="102" priority="44787" stopIfTrue="1" operator="equal">
      <formula>"En cours"</formula>
    </cfRule>
    <cfRule type="cellIs" dxfId="101" priority="44788" stopIfTrue="1" operator="notEqual">
      <formula>"En cours"</formula>
    </cfRule>
  </conditionalFormatting>
  <conditionalFormatting sqref="AJ7">
    <cfRule type="cellIs" dxfId="100" priority="44789" stopIfTrue="1" operator="equal">
      <formula>"En cours"</formula>
    </cfRule>
  </conditionalFormatting>
  <conditionalFormatting sqref="AJ7">
    <cfRule type="cellIs" dxfId="99" priority="44790" stopIfTrue="1" operator="notEqual">
      <formula>"En cours"</formula>
    </cfRule>
  </conditionalFormatting>
  <conditionalFormatting sqref="AK7">
    <cfRule type="cellIs" dxfId="98" priority="44791" stopIfTrue="1" operator="equal">
      <formula>"En cours"</formula>
    </cfRule>
  </conditionalFormatting>
  <conditionalFormatting sqref="AK7">
    <cfRule type="cellIs" dxfId="97" priority="44792" stopIfTrue="1" operator="notEqual">
      <formula>"En cours"</formula>
    </cfRule>
  </conditionalFormatting>
  <conditionalFormatting sqref="AJ8">
    <cfRule type="cellIs" dxfId="96" priority="44793" stopIfTrue="1" operator="equal">
      <formula>"En cours"</formula>
    </cfRule>
  </conditionalFormatting>
  <conditionalFormatting sqref="AJ8">
    <cfRule type="cellIs" dxfId="95" priority="44794" stopIfTrue="1" operator="notEqual">
      <formula>"En cours"</formula>
    </cfRule>
  </conditionalFormatting>
  <conditionalFormatting sqref="AK8">
    <cfRule type="cellIs" dxfId="94" priority="44795" stopIfTrue="1" operator="equal">
      <formula>"En cours"</formula>
    </cfRule>
  </conditionalFormatting>
  <conditionalFormatting sqref="AK8">
    <cfRule type="cellIs" dxfId="93" priority="44796" stopIfTrue="1" operator="notEqual">
      <formula>"En cours"</formula>
    </cfRule>
  </conditionalFormatting>
  <conditionalFormatting sqref="AJ9">
    <cfRule type="cellIs" dxfId="92" priority="44797" stopIfTrue="1" operator="equal">
      <formula>"En cours"</formula>
    </cfRule>
  </conditionalFormatting>
  <conditionalFormatting sqref="AJ9">
    <cfRule type="cellIs" dxfId="91" priority="44798" stopIfTrue="1" operator="notEqual">
      <formula>"En cours"</formula>
    </cfRule>
  </conditionalFormatting>
  <conditionalFormatting sqref="AK9">
    <cfRule type="cellIs" dxfId="90" priority="44799" stopIfTrue="1" operator="equal">
      <formula>"En cours"</formula>
    </cfRule>
  </conditionalFormatting>
  <conditionalFormatting sqref="AK9">
    <cfRule type="cellIs" dxfId="89" priority="44800" stopIfTrue="1" operator="notEqual">
      <formula>"En cours"</formula>
    </cfRule>
  </conditionalFormatting>
  <conditionalFormatting sqref="AJ10">
    <cfRule type="cellIs" dxfId="88" priority="44801" stopIfTrue="1" operator="equal">
      <formula>"En cours"</formula>
    </cfRule>
  </conditionalFormatting>
  <conditionalFormatting sqref="AJ10">
    <cfRule type="cellIs" dxfId="87" priority="44802" stopIfTrue="1" operator="notEqual">
      <formula>"En cours"</formula>
    </cfRule>
  </conditionalFormatting>
  <conditionalFormatting sqref="AK10">
    <cfRule type="cellIs" dxfId="86" priority="44803" stopIfTrue="1" operator="equal">
      <formula>"En cours"</formula>
    </cfRule>
  </conditionalFormatting>
  <conditionalFormatting sqref="AK10">
    <cfRule type="cellIs" dxfId="85" priority="44804" stopIfTrue="1" operator="notEqual">
      <formula>"En cours"</formula>
    </cfRule>
  </conditionalFormatting>
  <conditionalFormatting sqref="AJ11">
    <cfRule type="cellIs" dxfId="84" priority="44805" stopIfTrue="1" operator="equal">
      <formula>"En cours"</formula>
    </cfRule>
  </conditionalFormatting>
  <conditionalFormatting sqref="AJ11">
    <cfRule type="cellIs" dxfId="83" priority="44806" stopIfTrue="1" operator="notEqual">
      <formula>"En cours"</formula>
    </cfRule>
  </conditionalFormatting>
  <conditionalFormatting sqref="AK11">
    <cfRule type="cellIs" dxfId="82" priority="44807" stopIfTrue="1" operator="equal">
      <formula>"En cours"</formula>
    </cfRule>
  </conditionalFormatting>
  <conditionalFormatting sqref="AK11">
    <cfRule type="cellIs" dxfId="81" priority="44808" stopIfTrue="1" operator="notEqual">
      <formula>"En cours"</formula>
    </cfRule>
  </conditionalFormatting>
  <conditionalFormatting sqref="AJ12">
    <cfRule type="cellIs" dxfId="80" priority="44809" stopIfTrue="1" operator="equal">
      <formula>"En cours"</formula>
    </cfRule>
  </conditionalFormatting>
  <conditionalFormatting sqref="AJ12">
    <cfRule type="cellIs" dxfId="79" priority="44810" stopIfTrue="1" operator="notEqual">
      <formula>"En cours"</formula>
    </cfRule>
  </conditionalFormatting>
  <conditionalFormatting sqref="AK12">
    <cfRule type="cellIs" dxfId="78" priority="44811" stopIfTrue="1" operator="equal">
      <formula>"En cours"</formula>
    </cfRule>
  </conditionalFormatting>
  <conditionalFormatting sqref="AK12">
    <cfRule type="cellIs" dxfId="77" priority="44812" stopIfTrue="1" operator="notEqual">
      <formula>"En cours"</formula>
    </cfRule>
  </conditionalFormatting>
  <conditionalFormatting sqref="AJ14">
    <cfRule type="cellIs" dxfId="76" priority="44813" stopIfTrue="1" operator="equal">
      <formula>"En cours"</formula>
    </cfRule>
  </conditionalFormatting>
  <conditionalFormatting sqref="AJ14">
    <cfRule type="cellIs" dxfId="75" priority="44814" stopIfTrue="1" operator="notEqual">
      <formula>"En cours"</formula>
    </cfRule>
  </conditionalFormatting>
  <conditionalFormatting sqref="AK14">
    <cfRule type="cellIs" dxfId="74" priority="44815" stopIfTrue="1" operator="equal">
      <formula>"En cours"</formula>
    </cfRule>
  </conditionalFormatting>
  <conditionalFormatting sqref="AK14">
    <cfRule type="cellIs" dxfId="73" priority="44816" stopIfTrue="1" operator="notEqual">
      <formula>"En cours"</formula>
    </cfRule>
  </conditionalFormatting>
  <conditionalFormatting sqref="AJ13">
    <cfRule type="cellIs" dxfId="72" priority="44817" stopIfTrue="1" operator="equal">
      <formula>"En cours"</formula>
    </cfRule>
  </conditionalFormatting>
  <conditionalFormatting sqref="AJ13">
    <cfRule type="cellIs" dxfId="71" priority="44818" stopIfTrue="1" operator="notEqual">
      <formula>"En cours"</formula>
    </cfRule>
  </conditionalFormatting>
  <conditionalFormatting sqref="AK13">
    <cfRule type="cellIs" dxfId="70" priority="44819" stopIfTrue="1" operator="equal">
      <formula>"En cours"</formula>
    </cfRule>
  </conditionalFormatting>
  <conditionalFormatting sqref="AK13">
    <cfRule type="cellIs" dxfId="69" priority="44820" stopIfTrue="1" operator="notEqual">
      <formula>"En cours"</formula>
    </cfRule>
  </conditionalFormatting>
  <conditionalFormatting sqref="AJ16">
    <cfRule type="cellIs" dxfId="68" priority="44821" stopIfTrue="1" operator="equal">
      <formula>"En cours"</formula>
    </cfRule>
  </conditionalFormatting>
  <conditionalFormatting sqref="AJ16">
    <cfRule type="cellIs" dxfId="67" priority="44822" stopIfTrue="1" operator="notEqual">
      <formula>"En cours"</formula>
    </cfRule>
  </conditionalFormatting>
  <conditionalFormatting sqref="AK16">
    <cfRule type="cellIs" dxfId="66" priority="44823" stopIfTrue="1" operator="equal">
      <formula>"En cours"</formula>
    </cfRule>
  </conditionalFormatting>
  <conditionalFormatting sqref="AK16">
    <cfRule type="cellIs" dxfId="65" priority="44824" stopIfTrue="1" operator="notEqual">
      <formula>"En cours"</formula>
    </cfRule>
  </conditionalFormatting>
  <conditionalFormatting sqref="AJ15">
    <cfRule type="cellIs" dxfId="64" priority="44825" stopIfTrue="1" operator="equal">
      <formula>"En cours"</formula>
    </cfRule>
  </conditionalFormatting>
  <conditionalFormatting sqref="AJ15">
    <cfRule type="cellIs" dxfId="63" priority="44826" stopIfTrue="1" operator="notEqual">
      <formula>"En cours"</formula>
    </cfRule>
  </conditionalFormatting>
  <conditionalFormatting sqref="AK15">
    <cfRule type="cellIs" dxfId="62" priority="44827" stopIfTrue="1" operator="equal">
      <formula>"En cours"</formula>
    </cfRule>
  </conditionalFormatting>
  <conditionalFormatting sqref="AK15">
    <cfRule type="cellIs" dxfId="61" priority="44828" stopIfTrue="1" operator="notEqual">
      <formula>"En cours"</formula>
    </cfRule>
  </conditionalFormatting>
  <conditionalFormatting sqref="AJ19">
    <cfRule type="cellIs" dxfId="60" priority="44829" stopIfTrue="1" operator="equal">
      <formula>"En cours"</formula>
    </cfRule>
  </conditionalFormatting>
  <conditionalFormatting sqref="AJ19">
    <cfRule type="cellIs" dxfId="59" priority="44830" stopIfTrue="1" operator="notEqual">
      <formula>"En cours"</formula>
    </cfRule>
  </conditionalFormatting>
  <conditionalFormatting sqref="AK19">
    <cfRule type="cellIs" dxfId="58" priority="44831" stopIfTrue="1" operator="equal">
      <formula>"En cours"</formula>
    </cfRule>
  </conditionalFormatting>
  <conditionalFormatting sqref="AK19">
    <cfRule type="cellIs" dxfId="57" priority="44832" stopIfTrue="1" operator="notEqual">
      <formula>"En cours"</formula>
    </cfRule>
  </conditionalFormatting>
  <conditionalFormatting sqref="AJ17">
    <cfRule type="cellIs" dxfId="56" priority="44833" stopIfTrue="1" operator="equal">
      <formula>"En cours"</formula>
    </cfRule>
  </conditionalFormatting>
  <conditionalFormatting sqref="AJ17">
    <cfRule type="cellIs" dxfId="55" priority="44834" stopIfTrue="1" operator="notEqual">
      <formula>"En cours"</formula>
    </cfRule>
  </conditionalFormatting>
  <conditionalFormatting sqref="AK17">
    <cfRule type="cellIs" dxfId="54" priority="44835" stopIfTrue="1" operator="equal">
      <formula>"En cours"</formula>
    </cfRule>
  </conditionalFormatting>
  <conditionalFormatting sqref="AK17">
    <cfRule type="cellIs" dxfId="53" priority="44836" stopIfTrue="1" operator="notEqual">
      <formula>"En cours"</formula>
    </cfRule>
  </conditionalFormatting>
  <conditionalFormatting sqref="AJ20">
    <cfRule type="cellIs" dxfId="52" priority="44837" stopIfTrue="1" operator="equal">
      <formula>"En cours"</formula>
    </cfRule>
  </conditionalFormatting>
  <conditionalFormatting sqref="AJ20">
    <cfRule type="cellIs" dxfId="51" priority="44838" stopIfTrue="1" operator="notEqual">
      <formula>"En cours"</formula>
    </cfRule>
  </conditionalFormatting>
  <conditionalFormatting sqref="AK20">
    <cfRule type="cellIs" dxfId="50" priority="44839" stopIfTrue="1" operator="equal">
      <formula>"En cours"</formula>
    </cfRule>
  </conditionalFormatting>
  <conditionalFormatting sqref="AK20">
    <cfRule type="cellIs" dxfId="49" priority="44840" stopIfTrue="1" operator="notEqual">
      <formula>"En cours"</formula>
    </cfRule>
  </conditionalFormatting>
  <conditionalFormatting sqref="AJ18">
    <cfRule type="cellIs" dxfId="48" priority="44841" stopIfTrue="1" operator="equal">
      <formula>"En cours"</formula>
    </cfRule>
  </conditionalFormatting>
  <conditionalFormatting sqref="AJ18">
    <cfRule type="cellIs" dxfId="47" priority="44842" stopIfTrue="1" operator="notEqual">
      <formula>"En cours"</formula>
    </cfRule>
  </conditionalFormatting>
  <conditionalFormatting sqref="AK18">
    <cfRule type="cellIs" dxfId="46" priority="44843" stopIfTrue="1" operator="equal">
      <formula>"En cours"</formula>
    </cfRule>
  </conditionalFormatting>
  <conditionalFormatting sqref="AK18">
    <cfRule type="cellIs" dxfId="45" priority="4484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F5" s="17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2024-08-09T19:06:40Z</dcterms:modified>
</cp:coreProperties>
</file>