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B122893E-099A-4C71-9D70-1FC6574660ED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35" i="4" l="1"/>
  <c r="AK35" i="4" s="1"/>
  <c r="AD35" i="4"/>
  <c r="AJ35" i="4" s="1"/>
  <c r="AE13" i="4"/>
  <c r="AK13" i="4" s="1"/>
  <c r="AD13" i="4"/>
  <c r="AJ13" i="4" s="1"/>
  <c r="AE115" i="4"/>
  <c r="AK115" i="4" s="1"/>
  <c r="AD115" i="4"/>
  <c r="AJ115" i="4" s="1"/>
  <c r="AE22" i="4"/>
  <c r="AK22" i="4" s="1"/>
  <c r="AD22" i="4"/>
  <c r="AJ22" i="4" s="1"/>
  <c r="AE32" i="4"/>
  <c r="AK32" i="4" s="1"/>
  <c r="AD32" i="4"/>
  <c r="AJ32" i="4" s="1"/>
  <c r="AE68" i="4"/>
  <c r="AK68" i="4" s="1"/>
  <c r="AD68" i="4"/>
  <c r="AJ68" i="4" s="1"/>
  <c r="AE47" i="4"/>
  <c r="AK47" i="4" s="1"/>
  <c r="AD47" i="4"/>
  <c r="AJ47" i="4" s="1"/>
  <c r="AE86" i="4"/>
  <c r="AK86" i="4" s="1"/>
  <c r="AD86" i="4"/>
  <c r="AJ86" i="4" s="1"/>
  <c r="AE28" i="4"/>
  <c r="AK28" i="4" s="1"/>
  <c r="AD28" i="4"/>
  <c r="AJ28" i="4" s="1"/>
  <c r="AE62" i="4"/>
  <c r="AK62" i="4" s="1"/>
  <c r="AD62" i="4"/>
  <c r="AJ62" i="4" s="1"/>
  <c r="AE51" i="4"/>
  <c r="AK51" i="4" s="1"/>
  <c r="AD51" i="4"/>
  <c r="AJ51" i="4" s="1"/>
  <c r="AE50" i="4"/>
  <c r="AK50" i="4" s="1"/>
  <c r="AD50" i="4"/>
  <c r="AJ50" i="4" s="1"/>
  <c r="AE43" i="4"/>
  <c r="AK43" i="4" s="1"/>
  <c r="AD43" i="4"/>
  <c r="AJ43" i="4" s="1"/>
  <c r="AE84" i="4"/>
  <c r="AK84" i="4" s="1"/>
  <c r="AD84" i="4"/>
  <c r="AJ84" i="4" s="1"/>
  <c r="AE117" i="4"/>
  <c r="AK117" i="4" s="1"/>
  <c r="AD117" i="4"/>
  <c r="AJ117" i="4" s="1"/>
  <c r="AE45" i="4"/>
  <c r="AK45" i="4" s="1"/>
  <c r="AD45" i="4"/>
  <c r="AJ45" i="4" s="1"/>
  <c r="AE10" i="4"/>
  <c r="AK10" i="4" s="1"/>
  <c r="AD10" i="4"/>
  <c r="AJ10" i="4" s="1"/>
  <c r="AE57" i="4"/>
  <c r="AK57" i="4" s="1"/>
  <c r="AD57" i="4"/>
  <c r="AJ57" i="4" s="1"/>
  <c r="AE116" i="4"/>
  <c r="AK116" i="4" s="1"/>
  <c r="AD116" i="4"/>
  <c r="AJ116" i="4" s="1"/>
  <c r="AE14" i="4"/>
  <c r="AK14" i="4" s="1"/>
  <c r="AD14" i="4"/>
  <c r="AJ14" i="4" s="1"/>
  <c r="AE109" i="4"/>
  <c r="AK109" i="4" s="1"/>
  <c r="AD109" i="4"/>
  <c r="AJ109" i="4" s="1"/>
  <c r="AE46" i="4"/>
  <c r="AK46" i="4" s="1"/>
  <c r="AD46" i="4"/>
  <c r="AJ46" i="4" s="1"/>
  <c r="AE96" i="4"/>
  <c r="AK96" i="4" s="1"/>
  <c r="AD96" i="4"/>
  <c r="AJ96" i="4" s="1"/>
  <c r="AE19" i="4"/>
  <c r="AK19" i="4" s="1"/>
  <c r="AD19" i="4"/>
  <c r="AJ19" i="4" s="1"/>
  <c r="AE88" i="4"/>
  <c r="AK88" i="4" s="1"/>
  <c r="AD88" i="4"/>
  <c r="AJ88" i="4" s="1"/>
  <c r="AE18" i="4"/>
  <c r="AK18" i="4" s="1"/>
  <c r="AD18" i="4"/>
  <c r="AJ18" i="4" s="1"/>
  <c r="AE33" i="4"/>
  <c r="AK33" i="4" s="1"/>
  <c r="AD33" i="4"/>
  <c r="AJ33" i="4" s="1"/>
  <c r="AE60" i="4"/>
  <c r="AK60" i="4" s="1"/>
  <c r="AD60" i="4"/>
  <c r="AJ60" i="4" s="1"/>
  <c r="AE94" i="4"/>
  <c r="AK94" i="4" s="1"/>
  <c r="AD94" i="4"/>
  <c r="AJ94" i="4" s="1"/>
  <c r="AE40" i="4"/>
  <c r="AK40" i="4" s="1"/>
  <c r="AD40" i="4"/>
  <c r="AJ40" i="4" s="1"/>
  <c r="AE4" i="4"/>
  <c r="AK4" i="4" s="1"/>
  <c r="AD4" i="4"/>
  <c r="AJ4" i="4" s="1"/>
  <c r="AE67" i="4"/>
  <c r="AK67" i="4" s="1"/>
  <c r="AD67" i="4"/>
  <c r="AJ67" i="4" s="1"/>
  <c r="AE27" i="4"/>
  <c r="AK27" i="4" s="1"/>
  <c r="AD27" i="4"/>
  <c r="AJ27" i="4" s="1"/>
  <c r="AE66" i="4"/>
  <c r="AK66" i="4" s="1"/>
  <c r="AD66" i="4"/>
  <c r="AJ66" i="4" s="1"/>
  <c r="AE6" i="4"/>
  <c r="AK6" i="4" s="1"/>
  <c r="AD6" i="4"/>
  <c r="AJ6" i="4" s="1"/>
  <c r="AE78" i="4"/>
  <c r="AK78" i="4" s="1"/>
  <c r="AD78" i="4"/>
  <c r="AJ78" i="4" s="1"/>
  <c r="AE99" i="4"/>
  <c r="AK99" i="4" s="1"/>
  <c r="AD99" i="4"/>
  <c r="AJ99" i="4" s="1"/>
  <c r="AE69" i="4"/>
  <c r="AK69" i="4" s="1"/>
  <c r="AD69" i="4"/>
  <c r="AJ69" i="4" s="1"/>
  <c r="AE26" i="4"/>
  <c r="AK26" i="4" s="1"/>
  <c r="AD26" i="4"/>
  <c r="AJ26" i="4" s="1"/>
  <c r="AE82" i="4"/>
  <c r="AK82" i="4" s="1"/>
  <c r="AD82" i="4"/>
  <c r="AJ82" i="4" s="1"/>
  <c r="AE56" i="4"/>
  <c r="AK56" i="4" s="1"/>
  <c r="AD56" i="4"/>
  <c r="AJ56" i="4" s="1"/>
  <c r="AE11" i="4"/>
  <c r="AK11" i="4" s="1"/>
  <c r="AD11" i="4"/>
  <c r="AJ11" i="4" s="1"/>
  <c r="AE44" i="4"/>
  <c r="AK44" i="4" s="1"/>
  <c r="AD44" i="4"/>
  <c r="AJ44" i="4" s="1"/>
  <c r="AE20" i="4"/>
  <c r="AK20" i="4" s="1"/>
  <c r="AD20" i="4"/>
  <c r="AJ20" i="4" s="1"/>
  <c r="AE23" i="4"/>
  <c r="AK23" i="4" s="1"/>
  <c r="AD23" i="4"/>
  <c r="AJ23" i="4" s="1"/>
  <c r="AE81" i="4"/>
  <c r="AK81" i="4" s="1"/>
  <c r="AD81" i="4"/>
  <c r="AJ81" i="4" s="1"/>
  <c r="AE113" i="4"/>
  <c r="AK113" i="4" s="1"/>
  <c r="AD113" i="4"/>
  <c r="AJ113" i="4" s="1"/>
  <c r="AE48" i="4"/>
  <c r="AK48" i="4" s="1"/>
  <c r="AD48" i="4"/>
  <c r="AJ48" i="4" s="1"/>
  <c r="AE95" i="4"/>
  <c r="AK95" i="4" s="1"/>
  <c r="AD95" i="4"/>
  <c r="AJ95" i="4" s="1"/>
  <c r="AE16" i="4"/>
  <c r="AK16" i="4" s="1"/>
  <c r="AD16" i="4"/>
  <c r="AJ16" i="4" s="1"/>
  <c r="AE30" i="4"/>
  <c r="AK30" i="4" s="1"/>
  <c r="AD30" i="4"/>
  <c r="AJ30" i="4" s="1"/>
  <c r="AE12" i="4"/>
  <c r="AK12" i="4" s="1"/>
  <c r="AD12" i="4"/>
  <c r="AJ12" i="4" s="1"/>
  <c r="AE53" i="4"/>
  <c r="AK53" i="4" s="1"/>
  <c r="AD53" i="4"/>
  <c r="AJ53" i="4" s="1"/>
  <c r="AE65" i="4"/>
  <c r="AK65" i="4" s="1"/>
  <c r="AD65" i="4"/>
  <c r="AJ65" i="4" s="1"/>
  <c r="AE87" i="4"/>
  <c r="AK87" i="4" s="1"/>
  <c r="AD87" i="4"/>
  <c r="AJ87" i="4" s="1"/>
  <c r="AE108" i="4"/>
  <c r="AK108" i="4" s="1"/>
  <c r="AD108" i="4"/>
  <c r="AJ108" i="4" s="1"/>
  <c r="AE70" i="4"/>
  <c r="AK70" i="4" s="1"/>
  <c r="AD70" i="4"/>
  <c r="AJ70" i="4" s="1"/>
  <c r="AE114" i="4"/>
  <c r="AK114" i="4" s="1"/>
  <c r="AD114" i="4"/>
  <c r="AJ114" i="4" s="1"/>
  <c r="AE71" i="4"/>
  <c r="AK71" i="4" s="1"/>
  <c r="AD71" i="4"/>
  <c r="AJ71" i="4" s="1"/>
  <c r="AE101" i="4"/>
  <c r="AK101" i="4" s="1"/>
  <c r="AD101" i="4"/>
  <c r="AJ101" i="4" s="1"/>
  <c r="AE92" i="4"/>
  <c r="AK92" i="4" s="1"/>
  <c r="AD92" i="4"/>
  <c r="AJ92" i="4" s="1"/>
  <c r="AE106" i="4"/>
  <c r="AK106" i="4" s="1"/>
  <c r="AD106" i="4"/>
  <c r="AJ106" i="4" s="1"/>
  <c r="AE52" i="4"/>
  <c r="AK52" i="4" s="1"/>
  <c r="AD52" i="4"/>
  <c r="AJ52" i="4" s="1"/>
  <c r="AE102" i="4"/>
  <c r="AK102" i="4" s="1"/>
  <c r="AD102" i="4"/>
  <c r="AJ102" i="4" s="1"/>
  <c r="AE112" i="4"/>
  <c r="AK112" i="4" s="1"/>
  <c r="AD112" i="4"/>
  <c r="AJ112" i="4" s="1"/>
  <c r="AE24" i="4"/>
  <c r="AK24" i="4" s="1"/>
  <c r="AD24" i="4"/>
  <c r="AJ24" i="4" s="1"/>
  <c r="AE97" i="4"/>
  <c r="AK97" i="4" s="1"/>
  <c r="AD97" i="4"/>
  <c r="AJ97" i="4" s="1"/>
  <c r="AE89" i="4"/>
  <c r="AK89" i="4" s="1"/>
  <c r="AD89" i="4"/>
  <c r="AJ89" i="4" s="1"/>
  <c r="AE63" i="4"/>
  <c r="AK63" i="4" s="1"/>
  <c r="AD63" i="4"/>
  <c r="AJ63" i="4" s="1"/>
  <c r="AE91" i="4"/>
  <c r="AK91" i="4" s="1"/>
  <c r="AD91" i="4"/>
  <c r="AJ91" i="4" s="1"/>
  <c r="AE54" i="4"/>
  <c r="AK54" i="4" s="1"/>
  <c r="AD54" i="4"/>
  <c r="AJ54" i="4" s="1"/>
  <c r="AE73" i="4"/>
  <c r="AK73" i="4" s="1"/>
  <c r="AD73" i="4"/>
  <c r="AJ73" i="4" s="1"/>
  <c r="AE58" i="4"/>
  <c r="AK58" i="4" s="1"/>
  <c r="AD58" i="4"/>
  <c r="AJ58" i="4" s="1"/>
  <c r="AE39" i="4"/>
  <c r="AK39" i="4" s="1"/>
  <c r="AD39" i="4"/>
  <c r="AJ39" i="4" s="1"/>
  <c r="AE7" i="4"/>
  <c r="AK7" i="4" s="1"/>
  <c r="AD7" i="4"/>
  <c r="AJ7" i="4" s="1"/>
  <c r="AE15" i="4"/>
  <c r="AK15" i="4" s="1"/>
  <c r="AD15" i="4"/>
  <c r="AJ15" i="4" s="1"/>
  <c r="AE111" i="4"/>
  <c r="AK111" i="4" s="1"/>
  <c r="AD111" i="4"/>
  <c r="AJ111" i="4" s="1"/>
  <c r="AE75" i="4"/>
  <c r="AK75" i="4" s="1"/>
  <c r="AD75" i="4"/>
  <c r="AJ75" i="4" s="1"/>
  <c r="AE7" i="5"/>
  <c r="AK7" i="5" s="1"/>
  <c r="AD7" i="5"/>
  <c r="AJ7" i="5" s="1"/>
  <c r="AE13" i="5"/>
  <c r="AK13" i="5" s="1"/>
  <c r="AD13" i="5"/>
  <c r="AJ13" i="5" s="1"/>
  <c r="AE18" i="5"/>
  <c r="AK18" i="5" s="1"/>
  <c r="AD18" i="5"/>
  <c r="AJ18" i="5" s="1"/>
  <c r="AE9" i="5"/>
  <c r="AK9" i="5" s="1"/>
  <c r="AD9" i="5"/>
  <c r="AJ9" i="5" s="1"/>
  <c r="AE8" i="5"/>
  <c r="AK8" i="5" s="1"/>
  <c r="AD8" i="5"/>
  <c r="AJ8" i="5" s="1"/>
  <c r="AE4" i="5"/>
  <c r="AK4" i="5" s="1"/>
  <c r="AD4" i="5"/>
  <c r="AJ4" i="5" s="1"/>
  <c r="AE24" i="5"/>
  <c r="AK24" i="5" s="1"/>
  <c r="AD24" i="5"/>
  <c r="AJ24" i="5" s="1"/>
  <c r="AE19" i="5"/>
  <c r="AK19" i="5" s="1"/>
  <c r="AD19" i="5"/>
  <c r="AJ19" i="5" s="1"/>
  <c r="AE31" i="4"/>
  <c r="AK31" i="4" s="1"/>
  <c r="AD31" i="4"/>
  <c r="AJ31" i="4" s="1"/>
  <c r="AE42" i="4"/>
  <c r="AK42" i="4" s="1"/>
  <c r="AD42" i="4"/>
  <c r="AJ42" i="4" s="1"/>
  <c r="AE64" i="4"/>
  <c r="AK64" i="4" s="1"/>
  <c r="AD64" i="4"/>
  <c r="AJ64" i="4" s="1"/>
  <c r="AE98" i="4"/>
  <c r="AK98" i="4" s="1"/>
  <c r="AD98" i="4"/>
  <c r="AJ98" i="4" s="1"/>
  <c r="AE119" i="4"/>
  <c r="AK119" i="4" s="1"/>
  <c r="AD119" i="4"/>
  <c r="AJ119" i="4" s="1"/>
  <c r="AE93" i="4"/>
  <c r="AK93" i="4" s="1"/>
  <c r="AD93" i="4"/>
  <c r="AJ93" i="4" s="1"/>
  <c r="AE34" i="4"/>
  <c r="AK34" i="4" s="1"/>
  <c r="AD34" i="4"/>
  <c r="AJ34" i="4" s="1"/>
  <c r="AE110" i="4"/>
  <c r="AK110" i="4" s="1"/>
  <c r="AD110" i="4"/>
  <c r="AJ110" i="4" s="1"/>
  <c r="AE38" i="4"/>
  <c r="AK38" i="4" s="1"/>
  <c r="AD38" i="4"/>
  <c r="AJ38" i="4" s="1"/>
  <c r="AE104" i="4"/>
  <c r="AK104" i="4" s="1"/>
  <c r="AD104" i="4"/>
  <c r="AJ104" i="4" s="1"/>
  <c r="AE41" i="4"/>
  <c r="AK41" i="4" s="1"/>
  <c r="AD41" i="4"/>
  <c r="AJ41" i="4" s="1"/>
  <c r="AE79" i="4"/>
  <c r="AK79" i="4" s="1"/>
  <c r="AD79" i="4"/>
  <c r="AJ79" i="4" s="1"/>
  <c r="AE105" i="4"/>
  <c r="AK105" i="4" s="1"/>
  <c r="AD105" i="4"/>
  <c r="AJ105" i="4" s="1"/>
  <c r="AE9" i="4"/>
  <c r="AK9" i="4" s="1"/>
  <c r="AD9" i="4"/>
  <c r="AJ9" i="4" s="1"/>
  <c r="AE80" i="4"/>
  <c r="AK80" i="4" s="1"/>
  <c r="AD80" i="4"/>
  <c r="AJ80" i="4" s="1"/>
  <c r="AE25" i="4"/>
  <c r="AK25" i="4" s="1"/>
  <c r="AD25" i="4"/>
  <c r="AJ25" i="4" s="1"/>
  <c r="AE55" i="4"/>
  <c r="AK55" i="4" s="1"/>
  <c r="AD55" i="4"/>
  <c r="AJ55" i="4" s="1"/>
  <c r="AE37" i="4"/>
  <c r="AK37" i="4" s="1"/>
  <c r="AD37" i="4"/>
  <c r="AJ37" i="4" s="1"/>
  <c r="AE107" i="4"/>
  <c r="AK107" i="4" s="1"/>
  <c r="AD107" i="4"/>
  <c r="AJ107" i="4" s="1"/>
  <c r="AE72" i="4"/>
  <c r="AK72" i="4" s="1"/>
  <c r="AD72" i="4"/>
  <c r="AJ72" i="4" s="1"/>
  <c r="AE49" i="4"/>
  <c r="AK49" i="4" s="1"/>
  <c r="AD49" i="4"/>
  <c r="AJ49" i="4" s="1"/>
  <c r="AE77" i="4"/>
  <c r="AK77" i="4" s="1"/>
  <c r="AD77" i="4"/>
  <c r="AJ77" i="4" s="1"/>
  <c r="AE76" i="4"/>
  <c r="AK76" i="4" s="1"/>
  <c r="AD76" i="4"/>
  <c r="AJ76" i="4" s="1"/>
  <c r="AE36" i="4"/>
  <c r="AK36" i="4" s="1"/>
  <c r="AD36" i="4"/>
  <c r="AJ36" i="4" s="1"/>
  <c r="AE61" i="4"/>
  <c r="AK61" i="4" s="1"/>
  <c r="AD61" i="4"/>
  <c r="AJ61" i="4" s="1"/>
  <c r="AE17" i="4"/>
  <c r="AK17" i="4" s="1"/>
  <c r="AD17" i="4"/>
  <c r="AJ17" i="4" s="1"/>
  <c r="AE85" i="4"/>
  <c r="AK85" i="4" s="1"/>
  <c r="AD85" i="4"/>
  <c r="AJ85" i="4" s="1"/>
  <c r="AE8" i="4"/>
  <c r="AK8" i="4" s="1"/>
  <c r="AD8" i="4"/>
  <c r="AJ8" i="4" s="1"/>
  <c r="AE59" i="4"/>
  <c r="AK59" i="4" s="1"/>
  <c r="AD59" i="4"/>
  <c r="AJ59" i="4" s="1"/>
  <c r="AE118" i="4"/>
  <c r="AK118" i="4" s="1"/>
  <c r="AD118" i="4"/>
  <c r="AJ118" i="4" s="1"/>
  <c r="AE83" i="4"/>
  <c r="AK83" i="4" s="1"/>
  <c r="AD83" i="4"/>
  <c r="AJ83" i="4" s="1"/>
  <c r="AE90" i="4"/>
  <c r="AK90" i="4" s="1"/>
  <c r="AD90" i="4"/>
  <c r="AJ90" i="4" s="1"/>
  <c r="AE103" i="4"/>
  <c r="AK103" i="4" s="1"/>
  <c r="AD103" i="4"/>
  <c r="AJ103" i="4" s="1"/>
  <c r="AE5" i="4"/>
  <c r="AK5" i="4" s="1"/>
  <c r="AD5" i="4"/>
  <c r="AJ5" i="4" s="1"/>
  <c r="AE21" i="4"/>
  <c r="AK21" i="4" s="1"/>
  <c r="AD21" i="4"/>
  <c r="AJ21" i="4" s="1"/>
  <c r="AE74" i="4"/>
  <c r="AK74" i="4" s="1"/>
  <c r="AD74" i="4"/>
  <c r="AJ74" i="4" s="1"/>
  <c r="AE29" i="4"/>
  <c r="AK29" i="4" s="1"/>
  <c r="AD29" i="4"/>
  <c r="AJ29" i="4" s="1"/>
  <c r="AE100" i="4"/>
  <c r="AK100" i="4" s="1"/>
  <c r="AD100" i="4"/>
  <c r="AJ100" i="4" s="1"/>
  <c r="AE11" i="5"/>
  <c r="AK11" i="5" s="1"/>
  <c r="AD11" i="5"/>
  <c r="AJ11" i="5" s="1"/>
  <c r="AE12" i="5"/>
  <c r="AK12" i="5" s="1"/>
  <c r="AD12" i="5"/>
  <c r="AJ12" i="5" s="1"/>
  <c r="AE10" i="5"/>
  <c r="AK10" i="5" s="1"/>
  <c r="AD10" i="5"/>
  <c r="AJ10" i="5" s="1"/>
  <c r="AE6" i="5"/>
  <c r="AK6" i="5" s="1"/>
  <c r="AD6" i="5"/>
  <c r="AJ6" i="5" s="1"/>
  <c r="AE23" i="5"/>
  <c r="AK23" i="5" s="1"/>
  <c r="AD23" i="5"/>
  <c r="AJ23" i="5" s="1"/>
  <c r="AE17" i="5"/>
  <c r="AK17" i="5" s="1"/>
  <c r="AD17" i="5"/>
  <c r="AJ17" i="5" s="1"/>
  <c r="AE14" i="5"/>
  <c r="AK14" i="5" s="1"/>
  <c r="AD14" i="5"/>
  <c r="AJ14" i="5" s="1"/>
  <c r="AE22" i="5"/>
  <c r="AK22" i="5" s="1"/>
  <c r="AD22" i="5"/>
  <c r="AJ22" i="5" s="1"/>
  <c r="AE20" i="5"/>
  <c r="AK20" i="5" s="1"/>
  <c r="AD20" i="5"/>
  <c r="AJ20" i="5" s="1"/>
  <c r="AE16" i="5"/>
  <c r="AK16" i="5" s="1"/>
  <c r="AD16" i="5"/>
  <c r="AJ16" i="5" s="1"/>
  <c r="AE15" i="5"/>
  <c r="AK15" i="5" s="1"/>
  <c r="AD15" i="5"/>
  <c r="AJ15" i="5" s="1"/>
  <c r="AE21" i="5"/>
  <c r="AK21" i="5" s="1"/>
  <c r="AD21" i="5"/>
  <c r="AJ21" i="5" s="1"/>
  <c r="AE5" i="5"/>
  <c r="AK5" i="5" s="1"/>
  <c r="AD5" i="5"/>
  <c r="AJ5" i="5" s="1"/>
  <c r="AE139" i="4"/>
  <c r="AK139" i="4" s="1"/>
  <c r="AD139" i="4"/>
  <c r="AJ139" i="4" s="1"/>
  <c r="AE147" i="4"/>
  <c r="AK147" i="4" s="1"/>
  <c r="AD147" i="4"/>
  <c r="AJ147" i="4" s="1"/>
  <c r="AE140" i="4"/>
  <c r="AK140" i="4" s="1"/>
  <c r="AD140" i="4"/>
  <c r="AJ140" i="4" s="1"/>
  <c r="AE142" i="4"/>
  <c r="AK142" i="4" s="1"/>
  <c r="AD142" i="4"/>
  <c r="AJ142" i="4" s="1"/>
  <c r="AE146" i="4"/>
  <c r="AK146" i="4" s="1"/>
  <c r="AD146" i="4"/>
  <c r="AJ146" i="4" s="1"/>
  <c r="AE143" i="4"/>
  <c r="AK143" i="4" s="1"/>
  <c r="AD143" i="4"/>
  <c r="AJ143" i="4" s="1"/>
  <c r="AE145" i="4"/>
  <c r="AK145" i="4" s="1"/>
  <c r="AD145" i="4"/>
  <c r="AJ145" i="4" s="1"/>
  <c r="AE144" i="4"/>
  <c r="AK144" i="4" s="1"/>
  <c r="AD144" i="4"/>
  <c r="AJ144" i="4" s="1"/>
  <c r="AE141" i="4"/>
  <c r="AK141" i="4" s="1"/>
  <c r="AD141" i="4"/>
  <c r="AJ141" i="4" s="1"/>
  <c r="AE137" i="4"/>
  <c r="AK137" i="4" s="1"/>
  <c r="AD137" i="4"/>
  <c r="AJ137" i="4" s="1"/>
  <c r="AE138" i="4"/>
  <c r="AK138" i="4" s="1"/>
  <c r="AD138" i="4"/>
  <c r="AJ138" i="4" s="1"/>
  <c r="AE136" i="4"/>
  <c r="AK136" i="4" s="1"/>
  <c r="AD136" i="4"/>
  <c r="AJ136" i="4" s="1"/>
  <c r="AE135" i="4"/>
  <c r="AK135" i="4" s="1"/>
  <c r="AD135" i="4"/>
  <c r="AJ135" i="4" s="1"/>
  <c r="AE134" i="4"/>
  <c r="AK134" i="4" s="1"/>
  <c r="AD134" i="4"/>
  <c r="AJ134" i="4" s="1"/>
  <c r="AE133" i="4"/>
  <c r="AK133" i="4" s="1"/>
  <c r="AD133" i="4"/>
  <c r="AJ133" i="4" s="1"/>
  <c r="AE132" i="4"/>
  <c r="AK132" i="4" s="1"/>
  <c r="AD132" i="4"/>
  <c r="AJ132" i="4" s="1"/>
  <c r="AE129" i="4"/>
  <c r="AK129" i="4" s="1"/>
  <c r="AD129" i="4"/>
  <c r="AJ129" i="4" s="1"/>
  <c r="AE130" i="4"/>
  <c r="AK130" i="4" s="1"/>
  <c r="AD130" i="4"/>
  <c r="AJ130" i="4" s="1"/>
  <c r="AE131" i="4"/>
  <c r="AK131" i="4" s="1"/>
  <c r="AD131" i="4"/>
  <c r="AJ131" i="4" s="1"/>
  <c r="AE126" i="4"/>
  <c r="AK126" i="4" s="1"/>
  <c r="AD126" i="4"/>
  <c r="AJ126" i="4" s="1"/>
  <c r="AE127" i="4"/>
  <c r="AK127" i="4" s="1"/>
  <c r="AD127" i="4"/>
  <c r="AJ127" i="4" s="1"/>
  <c r="AE128" i="4"/>
  <c r="AK128" i="4" s="1"/>
  <c r="AD128" i="4"/>
  <c r="AJ128" i="4" s="1"/>
  <c r="AE125" i="4"/>
  <c r="AK125" i="4" s="1"/>
  <c r="AD125" i="4"/>
  <c r="AJ125" i="4" s="1"/>
  <c r="AE124" i="4"/>
  <c r="AK124" i="4" s="1"/>
  <c r="AD124" i="4"/>
  <c r="AJ124" i="4" s="1"/>
  <c r="AE122" i="4"/>
  <c r="AK122" i="4" s="1"/>
  <c r="AD122" i="4"/>
  <c r="AJ122" i="4" s="1"/>
  <c r="AE123" i="4"/>
  <c r="AK123" i="4" s="1"/>
  <c r="AD123" i="4"/>
  <c r="AJ123" i="4" s="1"/>
  <c r="AE121" i="4"/>
  <c r="AK121" i="4" s="1"/>
  <c r="AD121" i="4"/>
  <c r="AJ121" i="4" s="1"/>
  <c r="AE120" i="4"/>
  <c r="AK120" i="4" s="1"/>
  <c r="AD120" i="4"/>
  <c r="AJ120" i="4" s="1"/>
  <c r="AE30" i="5"/>
  <c r="AK30" i="5" s="1"/>
  <c r="AD30" i="5"/>
  <c r="AJ30" i="5" s="1"/>
  <c r="AE29" i="5"/>
  <c r="AK29" i="5" s="1"/>
  <c r="AD29" i="5"/>
  <c r="AJ29" i="5" s="1"/>
  <c r="AE28" i="5"/>
  <c r="AK28" i="5" s="1"/>
  <c r="AD28" i="5"/>
  <c r="AJ28" i="5" s="1"/>
  <c r="AE25" i="5"/>
  <c r="AK25" i="5" s="1"/>
  <c r="AD25" i="5"/>
  <c r="AJ25" i="5" s="1"/>
  <c r="AE27" i="5"/>
  <c r="AK27" i="5" s="1"/>
  <c r="AD27" i="5"/>
  <c r="AJ27" i="5" s="1"/>
  <c r="AE26" i="5"/>
  <c r="AK26" i="5" s="1"/>
  <c r="AD26" i="5"/>
  <c r="AJ26" i="5" s="1"/>
  <c r="AE180" i="4"/>
  <c r="AK180" i="4" s="1"/>
  <c r="AD180" i="4"/>
  <c r="AJ180" i="4" s="1"/>
  <c r="AE153" i="4"/>
  <c r="AK153" i="4" s="1"/>
  <c r="AD153" i="4"/>
  <c r="AJ153" i="4" s="1"/>
  <c r="AE162" i="4"/>
  <c r="AK162" i="4" s="1"/>
  <c r="AD162" i="4"/>
  <c r="AJ162" i="4" s="1"/>
  <c r="AE158" i="4"/>
  <c r="AK158" i="4" s="1"/>
  <c r="AD158" i="4"/>
  <c r="AJ158" i="4" s="1"/>
  <c r="AE176" i="4"/>
  <c r="AK176" i="4" s="1"/>
  <c r="AD176" i="4"/>
  <c r="AJ176" i="4" s="1"/>
  <c r="AE175" i="4"/>
  <c r="AK175" i="4" s="1"/>
  <c r="AD175" i="4"/>
  <c r="AJ175" i="4" s="1"/>
  <c r="AE155" i="4"/>
  <c r="AK155" i="4" s="1"/>
  <c r="AD155" i="4"/>
  <c r="AJ155" i="4" s="1"/>
  <c r="AE179" i="4"/>
  <c r="AK179" i="4" s="1"/>
  <c r="AD179" i="4"/>
  <c r="AJ179" i="4" s="1"/>
  <c r="AE178" i="4"/>
  <c r="AK178" i="4" s="1"/>
  <c r="AD178" i="4"/>
  <c r="AJ178" i="4" s="1"/>
  <c r="AE168" i="4"/>
  <c r="AK168" i="4" s="1"/>
  <c r="AD168" i="4"/>
  <c r="AJ168" i="4" s="1"/>
  <c r="AE174" i="4"/>
  <c r="AK174" i="4" s="1"/>
  <c r="AD174" i="4"/>
  <c r="AJ174" i="4" s="1"/>
  <c r="AE177" i="4"/>
  <c r="AK177" i="4" s="1"/>
  <c r="AD177" i="4"/>
  <c r="AJ177" i="4" s="1"/>
  <c r="AE173" i="4"/>
  <c r="AK173" i="4" s="1"/>
  <c r="AD173" i="4"/>
  <c r="AJ173" i="4" s="1"/>
  <c r="AE172" i="4"/>
  <c r="AK172" i="4" s="1"/>
  <c r="AD172" i="4"/>
  <c r="AJ172" i="4" s="1"/>
  <c r="AE166" i="4"/>
  <c r="AK166" i="4" s="1"/>
  <c r="AD166" i="4"/>
  <c r="AJ166" i="4" s="1"/>
  <c r="AE165" i="4"/>
  <c r="AK165" i="4" s="1"/>
  <c r="AD165" i="4"/>
  <c r="AJ165" i="4" s="1"/>
  <c r="AE33" i="5"/>
  <c r="AK33" i="5" s="1"/>
  <c r="AD33" i="5"/>
  <c r="AJ33" i="5" s="1"/>
  <c r="AE31" i="5"/>
  <c r="AK31" i="5" s="1"/>
  <c r="AD31" i="5"/>
  <c r="AJ31" i="5" s="1"/>
  <c r="AE160" i="4"/>
  <c r="AK160" i="4" s="1"/>
  <c r="AD160" i="4"/>
  <c r="AJ160" i="4" s="1"/>
  <c r="AE159" i="4"/>
  <c r="AK159" i="4" s="1"/>
  <c r="AD159" i="4"/>
  <c r="AJ159" i="4" s="1"/>
  <c r="AE148" i="4"/>
  <c r="AK148" i="4" s="1"/>
  <c r="AD148" i="4"/>
  <c r="AJ148" i="4" s="1"/>
  <c r="AE170" i="4"/>
  <c r="AK170" i="4" s="1"/>
  <c r="AD170" i="4"/>
  <c r="AJ170" i="4" s="1"/>
  <c r="AE154" i="4"/>
  <c r="AK154" i="4" s="1"/>
  <c r="AD154" i="4"/>
  <c r="AJ154" i="4" s="1"/>
  <c r="AE171" i="4"/>
  <c r="AK171" i="4" s="1"/>
  <c r="AD171" i="4"/>
  <c r="AJ171" i="4" s="1"/>
  <c r="AE163" i="4"/>
  <c r="AK163" i="4" s="1"/>
  <c r="AD163" i="4"/>
  <c r="AJ163" i="4" s="1"/>
  <c r="AE156" i="4"/>
  <c r="AK156" i="4" s="1"/>
  <c r="AD156" i="4"/>
  <c r="AJ156" i="4" s="1"/>
  <c r="AE169" i="4"/>
  <c r="AK169" i="4" s="1"/>
  <c r="AD169" i="4"/>
  <c r="AJ169" i="4" s="1"/>
  <c r="AE167" i="4"/>
  <c r="AK167" i="4" s="1"/>
  <c r="AD167" i="4"/>
  <c r="AJ167" i="4" s="1"/>
  <c r="AE164" i="4"/>
  <c r="AK164" i="4" s="1"/>
  <c r="AD164" i="4"/>
  <c r="AJ164" i="4" s="1"/>
  <c r="AE161" i="4"/>
  <c r="AK161" i="4" s="1"/>
  <c r="AD161" i="4"/>
  <c r="AJ161" i="4" s="1"/>
  <c r="AE157" i="4"/>
  <c r="AK157" i="4" s="1"/>
  <c r="AD157" i="4"/>
  <c r="AJ157" i="4" s="1"/>
  <c r="AE152" i="4"/>
  <c r="AK152" i="4" s="1"/>
  <c r="AD152" i="4"/>
  <c r="AJ152" i="4" s="1"/>
  <c r="AE149" i="4"/>
  <c r="AK149" i="4" s="1"/>
  <c r="AD149" i="4"/>
  <c r="AJ149" i="4" s="1"/>
  <c r="AE151" i="4"/>
  <c r="AK151" i="4" s="1"/>
  <c r="AD151" i="4"/>
  <c r="AJ151" i="4" s="1"/>
  <c r="AE150" i="4"/>
  <c r="AK150" i="4" s="1"/>
  <c r="AD150" i="4"/>
  <c r="AJ150" i="4" s="1"/>
  <c r="AE32" i="5"/>
  <c r="AK32" i="5" s="1"/>
  <c r="AD32" i="5"/>
  <c r="AJ32" i="5" s="1"/>
  <c r="AE350" i="5"/>
  <c r="AK350" i="5" s="1"/>
  <c r="AD350" i="5"/>
  <c r="AJ350" i="5" s="1"/>
  <c r="AE349" i="5"/>
  <c r="AK349" i="5" s="1"/>
  <c r="AD349" i="5"/>
  <c r="AJ349" i="5" s="1"/>
  <c r="AE348" i="5"/>
  <c r="AK348" i="5" s="1"/>
  <c r="AD348" i="5"/>
  <c r="AJ348" i="5" s="1"/>
  <c r="AE347" i="5"/>
  <c r="AK347" i="5" s="1"/>
  <c r="AD347" i="5"/>
  <c r="AJ347" i="5" s="1"/>
  <c r="AE346" i="5"/>
  <c r="AK346" i="5" s="1"/>
  <c r="AD346" i="5"/>
  <c r="AJ346" i="5" s="1"/>
  <c r="AE345" i="5"/>
  <c r="AK345" i="5" s="1"/>
  <c r="AD345" i="5"/>
  <c r="AJ345" i="5" s="1"/>
  <c r="AE344" i="5"/>
  <c r="AK344" i="5" s="1"/>
  <c r="AD344" i="5"/>
  <c r="AJ344" i="5" s="1"/>
  <c r="AE343" i="5"/>
  <c r="AK343" i="5" s="1"/>
  <c r="AD343" i="5"/>
  <c r="AJ343" i="5" s="1"/>
  <c r="AE342" i="5"/>
  <c r="AK342" i="5" s="1"/>
  <c r="AD342" i="5"/>
  <c r="AJ342" i="5" s="1"/>
  <c r="AE341" i="5"/>
  <c r="AK341" i="5" s="1"/>
  <c r="AD341" i="5"/>
  <c r="AJ341" i="5" s="1"/>
  <c r="AE340" i="5"/>
  <c r="AK340" i="5" s="1"/>
  <c r="AD340" i="5"/>
  <c r="AJ340" i="5" s="1"/>
  <c r="AE339" i="5"/>
  <c r="AK339" i="5" s="1"/>
  <c r="AD339" i="5"/>
  <c r="AJ339" i="5" s="1"/>
  <c r="AE338" i="5"/>
  <c r="AK338" i="5" s="1"/>
  <c r="AD338" i="5"/>
  <c r="AJ338" i="5" s="1"/>
  <c r="AE337" i="5"/>
  <c r="AK337" i="5" s="1"/>
  <c r="AD337" i="5"/>
  <c r="AJ337" i="5" s="1"/>
  <c r="AE336" i="5"/>
  <c r="AK336" i="5" s="1"/>
  <c r="AD336" i="5"/>
  <c r="AJ336" i="5" s="1"/>
  <c r="AE335" i="5"/>
  <c r="AK335" i="5" s="1"/>
  <c r="AD335" i="5"/>
  <c r="AJ335" i="5" s="1"/>
  <c r="AE334" i="5"/>
  <c r="AK334" i="5" s="1"/>
  <c r="AD334" i="5"/>
  <c r="AJ334" i="5" s="1"/>
  <c r="AE333" i="5"/>
  <c r="AK333" i="5" s="1"/>
  <c r="AD333" i="5"/>
  <c r="AJ333" i="5" s="1"/>
  <c r="AE332" i="5"/>
  <c r="AK332" i="5" s="1"/>
  <c r="AD332" i="5"/>
  <c r="AJ332" i="5" s="1"/>
  <c r="AE331" i="5"/>
  <c r="AK331" i="5" s="1"/>
  <c r="AD331" i="5"/>
  <c r="AJ331" i="5" s="1"/>
  <c r="AE330" i="5"/>
  <c r="AK330" i="5" s="1"/>
  <c r="AD330" i="5"/>
  <c r="AJ330" i="5" s="1"/>
  <c r="AE329" i="5"/>
  <c r="AK329" i="5" s="1"/>
  <c r="AD329" i="5"/>
  <c r="AJ329" i="5" s="1"/>
  <c r="AE328" i="5"/>
  <c r="AK328" i="5" s="1"/>
  <c r="AD328" i="5"/>
  <c r="AJ328" i="5" s="1"/>
  <c r="AE327" i="5"/>
  <c r="AK327" i="5" s="1"/>
  <c r="AD327" i="5"/>
  <c r="AJ327" i="5" s="1"/>
  <c r="AE326" i="5"/>
  <c r="AK326" i="5" s="1"/>
  <c r="AD326" i="5"/>
  <c r="AJ326" i="5" s="1"/>
  <c r="AE325" i="5"/>
  <c r="AK325" i="5" s="1"/>
  <c r="AD325" i="5"/>
  <c r="AJ325" i="5" s="1"/>
  <c r="AE324" i="5"/>
  <c r="AK324" i="5" s="1"/>
  <c r="AD324" i="5"/>
  <c r="AJ324" i="5" s="1"/>
  <c r="AE323" i="5"/>
  <c r="AK323" i="5" s="1"/>
  <c r="AD323" i="5"/>
  <c r="AJ323" i="5" s="1"/>
  <c r="AE322" i="5"/>
  <c r="AK322" i="5" s="1"/>
  <c r="AD322" i="5"/>
  <c r="AJ322" i="5" s="1"/>
  <c r="AE321" i="5"/>
  <c r="AK321" i="5" s="1"/>
  <c r="AD321" i="5"/>
  <c r="AJ321" i="5" s="1"/>
  <c r="AE320" i="5"/>
  <c r="AK320" i="5" s="1"/>
  <c r="AD320" i="5"/>
  <c r="AJ320" i="5" s="1"/>
  <c r="AE319" i="5"/>
  <c r="AK319" i="5" s="1"/>
  <c r="AD319" i="5"/>
  <c r="AJ319" i="5" s="1"/>
  <c r="AE318" i="5"/>
  <c r="AK318" i="5" s="1"/>
  <c r="AD318" i="5"/>
  <c r="AJ318" i="5" s="1"/>
  <c r="AE317" i="5"/>
  <c r="AK317" i="5" s="1"/>
  <c r="AD317" i="5"/>
  <c r="AJ317" i="5" s="1"/>
  <c r="AE316" i="5"/>
  <c r="AK316" i="5" s="1"/>
  <c r="AD316" i="5"/>
  <c r="AJ316" i="5" s="1"/>
  <c r="AE315" i="5"/>
  <c r="AK315" i="5" s="1"/>
  <c r="AD315" i="5"/>
  <c r="AJ315" i="5" s="1"/>
  <c r="AE314" i="5"/>
  <c r="AK314" i="5" s="1"/>
  <c r="AD314" i="5"/>
  <c r="AJ314" i="5" s="1"/>
  <c r="AE313" i="5"/>
  <c r="AK313" i="5" s="1"/>
  <c r="AD313" i="5"/>
  <c r="AJ313" i="5" s="1"/>
  <c r="AE312" i="5"/>
  <c r="AK312" i="5" s="1"/>
  <c r="AD312" i="5"/>
  <c r="AJ312" i="5" s="1"/>
  <c r="AE311" i="5"/>
  <c r="AK311" i="5" s="1"/>
  <c r="AD311" i="5"/>
  <c r="AJ311" i="5" s="1"/>
  <c r="AE310" i="5"/>
  <c r="AK310" i="5" s="1"/>
  <c r="AD310" i="5"/>
  <c r="AJ310" i="5" s="1"/>
  <c r="AE309" i="5"/>
  <c r="AK309" i="5" s="1"/>
  <c r="AD309" i="5"/>
  <c r="AJ309" i="5" s="1"/>
  <c r="AE308" i="5"/>
  <c r="AK308" i="5" s="1"/>
  <c r="AD308" i="5"/>
  <c r="AJ308" i="5" s="1"/>
  <c r="AE307" i="5"/>
  <c r="AK307" i="5" s="1"/>
  <c r="AD307" i="5"/>
  <c r="AJ307" i="5" s="1"/>
  <c r="AE306" i="5"/>
  <c r="AK306" i="5" s="1"/>
  <c r="AD306" i="5"/>
  <c r="AJ306" i="5" s="1"/>
  <c r="AE305" i="5"/>
  <c r="AK305" i="5" s="1"/>
  <c r="AD305" i="5"/>
  <c r="AJ305" i="5" s="1"/>
  <c r="AE304" i="5"/>
  <c r="AK304" i="5" s="1"/>
  <c r="AD304" i="5"/>
  <c r="AJ304" i="5" s="1"/>
  <c r="AE303" i="5"/>
  <c r="AK303" i="5" s="1"/>
  <c r="AD303" i="5"/>
  <c r="AJ303" i="5" s="1"/>
  <c r="AE302" i="5"/>
  <c r="AK302" i="5" s="1"/>
  <c r="AD302" i="5"/>
  <c r="AJ302" i="5" s="1"/>
  <c r="AE301" i="5"/>
  <c r="AK301" i="5" s="1"/>
  <c r="AD301" i="5"/>
  <c r="AJ301" i="5" s="1"/>
  <c r="AE300" i="5"/>
  <c r="AK300" i="5" s="1"/>
  <c r="AD300" i="5"/>
  <c r="AJ300" i="5" s="1"/>
  <c r="AE299" i="5"/>
  <c r="AK299" i="5" s="1"/>
  <c r="AD299" i="5"/>
  <c r="AJ299" i="5" s="1"/>
  <c r="AE298" i="5"/>
  <c r="AK298" i="5" s="1"/>
  <c r="AD298" i="5"/>
  <c r="AJ298" i="5" s="1"/>
  <c r="AE297" i="5"/>
  <c r="AK297" i="5" s="1"/>
  <c r="AD297" i="5"/>
  <c r="AJ297" i="5" s="1"/>
  <c r="AE296" i="5"/>
  <c r="AK296" i="5" s="1"/>
  <c r="AD296" i="5"/>
  <c r="AJ296" i="5" s="1"/>
  <c r="AE295" i="5"/>
  <c r="AK295" i="5" s="1"/>
  <c r="AD295" i="5"/>
  <c r="AJ295" i="5" s="1"/>
  <c r="AE294" i="5"/>
  <c r="AK294" i="5" s="1"/>
  <c r="AD294" i="5"/>
  <c r="AJ294" i="5" s="1"/>
  <c r="AE293" i="5"/>
  <c r="AK293" i="5" s="1"/>
  <c r="AD293" i="5"/>
  <c r="AJ293" i="5" s="1"/>
  <c r="AE292" i="5"/>
  <c r="AK292" i="5" s="1"/>
  <c r="AD292" i="5"/>
  <c r="AJ292" i="5" s="1"/>
  <c r="AE291" i="5"/>
  <c r="AK291" i="5" s="1"/>
  <c r="AD291" i="5"/>
  <c r="AJ291" i="5" s="1"/>
  <c r="AE290" i="5"/>
  <c r="AK290" i="5" s="1"/>
  <c r="AD290" i="5"/>
  <c r="AJ290" i="5" s="1"/>
  <c r="AE289" i="5"/>
  <c r="AK289" i="5" s="1"/>
  <c r="AD289" i="5"/>
  <c r="AJ289" i="5" s="1"/>
  <c r="AE288" i="5"/>
  <c r="AK288" i="5" s="1"/>
  <c r="AD288" i="5"/>
  <c r="AJ288" i="5" s="1"/>
  <c r="AE287" i="5"/>
  <c r="AK287" i="5" s="1"/>
  <c r="AD287" i="5"/>
  <c r="AJ287" i="5" s="1"/>
  <c r="AE286" i="5"/>
  <c r="AK286" i="5" s="1"/>
  <c r="AD286" i="5"/>
  <c r="AJ286" i="5" s="1"/>
  <c r="AE285" i="5"/>
  <c r="AK285" i="5" s="1"/>
  <c r="AD285" i="5"/>
  <c r="AJ285" i="5" s="1"/>
  <c r="AE284" i="5"/>
  <c r="AK284" i="5" s="1"/>
  <c r="AD284" i="5"/>
  <c r="AJ284" i="5" s="1"/>
  <c r="AE283" i="5"/>
  <c r="AK283" i="5" s="1"/>
  <c r="AD283" i="5"/>
  <c r="AJ283" i="5" s="1"/>
  <c r="AE282" i="5"/>
  <c r="AK282" i="5" s="1"/>
  <c r="AD282" i="5"/>
  <c r="AJ282" i="5" s="1"/>
  <c r="AE281" i="5"/>
  <c r="AK281" i="5" s="1"/>
  <c r="AD281" i="5"/>
  <c r="AJ281" i="5" s="1"/>
  <c r="AE280" i="5"/>
  <c r="AK280" i="5" s="1"/>
  <c r="AD280" i="5"/>
  <c r="AJ280" i="5" s="1"/>
  <c r="AE279" i="5"/>
  <c r="AK279" i="5" s="1"/>
  <c r="AD279" i="5"/>
  <c r="AJ279" i="5" s="1"/>
  <c r="AE278" i="5"/>
  <c r="AK278" i="5" s="1"/>
  <c r="AD278" i="5"/>
  <c r="AJ278" i="5" s="1"/>
  <c r="AE277" i="5"/>
  <c r="AK277" i="5" s="1"/>
  <c r="AD277" i="5"/>
  <c r="AJ277" i="5" s="1"/>
  <c r="AE276" i="5"/>
  <c r="AK276" i="5" s="1"/>
  <c r="AD276" i="5"/>
  <c r="AJ276" i="5" s="1"/>
  <c r="AE275" i="5"/>
  <c r="AK275" i="5" s="1"/>
  <c r="AD275" i="5"/>
  <c r="AJ275" i="5" s="1"/>
  <c r="AE274" i="5"/>
  <c r="AK274" i="5" s="1"/>
  <c r="AD274" i="5"/>
  <c r="AJ274" i="5" s="1"/>
  <c r="AE273" i="5"/>
  <c r="AK273" i="5" s="1"/>
  <c r="AD273" i="5"/>
  <c r="AJ273" i="5" s="1"/>
  <c r="AE272" i="5"/>
  <c r="AK272" i="5" s="1"/>
  <c r="AD272" i="5"/>
  <c r="AJ272" i="5" s="1"/>
  <c r="AE271" i="5"/>
  <c r="AK271" i="5" s="1"/>
  <c r="AD271" i="5"/>
  <c r="AJ271" i="5" s="1"/>
  <c r="AE270" i="5"/>
  <c r="AK270" i="5" s="1"/>
  <c r="AD270" i="5"/>
  <c r="AJ270" i="5" s="1"/>
  <c r="AE269" i="5"/>
  <c r="AK269" i="5" s="1"/>
  <c r="AD269" i="5"/>
  <c r="AJ269" i="5" s="1"/>
  <c r="AE268" i="5"/>
  <c r="AK268" i="5" s="1"/>
  <c r="AD268" i="5"/>
  <c r="AJ268" i="5" s="1"/>
  <c r="AE267" i="5"/>
  <c r="AK267" i="5" s="1"/>
  <c r="AD267" i="5"/>
  <c r="AJ267" i="5" s="1"/>
  <c r="AE266" i="5"/>
  <c r="AK266" i="5" s="1"/>
  <c r="AD266" i="5"/>
  <c r="AJ266" i="5" s="1"/>
  <c r="AE265" i="5"/>
  <c r="AK265" i="5" s="1"/>
  <c r="AD265" i="5"/>
  <c r="AJ265" i="5" s="1"/>
  <c r="AE264" i="5"/>
  <c r="AK264" i="5" s="1"/>
  <c r="AD264" i="5"/>
  <c r="AJ264" i="5" s="1"/>
  <c r="AE263" i="5"/>
  <c r="AK263" i="5" s="1"/>
  <c r="AD263" i="5"/>
  <c r="AJ263" i="5" s="1"/>
  <c r="AE262" i="5"/>
  <c r="AK262" i="5" s="1"/>
  <c r="AD262" i="5"/>
  <c r="AJ262" i="5" s="1"/>
  <c r="AE261" i="5"/>
  <c r="AK261" i="5" s="1"/>
  <c r="AD261" i="5"/>
  <c r="AJ261" i="5" s="1"/>
  <c r="AE260" i="5"/>
  <c r="AK260" i="5" s="1"/>
  <c r="AD260" i="5"/>
  <c r="AJ260" i="5" s="1"/>
  <c r="AE259" i="5"/>
  <c r="AK259" i="5" s="1"/>
  <c r="AD259" i="5"/>
  <c r="AJ259" i="5" s="1"/>
  <c r="AE258" i="5"/>
  <c r="AK258" i="5" s="1"/>
  <c r="AD258" i="5"/>
  <c r="AJ258" i="5" s="1"/>
  <c r="AE257" i="5"/>
  <c r="AK257" i="5" s="1"/>
  <c r="AD257" i="5"/>
  <c r="AJ257" i="5" s="1"/>
  <c r="AE256" i="5"/>
  <c r="AK256" i="5" s="1"/>
  <c r="AD256" i="5"/>
  <c r="AJ256" i="5" s="1"/>
  <c r="AE255" i="5"/>
  <c r="AK255" i="5" s="1"/>
  <c r="AD255" i="5"/>
  <c r="AJ255" i="5" s="1"/>
  <c r="AE254" i="5"/>
  <c r="AK254" i="5" s="1"/>
  <c r="AD254" i="5"/>
  <c r="AJ254" i="5" s="1"/>
  <c r="AE253" i="5"/>
  <c r="AK253" i="5" s="1"/>
  <c r="AD253" i="5"/>
  <c r="AJ253" i="5" s="1"/>
  <c r="AE252" i="5"/>
  <c r="AK252" i="5" s="1"/>
  <c r="AD252" i="5"/>
  <c r="AJ252" i="5" s="1"/>
  <c r="AE251" i="5"/>
  <c r="AK251" i="5" s="1"/>
  <c r="AD251" i="5"/>
  <c r="AJ251" i="5" s="1"/>
  <c r="AE250" i="5"/>
  <c r="AK250" i="5" s="1"/>
  <c r="AD250" i="5"/>
  <c r="AJ250" i="5" s="1"/>
  <c r="AE249" i="5"/>
  <c r="AK249" i="5" s="1"/>
  <c r="AD249" i="5"/>
  <c r="AJ249" i="5" s="1"/>
  <c r="AE248" i="5"/>
  <c r="AK248" i="5" s="1"/>
  <c r="AD248" i="5"/>
  <c r="AJ248" i="5" s="1"/>
  <c r="AE247" i="5"/>
  <c r="AK247" i="5" s="1"/>
  <c r="AD247" i="5"/>
  <c r="AJ247" i="5" s="1"/>
  <c r="AE246" i="5"/>
  <c r="AK246" i="5" s="1"/>
  <c r="AD246" i="5"/>
  <c r="AJ246" i="5" s="1"/>
  <c r="AE245" i="5"/>
  <c r="AK245" i="5" s="1"/>
  <c r="AD245" i="5"/>
  <c r="AJ245" i="5" s="1"/>
  <c r="AE244" i="5"/>
  <c r="AK244" i="5" s="1"/>
  <c r="AD244" i="5"/>
  <c r="AJ244" i="5" s="1"/>
  <c r="AE243" i="5"/>
  <c r="AK243" i="5" s="1"/>
  <c r="AD243" i="5"/>
  <c r="AJ243" i="5" s="1"/>
  <c r="AE242" i="5"/>
  <c r="AK242" i="5" s="1"/>
  <c r="AD242" i="5"/>
  <c r="AJ242" i="5" s="1"/>
  <c r="AE241" i="5"/>
  <c r="AK241" i="5" s="1"/>
  <c r="AD241" i="5"/>
  <c r="AJ241" i="5" s="1"/>
  <c r="AE240" i="5"/>
  <c r="AK240" i="5" s="1"/>
  <c r="AD240" i="5"/>
  <c r="AJ240" i="5" s="1"/>
  <c r="AE239" i="5"/>
  <c r="AK239" i="5" s="1"/>
  <c r="AD239" i="5"/>
  <c r="AJ239" i="5" s="1"/>
  <c r="AE238" i="5"/>
  <c r="AK238" i="5" s="1"/>
  <c r="AD238" i="5"/>
  <c r="AJ238" i="5" s="1"/>
  <c r="AE237" i="5"/>
  <c r="AK237" i="5" s="1"/>
  <c r="AD237" i="5"/>
  <c r="AJ237" i="5" s="1"/>
  <c r="AE236" i="5"/>
  <c r="AK236" i="5" s="1"/>
  <c r="AD236" i="5"/>
  <c r="AJ236" i="5" s="1"/>
  <c r="AE235" i="5"/>
  <c r="AK235" i="5" s="1"/>
  <c r="AD235" i="5"/>
  <c r="AJ235" i="5" s="1"/>
  <c r="AE234" i="5"/>
  <c r="AK234" i="5" s="1"/>
  <c r="AD234" i="5"/>
  <c r="AJ234" i="5" s="1"/>
  <c r="AE233" i="5"/>
  <c r="AK233" i="5" s="1"/>
  <c r="AD233" i="5"/>
  <c r="AJ233" i="5" s="1"/>
  <c r="AE232" i="5"/>
  <c r="AK232" i="5" s="1"/>
  <c r="AD232" i="5"/>
  <c r="AJ232" i="5" s="1"/>
  <c r="AE231" i="5"/>
  <c r="AK231" i="5" s="1"/>
  <c r="AD231" i="5"/>
  <c r="AJ231" i="5" s="1"/>
  <c r="AE230" i="5"/>
  <c r="AK230" i="5" s="1"/>
  <c r="AD230" i="5"/>
  <c r="AJ230" i="5" s="1"/>
  <c r="AE229" i="5"/>
  <c r="AK229" i="5" s="1"/>
  <c r="AD229" i="5"/>
  <c r="AJ229" i="5" s="1"/>
  <c r="AE228" i="5"/>
  <c r="AK228" i="5" s="1"/>
  <c r="AD228" i="5"/>
  <c r="AJ228" i="5" s="1"/>
  <c r="AE227" i="5"/>
  <c r="AK227" i="5" s="1"/>
  <c r="AD227" i="5"/>
  <c r="AJ227" i="5" s="1"/>
  <c r="AE226" i="5"/>
  <c r="AK226" i="5" s="1"/>
  <c r="AD226" i="5"/>
  <c r="AJ226" i="5" s="1"/>
  <c r="AE225" i="5"/>
  <c r="AK225" i="5" s="1"/>
  <c r="AD225" i="5"/>
  <c r="AJ225" i="5" s="1"/>
  <c r="AE224" i="5"/>
  <c r="AK224" i="5" s="1"/>
  <c r="AD224" i="5"/>
  <c r="AJ224" i="5" s="1"/>
  <c r="AE223" i="5"/>
  <c r="AK223" i="5" s="1"/>
  <c r="AD223" i="5"/>
  <c r="AJ223" i="5" s="1"/>
  <c r="AE222" i="5"/>
  <c r="AK222" i="5" s="1"/>
  <c r="AD222" i="5"/>
  <c r="AJ222" i="5" s="1"/>
  <c r="AE221" i="5"/>
  <c r="AK221" i="5" s="1"/>
  <c r="AD221" i="5"/>
  <c r="AJ221" i="5" s="1"/>
  <c r="AE220" i="5"/>
  <c r="AK220" i="5" s="1"/>
  <c r="AD220" i="5"/>
  <c r="AJ220" i="5" s="1"/>
  <c r="AE219" i="5"/>
  <c r="AK219" i="5" s="1"/>
  <c r="AD219" i="5"/>
  <c r="AJ219" i="5" s="1"/>
  <c r="AE218" i="5"/>
  <c r="AK218" i="5" s="1"/>
  <c r="AD218" i="5"/>
  <c r="AJ218" i="5" s="1"/>
  <c r="AE217" i="5"/>
  <c r="AK217" i="5" s="1"/>
  <c r="AD217" i="5"/>
  <c r="AJ217" i="5" s="1"/>
  <c r="AE216" i="5"/>
  <c r="AK216" i="5" s="1"/>
  <c r="AD216" i="5"/>
  <c r="AJ216" i="5" s="1"/>
  <c r="AE215" i="5"/>
  <c r="AK215" i="5" s="1"/>
  <c r="AD215" i="5"/>
  <c r="AJ215" i="5" s="1"/>
  <c r="AE214" i="5"/>
  <c r="AK214" i="5" s="1"/>
  <c r="AD214" i="5"/>
  <c r="AJ214" i="5" s="1"/>
  <c r="AE213" i="5"/>
  <c r="AK213" i="5" s="1"/>
  <c r="AD213" i="5"/>
  <c r="AJ213" i="5" s="1"/>
  <c r="AE212" i="5"/>
  <c r="AK212" i="5" s="1"/>
  <c r="AD212" i="5"/>
  <c r="AJ212" i="5" s="1"/>
  <c r="AE211" i="5"/>
  <c r="AK211" i="5" s="1"/>
  <c r="AD211" i="5"/>
  <c r="AJ211" i="5" s="1"/>
  <c r="AE210" i="5"/>
  <c r="AK210" i="5" s="1"/>
  <c r="AD210" i="5"/>
  <c r="AJ210" i="5" s="1"/>
  <c r="AE209" i="5"/>
  <c r="AK209" i="5" s="1"/>
  <c r="AD209" i="5"/>
  <c r="AJ209" i="5" s="1"/>
  <c r="AE208" i="5"/>
  <c r="AK208" i="5" s="1"/>
  <c r="AD208" i="5"/>
  <c r="AJ208" i="5" s="1"/>
  <c r="AE207" i="5"/>
  <c r="AK207" i="5" s="1"/>
  <c r="AD207" i="5"/>
  <c r="AJ207" i="5" s="1"/>
  <c r="AE206" i="5"/>
  <c r="AK206" i="5" s="1"/>
  <c r="AD206" i="5"/>
  <c r="AJ206" i="5" s="1"/>
  <c r="AE205" i="5"/>
  <c r="AK205" i="5" s="1"/>
  <c r="AD205" i="5"/>
  <c r="AJ205" i="5" s="1"/>
  <c r="AE204" i="5"/>
  <c r="AK204" i="5" s="1"/>
  <c r="AD204" i="5"/>
  <c r="AJ204" i="5" s="1"/>
  <c r="AE203" i="5"/>
  <c r="AK203" i="5" s="1"/>
  <c r="AD203" i="5"/>
  <c r="AJ203" i="5" s="1"/>
  <c r="AE202" i="5"/>
  <c r="AK202" i="5" s="1"/>
  <c r="AD202" i="5"/>
  <c r="AJ202" i="5" s="1"/>
  <c r="AE201" i="5"/>
  <c r="AK201" i="5" s="1"/>
  <c r="AD201" i="5"/>
  <c r="AJ201" i="5" s="1"/>
  <c r="AE200" i="5"/>
  <c r="AK200" i="5" s="1"/>
  <c r="AD200" i="5"/>
  <c r="AJ200" i="5" s="1"/>
  <c r="AE199" i="5"/>
  <c r="AK199" i="5" s="1"/>
  <c r="AD199" i="5"/>
  <c r="AJ199" i="5" s="1"/>
  <c r="AE198" i="5"/>
  <c r="AK198" i="5" s="1"/>
  <c r="AD198" i="5"/>
  <c r="AJ198" i="5" s="1"/>
  <c r="AE197" i="5"/>
  <c r="AK197" i="5" s="1"/>
  <c r="AD197" i="5"/>
  <c r="AJ197" i="5" s="1"/>
  <c r="AE196" i="5"/>
  <c r="AK196" i="5" s="1"/>
  <c r="AD196" i="5"/>
  <c r="AJ196" i="5" s="1"/>
  <c r="AE195" i="5"/>
  <c r="AK195" i="5" s="1"/>
  <c r="AD195" i="5"/>
  <c r="AJ195" i="5" s="1"/>
  <c r="AE194" i="5"/>
  <c r="AK194" i="5" s="1"/>
  <c r="AD194" i="5"/>
  <c r="AJ194" i="5" s="1"/>
  <c r="AE193" i="5"/>
  <c r="AK193" i="5" s="1"/>
  <c r="AD193" i="5"/>
  <c r="AJ193" i="5" s="1"/>
  <c r="AE192" i="5"/>
  <c r="AK192" i="5" s="1"/>
  <c r="AD192" i="5"/>
  <c r="AJ192" i="5" s="1"/>
  <c r="AE191" i="5"/>
  <c r="AK191" i="5" s="1"/>
  <c r="AD191" i="5"/>
  <c r="AJ191" i="5" s="1"/>
  <c r="AE190" i="5"/>
  <c r="AK190" i="5" s="1"/>
  <c r="AD190" i="5"/>
  <c r="AJ190" i="5" s="1"/>
  <c r="AE189" i="5"/>
  <c r="AK189" i="5" s="1"/>
  <c r="AD189" i="5"/>
  <c r="AJ189" i="5" s="1"/>
  <c r="AE188" i="5"/>
  <c r="AK188" i="5" s="1"/>
  <c r="AD188" i="5"/>
  <c r="AJ188" i="5" s="1"/>
  <c r="AE187" i="5"/>
  <c r="AK187" i="5" s="1"/>
  <c r="AD187" i="5"/>
  <c r="AJ187" i="5" s="1"/>
  <c r="AE186" i="5"/>
  <c r="AK186" i="5" s="1"/>
  <c r="AD186" i="5"/>
  <c r="AJ186" i="5" s="1"/>
  <c r="AE185" i="5"/>
  <c r="AK185" i="5" s="1"/>
  <c r="AD185" i="5"/>
  <c r="AJ185" i="5" s="1"/>
  <c r="AE184" i="5"/>
  <c r="AK184" i="5" s="1"/>
  <c r="AD184" i="5"/>
  <c r="AJ184" i="5" s="1"/>
  <c r="AE183" i="5"/>
  <c r="AK183" i="5" s="1"/>
  <c r="AD183" i="5"/>
  <c r="AJ183" i="5" s="1"/>
  <c r="AE182" i="5"/>
  <c r="AK182" i="5" s="1"/>
  <c r="AD182" i="5"/>
  <c r="AJ182" i="5" s="1"/>
  <c r="AE181" i="5"/>
  <c r="AK181" i="5" s="1"/>
  <c r="AD181" i="5"/>
  <c r="AJ181" i="5" s="1"/>
  <c r="AE180" i="5"/>
  <c r="AK180" i="5" s="1"/>
  <c r="AD180" i="5"/>
  <c r="AJ180" i="5" s="1"/>
  <c r="AE179" i="5"/>
  <c r="AK179" i="5" s="1"/>
  <c r="AD179" i="5"/>
  <c r="AJ179" i="5" s="1"/>
  <c r="AE178" i="5"/>
  <c r="AK178" i="5" s="1"/>
  <c r="AD178" i="5"/>
  <c r="AJ178" i="5" s="1"/>
  <c r="AE177" i="5"/>
  <c r="AK177" i="5" s="1"/>
  <c r="AD177" i="5"/>
  <c r="AJ177" i="5" s="1"/>
  <c r="AE176" i="5"/>
  <c r="AK176" i="5" s="1"/>
  <c r="AD176" i="5"/>
  <c r="AJ176" i="5" s="1"/>
  <c r="AE175" i="5"/>
  <c r="AK175" i="5" s="1"/>
  <c r="AD175" i="5"/>
  <c r="AJ175" i="5" s="1"/>
  <c r="AE174" i="5"/>
  <c r="AK174" i="5" s="1"/>
  <c r="AD174" i="5"/>
  <c r="AJ174" i="5" s="1"/>
  <c r="AE173" i="5"/>
  <c r="AK173" i="5" s="1"/>
  <c r="AD173" i="5"/>
  <c r="AJ173" i="5" s="1"/>
  <c r="AE172" i="5"/>
  <c r="AK172" i="5" s="1"/>
  <c r="AD172" i="5"/>
  <c r="AJ172" i="5" s="1"/>
  <c r="AE171" i="5"/>
  <c r="AK171" i="5" s="1"/>
  <c r="AD171" i="5"/>
  <c r="AJ171" i="5" s="1"/>
  <c r="AE170" i="5"/>
  <c r="AK170" i="5" s="1"/>
  <c r="AD170" i="5"/>
  <c r="AJ170" i="5" s="1"/>
  <c r="AE169" i="5"/>
  <c r="AK169" i="5" s="1"/>
  <c r="AD169" i="5"/>
  <c r="AJ169" i="5" s="1"/>
  <c r="AE168" i="5"/>
  <c r="AK168" i="5" s="1"/>
  <c r="AD168" i="5"/>
  <c r="AJ168" i="5" s="1"/>
  <c r="AE167" i="5"/>
  <c r="AK167" i="5" s="1"/>
  <c r="AD167" i="5"/>
  <c r="AJ167" i="5" s="1"/>
  <c r="AE166" i="5"/>
  <c r="AK166" i="5" s="1"/>
  <c r="AD166" i="5"/>
  <c r="AJ166" i="5" s="1"/>
  <c r="AE165" i="5"/>
  <c r="AK165" i="5" s="1"/>
  <c r="AD165" i="5"/>
  <c r="AJ165" i="5" s="1"/>
  <c r="AE164" i="5"/>
  <c r="AK164" i="5" s="1"/>
  <c r="AD164" i="5"/>
  <c r="AJ164" i="5" s="1"/>
  <c r="AE163" i="5"/>
  <c r="AK163" i="5" s="1"/>
  <c r="AD163" i="5"/>
  <c r="AJ163" i="5" s="1"/>
  <c r="AE162" i="5"/>
  <c r="AK162" i="5" s="1"/>
  <c r="AD162" i="5"/>
  <c r="AJ162" i="5" s="1"/>
  <c r="AE161" i="5"/>
  <c r="AK161" i="5" s="1"/>
  <c r="AD161" i="5"/>
  <c r="AJ161" i="5" s="1"/>
  <c r="AE160" i="5"/>
  <c r="AK160" i="5" s="1"/>
  <c r="AD160" i="5"/>
  <c r="AJ160" i="5" s="1"/>
  <c r="AE159" i="5"/>
  <c r="AK159" i="5" s="1"/>
  <c r="AD159" i="5"/>
  <c r="AJ159" i="5" s="1"/>
  <c r="AE158" i="5"/>
  <c r="AK158" i="5" s="1"/>
  <c r="AD158" i="5"/>
  <c r="AJ158" i="5" s="1"/>
  <c r="AE157" i="5"/>
  <c r="AK157" i="5" s="1"/>
  <c r="AD157" i="5"/>
  <c r="AJ157" i="5" s="1"/>
  <c r="AE156" i="5"/>
  <c r="AK156" i="5" s="1"/>
  <c r="AD156" i="5"/>
  <c r="AJ156" i="5" s="1"/>
  <c r="AE155" i="5"/>
  <c r="AK155" i="5" s="1"/>
  <c r="AD155" i="5"/>
  <c r="AJ155" i="5" s="1"/>
  <c r="AE154" i="5"/>
  <c r="AK154" i="5" s="1"/>
  <c r="AD154" i="5"/>
  <c r="AJ154" i="5" s="1"/>
  <c r="AE153" i="5"/>
  <c r="AK153" i="5" s="1"/>
  <c r="AD153" i="5"/>
  <c r="AJ153" i="5" s="1"/>
  <c r="AE152" i="5"/>
  <c r="AK152" i="5" s="1"/>
  <c r="AD152" i="5"/>
  <c r="AJ152" i="5" s="1"/>
  <c r="AE151" i="5"/>
  <c r="AK151" i="5" s="1"/>
  <c r="AD151" i="5"/>
  <c r="AJ151" i="5" s="1"/>
  <c r="AE150" i="5"/>
  <c r="AK150" i="5" s="1"/>
  <c r="AD150" i="5"/>
  <c r="AJ150" i="5" s="1"/>
  <c r="AE149" i="5"/>
  <c r="AK149" i="5" s="1"/>
  <c r="AD149" i="5"/>
  <c r="AJ149" i="5" s="1"/>
  <c r="AE148" i="5"/>
  <c r="AK148" i="5" s="1"/>
  <c r="AD148" i="5"/>
  <c r="AJ148" i="5" s="1"/>
  <c r="AE147" i="5"/>
  <c r="AK147" i="5" s="1"/>
  <c r="AD147" i="5"/>
  <c r="AJ147" i="5" s="1"/>
  <c r="AE146" i="5"/>
  <c r="AK146" i="5" s="1"/>
  <c r="AD146" i="5"/>
  <c r="AJ146" i="5" s="1"/>
  <c r="AE145" i="5"/>
  <c r="AK145" i="5" s="1"/>
  <c r="AD145" i="5"/>
  <c r="AJ145" i="5" s="1"/>
  <c r="AE144" i="5"/>
  <c r="AK144" i="5" s="1"/>
  <c r="AD144" i="5"/>
  <c r="AJ144" i="5" s="1"/>
  <c r="AE143" i="5"/>
  <c r="AK143" i="5" s="1"/>
  <c r="AD143" i="5"/>
  <c r="AJ143" i="5" s="1"/>
  <c r="AE142" i="5"/>
  <c r="AK142" i="5" s="1"/>
  <c r="AD142" i="5"/>
  <c r="AJ142" i="5" s="1"/>
  <c r="AE141" i="5"/>
  <c r="AK141" i="5" s="1"/>
  <c r="AD141" i="5"/>
  <c r="AJ141" i="5" s="1"/>
  <c r="AE140" i="5"/>
  <c r="AK140" i="5" s="1"/>
  <c r="AD140" i="5"/>
  <c r="AJ140" i="5" s="1"/>
  <c r="AE139" i="5"/>
  <c r="AK139" i="5" s="1"/>
  <c r="AD139" i="5"/>
  <c r="AJ139" i="5" s="1"/>
  <c r="AE138" i="5"/>
  <c r="AK138" i="5" s="1"/>
  <c r="AD138" i="5"/>
  <c r="AJ138" i="5" s="1"/>
  <c r="AE137" i="5"/>
  <c r="AK137" i="5" s="1"/>
  <c r="AD137" i="5"/>
  <c r="AJ137" i="5" s="1"/>
  <c r="AE136" i="5"/>
  <c r="AK136" i="5" s="1"/>
  <c r="AD136" i="5"/>
  <c r="AJ136" i="5" s="1"/>
  <c r="AE135" i="5"/>
  <c r="AK135" i="5" s="1"/>
  <c r="AD135" i="5"/>
  <c r="AJ135" i="5" s="1"/>
  <c r="AE134" i="5"/>
  <c r="AK134" i="5" s="1"/>
  <c r="AD134" i="5"/>
  <c r="AJ134" i="5" s="1"/>
  <c r="AE133" i="5"/>
  <c r="AK133" i="5" s="1"/>
  <c r="AD133" i="5"/>
  <c r="AJ133" i="5" s="1"/>
  <c r="AE132" i="5"/>
  <c r="AK132" i="5" s="1"/>
  <c r="AD132" i="5"/>
  <c r="AJ132" i="5" s="1"/>
  <c r="AE131" i="5"/>
  <c r="AK131" i="5" s="1"/>
  <c r="AD131" i="5"/>
  <c r="AJ131" i="5" s="1"/>
  <c r="AE130" i="5"/>
  <c r="AK130" i="5" s="1"/>
  <c r="AD130" i="5"/>
  <c r="AJ130" i="5" s="1"/>
  <c r="AE129" i="5"/>
  <c r="AK129" i="5" s="1"/>
  <c r="AD129" i="5"/>
  <c r="AJ129" i="5" s="1"/>
  <c r="AE128" i="5"/>
  <c r="AK128" i="5" s="1"/>
  <c r="AD128" i="5"/>
  <c r="AJ128" i="5" s="1"/>
  <c r="AE127" i="5"/>
  <c r="AK127" i="5" s="1"/>
  <c r="AD127" i="5"/>
  <c r="AJ127" i="5" s="1"/>
  <c r="AE126" i="5"/>
  <c r="AK126" i="5" s="1"/>
  <c r="AD126" i="5"/>
  <c r="AJ126" i="5" s="1"/>
  <c r="AE125" i="5"/>
  <c r="AK125" i="5" s="1"/>
  <c r="AD125" i="5"/>
  <c r="AJ125" i="5" s="1"/>
  <c r="AE124" i="5"/>
  <c r="AK124" i="5" s="1"/>
  <c r="AD124" i="5"/>
  <c r="AJ124" i="5" s="1"/>
  <c r="AE123" i="5"/>
  <c r="AK123" i="5" s="1"/>
  <c r="AD123" i="5"/>
  <c r="AJ123" i="5" s="1"/>
  <c r="AE122" i="5"/>
  <c r="AK122" i="5" s="1"/>
  <c r="AD122" i="5"/>
  <c r="AJ122" i="5" s="1"/>
  <c r="AE121" i="5"/>
  <c r="AK121" i="5" s="1"/>
  <c r="AD121" i="5"/>
  <c r="AJ121" i="5" s="1"/>
  <c r="AE120" i="5"/>
  <c r="AK120" i="5" s="1"/>
  <c r="AD120" i="5"/>
  <c r="AJ120" i="5" s="1"/>
  <c r="AE119" i="5"/>
  <c r="AK119" i="5" s="1"/>
  <c r="AD119" i="5"/>
  <c r="AJ119" i="5" s="1"/>
  <c r="AE118" i="5"/>
  <c r="AK118" i="5" s="1"/>
  <c r="AD118" i="5"/>
  <c r="AJ118" i="5" s="1"/>
  <c r="AE117" i="5"/>
  <c r="AK117" i="5" s="1"/>
  <c r="AD117" i="5"/>
  <c r="AJ117" i="5" s="1"/>
  <c r="AE116" i="5"/>
  <c r="AK116" i="5" s="1"/>
  <c r="AD116" i="5"/>
  <c r="AJ116" i="5" s="1"/>
  <c r="AE115" i="5"/>
  <c r="AK115" i="5" s="1"/>
  <c r="AD115" i="5"/>
  <c r="AJ115" i="5" s="1"/>
  <c r="AE114" i="5"/>
  <c r="AK114" i="5" s="1"/>
  <c r="AD114" i="5"/>
  <c r="AJ114" i="5" s="1"/>
  <c r="AE113" i="5"/>
  <c r="AK113" i="5" s="1"/>
  <c r="AD113" i="5"/>
  <c r="AJ113" i="5" s="1"/>
  <c r="AE112" i="5"/>
  <c r="AK112" i="5" s="1"/>
  <c r="AD112" i="5"/>
  <c r="AJ112" i="5" s="1"/>
  <c r="AE111" i="5"/>
  <c r="AK111" i="5" s="1"/>
  <c r="AD111" i="5"/>
  <c r="AJ111" i="5" s="1"/>
  <c r="AE110" i="5"/>
  <c r="AK110" i="5" s="1"/>
  <c r="AD110" i="5"/>
  <c r="AJ110" i="5" s="1"/>
  <c r="AE109" i="5"/>
  <c r="AK109" i="5" s="1"/>
  <c r="AD109" i="5"/>
  <c r="AJ109" i="5" s="1"/>
  <c r="AE108" i="5"/>
  <c r="AK108" i="5" s="1"/>
  <c r="AD108" i="5"/>
  <c r="AJ108" i="5" s="1"/>
  <c r="AE107" i="5"/>
  <c r="AK107" i="5" s="1"/>
  <c r="AD107" i="5"/>
  <c r="AJ107" i="5" s="1"/>
  <c r="AE106" i="5"/>
  <c r="AK106" i="5" s="1"/>
  <c r="AD106" i="5"/>
  <c r="AJ106" i="5" s="1"/>
  <c r="AE105" i="5"/>
  <c r="AK105" i="5" s="1"/>
  <c r="AD105" i="5"/>
  <c r="AJ105" i="5" s="1"/>
  <c r="AE104" i="5"/>
  <c r="AK104" i="5" s="1"/>
  <c r="AD104" i="5"/>
  <c r="AJ104" i="5" s="1"/>
  <c r="AE103" i="5"/>
  <c r="AK103" i="5" s="1"/>
  <c r="AD103" i="5"/>
  <c r="AJ103" i="5" s="1"/>
  <c r="AE102" i="5"/>
  <c r="AK102" i="5" s="1"/>
  <c r="AD102" i="5"/>
  <c r="AJ102" i="5" s="1"/>
  <c r="AE101" i="5"/>
  <c r="AK101" i="5" s="1"/>
  <c r="AD101" i="5"/>
  <c r="AJ101" i="5" s="1"/>
  <c r="AE100" i="5"/>
  <c r="AK100" i="5" s="1"/>
  <c r="AD100" i="5"/>
  <c r="AJ100" i="5" s="1"/>
  <c r="AE99" i="5"/>
  <c r="AK99" i="5" s="1"/>
  <c r="AD99" i="5"/>
  <c r="AJ99" i="5" s="1"/>
  <c r="AE98" i="5"/>
  <c r="AK98" i="5" s="1"/>
  <c r="AD98" i="5"/>
  <c r="AJ98" i="5" s="1"/>
  <c r="AE97" i="5"/>
  <c r="AK97" i="5" s="1"/>
  <c r="AD97" i="5"/>
  <c r="AJ97" i="5" s="1"/>
  <c r="AE96" i="5"/>
  <c r="AK96" i="5" s="1"/>
  <c r="AD96" i="5"/>
  <c r="AJ96" i="5" s="1"/>
  <c r="AE95" i="5"/>
  <c r="AK95" i="5" s="1"/>
  <c r="AD95" i="5"/>
  <c r="AJ95" i="5" s="1"/>
  <c r="AE94" i="5"/>
  <c r="AK94" i="5" s="1"/>
  <c r="AD94" i="5"/>
  <c r="AJ94" i="5" s="1"/>
  <c r="AE93" i="5"/>
  <c r="AK93" i="5" s="1"/>
  <c r="AD93" i="5"/>
  <c r="AJ93" i="5" s="1"/>
  <c r="AE92" i="5"/>
  <c r="AK92" i="5" s="1"/>
  <c r="AD92" i="5"/>
  <c r="AJ92" i="5" s="1"/>
  <c r="AE91" i="5"/>
  <c r="AK91" i="5" s="1"/>
  <c r="AD91" i="5"/>
  <c r="AJ91" i="5" s="1"/>
  <c r="AE90" i="5"/>
  <c r="AK90" i="5" s="1"/>
  <c r="AD90" i="5"/>
  <c r="AJ90" i="5" s="1"/>
  <c r="AE89" i="5"/>
  <c r="AK89" i="5" s="1"/>
  <c r="AD89" i="5"/>
  <c r="AJ89" i="5" s="1"/>
  <c r="AE88" i="5"/>
  <c r="AK88" i="5" s="1"/>
  <c r="AD88" i="5"/>
  <c r="AJ88" i="5" s="1"/>
  <c r="AE87" i="5"/>
  <c r="AK87" i="5" s="1"/>
  <c r="AD87" i="5"/>
  <c r="AJ87" i="5" s="1"/>
  <c r="AE86" i="5"/>
  <c r="AK86" i="5" s="1"/>
  <c r="AD86" i="5"/>
  <c r="AJ86" i="5" s="1"/>
  <c r="AE85" i="5"/>
  <c r="AK85" i="5" s="1"/>
  <c r="AD85" i="5"/>
  <c r="AJ85" i="5" s="1"/>
  <c r="AE84" i="5"/>
  <c r="AK84" i="5" s="1"/>
  <c r="AD84" i="5"/>
  <c r="AJ84" i="5" s="1"/>
  <c r="AE83" i="5"/>
  <c r="AK83" i="5" s="1"/>
  <c r="AD83" i="5"/>
  <c r="AJ83" i="5" s="1"/>
  <c r="AE82" i="5"/>
  <c r="AK82" i="5" s="1"/>
  <c r="AD82" i="5"/>
  <c r="AJ82" i="5" s="1"/>
  <c r="AE81" i="5"/>
  <c r="AK81" i="5" s="1"/>
  <c r="AD81" i="5"/>
  <c r="AJ81" i="5" s="1"/>
  <c r="AE80" i="5"/>
  <c r="AK80" i="5" s="1"/>
  <c r="AD80" i="5"/>
  <c r="AJ80" i="5" s="1"/>
  <c r="AE79" i="5"/>
  <c r="AK79" i="5" s="1"/>
  <c r="AD79" i="5"/>
  <c r="AJ79" i="5" s="1"/>
  <c r="AE78" i="5"/>
  <c r="AK78" i="5" s="1"/>
  <c r="AD78" i="5"/>
  <c r="AJ78" i="5" s="1"/>
  <c r="AE77" i="5"/>
  <c r="AK77" i="5" s="1"/>
  <c r="AD77" i="5"/>
  <c r="AJ77" i="5" s="1"/>
  <c r="AE76" i="5"/>
  <c r="AK76" i="5" s="1"/>
  <c r="AD76" i="5"/>
  <c r="AJ76" i="5" s="1"/>
  <c r="AE75" i="5"/>
  <c r="AK75" i="5" s="1"/>
  <c r="AD75" i="5"/>
  <c r="AJ75" i="5" s="1"/>
  <c r="AE74" i="5"/>
  <c r="AK74" i="5" s="1"/>
  <c r="AD74" i="5"/>
  <c r="AJ74" i="5" s="1"/>
  <c r="AE73" i="5"/>
  <c r="AK73" i="5" s="1"/>
  <c r="AD73" i="5"/>
  <c r="AJ73" i="5" s="1"/>
  <c r="AE72" i="5"/>
  <c r="AK72" i="5" s="1"/>
  <c r="AD72" i="5"/>
  <c r="AJ72" i="5" s="1"/>
  <c r="AE71" i="5"/>
  <c r="AK71" i="5" s="1"/>
  <c r="AD71" i="5"/>
  <c r="AJ71" i="5" s="1"/>
  <c r="AE70" i="5"/>
  <c r="AK70" i="5" s="1"/>
  <c r="AD70" i="5"/>
  <c r="AJ70" i="5" s="1"/>
  <c r="AE69" i="5"/>
  <c r="AK69" i="5" s="1"/>
  <c r="AD69" i="5"/>
  <c r="AJ69" i="5" s="1"/>
  <c r="AE68" i="5"/>
  <c r="AK68" i="5" s="1"/>
  <c r="AD68" i="5"/>
  <c r="AJ68" i="5" s="1"/>
  <c r="AE67" i="5"/>
  <c r="AK67" i="5" s="1"/>
  <c r="AD67" i="5"/>
  <c r="AJ67" i="5" s="1"/>
  <c r="AE66" i="5"/>
  <c r="AK66" i="5" s="1"/>
  <c r="AD66" i="5"/>
  <c r="AJ66" i="5" s="1"/>
  <c r="AE65" i="5"/>
  <c r="AK65" i="5" s="1"/>
  <c r="AD65" i="5"/>
  <c r="AJ65" i="5" s="1"/>
  <c r="AE64" i="5"/>
  <c r="AK64" i="5" s="1"/>
  <c r="AD64" i="5"/>
  <c r="AJ64" i="5" s="1"/>
  <c r="AE63" i="5"/>
  <c r="AK63" i="5" s="1"/>
  <c r="AD63" i="5"/>
  <c r="AJ63" i="5" s="1"/>
  <c r="AE62" i="5"/>
  <c r="AK62" i="5" s="1"/>
  <c r="AD62" i="5"/>
  <c r="AJ62" i="5" s="1"/>
  <c r="AE61" i="5"/>
  <c r="AK61" i="5" s="1"/>
  <c r="AD61" i="5"/>
  <c r="AJ61" i="5" s="1"/>
  <c r="AE60" i="5"/>
  <c r="AK60" i="5" s="1"/>
  <c r="AD60" i="5"/>
  <c r="AJ60" i="5" s="1"/>
  <c r="AE59" i="5"/>
  <c r="AK59" i="5" s="1"/>
  <c r="AD59" i="5"/>
  <c r="AJ59" i="5" s="1"/>
  <c r="AE58" i="5"/>
  <c r="AK58" i="5" s="1"/>
  <c r="AD58" i="5"/>
  <c r="AJ58" i="5" s="1"/>
  <c r="AE57" i="5"/>
  <c r="AK57" i="5" s="1"/>
  <c r="AD57" i="5"/>
  <c r="AJ57" i="5" s="1"/>
  <c r="AE56" i="5"/>
  <c r="AK56" i="5" s="1"/>
  <c r="AD56" i="5"/>
  <c r="AJ56" i="5" s="1"/>
  <c r="AE55" i="5"/>
  <c r="AK55" i="5" s="1"/>
  <c r="AD55" i="5"/>
  <c r="AJ55" i="5" s="1"/>
  <c r="AE54" i="5"/>
  <c r="AK54" i="5" s="1"/>
  <c r="AD54" i="5"/>
  <c r="AJ54" i="5" s="1"/>
  <c r="AE53" i="5"/>
  <c r="AK53" i="5" s="1"/>
  <c r="AD53" i="5"/>
  <c r="AJ53" i="5" s="1"/>
  <c r="AE52" i="5"/>
  <c r="AK52" i="5" s="1"/>
  <c r="AD52" i="5"/>
  <c r="AJ52" i="5" s="1"/>
  <c r="AE51" i="5"/>
  <c r="AK51" i="5" s="1"/>
  <c r="AD51" i="5"/>
  <c r="AJ51" i="5" s="1"/>
  <c r="AE50" i="5"/>
  <c r="AK50" i="5" s="1"/>
  <c r="AD50" i="5"/>
  <c r="AJ50" i="5" s="1"/>
  <c r="AE49" i="5"/>
  <c r="AK49" i="5" s="1"/>
  <c r="AD49" i="5"/>
  <c r="AJ49" i="5" s="1"/>
  <c r="AE48" i="5"/>
  <c r="AK48" i="5" s="1"/>
  <c r="AD48" i="5"/>
  <c r="AJ48" i="5" s="1"/>
  <c r="AE47" i="5"/>
  <c r="AK47" i="5" s="1"/>
  <c r="AD47" i="5"/>
  <c r="AJ47" i="5" s="1"/>
  <c r="AE46" i="5"/>
  <c r="AK46" i="5" s="1"/>
  <c r="AD46" i="5"/>
  <c r="AJ46" i="5" s="1"/>
  <c r="AE45" i="5"/>
  <c r="AK45" i="5" s="1"/>
  <c r="AD45" i="5"/>
  <c r="AJ45" i="5" s="1"/>
  <c r="AE44" i="5"/>
  <c r="AK44" i="5" s="1"/>
  <c r="AD44" i="5"/>
  <c r="AJ44" i="5" s="1"/>
  <c r="AE43" i="5"/>
  <c r="AK43" i="5" s="1"/>
  <c r="AD43" i="5"/>
  <c r="AJ43" i="5" s="1"/>
  <c r="AE42" i="5"/>
  <c r="AK42" i="5" s="1"/>
  <c r="AD42" i="5"/>
  <c r="AJ42" i="5" s="1"/>
  <c r="AE41" i="5"/>
  <c r="AK41" i="5" s="1"/>
  <c r="AD41" i="5"/>
  <c r="AJ41" i="5" s="1"/>
  <c r="AE40" i="5"/>
  <c r="AK40" i="5" s="1"/>
  <c r="AD40" i="5"/>
  <c r="AJ40" i="5" s="1"/>
  <c r="AE39" i="5"/>
  <c r="AK39" i="5" s="1"/>
  <c r="AD39" i="5"/>
  <c r="AJ39" i="5" s="1"/>
  <c r="AE38" i="5"/>
  <c r="AK38" i="5" s="1"/>
  <c r="AD38" i="5"/>
  <c r="AJ38" i="5" s="1"/>
  <c r="AE37" i="5"/>
  <c r="AK37" i="5" s="1"/>
  <c r="AD37" i="5"/>
  <c r="AJ37" i="5" s="1"/>
  <c r="AE36" i="5"/>
  <c r="AK36" i="5" s="1"/>
  <c r="AD36" i="5"/>
  <c r="AJ36" i="5" s="1"/>
  <c r="AE35" i="5"/>
  <c r="AK35" i="5" s="1"/>
  <c r="AD35" i="5"/>
  <c r="AJ35" i="5" s="1"/>
  <c r="AE34" i="5"/>
  <c r="AK34" i="5" s="1"/>
  <c r="AD34" i="5"/>
  <c r="AJ34" i="5" s="1"/>
  <c r="B2" i="5"/>
  <c r="AE350" i="4"/>
  <c r="AK350" i="4" s="1"/>
  <c r="AD350" i="4"/>
  <c r="AJ350" i="4" s="1"/>
  <c r="AE349" i="4"/>
  <c r="AK349" i="4" s="1"/>
  <c r="AD349" i="4"/>
  <c r="AJ349" i="4" s="1"/>
  <c r="AE348" i="4"/>
  <c r="AK348" i="4" s="1"/>
  <c r="AD348" i="4"/>
  <c r="AJ348" i="4" s="1"/>
  <c r="AE347" i="4"/>
  <c r="AK347" i="4" s="1"/>
  <c r="AD347" i="4"/>
  <c r="AJ347" i="4" s="1"/>
  <c r="AE346" i="4"/>
  <c r="AK346" i="4" s="1"/>
  <c r="AD346" i="4"/>
  <c r="AJ346" i="4" s="1"/>
  <c r="AE345" i="4"/>
  <c r="AK345" i="4" s="1"/>
  <c r="AD345" i="4"/>
  <c r="AJ345" i="4" s="1"/>
  <c r="AE344" i="4"/>
  <c r="AK344" i="4" s="1"/>
  <c r="AD344" i="4"/>
  <c r="AJ344" i="4" s="1"/>
  <c r="AE343" i="4"/>
  <c r="AK343" i="4" s="1"/>
  <c r="AD343" i="4"/>
  <c r="AJ343" i="4" s="1"/>
  <c r="AE342" i="4"/>
  <c r="AK342" i="4" s="1"/>
  <c r="AD342" i="4"/>
  <c r="AJ342" i="4" s="1"/>
  <c r="AE341" i="4"/>
  <c r="AK341" i="4" s="1"/>
  <c r="AD341" i="4"/>
  <c r="AJ341" i="4" s="1"/>
  <c r="AE340" i="4"/>
  <c r="AK340" i="4" s="1"/>
  <c r="AD340" i="4"/>
  <c r="AJ340" i="4" s="1"/>
  <c r="AE339" i="4"/>
  <c r="AK339" i="4" s="1"/>
  <c r="AD339" i="4"/>
  <c r="AJ339" i="4" s="1"/>
  <c r="AE338" i="4"/>
  <c r="AK338" i="4" s="1"/>
  <c r="AD338" i="4"/>
  <c r="AJ338" i="4" s="1"/>
  <c r="AE337" i="4"/>
  <c r="AK337" i="4" s="1"/>
  <c r="AD337" i="4"/>
  <c r="AJ337" i="4" s="1"/>
  <c r="AE336" i="4"/>
  <c r="AK336" i="4" s="1"/>
  <c r="AD336" i="4"/>
  <c r="AJ336" i="4" s="1"/>
  <c r="AE335" i="4"/>
  <c r="AK335" i="4" s="1"/>
  <c r="AD335" i="4"/>
  <c r="AJ335" i="4" s="1"/>
  <c r="AE334" i="4"/>
  <c r="AK334" i="4" s="1"/>
  <c r="AD334" i="4"/>
  <c r="AJ334" i="4" s="1"/>
  <c r="AE333" i="4"/>
  <c r="AK333" i="4" s="1"/>
  <c r="AD333" i="4"/>
  <c r="AJ333" i="4" s="1"/>
  <c r="AE332" i="4"/>
  <c r="AK332" i="4" s="1"/>
  <c r="AD332" i="4"/>
  <c r="AJ332" i="4" s="1"/>
  <c r="AE331" i="4"/>
  <c r="AK331" i="4" s="1"/>
  <c r="AD331" i="4"/>
  <c r="AJ331" i="4" s="1"/>
  <c r="AE330" i="4"/>
  <c r="AK330" i="4" s="1"/>
  <c r="AD330" i="4"/>
  <c r="AJ330" i="4" s="1"/>
  <c r="AE329" i="4"/>
  <c r="AK329" i="4" s="1"/>
  <c r="AD329" i="4"/>
  <c r="AJ329" i="4" s="1"/>
  <c r="AE328" i="4"/>
  <c r="AK328" i="4" s="1"/>
  <c r="AD328" i="4"/>
  <c r="AJ328" i="4" s="1"/>
  <c r="AE327" i="4"/>
  <c r="AK327" i="4" s="1"/>
  <c r="AD327" i="4"/>
  <c r="AJ327" i="4" s="1"/>
  <c r="AE326" i="4"/>
  <c r="AK326" i="4" s="1"/>
  <c r="AD326" i="4"/>
  <c r="AJ326" i="4" s="1"/>
  <c r="AE325" i="4"/>
  <c r="AK325" i="4" s="1"/>
  <c r="AD325" i="4"/>
  <c r="AJ325" i="4" s="1"/>
  <c r="AE324" i="4"/>
  <c r="AK324" i="4" s="1"/>
  <c r="AD324" i="4"/>
  <c r="AJ324" i="4" s="1"/>
  <c r="AE323" i="4"/>
  <c r="AK323" i="4" s="1"/>
  <c r="AD323" i="4"/>
  <c r="AJ323" i="4" s="1"/>
  <c r="AE322" i="4"/>
  <c r="AK322" i="4" s="1"/>
  <c r="AD322" i="4"/>
  <c r="AJ322" i="4" s="1"/>
  <c r="AE321" i="4"/>
  <c r="AK321" i="4" s="1"/>
  <c r="AD321" i="4"/>
  <c r="AJ321" i="4" s="1"/>
  <c r="AE320" i="4"/>
  <c r="AK320" i="4" s="1"/>
  <c r="AD320" i="4"/>
  <c r="AJ320" i="4" s="1"/>
  <c r="AE319" i="4"/>
  <c r="AK319" i="4" s="1"/>
  <c r="AD319" i="4"/>
  <c r="AJ319" i="4" s="1"/>
  <c r="AE318" i="4"/>
  <c r="AK318" i="4" s="1"/>
  <c r="AD318" i="4"/>
  <c r="AJ318" i="4" s="1"/>
  <c r="AE317" i="4"/>
  <c r="AK317" i="4" s="1"/>
  <c r="AD317" i="4"/>
  <c r="AJ317" i="4" s="1"/>
  <c r="AE316" i="4"/>
  <c r="AK316" i="4" s="1"/>
  <c r="AD316" i="4"/>
  <c r="AJ316" i="4" s="1"/>
  <c r="AE315" i="4"/>
  <c r="AK315" i="4" s="1"/>
  <c r="AD315" i="4"/>
  <c r="AJ315" i="4" s="1"/>
  <c r="AE314" i="4"/>
  <c r="AK314" i="4" s="1"/>
  <c r="AD314" i="4"/>
  <c r="AJ314" i="4" s="1"/>
  <c r="AE313" i="4"/>
  <c r="AK313" i="4" s="1"/>
  <c r="AD313" i="4"/>
  <c r="AJ313" i="4" s="1"/>
  <c r="AE312" i="4"/>
  <c r="AK312" i="4" s="1"/>
  <c r="AD312" i="4"/>
  <c r="AJ312" i="4" s="1"/>
  <c r="AE311" i="4"/>
  <c r="AK311" i="4" s="1"/>
  <c r="AD311" i="4"/>
  <c r="AJ311" i="4" s="1"/>
  <c r="AE310" i="4"/>
  <c r="AK310" i="4" s="1"/>
  <c r="AD310" i="4"/>
  <c r="AJ310" i="4" s="1"/>
  <c r="AE309" i="4"/>
  <c r="AK309" i="4" s="1"/>
  <c r="AD309" i="4"/>
  <c r="AJ309" i="4" s="1"/>
  <c r="AE308" i="4"/>
  <c r="AK308" i="4" s="1"/>
  <c r="AD308" i="4"/>
  <c r="AJ308" i="4" s="1"/>
  <c r="AE307" i="4"/>
  <c r="AK307" i="4" s="1"/>
  <c r="AD307" i="4"/>
  <c r="AJ307" i="4" s="1"/>
  <c r="AE306" i="4"/>
  <c r="AK306" i="4" s="1"/>
  <c r="AD306" i="4"/>
  <c r="AJ306" i="4" s="1"/>
  <c r="AE305" i="4"/>
  <c r="AK305" i="4" s="1"/>
  <c r="AD305" i="4"/>
  <c r="AJ305" i="4" s="1"/>
  <c r="AE304" i="4"/>
  <c r="AK304" i="4" s="1"/>
  <c r="AD304" i="4"/>
  <c r="AJ304" i="4" s="1"/>
  <c r="AE303" i="4"/>
  <c r="AK303" i="4" s="1"/>
  <c r="AD303" i="4"/>
  <c r="AJ303" i="4" s="1"/>
  <c r="AE302" i="4"/>
  <c r="AK302" i="4" s="1"/>
  <c r="AD302" i="4"/>
  <c r="AJ302" i="4" s="1"/>
  <c r="AE301" i="4"/>
  <c r="AK301" i="4" s="1"/>
  <c r="AD301" i="4"/>
  <c r="AJ301" i="4" s="1"/>
  <c r="AE300" i="4"/>
  <c r="AK300" i="4" s="1"/>
  <c r="AD300" i="4"/>
  <c r="AJ300" i="4" s="1"/>
  <c r="AE299" i="4"/>
  <c r="AK299" i="4" s="1"/>
  <c r="AD299" i="4"/>
  <c r="AJ299" i="4" s="1"/>
  <c r="AE298" i="4"/>
  <c r="AK298" i="4" s="1"/>
  <c r="AD298" i="4"/>
  <c r="AJ298" i="4" s="1"/>
  <c r="AE297" i="4"/>
  <c r="AK297" i="4" s="1"/>
  <c r="AD297" i="4"/>
  <c r="AJ297" i="4" s="1"/>
  <c r="AE296" i="4"/>
  <c r="AK296" i="4" s="1"/>
  <c r="AD296" i="4"/>
  <c r="AJ296" i="4" s="1"/>
  <c r="AE295" i="4"/>
  <c r="AK295" i="4" s="1"/>
  <c r="AD295" i="4"/>
  <c r="AJ295" i="4" s="1"/>
  <c r="AE294" i="4"/>
  <c r="AK294" i="4" s="1"/>
  <c r="AD294" i="4"/>
  <c r="AJ294" i="4" s="1"/>
  <c r="AE293" i="4"/>
  <c r="AK293" i="4" s="1"/>
  <c r="AD293" i="4"/>
  <c r="AJ293" i="4" s="1"/>
  <c r="AE292" i="4"/>
  <c r="AK292" i="4" s="1"/>
  <c r="AD292" i="4"/>
  <c r="AJ292" i="4" s="1"/>
  <c r="AE291" i="4"/>
  <c r="AK291" i="4" s="1"/>
  <c r="AD291" i="4"/>
  <c r="AJ291" i="4" s="1"/>
  <c r="AE290" i="4"/>
  <c r="AK290" i="4" s="1"/>
  <c r="AD290" i="4"/>
  <c r="AJ290" i="4" s="1"/>
  <c r="AE289" i="4"/>
  <c r="AK289" i="4" s="1"/>
  <c r="AD289" i="4"/>
  <c r="AJ289" i="4" s="1"/>
  <c r="AE288" i="4"/>
  <c r="AK288" i="4" s="1"/>
  <c r="AD288" i="4"/>
  <c r="AJ288" i="4" s="1"/>
  <c r="AE287" i="4"/>
  <c r="AK287" i="4" s="1"/>
  <c r="AD287" i="4"/>
  <c r="AJ287" i="4" s="1"/>
  <c r="AE286" i="4"/>
  <c r="AK286" i="4" s="1"/>
  <c r="AD286" i="4"/>
  <c r="AJ286" i="4" s="1"/>
  <c r="AE285" i="4"/>
  <c r="AK285" i="4" s="1"/>
  <c r="AD285" i="4"/>
  <c r="AJ285" i="4" s="1"/>
  <c r="AE284" i="4"/>
  <c r="AK284" i="4" s="1"/>
  <c r="AD284" i="4"/>
  <c r="AJ284" i="4" s="1"/>
  <c r="AE283" i="4"/>
  <c r="AK283" i="4" s="1"/>
  <c r="AD283" i="4"/>
  <c r="AJ283" i="4" s="1"/>
  <c r="AE282" i="4"/>
  <c r="AK282" i="4" s="1"/>
  <c r="AD282" i="4"/>
  <c r="AJ282" i="4" s="1"/>
  <c r="AE281" i="4"/>
  <c r="AK281" i="4" s="1"/>
  <c r="AD281" i="4"/>
  <c r="AJ281" i="4" s="1"/>
  <c r="AE280" i="4"/>
  <c r="AK280" i="4" s="1"/>
  <c r="AD280" i="4"/>
  <c r="AJ280" i="4" s="1"/>
  <c r="AE279" i="4"/>
  <c r="AK279" i="4" s="1"/>
  <c r="AD279" i="4"/>
  <c r="AJ279" i="4" s="1"/>
  <c r="AE278" i="4"/>
  <c r="AK278" i="4" s="1"/>
  <c r="AD278" i="4"/>
  <c r="AJ278" i="4" s="1"/>
  <c r="AE277" i="4"/>
  <c r="AK277" i="4" s="1"/>
  <c r="AD277" i="4"/>
  <c r="AJ277" i="4" s="1"/>
  <c r="AE276" i="4"/>
  <c r="AK276" i="4" s="1"/>
  <c r="AD276" i="4"/>
  <c r="AJ276" i="4" s="1"/>
  <c r="AE275" i="4"/>
  <c r="AK275" i="4" s="1"/>
  <c r="AD275" i="4"/>
  <c r="AJ275" i="4" s="1"/>
  <c r="AE274" i="4"/>
  <c r="AK274" i="4" s="1"/>
  <c r="AD274" i="4"/>
  <c r="AJ274" i="4" s="1"/>
  <c r="AE273" i="4"/>
  <c r="AK273" i="4" s="1"/>
  <c r="AD273" i="4"/>
  <c r="AJ273" i="4" s="1"/>
  <c r="AE272" i="4"/>
  <c r="AK272" i="4" s="1"/>
  <c r="AD272" i="4"/>
  <c r="AJ272" i="4" s="1"/>
  <c r="AE271" i="4"/>
  <c r="AK271" i="4" s="1"/>
  <c r="AD271" i="4"/>
  <c r="AJ271" i="4" s="1"/>
  <c r="AE270" i="4"/>
  <c r="AK270" i="4" s="1"/>
  <c r="AD270" i="4"/>
  <c r="AJ270" i="4" s="1"/>
  <c r="AE269" i="4"/>
  <c r="AK269" i="4" s="1"/>
  <c r="AD269" i="4"/>
  <c r="AJ269" i="4" s="1"/>
  <c r="AE268" i="4"/>
  <c r="AK268" i="4" s="1"/>
  <c r="AD268" i="4"/>
  <c r="AJ268" i="4" s="1"/>
  <c r="AE267" i="4"/>
  <c r="AK267" i="4" s="1"/>
  <c r="AD267" i="4"/>
  <c r="AJ267" i="4" s="1"/>
  <c r="AE266" i="4"/>
  <c r="AK266" i="4" s="1"/>
  <c r="AD266" i="4"/>
  <c r="AJ266" i="4" s="1"/>
  <c r="AE265" i="4"/>
  <c r="AK265" i="4" s="1"/>
  <c r="AD265" i="4"/>
  <c r="AJ265" i="4" s="1"/>
  <c r="AE264" i="4"/>
  <c r="AK264" i="4" s="1"/>
  <c r="AD264" i="4"/>
  <c r="AJ264" i="4" s="1"/>
  <c r="AE263" i="4"/>
  <c r="AK263" i="4" s="1"/>
  <c r="AD263" i="4"/>
  <c r="AJ263" i="4" s="1"/>
  <c r="AE262" i="4"/>
  <c r="AK262" i="4" s="1"/>
  <c r="AD262" i="4"/>
  <c r="AJ262" i="4" s="1"/>
  <c r="AE261" i="4"/>
  <c r="AK261" i="4" s="1"/>
  <c r="AD261" i="4"/>
  <c r="AJ261" i="4" s="1"/>
  <c r="AE260" i="4"/>
  <c r="AK260" i="4" s="1"/>
  <c r="AD260" i="4"/>
  <c r="AJ260" i="4" s="1"/>
  <c r="AE259" i="4"/>
  <c r="AK259" i="4" s="1"/>
  <c r="AD259" i="4"/>
  <c r="AJ259" i="4" s="1"/>
  <c r="AE258" i="4"/>
  <c r="AK258" i="4" s="1"/>
  <c r="AD258" i="4"/>
  <c r="AJ258" i="4" s="1"/>
  <c r="AE257" i="4"/>
  <c r="AK257" i="4" s="1"/>
  <c r="AD257" i="4"/>
  <c r="AJ257" i="4" s="1"/>
  <c r="AE256" i="4"/>
  <c r="AK256" i="4" s="1"/>
  <c r="AD256" i="4"/>
  <c r="AJ256" i="4" s="1"/>
  <c r="AE255" i="4"/>
  <c r="AK255" i="4" s="1"/>
  <c r="AD255" i="4"/>
  <c r="AJ255" i="4" s="1"/>
  <c r="AE254" i="4"/>
  <c r="AK254" i="4" s="1"/>
  <c r="AD254" i="4"/>
  <c r="AJ254" i="4" s="1"/>
  <c r="AE253" i="4"/>
  <c r="AK253" i="4" s="1"/>
  <c r="AD253" i="4"/>
  <c r="AJ253" i="4" s="1"/>
  <c r="AE252" i="4"/>
  <c r="AK252" i="4" s="1"/>
  <c r="AD252" i="4"/>
  <c r="AJ252" i="4" s="1"/>
  <c r="AE251" i="4"/>
  <c r="AK251" i="4" s="1"/>
  <c r="AD251" i="4"/>
  <c r="AJ251" i="4" s="1"/>
  <c r="AE250" i="4"/>
  <c r="AK250" i="4" s="1"/>
  <c r="AD250" i="4"/>
  <c r="AJ250" i="4" s="1"/>
  <c r="AE249" i="4"/>
  <c r="AK249" i="4" s="1"/>
  <c r="AD249" i="4"/>
  <c r="AJ249" i="4" s="1"/>
  <c r="AE248" i="4"/>
  <c r="AK248" i="4" s="1"/>
  <c r="AD248" i="4"/>
  <c r="AJ248" i="4" s="1"/>
  <c r="AE247" i="4"/>
  <c r="AK247" i="4" s="1"/>
  <c r="AD247" i="4"/>
  <c r="AJ247" i="4" s="1"/>
  <c r="AE246" i="4"/>
  <c r="AK246" i="4" s="1"/>
  <c r="AD246" i="4"/>
  <c r="AJ246" i="4" s="1"/>
  <c r="AE245" i="4"/>
  <c r="AK245" i="4" s="1"/>
  <c r="AD245" i="4"/>
  <c r="AJ245" i="4" s="1"/>
  <c r="AE244" i="4"/>
  <c r="AK244" i="4" s="1"/>
  <c r="AD244" i="4"/>
  <c r="AJ244" i="4" s="1"/>
  <c r="AE243" i="4"/>
  <c r="AK243" i="4" s="1"/>
  <c r="AD243" i="4"/>
  <c r="AJ243" i="4" s="1"/>
  <c r="AE242" i="4"/>
  <c r="AK242" i="4" s="1"/>
  <c r="AD242" i="4"/>
  <c r="AJ242" i="4" s="1"/>
  <c r="AE241" i="4"/>
  <c r="AK241" i="4" s="1"/>
  <c r="AD241" i="4"/>
  <c r="AJ241" i="4" s="1"/>
  <c r="AE240" i="4"/>
  <c r="AK240" i="4" s="1"/>
  <c r="AD240" i="4"/>
  <c r="AJ240" i="4" s="1"/>
  <c r="AE239" i="4"/>
  <c r="AK239" i="4" s="1"/>
  <c r="AD239" i="4"/>
  <c r="AJ239" i="4" s="1"/>
  <c r="AE238" i="4"/>
  <c r="AK238" i="4" s="1"/>
  <c r="AD238" i="4"/>
  <c r="AJ238" i="4" s="1"/>
  <c r="AE237" i="4"/>
  <c r="AK237" i="4" s="1"/>
  <c r="AD237" i="4"/>
  <c r="AJ237" i="4" s="1"/>
  <c r="AE236" i="4"/>
  <c r="AK236" i="4" s="1"/>
  <c r="AD236" i="4"/>
  <c r="AJ236" i="4" s="1"/>
  <c r="AE235" i="4"/>
  <c r="AK235" i="4" s="1"/>
  <c r="AD235" i="4"/>
  <c r="AJ235" i="4" s="1"/>
  <c r="AE234" i="4"/>
  <c r="AK234" i="4" s="1"/>
  <c r="AD234" i="4"/>
  <c r="AJ234" i="4" s="1"/>
  <c r="AE233" i="4"/>
  <c r="AK233" i="4" s="1"/>
  <c r="AD233" i="4"/>
  <c r="AJ233" i="4" s="1"/>
  <c r="AE232" i="4"/>
  <c r="AK232" i="4" s="1"/>
  <c r="AD232" i="4"/>
  <c r="AJ232" i="4" s="1"/>
  <c r="AE231" i="4"/>
  <c r="AK231" i="4" s="1"/>
  <c r="AD231" i="4"/>
  <c r="AJ231" i="4" s="1"/>
  <c r="AE230" i="4"/>
  <c r="AK230" i="4" s="1"/>
  <c r="AD230" i="4"/>
  <c r="AJ230" i="4" s="1"/>
  <c r="AE229" i="4"/>
  <c r="AK229" i="4" s="1"/>
  <c r="AD229" i="4"/>
  <c r="AJ229" i="4" s="1"/>
  <c r="AE228" i="4"/>
  <c r="AK228" i="4" s="1"/>
  <c r="AD228" i="4"/>
  <c r="AJ228" i="4" s="1"/>
  <c r="AE227" i="4"/>
  <c r="AK227" i="4" s="1"/>
  <c r="AD227" i="4"/>
  <c r="AJ227" i="4" s="1"/>
  <c r="AE226" i="4"/>
  <c r="AK226" i="4" s="1"/>
  <c r="AD226" i="4"/>
  <c r="AJ226" i="4" s="1"/>
  <c r="AE225" i="4"/>
  <c r="AK225" i="4" s="1"/>
  <c r="AD225" i="4"/>
  <c r="AJ225" i="4" s="1"/>
  <c r="AE224" i="4"/>
  <c r="AK224" i="4" s="1"/>
  <c r="AD224" i="4"/>
  <c r="AJ224" i="4" s="1"/>
  <c r="AE223" i="4"/>
  <c r="AK223" i="4" s="1"/>
  <c r="AD223" i="4"/>
  <c r="AJ223" i="4" s="1"/>
  <c r="AE222" i="4"/>
  <c r="AK222" i="4" s="1"/>
  <c r="AD222" i="4"/>
  <c r="AJ222" i="4" s="1"/>
  <c r="AE221" i="4"/>
  <c r="AK221" i="4" s="1"/>
  <c r="AD221" i="4"/>
  <c r="AJ221" i="4" s="1"/>
  <c r="AE220" i="4"/>
  <c r="AK220" i="4" s="1"/>
  <c r="AD220" i="4"/>
  <c r="AJ220" i="4" s="1"/>
  <c r="AE219" i="4"/>
  <c r="AK219" i="4" s="1"/>
  <c r="AD219" i="4"/>
  <c r="AJ219" i="4" s="1"/>
  <c r="AE218" i="4"/>
  <c r="AK218" i="4" s="1"/>
  <c r="AD218" i="4"/>
  <c r="AJ218" i="4" s="1"/>
  <c r="AE217" i="4"/>
  <c r="AK217" i="4" s="1"/>
  <c r="AD217" i="4"/>
  <c r="AJ217" i="4" s="1"/>
  <c r="AE216" i="4"/>
  <c r="AK216" i="4" s="1"/>
  <c r="AD216" i="4"/>
  <c r="AJ216" i="4" s="1"/>
  <c r="AE215" i="4"/>
  <c r="AK215" i="4" s="1"/>
  <c r="AD215" i="4"/>
  <c r="AJ215" i="4" s="1"/>
  <c r="AE214" i="4"/>
  <c r="AK214" i="4" s="1"/>
  <c r="AD214" i="4"/>
  <c r="AJ214" i="4" s="1"/>
  <c r="AE213" i="4"/>
  <c r="AK213" i="4" s="1"/>
  <c r="AD213" i="4"/>
  <c r="AJ213" i="4" s="1"/>
  <c r="AE212" i="4"/>
  <c r="AK212" i="4" s="1"/>
  <c r="AD212" i="4"/>
  <c r="AJ212" i="4" s="1"/>
  <c r="AE211" i="4"/>
  <c r="AK211" i="4" s="1"/>
  <c r="AD211" i="4"/>
  <c r="AJ211" i="4" s="1"/>
  <c r="AE210" i="4"/>
  <c r="AK210" i="4" s="1"/>
  <c r="AD210" i="4"/>
  <c r="AJ210" i="4" s="1"/>
  <c r="AE209" i="4"/>
  <c r="AK209" i="4" s="1"/>
  <c r="AD209" i="4"/>
  <c r="AJ209" i="4" s="1"/>
  <c r="AE208" i="4"/>
  <c r="AK208" i="4" s="1"/>
  <c r="AD208" i="4"/>
  <c r="AJ208" i="4" s="1"/>
  <c r="AE207" i="4"/>
  <c r="AK207" i="4" s="1"/>
  <c r="AD207" i="4"/>
  <c r="AJ207" i="4" s="1"/>
  <c r="AE206" i="4"/>
  <c r="AK206" i="4" s="1"/>
  <c r="AD206" i="4"/>
  <c r="AJ206" i="4" s="1"/>
  <c r="AE205" i="4"/>
  <c r="AK205" i="4" s="1"/>
  <c r="AD205" i="4"/>
  <c r="AJ205" i="4" s="1"/>
  <c r="AE204" i="4"/>
  <c r="AK204" i="4" s="1"/>
  <c r="AD204" i="4"/>
  <c r="AJ204" i="4" s="1"/>
  <c r="AE203" i="4"/>
  <c r="AK203" i="4" s="1"/>
  <c r="AD203" i="4"/>
  <c r="AJ203" i="4" s="1"/>
  <c r="AE202" i="4"/>
  <c r="AK202" i="4" s="1"/>
  <c r="AD202" i="4"/>
  <c r="AJ202" i="4" s="1"/>
  <c r="AE201" i="4"/>
  <c r="AK201" i="4" s="1"/>
  <c r="AD201" i="4"/>
  <c r="AJ201" i="4" s="1"/>
  <c r="AE200" i="4"/>
  <c r="AK200" i="4" s="1"/>
  <c r="AD200" i="4"/>
  <c r="AJ200" i="4" s="1"/>
  <c r="AE199" i="4"/>
  <c r="AK199" i="4" s="1"/>
  <c r="AD199" i="4"/>
  <c r="AJ199" i="4" s="1"/>
  <c r="AE198" i="4"/>
  <c r="AK198" i="4" s="1"/>
  <c r="AD198" i="4"/>
  <c r="AJ198" i="4" s="1"/>
  <c r="AE197" i="4"/>
  <c r="AK197" i="4" s="1"/>
  <c r="AD197" i="4"/>
  <c r="AJ197" i="4" s="1"/>
  <c r="AE196" i="4"/>
  <c r="AK196" i="4" s="1"/>
  <c r="AD196" i="4"/>
  <c r="AJ196" i="4" s="1"/>
  <c r="AE195" i="4"/>
  <c r="AK195" i="4" s="1"/>
  <c r="AD195" i="4"/>
  <c r="AJ195" i="4" s="1"/>
  <c r="AE194" i="4"/>
  <c r="AK194" i="4" s="1"/>
  <c r="AD194" i="4"/>
  <c r="AJ194" i="4" s="1"/>
  <c r="AE193" i="4"/>
  <c r="AK193" i="4" s="1"/>
  <c r="AD193" i="4"/>
  <c r="AJ193" i="4" s="1"/>
  <c r="AE192" i="4"/>
  <c r="AK192" i="4" s="1"/>
  <c r="AD192" i="4"/>
  <c r="AJ192" i="4" s="1"/>
  <c r="AE191" i="4"/>
  <c r="AK191" i="4" s="1"/>
  <c r="AD191" i="4"/>
  <c r="AJ191" i="4" s="1"/>
  <c r="AE190" i="4"/>
  <c r="AK190" i="4" s="1"/>
  <c r="AD190" i="4"/>
  <c r="AJ190" i="4" s="1"/>
  <c r="AE189" i="4"/>
  <c r="AK189" i="4" s="1"/>
  <c r="AD189" i="4"/>
  <c r="AJ189" i="4" s="1"/>
  <c r="AE188" i="4"/>
  <c r="AK188" i="4" s="1"/>
  <c r="AD188" i="4"/>
  <c r="AJ188" i="4" s="1"/>
  <c r="AE187" i="4"/>
  <c r="AK187" i="4" s="1"/>
  <c r="AD187" i="4"/>
  <c r="AJ187" i="4" s="1"/>
  <c r="AE186" i="4"/>
  <c r="AK186" i="4" s="1"/>
  <c r="AD186" i="4"/>
  <c r="AJ186" i="4" s="1"/>
  <c r="AE185" i="4"/>
  <c r="AK185" i="4" s="1"/>
  <c r="AD185" i="4"/>
  <c r="AJ185" i="4" s="1"/>
  <c r="AE184" i="4"/>
  <c r="AK184" i="4" s="1"/>
  <c r="AD184" i="4"/>
  <c r="AJ184" i="4" s="1"/>
  <c r="AE183" i="4"/>
  <c r="AK183" i="4" s="1"/>
  <c r="AD183" i="4"/>
  <c r="AJ183" i="4" s="1"/>
  <c r="AE182" i="4"/>
  <c r="AK182" i="4" s="1"/>
  <c r="AD182" i="4"/>
  <c r="AJ182" i="4" s="1"/>
  <c r="AE181" i="4"/>
  <c r="AK181" i="4" s="1"/>
  <c r="AD181" i="4"/>
  <c r="AJ181" i="4" s="1"/>
  <c r="B2" i="4"/>
  <c r="V37" i="1"/>
  <c r="V34" i="1"/>
  <c r="V33" i="1"/>
  <c r="V32" i="1"/>
  <c r="V29" i="1"/>
  <c r="E13" i="1"/>
  <c r="P7" i="1" s="1"/>
  <c r="U12" i="1"/>
  <c r="U11" i="1"/>
  <c r="U10" i="1"/>
  <c r="U9" i="1"/>
  <c r="U8" i="1"/>
  <c r="K3" i="1"/>
  <c r="E3" i="1"/>
  <c r="D3" i="1"/>
  <c r="B3" i="1"/>
  <c r="P8" i="1" l="1"/>
  <c r="P9" i="1"/>
  <c r="V30" i="1"/>
  <c r="M3" i="1"/>
  <c r="P6" i="1"/>
</calcChain>
</file>

<file path=xl/sharedStrings.xml><?xml version="1.0" encoding="utf-8"?>
<sst xmlns="http://schemas.openxmlformats.org/spreadsheetml/2006/main" count="1130" uniqueCount="259">
  <si>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</si>
  <si>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</si>
  <si>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</si>
  <si>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</si>
  <si>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</si>
  <si>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</si>
  <si>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</si>
  <si>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</si>
  <si>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</si>
  <si>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</si>
  <si>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</si>
  <si>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</si>
  <si>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</si>
  <si>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</si>
  <si>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</si>
  <si>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</si>
  <si>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</si>
  <si>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</si>
  <si>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</si>
  <si>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</si>
  <si>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</si>
  <si>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</si>
  <si>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</si>
  <si>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</si>
  <si>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</si>
  <si>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</si>
  <si>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</si>
  <si>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</si>
  <si>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</si>
  <si>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</si>
  <si>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</si>
  <si>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</si>
  <si>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</si>
  <si>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</si>
  <si>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</si>
  <si>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</si>
  <si>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</si>
  <si>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</si>
  <si>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</si>
  <si>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</si>
  <si>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</si>
  <si>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</si>
  <si>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</si>
  <si>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</si>
  <si>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</si>
  <si>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</si>
  <si>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</si>
  <si>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</si>
  <si>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</si>
  <si>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</si>
  <si>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</si>
  <si>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</si>
  <si>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</si>
  <si>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</si>
  <si>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</si>
  <si>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</si>
  <si>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</si>
  <si>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</si>
  <si>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</si>
  <si>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</si>
  <si>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</si>
  <si>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</si>
  <si>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</si>
  <si>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</si>
  <si>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</si>
  <si>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</si>
  <si>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</si>
  <si>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</si>
  <si>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</si>
  <si>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</si>
  <si>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</si>
  <si>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</si>
  <si>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</si>
  <si>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</si>
  <si>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</si>
  <si>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</si>
  <si>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</si>
  <si>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</si>
  <si>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</si>
  <si>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</si>
  <si>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</si>
  <si>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</si>
  <si>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</si>
  <si>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</si>
  <si>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</si>
  <si>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</si>
  <si>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</si>
  <si>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</si>
  <si>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</si>
  <si>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</si>
  <si>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</si>
  <si>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</si>
  <si>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</si>
  <si>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</si>
  <si>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</si>
  <si>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</si>
  <si>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</si>
  <si>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</si>
  <si>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</si>
  <si>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</si>
  <si>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</si>
  <si>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</si>
  <si>
    <t>Importation d ''un fichier Brut et Net (complet Homme Dame) FFGolf pour 1 Tour (2024) [auto] (Clean import =Faux) - Tour 1</t>
  </si>
  <si>
    <t>C:\dev-data\golf\ASGLM LGS\LGS_Application\T1\2d. Extraction XLS globale.xls</t>
  </si>
  <si>
    <t>ROMAN, Gabin</t>
  </si>
  <si>
    <t>GOLF DE LILLE METROPOLE</t>
  </si>
  <si>
    <t>CREPIN, Jean-Baptiste</t>
  </si>
  <si>
    <t>LESZCZYNSKI, Matthieu</t>
  </si>
  <si>
    <t>BOURDON, Jean-Paul</t>
  </si>
  <si>
    <t>MERIGNIES GOLF COUNTRY CLUB</t>
  </si>
  <si>
    <t>ASTIER, Ludovic</t>
  </si>
  <si>
    <t>LIANDIER, Bruno</t>
  </si>
  <si>
    <t>SALGADO, Antoine</t>
  </si>
  <si>
    <t>PATY, Thibaut</t>
  </si>
  <si>
    <t>MRUK, Stephane</t>
  </si>
  <si>
    <t>TRAN VAN, Xavier</t>
  </si>
  <si>
    <t>ECHILLEY, Jean-Christophe</t>
  </si>
  <si>
    <t>WOJCIESZAK, Eric</t>
  </si>
  <si>
    <t>DESHAYES, Germain</t>
  </si>
  <si>
    <t>HERMAN, Marc Antoine</t>
  </si>
  <si>
    <t>AVERLANT, Charles-Henri</t>
  </si>
  <si>
    <t>PECQUEUR, Adrien</t>
  </si>
  <si>
    <t>NAMPONT SAINT MARTIN GOLF CLUB</t>
  </si>
  <si>
    <t>BACQUET, Clément</t>
  </si>
  <si>
    <t>OFFROY, Jerome</t>
  </si>
  <si>
    <t>BELFADEL, Ludovic</t>
  </si>
  <si>
    <t>PATARIN, Clement</t>
  </si>
  <si>
    <t>THALES INTER-SPORTS (TIS)</t>
  </si>
  <si>
    <t>POIRIER, Loïc</t>
  </si>
  <si>
    <t>KLIMASZEWSKI, Olivier</t>
  </si>
  <si>
    <t>DELVAL, Francois</t>
  </si>
  <si>
    <t>LOCUFIER, Ludovic</t>
  </si>
  <si>
    <t>TROMPETTE, Thierry</t>
  </si>
  <si>
    <t>LONNEVILLE, Mathieu</t>
  </si>
  <si>
    <t>DUPELICZ, Remy</t>
  </si>
  <si>
    <t>ROHART, Stéphane</t>
  </si>
  <si>
    <t>VAN SEYMORTIER, Francois</t>
  </si>
  <si>
    <t>BOURBIGOU, Fabrice</t>
  </si>
  <si>
    <t>LEFEBVRE, Frédéric</t>
  </si>
  <si>
    <t>OUDAR, Ludovic</t>
  </si>
  <si>
    <t>CARAUX, Rodolphe</t>
  </si>
  <si>
    <t>TRONET, Pascal</t>
  </si>
  <si>
    <t>DOUHARD, Etienne</t>
  </si>
  <si>
    <t>DEWAELE, Jeremie</t>
  </si>
  <si>
    <t>LEGRAND, Christophe</t>
  </si>
  <si>
    <t>ROY, Philippe</t>
  </si>
  <si>
    <t>SCAPPATICCI, Pierre</t>
  </si>
  <si>
    <t>DENQUIN, Jérôme</t>
  </si>
  <si>
    <t>ELIE, Nicolas</t>
  </si>
  <si>
    <t>LIGUE DE GOLF DES HAUTS-DE-FRANCE</t>
  </si>
  <si>
    <t>CARON, Bernard</t>
  </si>
  <si>
    <t>LASCOMBE, Florian</t>
  </si>
  <si>
    <t>MONTE, Didier</t>
  </si>
  <si>
    <t>CHAN, Chi Lung</t>
  </si>
  <si>
    <t>ASTIER, Maxence</t>
  </si>
  <si>
    <t>DOMISE, Dominique</t>
  </si>
  <si>
    <t>MAILLARD, Pascal</t>
  </si>
  <si>
    <t>LECHELLE, Bernard</t>
  </si>
  <si>
    <t>CHEKIR, Abdessalem</t>
  </si>
  <si>
    <t>BAIVIER, Patrick</t>
  </si>
  <si>
    <t>BARMIO, Lino</t>
  </si>
  <si>
    <t>SAPIN, Pierre-Rodolphe</t>
  </si>
  <si>
    <t>MARQUANT, Jean Claude</t>
  </si>
  <si>
    <t>GOBERT, Thomas Jean</t>
  </si>
  <si>
    <t>BROTCORNE, Jean Luc</t>
  </si>
  <si>
    <t>DESSEAUX, Antoine</t>
  </si>
  <si>
    <t>SAMAIN, Dominique</t>
  </si>
  <si>
    <t>RAMANAH, Appayah</t>
  </si>
  <si>
    <t>BENOUADEN, Lyes</t>
  </si>
  <si>
    <t>BARRET, Jean Charles</t>
  </si>
  <si>
    <t>DERASSE, Philippe</t>
  </si>
  <si>
    <t>TRAINEL, Jean-Paul</t>
  </si>
  <si>
    <t>LECHABLE, Boris</t>
  </si>
  <si>
    <t>DELANGUE, Julien</t>
  </si>
  <si>
    <t>PETILLON, Joël</t>
  </si>
  <si>
    <t>DEWAELE, Mika</t>
  </si>
  <si>
    <t>ZENGERS, Julien</t>
  </si>
  <si>
    <t>ROGIERS, Yves</t>
  </si>
  <si>
    <t>LACENE, Wanass</t>
  </si>
  <si>
    <t>DU PLESSIS DE GRENEDAN, Renaud</t>
  </si>
  <si>
    <t>DELORY, Dominique</t>
  </si>
  <si>
    <t>DESSEAUX, Christian</t>
  </si>
  <si>
    <t>DEBUSSCHERE, Erick</t>
  </si>
  <si>
    <t>MONTE, Julie</t>
  </si>
  <si>
    <t>CANONNE, Ghislaine</t>
  </si>
  <si>
    <t>ROSSEL, Louann</t>
  </si>
  <si>
    <t>LOCUFIER, Astrid</t>
  </si>
  <si>
    <t>WATTINNE, Anne</t>
  </si>
  <si>
    <t>MALFAIT, Virginie</t>
  </si>
  <si>
    <t>CE LA REDOUTE</t>
  </si>
  <si>
    <t>BROTCORNE, Celine</t>
  </si>
  <si>
    <t>PLAULT, Elsa</t>
  </si>
  <si>
    <t>MERLIN, Marie-José</t>
  </si>
  <si>
    <t>TOULMONDE, Nathalie</t>
  </si>
  <si>
    <t>LEBLANC, Nathalie</t>
  </si>
  <si>
    <t>MARCHAND, Isabelle</t>
  </si>
  <si>
    <t>VONGHIA, Sonia</t>
  </si>
  <si>
    <t>CARAUX, Véronique</t>
  </si>
  <si>
    <t>HAK, Lydie</t>
  </si>
  <si>
    <t>KIEKEN, Marina</t>
  </si>
  <si>
    <t>JARRY, Laurence</t>
  </si>
  <si>
    <t>Calcul du Tour 1</t>
  </si>
  <si>
    <t>Nan</t>
  </si>
  <si>
    <t>ALL - Dames</t>
  </si>
  <si>
    <t>Serie 2</t>
  </si>
  <si>
    <t>Serie 1</t>
  </si>
  <si>
    <t>Serie 4</t>
  </si>
  <si>
    <t>Serie 3</t>
  </si>
  <si>
    <t>ALL - Messieurs</t>
  </si>
  <si>
    <t>EffacementImport</t>
  </si>
  <si>
    <t>Importation d ''un fichier Brut et Net (complet Homme Dame) FFGolf pour 1 Tour (2024) [auto] (Clean import =Faux) - Tour 2</t>
  </si>
  <si>
    <t>C:\dev-data\golf\ASGLM LGS\LGS_Application\T2\2d. Extraction XLS globale.xls</t>
  </si>
  <si>
    <t>BEGHIN, Pierrick</t>
  </si>
  <si>
    <t>HEM, Chun Leng</t>
  </si>
  <si>
    <t>LEGRAND, Emeric</t>
  </si>
  <si>
    <t>KURZYDLO, Robin</t>
  </si>
  <si>
    <t>RAOULT, Lancelot</t>
  </si>
  <si>
    <t>DUPELICZ, Bertrand</t>
  </si>
  <si>
    <t>SARAZIN, Antoine</t>
  </si>
  <si>
    <t>PERREAUX, Benjamin</t>
  </si>
  <si>
    <t>ROUSSEL, François</t>
  </si>
  <si>
    <t>LEDURRE, Patrick</t>
  </si>
  <si>
    <t>SERGENT, Eric</t>
  </si>
  <si>
    <t>LACOMBLEZ, Thierry</t>
  </si>
  <si>
    <t>DEBOUBERT, Philippe</t>
  </si>
  <si>
    <t>BEGHIN, Yoan</t>
  </si>
  <si>
    <t>MORTAGNE, Frederic</t>
  </si>
  <si>
    <t>BUISINE, Philippe</t>
  </si>
  <si>
    <t>BARBEAU, Romain</t>
  </si>
  <si>
    <t>FULLHART, Yves</t>
  </si>
  <si>
    <t>MOULART, Antoine</t>
  </si>
  <si>
    <t>LAURIAT, Boris</t>
  </si>
  <si>
    <t>ABOURIZK, Saad</t>
  </si>
  <si>
    <t>DESPATURES, Eric</t>
  </si>
  <si>
    <t>PLISSON, Jeremy</t>
  </si>
  <si>
    <t>HUET, Philippe</t>
  </si>
  <si>
    <t>DEGRAVE, Alain</t>
  </si>
  <si>
    <t>OUDAR, Simon</t>
  </si>
  <si>
    <t>BERGOT, Christian</t>
  </si>
  <si>
    <t>DHUYVETTER, Joel</t>
  </si>
  <si>
    <t>SOM, Sun Sreng</t>
  </si>
  <si>
    <t>VAUTHIER, Bruno</t>
  </si>
  <si>
    <t>BARATIN, Fabrice</t>
  </si>
  <si>
    <t>WEENS, Simon</t>
  </si>
  <si>
    <t>NYS, Jean-Robert</t>
  </si>
  <si>
    <t>DESSOBRY, Gerard</t>
  </si>
  <si>
    <t>DUMETZ, Andre</t>
  </si>
  <si>
    <t>KURZYDLO, Eric</t>
  </si>
  <si>
    <t>CONSTANTIN, Patrick</t>
  </si>
  <si>
    <t>ONRAET, Philippe</t>
  </si>
  <si>
    <t>DHUYVETTER, Timothy</t>
  </si>
  <si>
    <t>DEFOURNEAU, Christophe</t>
  </si>
  <si>
    <t>VASSEUR, Jean-Paul</t>
  </si>
  <si>
    <t>BARRET, Arnaud</t>
  </si>
  <si>
    <t>DUCAMP, Sylvie</t>
  </si>
  <si>
    <t>GABRIELS, Christine</t>
  </si>
  <si>
    <t>LASCOMBE, Elody</t>
  </si>
  <si>
    <t>DECUYPERE, Sandrina</t>
  </si>
  <si>
    <t>Calcul du Tour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</si>
</sst>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i/>
      <sz val="8"/>
      <color rgb="FF000000"/>
      <name val="Calibri"/>
      <family val="2"/>
    </font>
    <font>
      <b/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2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5" fillId="0" borderId="0" xfId="0" applyFont="1"/>
    <xf numFmtId="0" fontId="0" fillId="21" borderId="46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7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29" xfId="0" applyBorder="1"/>
    <xf numFmtId="0" fontId="0" fillId="0" borderId="49" xfId="0" applyBorder="1"/>
    <xf numFmtId="0" fontId="0" fillId="0" borderId="48" xfId="0" applyBorder="1"/>
    <xf numFmtId="0" fontId="0" fillId="0" borderId="30" xfId="0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50" xfId="0" applyFill="1" applyBorder="1"/>
    <xf numFmtId="0" fontId="0" fillId="13" borderId="3" xfId="0" applyFill="1" applyBorder="1"/>
    <xf numFmtId="0" fontId="0" fillId="13" borderId="5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58" xfId="0" applyFill="1" applyBorder="1" applyAlignment="1">
      <alignment horizontal="left"/>
    </xf>
    <xf numFmtId="0" fontId="0" fillId="13" borderId="51" xfId="0" applyFill="1" applyBorder="1" applyAlignment="1">
      <alignment horizontal="left" vertical="center"/>
    </xf>
    <xf numFmtId="0" fontId="1" fillId="13" borderId="48" xfId="0" applyFont="1" applyFill="1" applyBorder="1" applyAlignment="1">
      <alignment horizontal="center"/>
    </xf>
    <xf numFmtId="0" fontId="1" fillId="13" borderId="50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5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0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0" xfId="0" applyFont="1" applyFill="1" applyBorder="1" applyAlignment="1">
      <alignment horizontal="center" vertical="center"/>
    </xf>
    <xf numFmtId="0" fontId="17" fillId="22" borderId="55" xfId="0" applyFont="1" applyFill="1" applyBorder="1" applyAlignment="1">
      <alignment horizontal="center" vertical="center"/>
    </xf>
    <xf numFmtId="0" fontId="17" fillId="22" borderId="51" xfId="0" applyFont="1" applyFill="1" applyBorder="1" applyAlignment="1">
      <alignment horizontal="center" vertical="center"/>
    </xf>
    <xf numFmtId="0" fontId="0" fillId="23" borderId="52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5" xfId="0" applyFill="1" applyBorder="1" applyAlignment="1">
      <alignment horizontal="left" vertical="center"/>
    </xf>
    <xf numFmtId="0" fontId="0" fillId="23" borderId="49" xfId="0" applyFill="1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2712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22" fmlaLink="TourSelected" fmlaRange="ListTours" sel="2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22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5" y="1238571"/>
          <a:ext cx="4139597" cy="1224218"/>
          <a:chOff x="8439149" y="1257299"/>
          <a:chExt cx="4581527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06"/>
            <a:ext cx="4533904" cy="1200152"/>
            <a:chOff x="7698064" y="870453"/>
            <a:chExt cx="3897983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2" cy="342901"/>
              <a:chOff x="7724775" y="1535061"/>
              <a:chExt cx="3871272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833" cy="333376"/>
                <a:chOff x="7724775" y="1544583"/>
                <a:chExt cx="1790833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833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673" y="1535061"/>
                <a:ext cx="1596374" cy="342901"/>
                <a:chOff x="9999673" y="1535061"/>
                <a:chExt cx="1596374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673" y="1535061"/>
                      <a:ext cx="1596374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2711" tableBorderDxfId="2710">
  <tableColumns count="4">
    <tableColumn id="1" xr3:uid="{86185E31-EC52-4ECC-BC3E-33C26B14F7C2}" name="Series" dataDxfId="2709">
      <calculatedColumnFormula>_xlfn.CONCAT($V$7," ",V8)</calculatedColumnFormula>
    </tableColumn>
    <tableColumn id="2" xr3:uid="{788D8AF7-A2FF-4152-9FEC-3D734C94A926}" name="Serie" dataDxfId="2708"/>
    <tableColumn id="3" xr3:uid="{98F42830-BCA0-414B-9FEF-78FCD5DB348B}" name="indexMin" dataDxfId="2707"/>
    <tableColumn id="4" xr3:uid="{E4B94243-8BBE-45E2-AAC0-0D18C5A6695E}" name="indexMax" dataDxfId="270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2705" dataDxfId="2703" headerRowBorderDxfId="2704" tableBorderDxfId="2702">
  <tableColumns count="1">
    <tableColumn id="1" xr3:uid="{8473C081-0E42-4FA9-8C99-E5B7E8CD3209}" name="Tours" dataDxfId="270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2700" headerRowBorderDxfId="2699" tableBorderDxfId="2698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2697" dataDxfId="2696" tableBorderDxfId="2695">
  <autoFilter ref="D12:F13" xr:uid="{FCA0E9AA-8BD9-46EB-B07B-67F06EACCB48}"/>
  <tableColumns count="3">
    <tableColumn id="1" xr3:uid="{47561816-2B53-47F6-822E-269C476F3FFD}" name="Tour importé" dataDxfId="2694"/>
    <tableColumn id="2" xr3:uid="{E2C3F515-D8A3-4FC2-B632-32DB6D91A198}" name="Type" dataDxfId="2693">
      <calculatedColumnFormula>INDEX(TableauType[TYPE],Tableau6[[#This Row],[TypeIndex]])</calculatedColumnFormula>
    </tableColumn>
    <tableColumn id="3" xr3:uid="{617E6B65-5E58-4C9B-9DC4-488608A74753}" name="TypeIndex" dataDxfId="2692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2691" dataDxfId="2690">
  <autoFilter ref="AD7:AD15" xr:uid="{9029752C-EFC9-4C60-BDF1-B009EF2F440D}"/>
  <tableColumns count="1">
    <tableColumn id="1" xr3:uid="{47EFDC89-116E-4E91-94A2-C4CDC0579100}" name="Fichiers" dataDxfId="268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2688" headerRowBorderDxfId="2687" tableBorderDxfId="2686" totalsRowBorderDxfId="2685">
  <autoFilter ref="U18:V22" xr:uid="{BBFFD128-4797-4BD5-B581-AA8D8277F8F3}"/>
  <tableColumns count="2">
    <tableColumn id="1" xr3:uid="{903026A3-43DC-4900-8F6E-2271BCA97B81}" name="Colonne1" dataDxfId="2684"/>
    <tableColumn id="2" xr3:uid="{C9FC1671-8A12-4C52-9797-E5DB3A7B67E7}" name="Colonne2" dataDxfId="2683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682" tableBorderDxfId="2681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680"/>
    <tableColumn id="2" xr3:uid="{ECBEFB46-CF2E-4172-8E5C-37DBEC25E1AE}" name="Club" dataDxfId="2679"/>
    <tableColumn id="3" xr3:uid="{FBA83F7F-D4E7-4A15-99EC-CE8D436D7EB3}" name="Index" dataDxfId="2678"/>
    <tableColumn id="4" xr3:uid="{0090B21E-C7ED-4CC4-A4C8-7AED1146F2F9}" name="Série" dataDxfId="2677"/>
    <tableColumn id="5" xr3:uid="{7D4E8E6A-E590-441A-A2B5-664E220061CC}" name="Score     Net1" dataDxfId="2676"/>
    <tableColumn id="6" xr3:uid="{84241967-A195-4D05-9846-F0E084774539}" name="Rang   Net1" dataDxfId="2675"/>
    <tableColumn id="7" xr3:uid="{F27CD3EA-D421-4623-93DF-5DFCAA423771}" name="Score    Brut1" dataDxfId="2674"/>
    <tableColumn id="8" xr3:uid="{62D1F21B-032A-484B-BC39-395CC4756A54}" name="Rang   Brut1" dataDxfId="2673"/>
    <tableColumn id="9" xr3:uid="{D3289CF1-FAC6-4CC0-B2B6-80CBB0406845}" name="Score      Net2" dataDxfId="2672"/>
    <tableColumn id="10" xr3:uid="{2F18A068-FD19-4313-83C9-0AB3AA88EE3F}" name="Rang      Net2" dataDxfId="2671"/>
    <tableColumn id="11" xr3:uid="{A7248FAA-403B-4BFE-B0D4-859E30DE4A95}" name="Score      Brut2" dataDxfId="2670"/>
    <tableColumn id="12" xr3:uid="{4F6F4506-16A0-4352-A12B-8992CD80B9B6}" name="Rang      Brut2" dataDxfId="2669"/>
    <tableColumn id="13" xr3:uid="{68CAD2A6-712A-4B66-A7A3-D58BF5303438}" name="Score      Net3" dataDxfId="2668"/>
    <tableColumn id="14" xr3:uid="{9F172573-6C25-46FC-BE9F-F56834E813D9}" name="Rang      Net3" dataDxfId="2667"/>
    <tableColumn id="15" xr3:uid="{618A094F-BB99-4883-A19C-4EBA6E699BCF}" name="Score      Brut3" dataDxfId="2666"/>
    <tableColumn id="16" xr3:uid="{0E544C66-61C9-46D5-A427-A9677AE96910}" name="Rang      Brut3" dataDxfId="2665"/>
    <tableColumn id="17" xr3:uid="{24730B87-D2CD-487D-99BD-EACD109C443F}" name="Score        Net4" dataDxfId="2664"/>
    <tableColumn id="18" xr3:uid="{F0B85087-E217-4534-9BC7-B04BDDCCA8B9}" name="Rang        Net4" dataDxfId="2663"/>
    <tableColumn id="19" xr3:uid="{7DDCD1A6-A182-48A1-9F3F-836B917D0B07}" name="Score        Brut4" dataDxfId="2662"/>
    <tableColumn id="20" xr3:uid="{8EABA2E9-9ADA-4192-8BB2-2F58072A8E01}" name="Rang        Brut4" dataDxfId="2661"/>
    <tableColumn id="21" xr3:uid="{79E31DB6-4982-4160-9B1D-20DE3F5E1BB8}" name="Score        Net5" dataDxfId="2660"/>
    <tableColumn id="22" xr3:uid="{DB589AF3-34B3-447A-A354-D474E90FDB4F}" name="Rang        Net5" dataDxfId="2659"/>
    <tableColumn id="23" xr3:uid="{EC9FE005-CE9F-448B-81FE-28EDD1A971F9}" name="Score        Brut5" dataDxfId="2658"/>
    <tableColumn id="24" xr3:uid="{220294A2-C79D-45F3-9AE5-D46451BBF584}" name="Rang        Brut5" dataDxfId="2657"/>
    <tableColumn id="25" xr3:uid="{A772CA9D-C689-4C9F-9855-E6A692839D23}" name="Score        Net6" dataDxfId="2656"/>
    <tableColumn id="26" xr3:uid="{D2589416-857A-4C41-AC6D-96D41817DEC7}" name="Rang        Net6" dataDxfId="2655"/>
    <tableColumn id="27" xr3:uid="{27ADC7D0-24DE-4505-9913-856D8DE338A9}" name="Score        Brut6" dataDxfId="2654"/>
    <tableColumn id="28" xr3:uid="{ABDBDCB4-7B27-49F8-BC7A-7843BC9FF7A5}" name="Rang        Brut6" dataDxfId="2653"/>
    <tableColumn id="29" xr3:uid="{941D9336-449B-439E-B469-314E549EA186}" name="Score Net Max" dataDxfId="2652">
      <calculatedColumnFormula>IF(MIN(F4,J4,N4,R4,V4,Z4)&lt;&gt;0,MIN(F4,J4,N4,R4,V4,Z4),"")</calculatedColumnFormula>
    </tableColumn>
    <tableColumn id="30" xr3:uid="{90574FCA-077D-4C2D-95A6-25042040131A}" name="Score Brut Max" dataDxfId="2651">
      <calculatedColumnFormula>IF(MIN(H4,L4,P4,T4,X4,AB4)&lt;&gt;0,MIN(H4,L4,P4,T4,X4,AB4),"")</calculatedColumnFormula>
    </tableColumn>
    <tableColumn id="31" xr3:uid="{7D46739F-AA9F-4F4C-8559-42672BDC3359}" name="Score Net Finale" dataDxfId="2650"/>
    <tableColumn id="32" xr3:uid="{11EAF1CA-8CD4-40A4-91A3-87D38FCF3433}" name="Rang Net Finale" dataDxfId="2649"/>
    <tableColumn id="33" xr3:uid="{66A96B4D-B263-479C-A036-CA0A68FB1450}" name="Score Brut Finale" dataDxfId="2648"/>
    <tableColumn id="34" xr3:uid="{AB46E898-F45B-460F-A38E-C5A2BFD53000}" name="Rang Brut Finale" dataDxfId="2647"/>
    <tableColumn id="35" xr3:uid="{E7B91838-CDE0-4965-B3BE-53C906009CF4}" name="Score Net LGS" dataDxfId="2646">
      <calculatedColumnFormula>IF(AD4="","",IF(ISBLANK(AF4),"En cours",AD4+AF4))</calculatedColumnFormula>
    </tableColumn>
    <tableColumn id="36" xr3:uid="{2A90CEF2-3F60-4761-BD52-022404B7522C}" name="Score Brut LGS" dataDxfId="2645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2644" tableBorderDxfId="26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2642"/>
    <tableColumn id="2" xr3:uid="{6DF6013E-11A9-4F6E-B527-4EB5242D32FC}" name="Club" dataDxfId="2641"/>
    <tableColumn id="3" xr3:uid="{809481FC-1207-4212-8E64-39319F31B86C}" name="Index" dataDxfId="2640"/>
    <tableColumn id="4" xr3:uid="{61BCE2E5-DC5C-48C2-BA39-6573DBA32351}" name="Série" dataDxfId="2639"/>
    <tableColumn id="5" xr3:uid="{5210E73B-D34C-4FAE-A187-64170B309A2C}" name="Score     Net1" dataDxfId="2638"/>
    <tableColumn id="6" xr3:uid="{0C146610-8133-4769-A4EC-4AF4A9EB4EEA}" name="Rang   Net1" dataDxfId="2637"/>
    <tableColumn id="7" xr3:uid="{DC3B3441-4412-46B5-8015-7E44D9FF0A16}" name="Score    Brut1" dataDxfId="2636"/>
    <tableColumn id="8" xr3:uid="{780A2D1B-C1E0-4E66-A641-80609193E5ED}" name="Rang   Brut1" dataDxfId="2635"/>
    <tableColumn id="9" xr3:uid="{A286DE62-5493-4750-8D3A-4E0268951135}" name="Score      Net2" dataDxfId="2634"/>
    <tableColumn id="10" xr3:uid="{9AA9E923-19AE-4E9C-B03E-6CCB420B0DE0}" name="Rang      Net2" dataDxfId="2633"/>
    <tableColumn id="11" xr3:uid="{13D9FCED-A177-4823-BBF5-CB6BBFD92170}" name="Score      Brut2" dataDxfId="2632"/>
    <tableColumn id="12" xr3:uid="{AE79BCC0-99C9-4A29-85F9-06518743CC41}" name="Rang      Brut2" dataDxfId="2631"/>
    <tableColumn id="13" xr3:uid="{6260EBE1-C4F8-4892-8111-6848B59FFDDC}" name="Score      Net3" dataDxfId="2630"/>
    <tableColumn id="14" xr3:uid="{70D3C91B-53A9-4C67-AA7C-86DB6FCC84EA}" name="Rang      Net3" dataDxfId="2629"/>
    <tableColumn id="15" xr3:uid="{316ABADB-80DF-4341-9456-B07A916EE828}" name="Score      Brut3" dataDxfId="2628"/>
    <tableColumn id="16" xr3:uid="{5F33B9A2-6C2B-44A9-B727-D955FDD7A57E}" name="Rang      Brut3" dataDxfId="2627"/>
    <tableColumn id="17" xr3:uid="{7405128E-0D40-44C5-B3B7-9098CE3F571B}" name="Score        Net4" dataDxfId="2626"/>
    <tableColumn id="18" xr3:uid="{57B1622B-69C7-4A1C-8967-6906A0E60401}" name="Rang        Net4" dataDxfId="2625"/>
    <tableColumn id="19" xr3:uid="{765D8E18-32EC-4D78-B6D5-C889630A0B4D}" name="Score        Brut4" dataDxfId="2624"/>
    <tableColumn id="20" xr3:uid="{F9E9BC2E-A9E0-415E-92F8-F007D70D402D}" name="Rang        Brut4" dataDxfId="2623"/>
    <tableColumn id="21" xr3:uid="{56B8C53B-2683-43AB-BA94-98D12846892B}" name="Score        Net5" dataDxfId="2622"/>
    <tableColumn id="22" xr3:uid="{CEE64EB1-2B37-4BE8-AD6C-F73635777200}" name="Rang        Net5" dataDxfId="2621"/>
    <tableColumn id="23" xr3:uid="{08967303-5AA9-43EB-A7B1-57000258446B}" name="Score        Brut5" dataDxfId="2620"/>
    <tableColumn id="24" xr3:uid="{8200C06D-A6A7-4584-BCE4-DE94947CAA08}" name="Rang        Brut5" dataDxfId="2619"/>
    <tableColumn id="25" xr3:uid="{E363B218-F04E-4259-A65F-BE04FA1C15B3}" name="Score        Net6" dataDxfId="2618"/>
    <tableColumn id="26" xr3:uid="{EC92842C-B321-4087-AA25-F376E0579048}" name="Rang        Net6" dataDxfId="2617"/>
    <tableColumn id="27" xr3:uid="{3EF61377-66C7-4D60-AF65-BAFD2DD291D8}" name="Score        Brut6" dataDxfId="2616"/>
    <tableColumn id="28" xr3:uid="{251BB10E-2B2F-4B4A-8805-D7C49FF7D091}" name="Rang        Brut6" dataDxfId="2615"/>
    <tableColumn id="29" xr3:uid="{937492D8-E20B-486F-B289-5EBB929EA97E}" name="Score Net Max" dataDxfId="2614">
      <calculatedColumnFormula>IF(MIN(F4,J4,N4,R4,V4,Z4)&lt;&gt;0,MIN(F4,J4,N4,R4,V4,Z4),"")</calculatedColumnFormula>
    </tableColumn>
    <tableColumn id="30" xr3:uid="{BFCE7449-4F11-49CA-B00B-6CF4C21DE23E}" name="Score Brut Max" dataDxfId="2613">
      <calculatedColumnFormula>IF(MIN(H4,L4,P4,T4,X4,AB4)&lt;&gt;0,MIN(H4,L4,P4,T4,X4,AB4),"")</calculatedColumnFormula>
    </tableColumn>
    <tableColumn id="31" xr3:uid="{061F8C59-D91F-49DB-89E4-FD5BF5DEA2BE}" name="Score Net Finale" dataDxfId="2612"/>
    <tableColumn id="32" xr3:uid="{47CCF636-B700-4893-BB69-C5F49188A737}" name="Rang Net Finale" dataDxfId="2611"/>
    <tableColumn id="33" xr3:uid="{34BE4EC2-EAC1-40DC-82EA-B21BFA645C43}" name="Score Brut Finale" dataDxfId="2610"/>
    <tableColumn id="34" xr3:uid="{B4CC10FB-AE7D-4F7B-B5E6-A21DFBD43F7A}" name="Rang Brut Finale" dataDxfId="2609"/>
    <tableColumn id="35" xr3:uid="{2A85E5CE-D8F3-4ABA-BB20-EF4EC4E5400C}" name="Score Net LGS" dataDxfId="2608">
      <calculatedColumnFormula>IF(AD4="","",IF(ISBLANK(AF4),"En cours",AD4+AF4))</calculatedColumnFormula>
    </tableColumn>
    <tableColumn id="36" xr3:uid="{E2505702-E088-4E30-97F4-10F7B06362C7}" name="Score Brut LGS" dataDxfId="260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13" totalsRowShown="0" headerRowDxfId="2606" dataDxfId="2605">
  <autoFilter ref="B4:F13" xr:uid="{BEE036B7-08A7-43AF-AC9F-62B639BE2327}"/>
  <tableColumns count="5">
    <tableColumn id="1" xr3:uid="{07F0EE21-57C5-4450-A337-C4E93B37093B}" name="type" dataDxfId="2604"/>
    <tableColumn id="4" xr3:uid="{5D76DE16-D7AC-47BB-8E5C-7D62535B0C45}" name="joueurs" dataDxfId="2603"/>
    <tableColumn id="6" xr3:uid="{AAEF716B-5939-451B-9370-6D6F4B67A6B4}" name="feuille" dataDxfId="2602"/>
    <tableColumn id="2" xr3:uid="{15443A43-A7C3-4E12-8B5A-8DC832EBEFF5}" name="reference" dataDxfId="2601"/>
    <tableColumn id="3" xr3:uid="{C5F94F07-C4F6-41F7-9201-803FDABD5D1F}" name="date" dataDxfId="260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/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86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1</v>
      </c>
      <c r="F3" s="57"/>
      <c r="G3" s="56"/>
      <c r="H3" s="56"/>
      <c r="I3" s="56"/>
      <c r="J3" s="56"/>
      <c r="K3" s="56">
        <f>COUNTA($K$17:$K$7702)</f>
        <v>86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0" t="s">
        <v>81</v>
      </c>
      <c r="Q5" s="171"/>
      <c r="R5" s="172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2" t="s">
        <v>29</v>
      </c>
      <c r="D6" s="153"/>
      <c r="E6" s="157" t="s">
        <v>0</v>
      </c>
      <c r="F6" s="151"/>
      <c r="G6" s="25"/>
      <c r="H6" s="25"/>
      <c r="I6" s="25"/>
      <c r="J6" s="28"/>
      <c r="L6" s="33"/>
      <c r="M6" s="34"/>
      <c r="N6" s="35"/>
      <c r="P6" s="173">
        <f>IF(Tableau6[Type]=INDEX(TableauType[],1),U19,V19)</f>
        <v>0</v>
      </c>
      <c r="Q6" s="174"/>
      <c r="R6" s="17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55"/>
      <c r="E7" s="25"/>
      <c r="F7" s="25"/>
      <c r="G7" s="25"/>
      <c r="H7" s="25"/>
      <c r="I7" s="25"/>
      <c r="J7" s="28"/>
      <c r="L7" s="36"/>
      <c r="M7" s="37"/>
      <c r="N7" s="38"/>
      <c r="P7" s="176" t="str">
        <f>IF(Tableau6[Type]=INDEX(TableauType[],1),U20,V20)</f>
        <v>export_DAME_Net_12.xlsx</v>
      </c>
      <c r="Q7" s="177"/>
      <c r="R7" s="178"/>
      <c r="T7" s="23"/>
      <c r="U7" s="12" t="s">
        <v>12</v>
      </c>
      <c r="V7" s="107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97" t="s">
        <v>75</v>
      </c>
      <c r="AC7" s="25"/>
      <c r="AD7" s="106" t="s">
        <v>80</v>
      </c>
      <c r="AE7" s="28"/>
    </row>
    <row r="8" spans="1:31" ht="15.75" thickBot="1" x14ac:dyDescent="0.3">
      <c r="C8" s="45"/>
      <c r="D8" s="154"/>
      <c r="E8" s="25"/>
      <c r="F8" s="151"/>
      <c r="G8" s="25"/>
      <c r="H8" s="25"/>
      <c r="I8" s="25"/>
      <c r="J8" s="28"/>
      <c r="L8" s="49"/>
      <c r="M8" s="50"/>
      <c r="N8" s="51"/>
      <c r="P8" s="179" t="str">
        <f>IF(Tableau6[Type]=INDEX(TableauType[],1),U21,V21)</f>
        <v>export_DAME_Brut_34.xlsx</v>
      </c>
      <c r="Q8" s="180"/>
      <c r="R8" s="181"/>
      <c r="T8" s="23"/>
      <c r="U8" s="111" t="str">
        <f>_xlfn.CONCAT($V$7," ",V8)</f>
        <v>Serie 1</v>
      </c>
      <c r="V8" s="108">
        <v>1</v>
      </c>
      <c r="W8" s="6">
        <v>0</v>
      </c>
      <c r="X8" s="10">
        <v>11.4</v>
      </c>
      <c r="Y8" s="25"/>
      <c r="Z8" s="16">
        <v>1</v>
      </c>
      <c r="AA8" s="25"/>
      <c r="AB8" s="96" t="s">
        <v>73</v>
      </c>
      <c r="AC8" s="25"/>
      <c r="AD8" s="105"/>
      <c r="AE8" s="28"/>
    </row>
    <row r="9" spans="1:31" ht="15.75" thickBot="1" x14ac:dyDescent="0.3">
      <c r="C9" s="44"/>
      <c r="D9" s="155"/>
      <c r="E9" s="25"/>
      <c r="F9" s="151"/>
      <c r="G9" s="25"/>
      <c r="H9" s="25"/>
      <c r="I9" s="25"/>
      <c r="J9" s="28"/>
      <c r="L9" s="36"/>
      <c r="M9" s="37"/>
      <c r="N9" s="38"/>
      <c r="P9" s="182" t="str">
        <f>IF(Tableau6[Type]=INDEX(TableauType[],1),U22,V22)</f>
        <v>export_DAME_Net_34.xlsx</v>
      </c>
      <c r="Q9" s="183"/>
      <c r="R9" s="184"/>
      <c r="T9" s="23"/>
      <c r="U9" s="112" t="str">
        <f>_xlfn.CONCAT($V$7," ",V9)</f>
        <v>Serie 2</v>
      </c>
      <c r="V9" s="109">
        <v>2</v>
      </c>
      <c r="W9" s="8">
        <v>11.5</v>
      </c>
      <c r="X9" s="11">
        <v>18.399999999999999</v>
      </c>
      <c r="Y9" s="25"/>
      <c r="Z9" s="17">
        <v>2</v>
      </c>
      <c r="AA9" s="25"/>
      <c r="AB9" s="98" t="s">
        <v>74</v>
      </c>
      <c r="AC9" s="25"/>
      <c r="AD9" s="17"/>
      <c r="AE9" s="28"/>
    </row>
    <row r="10" spans="1:31" ht="41.25" customHeight="1" thickBot="1" x14ac:dyDescent="0.3">
      <c r="C10" s="156" t="s">
        <v>101</v>
      </c>
      <c r="D10" s="154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2" t="str">
        <f>_xlfn.CONCAT($V$7," ",V10)</f>
        <v>Serie 3</v>
      </c>
      <c r="V10" s="109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05"/>
      <c r="AE10" s="28"/>
    </row>
    <row r="11" spans="1:31" x14ac:dyDescent="0.25">
      <c r="T11" s="23"/>
      <c r="U11" s="112" t="str">
        <f>_xlfn.CONCAT($V$7," ",V11)</f>
        <v>Serie 4</v>
      </c>
      <c r="V11" s="109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99" t="s">
        <v>30</v>
      </c>
      <c r="E12" s="100" t="s">
        <v>76</v>
      </c>
      <c r="F12" s="101" t="s">
        <v>77</v>
      </c>
      <c r="T12" s="23"/>
      <c r="U12" s="112" t="str">
        <f>_xlfn.CONCAT($V$7," ",V12)</f>
        <v>Serie 5</v>
      </c>
      <c r="V12" s="110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05"/>
      <c r="AE12" s="28"/>
    </row>
    <row r="13" spans="1:31" ht="15.75" x14ac:dyDescent="0.25">
      <c r="D13" s="102">
        <v>2</v>
      </c>
      <c r="E13" s="103" t="str">
        <f>INDEX(TableauType[TYPE],Tableau6[[#This Row],[TypeIndex]])</f>
        <v>DAME</v>
      </c>
      <c r="F13" s="104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05"/>
      <c r="AE14" s="28"/>
    </row>
    <row r="15" spans="1:31" ht="26.25" x14ac:dyDescent="0.25">
      <c r="B15" s="168" t="s">
        <v>1</v>
      </c>
      <c r="C15" s="168"/>
      <c r="D15" s="168"/>
      <c r="E15" s="168"/>
      <c r="F15" s="168"/>
      <c r="G15" s="168"/>
      <c r="H15" s="168"/>
      <c r="I15" s="168"/>
      <c r="K15" s="169" t="s">
        <v>2</v>
      </c>
      <c r="L15" s="169"/>
      <c r="M15" s="169"/>
      <c r="N15" s="169"/>
      <c r="O15" s="169"/>
      <c r="P15" s="169"/>
      <c r="Q15" s="169"/>
      <c r="R15" s="16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2:31" ht="15.75" thickBot="1" x14ac:dyDescent="0.3">
      <c r="B17">
        <v>2</v>
      </c>
      <c r="C17">
        <v>1</v>
      </c>
      <c r="D17" t="s">
        <v>111</v>
      </c>
      <c r="E17" t="s">
        <v>105</v>
      </c>
      <c r="F17">
        <v>8.3000000000000007</v>
      </c>
      <c r="G17">
        <v>1</v>
      </c>
      <c r="H17">
        <v>67</v>
      </c>
      <c r="I17" t="s">
        <v>94</v>
      </c>
      <c r="K17">
        <v>2</v>
      </c>
      <c r="L17">
        <v>1</v>
      </c>
      <c r="M17" t="s">
        <v>111</v>
      </c>
      <c r="N17" t="s">
        <v>105</v>
      </c>
      <c r="O17">
        <v>8.3000000000000007</v>
      </c>
      <c r="P17">
        <v>1</v>
      </c>
      <c r="Q17">
        <v>77</v>
      </c>
      <c r="R17" t="s">
        <v>94</v>
      </c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2:31" ht="15.75" thickBot="1" x14ac:dyDescent="0.3">
      <c r="B18">
        <v>2</v>
      </c>
      <c r="C18">
        <v>2</v>
      </c>
      <c r="D18" t="s">
        <v>118</v>
      </c>
      <c r="E18" t="s">
        <v>105</v>
      </c>
      <c r="F18">
        <v>10.8</v>
      </c>
      <c r="G18">
        <v>1</v>
      </c>
      <c r="H18">
        <v>69</v>
      </c>
      <c r="I18" t="s">
        <v>94</v>
      </c>
      <c r="K18">
        <v>2</v>
      </c>
      <c r="L18">
        <v>2</v>
      </c>
      <c r="M18" t="s">
        <v>115</v>
      </c>
      <c r="N18" t="s">
        <v>105</v>
      </c>
      <c r="O18">
        <v>6.6</v>
      </c>
      <c r="P18">
        <v>1</v>
      </c>
      <c r="Q18">
        <v>80</v>
      </c>
      <c r="R18" t="s">
        <v>94</v>
      </c>
      <c r="T18" s="23"/>
      <c r="U18" s="113" t="s">
        <v>89</v>
      </c>
      <c r="V18" s="114" t="s">
        <v>90</v>
      </c>
      <c r="W18" s="25"/>
      <c r="X18" s="165" t="s">
        <v>98</v>
      </c>
      <c r="Y18" s="166"/>
      <c r="Z18" s="166"/>
      <c r="AA18" s="166"/>
      <c r="AB18" s="167"/>
      <c r="AC18" s="25"/>
      <c r="AD18" s="25"/>
      <c r="AE18" s="28"/>
    </row>
    <row r="19" spans="2:31" x14ac:dyDescent="0.25">
      <c r="B19">
        <v>2</v>
      </c>
      <c r="C19">
        <v>3</v>
      </c>
      <c r="D19" t="s">
        <v>213</v>
      </c>
      <c r="E19" t="s">
        <v>105</v>
      </c>
      <c r="F19">
        <v>11.2</v>
      </c>
      <c r="G19">
        <v>1</v>
      </c>
      <c r="H19">
        <v>71</v>
      </c>
      <c r="I19" t="s">
        <v>94</v>
      </c>
      <c r="K19">
        <v>2</v>
      </c>
      <c r="L19">
        <v>3</v>
      </c>
      <c r="M19" t="s">
        <v>212</v>
      </c>
      <c r="N19" t="s">
        <v>105</v>
      </c>
      <c r="O19">
        <v>6.4</v>
      </c>
      <c r="P19">
        <v>1</v>
      </c>
      <c r="Q19">
        <v>80</v>
      </c>
      <c r="R19" t="s">
        <v>94</v>
      </c>
      <c r="T19" s="23"/>
      <c r="U19" s="5"/>
      <c r="V19" s="115"/>
      <c r="W19" s="25"/>
      <c r="X19" s="123" t="s">
        <v>94</v>
      </c>
      <c r="Y19" s="121"/>
      <c r="Z19" s="121" t="s">
        <v>92</v>
      </c>
      <c r="AA19" s="121"/>
      <c r="AB19" s="122"/>
      <c r="AC19" s="25"/>
      <c r="AD19" s="25"/>
      <c r="AE19" s="28"/>
    </row>
    <row r="20" spans="2:31" ht="15.75" thickBot="1" x14ac:dyDescent="0.3">
      <c r="B20">
        <v>2</v>
      </c>
      <c r="C20">
        <v>4</v>
      </c>
      <c r="D20" t="s">
        <v>120</v>
      </c>
      <c r="E20" t="s">
        <v>105</v>
      </c>
      <c r="F20">
        <v>7.6</v>
      </c>
      <c r="G20">
        <v>1</v>
      </c>
      <c r="H20">
        <v>72</v>
      </c>
      <c r="I20" t="s">
        <v>94</v>
      </c>
      <c r="K20">
        <v>2</v>
      </c>
      <c r="L20">
        <v>4</v>
      </c>
      <c r="M20" t="s">
        <v>120</v>
      </c>
      <c r="N20" t="s">
        <v>105</v>
      </c>
      <c r="O20">
        <v>7.6</v>
      </c>
      <c r="P20">
        <v>1</v>
      </c>
      <c r="Q20">
        <v>81</v>
      </c>
      <c r="R20" t="s">
        <v>94</v>
      </c>
      <c r="T20" s="23"/>
      <c r="U20" s="7" t="s">
        <v>83</v>
      </c>
      <c r="V20" s="116" t="s">
        <v>84</v>
      </c>
      <c r="W20" s="25"/>
      <c r="X20" s="124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2:31" ht="15.75" thickBot="1" x14ac:dyDescent="0.3">
      <c r="B21">
        <v>2</v>
      </c>
      <c r="C21">
        <v>5</v>
      </c>
      <c r="D21" t="s">
        <v>115</v>
      </c>
      <c r="E21" t="s">
        <v>105</v>
      </c>
      <c r="F21">
        <v>6.6</v>
      </c>
      <c r="G21">
        <v>1</v>
      </c>
      <c r="H21">
        <v>72</v>
      </c>
      <c r="I21" t="s">
        <v>94</v>
      </c>
      <c r="K21">
        <v>2</v>
      </c>
      <c r="L21">
        <v>5</v>
      </c>
      <c r="M21" t="s">
        <v>118</v>
      </c>
      <c r="N21" t="s">
        <v>105</v>
      </c>
      <c r="O21">
        <v>10.8</v>
      </c>
      <c r="P21">
        <v>1</v>
      </c>
      <c r="Q21">
        <v>82</v>
      </c>
      <c r="R21" t="s">
        <v>94</v>
      </c>
      <c r="T21" s="23"/>
      <c r="U21" s="7" t="s">
        <v>85</v>
      </c>
      <c r="V21" s="116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2:31" ht="15.75" thickBot="1" x14ac:dyDescent="0.3">
      <c r="B22">
        <v>2</v>
      </c>
      <c r="C22">
        <v>6</v>
      </c>
      <c r="D22" t="s">
        <v>212</v>
      </c>
      <c r="E22" t="s">
        <v>105</v>
      </c>
      <c r="F22">
        <v>6.4</v>
      </c>
      <c r="G22">
        <v>1</v>
      </c>
      <c r="H22">
        <v>72</v>
      </c>
      <c r="I22" t="s">
        <v>94</v>
      </c>
      <c r="K22">
        <v>2</v>
      </c>
      <c r="L22">
        <v>6</v>
      </c>
      <c r="M22" t="s">
        <v>213</v>
      </c>
      <c r="N22" t="s">
        <v>105</v>
      </c>
      <c r="O22">
        <v>11.2</v>
      </c>
      <c r="P22">
        <v>1</v>
      </c>
      <c r="Q22">
        <v>85</v>
      </c>
      <c r="R22" t="s">
        <v>94</v>
      </c>
      <c r="T22" s="23"/>
      <c r="U22" s="117" t="s">
        <v>87</v>
      </c>
      <c r="V22" s="118" t="s">
        <v>88</v>
      </c>
      <c r="W22" s="25"/>
      <c r="X22" s="165" t="s">
        <v>99</v>
      </c>
      <c r="Y22" s="166"/>
      <c r="Z22" s="166"/>
      <c r="AA22" s="166"/>
      <c r="AB22" s="167"/>
      <c r="AC22" s="25"/>
      <c r="AD22" s="25"/>
      <c r="AE22" s="28"/>
    </row>
    <row r="23" spans="2:31" ht="15.75" thickBot="1" x14ac:dyDescent="0.3">
      <c r="B23">
        <v>2</v>
      </c>
      <c r="C23">
        <v>7</v>
      </c>
      <c r="D23" t="s">
        <v>116</v>
      </c>
      <c r="E23" t="s">
        <v>105</v>
      </c>
      <c r="F23">
        <v>10.5</v>
      </c>
      <c r="G23">
        <v>1</v>
      </c>
      <c r="H23">
        <v>76</v>
      </c>
      <c r="I23" t="s">
        <v>94</v>
      </c>
      <c r="K23">
        <v>2</v>
      </c>
      <c r="L23">
        <v>7</v>
      </c>
      <c r="M23" t="s">
        <v>214</v>
      </c>
      <c r="N23" t="s">
        <v>105</v>
      </c>
      <c r="O23">
        <v>6.7</v>
      </c>
      <c r="P23">
        <v>1</v>
      </c>
      <c r="Q23">
        <v>87</v>
      </c>
      <c r="R23" t="s">
        <v>94</v>
      </c>
      <c r="T23" s="23"/>
      <c r="U23" s="25"/>
      <c r="V23" s="25"/>
      <c r="W23" s="25"/>
      <c r="X23" s="125" t="s">
        <v>96</v>
      </c>
      <c r="Y23" s="119"/>
      <c r="Z23" s="119" t="s">
        <v>97</v>
      </c>
      <c r="AA23" s="119"/>
      <c r="AB23" s="120"/>
      <c r="AC23" s="25"/>
      <c r="AD23" s="25"/>
      <c r="AE23" s="28"/>
    </row>
    <row r="24" spans="2:31" ht="15.75" thickBot="1" x14ac:dyDescent="0.3">
      <c r="B24">
        <v>2</v>
      </c>
      <c r="C24">
        <v>8</v>
      </c>
      <c r="D24" t="s">
        <v>121</v>
      </c>
      <c r="E24" t="s">
        <v>122</v>
      </c>
      <c r="F24">
        <v>11</v>
      </c>
      <c r="G24">
        <v>1</v>
      </c>
      <c r="H24">
        <v>77</v>
      </c>
      <c r="I24" t="s">
        <v>94</v>
      </c>
      <c r="K24">
        <v>2</v>
      </c>
      <c r="L24">
        <v>8</v>
      </c>
      <c r="M24" t="s">
        <v>116</v>
      </c>
      <c r="N24" t="s">
        <v>105</v>
      </c>
      <c r="O24">
        <v>10.5</v>
      </c>
      <c r="P24">
        <v>1</v>
      </c>
      <c r="Q24">
        <v>89</v>
      </c>
      <c r="R24" t="s">
        <v>94</v>
      </c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2:31" x14ac:dyDescent="0.25">
      <c r="B25">
        <v>2</v>
      </c>
      <c r="C25">
        <v>9</v>
      </c>
      <c r="D25" t="s">
        <v>214</v>
      </c>
      <c r="E25" t="s">
        <v>105</v>
      </c>
      <c r="F25">
        <v>6.7</v>
      </c>
      <c r="G25">
        <v>1</v>
      </c>
      <c r="H25">
        <v>79</v>
      </c>
      <c r="I25" t="s">
        <v>94</v>
      </c>
      <c r="K25">
        <v>2</v>
      </c>
      <c r="L25">
        <v>9</v>
      </c>
      <c r="M25" t="s">
        <v>121</v>
      </c>
      <c r="N25" t="s">
        <v>122</v>
      </c>
      <c r="O25">
        <v>11</v>
      </c>
      <c r="P25">
        <v>1</v>
      </c>
      <c r="Q25">
        <v>90</v>
      </c>
      <c r="R25" t="s">
        <v>94</v>
      </c>
    </row>
    <row r="26" spans="2:31" x14ac:dyDescent="0.25">
      <c r="B26">
        <v>2</v>
      </c>
      <c r="C26">
        <v>10</v>
      </c>
      <c r="D26" t="s">
        <v>215</v>
      </c>
      <c r="E26" t="s">
        <v>109</v>
      </c>
      <c r="F26">
        <v>7.2</v>
      </c>
      <c r="G26">
        <v>1</v>
      </c>
      <c r="H26">
        <v>85</v>
      </c>
      <c r="I26" t="s">
        <v>94</v>
      </c>
      <c r="K26">
        <v>2</v>
      </c>
      <c r="L26">
        <v>10</v>
      </c>
      <c r="M26" t="s">
        <v>215</v>
      </c>
      <c r="N26" t="s">
        <v>109</v>
      </c>
      <c r="O26">
        <v>7.2</v>
      </c>
      <c r="P26">
        <v>1</v>
      </c>
      <c r="Q26">
        <v>94</v>
      </c>
      <c r="R26" t="s">
        <v>94</v>
      </c>
    </row>
    <row r="27" spans="2:31" ht="15.75" thickBot="1" x14ac:dyDescent="0.3">
      <c r="B27">
        <v>2</v>
      </c>
      <c r="C27">
        <v>1</v>
      </c>
      <c r="D27" t="s">
        <v>219</v>
      </c>
      <c r="E27" t="s">
        <v>105</v>
      </c>
      <c r="F27">
        <v>18</v>
      </c>
      <c r="G27">
        <v>2</v>
      </c>
      <c r="H27">
        <v>70</v>
      </c>
      <c r="I27" t="s">
        <v>94</v>
      </c>
      <c r="K27">
        <v>2</v>
      </c>
      <c r="L27">
        <v>1</v>
      </c>
      <c r="M27" t="s">
        <v>126</v>
      </c>
      <c r="N27" t="s">
        <v>127</v>
      </c>
      <c r="O27">
        <v>14.2</v>
      </c>
      <c r="P27">
        <v>2</v>
      </c>
      <c r="Q27">
        <v>83</v>
      </c>
      <c r="R27" t="s">
        <v>94</v>
      </c>
    </row>
    <row r="28" spans="2:31" ht="15.75" thickBot="1" x14ac:dyDescent="0.3">
      <c r="B28">
        <v>2</v>
      </c>
      <c r="C28">
        <v>2</v>
      </c>
      <c r="D28" t="s">
        <v>126</v>
      </c>
      <c r="E28" t="s">
        <v>127</v>
      </c>
      <c r="F28">
        <v>14.2</v>
      </c>
      <c r="G28">
        <v>2</v>
      </c>
      <c r="H28">
        <v>70</v>
      </c>
      <c r="I28" t="s">
        <v>94</v>
      </c>
      <c r="K28">
        <v>2</v>
      </c>
      <c r="L28">
        <v>2</v>
      </c>
      <c r="M28" t="s">
        <v>216</v>
      </c>
      <c r="N28" t="s">
        <v>105</v>
      </c>
      <c r="O28">
        <v>13.4</v>
      </c>
      <c r="P28">
        <v>2</v>
      </c>
      <c r="Q28">
        <v>84</v>
      </c>
      <c r="R28" t="s">
        <v>94</v>
      </c>
      <c r="T28" s="142"/>
      <c r="U28" s="139"/>
      <c r="V28" s="139"/>
      <c r="W28" s="136"/>
    </row>
    <row r="29" spans="2:31" ht="15.75" thickBot="1" x14ac:dyDescent="0.3">
      <c r="B29">
        <v>2</v>
      </c>
      <c r="C29">
        <v>3</v>
      </c>
      <c r="D29" t="s">
        <v>145</v>
      </c>
      <c r="E29" t="s">
        <v>105</v>
      </c>
      <c r="F29">
        <v>14.8</v>
      </c>
      <c r="G29">
        <v>2</v>
      </c>
      <c r="H29">
        <v>70</v>
      </c>
      <c r="I29" t="s">
        <v>94</v>
      </c>
      <c r="K29">
        <v>2</v>
      </c>
      <c r="L29">
        <v>3</v>
      </c>
      <c r="M29" t="s">
        <v>140</v>
      </c>
      <c r="N29" t="s">
        <v>105</v>
      </c>
      <c r="O29">
        <v>12.9</v>
      </c>
      <c r="P29">
        <v>2</v>
      </c>
      <c r="Q29">
        <v>84</v>
      </c>
      <c r="R29" t="s">
        <v>94</v>
      </c>
      <c r="T29" s="143"/>
      <c r="U29" s="134" t="s">
        <v>35</v>
      </c>
      <c r="V29" s="126" t="str">
        <f ca="1">MID(CELL("nomfichier",A1),FIND("]",CELL("nomfichier",A1))+1,LEN(CELL("nomfichier",A1))-FIND("]",CELL("nomfichier",A1)))</f>
        <v>Import Resultats Tour</v>
      </c>
      <c r="W29" s="137"/>
    </row>
    <row r="30" spans="2:31" ht="15.75" thickBot="1" x14ac:dyDescent="0.3">
      <c r="B30">
        <v>2</v>
      </c>
      <c r="C30">
        <v>4</v>
      </c>
      <c r="D30" t="s">
        <v>138</v>
      </c>
      <c r="E30" t="s">
        <v>105</v>
      </c>
      <c r="F30">
        <v>16.3</v>
      </c>
      <c r="G30">
        <v>2</v>
      </c>
      <c r="H30">
        <v>71</v>
      </c>
      <c r="I30" t="s">
        <v>94</v>
      </c>
      <c r="K30">
        <v>2</v>
      </c>
      <c r="L30">
        <v>4</v>
      </c>
      <c r="M30" t="s">
        <v>132</v>
      </c>
      <c r="N30" t="s">
        <v>105</v>
      </c>
      <c r="O30">
        <v>13.7</v>
      </c>
      <c r="P30">
        <v>2</v>
      </c>
      <c r="Q30">
        <v>84</v>
      </c>
      <c r="R30" t="s">
        <v>94</v>
      </c>
      <c r="T30" s="143"/>
      <c r="U30" s="134" t="s">
        <v>36</v>
      </c>
      <c r="V30" s="126" t="str">
        <f>_xlfn.CONCAT("Resultat LGS (",Tableau6[Type],")")</f>
        <v>Resultat LGS (DAME)</v>
      </c>
      <c r="W30" s="137"/>
    </row>
    <row r="31" spans="2:31" ht="15.75" thickBot="1" x14ac:dyDescent="0.3">
      <c r="B31">
        <v>2</v>
      </c>
      <c r="C31">
        <v>5</v>
      </c>
      <c r="D31" t="s">
        <v>132</v>
      </c>
      <c r="E31" t="s">
        <v>105</v>
      </c>
      <c r="F31">
        <v>13.7</v>
      </c>
      <c r="G31">
        <v>2</v>
      </c>
      <c r="H31">
        <v>71</v>
      </c>
      <c r="I31" t="s">
        <v>94</v>
      </c>
      <c r="K31">
        <v>2</v>
      </c>
      <c r="L31">
        <v>5</v>
      </c>
      <c r="M31" t="s">
        <v>145</v>
      </c>
      <c r="N31" t="s">
        <v>105</v>
      </c>
      <c r="O31">
        <v>14.8</v>
      </c>
      <c r="P31">
        <v>2</v>
      </c>
      <c r="Q31">
        <v>84</v>
      </c>
      <c r="R31" t="s">
        <v>94</v>
      </c>
      <c r="T31" s="143"/>
      <c r="U31" s="140"/>
      <c r="V31" s="141"/>
      <c r="W31" s="137"/>
    </row>
    <row r="32" spans="2:31" x14ac:dyDescent="0.25">
      <c r="B32">
        <v>2</v>
      </c>
      <c r="C32">
        <v>6</v>
      </c>
      <c r="D32" t="s">
        <v>218</v>
      </c>
      <c r="E32" t="s">
        <v>105</v>
      </c>
      <c r="F32">
        <v>15.8</v>
      </c>
      <c r="G32">
        <v>2</v>
      </c>
      <c r="H32">
        <v>72</v>
      </c>
      <c r="I32" t="s">
        <v>94</v>
      </c>
      <c r="K32">
        <v>2</v>
      </c>
      <c r="L32">
        <v>6</v>
      </c>
      <c r="M32" t="s">
        <v>217</v>
      </c>
      <c r="N32" t="s">
        <v>105</v>
      </c>
      <c r="O32">
        <v>14.1</v>
      </c>
      <c r="P32">
        <v>2</v>
      </c>
      <c r="Q32">
        <v>85</v>
      </c>
      <c r="R32" t="s">
        <v>94</v>
      </c>
      <c r="T32" s="143"/>
      <c r="U32" s="133" t="s">
        <v>34</v>
      </c>
      <c r="V32" s="128">
        <f>COUNTA($B$17:$B$7704)</f>
        <v>86</v>
      </c>
      <c r="W32" s="137"/>
    </row>
    <row r="33" spans="2:23" ht="15.75" thickBot="1" x14ac:dyDescent="0.3">
      <c r="B33">
        <v>2</v>
      </c>
      <c r="C33">
        <v>7</v>
      </c>
      <c r="D33" t="s">
        <v>216</v>
      </c>
      <c r="E33" t="s">
        <v>105</v>
      </c>
      <c r="F33">
        <v>13.4</v>
      </c>
      <c r="G33">
        <v>2</v>
      </c>
      <c r="H33">
        <v>72</v>
      </c>
      <c r="I33" t="s">
        <v>94</v>
      </c>
      <c r="K33">
        <v>2</v>
      </c>
      <c r="L33">
        <v>7</v>
      </c>
      <c r="M33" t="s">
        <v>218</v>
      </c>
      <c r="N33" t="s">
        <v>105</v>
      </c>
      <c r="O33">
        <v>15.8</v>
      </c>
      <c r="P33">
        <v>2</v>
      </c>
      <c r="Q33">
        <v>87</v>
      </c>
      <c r="R33" t="s">
        <v>94</v>
      </c>
      <c r="T33" s="143"/>
      <c r="U33" s="131" t="s">
        <v>33</v>
      </c>
      <c r="V33" s="129">
        <f>COUNTA($K$17:$K$7702)</f>
        <v>86</v>
      </c>
      <c r="W33" s="137"/>
    </row>
    <row r="34" spans="2:23" ht="15.75" thickBot="1" x14ac:dyDescent="0.3">
      <c r="B34">
        <v>2</v>
      </c>
      <c r="C34">
        <v>8</v>
      </c>
      <c r="D34" t="s">
        <v>217</v>
      </c>
      <c r="E34" t="s">
        <v>105</v>
      </c>
      <c r="F34">
        <v>14.1</v>
      </c>
      <c r="G34">
        <v>2</v>
      </c>
      <c r="H34">
        <v>72</v>
      </c>
      <c r="I34" t="s">
        <v>94</v>
      </c>
      <c r="K34">
        <v>2</v>
      </c>
      <c r="L34">
        <v>8</v>
      </c>
      <c r="M34" t="s">
        <v>219</v>
      </c>
      <c r="N34" t="s">
        <v>105</v>
      </c>
      <c r="O34">
        <v>18</v>
      </c>
      <c r="P34">
        <v>2</v>
      </c>
      <c r="Q34">
        <v>87</v>
      </c>
      <c r="R34" t="s">
        <v>94</v>
      </c>
      <c r="T34" s="143"/>
      <c r="U34" s="132" t="s">
        <v>3</v>
      </c>
      <c r="V34" s="130">
        <f>TourSelected</f>
        <v>2</v>
      </c>
      <c r="W34" s="137"/>
    </row>
    <row r="35" spans="2:23" ht="15.75" thickBot="1" x14ac:dyDescent="0.3">
      <c r="B35">
        <v>2</v>
      </c>
      <c r="C35">
        <v>9</v>
      </c>
      <c r="D35" t="s">
        <v>140</v>
      </c>
      <c r="E35" t="s">
        <v>105</v>
      </c>
      <c r="F35">
        <v>12.9</v>
      </c>
      <c r="G35">
        <v>2</v>
      </c>
      <c r="H35">
        <v>72</v>
      </c>
      <c r="I35" t="s">
        <v>94</v>
      </c>
      <c r="K35">
        <v>2</v>
      </c>
      <c r="L35">
        <v>9</v>
      </c>
      <c r="M35" t="s">
        <v>220</v>
      </c>
      <c r="N35" t="s">
        <v>105</v>
      </c>
      <c r="O35">
        <v>11.7</v>
      </c>
      <c r="P35">
        <v>2</v>
      </c>
      <c r="Q35">
        <v>87</v>
      </c>
      <c r="R35" t="s">
        <v>94</v>
      </c>
      <c r="T35" s="143"/>
      <c r="U35" s="140"/>
      <c r="V35" s="141"/>
      <c r="W35" s="137"/>
    </row>
    <row r="36" spans="2:23" x14ac:dyDescent="0.25">
      <c r="B36">
        <v>2</v>
      </c>
      <c r="C36">
        <v>10</v>
      </c>
      <c r="D36" t="s">
        <v>160</v>
      </c>
      <c r="E36" t="s">
        <v>105</v>
      </c>
      <c r="F36">
        <v>18.3</v>
      </c>
      <c r="G36">
        <v>2</v>
      </c>
      <c r="H36">
        <v>73</v>
      </c>
      <c r="I36" t="s">
        <v>94</v>
      </c>
      <c r="K36">
        <v>2</v>
      </c>
      <c r="L36">
        <v>10</v>
      </c>
      <c r="M36" t="s">
        <v>138</v>
      </c>
      <c r="N36" t="s">
        <v>105</v>
      </c>
      <c r="O36">
        <v>16.3</v>
      </c>
      <c r="P36">
        <v>2</v>
      </c>
      <c r="Q36">
        <v>87</v>
      </c>
      <c r="R36" t="s">
        <v>94</v>
      </c>
      <c r="T36" s="143"/>
      <c r="U36" s="127" t="s">
        <v>31</v>
      </c>
      <c r="V36" s="128"/>
      <c r="W36" s="137"/>
    </row>
    <row r="37" spans="2:23" ht="15.75" thickBot="1" x14ac:dyDescent="0.3">
      <c r="B37">
        <v>2</v>
      </c>
      <c r="C37">
        <v>11</v>
      </c>
      <c r="D37" t="s">
        <v>155</v>
      </c>
      <c r="E37" t="s">
        <v>105</v>
      </c>
      <c r="F37">
        <v>18.2</v>
      </c>
      <c r="G37">
        <v>2</v>
      </c>
      <c r="H37">
        <v>74</v>
      </c>
      <c r="I37" t="s">
        <v>94</v>
      </c>
      <c r="K37">
        <v>2</v>
      </c>
      <c r="L37">
        <v>11</v>
      </c>
      <c r="M37" t="s">
        <v>136</v>
      </c>
      <c r="N37" t="s">
        <v>105</v>
      </c>
      <c r="O37">
        <v>11.8</v>
      </c>
      <c r="P37">
        <v>2</v>
      </c>
      <c r="Q37">
        <v>87</v>
      </c>
      <c r="R37" t="s">
        <v>94</v>
      </c>
      <c r="T37" s="143"/>
      <c r="U37" s="131" t="s">
        <v>32</v>
      </c>
      <c r="V37" s="135">
        <f>DateImport</f>
        <v>45509</v>
      </c>
      <c r="W37" s="137"/>
    </row>
    <row r="38" spans="2:23" ht="15.75" thickBot="1" x14ac:dyDescent="0.3">
      <c r="B38">
        <v>2</v>
      </c>
      <c r="C38">
        <v>12</v>
      </c>
      <c r="D38" t="s">
        <v>223</v>
      </c>
      <c r="E38" t="s">
        <v>105</v>
      </c>
      <c r="F38">
        <v>15.4</v>
      </c>
      <c r="G38">
        <v>2</v>
      </c>
      <c r="H38">
        <v>74</v>
      </c>
      <c r="I38" t="s">
        <v>94</v>
      </c>
      <c r="K38">
        <v>2</v>
      </c>
      <c r="L38">
        <v>12</v>
      </c>
      <c r="M38" t="s">
        <v>221</v>
      </c>
      <c r="N38" t="s">
        <v>105</v>
      </c>
      <c r="O38">
        <v>13.9</v>
      </c>
      <c r="P38">
        <v>2</v>
      </c>
      <c r="Q38">
        <v>88</v>
      </c>
      <c r="R38" t="s">
        <v>94</v>
      </c>
      <c r="T38" s="144"/>
      <c r="U38" s="145"/>
      <c r="V38" s="145"/>
      <c r="W38" s="138"/>
    </row>
    <row r="39" spans="2:23" x14ac:dyDescent="0.25">
      <c r="B39">
        <v>2</v>
      </c>
      <c r="C39">
        <v>13</v>
      </c>
      <c r="D39" t="s">
        <v>221</v>
      </c>
      <c r="E39" t="s">
        <v>105</v>
      </c>
      <c r="F39">
        <v>13.9</v>
      </c>
      <c r="G39">
        <v>2</v>
      </c>
      <c r="H39">
        <v>75</v>
      </c>
      <c r="I39" t="s">
        <v>94</v>
      </c>
      <c r="K39">
        <v>2</v>
      </c>
      <c r="L39">
        <v>13</v>
      </c>
      <c r="M39" t="s">
        <v>222</v>
      </c>
      <c r="N39" t="s">
        <v>105</v>
      </c>
      <c r="O39">
        <v>11.5</v>
      </c>
      <c r="P39">
        <v>2</v>
      </c>
      <c r="Q39">
        <v>88</v>
      </c>
      <c r="R39" t="s">
        <v>94</v>
      </c>
    </row>
    <row r="40" spans="2:23" x14ac:dyDescent="0.25">
      <c r="B40">
        <v>2</v>
      </c>
      <c r="C40">
        <v>14</v>
      </c>
      <c r="D40" t="s">
        <v>226</v>
      </c>
      <c r="E40" t="s">
        <v>105</v>
      </c>
      <c r="F40">
        <v>17.2</v>
      </c>
      <c r="G40">
        <v>2</v>
      </c>
      <c r="H40">
        <v>75</v>
      </c>
      <c r="I40" t="s">
        <v>94</v>
      </c>
      <c r="K40">
        <v>2</v>
      </c>
      <c r="L40">
        <v>14</v>
      </c>
      <c r="M40" t="s">
        <v>139</v>
      </c>
      <c r="N40" t="s">
        <v>105</v>
      </c>
      <c r="O40">
        <v>14.2</v>
      </c>
      <c r="P40">
        <v>2</v>
      </c>
      <c r="Q40">
        <v>89</v>
      </c>
      <c r="R40" t="s">
        <v>94</v>
      </c>
    </row>
    <row r="41" spans="2:23" x14ac:dyDescent="0.25">
      <c r="B41">
        <v>2</v>
      </c>
      <c r="C41">
        <v>15</v>
      </c>
      <c r="D41" t="s">
        <v>224</v>
      </c>
      <c r="E41" t="s">
        <v>105</v>
      </c>
      <c r="F41">
        <v>15.9</v>
      </c>
      <c r="G41">
        <v>2</v>
      </c>
      <c r="H41">
        <v>76</v>
      </c>
      <c r="I41" t="s">
        <v>94</v>
      </c>
      <c r="K41">
        <v>2</v>
      </c>
      <c r="L41">
        <v>15</v>
      </c>
      <c r="M41" t="s">
        <v>223</v>
      </c>
      <c r="N41" t="s">
        <v>105</v>
      </c>
      <c r="O41">
        <v>15.4</v>
      </c>
      <c r="P41">
        <v>2</v>
      </c>
      <c r="Q41">
        <v>89</v>
      </c>
      <c r="R41" t="s">
        <v>94</v>
      </c>
    </row>
    <row r="42" spans="2:23" x14ac:dyDescent="0.25">
      <c r="B42">
        <v>2</v>
      </c>
      <c r="C42">
        <v>16</v>
      </c>
      <c r="D42" t="s">
        <v>136</v>
      </c>
      <c r="E42" t="s">
        <v>105</v>
      </c>
      <c r="F42">
        <v>11.8</v>
      </c>
      <c r="G42">
        <v>2</v>
      </c>
      <c r="H42">
        <v>76</v>
      </c>
      <c r="I42" t="s">
        <v>94</v>
      </c>
      <c r="K42">
        <v>2</v>
      </c>
      <c r="L42">
        <v>16</v>
      </c>
      <c r="M42" t="s">
        <v>134</v>
      </c>
      <c r="N42" t="s">
        <v>105</v>
      </c>
      <c r="O42">
        <v>11.7</v>
      </c>
      <c r="P42">
        <v>2</v>
      </c>
      <c r="Q42">
        <v>91</v>
      </c>
      <c r="R42" t="s">
        <v>94</v>
      </c>
    </row>
    <row r="43" spans="2:23" x14ac:dyDescent="0.25">
      <c r="B43">
        <v>2</v>
      </c>
      <c r="C43">
        <v>17</v>
      </c>
      <c r="D43" t="s">
        <v>139</v>
      </c>
      <c r="E43" t="s">
        <v>105</v>
      </c>
      <c r="F43">
        <v>14.2</v>
      </c>
      <c r="G43">
        <v>2</v>
      </c>
      <c r="H43">
        <v>76</v>
      </c>
      <c r="I43" t="s">
        <v>94</v>
      </c>
      <c r="K43">
        <v>2</v>
      </c>
      <c r="L43">
        <v>17</v>
      </c>
      <c r="M43" t="s">
        <v>160</v>
      </c>
      <c r="N43" t="s">
        <v>105</v>
      </c>
      <c r="O43">
        <v>18.3</v>
      </c>
      <c r="P43">
        <v>2</v>
      </c>
      <c r="Q43">
        <v>91</v>
      </c>
      <c r="R43" t="s">
        <v>94</v>
      </c>
    </row>
    <row r="44" spans="2:23" x14ac:dyDescent="0.25">
      <c r="B44">
        <v>2</v>
      </c>
      <c r="C44">
        <v>18</v>
      </c>
      <c r="D44" t="s">
        <v>225</v>
      </c>
      <c r="E44" t="s">
        <v>105</v>
      </c>
      <c r="F44">
        <v>16.2</v>
      </c>
      <c r="G44">
        <v>2</v>
      </c>
      <c r="H44">
        <v>76</v>
      </c>
      <c r="I44" t="s">
        <v>94</v>
      </c>
      <c r="K44">
        <v>2</v>
      </c>
      <c r="L44">
        <v>18</v>
      </c>
      <c r="M44" t="s">
        <v>224</v>
      </c>
      <c r="N44" t="s">
        <v>105</v>
      </c>
      <c r="O44">
        <v>15.9</v>
      </c>
      <c r="P44">
        <v>2</v>
      </c>
      <c r="Q44">
        <v>91</v>
      </c>
      <c r="R44" t="s">
        <v>94</v>
      </c>
    </row>
    <row r="45" spans="2:23" x14ac:dyDescent="0.25">
      <c r="B45">
        <v>2</v>
      </c>
      <c r="C45">
        <v>19</v>
      </c>
      <c r="D45" t="s">
        <v>220</v>
      </c>
      <c r="E45" t="s">
        <v>105</v>
      </c>
      <c r="F45">
        <v>11.7</v>
      </c>
      <c r="G45">
        <v>2</v>
      </c>
      <c r="H45">
        <v>77</v>
      </c>
      <c r="I45" t="s">
        <v>94</v>
      </c>
      <c r="K45">
        <v>2</v>
      </c>
      <c r="L45">
        <v>19</v>
      </c>
      <c r="M45" t="s">
        <v>225</v>
      </c>
      <c r="N45" t="s">
        <v>105</v>
      </c>
      <c r="O45">
        <v>16.2</v>
      </c>
      <c r="P45">
        <v>2</v>
      </c>
      <c r="Q45">
        <v>91</v>
      </c>
      <c r="R45" t="s">
        <v>94</v>
      </c>
    </row>
    <row r="46" spans="2:23" x14ac:dyDescent="0.25">
      <c r="B46">
        <v>2</v>
      </c>
      <c r="C46">
        <v>20</v>
      </c>
      <c r="D46" t="s">
        <v>143</v>
      </c>
      <c r="E46" t="s">
        <v>105</v>
      </c>
      <c r="F46">
        <v>16.3</v>
      </c>
      <c r="G46">
        <v>2</v>
      </c>
      <c r="H46">
        <v>78</v>
      </c>
      <c r="I46" t="s">
        <v>94</v>
      </c>
      <c r="K46">
        <v>2</v>
      </c>
      <c r="L46">
        <v>20</v>
      </c>
      <c r="M46" t="s">
        <v>128</v>
      </c>
      <c r="N46" t="s">
        <v>105</v>
      </c>
      <c r="O46">
        <v>14.4</v>
      </c>
      <c r="P46">
        <v>2</v>
      </c>
      <c r="Q46">
        <v>92</v>
      </c>
      <c r="R46" t="s">
        <v>94</v>
      </c>
    </row>
    <row r="47" spans="2:23" x14ac:dyDescent="0.25">
      <c r="B47">
        <v>2</v>
      </c>
      <c r="C47">
        <v>21</v>
      </c>
      <c r="D47" t="s">
        <v>227</v>
      </c>
      <c r="E47" t="s">
        <v>189</v>
      </c>
      <c r="F47">
        <v>16.100000000000001</v>
      </c>
      <c r="G47">
        <v>2</v>
      </c>
      <c r="H47">
        <v>78</v>
      </c>
      <c r="I47" t="s">
        <v>94</v>
      </c>
      <c r="K47">
        <v>2</v>
      </c>
      <c r="L47">
        <v>21</v>
      </c>
      <c r="M47" t="s">
        <v>155</v>
      </c>
      <c r="N47" t="s">
        <v>105</v>
      </c>
      <c r="O47">
        <v>18.2</v>
      </c>
      <c r="P47">
        <v>2</v>
      </c>
      <c r="Q47">
        <v>92</v>
      </c>
      <c r="R47" t="s">
        <v>94</v>
      </c>
    </row>
    <row r="48" spans="2:23" x14ac:dyDescent="0.25">
      <c r="B48">
        <v>2</v>
      </c>
      <c r="C48">
        <v>22</v>
      </c>
      <c r="D48" t="s">
        <v>222</v>
      </c>
      <c r="E48" t="s">
        <v>105</v>
      </c>
      <c r="F48">
        <v>11.5</v>
      </c>
      <c r="G48">
        <v>2</v>
      </c>
      <c r="H48">
        <v>78</v>
      </c>
      <c r="I48" t="s">
        <v>94</v>
      </c>
      <c r="K48">
        <v>2</v>
      </c>
      <c r="L48">
        <v>22</v>
      </c>
      <c r="M48" t="s">
        <v>141</v>
      </c>
      <c r="N48" t="s">
        <v>105</v>
      </c>
      <c r="O48">
        <v>11.5</v>
      </c>
      <c r="P48">
        <v>2</v>
      </c>
      <c r="Q48">
        <v>92</v>
      </c>
      <c r="R48" t="s">
        <v>94</v>
      </c>
    </row>
    <row r="49" spans="2:18" x14ac:dyDescent="0.25">
      <c r="B49">
        <v>2</v>
      </c>
      <c r="C49">
        <v>23</v>
      </c>
      <c r="D49" t="s">
        <v>229</v>
      </c>
      <c r="E49" t="s">
        <v>105</v>
      </c>
      <c r="F49">
        <v>16.7</v>
      </c>
      <c r="G49">
        <v>2</v>
      </c>
      <c r="H49">
        <v>78</v>
      </c>
      <c r="I49" t="s">
        <v>94</v>
      </c>
      <c r="K49">
        <v>2</v>
      </c>
      <c r="L49">
        <v>23</v>
      </c>
      <c r="M49" t="s">
        <v>226</v>
      </c>
      <c r="N49" t="s">
        <v>105</v>
      </c>
      <c r="O49">
        <v>17.2</v>
      </c>
      <c r="P49">
        <v>2</v>
      </c>
      <c r="Q49">
        <v>92</v>
      </c>
      <c r="R49" t="s">
        <v>94</v>
      </c>
    </row>
    <row r="50" spans="2:18" x14ac:dyDescent="0.25">
      <c r="B50">
        <v>2</v>
      </c>
      <c r="C50">
        <v>24</v>
      </c>
      <c r="D50" t="s">
        <v>230</v>
      </c>
      <c r="E50" t="s">
        <v>105</v>
      </c>
      <c r="F50">
        <v>16.399999999999999</v>
      </c>
      <c r="G50">
        <v>2</v>
      </c>
      <c r="H50">
        <v>79</v>
      </c>
      <c r="I50" t="s">
        <v>94</v>
      </c>
      <c r="K50">
        <v>2</v>
      </c>
      <c r="L50">
        <v>24</v>
      </c>
      <c r="M50" t="s">
        <v>227</v>
      </c>
      <c r="N50" t="s">
        <v>189</v>
      </c>
      <c r="O50">
        <v>16.100000000000001</v>
      </c>
      <c r="P50">
        <v>2</v>
      </c>
      <c r="Q50">
        <v>93</v>
      </c>
      <c r="R50" t="s">
        <v>94</v>
      </c>
    </row>
    <row r="51" spans="2:18" x14ac:dyDescent="0.25">
      <c r="B51">
        <v>2</v>
      </c>
      <c r="C51">
        <v>25</v>
      </c>
      <c r="D51" t="s">
        <v>128</v>
      </c>
      <c r="E51" t="s">
        <v>105</v>
      </c>
      <c r="F51">
        <v>14.4</v>
      </c>
      <c r="G51">
        <v>2</v>
      </c>
      <c r="H51">
        <v>79</v>
      </c>
      <c r="I51" t="s">
        <v>94</v>
      </c>
      <c r="K51">
        <v>2</v>
      </c>
      <c r="L51">
        <v>25</v>
      </c>
      <c r="M51" t="s">
        <v>137</v>
      </c>
      <c r="N51" t="s">
        <v>105</v>
      </c>
      <c r="O51">
        <v>11.9</v>
      </c>
      <c r="P51">
        <v>2</v>
      </c>
      <c r="Q51">
        <v>93</v>
      </c>
      <c r="R51" t="s">
        <v>94</v>
      </c>
    </row>
    <row r="52" spans="2:18" x14ac:dyDescent="0.25">
      <c r="B52">
        <v>2</v>
      </c>
      <c r="C52">
        <v>26</v>
      </c>
      <c r="D52" t="s">
        <v>228</v>
      </c>
      <c r="E52" t="s">
        <v>105</v>
      </c>
      <c r="F52">
        <v>14.6</v>
      </c>
      <c r="G52">
        <v>2</v>
      </c>
      <c r="H52">
        <v>80</v>
      </c>
      <c r="I52" t="s">
        <v>94</v>
      </c>
      <c r="K52">
        <v>2</v>
      </c>
      <c r="L52">
        <v>26</v>
      </c>
      <c r="M52" t="s">
        <v>143</v>
      </c>
      <c r="N52" t="s">
        <v>105</v>
      </c>
      <c r="O52">
        <v>16.3</v>
      </c>
      <c r="P52">
        <v>2</v>
      </c>
      <c r="Q52">
        <v>94</v>
      </c>
      <c r="R52" t="s">
        <v>94</v>
      </c>
    </row>
    <row r="53" spans="2:18" x14ac:dyDescent="0.25">
      <c r="B53">
        <v>2</v>
      </c>
      <c r="C53">
        <v>27</v>
      </c>
      <c r="D53" t="s">
        <v>134</v>
      </c>
      <c r="E53" t="s">
        <v>105</v>
      </c>
      <c r="F53">
        <v>11.7</v>
      </c>
      <c r="G53">
        <v>2</v>
      </c>
      <c r="H53">
        <v>81</v>
      </c>
      <c r="I53" t="s">
        <v>94</v>
      </c>
      <c r="K53">
        <v>2</v>
      </c>
      <c r="L53">
        <v>27</v>
      </c>
      <c r="M53" t="s">
        <v>228</v>
      </c>
      <c r="N53" t="s">
        <v>105</v>
      </c>
      <c r="O53">
        <v>14.6</v>
      </c>
      <c r="P53">
        <v>2</v>
      </c>
      <c r="Q53">
        <v>94</v>
      </c>
      <c r="R53" t="s">
        <v>94</v>
      </c>
    </row>
    <row r="54" spans="2:18" x14ac:dyDescent="0.25">
      <c r="B54">
        <v>2</v>
      </c>
      <c r="C54">
        <v>28</v>
      </c>
      <c r="D54" t="s">
        <v>135</v>
      </c>
      <c r="E54" t="s">
        <v>105</v>
      </c>
      <c r="F54">
        <v>18.2</v>
      </c>
      <c r="G54">
        <v>2</v>
      </c>
      <c r="H54">
        <v>81</v>
      </c>
      <c r="I54" t="s">
        <v>94</v>
      </c>
      <c r="K54">
        <v>2</v>
      </c>
      <c r="L54">
        <v>28</v>
      </c>
      <c r="M54" t="s">
        <v>229</v>
      </c>
      <c r="N54" t="s">
        <v>105</v>
      </c>
      <c r="O54">
        <v>16.7</v>
      </c>
      <c r="P54">
        <v>2</v>
      </c>
      <c r="Q54">
        <v>94</v>
      </c>
      <c r="R54" t="s">
        <v>94</v>
      </c>
    </row>
    <row r="55" spans="2:18" x14ac:dyDescent="0.25">
      <c r="B55">
        <v>2</v>
      </c>
      <c r="C55">
        <v>29</v>
      </c>
      <c r="D55" t="s">
        <v>157</v>
      </c>
      <c r="E55" t="s">
        <v>105</v>
      </c>
      <c r="F55">
        <v>14.8</v>
      </c>
      <c r="G55">
        <v>2</v>
      </c>
      <c r="H55">
        <v>82</v>
      </c>
      <c r="I55" t="s">
        <v>94</v>
      </c>
      <c r="K55">
        <v>2</v>
      </c>
      <c r="L55">
        <v>29</v>
      </c>
      <c r="M55" t="s">
        <v>230</v>
      </c>
      <c r="N55" t="s">
        <v>105</v>
      </c>
      <c r="O55">
        <v>16.399999999999999</v>
      </c>
      <c r="P55">
        <v>2</v>
      </c>
      <c r="Q55">
        <v>95</v>
      </c>
      <c r="R55" t="s">
        <v>94</v>
      </c>
    </row>
    <row r="56" spans="2:18" x14ac:dyDescent="0.25">
      <c r="B56">
        <v>2</v>
      </c>
      <c r="C56">
        <v>30</v>
      </c>
      <c r="D56" t="s">
        <v>153</v>
      </c>
      <c r="E56" t="s">
        <v>105</v>
      </c>
      <c r="F56">
        <v>13.9</v>
      </c>
      <c r="G56">
        <v>2</v>
      </c>
      <c r="H56">
        <v>82</v>
      </c>
      <c r="I56" t="s">
        <v>94</v>
      </c>
      <c r="K56">
        <v>2</v>
      </c>
      <c r="L56">
        <v>30</v>
      </c>
      <c r="M56" t="s">
        <v>153</v>
      </c>
      <c r="N56" t="s">
        <v>105</v>
      </c>
      <c r="O56">
        <v>13.9</v>
      </c>
      <c r="P56">
        <v>2</v>
      </c>
      <c r="Q56">
        <v>95</v>
      </c>
      <c r="R56" t="s">
        <v>94</v>
      </c>
    </row>
    <row r="57" spans="2:18" x14ac:dyDescent="0.25">
      <c r="B57">
        <v>2</v>
      </c>
      <c r="C57">
        <v>31</v>
      </c>
      <c r="D57" t="s">
        <v>141</v>
      </c>
      <c r="E57" t="s">
        <v>105</v>
      </c>
      <c r="F57">
        <v>11.5</v>
      </c>
      <c r="G57">
        <v>2</v>
      </c>
      <c r="H57">
        <v>82</v>
      </c>
      <c r="I57" t="s">
        <v>94</v>
      </c>
      <c r="K57">
        <v>2</v>
      </c>
      <c r="L57">
        <v>31</v>
      </c>
      <c r="M57" t="s">
        <v>157</v>
      </c>
      <c r="N57" t="s">
        <v>105</v>
      </c>
      <c r="O57">
        <v>14.8</v>
      </c>
      <c r="P57">
        <v>2</v>
      </c>
      <c r="Q57">
        <v>96</v>
      </c>
      <c r="R57" t="s">
        <v>94</v>
      </c>
    </row>
    <row r="58" spans="2:18" x14ac:dyDescent="0.25">
      <c r="B58">
        <v>2</v>
      </c>
      <c r="C58">
        <v>32</v>
      </c>
      <c r="D58" t="s">
        <v>137</v>
      </c>
      <c r="E58" t="s">
        <v>105</v>
      </c>
      <c r="F58">
        <v>11.9</v>
      </c>
      <c r="G58">
        <v>2</v>
      </c>
      <c r="H58">
        <v>82</v>
      </c>
      <c r="I58" t="s">
        <v>94</v>
      </c>
      <c r="K58">
        <v>2</v>
      </c>
      <c r="L58">
        <v>32</v>
      </c>
      <c r="M58" t="s">
        <v>135</v>
      </c>
      <c r="N58" t="s">
        <v>105</v>
      </c>
      <c r="O58">
        <v>18.2</v>
      </c>
      <c r="P58">
        <v>2</v>
      </c>
      <c r="Q58">
        <v>99</v>
      </c>
      <c r="R58" t="s">
        <v>94</v>
      </c>
    </row>
    <row r="59" spans="2:18" x14ac:dyDescent="0.25">
      <c r="B59">
        <v>2</v>
      </c>
      <c r="C59">
        <v>33</v>
      </c>
      <c r="D59" t="s">
        <v>154</v>
      </c>
      <c r="E59" t="s">
        <v>105</v>
      </c>
      <c r="F59">
        <v>18.2</v>
      </c>
      <c r="G59">
        <v>2</v>
      </c>
      <c r="H59">
        <v>83</v>
      </c>
      <c r="I59" t="s">
        <v>94</v>
      </c>
      <c r="K59">
        <v>2</v>
      </c>
      <c r="L59">
        <v>33</v>
      </c>
      <c r="M59" t="s">
        <v>156</v>
      </c>
      <c r="N59" t="s">
        <v>105</v>
      </c>
      <c r="O59">
        <v>17.100000000000001</v>
      </c>
      <c r="P59">
        <v>2</v>
      </c>
      <c r="Q59">
        <v>99</v>
      </c>
      <c r="R59" t="s">
        <v>94</v>
      </c>
    </row>
    <row r="60" spans="2:18" x14ac:dyDescent="0.25">
      <c r="B60">
        <v>2</v>
      </c>
      <c r="C60">
        <v>34</v>
      </c>
      <c r="D60" t="s">
        <v>156</v>
      </c>
      <c r="E60" t="s">
        <v>105</v>
      </c>
      <c r="F60">
        <v>17.100000000000001</v>
      </c>
      <c r="G60">
        <v>2</v>
      </c>
      <c r="H60">
        <v>83</v>
      </c>
      <c r="I60" t="s">
        <v>94</v>
      </c>
      <c r="K60">
        <v>2</v>
      </c>
      <c r="L60">
        <v>34</v>
      </c>
      <c r="M60" t="s">
        <v>154</v>
      </c>
      <c r="N60" t="s">
        <v>105</v>
      </c>
      <c r="O60">
        <v>18.2</v>
      </c>
      <c r="P60">
        <v>2</v>
      </c>
      <c r="Q60">
        <v>101</v>
      </c>
      <c r="R60" t="s">
        <v>94</v>
      </c>
    </row>
    <row r="61" spans="2:18" x14ac:dyDescent="0.25">
      <c r="B61">
        <v>2</v>
      </c>
      <c r="C61">
        <v>35</v>
      </c>
      <c r="D61" t="s">
        <v>158</v>
      </c>
      <c r="E61" t="s">
        <v>105</v>
      </c>
      <c r="F61">
        <v>16.5</v>
      </c>
      <c r="G61">
        <v>2</v>
      </c>
      <c r="H61">
        <v>86</v>
      </c>
      <c r="I61" t="s">
        <v>94</v>
      </c>
      <c r="K61">
        <v>2</v>
      </c>
      <c r="L61">
        <v>35</v>
      </c>
      <c r="M61" t="s">
        <v>151</v>
      </c>
      <c r="N61" t="s">
        <v>105</v>
      </c>
      <c r="O61">
        <v>16.100000000000001</v>
      </c>
      <c r="P61">
        <v>2</v>
      </c>
      <c r="Q61">
        <v>102</v>
      </c>
      <c r="R61" t="s">
        <v>94</v>
      </c>
    </row>
    <row r="62" spans="2:18" x14ac:dyDescent="0.25">
      <c r="B62">
        <v>2</v>
      </c>
      <c r="C62">
        <v>36</v>
      </c>
      <c r="D62" t="s">
        <v>151</v>
      </c>
      <c r="E62" t="s">
        <v>105</v>
      </c>
      <c r="F62">
        <v>16.100000000000001</v>
      </c>
      <c r="G62">
        <v>2</v>
      </c>
      <c r="H62">
        <v>87</v>
      </c>
      <c r="I62" t="s">
        <v>94</v>
      </c>
      <c r="K62">
        <v>2</v>
      </c>
      <c r="L62">
        <v>36</v>
      </c>
      <c r="M62" t="s">
        <v>158</v>
      </c>
      <c r="N62" t="s">
        <v>105</v>
      </c>
      <c r="O62">
        <v>16.5</v>
      </c>
      <c r="P62">
        <v>2</v>
      </c>
      <c r="Q62">
        <v>102</v>
      </c>
      <c r="R62" t="s">
        <v>94</v>
      </c>
    </row>
    <row r="63" spans="2:18" x14ac:dyDescent="0.25">
      <c r="B63">
        <v>2</v>
      </c>
      <c r="C63">
        <v>37</v>
      </c>
      <c r="D63" t="s">
        <v>231</v>
      </c>
      <c r="E63" t="s">
        <v>105</v>
      </c>
      <c r="F63">
        <v>17.5</v>
      </c>
      <c r="G63">
        <v>2</v>
      </c>
      <c r="H63">
        <v>89</v>
      </c>
      <c r="I63" t="s">
        <v>94</v>
      </c>
      <c r="K63">
        <v>2</v>
      </c>
      <c r="L63">
        <v>37</v>
      </c>
      <c r="M63" t="s">
        <v>231</v>
      </c>
      <c r="N63" t="s">
        <v>105</v>
      </c>
      <c r="O63">
        <v>17.5</v>
      </c>
      <c r="P63">
        <v>2</v>
      </c>
      <c r="Q63">
        <v>106</v>
      </c>
      <c r="R63" t="s">
        <v>94</v>
      </c>
    </row>
    <row r="64" spans="2:18" x14ac:dyDescent="0.25">
      <c r="B64">
        <v>2</v>
      </c>
      <c r="C64">
        <v>38</v>
      </c>
      <c r="D64" t="s">
        <v>232</v>
      </c>
      <c r="E64" t="s">
        <v>105</v>
      </c>
      <c r="F64">
        <v>17.899999999999999</v>
      </c>
      <c r="G64">
        <v>2</v>
      </c>
      <c r="H64">
        <v>89</v>
      </c>
      <c r="I64" t="s">
        <v>94</v>
      </c>
      <c r="K64">
        <v>2</v>
      </c>
      <c r="L64">
        <v>38</v>
      </c>
      <c r="M64" t="s">
        <v>232</v>
      </c>
      <c r="N64" t="s">
        <v>105</v>
      </c>
      <c r="O64">
        <v>17.899999999999999</v>
      </c>
      <c r="P64">
        <v>2</v>
      </c>
      <c r="Q64">
        <v>106</v>
      </c>
      <c r="R64" t="s">
        <v>94</v>
      </c>
    </row>
    <row r="65" spans="2:18" x14ac:dyDescent="0.25">
      <c r="B65">
        <v>2</v>
      </c>
      <c r="C65">
        <v>39</v>
      </c>
      <c r="D65" t="s">
        <v>233</v>
      </c>
      <c r="E65" t="s">
        <v>105</v>
      </c>
      <c r="F65">
        <v>15.5</v>
      </c>
      <c r="G65">
        <v>2</v>
      </c>
      <c r="H65">
        <v>95</v>
      </c>
      <c r="I65" t="s">
        <v>94</v>
      </c>
      <c r="K65">
        <v>2</v>
      </c>
      <c r="L65">
        <v>39</v>
      </c>
      <c r="M65" t="s">
        <v>233</v>
      </c>
      <c r="N65" t="s">
        <v>105</v>
      </c>
      <c r="O65">
        <v>15.5</v>
      </c>
      <c r="P65">
        <v>2</v>
      </c>
      <c r="Q65">
        <v>110</v>
      </c>
      <c r="R65" t="s">
        <v>94</v>
      </c>
    </row>
    <row r="66" spans="2:18" x14ac:dyDescent="0.25">
      <c r="B66">
        <v>2</v>
      </c>
      <c r="C66">
        <v>1</v>
      </c>
      <c r="D66" t="s">
        <v>234</v>
      </c>
      <c r="E66" t="s">
        <v>105</v>
      </c>
      <c r="F66">
        <v>21.6</v>
      </c>
      <c r="G66">
        <v>3</v>
      </c>
      <c r="H66">
        <v>62</v>
      </c>
      <c r="I66" t="s">
        <v>94</v>
      </c>
      <c r="K66">
        <v>2</v>
      </c>
      <c r="L66">
        <v>1</v>
      </c>
      <c r="M66" t="s">
        <v>234</v>
      </c>
      <c r="N66" t="s">
        <v>105</v>
      </c>
      <c r="O66">
        <v>21.6</v>
      </c>
      <c r="P66">
        <v>3</v>
      </c>
      <c r="Q66">
        <v>80</v>
      </c>
      <c r="R66" t="s">
        <v>94</v>
      </c>
    </row>
    <row r="67" spans="2:18" x14ac:dyDescent="0.25">
      <c r="B67">
        <v>2</v>
      </c>
      <c r="C67">
        <v>2</v>
      </c>
      <c r="D67" t="s">
        <v>235</v>
      </c>
      <c r="E67" t="s">
        <v>105</v>
      </c>
      <c r="F67">
        <v>24.7</v>
      </c>
      <c r="G67">
        <v>3</v>
      </c>
      <c r="H67">
        <v>67</v>
      </c>
      <c r="I67" t="s">
        <v>94</v>
      </c>
      <c r="K67">
        <v>2</v>
      </c>
      <c r="L67">
        <v>2</v>
      </c>
      <c r="M67" t="s">
        <v>235</v>
      </c>
      <c r="N67" t="s">
        <v>105</v>
      </c>
      <c r="O67">
        <v>24.7</v>
      </c>
      <c r="P67">
        <v>3</v>
      </c>
      <c r="Q67">
        <v>88</v>
      </c>
      <c r="R67" t="s">
        <v>94</v>
      </c>
    </row>
    <row r="68" spans="2:18" x14ac:dyDescent="0.25">
      <c r="B68">
        <v>2</v>
      </c>
      <c r="C68">
        <v>3</v>
      </c>
      <c r="D68" t="s">
        <v>237</v>
      </c>
      <c r="E68" t="s">
        <v>105</v>
      </c>
      <c r="F68">
        <v>25.6</v>
      </c>
      <c r="G68">
        <v>3</v>
      </c>
      <c r="H68">
        <v>68</v>
      </c>
      <c r="I68" t="s">
        <v>94</v>
      </c>
      <c r="K68">
        <v>2</v>
      </c>
      <c r="L68">
        <v>3</v>
      </c>
      <c r="M68" t="s">
        <v>236</v>
      </c>
      <c r="N68" t="s">
        <v>105</v>
      </c>
      <c r="O68">
        <v>19.399999999999999</v>
      </c>
      <c r="P68">
        <v>3</v>
      </c>
      <c r="Q68">
        <v>88</v>
      </c>
      <c r="R68" t="s">
        <v>94</v>
      </c>
    </row>
    <row r="69" spans="2:18" x14ac:dyDescent="0.25">
      <c r="B69">
        <v>2</v>
      </c>
      <c r="C69">
        <v>4</v>
      </c>
      <c r="D69" t="s">
        <v>167</v>
      </c>
      <c r="E69" t="s">
        <v>105</v>
      </c>
      <c r="F69">
        <v>25.1</v>
      </c>
      <c r="G69">
        <v>3</v>
      </c>
      <c r="H69">
        <v>70</v>
      </c>
      <c r="I69" t="s">
        <v>94</v>
      </c>
      <c r="K69">
        <v>2</v>
      </c>
      <c r="L69">
        <v>4</v>
      </c>
      <c r="M69" t="s">
        <v>168</v>
      </c>
      <c r="N69" t="s">
        <v>105</v>
      </c>
      <c r="O69">
        <v>18.899999999999999</v>
      </c>
      <c r="P69">
        <v>3</v>
      </c>
      <c r="Q69">
        <v>90</v>
      </c>
      <c r="R69" t="s">
        <v>94</v>
      </c>
    </row>
    <row r="70" spans="2:18" x14ac:dyDescent="0.25">
      <c r="B70">
        <v>2</v>
      </c>
      <c r="C70">
        <v>5</v>
      </c>
      <c r="D70" t="s">
        <v>239</v>
      </c>
      <c r="E70" t="s">
        <v>105</v>
      </c>
      <c r="F70">
        <v>28.9</v>
      </c>
      <c r="G70">
        <v>4</v>
      </c>
      <c r="H70">
        <v>70</v>
      </c>
      <c r="I70" t="s">
        <v>94</v>
      </c>
      <c r="K70">
        <v>2</v>
      </c>
      <c r="L70">
        <v>5</v>
      </c>
      <c r="M70" t="s">
        <v>237</v>
      </c>
      <c r="N70" t="s">
        <v>105</v>
      </c>
      <c r="O70">
        <v>25.6</v>
      </c>
      <c r="P70">
        <v>3</v>
      </c>
      <c r="Q70">
        <v>90</v>
      </c>
      <c r="R70" t="s">
        <v>94</v>
      </c>
    </row>
    <row r="71" spans="2:18" x14ac:dyDescent="0.25">
      <c r="B71">
        <v>2</v>
      </c>
      <c r="C71">
        <v>6</v>
      </c>
      <c r="D71" t="s">
        <v>175</v>
      </c>
      <c r="E71" t="s">
        <v>105</v>
      </c>
      <c r="F71">
        <v>25.2</v>
      </c>
      <c r="G71">
        <v>3</v>
      </c>
      <c r="H71">
        <v>72</v>
      </c>
      <c r="I71" t="s">
        <v>94</v>
      </c>
      <c r="K71">
        <v>2</v>
      </c>
      <c r="L71">
        <v>6</v>
      </c>
      <c r="M71" t="s">
        <v>238</v>
      </c>
      <c r="N71" t="s">
        <v>105</v>
      </c>
      <c r="O71">
        <v>21.4</v>
      </c>
      <c r="P71">
        <v>3</v>
      </c>
      <c r="Q71">
        <v>92</v>
      </c>
      <c r="R71" t="s">
        <v>94</v>
      </c>
    </row>
    <row r="72" spans="2:18" x14ac:dyDescent="0.25">
      <c r="B72">
        <v>2</v>
      </c>
      <c r="C72">
        <v>7</v>
      </c>
      <c r="D72" t="s">
        <v>236</v>
      </c>
      <c r="E72" t="s">
        <v>105</v>
      </c>
      <c r="F72">
        <v>19.399999999999999</v>
      </c>
      <c r="G72">
        <v>3</v>
      </c>
      <c r="H72">
        <v>72</v>
      </c>
      <c r="I72" t="s">
        <v>94</v>
      </c>
      <c r="K72">
        <v>2</v>
      </c>
      <c r="L72">
        <v>7</v>
      </c>
      <c r="M72" t="s">
        <v>167</v>
      </c>
      <c r="N72" t="s">
        <v>105</v>
      </c>
      <c r="O72">
        <v>25.1</v>
      </c>
      <c r="P72">
        <v>3</v>
      </c>
      <c r="Q72">
        <v>92</v>
      </c>
      <c r="R72" t="s">
        <v>94</v>
      </c>
    </row>
    <row r="73" spans="2:18" x14ac:dyDescent="0.25">
      <c r="B73">
        <v>2</v>
      </c>
      <c r="C73">
        <v>8</v>
      </c>
      <c r="D73" t="s">
        <v>253</v>
      </c>
      <c r="E73" t="s">
        <v>149</v>
      </c>
      <c r="F73">
        <v>35</v>
      </c>
      <c r="G73">
        <v>4</v>
      </c>
      <c r="H73">
        <v>72</v>
      </c>
      <c r="I73" t="s">
        <v>94</v>
      </c>
      <c r="K73">
        <v>2</v>
      </c>
      <c r="L73">
        <v>8</v>
      </c>
      <c r="M73" t="s">
        <v>239</v>
      </c>
      <c r="N73" t="s">
        <v>105</v>
      </c>
      <c r="O73">
        <v>28.9</v>
      </c>
      <c r="P73">
        <v>4</v>
      </c>
      <c r="Q73">
        <v>92</v>
      </c>
      <c r="R73" t="s">
        <v>94</v>
      </c>
    </row>
    <row r="74" spans="2:18" x14ac:dyDescent="0.25">
      <c r="B74">
        <v>2</v>
      </c>
      <c r="C74">
        <v>9</v>
      </c>
      <c r="D74" t="s">
        <v>250</v>
      </c>
      <c r="E74" t="s">
        <v>105</v>
      </c>
      <c r="F74">
        <v>31.8</v>
      </c>
      <c r="G74">
        <v>4</v>
      </c>
      <c r="H74">
        <v>72</v>
      </c>
      <c r="I74" t="s">
        <v>94</v>
      </c>
      <c r="K74">
        <v>2</v>
      </c>
      <c r="L74">
        <v>9</v>
      </c>
      <c r="M74" t="s">
        <v>240</v>
      </c>
      <c r="N74" t="s">
        <v>105</v>
      </c>
      <c r="O74">
        <v>20.399999999999999</v>
      </c>
      <c r="P74">
        <v>3</v>
      </c>
      <c r="Q74">
        <v>92</v>
      </c>
      <c r="R74" t="s">
        <v>94</v>
      </c>
    </row>
    <row r="75" spans="2:18" x14ac:dyDescent="0.25">
      <c r="B75">
        <v>2</v>
      </c>
      <c r="C75">
        <v>10</v>
      </c>
      <c r="D75" t="s">
        <v>241</v>
      </c>
      <c r="E75" t="s">
        <v>105</v>
      </c>
      <c r="F75">
        <v>23.2</v>
      </c>
      <c r="G75">
        <v>3</v>
      </c>
      <c r="H75">
        <v>73</v>
      </c>
      <c r="I75" t="s">
        <v>94</v>
      </c>
      <c r="K75">
        <v>2</v>
      </c>
      <c r="L75">
        <v>10</v>
      </c>
      <c r="M75" t="s">
        <v>169</v>
      </c>
      <c r="N75" t="s">
        <v>105</v>
      </c>
      <c r="O75">
        <v>21.5</v>
      </c>
      <c r="P75">
        <v>3</v>
      </c>
      <c r="Q75">
        <v>92</v>
      </c>
      <c r="R75" t="s">
        <v>94</v>
      </c>
    </row>
    <row r="76" spans="2:18" x14ac:dyDescent="0.25">
      <c r="B76">
        <v>2</v>
      </c>
      <c r="C76">
        <v>11</v>
      </c>
      <c r="D76" t="s">
        <v>238</v>
      </c>
      <c r="E76" t="s">
        <v>105</v>
      </c>
      <c r="F76">
        <v>21.4</v>
      </c>
      <c r="G76">
        <v>3</v>
      </c>
      <c r="H76">
        <v>74</v>
      </c>
      <c r="I76" t="s">
        <v>94</v>
      </c>
      <c r="K76">
        <v>2</v>
      </c>
      <c r="L76">
        <v>11</v>
      </c>
      <c r="M76" t="s">
        <v>241</v>
      </c>
      <c r="N76" t="s">
        <v>105</v>
      </c>
      <c r="O76">
        <v>23.2</v>
      </c>
      <c r="P76">
        <v>3</v>
      </c>
      <c r="Q76">
        <v>93</v>
      </c>
      <c r="R76" t="s">
        <v>94</v>
      </c>
    </row>
    <row r="77" spans="2:18" x14ac:dyDescent="0.25">
      <c r="B77">
        <v>2</v>
      </c>
      <c r="C77">
        <v>12</v>
      </c>
      <c r="D77" t="s">
        <v>169</v>
      </c>
      <c r="E77" t="s">
        <v>105</v>
      </c>
      <c r="F77">
        <v>21.5</v>
      </c>
      <c r="G77">
        <v>3</v>
      </c>
      <c r="H77">
        <v>74</v>
      </c>
      <c r="I77" t="s">
        <v>94</v>
      </c>
      <c r="K77">
        <v>2</v>
      </c>
      <c r="L77">
        <v>12</v>
      </c>
      <c r="M77" t="s">
        <v>163</v>
      </c>
      <c r="N77" t="s">
        <v>105</v>
      </c>
      <c r="O77">
        <v>18.8</v>
      </c>
      <c r="P77">
        <v>3</v>
      </c>
      <c r="Q77">
        <v>93</v>
      </c>
      <c r="R77" t="s">
        <v>94</v>
      </c>
    </row>
    <row r="78" spans="2:18" x14ac:dyDescent="0.25">
      <c r="B78">
        <v>2</v>
      </c>
      <c r="C78">
        <v>13</v>
      </c>
      <c r="D78" t="s">
        <v>249</v>
      </c>
      <c r="E78" t="s">
        <v>105</v>
      </c>
      <c r="F78">
        <v>25.8</v>
      </c>
      <c r="G78">
        <v>3</v>
      </c>
      <c r="H78">
        <v>75</v>
      </c>
      <c r="I78" t="s">
        <v>94</v>
      </c>
      <c r="K78">
        <v>2</v>
      </c>
      <c r="L78">
        <v>13</v>
      </c>
      <c r="M78" t="s">
        <v>242</v>
      </c>
      <c r="N78" t="s">
        <v>105</v>
      </c>
      <c r="O78">
        <v>19.899999999999999</v>
      </c>
      <c r="P78">
        <v>3</v>
      </c>
      <c r="Q78">
        <v>93</v>
      </c>
      <c r="R78" t="s">
        <v>94</v>
      </c>
    </row>
    <row r="79" spans="2:18" x14ac:dyDescent="0.25">
      <c r="B79">
        <v>2</v>
      </c>
      <c r="C79">
        <v>14</v>
      </c>
      <c r="D79" t="s">
        <v>168</v>
      </c>
      <c r="E79" t="s">
        <v>105</v>
      </c>
      <c r="F79">
        <v>18.899999999999999</v>
      </c>
      <c r="G79">
        <v>3</v>
      </c>
      <c r="H79">
        <v>75</v>
      </c>
      <c r="I79" t="s">
        <v>94</v>
      </c>
      <c r="K79">
        <v>2</v>
      </c>
      <c r="L79">
        <v>14</v>
      </c>
      <c r="M79" t="s">
        <v>175</v>
      </c>
      <c r="N79" t="s">
        <v>105</v>
      </c>
      <c r="O79">
        <v>25.2</v>
      </c>
      <c r="P79">
        <v>3</v>
      </c>
      <c r="Q79">
        <v>94</v>
      </c>
      <c r="R79" t="s">
        <v>94</v>
      </c>
    </row>
    <row r="80" spans="2:18" x14ac:dyDescent="0.25">
      <c r="B80">
        <v>2</v>
      </c>
      <c r="C80">
        <v>15</v>
      </c>
      <c r="D80" t="s">
        <v>243</v>
      </c>
      <c r="E80" t="s">
        <v>105</v>
      </c>
      <c r="F80">
        <v>22.2</v>
      </c>
      <c r="G80">
        <v>3</v>
      </c>
      <c r="H80">
        <v>75</v>
      </c>
      <c r="I80" t="s">
        <v>94</v>
      </c>
      <c r="K80">
        <v>2</v>
      </c>
      <c r="L80">
        <v>15</v>
      </c>
      <c r="M80" t="s">
        <v>243</v>
      </c>
      <c r="N80" t="s">
        <v>105</v>
      </c>
      <c r="O80">
        <v>22.2</v>
      </c>
      <c r="P80">
        <v>3</v>
      </c>
      <c r="Q80">
        <v>94</v>
      </c>
      <c r="R80" t="s">
        <v>94</v>
      </c>
    </row>
    <row r="81" spans="2:18" x14ac:dyDescent="0.25">
      <c r="B81">
        <v>2</v>
      </c>
      <c r="C81">
        <v>16</v>
      </c>
      <c r="D81" t="s">
        <v>247</v>
      </c>
      <c r="E81" t="s">
        <v>109</v>
      </c>
      <c r="F81">
        <v>23.5</v>
      </c>
      <c r="G81">
        <v>3</v>
      </c>
      <c r="H81">
        <v>75</v>
      </c>
      <c r="I81" t="s">
        <v>94</v>
      </c>
      <c r="K81">
        <v>2</v>
      </c>
      <c r="L81">
        <v>16</v>
      </c>
      <c r="M81" t="s">
        <v>244</v>
      </c>
      <c r="N81" t="s">
        <v>105</v>
      </c>
      <c r="O81">
        <v>22</v>
      </c>
      <c r="P81">
        <v>3</v>
      </c>
      <c r="Q81">
        <v>94</v>
      </c>
      <c r="R81" t="s">
        <v>94</v>
      </c>
    </row>
    <row r="82" spans="2:18" x14ac:dyDescent="0.25">
      <c r="B82">
        <v>2</v>
      </c>
      <c r="C82">
        <v>17</v>
      </c>
      <c r="D82" t="s">
        <v>240</v>
      </c>
      <c r="E82" t="s">
        <v>105</v>
      </c>
      <c r="F82">
        <v>20.399999999999999</v>
      </c>
      <c r="G82">
        <v>3</v>
      </c>
      <c r="H82">
        <v>75</v>
      </c>
      <c r="I82" t="s">
        <v>94</v>
      </c>
      <c r="K82">
        <v>2</v>
      </c>
      <c r="L82">
        <v>17</v>
      </c>
      <c r="M82" t="s">
        <v>245</v>
      </c>
      <c r="N82" t="s">
        <v>105</v>
      </c>
      <c r="O82">
        <v>20.7</v>
      </c>
      <c r="P82">
        <v>3</v>
      </c>
      <c r="Q82">
        <v>94</v>
      </c>
      <c r="R82" t="s">
        <v>94</v>
      </c>
    </row>
    <row r="83" spans="2:18" x14ac:dyDescent="0.25">
      <c r="B83">
        <v>2</v>
      </c>
      <c r="C83">
        <v>18</v>
      </c>
      <c r="D83" t="s">
        <v>244</v>
      </c>
      <c r="E83" t="s">
        <v>105</v>
      </c>
      <c r="F83">
        <v>22</v>
      </c>
      <c r="G83">
        <v>3</v>
      </c>
      <c r="H83">
        <v>76</v>
      </c>
      <c r="I83" t="s">
        <v>94</v>
      </c>
      <c r="K83">
        <v>2</v>
      </c>
      <c r="L83">
        <v>18</v>
      </c>
      <c r="M83" t="s">
        <v>179</v>
      </c>
      <c r="N83" t="s">
        <v>105</v>
      </c>
      <c r="O83">
        <v>20.100000000000001</v>
      </c>
      <c r="P83">
        <v>3</v>
      </c>
      <c r="Q83">
        <v>94</v>
      </c>
      <c r="R83" t="s">
        <v>94</v>
      </c>
    </row>
    <row r="84" spans="2:18" x14ac:dyDescent="0.25">
      <c r="B84">
        <v>2</v>
      </c>
      <c r="C84">
        <v>19</v>
      </c>
      <c r="D84" t="s">
        <v>245</v>
      </c>
      <c r="E84" t="s">
        <v>105</v>
      </c>
      <c r="F84">
        <v>20.7</v>
      </c>
      <c r="G84">
        <v>3</v>
      </c>
      <c r="H84">
        <v>77</v>
      </c>
      <c r="I84" t="s">
        <v>94</v>
      </c>
      <c r="K84">
        <v>2</v>
      </c>
      <c r="L84">
        <v>19</v>
      </c>
      <c r="M84" t="s">
        <v>246</v>
      </c>
      <c r="N84" t="s">
        <v>105</v>
      </c>
      <c r="O84">
        <v>21.3</v>
      </c>
      <c r="P84">
        <v>3</v>
      </c>
      <c r="Q84">
        <v>95</v>
      </c>
      <c r="R84" t="s">
        <v>94</v>
      </c>
    </row>
    <row r="85" spans="2:18" x14ac:dyDescent="0.25">
      <c r="B85">
        <v>2</v>
      </c>
      <c r="C85">
        <v>20</v>
      </c>
      <c r="D85" t="s">
        <v>246</v>
      </c>
      <c r="E85" t="s">
        <v>105</v>
      </c>
      <c r="F85">
        <v>21.3</v>
      </c>
      <c r="G85">
        <v>3</v>
      </c>
      <c r="H85">
        <v>77</v>
      </c>
      <c r="I85" t="s">
        <v>94</v>
      </c>
      <c r="K85">
        <v>2</v>
      </c>
      <c r="L85">
        <v>20</v>
      </c>
      <c r="M85" t="s">
        <v>247</v>
      </c>
      <c r="N85" t="s">
        <v>109</v>
      </c>
      <c r="O85">
        <v>23.5</v>
      </c>
      <c r="P85">
        <v>3</v>
      </c>
      <c r="Q85">
        <v>95</v>
      </c>
      <c r="R85" t="s">
        <v>94</v>
      </c>
    </row>
    <row r="86" spans="2:18" x14ac:dyDescent="0.25">
      <c r="B86">
        <v>2</v>
      </c>
      <c r="C86">
        <v>21</v>
      </c>
      <c r="D86" t="s">
        <v>248</v>
      </c>
      <c r="E86" t="s">
        <v>105</v>
      </c>
      <c r="F86">
        <v>22.6</v>
      </c>
      <c r="G86">
        <v>3</v>
      </c>
      <c r="H86">
        <v>77</v>
      </c>
      <c r="I86" t="s">
        <v>94</v>
      </c>
      <c r="K86">
        <v>2</v>
      </c>
      <c r="L86">
        <v>21</v>
      </c>
      <c r="M86" t="s">
        <v>248</v>
      </c>
      <c r="N86" t="s">
        <v>105</v>
      </c>
      <c r="O86">
        <v>22.6</v>
      </c>
      <c r="P86">
        <v>3</v>
      </c>
      <c r="Q86">
        <v>96</v>
      </c>
      <c r="R86" t="s">
        <v>94</v>
      </c>
    </row>
    <row r="87" spans="2:18" x14ac:dyDescent="0.25">
      <c r="B87">
        <v>2</v>
      </c>
      <c r="C87">
        <v>22</v>
      </c>
      <c r="D87" t="s">
        <v>242</v>
      </c>
      <c r="E87" t="s">
        <v>105</v>
      </c>
      <c r="F87">
        <v>19.899999999999999</v>
      </c>
      <c r="G87">
        <v>3</v>
      </c>
      <c r="H87">
        <v>77</v>
      </c>
      <c r="I87" t="s">
        <v>94</v>
      </c>
      <c r="K87">
        <v>2</v>
      </c>
      <c r="L87">
        <v>22</v>
      </c>
      <c r="M87" t="s">
        <v>249</v>
      </c>
      <c r="N87" t="s">
        <v>105</v>
      </c>
      <c r="O87">
        <v>25.8</v>
      </c>
      <c r="P87">
        <v>3</v>
      </c>
      <c r="Q87">
        <v>97</v>
      </c>
      <c r="R87" t="s">
        <v>94</v>
      </c>
    </row>
    <row r="88" spans="2:18" x14ac:dyDescent="0.25">
      <c r="B88">
        <v>2</v>
      </c>
      <c r="C88">
        <v>23</v>
      </c>
      <c r="D88" t="s">
        <v>251</v>
      </c>
      <c r="E88" t="s">
        <v>105</v>
      </c>
      <c r="F88">
        <v>23</v>
      </c>
      <c r="G88">
        <v>3</v>
      </c>
      <c r="H88">
        <v>78</v>
      </c>
      <c r="I88" t="s">
        <v>94</v>
      </c>
      <c r="K88">
        <v>2</v>
      </c>
      <c r="L88">
        <v>23</v>
      </c>
      <c r="M88" t="s">
        <v>250</v>
      </c>
      <c r="N88" t="s">
        <v>105</v>
      </c>
      <c r="O88">
        <v>31.8</v>
      </c>
      <c r="P88">
        <v>4</v>
      </c>
      <c r="Q88">
        <v>97</v>
      </c>
      <c r="R88" t="s">
        <v>94</v>
      </c>
    </row>
    <row r="89" spans="2:18" x14ac:dyDescent="0.25">
      <c r="B89">
        <v>2</v>
      </c>
      <c r="C89">
        <v>24</v>
      </c>
      <c r="D89" t="s">
        <v>163</v>
      </c>
      <c r="E89" t="s">
        <v>105</v>
      </c>
      <c r="F89">
        <v>18.8</v>
      </c>
      <c r="G89">
        <v>3</v>
      </c>
      <c r="H89">
        <v>78</v>
      </c>
      <c r="I89" t="s">
        <v>94</v>
      </c>
      <c r="K89">
        <v>2</v>
      </c>
      <c r="L89">
        <v>24</v>
      </c>
      <c r="M89" t="s">
        <v>172</v>
      </c>
      <c r="N89" t="s">
        <v>105</v>
      </c>
      <c r="O89">
        <v>20.6</v>
      </c>
      <c r="P89">
        <v>3</v>
      </c>
      <c r="Q89">
        <v>98</v>
      </c>
      <c r="R89" t="s">
        <v>94</v>
      </c>
    </row>
    <row r="90" spans="2:18" x14ac:dyDescent="0.25">
      <c r="B90">
        <v>2</v>
      </c>
      <c r="C90">
        <v>25</v>
      </c>
      <c r="D90" t="s">
        <v>252</v>
      </c>
      <c r="E90" t="s">
        <v>105</v>
      </c>
      <c r="F90">
        <v>25.5</v>
      </c>
      <c r="G90">
        <v>3</v>
      </c>
      <c r="H90">
        <v>78</v>
      </c>
      <c r="I90" t="s">
        <v>94</v>
      </c>
      <c r="K90">
        <v>2</v>
      </c>
      <c r="L90">
        <v>25</v>
      </c>
      <c r="M90" t="s">
        <v>251</v>
      </c>
      <c r="N90" t="s">
        <v>105</v>
      </c>
      <c r="O90">
        <v>23</v>
      </c>
      <c r="P90">
        <v>3</v>
      </c>
      <c r="Q90">
        <v>98</v>
      </c>
      <c r="R90" t="s">
        <v>94</v>
      </c>
    </row>
    <row r="91" spans="2:18" x14ac:dyDescent="0.25">
      <c r="B91">
        <v>2</v>
      </c>
      <c r="C91">
        <v>26</v>
      </c>
      <c r="D91" t="s">
        <v>179</v>
      </c>
      <c r="E91" t="s">
        <v>105</v>
      </c>
      <c r="F91">
        <v>20.100000000000001</v>
      </c>
      <c r="G91">
        <v>3</v>
      </c>
      <c r="H91">
        <v>78</v>
      </c>
      <c r="I91" t="s">
        <v>94</v>
      </c>
      <c r="K91">
        <v>2</v>
      </c>
      <c r="L91">
        <v>26</v>
      </c>
      <c r="M91" t="s">
        <v>164</v>
      </c>
      <c r="N91" t="s">
        <v>105</v>
      </c>
      <c r="O91">
        <v>22.7</v>
      </c>
      <c r="P91">
        <v>3</v>
      </c>
      <c r="Q91">
        <v>98</v>
      </c>
      <c r="R91" t="s">
        <v>94</v>
      </c>
    </row>
    <row r="92" spans="2:18" x14ac:dyDescent="0.25">
      <c r="B92">
        <v>2</v>
      </c>
      <c r="C92">
        <v>27</v>
      </c>
      <c r="D92" t="s">
        <v>164</v>
      </c>
      <c r="E92" t="s">
        <v>105</v>
      </c>
      <c r="F92">
        <v>22.7</v>
      </c>
      <c r="G92">
        <v>3</v>
      </c>
      <c r="H92">
        <v>79</v>
      </c>
      <c r="I92" t="s">
        <v>94</v>
      </c>
      <c r="K92">
        <v>2</v>
      </c>
      <c r="L92">
        <v>27</v>
      </c>
      <c r="M92" t="s">
        <v>252</v>
      </c>
      <c r="N92" t="s">
        <v>105</v>
      </c>
      <c r="O92">
        <v>25.5</v>
      </c>
      <c r="P92">
        <v>3</v>
      </c>
      <c r="Q92">
        <v>100</v>
      </c>
      <c r="R92" t="s">
        <v>94</v>
      </c>
    </row>
    <row r="93" spans="2:18" x14ac:dyDescent="0.25">
      <c r="B93">
        <v>2</v>
      </c>
      <c r="C93">
        <v>28</v>
      </c>
      <c r="D93" t="s">
        <v>172</v>
      </c>
      <c r="E93" t="s">
        <v>105</v>
      </c>
      <c r="F93">
        <v>20.6</v>
      </c>
      <c r="G93">
        <v>3</v>
      </c>
      <c r="H93">
        <v>81</v>
      </c>
      <c r="I93" t="s">
        <v>94</v>
      </c>
      <c r="K93">
        <v>2</v>
      </c>
      <c r="L93">
        <v>28</v>
      </c>
      <c r="M93" t="s">
        <v>253</v>
      </c>
      <c r="N93" t="s">
        <v>149</v>
      </c>
      <c r="O93">
        <v>35</v>
      </c>
      <c r="P93">
        <v>4</v>
      </c>
      <c r="Q93">
        <v>101</v>
      </c>
      <c r="R93" t="s">
        <v>94</v>
      </c>
    </row>
    <row r="94" spans="2:18" x14ac:dyDescent="0.25">
      <c r="B94">
        <v>2</v>
      </c>
      <c r="C94">
        <v>29</v>
      </c>
      <c r="D94" t="s">
        <v>180</v>
      </c>
      <c r="E94" t="s">
        <v>105</v>
      </c>
      <c r="F94">
        <v>26.4</v>
      </c>
      <c r="G94">
        <v>3</v>
      </c>
      <c r="H94">
        <v>84</v>
      </c>
      <c r="I94" t="s">
        <v>94</v>
      </c>
      <c r="K94">
        <v>2</v>
      </c>
      <c r="L94">
        <v>29</v>
      </c>
      <c r="M94" t="s">
        <v>180</v>
      </c>
      <c r="N94" t="s">
        <v>105</v>
      </c>
      <c r="O94">
        <v>26.4</v>
      </c>
      <c r="P94">
        <v>3</v>
      </c>
      <c r="Q94">
        <v>107</v>
      </c>
      <c r="R94" t="s">
        <v>94</v>
      </c>
    </row>
    <row r="95" spans="2:18" x14ac:dyDescent="0.25">
      <c r="B95">
        <v>2</v>
      </c>
      <c r="C95">
        <v>1</v>
      </c>
      <c r="D95" t="s">
        <v>190</v>
      </c>
      <c r="E95" t="s">
        <v>105</v>
      </c>
      <c r="F95">
        <v>15.7</v>
      </c>
      <c r="G95">
        <v>2</v>
      </c>
      <c r="H95">
        <v>70</v>
      </c>
      <c r="I95" t="s">
        <v>95</v>
      </c>
      <c r="K95">
        <v>2</v>
      </c>
      <c r="L95">
        <v>1</v>
      </c>
      <c r="M95" t="s">
        <v>183</v>
      </c>
      <c r="N95" t="s">
        <v>105</v>
      </c>
      <c r="O95">
        <v>8.1999999999999993</v>
      </c>
      <c r="P95">
        <v>1</v>
      </c>
      <c r="Q95">
        <v>81</v>
      </c>
      <c r="R95" t="s">
        <v>95</v>
      </c>
    </row>
    <row r="96" spans="2:18" x14ac:dyDescent="0.25">
      <c r="B96">
        <v>2</v>
      </c>
      <c r="C96">
        <v>2</v>
      </c>
      <c r="D96" t="s">
        <v>183</v>
      </c>
      <c r="E96" t="s">
        <v>105</v>
      </c>
      <c r="F96">
        <v>8.1999999999999993</v>
      </c>
      <c r="G96">
        <v>1</v>
      </c>
      <c r="H96">
        <v>71</v>
      </c>
      <c r="I96" t="s">
        <v>95</v>
      </c>
      <c r="K96">
        <v>2</v>
      </c>
      <c r="L96">
        <v>2</v>
      </c>
      <c r="M96" t="s">
        <v>187</v>
      </c>
      <c r="N96" t="s">
        <v>105</v>
      </c>
      <c r="O96">
        <v>14.3</v>
      </c>
      <c r="P96">
        <v>2</v>
      </c>
      <c r="Q96">
        <v>87</v>
      </c>
      <c r="R96" t="s">
        <v>95</v>
      </c>
    </row>
    <row r="97" spans="2:18" x14ac:dyDescent="0.25">
      <c r="B97">
        <v>2</v>
      </c>
      <c r="C97">
        <v>3</v>
      </c>
      <c r="D97" t="s">
        <v>187</v>
      </c>
      <c r="E97" t="s">
        <v>105</v>
      </c>
      <c r="F97">
        <v>14.3</v>
      </c>
      <c r="G97">
        <v>2</v>
      </c>
      <c r="H97">
        <v>71</v>
      </c>
      <c r="I97" t="s">
        <v>95</v>
      </c>
      <c r="K97">
        <v>2</v>
      </c>
      <c r="L97">
        <v>3</v>
      </c>
      <c r="M97" t="s">
        <v>190</v>
      </c>
      <c r="N97" t="s">
        <v>105</v>
      </c>
      <c r="O97">
        <v>15.7</v>
      </c>
      <c r="P97">
        <v>2</v>
      </c>
      <c r="Q97">
        <v>88</v>
      </c>
      <c r="R97" t="s">
        <v>95</v>
      </c>
    </row>
    <row r="98" spans="2:18" x14ac:dyDescent="0.25">
      <c r="B98">
        <v>2</v>
      </c>
      <c r="C98">
        <v>4</v>
      </c>
      <c r="D98" t="s">
        <v>254</v>
      </c>
      <c r="E98" t="s">
        <v>105</v>
      </c>
      <c r="F98">
        <v>16.899999999999999</v>
      </c>
      <c r="G98">
        <v>2</v>
      </c>
      <c r="H98">
        <v>78</v>
      </c>
      <c r="I98" t="s">
        <v>95</v>
      </c>
      <c r="K98">
        <v>2</v>
      </c>
      <c r="L98">
        <v>4</v>
      </c>
      <c r="M98" t="s">
        <v>254</v>
      </c>
      <c r="N98" t="s">
        <v>105</v>
      </c>
      <c r="O98">
        <v>16.899999999999999</v>
      </c>
      <c r="P98">
        <v>2</v>
      </c>
      <c r="Q98">
        <v>97</v>
      </c>
      <c r="R98" t="s">
        <v>95</v>
      </c>
    </row>
    <row r="99" spans="2:18" x14ac:dyDescent="0.25">
      <c r="B99">
        <v>2</v>
      </c>
      <c r="C99">
        <v>1</v>
      </c>
      <c r="D99" t="s">
        <v>255</v>
      </c>
      <c r="E99" t="s">
        <v>105</v>
      </c>
      <c r="F99">
        <v>31.7</v>
      </c>
      <c r="G99">
        <v>4</v>
      </c>
      <c r="H99">
        <v>68</v>
      </c>
      <c r="I99" t="s">
        <v>95</v>
      </c>
      <c r="K99">
        <v>2</v>
      </c>
      <c r="L99">
        <v>1</v>
      </c>
      <c r="M99" t="s">
        <v>255</v>
      </c>
      <c r="N99" t="s">
        <v>105</v>
      </c>
      <c r="O99">
        <v>31.7</v>
      </c>
      <c r="P99">
        <v>4</v>
      </c>
      <c r="Q99">
        <v>96</v>
      </c>
      <c r="R99" t="s">
        <v>95</v>
      </c>
    </row>
    <row r="100" spans="2:18" x14ac:dyDescent="0.25">
      <c r="B100">
        <v>2</v>
      </c>
      <c r="C100">
        <v>2</v>
      </c>
      <c r="D100" t="s">
        <v>256</v>
      </c>
      <c r="E100" t="s">
        <v>105</v>
      </c>
      <c r="F100">
        <v>32.1</v>
      </c>
      <c r="G100">
        <v>4</v>
      </c>
      <c r="H100">
        <v>71</v>
      </c>
      <c r="I100" t="s">
        <v>95</v>
      </c>
      <c r="K100">
        <v>2</v>
      </c>
      <c r="L100">
        <v>2</v>
      </c>
      <c r="M100" t="s">
        <v>192</v>
      </c>
      <c r="N100" t="s">
        <v>105</v>
      </c>
      <c r="O100">
        <v>29</v>
      </c>
      <c r="P100">
        <v>4</v>
      </c>
      <c r="Q100">
        <v>99</v>
      </c>
      <c r="R100" t="s">
        <v>95</v>
      </c>
    </row>
    <row r="101" spans="2:18" x14ac:dyDescent="0.25">
      <c r="B101">
        <v>2</v>
      </c>
      <c r="C101">
        <v>3</v>
      </c>
      <c r="D101" t="s">
        <v>192</v>
      </c>
      <c r="E101" t="s">
        <v>105</v>
      </c>
      <c r="F101">
        <v>29</v>
      </c>
      <c r="G101">
        <v>4</v>
      </c>
      <c r="H101">
        <v>73</v>
      </c>
      <c r="I101" t="s">
        <v>95</v>
      </c>
      <c r="K101">
        <v>2</v>
      </c>
      <c r="L101">
        <v>3</v>
      </c>
      <c r="M101" t="s">
        <v>256</v>
      </c>
      <c r="N101" t="s">
        <v>105</v>
      </c>
      <c r="O101">
        <v>32.1</v>
      </c>
      <c r="P101">
        <v>4</v>
      </c>
      <c r="Q101">
        <v>100</v>
      </c>
      <c r="R101" t="s">
        <v>95</v>
      </c>
    </row>
    <row r="102" spans="2:18" x14ac:dyDescent="0.25">
      <c r="B102">
        <v>2</v>
      </c>
      <c r="C102">
        <v>4</v>
      </c>
      <c r="D102" t="s">
        <v>257</v>
      </c>
      <c r="E102" t="s">
        <v>105</v>
      </c>
      <c r="F102">
        <v>25.6</v>
      </c>
      <c r="G102">
        <v>3</v>
      </c>
      <c r="H102">
        <v>85</v>
      </c>
      <c r="I102" t="s">
        <v>95</v>
      </c>
      <c r="K102">
        <v>2</v>
      </c>
      <c r="L102">
        <v>4</v>
      </c>
      <c r="M102" t="s">
        <v>257</v>
      </c>
      <c r="N102" t="s">
        <v>105</v>
      </c>
      <c r="O102">
        <v>25.6</v>
      </c>
      <c r="P102">
        <v>3</v>
      </c>
      <c r="Q102">
        <v>110</v>
      </c>
      <c r="R102" t="s">
        <v>95</v>
      </c>
    </row>
    <row r="103" spans="2:18" x14ac:dyDescent="0.25">
      <c r="F103"/>
      <c r="O103"/>
    </row>
    <row r="104" spans="2:18" x14ac:dyDescent="0.25">
      <c r="F104"/>
      <c r="O104"/>
    </row>
    <row r="105" spans="2:18" x14ac:dyDescent="0.25">
      <c r="F105"/>
      <c r="O105"/>
    </row>
    <row r="106" spans="2:18" x14ac:dyDescent="0.25">
      <c r="F106"/>
      <c r="O106"/>
    </row>
    <row r="107" spans="2:18" x14ac:dyDescent="0.25">
      <c r="F107"/>
      <c r="O107"/>
    </row>
    <row r="108" spans="2:18" x14ac:dyDescent="0.25">
      <c r="F108"/>
      <c r="O108"/>
    </row>
    <row r="109" spans="2:18" x14ac:dyDescent="0.25">
      <c r="F109"/>
      <c r="O109"/>
    </row>
    <row r="110" spans="2:18" x14ac:dyDescent="0.25">
      <c r="F110"/>
      <c r="O110"/>
    </row>
    <row r="111" spans="2:18" x14ac:dyDescent="0.25">
      <c r="F111"/>
      <c r="O111"/>
    </row>
    <row r="112" spans="2:18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ImportExportFileFor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InsertTourFromImport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ImportFileStaticOrAsk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ImportExportFileForAllTour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topLeftCell="A62" zoomScale="55" zoomScaleNormal="55" workbookViewId="0">
      <pane xSplit="5" topLeftCell="G1" activePane="topRight" state="frozen"/>
      <selection pane="topRight" activeCell="B4" sqref="B4:AK119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116</v>
      </c>
      <c r="C2" s="71" t="s">
        <v>37</v>
      </c>
      <c r="E2" s="19"/>
      <c r="F2" s="192" t="s">
        <v>18</v>
      </c>
      <c r="G2" s="193"/>
      <c r="H2" s="193"/>
      <c r="I2" s="194"/>
      <c r="J2" s="195" t="s">
        <v>19</v>
      </c>
      <c r="K2" s="196"/>
      <c r="L2" s="196"/>
      <c r="M2" s="197"/>
      <c r="N2" s="198" t="s">
        <v>20</v>
      </c>
      <c r="O2" s="193"/>
      <c r="P2" s="193"/>
      <c r="Q2" s="194"/>
      <c r="R2" s="195" t="s">
        <v>21</v>
      </c>
      <c r="S2" s="196"/>
      <c r="T2" s="196"/>
      <c r="U2" s="197"/>
      <c r="V2" s="198" t="s">
        <v>22</v>
      </c>
      <c r="W2" s="193"/>
      <c r="X2" s="193"/>
      <c r="Y2" s="194"/>
      <c r="Z2" s="195" t="s">
        <v>23</v>
      </c>
      <c r="AA2" s="196"/>
      <c r="AB2" s="196"/>
      <c r="AC2" s="199"/>
      <c r="AD2" s="185" t="s">
        <v>82</v>
      </c>
      <c r="AE2" s="186"/>
      <c r="AF2" s="187" t="s">
        <v>17</v>
      </c>
      <c r="AG2" s="188"/>
      <c r="AH2" s="188"/>
      <c r="AI2" s="189"/>
      <c r="AJ2" s="190" t="s">
        <v>25</v>
      </c>
      <c r="AK2" s="191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 t="s">
        <v>232</v>
      </c>
      <c r="C4" s="163" t="s">
        <v>105</v>
      </c>
      <c r="D4" s="163">
        <v>17.899999999999999</v>
      </c>
      <c r="E4" s="163" t="s">
        <v>204</v>
      </c>
      <c r="F4" s="163"/>
      <c r="G4" s="163"/>
      <c r="H4" s="163"/>
      <c r="I4" s="163"/>
      <c r="J4" s="163">
        <v>89</v>
      </c>
      <c r="K4" s="163">
        <v>38</v>
      </c>
      <c r="L4" s="163">
        <v>106</v>
      </c>
      <c r="M4" s="163">
        <v>38</v>
      </c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4">
        <f>IF(MIN(F4,J4,N4,R4,V4,Z4)&lt;&gt;0,MIN(F4,J4,N4,R4,V4,Z4),"")</f>
        <v>89</v>
      </c>
      <c r="AE4" s="164">
        <f>IF(MIN(H4,L4,P4,T4,X4,AB4)&lt;&gt;0,MIN(H4,L4,P4,T4,X4,AB4),"")</f>
        <v>106</v>
      </c>
      <c r="AF4" s="164"/>
      <c r="AG4" s="163"/>
      <c r="AH4" s="164"/>
      <c r="AI4" s="163"/>
      <c r="AJ4" s="162" t="str">
        <f>IF(AD4="","",IF(ISBLANK(AF4),"En cours",AD4+AF4))</f>
        <v>En cours</v>
      </c>
      <c r="AK4" s="162" t="str">
        <f>IF(AE4="","",IF(ISBLANK(AH4),"En cours",AE4+AH4))</f>
        <v>En cours</v>
      </c>
    </row>
    <row r="5" spans="2:37" ht="21" x14ac:dyDescent="0.35">
      <c r="B5" s="163" t="s">
        <v>110</v>
      </c>
      <c r="C5" s="163" t="s">
        <v>105</v>
      </c>
      <c r="D5" s="163">
        <v>8.1999999999999993</v>
      </c>
      <c r="E5" s="163" t="s">
        <v>205</v>
      </c>
      <c r="F5" s="163">
        <v>69</v>
      </c>
      <c r="G5" s="163">
        <v>2</v>
      </c>
      <c r="H5" s="163">
        <v>79</v>
      </c>
      <c r="I5" s="163">
        <v>5</v>
      </c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4">
        <f>IF(MIN(F5,J5,N5,R5,V5,Z5)&lt;&gt;0,MIN(F5,J5,N5,R5,V5,Z5),"")</f>
        <v>69</v>
      </c>
      <c r="AE5" s="164">
        <f>IF(MIN(H5,L5,P5,T5,X5,AB5)&lt;&gt;0,MIN(H5,L5,P5,T5,X5,AB5),"")</f>
        <v>79</v>
      </c>
      <c r="AF5" s="164"/>
      <c r="AG5" s="163"/>
      <c r="AH5" s="164"/>
      <c r="AI5" s="163"/>
      <c r="AJ5" s="162" t="str">
        <f>IF(AD5="","",IF(ISBLANK(AF5),"En cours",AD5+AF5))</f>
        <v>En cours</v>
      </c>
      <c r="AK5" s="162" t="str">
        <f>IF(AE5="","",IF(ISBLANK(AH5),"En cours",AE5+AH5))</f>
        <v>En cours</v>
      </c>
    </row>
    <row r="6" spans="2:37" ht="21" x14ac:dyDescent="0.35">
      <c r="B6" s="163" t="s">
        <v>154</v>
      </c>
      <c r="C6" s="163" t="s">
        <v>105</v>
      </c>
      <c r="D6" s="163">
        <v>18.2</v>
      </c>
      <c r="E6" s="163" t="s">
        <v>204</v>
      </c>
      <c r="F6" s="163">
        <v>77</v>
      </c>
      <c r="G6" s="163">
        <v>23</v>
      </c>
      <c r="H6" s="163">
        <v>95</v>
      </c>
      <c r="I6" s="163">
        <v>29</v>
      </c>
      <c r="J6" s="163">
        <v>83</v>
      </c>
      <c r="K6" s="163">
        <v>33</v>
      </c>
      <c r="L6" s="163">
        <v>101</v>
      </c>
      <c r="M6" s="163">
        <v>34</v>
      </c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4">
        <f>IF(MIN(F6,J6,N6,R6,V6,Z6)&lt;&gt;0,MIN(F6,J6,N6,R6,V6,Z6),"")</f>
        <v>77</v>
      </c>
      <c r="AE6" s="164">
        <f>IF(MIN(H6,L6,P6,T6,X6,AB6)&lt;&gt;0,MIN(H6,L6,P6,T6,X6,AB6),"")</f>
        <v>95</v>
      </c>
      <c r="AF6" s="164"/>
      <c r="AG6" s="163"/>
      <c r="AH6" s="164"/>
      <c r="AI6" s="163"/>
      <c r="AJ6" s="162" t="str">
        <f>IF(AD6="","",IF(ISBLANK(AF6),"En cours",AD6+AF6))</f>
        <v>En cours</v>
      </c>
      <c r="AK6" s="162" t="str">
        <f>IF(AE6="","",IF(ISBLANK(AH6),"En cours",AE6+AH6))</f>
        <v>En cours</v>
      </c>
    </row>
    <row r="7" spans="2:37" ht="21" x14ac:dyDescent="0.35">
      <c r="B7" s="163" t="s">
        <v>120</v>
      </c>
      <c r="C7" s="163" t="s">
        <v>105</v>
      </c>
      <c r="D7" s="163">
        <v>7.6</v>
      </c>
      <c r="E7" s="163" t="s">
        <v>205</v>
      </c>
      <c r="F7" s="163">
        <v>80</v>
      </c>
      <c r="G7" s="163">
        <v>16</v>
      </c>
      <c r="H7" s="163">
        <v>89</v>
      </c>
      <c r="I7" s="163">
        <v>15</v>
      </c>
      <c r="J7" s="163">
        <v>72</v>
      </c>
      <c r="K7" s="163">
        <v>4</v>
      </c>
      <c r="L7" s="163">
        <v>81</v>
      </c>
      <c r="M7" s="163">
        <v>4</v>
      </c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4">
        <f>IF(MIN(F7,J7,N7,R7,V7,Z7)&lt;&gt;0,MIN(F7,J7,N7,R7,V7,Z7),"")</f>
        <v>72</v>
      </c>
      <c r="AE7" s="164">
        <f>IF(MIN(H7,L7,P7,T7,X7,AB7)&lt;&gt;0,MIN(H7,L7,P7,T7,X7,AB7),"")</f>
        <v>81</v>
      </c>
      <c r="AF7" s="164"/>
      <c r="AG7" s="163"/>
      <c r="AH7" s="164"/>
      <c r="AI7" s="163"/>
      <c r="AJ7" s="162" t="str">
        <f>IF(AD7="","",IF(ISBLANK(AF7),"En cours",AD7+AF7))</f>
        <v>En cours</v>
      </c>
      <c r="AK7" s="162" t="str">
        <f>IF(AE7="","",IF(ISBLANK(AH7),"En cours",AE7+AH7))</f>
        <v>En cours</v>
      </c>
    </row>
    <row r="8" spans="2:37" ht="21" x14ac:dyDescent="0.35">
      <c r="B8" s="163" t="s">
        <v>123</v>
      </c>
      <c r="C8" s="163" t="s">
        <v>105</v>
      </c>
      <c r="D8" s="163">
        <v>9.6</v>
      </c>
      <c r="E8" s="163" t="s">
        <v>205</v>
      </c>
      <c r="F8" s="163">
        <v>78</v>
      </c>
      <c r="G8" s="163">
        <v>14</v>
      </c>
      <c r="H8" s="163">
        <v>90</v>
      </c>
      <c r="I8" s="163">
        <v>17</v>
      </c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4">
        <f>IF(MIN(F8,J8,N8,R8,V8,Z8)&lt;&gt;0,MIN(F8,J8,N8,R8,V8,Z8),"")</f>
        <v>78</v>
      </c>
      <c r="AE8" s="164">
        <f>IF(MIN(H8,L8,P8,T8,X8,AB8)&lt;&gt;0,MIN(H8,L8,P8,T8,X8,AB8),"")</f>
        <v>90</v>
      </c>
      <c r="AF8" s="164"/>
      <c r="AG8" s="163"/>
      <c r="AH8" s="164"/>
      <c r="AI8" s="163"/>
      <c r="AJ8" s="162" t="str">
        <f>IF(AD8="","",IF(ISBLANK(AF8),"En cours",AD8+AF8))</f>
        <v>En cours</v>
      </c>
      <c r="AK8" s="162" t="str">
        <f>IF(AE8="","",IF(ISBLANK(AH8),"En cours",AE8+AH8))</f>
        <v>En cours</v>
      </c>
    </row>
    <row r="9" spans="2:37" ht="21" x14ac:dyDescent="0.35">
      <c r="B9" s="163" t="s">
        <v>159</v>
      </c>
      <c r="C9" s="163" t="s">
        <v>105</v>
      </c>
      <c r="D9" s="163">
        <v>14.3</v>
      </c>
      <c r="E9" s="163" t="s">
        <v>204</v>
      </c>
      <c r="F9" s="163">
        <v>89</v>
      </c>
      <c r="G9" s="163">
        <v>35</v>
      </c>
      <c r="H9" s="163">
        <v>102</v>
      </c>
      <c r="I9" s="163">
        <v>34</v>
      </c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>
        <f>IF(MIN(F9,J9,N9,R9,V9,Z9)&lt;&gt;0,MIN(F9,J9,N9,R9,V9,Z9),"")</f>
        <v>89</v>
      </c>
      <c r="AE9" s="164">
        <f>IF(MIN(H9,L9,P9,T9,X9,AB9)&lt;&gt;0,MIN(H9,L9,P9,T9,X9,AB9),"")</f>
        <v>102</v>
      </c>
      <c r="AF9" s="164"/>
      <c r="AG9" s="163"/>
      <c r="AH9" s="164"/>
      <c r="AI9" s="163"/>
      <c r="AJ9" s="162" t="str">
        <f>IF(AD9="","",IF(ISBLANK(AF9),"En cours",AD9+AF9))</f>
        <v>En cours</v>
      </c>
      <c r="AK9" s="162" t="str">
        <f>IF(AE9="","",IF(ISBLANK(AH9),"En cours",AE9+AH9))</f>
        <v>En cours</v>
      </c>
    </row>
    <row r="10" spans="2:37" ht="21" x14ac:dyDescent="0.35">
      <c r="B10" s="163" t="s">
        <v>242</v>
      </c>
      <c r="C10" s="163" t="s">
        <v>105</v>
      </c>
      <c r="D10" s="163">
        <v>19.899999999999999</v>
      </c>
      <c r="E10" s="163" t="s">
        <v>207</v>
      </c>
      <c r="F10" s="163"/>
      <c r="G10" s="163"/>
      <c r="H10" s="163"/>
      <c r="I10" s="163"/>
      <c r="J10" s="163">
        <v>77</v>
      </c>
      <c r="K10" s="163">
        <v>22</v>
      </c>
      <c r="L10" s="163">
        <v>93</v>
      </c>
      <c r="M10" s="163">
        <v>13</v>
      </c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>
        <f>IF(MIN(F10,J10,N10,R10,V10,Z10)&lt;&gt;0,MIN(F10,J10,N10,R10,V10,Z10),"")</f>
        <v>77</v>
      </c>
      <c r="AE10" s="164">
        <f>IF(MIN(H10,L10,P10,T10,X10,AB10)&lt;&gt;0,MIN(H10,L10,P10,T10,X10,AB10),"")</f>
        <v>93</v>
      </c>
      <c r="AF10" s="164"/>
      <c r="AG10" s="163"/>
      <c r="AH10" s="164"/>
      <c r="AI10" s="163"/>
      <c r="AJ10" s="162" t="str">
        <f>IF(AD10="","",IF(ISBLANK(AF10),"En cours",AD10+AF10))</f>
        <v>En cours</v>
      </c>
      <c r="AK10" s="162" t="str">
        <f>IF(AE10="","",IF(ISBLANK(AH10),"En cours",AE10+AH10))</f>
        <v>En cours</v>
      </c>
    </row>
    <row r="11" spans="2:37" ht="21" x14ac:dyDescent="0.35">
      <c r="B11" s="163" t="s">
        <v>228</v>
      </c>
      <c r="C11" s="163" t="s">
        <v>105</v>
      </c>
      <c r="D11" s="163">
        <v>14.6</v>
      </c>
      <c r="E11" s="163" t="s">
        <v>204</v>
      </c>
      <c r="F11" s="163"/>
      <c r="G11" s="163"/>
      <c r="H11" s="163"/>
      <c r="I11" s="163"/>
      <c r="J11" s="163">
        <v>80</v>
      </c>
      <c r="K11" s="163">
        <v>26</v>
      </c>
      <c r="L11" s="163">
        <v>94</v>
      </c>
      <c r="M11" s="163">
        <v>27</v>
      </c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4">
        <f>IF(MIN(F11,J11,N11,R11,V11,Z11)&lt;&gt;0,MIN(F11,J11,N11,R11,V11,Z11),"")</f>
        <v>80</v>
      </c>
      <c r="AE11" s="164">
        <f>IF(MIN(H11,L11,P11,T11,X11,AB11)&lt;&gt;0,MIN(H11,L11,P11,T11,X11,AB11),"")</f>
        <v>94</v>
      </c>
      <c r="AF11" s="164"/>
      <c r="AG11" s="163"/>
      <c r="AH11" s="164"/>
      <c r="AI11" s="163"/>
      <c r="AJ11" s="162" t="str">
        <f>IF(AD11="","",IF(ISBLANK(AF11),"En cours",AD11+AF11))</f>
        <v>En cours</v>
      </c>
      <c r="AK11" s="162" t="str">
        <f>IF(AE11="","",IF(ISBLANK(AH11),"En cours",AE11+AH11))</f>
        <v>En cours</v>
      </c>
    </row>
    <row r="12" spans="2:37" ht="21" x14ac:dyDescent="0.35">
      <c r="B12" s="163" t="s">
        <v>160</v>
      </c>
      <c r="C12" s="163" t="s">
        <v>105</v>
      </c>
      <c r="D12" s="163">
        <v>18.3</v>
      </c>
      <c r="E12" s="163" t="s">
        <v>204</v>
      </c>
      <c r="F12" s="163">
        <v>85</v>
      </c>
      <c r="G12" s="163">
        <v>33</v>
      </c>
      <c r="H12" s="163">
        <v>103</v>
      </c>
      <c r="I12" s="163">
        <v>35</v>
      </c>
      <c r="J12" s="163">
        <v>73</v>
      </c>
      <c r="K12" s="163">
        <v>10</v>
      </c>
      <c r="L12" s="163">
        <v>91</v>
      </c>
      <c r="M12" s="163">
        <v>17</v>
      </c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4">
        <f>IF(MIN(F12,J12,N12,R12,V12,Z12)&lt;&gt;0,MIN(F12,J12,N12,R12,V12,Z12),"")</f>
        <v>73</v>
      </c>
      <c r="AE12" s="164">
        <f>IF(MIN(H12,L12,P12,T12,X12,AB12)&lt;&gt;0,MIN(H12,L12,P12,T12,X12,AB12),"")</f>
        <v>91</v>
      </c>
      <c r="AF12" s="164"/>
      <c r="AG12" s="163"/>
      <c r="AH12" s="164"/>
      <c r="AI12" s="163"/>
      <c r="AJ12" s="162" t="str">
        <f>IF(AD12="","",IF(ISBLANK(AF12),"En cours",AD12+AF12))</f>
        <v>En cours</v>
      </c>
      <c r="AK12" s="162" t="str">
        <f>IF(AE12="","",IF(ISBLANK(AH12),"En cours",AE12+AH12))</f>
        <v>En cours</v>
      </c>
    </row>
    <row r="13" spans="2:37" ht="21" x14ac:dyDescent="0.35">
      <c r="B13" s="163" t="s">
        <v>253</v>
      </c>
      <c r="C13" s="163" t="s">
        <v>149</v>
      </c>
      <c r="D13" s="163">
        <v>35</v>
      </c>
      <c r="E13" s="163" t="s">
        <v>206</v>
      </c>
      <c r="F13" s="163"/>
      <c r="G13" s="163"/>
      <c r="H13" s="163"/>
      <c r="I13" s="163"/>
      <c r="J13" s="163">
        <v>72</v>
      </c>
      <c r="K13" s="163">
        <v>8</v>
      </c>
      <c r="L13" s="163">
        <v>101</v>
      </c>
      <c r="M13" s="163">
        <v>28</v>
      </c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4">
        <f>IF(MIN(F13,J13,N13,R13,V13,Z13)&lt;&gt;0,MIN(F13,J13,N13,R13,V13,Z13),"")</f>
        <v>72</v>
      </c>
      <c r="AE13" s="164">
        <f>IF(MIN(H13,L13,P13,T13,X13,AB13)&lt;&gt;0,MIN(H13,L13,P13,T13,X13,AB13),"")</f>
        <v>101</v>
      </c>
      <c r="AF13" s="164"/>
      <c r="AG13" s="163"/>
      <c r="AH13" s="164"/>
      <c r="AI13" s="163"/>
      <c r="AJ13" s="162" t="str">
        <f>IF(AD13="","",IF(ISBLANK(AF13),"En cours",AD13+AF13))</f>
        <v>En cours</v>
      </c>
      <c r="AK13" s="162" t="str">
        <f>IF(AE13="","",IF(ISBLANK(AH13),"En cours",AE13+AH13))</f>
        <v>En cours</v>
      </c>
    </row>
    <row r="14" spans="2:37" ht="21" x14ac:dyDescent="0.35">
      <c r="B14" s="163" t="s">
        <v>169</v>
      </c>
      <c r="C14" s="163" t="s">
        <v>105</v>
      </c>
      <c r="D14" s="163">
        <v>21.5</v>
      </c>
      <c r="E14" s="163" t="s">
        <v>207</v>
      </c>
      <c r="F14" s="163">
        <v>72</v>
      </c>
      <c r="G14" s="163">
        <v>10</v>
      </c>
      <c r="H14" s="163">
        <v>90</v>
      </c>
      <c r="I14" s="163">
        <v>9</v>
      </c>
      <c r="J14" s="163">
        <v>74</v>
      </c>
      <c r="K14" s="163">
        <v>12</v>
      </c>
      <c r="L14" s="163">
        <v>92</v>
      </c>
      <c r="M14" s="163">
        <v>10</v>
      </c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>
        <f>IF(MIN(F14,J14,N14,R14,V14,Z14)&lt;&gt;0,MIN(F14,J14,N14,R14,V14,Z14),"")</f>
        <v>72</v>
      </c>
      <c r="AE14" s="164">
        <f>IF(MIN(H14,L14,P14,T14,X14,AB14)&lt;&gt;0,MIN(H14,L14,P14,T14,X14,AB14),"")</f>
        <v>90</v>
      </c>
      <c r="AF14" s="164"/>
      <c r="AG14" s="163"/>
      <c r="AH14" s="164"/>
      <c r="AI14" s="163"/>
      <c r="AJ14" s="162" t="str">
        <f>IF(AD14="","",IF(ISBLANK(AF14),"En cours",AD14+AF14))</f>
        <v>En cours</v>
      </c>
      <c r="AK14" s="162" t="str">
        <f>IF(AE14="","",IF(ISBLANK(AH14),"En cours",AE14+AH14))</f>
        <v>En cours</v>
      </c>
    </row>
    <row r="15" spans="2:37" ht="21" x14ac:dyDescent="0.35">
      <c r="B15" s="163" t="s">
        <v>212</v>
      </c>
      <c r="C15" s="163" t="s">
        <v>105</v>
      </c>
      <c r="D15" s="163">
        <v>6.4</v>
      </c>
      <c r="E15" s="163" t="s">
        <v>205</v>
      </c>
      <c r="F15" s="163"/>
      <c r="G15" s="163"/>
      <c r="H15" s="163"/>
      <c r="I15" s="163"/>
      <c r="J15" s="163">
        <v>72</v>
      </c>
      <c r="K15" s="163">
        <v>6</v>
      </c>
      <c r="L15" s="163">
        <v>80</v>
      </c>
      <c r="M15" s="163">
        <v>3</v>
      </c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4">
        <f>IF(MIN(F15,J15,N15,R15,V15,Z15)&lt;&gt;0,MIN(F15,J15,N15,R15,V15,Z15),"")</f>
        <v>72</v>
      </c>
      <c r="AE15" s="164">
        <f>IF(MIN(H15,L15,P15,T15,X15,AB15)&lt;&gt;0,MIN(H15,L15,P15,T15,X15,AB15),"")</f>
        <v>80</v>
      </c>
      <c r="AF15" s="164"/>
      <c r="AG15" s="163"/>
      <c r="AH15" s="164"/>
      <c r="AI15" s="163"/>
      <c r="AJ15" s="162" t="str">
        <f>IF(AD15="","",IF(ISBLANK(AF15),"En cours",AD15+AF15))</f>
        <v>En cours</v>
      </c>
      <c r="AK15" s="162" t="str">
        <f>IF(AE15="","",IF(ISBLANK(AH15),"En cours",AE15+AH15))</f>
        <v>En cours</v>
      </c>
    </row>
    <row r="16" spans="2:37" ht="21" x14ac:dyDescent="0.35">
      <c r="B16" s="163" t="s">
        <v>225</v>
      </c>
      <c r="C16" s="163" t="s">
        <v>105</v>
      </c>
      <c r="D16" s="163">
        <v>16.2</v>
      </c>
      <c r="E16" s="163" t="s">
        <v>204</v>
      </c>
      <c r="F16" s="163"/>
      <c r="G16" s="163"/>
      <c r="H16" s="163"/>
      <c r="I16" s="163"/>
      <c r="J16" s="163">
        <v>76</v>
      </c>
      <c r="K16" s="163">
        <v>18</v>
      </c>
      <c r="L16" s="163">
        <v>91</v>
      </c>
      <c r="M16" s="163">
        <v>19</v>
      </c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>
        <f>IF(MIN(F16,J16,N16,R16,V16,Z16)&lt;&gt;0,MIN(F16,J16,N16,R16,V16,Z16),"")</f>
        <v>76</v>
      </c>
      <c r="AE16" s="164">
        <f>IF(MIN(H16,L16,P16,T16,X16,AB16)&lt;&gt;0,MIN(H16,L16,P16,T16,X16,AB16),"")</f>
        <v>91</v>
      </c>
      <c r="AF16" s="164"/>
      <c r="AG16" s="163"/>
      <c r="AH16" s="164"/>
      <c r="AI16" s="163"/>
      <c r="AJ16" s="162" t="str">
        <f>IF(AD16="","",IF(ISBLANK(AF16),"En cours",AD16+AF16))</f>
        <v>En cours</v>
      </c>
      <c r="AK16" s="162" t="str">
        <f>IF(AE16="","",IF(ISBLANK(AH16),"En cours",AE16+AH16))</f>
        <v>En cours</v>
      </c>
    </row>
    <row r="17" spans="2:37" ht="21" x14ac:dyDescent="0.35">
      <c r="B17" s="163" t="s">
        <v>125</v>
      </c>
      <c r="C17" s="163" t="s">
        <v>105</v>
      </c>
      <c r="D17" s="163">
        <v>12.2</v>
      </c>
      <c r="E17" s="163" t="s">
        <v>204</v>
      </c>
      <c r="F17" s="163">
        <v>71</v>
      </c>
      <c r="G17" s="163">
        <v>5</v>
      </c>
      <c r="H17" s="163">
        <v>82</v>
      </c>
      <c r="I17" s="163">
        <v>2</v>
      </c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>
        <f>IF(MIN(F17,J17,N17,R17,V17,Z17)&lt;&gt;0,MIN(F17,J17,N17,R17,V17,Z17),"")</f>
        <v>71</v>
      </c>
      <c r="AE17" s="164">
        <f>IF(MIN(H17,L17,P17,T17,X17,AB17)&lt;&gt;0,MIN(H17,L17,P17,T17,X17,AB17),"")</f>
        <v>82</v>
      </c>
      <c r="AF17" s="164"/>
      <c r="AG17" s="163"/>
      <c r="AH17" s="164"/>
      <c r="AI17" s="163"/>
      <c r="AJ17" s="162" t="str">
        <f>IF(AD17="","",IF(ISBLANK(AF17),"En cours",AD17+AF17))</f>
        <v>En cours</v>
      </c>
      <c r="AK17" s="162" t="str">
        <f>IF(AE17="","",IF(ISBLANK(AH17),"En cours",AE17+AH17))</f>
        <v>En cours</v>
      </c>
    </row>
    <row r="18" spans="2:37" ht="21" x14ac:dyDescent="0.35">
      <c r="B18" s="163" t="s">
        <v>168</v>
      </c>
      <c r="C18" s="163" t="s">
        <v>105</v>
      </c>
      <c r="D18" s="163">
        <v>18.899999999999999</v>
      </c>
      <c r="E18" s="163" t="s">
        <v>207</v>
      </c>
      <c r="F18" s="163">
        <v>74</v>
      </c>
      <c r="G18" s="163">
        <v>15</v>
      </c>
      <c r="H18" s="163">
        <v>89</v>
      </c>
      <c r="I18" s="163">
        <v>8</v>
      </c>
      <c r="J18" s="163">
        <v>75</v>
      </c>
      <c r="K18" s="163">
        <v>14</v>
      </c>
      <c r="L18" s="163">
        <v>90</v>
      </c>
      <c r="M18" s="163">
        <v>4</v>
      </c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4">
        <f>IF(MIN(F18,J18,N18,R18,V18,Z18)&lt;&gt;0,MIN(F18,J18,N18,R18,V18,Z18),"")</f>
        <v>74</v>
      </c>
      <c r="AE18" s="164">
        <f>IF(MIN(H18,L18,P18,T18,X18,AB18)&lt;&gt;0,MIN(H18,L18,P18,T18,X18,AB18),"")</f>
        <v>89</v>
      </c>
      <c r="AF18" s="164"/>
      <c r="AG18" s="163"/>
      <c r="AH18" s="164"/>
      <c r="AI18" s="163"/>
      <c r="AJ18" s="162" t="str">
        <f>IF(AD18="","",IF(ISBLANK(AF18),"En cours",AD18+AF18))</f>
        <v>En cours</v>
      </c>
      <c r="AK18" s="162" t="str">
        <f>IF(AE18="","",IF(ISBLANK(AH18),"En cours",AE18+AH18))</f>
        <v>En cours</v>
      </c>
    </row>
    <row r="19" spans="2:37" ht="21" x14ac:dyDescent="0.35">
      <c r="B19" s="163" t="s">
        <v>238</v>
      </c>
      <c r="C19" s="163" t="s">
        <v>105</v>
      </c>
      <c r="D19" s="163">
        <v>21.4</v>
      </c>
      <c r="E19" s="163" t="s">
        <v>207</v>
      </c>
      <c r="F19" s="163"/>
      <c r="G19" s="163"/>
      <c r="H19" s="163"/>
      <c r="I19" s="163"/>
      <c r="J19" s="163">
        <v>74</v>
      </c>
      <c r="K19" s="163">
        <v>11</v>
      </c>
      <c r="L19" s="163">
        <v>92</v>
      </c>
      <c r="M19" s="163">
        <v>6</v>
      </c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4">
        <f>IF(MIN(F19,J19,N19,R19,V19,Z19)&lt;&gt;0,MIN(F19,J19,N19,R19,V19,Z19),"")</f>
        <v>74</v>
      </c>
      <c r="AE19" s="164">
        <f>IF(MIN(H19,L19,P19,T19,X19,AB19)&lt;&gt;0,MIN(H19,L19,P19,T19,X19,AB19),"")</f>
        <v>92</v>
      </c>
      <c r="AF19" s="164"/>
      <c r="AG19" s="163"/>
      <c r="AH19" s="164"/>
      <c r="AI19" s="163"/>
      <c r="AJ19" s="162" t="str">
        <f>IF(AD19="","",IF(ISBLANK(AF19),"En cours",AD19+AF19))</f>
        <v>En cours</v>
      </c>
      <c r="AK19" s="162" t="str">
        <f>IF(AE19="","",IF(ISBLANK(AH19),"En cours",AE19+AH19))</f>
        <v>En cours</v>
      </c>
    </row>
    <row r="20" spans="2:37" ht="21" x14ac:dyDescent="0.35">
      <c r="B20" s="163" t="s">
        <v>137</v>
      </c>
      <c r="C20" s="163" t="s">
        <v>105</v>
      </c>
      <c r="D20" s="163">
        <v>11.9</v>
      </c>
      <c r="E20" s="163" t="s">
        <v>204</v>
      </c>
      <c r="F20" s="163">
        <v>76</v>
      </c>
      <c r="G20" s="163">
        <v>18</v>
      </c>
      <c r="H20" s="163">
        <v>87</v>
      </c>
      <c r="I20" s="163">
        <v>13</v>
      </c>
      <c r="J20" s="163">
        <v>82</v>
      </c>
      <c r="K20" s="163">
        <v>32</v>
      </c>
      <c r="L20" s="163">
        <v>93</v>
      </c>
      <c r="M20" s="163">
        <v>25</v>
      </c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4">
        <f>IF(MIN(F20,J20,N20,R20,V20,Z20)&lt;&gt;0,MIN(F20,J20,N20,R20,V20,Z20),"")</f>
        <v>76</v>
      </c>
      <c r="AE20" s="164">
        <f>IF(MIN(H20,L20,P20,T20,X20,AB20)&lt;&gt;0,MIN(H20,L20,P20,T20,X20,AB20),"")</f>
        <v>87</v>
      </c>
      <c r="AF20" s="164"/>
      <c r="AG20" s="163"/>
      <c r="AH20" s="164"/>
      <c r="AI20" s="163"/>
      <c r="AJ20" s="162" t="str">
        <f>IF(AD20="","",IF(ISBLANK(AF20),"En cours",AD20+AF20))</f>
        <v>En cours</v>
      </c>
      <c r="AK20" s="162" t="str">
        <f>IF(AE20="","",IF(ISBLANK(AH20),"En cours",AE20+AH20))</f>
        <v>En cours</v>
      </c>
    </row>
    <row r="21" spans="2:37" ht="21" x14ac:dyDescent="0.35">
      <c r="B21" s="163" t="s">
        <v>108</v>
      </c>
      <c r="C21" s="163" t="s">
        <v>109</v>
      </c>
      <c r="D21" s="163">
        <v>5.4</v>
      </c>
      <c r="E21" s="163" t="s">
        <v>205</v>
      </c>
      <c r="F21" s="163">
        <v>71</v>
      </c>
      <c r="G21" s="163">
        <v>5</v>
      </c>
      <c r="H21" s="163">
        <v>78</v>
      </c>
      <c r="I21" s="163">
        <v>4</v>
      </c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4">
        <f>IF(MIN(F21,J21,N21,R21,V21,Z21)&lt;&gt;0,MIN(F21,J21,N21,R21,V21,Z21),"")</f>
        <v>71</v>
      </c>
      <c r="AE21" s="164">
        <f>IF(MIN(H21,L21,P21,T21,X21,AB21)&lt;&gt;0,MIN(H21,L21,P21,T21,X21,AB21),"")</f>
        <v>78</v>
      </c>
      <c r="AF21" s="164"/>
      <c r="AG21" s="163"/>
      <c r="AH21" s="164"/>
      <c r="AI21" s="163"/>
      <c r="AJ21" s="162" t="str">
        <f>IF(AD21="","",IF(ISBLANK(AF21),"En cours",AD21+AF21))</f>
        <v>En cours</v>
      </c>
      <c r="AK21" s="162" t="str">
        <f>IF(AE21="","",IF(ISBLANK(AH21),"En cours",AE21+AH21))</f>
        <v>En cours</v>
      </c>
    </row>
    <row r="22" spans="2:37" ht="21" x14ac:dyDescent="0.35">
      <c r="B22" s="163" t="s">
        <v>164</v>
      </c>
      <c r="C22" s="163" t="s">
        <v>105</v>
      </c>
      <c r="D22" s="163">
        <v>22.7</v>
      </c>
      <c r="E22" s="163" t="s">
        <v>207</v>
      </c>
      <c r="F22" s="163">
        <v>68</v>
      </c>
      <c r="G22" s="163">
        <v>5</v>
      </c>
      <c r="H22" s="163">
        <v>87</v>
      </c>
      <c r="I22" s="163">
        <v>4</v>
      </c>
      <c r="J22" s="163">
        <v>79</v>
      </c>
      <c r="K22" s="163">
        <v>27</v>
      </c>
      <c r="L22" s="163">
        <v>98</v>
      </c>
      <c r="M22" s="163">
        <v>26</v>
      </c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>
        <f>IF(MIN(F22,J22,N22,R22,V22,Z22)&lt;&gt;0,MIN(F22,J22,N22,R22,V22,Z22),"")</f>
        <v>68</v>
      </c>
      <c r="AE22" s="164">
        <f>IF(MIN(H22,L22,P22,T22,X22,AB22)&lt;&gt;0,MIN(H22,L22,P22,T22,X22,AB22),"")</f>
        <v>87</v>
      </c>
      <c r="AF22" s="164"/>
      <c r="AG22" s="163"/>
      <c r="AH22" s="164"/>
      <c r="AI22" s="163"/>
      <c r="AJ22" s="162" t="str">
        <f>IF(AD22="","",IF(ISBLANK(AF22),"En cours",AD22+AF22))</f>
        <v>En cours</v>
      </c>
      <c r="AK22" s="162" t="str">
        <f>IF(AE22="","",IF(ISBLANK(AH22),"En cours",AE22+AH22))</f>
        <v>En cours</v>
      </c>
    </row>
    <row r="23" spans="2:37" ht="21" x14ac:dyDescent="0.35">
      <c r="B23" s="163" t="s">
        <v>227</v>
      </c>
      <c r="C23" s="163" t="s">
        <v>189</v>
      </c>
      <c r="D23" s="163">
        <v>16.100000000000001</v>
      </c>
      <c r="E23" s="163" t="s">
        <v>204</v>
      </c>
      <c r="F23" s="163"/>
      <c r="G23" s="163"/>
      <c r="H23" s="163"/>
      <c r="I23" s="163"/>
      <c r="J23" s="163">
        <v>78</v>
      </c>
      <c r="K23" s="163">
        <v>21</v>
      </c>
      <c r="L23" s="163">
        <v>93</v>
      </c>
      <c r="M23" s="163">
        <v>24</v>
      </c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>
        <f>IF(MIN(F23,J23,N23,R23,V23,Z23)&lt;&gt;0,MIN(F23,J23,N23,R23,V23,Z23),"")</f>
        <v>78</v>
      </c>
      <c r="AE23" s="164">
        <f>IF(MIN(H23,L23,P23,T23,X23,AB23)&lt;&gt;0,MIN(H23,L23,P23,T23,X23,AB23),"")</f>
        <v>93</v>
      </c>
      <c r="AF23" s="164"/>
      <c r="AG23" s="163"/>
      <c r="AH23" s="164"/>
      <c r="AI23" s="163"/>
      <c r="AJ23" s="162" t="str">
        <f>IF(AD23="","",IF(ISBLANK(AF23),"En cours",AD23+AF23))</f>
        <v>En cours</v>
      </c>
      <c r="AK23" s="162" t="str">
        <f>IF(AE23="","",IF(ISBLANK(AH23),"En cours",AE23+AH23))</f>
        <v>En cours</v>
      </c>
    </row>
    <row r="24" spans="2:37" ht="21" x14ac:dyDescent="0.35">
      <c r="B24" s="163" t="s">
        <v>140</v>
      </c>
      <c r="C24" s="163" t="s">
        <v>105</v>
      </c>
      <c r="D24" s="163">
        <v>12.9</v>
      </c>
      <c r="E24" s="163" t="s">
        <v>204</v>
      </c>
      <c r="F24" s="163">
        <v>76</v>
      </c>
      <c r="G24" s="163">
        <v>19</v>
      </c>
      <c r="H24" s="163">
        <v>88</v>
      </c>
      <c r="I24" s="163">
        <v>16</v>
      </c>
      <c r="J24" s="163">
        <v>72</v>
      </c>
      <c r="K24" s="163">
        <v>9</v>
      </c>
      <c r="L24" s="163">
        <v>84</v>
      </c>
      <c r="M24" s="163">
        <v>3</v>
      </c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>
        <f>IF(MIN(F24,J24,N24,R24,V24,Z24)&lt;&gt;0,MIN(F24,J24,N24,R24,V24,Z24),"")</f>
        <v>72</v>
      </c>
      <c r="AE24" s="164">
        <f>IF(MIN(H24,L24,P24,T24,X24,AB24)&lt;&gt;0,MIN(H24,L24,P24,T24,X24,AB24),"")</f>
        <v>84</v>
      </c>
      <c r="AF24" s="164"/>
      <c r="AG24" s="163"/>
      <c r="AH24" s="164"/>
      <c r="AI24" s="163"/>
      <c r="AJ24" s="162" t="str">
        <f>IF(AD24="","",IF(ISBLANK(AF24),"En cours",AD24+AF24))</f>
        <v>En cours</v>
      </c>
      <c r="AK24" s="162" t="str">
        <f>IF(AE24="","",IF(ISBLANK(AH24),"En cours",AE24+AH24))</f>
        <v>En cours</v>
      </c>
    </row>
    <row r="25" spans="2:37" ht="21" x14ac:dyDescent="0.35">
      <c r="B25" s="163" t="s">
        <v>150</v>
      </c>
      <c r="C25" s="163" t="s">
        <v>105</v>
      </c>
      <c r="D25" s="163">
        <v>13.7</v>
      </c>
      <c r="E25" s="163" t="s">
        <v>204</v>
      </c>
      <c r="F25" s="163">
        <v>79</v>
      </c>
      <c r="G25" s="163">
        <v>28</v>
      </c>
      <c r="H25" s="163">
        <v>92</v>
      </c>
      <c r="I25" s="163">
        <v>25</v>
      </c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4">
        <f>IF(MIN(F25,J25,N25,R25,V25,Z25)&lt;&gt;0,MIN(F25,J25,N25,R25,V25,Z25),"")</f>
        <v>79</v>
      </c>
      <c r="AE25" s="164">
        <f>IF(MIN(H25,L25,P25,T25,X25,AB25)&lt;&gt;0,MIN(H25,L25,P25,T25,X25,AB25),"")</f>
        <v>92</v>
      </c>
      <c r="AF25" s="164"/>
      <c r="AG25" s="163"/>
      <c r="AH25" s="164"/>
      <c r="AI25" s="163"/>
      <c r="AJ25" s="162" t="str">
        <f>IF(AD25="","",IF(ISBLANK(AF25),"En cours",AD25+AF25))</f>
        <v>En cours</v>
      </c>
      <c r="AK25" s="162" t="str">
        <f>IF(AE25="","",IF(ISBLANK(AH25),"En cours",AE25+AH25))</f>
        <v>En cours</v>
      </c>
    </row>
    <row r="26" spans="2:37" ht="21" x14ac:dyDescent="0.35">
      <c r="B26" s="163" t="s">
        <v>153</v>
      </c>
      <c r="C26" s="163" t="s">
        <v>105</v>
      </c>
      <c r="D26" s="163">
        <v>13.9</v>
      </c>
      <c r="E26" s="163" t="s">
        <v>204</v>
      </c>
      <c r="F26" s="163">
        <v>80</v>
      </c>
      <c r="G26" s="163">
        <v>30</v>
      </c>
      <c r="H26" s="163">
        <v>93</v>
      </c>
      <c r="I26" s="163">
        <v>28</v>
      </c>
      <c r="J26" s="163">
        <v>82</v>
      </c>
      <c r="K26" s="163">
        <v>30</v>
      </c>
      <c r="L26" s="163">
        <v>95</v>
      </c>
      <c r="M26" s="163">
        <v>30</v>
      </c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4">
        <f>IF(MIN(F26,J26,N26,R26,V26,Z26)&lt;&gt;0,MIN(F26,J26,N26,R26,V26,Z26),"")</f>
        <v>80</v>
      </c>
      <c r="AE26" s="164">
        <f>IF(MIN(H26,L26,P26,T26,X26,AB26)&lt;&gt;0,MIN(H26,L26,P26,T26,X26,AB26),"")</f>
        <v>93</v>
      </c>
      <c r="AF26" s="164"/>
      <c r="AG26" s="163"/>
      <c r="AH26" s="164"/>
      <c r="AI26" s="163"/>
      <c r="AJ26" s="162" t="str">
        <f>IF(AD26="","",IF(ISBLANK(AF26),"En cours",AD26+AF26))</f>
        <v>En cours</v>
      </c>
      <c r="AK26" s="162" t="str">
        <f>IF(AE26="","",IF(ISBLANK(AH26),"En cours",AE26+AH26))</f>
        <v>En cours</v>
      </c>
    </row>
    <row r="27" spans="2:37" ht="21" x14ac:dyDescent="0.35">
      <c r="B27" s="163" t="s">
        <v>158</v>
      </c>
      <c r="C27" s="163" t="s">
        <v>105</v>
      </c>
      <c r="D27" s="163">
        <v>16.5</v>
      </c>
      <c r="E27" s="163" t="s">
        <v>204</v>
      </c>
      <c r="F27" s="163">
        <v>83</v>
      </c>
      <c r="G27" s="163">
        <v>32</v>
      </c>
      <c r="H27" s="163">
        <v>99</v>
      </c>
      <c r="I27" s="163">
        <v>33</v>
      </c>
      <c r="J27" s="163">
        <v>86</v>
      </c>
      <c r="K27" s="163">
        <v>35</v>
      </c>
      <c r="L27" s="163">
        <v>102</v>
      </c>
      <c r="M27" s="163">
        <v>36</v>
      </c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4">
        <f>IF(MIN(F27,J27,N27,R27,V27,Z27)&lt;&gt;0,MIN(F27,J27,N27,R27,V27,Z27),"")</f>
        <v>83</v>
      </c>
      <c r="AE27" s="164">
        <f>IF(MIN(H27,L27,P27,T27,X27,AB27)&lt;&gt;0,MIN(H27,L27,P27,T27,X27,AB27),"")</f>
        <v>99</v>
      </c>
      <c r="AF27" s="164"/>
      <c r="AG27" s="163"/>
      <c r="AH27" s="164"/>
      <c r="AI27" s="163"/>
      <c r="AJ27" s="162" t="str">
        <f>IF(AD27="","",IF(ISBLANK(AF27),"En cours",AD27+AF27))</f>
        <v>En cours</v>
      </c>
      <c r="AK27" s="162" t="str">
        <f>IF(AE27="","",IF(ISBLANK(AH27),"En cours",AE27+AH27))</f>
        <v>En cours</v>
      </c>
    </row>
    <row r="28" spans="2:37" ht="21" x14ac:dyDescent="0.35">
      <c r="B28" s="163" t="s">
        <v>248</v>
      </c>
      <c r="C28" s="163" t="s">
        <v>105</v>
      </c>
      <c r="D28" s="163">
        <v>22.6</v>
      </c>
      <c r="E28" s="163" t="s">
        <v>207</v>
      </c>
      <c r="F28" s="163"/>
      <c r="G28" s="163"/>
      <c r="H28" s="163"/>
      <c r="I28" s="163"/>
      <c r="J28" s="163">
        <v>77</v>
      </c>
      <c r="K28" s="163">
        <v>21</v>
      </c>
      <c r="L28" s="163">
        <v>96</v>
      </c>
      <c r="M28" s="163">
        <v>21</v>
      </c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4">
        <f>IF(MIN(F28,J28,N28,R28,V28,Z28)&lt;&gt;0,MIN(F28,J28,N28,R28,V28,Z28),"")</f>
        <v>77</v>
      </c>
      <c r="AE28" s="164">
        <f>IF(MIN(H28,L28,P28,T28,X28,AB28)&lt;&gt;0,MIN(H28,L28,P28,T28,X28,AB28),"")</f>
        <v>96</v>
      </c>
      <c r="AF28" s="164"/>
      <c r="AG28" s="163"/>
      <c r="AH28" s="164"/>
      <c r="AI28" s="163"/>
      <c r="AJ28" s="162" t="str">
        <f>IF(AD28="","",IF(ISBLANK(AF28),"En cours",AD28+AF28))</f>
        <v>En cours</v>
      </c>
      <c r="AK28" s="162" t="str">
        <f>IF(AE28="","",IF(ISBLANK(AH28),"En cours",AE28+AH28))</f>
        <v>En cours</v>
      </c>
    </row>
    <row r="29" spans="2:37" ht="21" x14ac:dyDescent="0.35">
      <c r="B29" s="163" t="s">
        <v>106</v>
      </c>
      <c r="C29" s="163" t="s">
        <v>105</v>
      </c>
      <c r="D29" s="163">
        <v>5.6</v>
      </c>
      <c r="E29" s="163" t="s">
        <v>205</v>
      </c>
      <c r="F29" s="163">
        <v>70</v>
      </c>
      <c r="G29" s="163">
        <v>4</v>
      </c>
      <c r="H29" s="163">
        <v>77</v>
      </c>
      <c r="I29" s="163">
        <v>2</v>
      </c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4">
        <f>IF(MIN(F29,J29,N29,R29,V29,Z29)&lt;&gt;0,MIN(F29,J29,N29,R29,V29,Z29),"")</f>
        <v>70</v>
      </c>
      <c r="AE29" s="164">
        <f>IF(MIN(H29,L29,P29,T29,X29,AB29)&lt;&gt;0,MIN(H29,L29,P29,T29,X29,AB29),"")</f>
        <v>77</v>
      </c>
      <c r="AF29" s="164"/>
      <c r="AG29" s="163"/>
      <c r="AH29" s="164"/>
      <c r="AI29" s="163"/>
      <c r="AJ29" s="162" t="str">
        <f>IF(AD29="","",IF(ISBLANK(AF29),"En cours",AD29+AF29))</f>
        <v>En cours</v>
      </c>
      <c r="AK29" s="162" t="str">
        <f>IF(AE29="","",IF(ISBLANK(AH29),"En cours",AE29+AH29))</f>
        <v>En cours</v>
      </c>
    </row>
    <row r="30" spans="2:37" ht="21" x14ac:dyDescent="0.35">
      <c r="B30" s="163" t="s">
        <v>224</v>
      </c>
      <c r="C30" s="163" t="s">
        <v>105</v>
      </c>
      <c r="D30" s="163">
        <v>15.9</v>
      </c>
      <c r="E30" s="163" t="s">
        <v>204</v>
      </c>
      <c r="F30" s="163"/>
      <c r="G30" s="163"/>
      <c r="H30" s="163"/>
      <c r="I30" s="163"/>
      <c r="J30" s="163">
        <v>76</v>
      </c>
      <c r="K30" s="163">
        <v>15</v>
      </c>
      <c r="L30" s="163">
        <v>91</v>
      </c>
      <c r="M30" s="163">
        <v>18</v>
      </c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4">
        <f>IF(MIN(F30,J30,N30,R30,V30,Z30)&lt;&gt;0,MIN(F30,J30,N30,R30,V30,Z30),"")</f>
        <v>76</v>
      </c>
      <c r="AE30" s="164">
        <f>IF(MIN(H30,L30,P30,T30,X30,AB30)&lt;&gt;0,MIN(H30,L30,P30,T30,X30,AB30),"")</f>
        <v>91</v>
      </c>
      <c r="AF30" s="164"/>
      <c r="AG30" s="163"/>
      <c r="AH30" s="164"/>
      <c r="AI30" s="163"/>
      <c r="AJ30" s="162" t="str">
        <f>IF(AD30="","",IF(ISBLANK(AF30),"En cours",AD30+AF30))</f>
        <v>En cours</v>
      </c>
      <c r="AK30" s="162" t="str">
        <f>IF(AE30="","",IF(ISBLANK(AH30),"En cours",AE30+AH30))</f>
        <v>En cours</v>
      </c>
    </row>
    <row r="31" spans="2:37" ht="21" x14ac:dyDescent="0.35">
      <c r="B31" s="163" t="s">
        <v>182</v>
      </c>
      <c r="C31" s="163" t="s">
        <v>105</v>
      </c>
      <c r="D31" s="163">
        <v>20.6</v>
      </c>
      <c r="E31" s="163" t="s">
        <v>207</v>
      </c>
      <c r="F31" s="163">
        <v>84</v>
      </c>
      <c r="G31" s="163">
        <v>22</v>
      </c>
      <c r="H31" s="163">
        <v>101</v>
      </c>
      <c r="I31" s="163">
        <v>22</v>
      </c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4">
        <f>IF(MIN(F31,J31,N31,R31,V31,Z31)&lt;&gt;0,MIN(F31,J31,N31,R31,V31,Z31),"")</f>
        <v>84</v>
      </c>
      <c r="AE31" s="164">
        <f>IF(MIN(H31,L31,P31,T31,X31,AB31)&lt;&gt;0,MIN(H31,L31,P31,T31,X31,AB31),"")</f>
        <v>101</v>
      </c>
      <c r="AF31" s="164"/>
      <c r="AG31" s="163"/>
      <c r="AH31" s="164"/>
      <c r="AI31" s="163"/>
      <c r="AJ31" s="162" t="str">
        <f>IF(AD31="","",IF(ISBLANK(AF31),"En cours",AD31+AF31))</f>
        <v>En cours</v>
      </c>
      <c r="AK31" s="162" t="str">
        <f>IF(AE31="","",IF(ISBLANK(AH31),"En cours",AE31+AH31))</f>
        <v>En cours</v>
      </c>
    </row>
    <row r="32" spans="2:37" ht="21" x14ac:dyDescent="0.35">
      <c r="B32" s="163" t="s">
        <v>251</v>
      </c>
      <c r="C32" s="163" t="s">
        <v>105</v>
      </c>
      <c r="D32" s="163">
        <v>23</v>
      </c>
      <c r="E32" s="163" t="s">
        <v>207</v>
      </c>
      <c r="F32" s="163"/>
      <c r="G32" s="163"/>
      <c r="H32" s="163"/>
      <c r="I32" s="163"/>
      <c r="J32" s="163">
        <v>78</v>
      </c>
      <c r="K32" s="163">
        <v>23</v>
      </c>
      <c r="L32" s="163">
        <v>98</v>
      </c>
      <c r="M32" s="163">
        <v>25</v>
      </c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4">
        <f>IF(MIN(F32,J32,N32,R32,V32,Z32)&lt;&gt;0,MIN(F32,J32,N32,R32,V32,Z32),"")</f>
        <v>78</v>
      </c>
      <c r="AE32" s="164">
        <f>IF(MIN(H32,L32,P32,T32,X32,AB32)&lt;&gt;0,MIN(H32,L32,P32,T32,X32,AB32),"")</f>
        <v>98</v>
      </c>
      <c r="AF32" s="164"/>
      <c r="AG32" s="163"/>
      <c r="AH32" s="164"/>
      <c r="AI32" s="163"/>
      <c r="AJ32" s="162" t="str">
        <f>IF(AD32="","",IF(ISBLANK(AF32),"En cours",AD32+AF32))</f>
        <v>En cours</v>
      </c>
      <c r="AK32" s="162" t="str">
        <f>IF(AE32="","",IF(ISBLANK(AH32),"En cours",AE32+AH32))</f>
        <v>En cours</v>
      </c>
    </row>
    <row r="33" spans="2:37" ht="21" x14ac:dyDescent="0.35">
      <c r="B33" s="163" t="s">
        <v>236</v>
      </c>
      <c r="C33" s="163" t="s">
        <v>105</v>
      </c>
      <c r="D33" s="163">
        <v>19.399999999999999</v>
      </c>
      <c r="E33" s="163" t="s">
        <v>207</v>
      </c>
      <c r="F33" s="163"/>
      <c r="G33" s="163"/>
      <c r="H33" s="163"/>
      <c r="I33" s="163"/>
      <c r="J33" s="163">
        <v>72</v>
      </c>
      <c r="K33" s="163">
        <v>7</v>
      </c>
      <c r="L33" s="163">
        <v>88</v>
      </c>
      <c r="M33" s="163">
        <v>3</v>
      </c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4">
        <f>IF(MIN(F33,J33,N33,R33,V33,Z33)&lt;&gt;0,MIN(F33,J33,N33,R33,V33,Z33),"")</f>
        <v>72</v>
      </c>
      <c r="AE33" s="164">
        <f>IF(MIN(H33,L33,P33,T33,X33,AB33)&lt;&gt;0,MIN(H33,L33,P33,T33,X33,AB33),"")</f>
        <v>88</v>
      </c>
      <c r="AF33" s="164"/>
      <c r="AG33" s="163"/>
      <c r="AH33" s="164"/>
      <c r="AI33" s="163"/>
      <c r="AJ33" s="162" t="str">
        <f>IF(AD33="","",IF(ISBLANK(AF33),"En cours",AD33+AF33))</f>
        <v>En cours</v>
      </c>
      <c r="AK33" s="162" t="str">
        <f>IF(AE33="","",IF(ISBLANK(AH33),"En cours",AE33+AH33))</f>
        <v>En cours</v>
      </c>
    </row>
    <row r="34" spans="2:37" ht="21" x14ac:dyDescent="0.35">
      <c r="B34" s="163" t="s">
        <v>173</v>
      </c>
      <c r="C34" s="163" t="s">
        <v>105</v>
      </c>
      <c r="D34" s="163">
        <v>25.9</v>
      </c>
      <c r="E34" s="163" t="s">
        <v>207</v>
      </c>
      <c r="F34" s="163">
        <v>68</v>
      </c>
      <c r="G34" s="163">
        <v>6</v>
      </c>
      <c r="H34" s="163">
        <v>91</v>
      </c>
      <c r="I34" s="163">
        <v>13</v>
      </c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4">
        <f>IF(MIN(F34,J34,N34,R34,V34,Z34)&lt;&gt;0,MIN(F34,J34,N34,R34,V34,Z34),"")</f>
        <v>68</v>
      </c>
      <c r="AE34" s="164">
        <f>IF(MIN(H34,L34,P34,T34,X34,AB34)&lt;&gt;0,MIN(H34,L34,P34,T34,X34,AB34),"")</f>
        <v>91</v>
      </c>
      <c r="AF34" s="164"/>
      <c r="AG34" s="163"/>
      <c r="AH34" s="164"/>
      <c r="AI34" s="163"/>
      <c r="AJ34" s="162" t="str">
        <f>IF(AD34="","",IF(ISBLANK(AF34),"En cours",AD34+AF34))</f>
        <v>En cours</v>
      </c>
      <c r="AK34" s="162" t="str">
        <f>IF(AE34="","",IF(ISBLANK(AH34),"En cours",AE34+AH34))</f>
        <v>En cours</v>
      </c>
    </row>
    <row r="35" spans="2:37" ht="21" x14ac:dyDescent="0.35">
      <c r="B35" s="163" t="s">
        <v>180</v>
      </c>
      <c r="C35" s="163" t="s">
        <v>105</v>
      </c>
      <c r="D35" s="163">
        <v>26.4</v>
      </c>
      <c r="E35" s="163" t="s">
        <v>207</v>
      </c>
      <c r="F35" s="163">
        <v>76</v>
      </c>
      <c r="G35" s="163">
        <v>19</v>
      </c>
      <c r="H35" s="163">
        <v>99</v>
      </c>
      <c r="I35" s="163">
        <v>20</v>
      </c>
      <c r="J35" s="163">
        <v>84</v>
      </c>
      <c r="K35" s="163">
        <v>29</v>
      </c>
      <c r="L35" s="163">
        <v>107</v>
      </c>
      <c r="M35" s="163">
        <v>29</v>
      </c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4">
        <f>IF(MIN(F35,J35,N35,R35,V35,Z35)&lt;&gt;0,MIN(F35,J35,N35,R35,V35,Z35),"")</f>
        <v>76</v>
      </c>
      <c r="AE35" s="164">
        <f>IF(MIN(H35,L35,P35,T35,X35,AB35)&lt;&gt;0,MIN(H35,L35,P35,T35,X35,AB35),"")</f>
        <v>99</v>
      </c>
      <c r="AF35" s="164"/>
      <c r="AG35" s="163"/>
      <c r="AH35" s="164"/>
      <c r="AI35" s="163"/>
      <c r="AJ35" s="162" t="str">
        <f>IF(AD35="","",IF(ISBLANK(AF35),"En cours",AD35+AF35))</f>
        <v>En cours</v>
      </c>
      <c r="AK35" s="162" t="str">
        <f>IF(AE35="","",IF(ISBLANK(AH35),"En cours",AE35+AH35))</f>
        <v>En cours</v>
      </c>
    </row>
    <row r="36" spans="2:37" ht="21" x14ac:dyDescent="0.35">
      <c r="B36" s="163" t="s">
        <v>130</v>
      </c>
      <c r="C36" s="163" t="s">
        <v>105</v>
      </c>
      <c r="D36" s="163">
        <v>14.1</v>
      </c>
      <c r="E36" s="163" t="s">
        <v>204</v>
      </c>
      <c r="F36" s="163">
        <v>71</v>
      </c>
      <c r="G36" s="163">
        <v>8</v>
      </c>
      <c r="H36" s="163">
        <v>84</v>
      </c>
      <c r="I36" s="163">
        <v>6</v>
      </c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4">
        <f>IF(MIN(F36,J36,N36,R36,V36,Z36)&lt;&gt;0,MIN(F36,J36,N36,R36,V36,Z36),"")</f>
        <v>71</v>
      </c>
      <c r="AE36" s="164">
        <f>IF(MIN(H36,L36,P36,T36,X36,AB36)&lt;&gt;0,MIN(H36,L36,P36,T36,X36,AB36),"")</f>
        <v>84</v>
      </c>
      <c r="AF36" s="164"/>
      <c r="AG36" s="163"/>
      <c r="AH36" s="164"/>
      <c r="AI36" s="163"/>
      <c r="AJ36" s="162" t="str">
        <f>IF(AD36="","",IF(ISBLANK(AF36),"En cours",AD36+AF36))</f>
        <v>En cours</v>
      </c>
      <c r="AK36" s="162" t="str">
        <f>IF(AE36="","",IF(ISBLANK(AH36),"En cours",AE36+AH36))</f>
        <v>En cours</v>
      </c>
    </row>
    <row r="37" spans="2:37" ht="21" x14ac:dyDescent="0.35">
      <c r="B37" s="163" t="s">
        <v>147</v>
      </c>
      <c r="C37" s="163" t="s">
        <v>105</v>
      </c>
      <c r="D37" s="163">
        <v>13.1</v>
      </c>
      <c r="E37" s="163" t="s">
        <v>204</v>
      </c>
      <c r="F37" s="163">
        <v>80</v>
      </c>
      <c r="G37" s="163">
        <v>29</v>
      </c>
      <c r="H37" s="163">
        <v>92</v>
      </c>
      <c r="I37" s="163">
        <v>23</v>
      </c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>
        <f>IF(MIN(F37,J37,N37,R37,V37,Z37)&lt;&gt;0,MIN(F37,J37,N37,R37,V37,Z37),"")</f>
        <v>80</v>
      </c>
      <c r="AE37" s="164">
        <f>IF(MIN(H37,L37,P37,T37,X37,AB37)&lt;&gt;0,MIN(H37,L37,P37,T37,X37,AB37),"")</f>
        <v>92</v>
      </c>
      <c r="AF37" s="164"/>
      <c r="AG37" s="163"/>
      <c r="AH37" s="164"/>
      <c r="AI37" s="163"/>
      <c r="AJ37" s="162" t="str">
        <f>IF(AD37="","",IF(ISBLANK(AF37),"En cours",AD37+AF37))</f>
        <v>En cours</v>
      </c>
      <c r="AK37" s="162" t="str">
        <f>IF(AE37="","",IF(ISBLANK(AH37),"En cours",AE37+AH37))</f>
        <v>En cours</v>
      </c>
    </row>
    <row r="38" spans="2:37" ht="21" x14ac:dyDescent="0.35">
      <c r="B38" s="163" t="s">
        <v>170</v>
      </c>
      <c r="C38" s="163" t="s">
        <v>105</v>
      </c>
      <c r="D38" s="163">
        <v>27.2</v>
      </c>
      <c r="E38" s="163" t="s">
        <v>206</v>
      </c>
      <c r="F38" s="163">
        <v>69</v>
      </c>
      <c r="G38" s="163">
        <v>7</v>
      </c>
      <c r="H38" s="163">
        <v>90</v>
      </c>
      <c r="I38" s="163">
        <v>10</v>
      </c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4">
        <f>IF(MIN(F38,J38,N38,R38,V38,Z38)&lt;&gt;0,MIN(F38,J38,N38,R38,V38,Z38),"")</f>
        <v>69</v>
      </c>
      <c r="AE38" s="164">
        <f>IF(MIN(H38,L38,P38,T38,X38,AB38)&lt;&gt;0,MIN(H38,L38,P38,T38,X38,AB38),"")</f>
        <v>90</v>
      </c>
      <c r="AF38" s="164"/>
      <c r="AG38" s="163"/>
      <c r="AH38" s="164"/>
      <c r="AI38" s="163"/>
      <c r="AJ38" s="162" t="str">
        <f>IF(AD38="","",IF(ISBLANK(AF38),"En cours",AD38+AF38))</f>
        <v>En cours</v>
      </c>
      <c r="AK38" s="162" t="str">
        <f>IF(AE38="","",IF(ISBLANK(AH38),"En cours",AE38+AH38))</f>
        <v>En cours</v>
      </c>
    </row>
    <row r="39" spans="2:37" ht="21" x14ac:dyDescent="0.35">
      <c r="B39" s="163" t="s">
        <v>118</v>
      </c>
      <c r="C39" s="163" t="s">
        <v>105</v>
      </c>
      <c r="D39" s="163">
        <v>10.8</v>
      </c>
      <c r="E39" s="163" t="s">
        <v>205</v>
      </c>
      <c r="F39" s="163">
        <v>76</v>
      </c>
      <c r="G39" s="163">
        <v>10</v>
      </c>
      <c r="H39" s="163">
        <v>89</v>
      </c>
      <c r="I39" s="163">
        <v>13</v>
      </c>
      <c r="J39" s="163">
        <v>69</v>
      </c>
      <c r="K39" s="163">
        <v>2</v>
      </c>
      <c r="L39" s="163">
        <v>82</v>
      </c>
      <c r="M39" s="163">
        <v>5</v>
      </c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4">
        <f>IF(MIN(F39,J39,N39,R39,V39,Z39)&lt;&gt;0,MIN(F39,J39,N39,R39,V39,Z39),"")</f>
        <v>69</v>
      </c>
      <c r="AE39" s="164">
        <f>IF(MIN(H39,L39,P39,T39,X39,AB39)&lt;&gt;0,MIN(H39,L39,P39,T39,X39,AB39),"")</f>
        <v>82</v>
      </c>
      <c r="AF39" s="164"/>
      <c r="AG39" s="163"/>
      <c r="AH39" s="164"/>
      <c r="AI39" s="163"/>
      <c r="AJ39" s="162" t="str">
        <f>IF(AD39="","",IF(ISBLANK(AF39),"En cours",AD39+AF39))</f>
        <v>En cours</v>
      </c>
      <c r="AK39" s="162" t="str">
        <f>IF(AE39="","",IF(ISBLANK(AH39),"En cours",AE39+AH39))</f>
        <v>En cours</v>
      </c>
    </row>
    <row r="40" spans="2:37" ht="21" x14ac:dyDescent="0.35">
      <c r="B40" s="163" t="s">
        <v>233</v>
      </c>
      <c r="C40" s="163" t="s">
        <v>105</v>
      </c>
      <c r="D40" s="163">
        <v>15.5</v>
      </c>
      <c r="E40" s="163" t="s">
        <v>204</v>
      </c>
      <c r="F40" s="163"/>
      <c r="G40" s="163"/>
      <c r="H40" s="163"/>
      <c r="I40" s="163"/>
      <c r="J40" s="163">
        <v>95</v>
      </c>
      <c r="K40" s="163">
        <v>39</v>
      </c>
      <c r="L40" s="163">
        <v>110</v>
      </c>
      <c r="M40" s="163">
        <v>39</v>
      </c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4">
        <f>IF(MIN(F40,J40,N40,R40,V40,Z40)&lt;&gt;0,MIN(F40,J40,N40,R40,V40,Z40),"")</f>
        <v>95</v>
      </c>
      <c r="AE40" s="164">
        <f>IF(MIN(H40,L40,P40,T40,X40,AB40)&lt;&gt;0,MIN(H40,L40,P40,T40,X40,AB40),"")</f>
        <v>110</v>
      </c>
      <c r="AF40" s="164"/>
      <c r="AG40" s="163"/>
      <c r="AH40" s="164"/>
      <c r="AI40" s="163"/>
      <c r="AJ40" s="162" t="str">
        <f>IF(AD40="","",IF(ISBLANK(AF40),"En cours",AD40+AF40))</f>
        <v>En cours</v>
      </c>
      <c r="AK40" s="162" t="str">
        <f>IF(AE40="","",IF(ISBLANK(AH40),"En cours",AE40+AH40))</f>
        <v>En cours</v>
      </c>
    </row>
    <row r="41" spans="2:37" ht="21" x14ac:dyDescent="0.35">
      <c r="B41" s="163" t="s">
        <v>165</v>
      </c>
      <c r="C41" s="163" t="s">
        <v>105</v>
      </c>
      <c r="D41" s="163">
        <v>28.6</v>
      </c>
      <c r="E41" s="163" t="s">
        <v>206</v>
      </c>
      <c r="F41" s="163">
        <v>66</v>
      </c>
      <c r="G41" s="163">
        <v>1</v>
      </c>
      <c r="H41" s="163">
        <v>88</v>
      </c>
      <c r="I41" s="163">
        <v>5</v>
      </c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4">
        <f>IF(MIN(F41,J41,N41,R41,V41,Z41)&lt;&gt;0,MIN(F41,J41,N41,R41,V41,Z41),"")</f>
        <v>66</v>
      </c>
      <c r="AE41" s="164">
        <f>IF(MIN(H41,L41,P41,T41,X41,AB41)&lt;&gt;0,MIN(H41,L41,P41,T41,X41,AB41),"")</f>
        <v>88</v>
      </c>
      <c r="AF41" s="164"/>
      <c r="AG41" s="163"/>
      <c r="AH41" s="164"/>
      <c r="AI41" s="163"/>
      <c r="AJ41" s="162" t="str">
        <f>IF(AD41="","",IF(ISBLANK(AF41),"En cours",AD41+AF41))</f>
        <v>En cours</v>
      </c>
      <c r="AK41" s="162" t="str">
        <f>IF(AE41="","",IF(ISBLANK(AH41),"En cours",AE41+AH41))</f>
        <v>En cours</v>
      </c>
    </row>
    <row r="42" spans="2:37" ht="21" x14ac:dyDescent="0.35">
      <c r="B42" s="163" t="s">
        <v>181</v>
      </c>
      <c r="C42" s="163" t="s">
        <v>105</v>
      </c>
      <c r="D42" s="163">
        <v>27.6</v>
      </c>
      <c r="E42" s="163" t="s">
        <v>206</v>
      </c>
      <c r="F42" s="163">
        <v>80</v>
      </c>
      <c r="G42" s="163">
        <v>20</v>
      </c>
      <c r="H42" s="163">
        <v>101</v>
      </c>
      <c r="I42" s="163">
        <v>21</v>
      </c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4">
        <f>IF(MIN(F42,J42,N42,R42,V42,Z42)&lt;&gt;0,MIN(F42,J42,N42,R42,V42,Z42),"")</f>
        <v>80</v>
      </c>
      <c r="AE42" s="164">
        <f>IF(MIN(H42,L42,P42,T42,X42,AB42)&lt;&gt;0,MIN(H42,L42,P42,T42,X42,AB42),"")</f>
        <v>101</v>
      </c>
      <c r="AF42" s="164"/>
      <c r="AG42" s="163"/>
      <c r="AH42" s="164"/>
      <c r="AI42" s="163"/>
      <c r="AJ42" s="162" t="str">
        <f>IF(AD42="","",IF(ISBLANK(AF42),"En cours",AD42+AF42))</f>
        <v>En cours</v>
      </c>
      <c r="AK42" s="162" t="str">
        <f>IF(AE42="","",IF(ISBLANK(AH42),"En cours",AE42+AH42))</f>
        <v>En cours</v>
      </c>
    </row>
    <row r="43" spans="2:37" ht="21" x14ac:dyDescent="0.35">
      <c r="B43" s="163" t="s">
        <v>245</v>
      </c>
      <c r="C43" s="163" t="s">
        <v>105</v>
      </c>
      <c r="D43" s="163">
        <v>20.7</v>
      </c>
      <c r="E43" s="163" t="s">
        <v>207</v>
      </c>
      <c r="F43" s="163"/>
      <c r="G43" s="163"/>
      <c r="H43" s="163"/>
      <c r="I43" s="163"/>
      <c r="J43" s="163">
        <v>77</v>
      </c>
      <c r="K43" s="163">
        <v>19</v>
      </c>
      <c r="L43" s="163">
        <v>94</v>
      </c>
      <c r="M43" s="163">
        <v>17</v>
      </c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>
        <f>IF(MIN(F43,J43,N43,R43,V43,Z43)&lt;&gt;0,MIN(F43,J43,N43,R43,V43,Z43),"")</f>
        <v>77</v>
      </c>
      <c r="AE43" s="164">
        <f>IF(MIN(H43,L43,P43,T43,X43,AB43)&lt;&gt;0,MIN(H43,L43,P43,T43,X43,AB43),"")</f>
        <v>94</v>
      </c>
      <c r="AF43" s="164"/>
      <c r="AG43" s="163"/>
      <c r="AH43" s="164"/>
      <c r="AI43" s="163"/>
      <c r="AJ43" s="162" t="str">
        <f>IF(AD43="","",IF(ISBLANK(AF43),"En cours",AD43+AF43))</f>
        <v>En cours</v>
      </c>
      <c r="AK43" s="162" t="str">
        <f>IF(AE43="","",IF(ISBLANK(AH43),"En cours",AE43+AH43))</f>
        <v>En cours</v>
      </c>
    </row>
    <row r="44" spans="2:37" ht="21" x14ac:dyDescent="0.35">
      <c r="B44" s="163" t="s">
        <v>143</v>
      </c>
      <c r="C44" s="163" t="s">
        <v>105</v>
      </c>
      <c r="D44" s="163">
        <v>16.3</v>
      </c>
      <c r="E44" s="163" t="s">
        <v>204</v>
      </c>
      <c r="F44" s="163">
        <v>73</v>
      </c>
      <c r="G44" s="163">
        <v>12</v>
      </c>
      <c r="H44" s="163">
        <v>89</v>
      </c>
      <c r="I44" s="163">
        <v>19</v>
      </c>
      <c r="J44" s="163">
        <v>78</v>
      </c>
      <c r="K44" s="163">
        <v>20</v>
      </c>
      <c r="L44" s="163">
        <v>94</v>
      </c>
      <c r="M44" s="163">
        <v>26</v>
      </c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>
        <f>IF(MIN(F44,J44,N44,R44,V44,Z44)&lt;&gt;0,MIN(F44,J44,N44,R44,V44,Z44),"")</f>
        <v>73</v>
      </c>
      <c r="AE44" s="164">
        <f>IF(MIN(H44,L44,P44,T44,X44,AB44)&lt;&gt;0,MIN(H44,L44,P44,T44,X44,AB44),"")</f>
        <v>89</v>
      </c>
      <c r="AF44" s="164"/>
      <c r="AG44" s="163"/>
      <c r="AH44" s="164"/>
      <c r="AI44" s="163"/>
      <c r="AJ44" s="162" t="str">
        <f>IF(AD44="","",IF(ISBLANK(AF44),"En cours",AD44+AF44))</f>
        <v>En cours</v>
      </c>
      <c r="AK44" s="162" t="str">
        <f>IF(AE44="","",IF(ISBLANK(AH44),"En cours",AE44+AH44))</f>
        <v>En cours</v>
      </c>
    </row>
    <row r="45" spans="2:37" ht="21" x14ac:dyDescent="0.35">
      <c r="B45" s="163" t="s">
        <v>175</v>
      </c>
      <c r="C45" s="163" t="s">
        <v>105</v>
      </c>
      <c r="D45" s="163">
        <v>25.2</v>
      </c>
      <c r="E45" s="163" t="s">
        <v>207</v>
      </c>
      <c r="F45" s="163">
        <v>73</v>
      </c>
      <c r="G45" s="163">
        <v>14</v>
      </c>
      <c r="H45" s="163">
        <v>95</v>
      </c>
      <c r="I45" s="163">
        <v>15</v>
      </c>
      <c r="J45" s="163">
        <v>72</v>
      </c>
      <c r="K45" s="163">
        <v>6</v>
      </c>
      <c r="L45" s="163">
        <v>94</v>
      </c>
      <c r="M45" s="163">
        <v>14</v>
      </c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4">
        <f>IF(MIN(F45,J45,N45,R45,V45,Z45)&lt;&gt;0,MIN(F45,J45,N45,R45,V45,Z45),"")</f>
        <v>72</v>
      </c>
      <c r="AE45" s="164">
        <f>IF(MIN(H45,L45,P45,T45,X45,AB45)&lt;&gt;0,MIN(H45,L45,P45,T45,X45,AB45),"")</f>
        <v>94</v>
      </c>
      <c r="AF45" s="164"/>
      <c r="AG45" s="163"/>
      <c r="AH45" s="164"/>
      <c r="AI45" s="163"/>
      <c r="AJ45" s="162" t="str">
        <f>IF(AD45="","",IF(ISBLANK(AF45),"En cours",AD45+AF45))</f>
        <v>En cours</v>
      </c>
      <c r="AK45" s="162" t="str">
        <f>IF(AE45="","",IF(ISBLANK(AH45),"En cours",AE45+AH45))</f>
        <v>En cours</v>
      </c>
    </row>
    <row r="46" spans="2:37" ht="21" x14ac:dyDescent="0.35">
      <c r="B46" s="163" t="s">
        <v>239</v>
      </c>
      <c r="C46" s="163" t="s">
        <v>105</v>
      </c>
      <c r="D46" s="163">
        <v>28.9</v>
      </c>
      <c r="E46" s="163" t="s">
        <v>206</v>
      </c>
      <c r="F46" s="163"/>
      <c r="G46" s="163"/>
      <c r="H46" s="163"/>
      <c r="I46" s="163"/>
      <c r="J46" s="163">
        <v>70</v>
      </c>
      <c r="K46" s="163">
        <v>5</v>
      </c>
      <c r="L46" s="163">
        <v>92</v>
      </c>
      <c r="M46" s="163">
        <v>8</v>
      </c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4">
        <f>IF(MIN(F46,J46,N46,R46,V46,Z46)&lt;&gt;0,MIN(F46,J46,N46,R46,V46,Z46),"")</f>
        <v>70</v>
      </c>
      <c r="AE46" s="164">
        <f>IF(MIN(H46,L46,P46,T46,X46,AB46)&lt;&gt;0,MIN(H46,L46,P46,T46,X46,AB46),"")</f>
        <v>92</v>
      </c>
      <c r="AF46" s="164"/>
      <c r="AG46" s="163"/>
      <c r="AH46" s="164"/>
      <c r="AI46" s="163"/>
      <c r="AJ46" s="162" t="str">
        <f>IF(AD46="","",IF(ISBLANK(AF46),"En cours",AD46+AF46))</f>
        <v>En cours</v>
      </c>
      <c r="AK46" s="162" t="str">
        <f>IF(AE46="","",IF(ISBLANK(AH46),"En cours",AE46+AH46))</f>
        <v>En cours</v>
      </c>
    </row>
    <row r="47" spans="2:37" ht="21" x14ac:dyDescent="0.35">
      <c r="B47" s="163" t="s">
        <v>250</v>
      </c>
      <c r="C47" s="163" t="s">
        <v>105</v>
      </c>
      <c r="D47" s="163">
        <v>31.8</v>
      </c>
      <c r="E47" s="163" t="s">
        <v>206</v>
      </c>
      <c r="F47" s="163"/>
      <c r="G47" s="163"/>
      <c r="H47" s="163"/>
      <c r="I47" s="163"/>
      <c r="J47" s="163">
        <v>72</v>
      </c>
      <c r="K47" s="163">
        <v>9</v>
      </c>
      <c r="L47" s="163">
        <v>97</v>
      </c>
      <c r="M47" s="163">
        <v>23</v>
      </c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>
        <f>IF(MIN(F47,J47,N47,R47,V47,Z47)&lt;&gt;0,MIN(F47,J47,N47,R47,V47,Z47),"")</f>
        <v>72</v>
      </c>
      <c r="AE47" s="164">
        <f>IF(MIN(H47,L47,P47,T47,X47,AB47)&lt;&gt;0,MIN(H47,L47,P47,T47,X47,AB47),"")</f>
        <v>97</v>
      </c>
      <c r="AF47" s="164"/>
      <c r="AG47" s="163"/>
      <c r="AH47" s="164"/>
      <c r="AI47" s="163"/>
      <c r="AJ47" s="162" t="str">
        <f>IF(AD47="","",IF(ISBLANK(AF47),"En cours",AD47+AF47))</f>
        <v>En cours</v>
      </c>
      <c r="AK47" s="162" t="str">
        <f>IF(AE47="","",IF(ISBLANK(AH47),"En cours",AE47+AH47))</f>
        <v>En cours</v>
      </c>
    </row>
    <row r="48" spans="2:37" ht="21" x14ac:dyDescent="0.35">
      <c r="B48" s="163" t="s">
        <v>155</v>
      </c>
      <c r="C48" s="163" t="s">
        <v>105</v>
      </c>
      <c r="D48" s="163">
        <v>18.2</v>
      </c>
      <c r="E48" s="163" t="s">
        <v>204</v>
      </c>
      <c r="F48" s="163">
        <v>79</v>
      </c>
      <c r="G48" s="163">
        <v>27</v>
      </c>
      <c r="H48" s="163">
        <v>97</v>
      </c>
      <c r="I48" s="163">
        <v>30</v>
      </c>
      <c r="J48" s="163">
        <v>74</v>
      </c>
      <c r="K48" s="163">
        <v>11</v>
      </c>
      <c r="L48" s="163">
        <v>92</v>
      </c>
      <c r="M48" s="163">
        <v>21</v>
      </c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4">
        <f>IF(MIN(F48,J48,N48,R48,V48,Z48)&lt;&gt;0,MIN(F48,J48,N48,R48,V48,Z48),"")</f>
        <v>74</v>
      </c>
      <c r="AE48" s="164">
        <f>IF(MIN(H48,L48,P48,T48,X48,AB48)&lt;&gt;0,MIN(H48,L48,P48,T48,X48,AB48),"")</f>
        <v>92</v>
      </c>
      <c r="AF48" s="164"/>
      <c r="AG48" s="163"/>
      <c r="AH48" s="164"/>
      <c r="AI48" s="163"/>
      <c r="AJ48" s="162" t="str">
        <f>IF(AD48="","",IF(ISBLANK(AF48),"En cours",AD48+AF48))</f>
        <v>En cours</v>
      </c>
      <c r="AK48" s="162" t="str">
        <f>IF(AE48="","",IF(ISBLANK(AH48),"En cours",AE48+AH48))</f>
        <v>En cours</v>
      </c>
    </row>
    <row r="49" spans="2:37" ht="21" x14ac:dyDescent="0.35">
      <c r="B49" s="163" t="s">
        <v>142</v>
      </c>
      <c r="C49" s="163" t="s">
        <v>105</v>
      </c>
      <c r="D49" s="163">
        <v>16.3</v>
      </c>
      <c r="E49" s="163" t="s">
        <v>204</v>
      </c>
      <c r="F49" s="163">
        <v>72</v>
      </c>
      <c r="G49" s="163">
        <v>11</v>
      </c>
      <c r="H49" s="163">
        <v>88</v>
      </c>
      <c r="I49" s="163">
        <v>18</v>
      </c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>
        <f>IF(MIN(F49,J49,N49,R49,V49,Z49)&lt;&gt;0,MIN(F49,J49,N49,R49,V49,Z49),"")</f>
        <v>72</v>
      </c>
      <c r="AE49" s="164">
        <f>IF(MIN(H49,L49,P49,T49,X49,AB49)&lt;&gt;0,MIN(H49,L49,P49,T49,X49,AB49),"")</f>
        <v>88</v>
      </c>
      <c r="AF49" s="164"/>
      <c r="AG49" s="163"/>
      <c r="AH49" s="164"/>
      <c r="AI49" s="163"/>
      <c r="AJ49" s="162" t="str">
        <f>IF(AD49="","",IF(ISBLANK(AF49),"En cours",AD49+AF49))</f>
        <v>En cours</v>
      </c>
      <c r="AK49" s="162" t="str">
        <f>IF(AE49="","",IF(ISBLANK(AH49),"En cours",AE49+AH49))</f>
        <v>En cours</v>
      </c>
    </row>
    <row r="50" spans="2:37" ht="21" x14ac:dyDescent="0.35">
      <c r="B50" s="163" t="s">
        <v>179</v>
      </c>
      <c r="C50" s="163" t="s">
        <v>105</v>
      </c>
      <c r="D50" s="163">
        <v>20.100000000000001</v>
      </c>
      <c r="E50" s="163" t="s">
        <v>207</v>
      </c>
      <c r="F50" s="163">
        <v>83</v>
      </c>
      <c r="G50" s="163">
        <v>21</v>
      </c>
      <c r="H50" s="163">
        <v>99</v>
      </c>
      <c r="I50" s="163">
        <v>19</v>
      </c>
      <c r="J50" s="163">
        <v>78</v>
      </c>
      <c r="K50" s="163">
        <v>26</v>
      </c>
      <c r="L50" s="163">
        <v>94</v>
      </c>
      <c r="M50" s="163">
        <v>18</v>
      </c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4">
        <f>IF(MIN(F50,J50,N50,R50,V50,Z50)&lt;&gt;0,MIN(F50,J50,N50,R50,V50,Z50),"")</f>
        <v>78</v>
      </c>
      <c r="AE50" s="164">
        <f>IF(MIN(H50,L50,P50,T50,X50,AB50)&lt;&gt;0,MIN(H50,L50,P50,T50,X50,AB50),"")</f>
        <v>94</v>
      </c>
      <c r="AF50" s="164"/>
      <c r="AG50" s="163"/>
      <c r="AH50" s="164"/>
      <c r="AI50" s="163"/>
      <c r="AJ50" s="162" t="str">
        <f>IF(AD50="","",IF(ISBLANK(AF50),"En cours",AD50+AF50))</f>
        <v>En cours</v>
      </c>
      <c r="AK50" s="162" t="str">
        <f>IF(AE50="","",IF(ISBLANK(AH50),"En cours",AE50+AH50))</f>
        <v>En cours</v>
      </c>
    </row>
    <row r="51" spans="2:37" ht="21" x14ac:dyDescent="0.35">
      <c r="B51" s="163" t="s">
        <v>246</v>
      </c>
      <c r="C51" s="163" t="s">
        <v>105</v>
      </c>
      <c r="D51" s="163">
        <v>21.3</v>
      </c>
      <c r="E51" s="163" t="s">
        <v>207</v>
      </c>
      <c r="F51" s="163"/>
      <c r="G51" s="163"/>
      <c r="H51" s="163"/>
      <c r="I51" s="163"/>
      <c r="J51" s="163">
        <v>77</v>
      </c>
      <c r="K51" s="163">
        <v>20</v>
      </c>
      <c r="L51" s="163">
        <v>95</v>
      </c>
      <c r="M51" s="163">
        <v>19</v>
      </c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>
        <f>IF(MIN(F51,J51,N51,R51,V51,Z51)&lt;&gt;0,MIN(F51,J51,N51,R51,V51,Z51),"")</f>
        <v>77</v>
      </c>
      <c r="AE51" s="164">
        <f>IF(MIN(H51,L51,P51,T51,X51,AB51)&lt;&gt;0,MIN(H51,L51,P51,T51,X51,AB51),"")</f>
        <v>95</v>
      </c>
      <c r="AF51" s="164"/>
      <c r="AG51" s="163"/>
      <c r="AH51" s="164"/>
      <c r="AI51" s="163"/>
      <c r="AJ51" s="162" t="str">
        <f>IF(AD51="","",IF(ISBLANK(AF51),"En cours",AD51+AF51))</f>
        <v>En cours</v>
      </c>
      <c r="AK51" s="162" t="str">
        <f>IF(AE51="","",IF(ISBLANK(AH51),"En cours",AE51+AH51))</f>
        <v>En cours</v>
      </c>
    </row>
    <row r="52" spans="2:37" ht="21" x14ac:dyDescent="0.35">
      <c r="B52" s="163" t="s">
        <v>217</v>
      </c>
      <c r="C52" s="163" t="s">
        <v>105</v>
      </c>
      <c r="D52" s="163">
        <v>14.1</v>
      </c>
      <c r="E52" s="163" t="s">
        <v>204</v>
      </c>
      <c r="F52" s="163"/>
      <c r="G52" s="163"/>
      <c r="H52" s="163"/>
      <c r="I52" s="163"/>
      <c r="J52" s="163">
        <v>72</v>
      </c>
      <c r="K52" s="163">
        <v>8</v>
      </c>
      <c r="L52" s="163">
        <v>85</v>
      </c>
      <c r="M52" s="163">
        <v>6</v>
      </c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>
        <f>IF(MIN(F52,J52,N52,R52,V52,Z52)&lt;&gt;0,MIN(F52,J52,N52,R52,V52,Z52),"")</f>
        <v>72</v>
      </c>
      <c r="AE52" s="164">
        <f>IF(MIN(H52,L52,P52,T52,X52,AB52)&lt;&gt;0,MIN(H52,L52,P52,T52,X52,AB52),"")</f>
        <v>85</v>
      </c>
      <c r="AF52" s="164"/>
      <c r="AG52" s="163"/>
      <c r="AH52" s="164"/>
      <c r="AI52" s="163"/>
      <c r="AJ52" s="162" t="str">
        <f>IF(AD52="","",IF(ISBLANK(AF52),"En cours",AD52+AF52))</f>
        <v>En cours</v>
      </c>
      <c r="AK52" s="162" t="str">
        <f>IF(AE52="","",IF(ISBLANK(AH52),"En cours",AE52+AH52))</f>
        <v>En cours</v>
      </c>
    </row>
    <row r="53" spans="2:37" ht="21" x14ac:dyDescent="0.35">
      <c r="B53" s="163" t="s">
        <v>134</v>
      </c>
      <c r="C53" s="163" t="s">
        <v>105</v>
      </c>
      <c r="D53" s="163">
        <v>11.7</v>
      </c>
      <c r="E53" s="163" t="s">
        <v>204</v>
      </c>
      <c r="F53" s="163">
        <v>76</v>
      </c>
      <c r="G53" s="163">
        <v>21</v>
      </c>
      <c r="H53" s="163">
        <v>86</v>
      </c>
      <c r="I53" s="163">
        <v>10</v>
      </c>
      <c r="J53" s="163">
        <v>81</v>
      </c>
      <c r="K53" s="163">
        <v>27</v>
      </c>
      <c r="L53" s="163">
        <v>91</v>
      </c>
      <c r="M53" s="163">
        <v>16</v>
      </c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4">
        <f>IF(MIN(F53,J53,N53,R53,V53,Z53)&lt;&gt;0,MIN(F53,J53,N53,R53,V53,Z53),"")</f>
        <v>76</v>
      </c>
      <c r="AE53" s="164">
        <f>IF(MIN(H53,L53,P53,T53,X53,AB53)&lt;&gt;0,MIN(H53,L53,P53,T53,X53,AB53),"")</f>
        <v>86</v>
      </c>
      <c r="AF53" s="164"/>
      <c r="AG53" s="163"/>
      <c r="AH53" s="164"/>
      <c r="AI53" s="163"/>
      <c r="AJ53" s="162" t="str">
        <f>IF(AD53="","",IF(ISBLANK(AF53),"En cours",AD53+AF53))</f>
        <v>En cours</v>
      </c>
      <c r="AK53" s="162" t="str">
        <f>IF(AE53="","",IF(ISBLANK(AH53),"En cours",AE53+AH53))</f>
        <v>En cours</v>
      </c>
    </row>
    <row r="54" spans="2:37" ht="21" x14ac:dyDescent="0.35">
      <c r="B54" s="163" t="s">
        <v>116</v>
      </c>
      <c r="C54" s="163" t="s">
        <v>105</v>
      </c>
      <c r="D54" s="163">
        <v>10.5</v>
      </c>
      <c r="E54" s="163" t="s">
        <v>205</v>
      </c>
      <c r="F54" s="163">
        <v>74</v>
      </c>
      <c r="G54" s="163">
        <v>8</v>
      </c>
      <c r="H54" s="163">
        <v>87</v>
      </c>
      <c r="I54" s="163">
        <v>11</v>
      </c>
      <c r="J54" s="163">
        <v>76</v>
      </c>
      <c r="K54" s="163">
        <v>7</v>
      </c>
      <c r="L54" s="163">
        <v>89</v>
      </c>
      <c r="M54" s="163">
        <v>8</v>
      </c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4">
        <f>IF(MIN(F54,J54,N54,R54,V54,Z54)&lt;&gt;0,MIN(F54,J54,N54,R54,V54,Z54),"")</f>
        <v>74</v>
      </c>
      <c r="AE54" s="164">
        <f>IF(MIN(H54,L54,P54,T54,X54,AB54)&lt;&gt;0,MIN(H54,L54,P54,T54,X54,AB54),"")</f>
        <v>87</v>
      </c>
      <c r="AF54" s="164"/>
      <c r="AG54" s="163"/>
      <c r="AH54" s="164"/>
      <c r="AI54" s="163"/>
      <c r="AJ54" s="162" t="str">
        <f>IF(AD54="","",IF(ISBLANK(AF54),"En cours",AD54+AF54))</f>
        <v>En cours</v>
      </c>
      <c r="AK54" s="162" t="str">
        <f>IF(AE54="","",IF(ISBLANK(AH54),"En cours",AE54+AH54))</f>
        <v>En cours</v>
      </c>
    </row>
    <row r="55" spans="2:37" ht="21" x14ac:dyDescent="0.35">
      <c r="B55" s="163" t="s">
        <v>148</v>
      </c>
      <c r="C55" s="163" t="s">
        <v>149</v>
      </c>
      <c r="D55" s="163">
        <v>17.8</v>
      </c>
      <c r="E55" s="163" t="s">
        <v>204</v>
      </c>
      <c r="F55" s="163">
        <v>75</v>
      </c>
      <c r="G55" s="163">
        <v>16</v>
      </c>
      <c r="H55" s="163">
        <v>92</v>
      </c>
      <c r="I55" s="163">
        <v>24</v>
      </c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>
        <f>IF(MIN(F55,J55,N55,R55,V55,Z55)&lt;&gt;0,MIN(F55,J55,N55,R55,V55,Z55),"")</f>
        <v>75</v>
      </c>
      <c r="AE55" s="164">
        <f>IF(MIN(H55,L55,P55,T55,X55,AB55)&lt;&gt;0,MIN(H55,L55,P55,T55,X55,AB55),"")</f>
        <v>92</v>
      </c>
      <c r="AF55" s="164"/>
      <c r="AG55" s="163"/>
      <c r="AH55" s="164"/>
      <c r="AI55" s="163"/>
      <c r="AJ55" s="162" t="str">
        <f>IF(AD55="","",IF(ISBLANK(AF55),"En cours",AD55+AF55))</f>
        <v>En cours</v>
      </c>
      <c r="AK55" s="162" t="str">
        <f>IF(AE55="","",IF(ISBLANK(AH55),"En cours",AE55+AH55))</f>
        <v>En cours</v>
      </c>
    </row>
    <row r="56" spans="2:37" ht="21" x14ac:dyDescent="0.35">
      <c r="B56" s="163" t="s">
        <v>229</v>
      </c>
      <c r="C56" s="163" t="s">
        <v>105</v>
      </c>
      <c r="D56" s="163">
        <v>16.7</v>
      </c>
      <c r="E56" s="163" t="s">
        <v>204</v>
      </c>
      <c r="F56" s="163"/>
      <c r="G56" s="163"/>
      <c r="H56" s="163"/>
      <c r="I56" s="163"/>
      <c r="J56" s="163">
        <v>78</v>
      </c>
      <c r="K56" s="163">
        <v>23</v>
      </c>
      <c r="L56" s="163">
        <v>94</v>
      </c>
      <c r="M56" s="163">
        <v>28</v>
      </c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>
        <f>IF(MIN(F56,J56,N56,R56,V56,Z56)&lt;&gt;0,MIN(F56,J56,N56,R56,V56,Z56),"")</f>
        <v>78</v>
      </c>
      <c r="AE56" s="164">
        <f>IF(MIN(H56,L56,P56,T56,X56,AB56)&lt;&gt;0,MIN(H56,L56,P56,T56,X56,AB56),"")</f>
        <v>94</v>
      </c>
      <c r="AF56" s="164"/>
      <c r="AG56" s="163"/>
      <c r="AH56" s="164"/>
      <c r="AI56" s="163"/>
      <c r="AJ56" s="162" t="str">
        <f>IF(AD56="","",IF(ISBLANK(AF56),"En cours",AD56+AF56))</f>
        <v>En cours</v>
      </c>
      <c r="AK56" s="162" t="str">
        <f>IF(AE56="","",IF(ISBLANK(AH56),"En cours",AE56+AH56))</f>
        <v>En cours</v>
      </c>
    </row>
    <row r="57" spans="2:37" ht="21" x14ac:dyDescent="0.35">
      <c r="B57" s="163" t="s">
        <v>163</v>
      </c>
      <c r="C57" s="163" t="s">
        <v>105</v>
      </c>
      <c r="D57" s="163">
        <v>18.8</v>
      </c>
      <c r="E57" s="163" t="s">
        <v>207</v>
      </c>
      <c r="F57" s="163">
        <v>72</v>
      </c>
      <c r="G57" s="163">
        <v>11</v>
      </c>
      <c r="H57" s="163">
        <v>87</v>
      </c>
      <c r="I57" s="163">
        <v>3</v>
      </c>
      <c r="J57" s="163">
        <v>78</v>
      </c>
      <c r="K57" s="163">
        <v>24</v>
      </c>
      <c r="L57" s="163">
        <v>93</v>
      </c>
      <c r="M57" s="163">
        <v>12</v>
      </c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4">
        <f>IF(MIN(F57,J57,N57,R57,V57,Z57)&lt;&gt;0,MIN(F57,J57,N57,R57,V57,Z57),"")</f>
        <v>72</v>
      </c>
      <c r="AE57" s="164">
        <f>IF(MIN(H57,L57,P57,T57,X57,AB57)&lt;&gt;0,MIN(H57,L57,P57,T57,X57,AB57),"")</f>
        <v>87</v>
      </c>
      <c r="AF57" s="164"/>
      <c r="AG57" s="163"/>
      <c r="AH57" s="164"/>
      <c r="AI57" s="163"/>
      <c r="AJ57" s="162" t="str">
        <f>IF(AD57="","",IF(ISBLANK(AF57),"En cours",AD57+AF57))</f>
        <v>En cours</v>
      </c>
      <c r="AK57" s="162" t="str">
        <f>IF(AE57="","",IF(ISBLANK(AH57),"En cours",AE57+AH57))</f>
        <v>En cours</v>
      </c>
    </row>
    <row r="58" spans="2:37" ht="21" x14ac:dyDescent="0.35">
      <c r="B58" s="163" t="s">
        <v>213</v>
      </c>
      <c r="C58" s="163" t="s">
        <v>105</v>
      </c>
      <c r="D58" s="163">
        <v>11.2</v>
      </c>
      <c r="E58" s="163" t="s">
        <v>205</v>
      </c>
      <c r="F58" s="163"/>
      <c r="G58" s="163"/>
      <c r="H58" s="163"/>
      <c r="I58" s="163"/>
      <c r="J58" s="163">
        <v>71</v>
      </c>
      <c r="K58" s="163">
        <v>3</v>
      </c>
      <c r="L58" s="163">
        <v>85</v>
      </c>
      <c r="M58" s="163">
        <v>6</v>
      </c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>
        <f>IF(MIN(F58,J58,N58,R58,V58,Z58)&lt;&gt;0,MIN(F58,J58,N58,R58,V58,Z58),"")</f>
        <v>71</v>
      </c>
      <c r="AE58" s="164">
        <f>IF(MIN(H58,L58,P58,T58,X58,AB58)&lt;&gt;0,MIN(H58,L58,P58,T58,X58,AB58),"")</f>
        <v>85</v>
      </c>
      <c r="AF58" s="164"/>
      <c r="AG58" s="163"/>
      <c r="AH58" s="164"/>
      <c r="AI58" s="163"/>
      <c r="AJ58" s="162" t="str">
        <f>IF(AD58="","",IF(ISBLANK(AF58),"En cours",AD58+AF58))</f>
        <v>En cours</v>
      </c>
      <c r="AK58" s="162" t="str">
        <f>IF(AE58="","",IF(ISBLANK(AH58),"En cours",AE58+AH58))</f>
        <v>En cours</v>
      </c>
    </row>
    <row r="59" spans="2:37" ht="21" x14ac:dyDescent="0.35">
      <c r="B59" s="163" t="s">
        <v>119</v>
      </c>
      <c r="C59" s="163" t="s">
        <v>105</v>
      </c>
      <c r="D59" s="163">
        <v>8.4</v>
      </c>
      <c r="E59" s="163" t="s">
        <v>205</v>
      </c>
      <c r="F59" s="163">
        <v>79</v>
      </c>
      <c r="G59" s="163">
        <v>15</v>
      </c>
      <c r="H59" s="163">
        <v>89</v>
      </c>
      <c r="I59" s="163">
        <v>14</v>
      </c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4">
        <f>IF(MIN(F59,J59,N59,R59,V59,Z59)&lt;&gt;0,MIN(F59,J59,N59,R59,V59,Z59),"")</f>
        <v>79</v>
      </c>
      <c r="AE59" s="164">
        <f>IF(MIN(H59,L59,P59,T59,X59,AB59)&lt;&gt;0,MIN(H59,L59,P59,T59,X59,AB59),"")</f>
        <v>89</v>
      </c>
      <c r="AF59" s="164"/>
      <c r="AG59" s="163"/>
      <c r="AH59" s="164"/>
      <c r="AI59" s="163"/>
      <c r="AJ59" s="162" t="str">
        <f>IF(AD59="","",IF(ISBLANK(AF59),"En cours",AD59+AF59))</f>
        <v>En cours</v>
      </c>
      <c r="AK59" s="162" t="str">
        <f>IF(AE59="","",IF(ISBLANK(AH59),"En cours",AE59+AH59))</f>
        <v>En cours</v>
      </c>
    </row>
    <row r="60" spans="2:37" ht="21" x14ac:dyDescent="0.35">
      <c r="B60" s="163" t="s">
        <v>235</v>
      </c>
      <c r="C60" s="163" t="s">
        <v>105</v>
      </c>
      <c r="D60" s="163">
        <v>24.7</v>
      </c>
      <c r="E60" s="163" t="s">
        <v>207</v>
      </c>
      <c r="F60" s="163"/>
      <c r="G60" s="163"/>
      <c r="H60" s="163"/>
      <c r="I60" s="163"/>
      <c r="J60" s="163">
        <v>67</v>
      </c>
      <c r="K60" s="163">
        <v>2</v>
      </c>
      <c r="L60" s="163">
        <v>88</v>
      </c>
      <c r="M60" s="163">
        <v>2</v>
      </c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>
        <f>IF(MIN(F60,J60,N60,R60,V60,Z60)&lt;&gt;0,MIN(F60,J60,N60,R60,V60,Z60),"")</f>
        <v>67</v>
      </c>
      <c r="AE60" s="164">
        <f>IF(MIN(H60,L60,P60,T60,X60,AB60)&lt;&gt;0,MIN(H60,L60,P60,T60,X60,AB60),"")</f>
        <v>88</v>
      </c>
      <c r="AF60" s="164"/>
      <c r="AG60" s="163"/>
      <c r="AH60" s="164"/>
      <c r="AI60" s="163"/>
      <c r="AJ60" s="162" t="str">
        <f>IF(AD60="","",IF(ISBLANK(AF60),"En cours",AD60+AF60))</f>
        <v>En cours</v>
      </c>
      <c r="AK60" s="162" t="str">
        <f>IF(AE60="","",IF(ISBLANK(AH60),"En cours",AE60+AH60))</f>
        <v>En cours</v>
      </c>
    </row>
    <row r="61" spans="2:37" ht="21" x14ac:dyDescent="0.35">
      <c r="B61" s="163" t="s">
        <v>129</v>
      </c>
      <c r="C61" s="163" t="s">
        <v>105</v>
      </c>
      <c r="D61" s="163">
        <v>17.8</v>
      </c>
      <c r="E61" s="163" t="s">
        <v>204</v>
      </c>
      <c r="F61" s="163">
        <v>67</v>
      </c>
      <c r="G61" s="163">
        <v>1</v>
      </c>
      <c r="H61" s="163">
        <v>84</v>
      </c>
      <c r="I61" s="163">
        <v>5</v>
      </c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>
        <f>IF(MIN(F61,J61,N61,R61,V61,Z61)&lt;&gt;0,MIN(F61,J61,N61,R61,V61,Z61),"")</f>
        <v>67</v>
      </c>
      <c r="AE61" s="164">
        <f>IF(MIN(H61,L61,P61,T61,X61,AB61)&lt;&gt;0,MIN(H61,L61,P61,T61,X61,AB61),"")</f>
        <v>84</v>
      </c>
      <c r="AF61" s="164"/>
      <c r="AG61" s="163"/>
      <c r="AH61" s="164"/>
      <c r="AI61" s="163"/>
      <c r="AJ61" s="162" t="str">
        <f>IF(AD61="","",IF(ISBLANK(AF61),"En cours",AD61+AF61))</f>
        <v>En cours</v>
      </c>
      <c r="AK61" s="162" t="str">
        <f>IF(AE61="","",IF(ISBLANK(AH61),"En cours",AE61+AH61))</f>
        <v>En cours</v>
      </c>
    </row>
    <row r="62" spans="2:37" ht="21" x14ac:dyDescent="0.35">
      <c r="B62" s="163" t="s">
        <v>247</v>
      </c>
      <c r="C62" s="163" t="s">
        <v>109</v>
      </c>
      <c r="D62" s="163">
        <v>23.5</v>
      </c>
      <c r="E62" s="163" t="s">
        <v>207</v>
      </c>
      <c r="F62" s="163"/>
      <c r="G62" s="163"/>
      <c r="H62" s="163"/>
      <c r="I62" s="163"/>
      <c r="J62" s="163">
        <v>75</v>
      </c>
      <c r="K62" s="163">
        <v>16</v>
      </c>
      <c r="L62" s="163">
        <v>95</v>
      </c>
      <c r="M62" s="163">
        <v>20</v>
      </c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>
        <f>IF(MIN(F62,J62,N62,R62,V62,Z62)&lt;&gt;0,MIN(F62,J62,N62,R62,V62,Z62),"")</f>
        <v>75</v>
      </c>
      <c r="AE62" s="164">
        <f>IF(MIN(H62,L62,P62,T62,X62,AB62)&lt;&gt;0,MIN(H62,L62,P62,T62,X62,AB62),"")</f>
        <v>95</v>
      </c>
      <c r="AF62" s="164"/>
      <c r="AG62" s="163"/>
      <c r="AH62" s="164"/>
      <c r="AI62" s="163"/>
      <c r="AJ62" s="162" t="str">
        <f>IF(AD62="","",IF(ISBLANK(AF62),"En cours",AD62+AF62))</f>
        <v>En cours</v>
      </c>
      <c r="AK62" s="162" t="str">
        <f>IF(AE62="","",IF(ISBLANK(AH62),"En cours",AE62+AH62))</f>
        <v>En cours</v>
      </c>
    </row>
    <row r="63" spans="2:37" ht="21" x14ac:dyDescent="0.35">
      <c r="B63" s="163" t="s">
        <v>215</v>
      </c>
      <c r="C63" s="163" t="s">
        <v>109</v>
      </c>
      <c r="D63" s="163">
        <v>7.2</v>
      </c>
      <c r="E63" s="163" t="s">
        <v>205</v>
      </c>
      <c r="F63" s="163"/>
      <c r="G63" s="163"/>
      <c r="H63" s="163"/>
      <c r="I63" s="163"/>
      <c r="J63" s="163">
        <v>85</v>
      </c>
      <c r="K63" s="163">
        <v>10</v>
      </c>
      <c r="L63" s="163">
        <v>94</v>
      </c>
      <c r="M63" s="163">
        <v>10</v>
      </c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>
        <f>IF(MIN(F63,J63,N63,R63,V63,Z63)&lt;&gt;0,MIN(F63,J63,N63,R63,V63,Z63),"")</f>
        <v>85</v>
      </c>
      <c r="AE63" s="164">
        <f>IF(MIN(H63,L63,P63,T63,X63,AB63)&lt;&gt;0,MIN(H63,L63,P63,T63,X63,AB63),"")</f>
        <v>94</v>
      </c>
      <c r="AF63" s="164"/>
      <c r="AG63" s="163"/>
      <c r="AH63" s="164"/>
      <c r="AI63" s="163"/>
      <c r="AJ63" s="162" t="str">
        <f>IF(AD63="","",IF(ISBLANK(AF63),"En cours",AD63+AF63))</f>
        <v>En cours</v>
      </c>
      <c r="AK63" s="162" t="str">
        <f>IF(AE63="","",IF(ISBLANK(AH63),"En cours",AE63+AH63))</f>
        <v>En cours</v>
      </c>
    </row>
    <row r="64" spans="2:37" ht="21" x14ac:dyDescent="0.35">
      <c r="B64" s="163" t="s">
        <v>178</v>
      </c>
      <c r="C64" s="163" t="s">
        <v>105</v>
      </c>
      <c r="D64" s="163">
        <v>29.1</v>
      </c>
      <c r="E64" s="163" t="s">
        <v>206</v>
      </c>
      <c r="F64" s="163">
        <v>75</v>
      </c>
      <c r="G64" s="163">
        <v>18</v>
      </c>
      <c r="H64" s="163">
        <v>98</v>
      </c>
      <c r="I64" s="163">
        <v>18</v>
      </c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4">
        <f>IF(MIN(F64,J64,N64,R64,V64,Z64)&lt;&gt;0,MIN(F64,J64,N64,R64,V64,Z64),"")</f>
        <v>75</v>
      </c>
      <c r="AE64" s="164">
        <f>IF(MIN(H64,L64,P64,T64,X64,AB64)&lt;&gt;0,MIN(H64,L64,P64,T64,X64,AB64),"")</f>
        <v>98</v>
      </c>
      <c r="AF64" s="164"/>
      <c r="AG64" s="163"/>
      <c r="AH64" s="164"/>
      <c r="AI64" s="163"/>
      <c r="AJ64" s="162" t="str">
        <f>IF(AD64="","",IF(ISBLANK(AF64),"En cours",AD64+AF64))</f>
        <v>En cours</v>
      </c>
      <c r="AK64" s="162" t="str">
        <f>IF(AE64="","",IF(ISBLANK(AH64),"En cours",AE64+AH64))</f>
        <v>En cours</v>
      </c>
    </row>
    <row r="65" spans="2:37" ht="21" x14ac:dyDescent="0.35">
      <c r="B65" s="163" t="s">
        <v>223</v>
      </c>
      <c r="C65" s="163" t="s">
        <v>105</v>
      </c>
      <c r="D65" s="163">
        <v>15.4</v>
      </c>
      <c r="E65" s="163" t="s">
        <v>204</v>
      </c>
      <c r="F65" s="163"/>
      <c r="G65" s="163"/>
      <c r="H65" s="163"/>
      <c r="I65" s="163"/>
      <c r="J65" s="163">
        <v>74</v>
      </c>
      <c r="K65" s="163">
        <v>12</v>
      </c>
      <c r="L65" s="163">
        <v>89</v>
      </c>
      <c r="M65" s="163">
        <v>15</v>
      </c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>
        <f>IF(MIN(F65,J65,N65,R65,V65,Z65)&lt;&gt;0,MIN(F65,J65,N65,R65,V65,Z65),"")</f>
        <v>74</v>
      </c>
      <c r="AE65" s="164">
        <f>IF(MIN(H65,L65,P65,T65,X65,AB65)&lt;&gt;0,MIN(H65,L65,P65,T65,X65,AB65),"")</f>
        <v>89</v>
      </c>
      <c r="AF65" s="164"/>
      <c r="AG65" s="163"/>
      <c r="AH65" s="164"/>
      <c r="AI65" s="163"/>
      <c r="AJ65" s="162" t="str">
        <f>IF(AD65="","",IF(ISBLANK(AF65),"En cours",AD65+AF65))</f>
        <v>En cours</v>
      </c>
      <c r="AK65" s="162" t="str">
        <f>IF(AE65="","",IF(ISBLANK(AH65),"En cours",AE65+AH65))</f>
        <v>En cours</v>
      </c>
    </row>
    <row r="66" spans="2:37" ht="21" x14ac:dyDescent="0.35">
      <c r="B66" s="163" t="s">
        <v>151</v>
      </c>
      <c r="C66" s="163" t="s">
        <v>105</v>
      </c>
      <c r="D66" s="163">
        <v>16.100000000000001</v>
      </c>
      <c r="E66" s="163" t="s">
        <v>204</v>
      </c>
      <c r="F66" s="163">
        <v>78</v>
      </c>
      <c r="G66" s="163">
        <v>25</v>
      </c>
      <c r="H66" s="163">
        <v>93</v>
      </c>
      <c r="I66" s="163">
        <v>26</v>
      </c>
      <c r="J66" s="163">
        <v>87</v>
      </c>
      <c r="K66" s="163">
        <v>36</v>
      </c>
      <c r="L66" s="163">
        <v>102</v>
      </c>
      <c r="M66" s="163">
        <v>35</v>
      </c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4">
        <f>IF(MIN(F66,J66,N66,R66,V66,Z66)&lt;&gt;0,MIN(F66,J66,N66,R66,V66,Z66),"")</f>
        <v>78</v>
      </c>
      <c r="AE66" s="164">
        <f>IF(MIN(H66,L66,P66,T66,X66,AB66)&lt;&gt;0,MIN(H66,L66,P66,T66,X66,AB66),"")</f>
        <v>93</v>
      </c>
      <c r="AF66" s="164"/>
      <c r="AG66" s="163"/>
      <c r="AH66" s="164"/>
      <c r="AI66" s="163"/>
      <c r="AJ66" s="162" t="str">
        <f>IF(AD66="","",IF(ISBLANK(AF66),"En cours",AD66+AF66))</f>
        <v>En cours</v>
      </c>
      <c r="AK66" s="162" t="str">
        <f>IF(AE66="","",IF(ISBLANK(AH66),"En cours",AE66+AH66))</f>
        <v>En cours</v>
      </c>
    </row>
    <row r="67" spans="2:37" ht="21" x14ac:dyDescent="0.35">
      <c r="B67" s="163" t="s">
        <v>231</v>
      </c>
      <c r="C67" s="163" t="s">
        <v>105</v>
      </c>
      <c r="D67" s="163">
        <v>17.5</v>
      </c>
      <c r="E67" s="163" t="s">
        <v>204</v>
      </c>
      <c r="F67" s="163"/>
      <c r="G67" s="163"/>
      <c r="H67" s="163"/>
      <c r="I67" s="163"/>
      <c r="J67" s="163">
        <v>89</v>
      </c>
      <c r="K67" s="163">
        <v>37</v>
      </c>
      <c r="L67" s="163">
        <v>106</v>
      </c>
      <c r="M67" s="163">
        <v>37</v>
      </c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4">
        <f>IF(MIN(F67,J67,N67,R67,V67,Z67)&lt;&gt;0,MIN(F67,J67,N67,R67,V67,Z67),"")</f>
        <v>89</v>
      </c>
      <c r="AE67" s="164">
        <f>IF(MIN(H67,L67,P67,T67,X67,AB67)&lt;&gt;0,MIN(H67,L67,P67,T67,X67,AB67),"")</f>
        <v>106</v>
      </c>
      <c r="AF67" s="164"/>
      <c r="AG67" s="163"/>
      <c r="AH67" s="164"/>
      <c r="AI67" s="163"/>
      <c r="AJ67" s="162" t="str">
        <f>IF(AD67="","",IF(ISBLANK(AF67),"En cours",AD67+AF67))</f>
        <v>En cours</v>
      </c>
      <c r="AK67" s="162" t="str">
        <f>IF(AE67="","",IF(ISBLANK(AH67),"En cours",AE67+AH67))</f>
        <v>En cours</v>
      </c>
    </row>
    <row r="68" spans="2:37" ht="21" x14ac:dyDescent="0.35">
      <c r="B68" s="163" t="s">
        <v>172</v>
      </c>
      <c r="C68" s="163" t="s">
        <v>105</v>
      </c>
      <c r="D68" s="163">
        <v>20.6</v>
      </c>
      <c r="E68" s="163" t="s">
        <v>207</v>
      </c>
      <c r="F68" s="163">
        <v>74</v>
      </c>
      <c r="G68" s="163">
        <v>17</v>
      </c>
      <c r="H68" s="163">
        <v>91</v>
      </c>
      <c r="I68" s="163">
        <v>12</v>
      </c>
      <c r="J68" s="163">
        <v>81</v>
      </c>
      <c r="K68" s="163">
        <v>28</v>
      </c>
      <c r="L68" s="163">
        <v>98</v>
      </c>
      <c r="M68" s="163">
        <v>24</v>
      </c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4">
        <f>IF(MIN(F68,J68,N68,R68,V68,Z68)&lt;&gt;0,MIN(F68,J68,N68,R68,V68,Z68),"")</f>
        <v>74</v>
      </c>
      <c r="AE68" s="164">
        <f>IF(MIN(H68,L68,P68,T68,X68,AB68)&lt;&gt;0,MIN(H68,L68,P68,T68,X68,AB68),"")</f>
        <v>91</v>
      </c>
      <c r="AF68" s="164"/>
      <c r="AG68" s="163"/>
      <c r="AH68" s="164"/>
      <c r="AI68" s="163"/>
      <c r="AJ68" s="162" t="str">
        <f>IF(AD68="","",IF(ISBLANK(AF68),"En cours",AD68+AF68))</f>
        <v>En cours</v>
      </c>
      <c r="AK68" s="162" t="str">
        <f>IF(AE68="","",IF(ISBLANK(AH68),"En cours",AE68+AH68))</f>
        <v>En cours</v>
      </c>
    </row>
    <row r="69" spans="2:37" ht="21" x14ac:dyDescent="0.35">
      <c r="B69" s="163" t="s">
        <v>157</v>
      </c>
      <c r="C69" s="163" t="s">
        <v>105</v>
      </c>
      <c r="D69" s="163">
        <v>14.8</v>
      </c>
      <c r="E69" s="163" t="s">
        <v>204</v>
      </c>
      <c r="F69" s="163">
        <v>85</v>
      </c>
      <c r="G69" s="163">
        <v>34</v>
      </c>
      <c r="H69" s="163">
        <v>99</v>
      </c>
      <c r="I69" s="163">
        <v>32</v>
      </c>
      <c r="J69" s="163">
        <v>82</v>
      </c>
      <c r="K69" s="163">
        <v>29</v>
      </c>
      <c r="L69" s="163">
        <v>96</v>
      </c>
      <c r="M69" s="163">
        <v>31</v>
      </c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4">
        <f>IF(MIN(F69,J69,N69,R69,V69,Z69)&lt;&gt;0,MIN(F69,J69,N69,R69,V69,Z69),"")</f>
        <v>82</v>
      </c>
      <c r="AE69" s="164">
        <f>IF(MIN(H69,L69,P69,T69,X69,AB69)&lt;&gt;0,MIN(H69,L69,P69,T69,X69,AB69),"")</f>
        <v>96</v>
      </c>
      <c r="AF69" s="164"/>
      <c r="AG69" s="163"/>
      <c r="AH69" s="164"/>
      <c r="AI69" s="163"/>
      <c r="AJ69" s="162" t="str">
        <f>IF(AD69="","",IF(ISBLANK(AF69),"En cours",AD69+AF69))</f>
        <v>En cours</v>
      </c>
      <c r="AK69" s="162" t="str">
        <f>IF(AE69="","",IF(ISBLANK(AH69),"En cours",AE69+AH69))</f>
        <v>En cours</v>
      </c>
    </row>
    <row r="70" spans="2:37" ht="21" x14ac:dyDescent="0.35">
      <c r="B70" s="163" t="s">
        <v>221</v>
      </c>
      <c r="C70" s="163" t="s">
        <v>105</v>
      </c>
      <c r="D70" s="163">
        <v>13.9</v>
      </c>
      <c r="E70" s="163" t="s">
        <v>204</v>
      </c>
      <c r="F70" s="163"/>
      <c r="G70" s="163"/>
      <c r="H70" s="163"/>
      <c r="I70" s="163"/>
      <c r="J70" s="163">
        <v>75</v>
      </c>
      <c r="K70" s="163">
        <v>13</v>
      </c>
      <c r="L70" s="163">
        <v>88</v>
      </c>
      <c r="M70" s="163">
        <v>12</v>
      </c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>
        <f>IF(MIN(F70,J70,N70,R70,V70,Z70)&lt;&gt;0,MIN(F70,J70,N70,R70,V70,Z70),"")</f>
        <v>75</v>
      </c>
      <c r="AE70" s="164">
        <f>IF(MIN(H70,L70,P70,T70,X70,AB70)&lt;&gt;0,MIN(H70,L70,P70,T70,X70,AB70),"")</f>
        <v>88</v>
      </c>
      <c r="AF70" s="164"/>
      <c r="AG70" s="163"/>
      <c r="AH70" s="164"/>
      <c r="AI70" s="163"/>
      <c r="AJ70" s="162" t="str">
        <f>IF(AD70="","",IF(ISBLANK(AF70),"En cours",AD70+AF70))</f>
        <v>En cours</v>
      </c>
      <c r="AK70" s="162" t="str">
        <f>IF(AE70="","",IF(ISBLANK(AH70),"En cours",AE70+AH70))</f>
        <v>En cours</v>
      </c>
    </row>
    <row r="71" spans="2:37" ht="21" x14ac:dyDescent="0.35">
      <c r="B71" s="163" t="s">
        <v>138</v>
      </c>
      <c r="C71" s="163" t="s">
        <v>105</v>
      </c>
      <c r="D71" s="163">
        <v>16.3</v>
      </c>
      <c r="E71" s="163" t="s">
        <v>204</v>
      </c>
      <c r="F71" s="163">
        <v>71</v>
      </c>
      <c r="G71" s="163">
        <v>7</v>
      </c>
      <c r="H71" s="163">
        <v>87</v>
      </c>
      <c r="I71" s="163">
        <v>14</v>
      </c>
      <c r="J71" s="163">
        <v>71</v>
      </c>
      <c r="K71" s="163">
        <v>4</v>
      </c>
      <c r="L71" s="163">
        <v>87</v>
      </c>
      <c r="M71" s="163">
        <v>10</v>
      </c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4">
        <f>IF(MIN(F71,J71,N71,R71,V71,Z71)&lt;&gt;0,MIN(F71,J71,N71,R71,V71,Z71),"")</f>
        <v>71</v>
      </c>
      <c r="AE71" s="164">
        <f>IF(MIN(H71,L71,P71,T71,X71,AB71)&lt;&gt;0,MIN(H71,L71,P71,T71,X71,AB71),"")</f>
        <v>87</v>
      </c>
      <c r="AF71" s="164"/>
      <c r="AG71" s="163"/>
      <c r="AH71" s="164"/>
      <c r="AI71" s="163"/>
      <c r="AJ71" s="162" t="str">
        <f>IF(AD71="","",IF(ISBLANK(AF71),"En cours",AD71+AF71))</f>
        <v>En cours</v>
      </c>
      <c r="AK71" s="162" t="str">
        <f>IF(AE71="","",IF(ISBLANK(AH71),"En cours",AE71+AH71))</f>
        <v>En cours</v>
      </c>
    </row>
    <row r="72" spans="2:37" ht="21" x14ac:dyDescent="0.35">
      <c r="B72" s="163" t="s">
        <v>144</v>
      </c>
      <c r="C72" s="163" t="s">
        <v>105</v>
      </c>
      <c r="D72" s="163">
        <v>17.399999999999999</v>
      </c>
      <c r="E72" s="163" t="s">
        <v>204</v>
      </c>
      <c r="F72" s="163">
        <v>73</v>
      </c>
      <c r="G72" s="163">
        <v>13</v>
      </c>
      <c r="H72" s="163">
        <v>90</v>
      </c>
      <c r="I72" s="163">
        <v>20</v>
      </c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4">
        <f>IF(MIN(F72,J72,N72,R72,V72,Z72)&lt;&gt;0,MIN(F72,J72,N72,R72,V72,Z72),"")</f>
        <v>73</v>
      </c>
      <c r="AE72" s="164">
        <f>IF(MIN(H72,L72,P72,T72,X72,AB72)&lt;&gt;0,MIN(H72,L72,P72,T72,X72,AB72),"")</f>
        <v>90</v>
      </c>
      <c r="AF72" s="164"/>
      <c r="AG72" s="163"/>
      <c r="AH72" s="164"/>
      <c r="AI72" s="163"/>
      <c r="AJ72" s="162" t="str">
        <f>IF(AD72="","",IF(ISBLANK(AF72),"En cours",AD72+AF72))</f>
        <v>En cours</v>
      </c>
      <c r="AK72" s="162" t="str">
        <f>IF(AE72="","",IF(ISBLANK(AH72),"En cours",AE72+AH72))</f>
        <v>En cours</v>
      </c>
    </row>
    <row r="73" spans="2:37" ht="21" x14ac:dyDescent="0.35">
      <c r="B73" s="163" t="s">
        <v>214</v>
      </c>
      <c r="C73" s="163" t="s">
        <v>105</v>
      </c>
      <c r="D73" s="163">
        <v>6.7</v>
      </c>
      <c r="E73" s="163" t="s">
        <v>205</v>
      </c>
      <c r="F73" s="163"/>
      <c r="G73" s="163"/>
      <c r="H73" s="163"/>
      <c r="I73" s="163"/>
      <c r="J73" s="163">
        <v>79</v>
      </c>
      <c r="K73" s="163">
        <v>9</v>
      </c>
      <c r="L73" s="163">
        <v>87</v>
      </c>
      <c r="M73" s="163">
        <v>7</v>
      </c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4">
        <f>IF(MIN(F73,J73,N73,R73,V73,Z73)&lt;&gt;0,MIN(F73,J73,N73,R73,V73,Z73),"")</f>
        <v>79</v>
      </c>
      <c r="AE73" s="164">
        <f>IF(MIN(H73,L73,P73,T73,X73,AB73)&lt;&gt;0,MIN(H73,L73,P73,T73,X73,AB73),"")</f>
        <v>87</v>
      </c>
      <c r="AF73" s="164"/>
      <c r="AG73" s="163"/>
      <c r="AH73" s="164"/>
      <c r="AI73" s="163"/>
      <c r="AJ73" s="162" t="str">
        <f>IF(AD73="","",IF(ISBLANK(AF73),"En cours",AD73+AF73))</f>
        <v>En cours</v>
      </c>
      <c r="AK73" s="162" t="str">
        <f>IF(AE73="","",IF(ISBLANK(AH73),"En cours",AE73+AH73))</f>
        <v>En cours</v>
      </c>
    </row>
    <row r="74" spans="2:37" ht="21" x14ac:dyDescent="0.35">
      <c r="B74" s="163" t="s">
        <v>107</v>
      </c>
      <c r="C74" s="163" t="s">
        <v>105</v>
      </c>
      <c r="D74" s="163">
        <v>2.7</v>
      </c>
      <c r="E74" s="163" t="s">
        <v>205</v>
      </c>
      <c r="F74" s="163">
        <v>74</v>
      </c>
      <c r="G74" s="163">
        <v>7</v>
      </c>
      <c r="H74" s="163">
        <v>78</v>
      </c>
      <c r="I74" s="163">
        <v>3</v>
      </c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>
        <f>IF(MIN(F74,J74,N74,R74,V74,Z74)&lt;&gt;0,MIN(F74,J74,N74,R74,V74,Z74),"")</f>
        <v>74</v>
      </c>
      <c r="AE74" s="164">
        <f>IF(MIN(H74,L74,P74,T74,X74,AB74)&lt;&gt;0,MIN(H74,L74,P74,T74,X74,AB74),"")</f>
        <v>78</v>
      </c>
      <c r="AF74" s="164"/>
      <c r="AG74" s="163"/>
      <c r="AH74" s="164"/>
      <c r="AI74" s="163"/>
      <c r="AJ74" s="162" t="str">
        <f>IF(AD74="","",IF(ISBLANK(AF74),"En cours",AD74+AF74))</f>
        <v>En cours</v>
      </c>
      <c r="AK74" s="162" t="str">
        <f>IF(AE74="","",IF(ISBLANK(AH74),"En cours",AE74+AH74))</f>
        <v>En cours</v>
      </c>
    </row>
    <row r="75" spans="2:37" ht="21" x14ac:dyDescent="0.35">
      <c r="B75" s="163" t="s">
        <v>111</v>
      </c>
      <c r="C75" s="163" t="s">
        <v>105</v>
      </c>
      <c r="D75" s="163">
        <v>8.3000000000000007</v>
      </c>
      <c r="E75" s="163" t="s">
        <v>205</v>
      </c>
      <c r="F75" s="163">
        <v>69</v>
      </c>
      <c r="G75" s="163">
        <v>3</v>
      </c>
      <c r="H75" s="163">
        <v>79</v>
      </c>
      <c r="I75" s="163">
        <v>6</v>
      </c>
      <c r="J75" s="163">
        <v>67</v>
      </c>
      <c r="K75" s="163">
        <v>1</v>
      </c>
      <c r="L75" s="163">
        <v>77</v>
      </c>
      <c r="M75" s="163">
        <v>1</v>
      </c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>
        <f>IF(MIN(F75,J75,N75,R75,V75,Z75)&lt;&gt;0,MIN(F75,J75,N75,R75,V75,Z75),"")</f>
        <v>67</v>
      </c>
      <c r="AE75" s="164">
        <f>IF(MIN(H75,L75,P75,T75,X75,AB75)&lt;&gt;0,MIN(H75,L75,P75,T75,X75,AB75),"")</f>
        <v>77</v>
      </c>
      <c r="AF75" s="164"/>
      <c r="AG75" s="163"/>
      <c r="AH75" s="164"/>
      <c r="AI75" s="163"/>
      <c r="AJ75" s="162" t="str">
        <f>IF(AD75="","",IF(ISBLANK(AF75),"En cours",AD75+AF75))</f>
        <v>En cours</v>
      </c>
      <c r="AK75" s="162" t="str">
        <f>IF(AE75="","",IF(ISBLANK(AH75),"En cours",AE75+AH75))</f>
        <v>En cours</v>
      </c>
    </row>
    <row r="76" spans="2:37" ht="21" x14ac:dyDescent="0.35">
      <c r="B76" s="163" t="s">
        <v>131</v>
      </c>
      <c r="C76" s="163" t="s">
        <v>105</v>
      </c>
      <c r="D76" s="163">
        <v>11.8</v>
      </c>
      <c r="E76" s="163" t="s">
        <v>204</v>
      </c>
      <c r="F76" s="163">
        <v>74</v>
      </c>
      <c r="G76" s="163">
        <v>14</v>
      </c>
      <c r="H76" s="163">
        <v>85</v>
      </c>
      <c r="I76" s="163">
        <v>7</v>
      </c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4">
        <f>IF(MIN(F76,J76,N76,R76,V76,Z76)&lt;&gt;0,MIN(F76,J76,N76,R76,V76,Z76),"")</f>
        <v>74</v>
      </c>
      <c r="AE76" s="164">
        <f>IF(MIN(H76,L76,P76,T76,X76,AB76)&lt;&gt;0,MIN(H76,L76,P76,T76,X76,AB76),"")</f>
        <v>85</v>
      </c>
      <c r="AF76" s="164"/>
      <c r="AG76" s="163"/>
      <c r="AH76" s="164"/>
      <c r="AI76" s="163"/>
      <c r="AJ76" s="162" t="str">
        <f>IF(AD76="","",IF(ISBLANK(AF76),"En cours",AD76+AF76))</f>
        <v>En cours</v>
      </c>
      <c r="AK76" s="162" t="str">
        <f>IF(AE76="","",IF(ISBLANK(AH76),"En cours",AE76+AH76))</f>
        <v>En cours</v>
      </c>
    </row>
    <row r="77" spans="2:37" ht="21" x14ac:dyDescent="0.35">
      <c r="B77" s="163" t="s">
        <v>133</v>
      </c>
      <c r="C77" s="163" t="s">
        <v>105</v>
      </c>
      <c r="D77" s="163">
        <v>14.2</v>
      </c>
      <c r="E77" s="163" t="s">
        <v>204</v>
      </c>
      <c r="F77" s="163">
        <v>72</v>
      </c>
      <c r="G77" s="163">
        <v>10</v>
      </c>
      <c r="H77" s="163">
        <v>85</v>
      </c>
      <c r="I77" s="163">
        <v>9</v>
      </c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4">
        <f>IF(MIN(F77,J77,N77,R77,V77,Z77)&lt;&gt;0,MIN(F77,J77,N77,R77,V77,Z77),"")</f>
        <v>72</v>
      </c>
      <c r="AE77" s="164">
        <f>IF(MIN(H77,L77,P77,T77,X77,AB77)&lt;&gt;0,MIN(H77,L77,P77,T77,X77,AB77),"")</f>
        <v>85</v>
      </c>
      <c r="AF77" s="164"/>
      <c r="AG77" s="163"/>
      <c r="AH77" s="164"/>
      <c r="AI77" s="163"/>
      <c r="AJ77" s="162" t="str">
        <f>IF(AD77="","",IF(ISBLANK(AF77),"En cours",AD77+AF77))</f>
        <v>En cours</v>
      </c>
      <c r="AK77" s="162" t="str">
        <f>IF(AE77="","",IF(ISBLANK(AH77),"En cours",AE77+AH77))</f>
        <v>En cours</v>
      </c>
    </row>
    <row r="78" spans="2:37" ht="21" x14ac:dyDescent="0.35">
      <c r="B78" s="163" t="s">
        <v>156</v>
      </c>
      <c r="C78" s="163" t="s">
        <v>105</v>
      </c>
      <c r="D78" s="163">
        <v>17.100000000000001</v>
      </c>
      <c r="E78" s="163" t="s">
        <v>204</v>
      </c>
      <c r="F78" s="163">
        <v>82</v>
      </c>
      <c r="G78" s="163">
        <v>31</v>
      </c>
      <c r="H78" s="163">
        <v>98</v>
      </c>
      <c r="I78" s="163">
        <v>31</v>
      </c>
      <c r="J78" s="163">
        <v>83</v>
      </c>
      <c r="K78" s="163">
        <v>34</v>
      </c>
      <c r="L78" s="163">
        <v>99</v>
      </c>
      <c r="M78" s="163">
        <v>33</v>
      </c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4">
        <f>IF(MIN(F78,J78,N78,R78,V78,Z78)&lt;&gt;0,MIN(F78,J78,N78,R78,V78,Z78),"")</f>
        <v>82</v>
      </c>
      <c r="AE78" s="164">
        <f>IF(MIN(H78,L78,P78,T78,X78,AB78)&lt;&gt;0,MIN(H78,L78,P78,T78,X78,AB78),"")</f>
        <v>98</v>
      </c>
      <c r="AF78" s="164"/>
      <c r="AG78" s="163"/>
      <c r="AH78" s="164"/>
      <c r="AI78" s="163"/>
      <c r="AJ78" s="162" t="str">
        <f>IF(AD78="","",IF(ISBLANK(AF78),"En cours",AD78+AF78))</f>
        <v>En cours</v>
      </c>
      <c r="AK78" s="162" t="str">
        <f>IF(AE78="","",IF(ISBLANK(AH78),"En cours",AE78+AH78))</f>
        <v>En cours</v>
      </c>
    </row>
    <row r="79" spans="2:37" ht="21" x14ac:dyDescent="0.35">
      <c r="B79" s="163" t="s">
        <v>162</v>
      </c>
      <c r="C79" s="163" t="s">
        <v>105</v>
      </c>
      <c r="D79" s="163">
        <v>23.9</v>
      </c>
      <c r="E79" s="163" t="s">
        <v>207</v>
      </c>
      <c r="F79" s="163">
        <v>66</v>
      </c>
      <c r="G79" s="163">
        <v>3</v>
      </c>
      <c r="H79" s="163">
        <v>86</v>
      </c>
      <c r="I79" s="163">
        <v>2</v>
      </c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4">
        <f>IF(MIN(F79,J79,N79,R79,V79,Z79)&lt;&gt;0,MIN(F79,J79,N79,R79,V79,Z79),"")</f>
        <v>66</v>
      </c>
      <c r="AE79" s="164">
        <f>IF(MIN(H79,L79,P79,T79,X79,AB79)&lt;&gt;0,MIN(H79,L79,P79,T79,X79,AB79),"")</f>
        <v>86</v>
      </c>
      <c r="AF79" s="164"/>
      <c r="AG79" s="163"/>
      <c r="AH79" s="164"/>
      <c r="AI79" s="163"/>
      <c r="AJ79" s="162" t="str">
        <f>IF(AD79="","",IF(ISBLANK(AF79),"En cours",AD79+AF79))</f>
        <v>En cours</v>
      </c>
      <c r="AK79" s="162" t="str">
        <f>IF(AE79="","",IF(ISBLANK(AH79),"En cours",AE79+AH79))</f>
        <v>En cours</v>
      </c>
    </row>
    <row r="80" spans="2:37" ht="21" x14ac:dyDescent="0.35">
      <c r="B80" s="163" t="s">
        <v>152</v>
      </c>
      <c r="C80" s="163" t="s">
        <v>105</v>
      </c>
      <c r="D80" s="163">
        <v>16.7</v>
      </c>
      <c r="E80" s="163" t="s">
        <v>204</v>
      </c>
      <c r="F80" s="163">
        <v>77</v>
      </c>
      <c r="G80" s="163">
        <v>24</v>
      </c>
      <c r="H80" s="163">
        <v>93</v>
      </c>
      <c r="I80" s="163">
        <v>27</v>
      </c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4">
        <f>IF(MIN(F80,J80,N80,R80,V80,Z80)&lt;&gt;0,MIN(F80,J80,N80,R80,V80,Z80),"")</f>
        <v>77</v>
      </c>
      <c r="AE80" s="164">
        <f>IF(MIN(H80,L80,P80,T80,X80,AB80)&lt;&gt;0,MIN(H80,L80,P80,T80,X80,AB80),"")</f>
        <v>93</v>
      </c>
      <c r="AF80" s="164"/>
      <c r="AG80" s="163"/>
      <c r="AH80" s="164"/>
      <c r="AI80" s="163"/>
      <c r="AJ80" s="162" t="str">
        <f>IF(AD80="","",IF(ISBLANK(AF80),"En cours",AD80+AF80))</f>
        <v>En cours</v>
      </c>
      <c r="AK80" s="162" t="str">
        <f>IF(AE80="","",IF(ISBLANK(AH80),"En cours",AE80+AH80))</f>
        <v>En cours</v>
      </c>
    </row>
    <row r="81" spans="2:37" ht="21" x14ac:dyDescent="0.35">
      <c r="B81" s="163" t="s">
        <v>226</v>
      </c>
      <c r="C81" s="163" t="s">
        <v>105</v>
      </c>
      <c r="D81" s="163">
        <v>17.2</v>
      </c>
      <c r="E81" s="163" t="s">
        <v>204</v>
      </c>
      <c r="F81" s="163"/>
      <c r="G81" s="163"/>
      <c r="H81" s="163"/>
      <c r="I81" s="163"/>
      <c r="J81" s="163">
        <v>75</v>
      </c>
      <c r="K81" s="163">
        <v>14</v>
      </c>
      <c r="L81" s="163">
        <v>92</v>
      </c>
      <c r="M81" s="163">
        <v>23</v>
      </c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>
        <f>IF(MIN(F81,J81,N81,R81,V81,Z81)&lt;&gt;0,MIN(F81,J81,N81,R81,V81,Z81),"")</f>
        <v>75</v>
      </c>
      <c r="AE81" s="164">
        <f>IF(MIN(H81,L81,P81,T81,X81,AB81)&lt;&gt;0,MIN(H81,L81,P81,T81,X81,AB81),"")</f>
        <v>92</v>
      </c>
      <c r="AF81" s="164"/>
      <c r="AG81" s="163"/>
      <c r="AH81" s="164"/>
      <c r="AI81" s="163"/>
      <c r="AJ81" s="162" t="str">
        <f>IF(AD81="","",IF(ISBLANK(AF81),"En cours",AD81+AF81))</f>
        <v>En cours</v>
      </c>
      <c r="AK81" s="162" t="str">
        <f>IF(AE81="","",IF(ISBLANK(AH81),"En cours",AE81+AH81))</f>
        <v>En cours</v>
      </c>
    </row>
    <row r="82" spans="2:37" ht="21" x14ac:dyDescent="0.35">
      <c r="B82" s="163" t="s">
        <v>230</v>
      </c>
      <c r="C82" s="163" t="s">
        <v>105</v>
      </c>
      <c r="D82" s="163">
        <v>16.399999999999999</v>
      </c>
      <c r="E82" s="163" t="s">
        <v>204</v>
      </c>
      <c r="F82" s="163"/>
      <c r="G82" s="163"/>
      <c r="H82" s="163"/>
      <c r="I82" s="163"/>
      <c r="J82" s="163">
        <v>79</v>
      </c>
      <c r="K82" s="163">
        <v>24</v>
      </c>
      <c r="L82" s="163">
        <v>95</v>
      </c>
      <c r="M82" s="163">
        <v>29</v>
      </c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4">
        <f>IF(MIN(F82,J82,N82,R82,V82,Z82)&lt;&gt;0,MIN(F82,J82,N82,R82,V82,Z82),"")</f>
        <v>79</v>
      </c>
      <c r="AE82" s="164">
        <f>IF(MIN(H82,L82,P82,T82,X82,AB82)&lt;&gt;0,MIN(H82,L82,P82,T82,X82,AB82),"")</f>
        <v>95</v>
      </c>
      <c r="AF82" s="164"/>
      <c r="AG82" s="163"/>
      <c r="AH82" s="164"/>
      <c r="AI82" s="163"/>
      <c r="AJ82" s="162" t="str">
        <f>IF(AD82="","",IF(ISBLANK(AF82),"En cours",AD82+AF82))</f>
        <v>En cours</v>
      </c>
      <c r="AK82" s="162" t="str">
        <f>IF(AE82="","",IF(ISBLANK(AH82),"En cours",AE82+AH82))</f>
        <v>En cours</v>
      </c>
    </row>
    <row r="83" spans="2:37" ht="21" x14ac:dyDescent="0.35">
      <c r="B83" s="163" t="s">
        <v>114</v>
      </c>
      <c r="C83" s="163" t="s">
        <v>105</v>
      </c>
      <c r="D83" s="163">
        <v>9.6999999999999993</v>
      </c>
      <c r="E83" s="163" t="s">
        <v>205</v>
      </c>
      <c r="F83" s="163">
        <v>72</v>
      </c>
      <c r="G83" s="163">
        <v>6</v>
      </c>
      <c r="H83" s="163">
        <v>84</v>
      </c>
      <c r="I83" s="163">
        <v>9</v>
      </c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4">
        <f>IF(MIN(F83,J83,N83,R83,V83,Z83)&lt;&gt;0,MIN(F83,J83,N83,R83,V83,Z83),"")</f>
        <v>72</v>
      </c>
      <c r="AE83" s="164">
        <f>IF(MIN(H83,L83,P83,T83,X83,AB83)&lt;&gt;0,MIN(H83,L83,P83,T83,X83,AB83),"")</f>
        <v>84</v>
      </c>
      <c r="AF83" s="164"/>
      <c r="AG83" s="163"/>
      <c r="AH83" s="164"/>
      <c r="AI83" s="163"/>
      <c r="AJ83" s="162" t="str">
        <f>IF(AD83="","",IF(ISBLANK(AF83),"En cours",AD83+AF83))</f>
        <v>En cours</v>
      </c>
      <c r="AK83" s="162" t="str">
        <f>IF(AE83="","",IF(ISBLANK(AH83),"En cours",AE83+AH83))</f>
        <v>En cours</v>
      </c>
    </row>
    <row r="84" spans="2:37" ht="21" x14ac:dyDescent="0.35">
      <c r="B84" s="163" t="s">
        <v>244</v>
      </c>
      <c r="C84" s="163" t="s">
        <v>105</v>
      </c>
      <c r="D84" s="163">
        <v>22</v>
      </c>
      <c r="E84" s="163" t="s">
        <v>207</v>
      </c>
      <c r="F84" s="163"/>
      <c r="G84" s="163"/>
      <c r="H84" s="163"/>
      <c r="I84" s="163"/>
      <c r="J84" s="163">
        <v>76</v>
      </c>
      <c r="K84" s="163">
        <v>18</v>
      </c>
      <c r="L84" s="163">
        <v>94</v>
      </c>
      <c r="M84" s="163">
        <v>16</v>
      </c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4">
        <f>IF(MIN(F84,J84,N84,R84,V84,Z84)&lt;&gt;0,MIN(F84,J84,N84,R84,V84,Z84),"")</f>
        <v>76</v>
      </c>
      <c r="AE84" s="164">
        <f>IF(MIN(H84,L84,P84,T84,X84,AB84)&lt;&gt;0,MIN(H84,L84,P84,T84,X84,AB84),"")</f>
        <v>94</v>
      </c>
      <c r="AF84" s="164"/>
      <c r="AG84" s="163"/>
      <c r="AH84" s="164"/>
      <c r="AI84" s="163"/>
      <c r="AJ84" s="162" t="str">
        <f>IF(AD84="","",IF(ISBLANK(AF84),"En cours",AD84+AF84))</f>
        <v>En cours</v>
      </c>
      <c r="AK84" s="162" t="str">
        <f>IF(AE84="","",IF(ISBLANK(AH84),"En cours",AE84+AH84))</f>
        <v>En cours</v>
      </c>
    </row>
    <row r="85" spans="2:37" ht="21" x14ac:dyDescent="0.35">
      <c r="B85" s="163" t="s">
        <v>124</v>
      </c>
      <c r="C85" s="163" t="s">
        <v>105</v>
      </c>
      <c r="D85" s="163">
        <v>13</v>
      </c>
      <c r="E85" s="163" t="s">
        <v>204</v>
      </c>
      <c r="F85" s="163">
        <v>69</v>
      </c>
      <c r="G85" s="163">
        <v>3</v>
      </c>
      <c r="H85" s="163">
        <v>81</v>
      </c>
      <c r="I85" s="163">
        <v>1</v>
      </c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4">
        <f>IF(MIN(F85,J85,N85,R85,V85,Z85)&lt;&gt;0,MIN(F85,J85,N85,R85,V85,Z85),"")</f>
        <v>69</v>
      </c>
      <c r="AE85" s="164">
        <f>IF(MIN(H85,L85,P85,T85,X85,AB85)&lt;&gt;0,MIN(H85,L85,P85,T85,X85,AB85),"")</f>
        <v>81</v>
      </c>
      <c r="AF85" s="164"/>
      <c r="AG85" s="163"/>
      <c r="AH85" s="164"/>
      <c r="AI85" s="163"/>
      <c r="AJ85" s="162" t="str">
        <f>IF(AD85="","",IF(ISBLANK(AF85),"En cours",AD85+AF85))</f>
        <v>En cours</v>
      </c>
      <c r="AK85" s="162" t="str">
        <f>IF(AE85="","",IF(ISBLANK(AH85),"En cours",AE85+AH85))</f>
        <v>En cours</v>
      </c>
    </row>
    <row r="86" spans="2:37" ht="21" x14ac:dyDescent="0.35">
      <c r="B86" s="163" t="s">
        <v>249</v>
      </c>
      <c r="C86" s="163" t="s">
        <v>105</v>
      </c>
      <c r="D86" s="163">
        <v>25.8</v>
      </c>
      <c r="E86" s="163" t="s">
        <v>207</v>
      </c>
      <c r="F86" s="163"/>
      <c r="G86" s="163"/>
      <c r="H86" s="163"/>
      <c r="I86" s="163"/>
      <c r="J86" s="163">
        <v>75</v>
      </c>
      <c r="K86" s="163">
        <v>13</v>
      </c>
      <c r="L86" s="163">
        <v>97</v>
      </c>
      <c r="M86" s="163">
        <v>22</v>
      </c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4">
        <f>IF(MIN(F86,J86,N86,R86,V86,Z86)&lt;&gt;0,MIN(F86,J86,N86,R86,V86,Z86),"")</f>
        <v>75</v>
      </c>
      <c r="AE86" s="164">
        <f>IF(MIN(H86,L86,P86,T86,X86,AB86)&lt;&gt;0,MIN(H86,L86,P86,T86,X86,AB86),"")</f>
        <v>97</v>
      </c>
      <c r="AF86" s="164"/>
      <c r="AG86" s="163"/>
      <c r="AH86" s="164"/>
      <c r="AI86" s="163"/>
      <c r="AJ86" s="162" t="str">
        <f>IF(AD86="","",IF(ISBLANK(AF86),"En cours",AD86+AF86))</f>
        <v>En cours</v>
      </c>
      <c r="AK86" s="162" t="str">
        <f>IF(AE86="","",IF(ISBLANK(AH86),"En cours",AE86+AH86))</f>
        <v>En cours</v>
      </c>
    </row>
    <row r="87" spans="2:37" ht="21" x14ac:dyDescent="0.35">
      <c r="B87" s="163" t="s">
        <v>139</v>
      </c>
      <c r="C87" s="163" t="s">
        <v>105</v>
      </c>
      <c r="D87" s="163">
        <v>14.2</v>
      </c>
      <c r="E87" s="163" t="s">
        <v>204</v>
      </c>
      <c r="F87" s="163">
        <v>75</v>
      </c>
      <c r="G87" s="163">
        <v>15</v>
      </c>
      <c r="H87" s="163">
        <v>88</v>
      </c>
      <c r="I87" s="163">
        <v>15</v>
      </c>
      <c r="J87" s="163">
        <v>76</v>
      </c>
      <c r="K87" s="163">
        <v>17</v>
      </c>
      <c r="L87" s="163">
        <v>89</v>
      </c>
      <c r="M87" s="163">
        <v>14</v>
      </c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>
        <f>IF(MIN(F87,J87,N87,R87,V87,Z87)&lt;&gt;0,MIN(F87,J87,N87,R87,V87,Z87),"")</f>
        <v>75</v>
      </c>
      <c r="AE87" s="164">
        <f>IF(MIN(H87,L87,P87,T87,X87,AB87)&lt;&gt;0,MIN(H87,L87,P87,T87,X87,AB87),"")</f>
        <v>88</v>
      </c>
      <c r="AF87" s="164"/>
      <c r="AG87" s="163"/>
      <c r="AH87" s="164"/>
      <c r="AI87" s="163"/>
      <c r="AJ87" s="162" t="str">
        <f>IF(AD87="","",IF(ISBLANK(AF87),"En cours",AD87+AF87))</f>
        <v>En cours</v>
      </c>
      <c r="AK87" s="162" t="str">
        <f>IF(AE87="","",IF(ISBLANK(AH87),"En cours",AE87+AH87))</f>
        <v>En cours</v>
      </c>
    </row>
    <row r="88" spans="2:37" ht="21" x14ac:dyDescent="0.35">
      <c r="B88" s="163" t="s">
        <v>237</v>
      </c>
      <c r="C88" s="163" t="s">
        <v>105</v>
      </c>
      <c r="D88" s="163">
        <v>25.6</v>
      </c>
      <c r="E88" s="163" t="s">
        <v>207</v>
      </c>
      <c r="F88" s="163"/>
      <c r="G88" s="163"/>
      <c r="H88" s="163"/>
      <c r="I88" s="163"/>
      <c r="J88" s="163">
        <v>68</v>
      </c>
      <c r="K88" s="163">
        <v>3</v>
      </c>
      <c r="L88" s="163">
        <v>90</v>
      </c>
      <c r="M88" s="163">
        <v>5</v>
      </c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>
        <f>IF(MIN(F88,J88,N88,R88,V88,Z88)&lt;&gt;0,MIN(F88,J88,N88,R88,V88,Z88),"")</f>
        <v>68</v>
      </c>
      <c r="AE88" s="164">
        <f>IF(MIN(H88,L88,P88,T88,X88,AB88)&lt;&gt;0,MIN(H88,L88,P88,T88,X88,AB88),"")</f>
        <v>90</v>
      </c>
      <c r="AF88" s="164"/>
      <c r="AG88" s="163"/>
      <c r="AH88" s="164"/>
      <c r="AI88" s="163"/>
      <c r="AJ88" s="162" t="str">
        <f>IF(AD88="","",IF(ISBLANK(AF88),"En cours",AD88+AF88))</f>
        <v>En cours</v>
      </c>
      <c r="AK88" s="162" t="str">
        <f>IF(AE88="","",IF(ISBLANK(AH88),"En cours",AE88+AH88))</f>
        <v>En cours</v>
      </c>
    </row>
    <row r="89" spans="2:37" ht="21" x14ac:dyDescent="0.35">
      <c r="B89" s="163" t="s">
        <v>126</v>
      </c>
      <c r="C89" s="163" t="s">
        <v>127</v>
      </c>
      <c r="D89" s="163">
        <v>14.2</v>
      </c>
      <c r="E89" s="163" t="s">
        <v>204</v>
      </c>
      <c r="F89" s="163">
        <v>69</v>
      </c>
      <c r="G89" s="163">
        <v>4</v>
      </c>
      <c r="H89" s="163">
        <v>82</v>
      </c>
      <c r="I89" s="163">
        <v>3</v>
      </c>
      <c r="J89" s="163">
        <v>70</v>
      </c>
      <c r="K89" s="163">
        <v>2</v>
      </c>
      <c r="L89" s="163">
        <v>83</v>
      </c>
      <c r="M89" s="163">
        <v>1</v>
      </c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4">
        <f>IF(MIN(F89,J89,N89,R89,V89,Z89)&lt;&gt;0,MIN(F89,J89,N89,R89,V89,Z89),"")</f>
        <v>69</v>
      </c>
      <c r="AE89" s="164">
        <f>IF(MIN(H89,L89,P89,T89,X89,AB89)&lt;&gt;0,MIN(H89,L89,P89,T89,X89,AB89),"")</f>
        <v>82</v>
      </c>
      <c r="AF89" s="164"/>
      <c r="AG89" s="163"/>
      <c r="AH89" s="164"/>
      <c r="AI89" s="163"/>
      <c r="AJ89" s="162" t="str">
        <f>IF(AD89="","",IF(ISBLANK(AF89),"En cours",AD89+AF89))</f>
        <v>En cours</v>
      </c>
      <c r="AK89" s="162" t="str">
        <f>IF(AE89="","",IF(ISBLANK(AH89),"En cours",AE89+AH89))</f>
        <v>En cours</v>
      </c>
    </row>
    <row r="90" spans="2:37" ht="21" x14ac:dyDescent="0.35">
      <c r="B90" s="163" t="s">
        <v>113</v>
      </c>
      <c r="C90" s="163" t="s">
        <v>105</v>
      </c>
      <c r="D90" s="163">
        <v>7.6</v>
      </c>
      <c r="E90" s="163" t="s">
        <v>205</v>
      </c>
      <c r="F90" s="163">
        <v>74</v>
      </c>
      <c r="G90" s="163">
        <v>9</v>
      </c>
      <c r="H90" s="163">
        <v>83</v>
      </c>
      <c r="I90" s="163">
        <v>8</v>
      </c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4">
        <f>IF(MIN(F90,J90,N90,R90,V90,Z90)&lt;&gt;0,MIN(F90,J90,N90,R90,V90,Z90),"")</f>
        <v>74</v>
      </c>
      <c r="AE90" s="164">
        <f>IF(MIN(H90,L90,P90,T90,X90,AB90)&lt;&gt;0,MIN(H90,L90,P90,T90,X90,AB90),"")</f>
        <v>83</v>
      </c>
      <c r="AF90" s="164"/>
      <c r="AG90" s="163"/>
      <c r="AH90" s="164"/>
      <c r="AI90" s="163"/>
      <c r="AJ90" s="162" t="str">
        <f>IF(AD90="","",IF(ISBLANK(AF90),"En cours",AD90+AF90))</f>
        <v>En cours</v>
      </c>
      <c r="AK90" s="162" t="str">
        <f>IF(AE90="","",IF(ISBLANK(AH90),"En cours",AE90+AH90))</f>
        <v>En cours</v>
      </c>
    </row>
    <row r="91" spans="2:37" ht="21" x14ac:dyDescent="0.35">
      <c r="B91" s="163" t="s">
        <v>121</v>
      </c>
      <c r="C91" s="163" t="s">
        <v>122</v>
      </c>
      <c r="D91" s="163">
        <v>11</v>
      </c>
      <c r="E91" s="163" t="s">
        <v>205</v>
      </c>
      <c r="F91" s="163">
        <v>77</v>
      </c>
      <c r="G91" s="163">
        <v>11</v>
      </c>
      <c r="H91" s="163">
        <v>90</v>
      </c>
      <c r="I91" s="163">
        <v>16</v>
      </c>
      <c r="J91" s="163">
        <v>77</v>
      </c>
      <c r="K91" s="163">
        <v>8</v>
      </c>
      <c r="L91" s="163">
        <v>90</v>
      </c>
      <c r="M91" s="163">
        <v>9</v>
      </c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4">
        <f>IF(MIN(F91,J91,N91,R91,V91,Z91)&lt;&gt;0,MIN(F91,J91,N91,R91,V91,Z91),"")</f>
        <v>77</v>
      </c>
      <c r="AE91" s="164">
        <f>IF(MIN(H91,L91,P91,T91,X91,AB91)&lt;&gt;0,MIN(H91,L91,P91,T91,X91,AB91),"")</f>
        <v>90</v>
      </c>
      <c r="AF91" s="164"/>
      <c r="AG91" s="163"/>
      <c r="AH91" s="164"/>
      <c r="AI91" s="163"/>
      <c r="AJ91" s="162" t="str">
        <f>IF(AD91="","",IF(ISBLANK(AF91),"En cours",AD91+AF91))</f>
        <v>En cours</v>
      </c>
      <c r="AK91" s="162" t="str">
        <f>IF(AE91="","",IF(ISBLANK(AH91),"En cours",AE91+AH91))</f>
        <v>En cours</v>
      </c>
    </row>
    <row r="92" spans="2:37" ht="21" x14ac:dyDescent="0.35">
      <c r="B92" s="163" t="s">
        <v>219</v>
      </c>
      <c r="C92" s="163" t="s">
        <v>105</v>
      </c>
      <c r="D92" s="163">
        <v>18</v>
      </c>
      <c r="E92" s="163" t="s">
        <v>204</v>
      </c>
      <c r="F92" s="163"/>
      <c r="G92" s="163"/>
      <c r="H92" s="163"/>
      <c r="I92" s="163"/>
      <c r="J92" s="163">
        <v>70</v>
      </c>
      <c r="K92" s="163">
        <v>1</v>
      </c>
      <c r="L92" s="163">
        <v>87</v>
      </c>
      <c r="M92" s="163">
        <v>8</v>
      </c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4">
        <f>IF(MIN(F92,J92,N92,R92,V92,Z92)&lt;&gt;0,MIN(F92,J92,N92,R92,V92,Z92),"")</f>
        <v>70</v>
      </c>
      <c r="AE92" s="164">
        <f>IF(MIN(H92,L92,P92,T92,X92,AB92)&lt;&gt;0,MIN(H92,L92,P92,T92,X92,AB92),"")</f>
        <v>87</v>
      </c>
      <c r="AF92" s="164"/>
      <c r="AG92" s="163"/>
      <c r="AH92" s="164"/>
      <c r="AI92" s="163"/>
      <c r="AJ92" s="162" t="str">
        <f>IF(AD92="","",IF(ISBLANK(AF92),"En cours",AD92+AF92))</f>
        <v>En cours</v>
      </c>
      <c r="AK92" s="162" t="str">
        <f>IF(AE92="","",IF(ISBLANK(AH92),"En cours",AE92+AH92))</f>
        <v>En cours</v>
      </c>
    </row>
    <row r="93" spans="2:37" ht="21" x14ac:dyDescent="0.35">
      <c r="B93" s="163" t="s">
        <v>174</v>
      </c>
      <c r="C93" s="163" t="s">
        <v>105</v>
      </c>
      <c r="D93" s="163">
        <v>23.1</v>
      </c>
      <c r="E93" s="163" t="s">
        <v>207</v>
      </c>
      <c r="F93" s="163">
        <v>73</v>
      </c>
      <c r="G93" s="163">
        <v>13</v>
      </c>
      <c r="H93" s="163">
        <v>93</v>
      </c>
      <c r="I93" s="163">
        <v>14</v>
      </c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4">
        <f>IF(MIN(F93,J93,N93,R93,V93,Z93)&lt;&gt;0,MIN(F93,J93,N93,R93,V93,Z93),"")</f>
        <v>73</v>
      </c>
      <c r="AE93" s="164">
        <f>IF(MIN(H93,L93,P93,T93,X93,AB93)&lt;&gt;0,MIN(H93,L93,P93,T93,X93,AB93),"")</f>
        <v>93</v>
      </c>
      <c r="AF93" s="164"/>
      <c r="AG93" s="163"/>
      <c r="AH93" s="164"/>
      <c r="AI93" s="163"/>
      <c r="AJ93" s="162" t="str">
        <f>IF(AD93="","",IF(ISBLANK(AF93),"En cours",AD93+AF93))</f>
        <v>En cours</v>
      </c>
      <c r="AK93" s="162" t="str">
        <f>IF(AE93="","",IF(ISBLANK(AH93),"En cours",AE93+AH93))</f>
        <v>En cours</v>
      </c>
    </row>
    <row r="94" spans="2:37" ht="21" x14ac:dyDescent="0.35">
      <c r="B94" s="163" t="s">
        <v>234</v>
      </c>
      <c r="C94" s="163" t="s">
        <v>105</v>
      </c>
      <c r="D94" s="163">
        <v>21.6</v>
      </c>
      <c r="E94" s="163" t="s">
        <v>207</v>
      </c>
      <c r="F94" s="163"/>
      <c r="G94" s="163"/>
      <c r="H94" s="163"/>
      <c r="I94" s="163"/>
      <c r="J94" s="163">
        <v>62</v>
      </c>
      <c r="K94" s="163">
        <v>1</v>
      </c>
      <c r="L94" s="163">
        <v>80</v>
      </c>
      <c r="M94" s="163">
        <v>1</v>
      </c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4">
        <f>IF(MIN(F94,J94,N94,R94,V94,Z94)&lt;&gt;0,MIN(F94,J94,N94,R94,V94,Z94),"")</f>
        <v>62</v>
      </c>
      <c r="AE94" s="164">
        <f>IF(MIN(H94,L94,P94,T94,X94,AB94)&lt;&gt;0,MIN(H94,L94,P94,T94,X94,AB94),"")</f>
        <v>80</v>
      </c>
      <c r="AF94" s="164"/>
      <c r="AG94" s="163"/>
      <c r="AH94" s="164"/>
      <c r="AI94" s="163"/>
      <c r="AJ94" s="162" t="str">
        <f>IF(AD94="","",IF(ISBLANK(AF94),"En cours",AD94+AF94))</f>
        <v>En cours</v>
      </c>
      <c r="AK94" s="162" t="str">
        <f>IF(AE94="","",IF(ISBLANK(AH94),"En cours",AE94+AH94))</f>
        <v>En cours</v>
      </c>
    </row>
    <row r="95" spans="2:37" ht="21" x14ac:dyDescent="0.35">
      <c r="B95" s="163" t="s">
        <v>128</v>
      </c>
      <c r="C95" s="163" t="s">
        <v>105</v>
      </c>
      <c r="D95" s="163">
        <v>14.4</v>
      </c>
      <c r="E95" s="163" t="s">
        <v>204</v>
      </c>
      <c r="F95" s="163">
        <v>71</v>
      </c>
      <c r="G95" s="163">
        <v>6</v>
      </c>
      <c r="H95" s="163">
        <v>84</v>
      </c>
      <c r="I95" s="163">
        <v>4</v>
      </c>
      <c r="J95" s="163">
        <v>79</v>
      </c>
      <c r="K95" s="163">
        <v>25</v>
      </c>
      <c r="L95" s="163">
        <v>92</v>
      </c>
      <c r="M95" s="163">
        <v>20</v>
      </c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4">
        <f>IF(MIN(F95,J95,N95,R95,V95,Z95)&lt;&gt;0,MIN(F95,J95,N95,R95,V95,Z95),"")</f>
        <v>71</v>
      </c>
      <c r="AE95" s="164">
        <f>IF(MIN(H95,L95,P95,T95,X95,AB95)&lt;&gt;0,MIN(H95,L95,P95,T95,X95,AB95),"")</f>
        <v>84</v>
      </c>
      <c r="AF95" s="164"/>
      <c r="AG95" s="163"/>
      <c r="AH95" s="164"/>
      <c r="AI95" s="163"/>
      <c r="AJ95" s="162" t="str">
        <f>IF(AD95="","",IF(ISBLANK(AF95),"En cours",AD95+AF95))</f>
        <v>En cours</v>
      </c>
      <c r="AK95" s="162" t="str">
        <f>IF(AE95="","",IF(ISBLANK(AH95),"En cours",AE95+AH95))</f>
        <v>En cours</v>
      </c>
    </row>
    <row r="96" spans="2:37" ht="21" x14ac:dyDescent="0.35">
      <c r="B96" s="163" t="s">
        <v>167</v>
      </c>
      <c r="C96" s="163" t="s">
        <v>105</v>
      </c>
      <c r="D96" s="163">
        <v>25.1</v>
      </c>
      <c r="E96" s="163" t="s">
        <v>207</v>
      </c>
      <c r="F96" s="163">
        <v>66</v>
      </c>
      <c r="G96" s="163">
        <v>4</v>
      </c>
      <c r="H96" s="163">
        <v>88</v>
      </c>
      <c r="I96" s="163">
        <v>7</v>
      </c>
      <c r="J96" s="163">
        <v>70</v>
      </c>
      <c r="K96" s="163">
        <v>4</v>
      </c>
      <c r="L96" s="163">
        <v>92</v>
      </c>
      <c r="M96" s="163">
        <v>7</v>
      </c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4">
        <f>IF(MIN(F96,J96,N96,R96,V96,Z96)&lt;&gt;0,MIN(F96,J96,N96,R96,V96,Z96),"")</f>
        <v>66</v>
      </c>
      <c r="AE96" s="164">
        <f>IF(MIN(H96,L96,P96,T96,X96,AB96)&lt;&gt;0,MIN(H96,L96,P96,T96,X96,AB96),"")</f>
        <v>88</v>
      </c>
      <c r="AF96" s="164"/>
      <c r="AG96" s="163"/>
      <c r="AH96" s="164"/>
      <c r="AI96" s="163"/>
      <c r="AJ96" s="162" t="str">
        <f>IF(AD96="","",IF(ISBLANK(AF96),"En cours",AD96+AF96))</f>
        <v>En cours</v>
      </c>
      <c r="AK96" s="162" t="str">
        <f>IF(AE96="","",IF(ISBLANK(AH96),"En cours",AE96+AH96))</f>
        <v>En cours</v>
      </c>
    </row>
    <row r="97" spans="2:37" ht="21" x14ac:dyDescent="0.35">
      <c r="B97" s="163" t="s">
        <v>216</v>
      </c>
      <c r="C97" s="163" t="s">
        <v>105</v>
      </c>
      <c r="D97" s="163">
        <v>13.4</v>
      </c>
      <c r="E97" s="163" t="s">
        <v>204</v>
      </c>
      <c r="F97" s="163"/>
      <c r="G97" s="163"/>
      <c r="H97" s="163"/>
      <c r="I97" s="163"/>
      <c r="J97" s="163">
        <v>72</v>
      </c>
      <c r="K97" s="163">
        <v>7</v>
      </c>
      <c r="L97" s="163">
        <v>84</v>
      </c>
      <c r="M97" s="163">
        <v>2</v>
      </c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4">
        <f>IF(MIN(F97,J97,N97,R97,V97,Z97)&lt;&gt;0,MIN(F97,J97,N97,R97,V97,Z97),"")</f>
        <v>72</v>
      </c>
      <c r="AE97" s="164">
        <f>IF(MIN(H97,L97,P97,T97,X97,AB97)&lt;&gt;0,MIN(H97,L97,P97,T97,X97,AB97),"")</f>
        <v>84</v>
      </c>
      <c r="AF97" s="164"/>
      <c r="AG97" s="163"/>
      <c r="AH97" s="164"/>
      <c r="AI97" s="163"/>
      <c r="AJ97" s="162" t="str">
        <f>IF(AD97="","",IF(ISBLANK(AF97),"En cours",AD97+AF97))</f>
        <v>En cours</v>
      </c>
      <c r="AK97" s="162" t="str">
        <f>IF(AE97="","",IF(ISBLANK(AH97),"En cours",AE97+AH97))</f>
        <v>En cours</v>
      </c>
    </row>
    <row r="98" spans="2:37" ht="21" x14ac:dyDescent="0.35">
      <c r="B98" s="163" t="s">
        <v>177</v>
      </c>
      <c r="C98" s="163" t="s">
        <v>105</v>
      </c>
      <c r="D98" s="163">
        <v>25</v>
      </c>
      <c r="E98" s="163" t="s">
        <v>207</v>
      </c>
      <c r="F98" s="163">
        <v>74</v>
      </c>
      <c r="G98" s="163">
        <v>16</v>
      </c>
      <c r="H98" s="163">
        <v>96</v>
      </c>
      <c r="I98" s="163">
        <v>17</v>
      </c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4">
        <f>IF(MIN(F98,J98,N98,R98,V98,Z98)&lt;&gt;0,MIN(F98,J98,N98,R98,V98,Z98),"")</f>
        <v>74</v>
      </c>
      <c r="AE98" s="164">
        <f>IF(MIN(H98,L98,P98,T98,X98,AB98)&lt;&gt;0,MIN(H98,L98,P98,T98,X98,AB98),"")</f>
        <v>96</v>
      </c>
      <c r="AF98" s="164"/>
      <c r="AG98" s="163"/>
      <c r="AH98" s="164"/>
      <c r="AI98" s="163"/>
      <c r="AJ98" s="162" t="str">
        <f>IF(AD98="","",IF(ISBLANK(AF98),"En cours",AD98+AF98))</f>
        <v>En cours</v>
      </c>
      <c r="AK98" s="162" t="str">
        <f>IF(AE98="","",IF(ISBLANK(AH98),"En cours",AE98+AH98))</f>
        <v>En cours</v>
      </c>
    </row>
    <row r="99" spans="2:37" ht="21" x14ac:dyDescent="0.35">
      <c r="B99" s="163" t="s">
        <v>135</v>
      </c>
      <c r="C99" s="163" t="s">
        <v>105</v>
      </c>
      <c r="D99" s="163">
        <v>18.2</v>
      </c>
      <c r="E99" s="163" t="s">
        <v>204</v>
      </c>
      <c r="F99" s="163">
        <v>68</v>
      </c>
      <c r="G99" s="163">
        <v>2</v>
      </c>
      <c r="H99" s="163">
        <v>86</v>
      </c>
      <c r="I99" s="163">
        <v>11</v>
      </c>
      <c r="J99" s="163">
        <v>81</v>
      </c>
      <c r="K99" s="163">
        <v>28</v>
      </c>
      <c r="L99" s="163">
        <v>99</v>
      </c>
      <c r="M99" s="163">
        <v>32</v>
      </c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4">
        <f>IF(MIN(F99,J99,N99,R99,V99,Z99)&lt;&gt;0,MIN(F99,J99,N99,R99,V99,Z99),"")</f>
        <v>68</v>
      </c>
      <c r="AE99" s="164">
        <f>IF(MIN(H99,L99,P99,T99,X99,AB99)&lt;&gt;0,MIN(H99,L99,P99,T99,X99,AB99),"")</f>
        <v>86</v>
      </c>
      <c r="AF99" s="164"/>
      <c r="AG99" s="163"/>
      <c r="AH99" s="164"/>
      <c r="AI99" s="163"/>
      <c r="AJ99" s="162" t="str">
        <f>IF(AD99="","",IF(ISBLANK(AF99),"En cours",AD99+AF99))</f>
        <v>En cours</v>
      </c>
      <c r="AK99" s="162" t="str">
        <f>IF(AE99="","",IF(ISBLANK(AH99),"En cours",AE99+AH99))</f>
        <v>En cours</v>
      </c>
    </row>
    <row r="100" spans="2:37" ht="21" x14ac:dyDescent="0.35">
      <c r="B100" s="163" t="s">
        <v>104</v>
      </c>
      <c r="C100" s="163" t="s">
        <v>105</v>
      </c>
      <c r="D100" s="163">
        <v>5.3</v>
      </c>
      <c r="E100" s="163" t="s">
        <v>205</v>
      </c>
      <c r="F100" s="163">
        <v>69</v>
      </c>
      <c r="G100" s="163">
        <v>1</v>
      </c>
      <c r="H100" s="163">
        <v>76</v>
      </c>
      <c r="I100" s="163">
        <v>1</v>
      </c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4">
        <f>IF(MIN(F100,J100,N100,R100,V100,Z100)&lt;&gt;0,MIN(F100,J100,N100,R100,V100,Z100),"")</f>
        <v>69</v>
      </c>
      <c r="AE100" s="164">
        <f>IF(MIN(H100,L100,P100,T100,X100,AB100)&lt;&gt;0,MIN(H100,L100,P100,T100,X100,AB100),"")</f>
        <v>76</v>
      </c>
      <c r="AF100" s="164"/>
      <c r="AG100" s="163"/>
      <c r="AH100" s="164"/>
      <c r="AI100" s="163"/>
      <c r="AJ100" s="162" t="str">
        <f>IF(AD100="","",IF(ISBLANK(AF100),"En cours",AD100+AF100))</f>
        <v>En cours</v>
      </c>
      <c r="AK100" s="162" t="str">
        <f>IF(AE100="","",IF(ISBLANK(AH100),"En cours",AE100+AH100))</f>
        <v>En cours</v>
      </c>
    </row>
    <row r="101" spans="2:37" ht="21" x14ac:dyDescent="0.35">
      <c r="B101" s="163" t="s">
        <v>220</v>
      </c>
      <c r="C101" s="163" t="s">
        <v>105</v>
      </c>
      <c r="D101" s="163">
        <v>11.7</v>
      </c>
      <c r="E101" s="163" t="s">
        <v>204</v>
      </c>
      <c r="F101" s="163"/>
      <c r="G101" s="163"/>
      <c r="H101" s="163"/>
      <c r="I101" s="163"/>
      <c r="J101" s="163">
        <v>77</v>
      </c>
      <c r="K101" s="163">
        <v>19</v>
      </c>
      <c r="L101" s="163">
        <v>87</v>
      </c>
      <c r="M101" s="163">
        <v>9</v>
      </c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4">
        <f>IF(MIN(F101,J101,N101,R101,V101,Z101)&lt;&gt;0,MIN(F101,J101,N101,R101,V101,Z101),"")</f>
        <v>77</v>
      </c>
      <c r="AE101" s="164">
        <f>IF(MIN(H101,L101,P101,T101,X101,AB101)&lt;&gt;0,MIN(H101,L101,P101,T101,X101,AB101),"")</f>
        <v>87</v>
      </c>
      <c r="AF101" s="164"/>
      <c r="AG101" s="163"/>
      <c r="AH101" s="164"/>
      <c r="AI101" s="163"/>
      <c r="AJ101" s="162" t="str">
        <f>IF(AD101="","",IF(ISBLANK(AF101),"En cours",AD101+AF101))</f>
        <v>En cours</v>
      </c>
      <c r="AK101" s="162" t="str">
        <f>IF(AE101="","",IF(ISBLANK(AH101),"En cours",AE101+AH101))</f>
        <v>En cours</v>
      </c>
    </row>
    <row r="102" spans="2:37" ht="21" x14ac:dyDescent="0.35">
      <c r="B102" s="163" t="s">
        <v>145</v>
      </c>
      <c r="C102" s="163" t="s">
        <v>105</v>
      </c>
      <c r="D102" s="163">
        <v>14.8</v>
      </c>
      <c r="E102" s="163" t="s">
        <v>204</v>
      </c>
      <c r="F102" s="163">
        <v>76</v>
      </c>
      <c r="G102" s="163">
        <v>20</v>
      </c>
      <c r="H102" s="163">
        <v>90</v>
      </c>
      <c r="I102" s="163">
        <v>21</v>
      </c>
      <c r="J102" s="163">
        <v>70</v>
      </c>
      <c r="K102" s="163">
        <v>3</v>
      </c>
      <c r="L102" s="163">
        <v>84</v>
      </c>
      <c r="M102" s="163">
        <v>5</v>
      </c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4">
        <f>IF(MIN(F102,J102,N102,R102,V102,Z102)&lt;&gt;0,MIN(F102,J102,N102,R102,V102,Z102),"")</f>
        <v>70</v>
      </c>
      <c r="AE102" s="164">
        <f>IF(MIN(H102,L102,P102,T102,X102,AB102)&lt;&gt;0,MIN(H102,L102,P102,T102,X102,AB102),"")</f>
        <v>84</v>
      </c>
      <c r="AF102" s="164"/>
      <c r="AG102" s="163"/>
      <c r="AH102" s="164"/>
      <c r="AI102" s="163"/>
      <c r="AJ102" s="162" t="str">
        <f>IF(AD102="","",IF(ISBLANK(AF102),"En cours",AD102+AF102))</f>
        <v>En cours</v>
      </c>
      <c r="AK102" s="162" t="str">
        <f>IF(AE102="","",IF(ISBLANK(AH102),"En cours",AE102+AH102))</f>
        <v>En cours</v>
      </c>
    </row>
    <row r="103" spans="2:37" ht="21" x14ac:dyDescent="0.35">
      <c r="B103" s="163" t="s">
        <v>112</v>
      </c>
      <c r="C103" s="163" t="s">
        <v>105</v>
      </c>
      <c r="D103" s="163">
        <v>0.3</v>
      </c>
      <c r="E103" s="163" t="s">
        <v>205</v>
      </c>
      <c r="F103" s="163">
        <v>80</v>
      </c>
      <c r="G103" s="163">
        <v>17</v>
      </c>
      <c r="H103" s="163">
        <v>81</v>
      </c>
      <c r="I103" s="163">
        <v>7</v>
      </c>
      <c r="J103" s="163"/>
      <c r="K103" s="163"/>
      <c r="L103" s="163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  <c r="AB103" s="163"/>
      <c r="AC103" s="163"/>
      <c r="AD103" s="164">
        <f>IF(MIN(F103,J103,N103,R103,V103,Z103)&lt;&gt;0,MIN(F103,J103,N103,R103,V103,Z103),"")</f>
        <v>80</v>
      </c>
      <c r="AE103" s="164">
        <f>IF(MIN(H103,L103,P103,T103,X103,AB103)&lt;&gt;0,MIN(H103,L103,P103,T103,X103,AB103),"")</f>
        <v>81</v>
      </c>
      <c r="AF103" s="164"/>
      <c r="AG103" s="163"/>
      <c r="AH103" s="164"/>
      <c r="AI103" s="163"/>
      <c r="AJ103" s="162" t="str">
        <f>IF(AD103="","",IF(ISBLANK(AF103),"En cours",AD103+AF103))</f>
        <v>En cours</v>
      </c>
      <c r="AK103" s="162" t="str">
        <f>IF(AE103="","",IF(ISBLANK(AH103),"En cours",AE103+AH103))</f>
        <v>En cours</v>
      </c>
    </row>
    <row r="104" spans="2:37" ht="21" x14ac:dyDescent="0.35">
      <c r="B104" s="163" t="s">
        <v>166</v>
      </c>
      <c r="C104" s="163" t="s">
        <v>105</v>
      </c>
      <c r="D104" s="163">
        <v>19.899999999999999</v>
      </c>
      <c r="E104" s="163" t="s">
        <v>207</v>
      </c>
      <c r="F104" s="163">
        <v>72</v>
      </c>
      <c r="G104" s="163">
        <v>12</v>
      </c>
      <c r="H104" s="163">
        <v>88</v>
      </c>
      <c r="I104" s="163">
        <v>6</v>
      </c>
      <c r="J104" s="163"/>
      <c r="K104" s="163"/>
      <c r="L104" s="163"/>
      <c r="M104" s="163"/>
      <c r="N104" s="163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  <c r="AA104" s="163"/>
      <c r="AB104" s="163"/>
      <c r="AC104" s="163"/>
      <c r="AD104" s="164">
        <f>IF(MIN(F104,J104,N104,R104,V104,Z104)&lt;&gt;0,MIN(F104,J104,N104,R104,V104,Z104),"")</f>
        <v>72</v>
      </c>
      <c r="AE104" s="164">
        <f>IF(MIN(H104,L104,P104,T104,X104,AB104)&lt;&gt;0,MIN(H104,L104,P104,T104,X104,AB104),"")</f>
        <v>88</v>
      </c>
      <c r="AF104" s="164"/>
      <c r="AG104" s="163"/>
      <c r="AH104" s="164"/>
      <c r="AI104" s="163"/>
      <c r="AJ104" s="162" t="str">
        <f>IF(AD104="","",IF(ISBLANK(AF104),"En cours",AD104+AF104))</f>
        <v>En cours</v>
      </c>
      <c r="AK104" s="162" t="str">
        <f>IF(AE104="","",IF(ISBLANK(AH104),"En cours",AE104+AH104))</f>
        <v>En cours</v>
      </c>
    </row>
    <row r="105" spans="2:37" ht="21" x14ac:dyDescent="0.35">
      <c r="B105" s="163" t="s">
        <v>161</v>
      </c>
      <c r="C105" s="163" t="s">
        <v>105</v>
      </c>
      <c r="D105" s="163">
        <v>20.2</v>
      </c>
      <c r="E105" s="163" t="s">
        <v>207</v>
      </c>
      <c r="F105" s="163">
        <v>66</v>
      </c>
      <c r="G105" s="163">
        <v>2</v>
      </c>
      <c r="H105" s="163">
        <v>83</v>
      </c>
      <c r="I105" s="163">
        <v>1</v>
      </c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4">
        <f>IF(MIN(F105,J105,N105,R105,V105,Z105)&lt;&gt;0,MIN(F105,J105,N105,R105,V105,Z105),"")</f>
        <v>66</v>
      </c>
      <c r="AE105" s="164">
        <f>IF(MIN(H105,L105,P105,T105,X105,AB105)&lt;&gt;0,MIN(H105,L105,P105,T105,X105,AB105),"")</f>
        <v>83</v>
      </c>
      <c r="AF105" s="164"/>
      <c r="AG105" s="163"/>
      <c r="AH105" s="164"/>
      <c r="AI105" s="163"/>
      <c r="AJ105" s="162" t="str">
        <f>IF(AD105="","",IF(ISBLANK(AF105),"En cours",AD105+AF105))</f>
        <v>En cours</v>
      </c>
      <c r="AK105" s="162" t="str">
        <f>IF(AE105="","",IF(ISBLANK(AH105),"En cours",AE105+AH105))</f>
        <v>En cours</v>
      </c>
    </row>
    <row r="106" spans="2:37" ht="21" x14ac:dyDescent="0.35">
      <c r="B106" s="163" t="s">
        <v>218</v>
      </c>
      <c r="C106" s="163" t="s">
        <v>105</v>
      </c>
      <c r="D106" s="163">
        <v>15.8</v>
      </c>
      <c r="E106" s="163" t="s">
        <v>204</v>
      </c>
      <c r="F106" s="163"/>
      <c r="G106" s="163"/>
      <c r="H106" s="163"/>
      <c r="I106" s="163"/>
      <c r="J106" s="163">
        <v>72</v>
      </c>
      <c r="K106" s="163">
        <v>6</v>
      </c>
      <c r="L106" s="163">
        <v>87</v>
      </c>
      <c r="M106" s="163">
        <v>7</v>
      </c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4">
        <f>IF(MIN(F106,J106,N106,R106,V106,Z106)&lt;&gt;0,MIN(F106,J106,N106,R106,V106,Z106),"")</f>
        <v>72</v>
      </c>
      <c r="AE106" s="164">
        <f>IF(MIN(H106,L106,P106,T106,X106,AB106)&lt;&gt;0,MIN(H106,L106,P106,T106,X106,AB106),"")</f>
        <v>87</v>
      </c>
      <c r="AF106" s="164"/>
      <c r="AG106" s="163"/>
      <c r="AH106" s="164"/>
      <c r="AI106" s="163"/>
      <c r="AJ106" s="162" t="str">
        <f>IF(AD106="","",IF(ISBLANK(AF106),"En cours",AD106+AF106))</f>
        <v>En cours</v>
      </c>
      <c r="AK106" s="162" t="str">
        <f>IF(AE106="","",IF(ISBLANK(AH106),"En cours",AE106+AH106))</f>
        <v>En cours</v>
      </c>
    </row>
    <row r="107" spans="2:37" ht="21" x14ac:dyDescent="0.35">
      <c r="B107" s="163" t="s">
        <v>146</v>
      </c>
      <c r="C107" s="163" t="s">
        <v>105</v>
      </c>
      <c r="D107" s="163">
        <v>16</v>
      </c>
      <c r="E107" s="163" t="s">
        <v>204</v>
      </c>
      <c r="F107" s="163">
        <v>77</v>
      </c>
      <c r="G107" s="163">
        <v>22</v>
      </c>
      <c r="H107" s="163">
        <v>92</v>
      </c>
      <c r="I107" s="163">
        <v>22</v>
      </c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  <c r="AA107" s="163"/>
      <c r="AB107" s="163"/>
      <c r="AC107" s="163"/>
      <c r="AD107" s="164">
        <f>IF(MIN(F107,J107,N107,R107,V107,Z107)&lt;&gt;0,MIN(F107,J107,N107,R107,V107,Z107),"")</f>
        <v>77</v>
      </c>
      <c r="AE107" s="164">
        <f>IF(MIN(H107,L107,P107,T107,X107,AB107)&lt;&gt;0,MIN(H107,L107,P107,T107,X107,AB107),"")</f>
        <v>92</v>
      </c>
      <c r="AF107" s="164"/>
      <c r="AG107" s="163"/>
      <c r="AH107" s="164"/>
      <c r="AI107" s="163"/>
      <c r="AJ107" s="162" t="str">
        <f>IF(AD107="","",IF(ISBLANK(AF107),"En cours",AD107+AF107))</f>
        <v>En cours</v>
      </c>
      <c r="AK107" s="162" t="str">
        <f>IF(AE107="","",IF(ISBLANK(AH107),"En cours",AE107+AH107))</f>
        <v>En cours</v>
      </c>
    </row>
    <row r="108" spans="2:37" ht="21" x14ac:dyDescent="0.35">
      <c r="B108" s="163" t="s">
        <v>222</v>
      </c>
      <c r="C108" s="163" t="s">
        <v>105</v>
      </c>
      <c r="D108" s="163">
        <v>11.5</v>
      </c>
      <c r="E108" s="163" t="s">
        <v>204</v>
      </c>
      <c r="F108" s="163"/>
      <c r="G108" s="163"/>
      <c r="H108" s="163"/>
      <c r="I108" s="163"/>
      <c r="J108" s="163">
        <v>78</v>
      </c>
      <c r="K108" s="163">
        <v>22</v>
      </c>
      <c r="L108" s="163">
        <v>88</v>
      </c>
      <c r="M108" s="163">
        <v>13</v>
      </c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  <c r="AB108" s="163"/>
      <c r="AC108" s="163"/>
      <c r="AD108" s="164">
        <f>IF(MIN(F108,J108,N108,R108,V108,Z108)&lt;&gt;0,MIN(F108,J108,N108,R108,V108,Z108),"")</f>
        <v>78</v>
      </c>
      <c r="AE108" s="164">
        <f>IF(MIN(H108,L108,P108,T108,X108,AB108)&lt;&gt;0,MIN(H108,L108,P108,T108,X108,AB108),"")</f>
        <v>88</v>
      </c>
      <c r="AF108" s="164"/>
      <c r="AG108" s="163"/>
      <c r="AH108" s="164"/>
      <c r="AI108" s="163"/>
      <c r="AJ108" s="162" t="str">
        <f>IF(AD108="","",IF(ISBLANK(AF108),"En cours",AD108+AF108))</f>
        <v>En cours</v>
      </c>
      <c r="AK108" s="162" t="str">
        <f>IF(AE108="","",IF(ISBLANK(AH108),"En cours",AE108+AH108))</f>
        <v>En cours</v>
      </c>
    </row>
    <row r="109" spans="2:37" ht="21" x14ac:dyDescent="0.35">
      <c r="B109" s="163" t="s">
        <v>240</v>
      </c>
      <c r="C109" s="163" t="s">
        <v>105</v>
      </c>
      <c r="D109" s="163">
        <v>20.399999999999999</v>
      </c>
      <c r="E109" s="163" t="s">
        <v>207</v>
      </c>
      <c r="F109" s="163"/>
      <c r="G109" s="163"/>
      <c r="H109" s="163"/>
      <c r="I109" s="163"/>
      <c r="J109" s="163">
        <v>75</v>
      </c>
      <c r="K109" s="163">
        <v>17</v>
      </c>
      <c r="L109" s="163">
        <v>92</v>
      </c>
      <c r="M109" s="163">
        <v>9</v>
      </c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4">
        <f>IF(MIN(F109,J109,N109,R109,V109,Z109)&lt;&gt;0,MIN(F109,J109,N109,R109,V109,Z109),"")</f>
        <v>75</v>
      </c>
      <c r="AE109" s="164">
        <f>IF(MIN(H109,L109,P109,T109,X109,AB109)&lt;&gt;0,MIN(H109,L109,P109,T109,X109,AB109),"")</f>
        <v>92</v>
      </c>
      <c r="AF109" s="164"/>
      <c r="AG109" s="163"/>
      <c r="AH109" s="164"/>
      <c r="AI109" s="163"/>
      <c r="AJ109" s="162" t="str">
        <f>IF(AD109="","",IF(ISBLANK(AF109),"En cours",AD109+AF109))</f>
        <v>En cours</v>
      </c>
      <c r="AK109" s="162" t="str">
        <f>IF(AE109="","",IF(ISBLANK(AH109),"En cours",AE109+AH109))</f>
        <v>En cours</v>
      </c>
    </row>
    <row r="110" spans="2:37" ht="21" x14ac:dyDescent="0.35">
      <c r="B110" s="163" t="s">
        <v>171</v>
      </c>
      <c r="C110" s="163" t="s">
        <v>105</v>
      </c>
      <c r="D110" s="163">
        <v>23.1</v>
      </c>
      <c r="E110" s="163" t="s">
        <v>207</v>
      </c>
      <c r="F110" s="163">
        <v>70</v>
      </c>
      <c r="G110" s="163">
        <v>9</v>
      </c>
      <c r="H110" s="163">
        <v>90</v>
      </c>
      <c r="I110" s="163">
        <v>11</v>
      </c>
      <c r="J110" s="163"/>
      <c r="K110" s="163"/>
      <c r="L110" s="163"/>
      <c r="M110" s="163"/>
      <c r="N110" s="163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  <c r="AB110" s="163"/>
      <c r="AC110" s="163"/>
      <c r="AD110" s="164">
        <f>IF(MIN(F110,J110,N110,R110,V110,Z110)&lt;&gt;0,MIN(F110,J110,N110,R110,V110,Z110),"")</f>
        <v>70</v>
      </c>
      <c r="AE110" s="164">
        <f>IF(MIN(H110,L110,P110,T110,X110,AB110)&lt;&gt;0,MIN(H110,L110,P110,T110,X110,AB110),"")</f>
        <v>90</v>
      </c>
      <c r="AF110" s="164"/>
      <c r="AG110" s="163"/>
      <c r="AH110" s="164"/>
      <c r="AI110" s="163"/>
      <c r="AJ110" s="162" t="str">
        <f>IF(AD110="","",IF(ISBLANK(AF110),"En cours",AD110+AF110))</f>
        <v>En cours</v>
      </c>
      <c r="AK110" s="162" t="str">
        <f>IF(AE110="","",IF(ISBLANK(AH110),"En cours",AE110+AH110))</f>
        <v>En cours</v>
      </c>
    </row>
    <row r="111" spans="2:37" ht="21" x14ac:dyDescent="0.35">
      <c r="B111" s="163" t="s">
        <v>115</v>
      </c>
      <c r="C111" s="163" t="s">
        <v>105</v>
      </c>
      <c r="D111" s="163">
        <v>6.6</v>
      </c>
      <c r="E111" s="163" t="s">
        <v>205</v>
      </c>
      <c r="F111" s="163">
        <v>78</v>
      </c>
      <c r="G111" s="163">
        <v>13</v>
      </c>
      <c r="H111" s="163">
        <v>86</v>
      </c>
      <c r="I111" s="163">
        <v>10</v>
      </c>
      <c r="J111" s="163">
        <v>72</v>
      </c>
      <c r="K111" s="163">
        <v>5</v>
      </c>
      <c r="L111" s="163">
        <v>80</v>
      </c>
      <c r="M111" s="163">
        <v>2</v>
      </c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  <c r="AB111" s="163"/>
      <c r="AC111" s="163"/>
      <c r="AD111" s="164">
        <f>IF(MIN(F111,J111,N111,R111,V111,Z111)&lt;&gt;0,MIN(F111,J111,N111,R111,V111,Z111),"")</f>
        <v>72</v>
      </c>
      <c r="AE111" s="164">
        <f>IF(MIN(H111,L111,P111,T111,X111,AB111)&lt;&gt;0,MIN(H111,L111,P111,T111,X111,AB111),"")</f>
        <v>80</v>
      </c>
      <c r="AF111" s="164"/>
      <c r="AG111" s="163"/>
      <c r="AH111" s="164"/>
      <c r="AI111" s="163"/>
      <c r="AJ111" s="162" t="str">
        <f>IF(AD111="","",IF(ISBLANK(AF111),"En cours",AD111+AF111))</f>
        <v>En cours</v>
      </c>
      <c r="AK111" s="162" t="str">
        <f>IF(AE111="","",IF(ISBLANK(AH111),"En cours",AE111+AH111))</f>
        <v>En cours</v>
      </c>
    </row>
    <row r="112" spans="2:37" ht="21" x14ac:dyDescent="0.35">
      <c r="B112" s="163" t="s">
        <v>132</v>
      </c>
      <c r="C112" s="163" t="s">
        <v>105</v>
      </c>
      <c r="D112" s="163">
        <v>13.7</v>
      </c>
      <c r="E112" s="163" t="s">
        <v>204</v>
      </c>
      <c r="F112" s="163">
        <v>72</v>
      </c>
      <c r="G112" s="163">
        <v>9</v>
      </c>
      <c r="H112" s="163">
        <v>85</v>
      </c>
      <c r="I112" s="163">
        <v>8</v>
      </c>
      <c r="J112" s="163">
        <v>71</v>
      </c>
      <c r="K112" s="163">
        <v>5</v>
      </c>
      <c r="L112" s="163">
        <v>84</v>
      </c>
      <c r="M112" s="163">
        <v>4</v>
      </c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4">
        <f>IF(MIN(F112,J112,N112,R112,V112,Z112)&lt;&gt;0,MIN(F112,J112,N112,R112,V112,Z112),"")</f>
        <v>71</v>
      </c>
      <c r="AE112" s="164">
        <f>IF(MIN(H112,L112,P112,T112,X112,AB112)&lt;&gt;0,MIN(H112,L112,P112,T112,X112,AB112),"")</f>
        <v>84</v>
      </c>
      <c r="AF112" s="164"/>
      <c r="AG112" s="163"/>
      <c r="AH112" s="164"/>
      <c r="AI112" s="163"/>
      <c r="AJ112" s="162" t="str">
        <f>IF(AD112="","",IF(ISBLANK(AF112),"En cours",AD112+AF112))</f>
        <v>En cours</v>
      </c>
      <c r="AK112" s="162" t="str">
        <f>IF(AE112="","",IF(ISBLANK(AH112),"En cours",AE112+AH112))</f>
        <v>En cours</v>
      </c>
    </row>
    <row r="113" spans="2:37" ht="21" x14ac:dyDescent="0.35">
      <c r="B113" s="163" t="s">
        <v>141</v>
      </c>
      <c r="C113" s="163" t="s">
        <v>105</v>
      </c>
      <c r="D113" s="163">
        <v>11.5</v>
      </c>
      <c r="E113" s="163" t="s">
        <v>204</v>
      </c>
      <c r="F113" s="163">
        <v>78</v>
      </c>
      <c r="G113" s="163">
        <v>26</v>
      </c>
      <c r="H113" s="163">
        <v>88</v>
      </c>
      <c r="I113" s="163">
        <v>17</v>
      </c>
      <c r="J113" s="163">
        <v>82</v>
      </c>
      <c r="K113" s="163">
        <v>31</v>
      </c>
      <c r="L113" s="163">
        <v>92</v>
      </c>
      <c r="M113" s="163">
        <v>22</v>
      </c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4">
        <f>IF(MIN(F113,J113,N113,R113,V113,Z113)&lt;&gt;0,MIN(F113,J113,N113,R113,V113,Z113),"")</f>
        <v>78</v>
      </c>
      <c r="AE113" s="164">
        <f>IF(MIN(H113,L113,P113,T113,X113,AB113)&lt;&gt;0,MIN(H113,L113,P113,T113,X113,AB113),"")</f>
        <v>88</v>
      </c>
      <c r="AF113" s="164"/>
      <c r="AG113" s="163"/>
      <c r="AH113" s="164"/>
      <c r="AI113" s="163"/>
      <c r="AJ113" s="162" t="str">
        <f>IF(AD113="","",IF(ISBLANK(AF113),"En cours",AD113+AF113))</f>
        <v>En cours</v>
      </c>
      <c r="AK113" s="162" t="str">
        <f>IF(AE113="","",IF(ISBLANK(AH113),"En cours",AE113+AH113))</f>
        <v>En cours</v>
      </c>
    </row>
    <row r="114" spans="2:37" ht="21" x14ac:dyDescent="0.35">
      <c r="B114" s="163" t="s">
        <v>136</v>
      </c>
      <c r="C114" s="163" t="s">
        <v>105</v>
      </c>
      <c r="D114" s="163">
        <v>11.8</v>
      </c>
      <c r="E114" s="163" t="s">
        <v>204</v>
      </c>
      <c r="F114" s="163">
        <v>76</v>
      </c>
      <c r="G114" s="163">
        <v>17</v>
      </c>
      <c r="H114" s="163">
        <v>87</v>
      </c>
      <c r="I114" s="163">
        <v>12</v>
      </c>
      <c r="J114" s="163">
        <v>76</v>
      </c>
      <c r="K114" s="163">
        <v>16</v>
      </c>
      <c r="L114" s="163">
        <v>87</v>
      </c>
      <c r="M114" s="163">
        <v>11</v>
      </c>
      <c r="N114" s="163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4">
        <f>IF(MIN(F114,J114,N114,R114,V114,Z114)&lt;&gt;0,MIN(F114,J114,N114,R114,V114,Z114),"")</f>
        <v>76</v>
      </c>
      <c r="AE114" s="164">
        <f>IF(MIN(H114,L114,P114,T114,X114,AB114)&lt;&gt;0,MIN(H114,L114,P114,T114,X114,AB114),"")</f>
        <v>87</v>
      </c>
      <c r="AF114" s="164"/>
      <c r="AG114" s="163"/>
      <c r="AH114" s="164"/>
      <c r="AI114" s="163"/>
      <c r="AJ114" s="162" t="str">
        <f>IF(AD114="","",IF(ISBLANK(AF114),"En cours",AD114+AF114))</f>
        <v>En cours</v>
      </c>
      <c r="AK114" s="162" t="str">
        <f>IF(AE114="","",IF(ISBLANK(AH114),"En cours",AE114+AH114))</f>
        <v>En cours</v>
      </c>
    </row>
    <row r="115" spans="2:37" ht="21" x14ac:dyDescent="0.35">
      <c r="B115" s="163" t="s">
        <v>252</v>
      </c>
      <c r="C115" s="163" t="s">
        <v>105</v>
      </c>
      <c r="D115" s="163">
        <v>25.5</v>
      </c>
      <c r="E115" s="163" t="s">
        <v>207</v>
      </c>
      <c r="F115" s="163"/>
      <c r="G115" s="163"/>
      <c r="H115" s="163"/>
      <c r="I115" s="163"/>
      <c r="J115" s="163">
        <v>78</v>
      </c>
      <c r="K115" s="163">
        <v>25</v>
      </c>
      <c r="L115" s="163">
        <v>100</v>
      </c>
      <c r="M115" s="163">
        <v>27</v>
      </c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  <c r="AB115" s="163"/>
      <c r="AC115" s="163"/>
      <c r="AD115" s="164">
        <f>IF(MIN(F115,J115,N115,R115,V115,Z115)&lt;&gt;0,MIN(F115,J115,N115,R115,V115,Z115),"")</f>
        <v>78</v>
      </c>
      <c r="AE115" s="164">
        <f>IF(MIN(H115,L115,P115,T115,X115,AB115)&lt;&gt;0,MIN(H115,L115,P115,T115,X115,AB115),"")</f>
        <v>100</v>
      </c>
      <c r="AF115" s="164"/>
      <c r="AG115" s="163"/>
      <c r="AH115" s="164"/>
      <c r="AI115" s="163"/>
      <c r="AJ115" s="162" t="str">
        <f>IF(AD115="","",IF(ISBLANK(AF115),"En cours",AD115+AF115))</f>
        <v>En cours</v>
      </c>
      <c r="AK115" s="162" t="str">
        <f>IF(AE115="","",IF(ISBLANK(AH115),"En cours",AE115+AH115))</f>
        <v>En cours</v>
      </c>
    </row>
    <row r="116" spans="2:37" ht="21" x14ac:dyDescent="0.35">
      <c r="B116" s="163" t="s">
        <v>241</v>
      </c>
      <c r="C116" s="163" t="s">
        <v>105</v>
      </c>
      <c r="D116" s="163">
        <v>23.2</v>
      </c>
      <c r="E116" s="163" t="s">
        <v>207</v>
      </c>
      <c r="F116" s="163"/>
      <c r="G116" s="163"/>
      <c r="H116" s="163"/>
      <c r="I116" s="163"/>
      <c r="J116" s="163">
        <v>73</v>
      </c>
      <c r="K116" s="163">
        <v>10</v>
      </c>
      <c r="L116" s="163">
        <v>93</v>
      </c>
      <c r="M116" s="163">
        <v>11</v>
      </c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4">
        <f>IF(MIN(F116,J116,N116,R116,V116,Z116)&lt;&gt;0,MIN(F116,J116,N116,R116,V116,Z116),"")</f>
        <v>73</v>
      </c>
      <c r="AE116" s="164">
        <f>IF(MIN(H116,L116,P116,T116,X116,AB116)&lt;&gt;0,MIN(H116,L116,P116,T116,X116,AB116),"")</f>
        <v>93</v>
      </c>
      <c r="AF116" s="164"/>
      <c r="AG116" s="163"/>
      <c r="AH116" s="164"/>
      <c r="AI116" s="163"/>
      <c r="AJ116" s="162" t="str">
        <f>IF(AD116="","",IF(ISBLANK(AF116),"En cours",AD116+AF116))</f>
        <v>En cours</v>
      </c>
      <c r="AK116" s="162" t="str">
        <f>IF(AE116="","",IF(ISBLANK(AH116),"En cours",AE116+AH116))</f>
        <v>En cours</v>
      </c>
    </row>
    <row r="117" spans="2:37" ht="21" x14ac:dyDescent="0.35">
      <c r="B117" s="163" t="s">
        <v>243</v>
      </c>
      <c r="C117" s="163" t="s">
        <v>105</v>
      </c>
      <c r="D117" s="163">
        <v>22.2</v>
      </c>
      <c r="E117" s="163" t="s">
        <v>207</v>
      </c>
      <c r="F117" s="163"/>
      <c r="G117" s="163"/>
      <c r="H117" s="163"/>
      <c r="I117" s="163"/>
      <c r="J117" s="163">
        <v>75</v>
      </c>
      <c r="K117" s="163">
        <v>15</v>
      </c>
      <c r="L117" s="163">
        <v>94</v>
      </c>
      <c r="M117" s="163">
        <v>15</v>
      </c>
      <c r="N117" s="163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  <c r="AB117" s="163"/>
      <c r="AC117" s="163"/>
      <c r="AD117" s="164">
        <f>IF(MIN(F117,J117,N117,R117,V117,Z117)&lt;&gt;0,MIN(F117,J117,N117,R117,V117,Z117),"")</f>
        <v>75</v>
      </c>
      <c r="AE117" s="164">
        <f>IF(MIN(H117,L117,P117,T117,X117,AB117)&lt;&gt;0,MIN(H117,L117,P117,T117,X117,AB117),"")</f>
        <v>94</v>
      </c>
      <c r="AF117" s="164"/>
      <c r="AG117" s="163"/>
      <c r="AH117" s="164"/>
      <c r="AI117" s="163"/>
      <c r="AJ117" s="162" t="str">
        <f>IF(AD117="","",IF(ISBLANK(AF117),"En cours",AD117+AF117))</f>
        <v>En cours</v>
      </c>
      <c r="AK117" s="162" t="str">
        <f>IF(AE117="","",IF(ISBLANK(AH117),"En cours",AE117+AH117))</f>
        <v>En cours</v>
      </c>
    </row>
    <row r="118" spans="2:37" ht="21" x14ac:dyDescent="0.35">
      <c r="B118" s="163" t="s">
        <v>117</v>
      </c>
      <c r="C118" s="163" t="s">
        <v>105</v>
      </c>
      <c r="D118" s="163">
        <v>8.5</v>
      </c>
      <c r="E118" s="163" t="s">
        <v>205</v>
      </c>
      <c r="F118" s="163">
        <v>77</v>
      </c>
      <c r="G118" s="163">
        <v>12</v>
      </c>
      <c r="H118" s="163">
        <v>87</v>
      </c>
      <c r="I118" s="163">
        <v>12</v>
      </c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163"/>
      <c r="AB118" s="163"/>
      <c r="AC118" s="163"/>
      <c r="AD118" s="164">
        <f>IF(MIN(F118,J118,N118,R118,V118,Z118)&lt;&gt;0,MIN(F118,J118,N118,R118,V118,Z118),"")</f>
        <v>77</v>
      </c>
      <c r="AE118" s="164">
        <f>IF(MIN(H118,L118,P118,T118,X118,AB118)&lt;&gt;0,MIN(H118,L118,P118,T118,X118,AB118),"")</f>
        <v>87</v>
      </c>
      <c r="AF118" s="164"/>
      <c r="AG118" s="163"/>
      <c r="AH118" s="164"/>
      <c r="AI118" s="163"/>
      <c r="AJ118" s="162" t="str">
        <f>IF(AD118="","",IF(ISBLANK(AF118),"En cours",AD118+AF118))</f>
        <v>En cours</v>
      </c>
      <c r="AK118" s="162" t="str">
        <f>IF(AE118="","",IF(ISBLANK(AH118),"En cours",AE118+AH118))</f>
        <v>En cours</v>
      </c>
    </row>
    <row r="119" spans="2:37" ht="21" x14ac:dyDescent="0.35">
      <c r="B119" s="163" t="s">
        <v>176</v>
      </c>
      <c r="C119" s="163" t="s">
        <v>105</v>
      </c>
      <c r="D119" s="163">
        <v>32</v>
      </c>
      <c r="E119" s="163" t="s">
        <v>206</v>
      </c>
      <c r="F119" s="163">
        <v>70</v>
      </c>
      <c r="G119" s="163">
        <v>8</v>
      </c>
      <c r="H119" s="163">
        <v>96</v>
      </c>
      <c r="I119" s="163">
        <v>16</v>
      </c>
      <c r="J119" s="163"/>
      <c r="K119" s="163"/>
      <c r="L119" s="163"/>
      <c r="M119" s="163"/>
      <c r="N119" s="163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  <c r="AA119" s="163"/>
      <c r="AB119" s="163"/>
      <c r="AC119" s="163"/>
      <c r="AD119" s="164">
        <f>IF(MIN(F119,J119,N119,R119,V119,Z119)&lt;&gt;0,MIN(F119,J119,N119,R119,V119,Z119),"")</f>
        <v>70</v>
      </c>
      <c r="AE119" s="164">
        <f>IF(MIN(H119,L119,P119,T119,X119,AB119)&lt;&gt;0,MIN(H119,L119,P119,T119,X119,AB119),"")</f>
        <v>96</v>
      </c>
      <c r="AF119" s="164"/>
      <c r="AG119" s="163"/>
      <c r="AH119" s="164"/>
      <c r="AI119" s="163"/>
      <c r="AJ119" s="162" t="str">
        <f>IF(AD119="","",IF(ISBLANK(AF119),"En cours",AD119+AF119))</f>
        <v>En cours</v>
      </c>
      <c r="AK119" s="162" t="str">
        <f>IF(AE119="","",IF(ISBLANK(AH119),"En cours",AE119+AH119))</f>
        <v>En cours</v>
      </c>
    </row>
    <row r="120" spans="2:37" ht="21" x14ac:dyDescent="0.35"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  <c r="AA120" s="163"/>
      <c r="AB120" s="163"/>
      <c r="AC120" s="163"/>
      <c r="AD120" s="164" t="str">
        <f>IF(MIN(F120,J120,N120,R120,V120,Z120)&lt;&gt;0,MIN(F120,J120,N120,R120,V120,Z120),"")</f>
        <v/>
      </c>
      <c r="AE120" s="164" t="str">
        <f>IF(MIN(H120,L120,P120,T120,X120,AB120)&lt;&gt;0,MIN(H120,L120,P120,T120,X120,AB120),"")</f>
        <v/>
      </c>
      <c r="AF120" s="164"/>
      <c r="AG120" s="163"/>
      <c r="AH120" s="164"/>
      <c r="AI120" s="163"/>
      <c r="AJ120" s="162" t="str">
        <f>IF(AD120="","",IF(ISBLANK(AF120),"En cours",AD120+AF120))</f>
        <v/>
      </c>
      <c r="AK120" s="162" t="str">
        <f>IF(AE120="","",IF(ISBLANK(AH120),"En cours",AE120+AH120))</f>
        <v/>
      </c>
    </row>
    <row r="121" spans="2:37" ht="21" x14ac:dyDescent="0.35">
      <c r="B121" s="163"/>
      <c r="C121" s="163"/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  <c r="AB121" s="163"/>
      <c r="AC121" s="163"/>
      <c r="AD121" s="164" t="str">
        <f>IF(MIN(F121,J121,N121,R121,V121,Z121)&lt;&gt;0,MIN(F121,J121,N121,R121,V121,Z121),"")</f>
        <v/>
      </c>
      <c r="AE121" s="164" t="str">
        <f>IF(MIN(H121,L121,P121,T121,X121,AB121)&lt;&gt;0,MIN(H121,L121,P121,T121,X121,AB121),"")</f>
        <v/>
      </c>
      <c r="AF121" s="164"/>
      <c r="AG121" s="163"/>
      <c r="AH121" s="164"/>
      <c r="AI121" s="163"/>
      <c r="AJ121" s="162" t="str">
        <f>IF(AD121="","",IF(ISBLANK(AF121),"En cours",AD121+AF121))</f>
        <v/>
      </c>
      <c r="AK121" s="162" t="str">
        <f>IF(AE121="","",IF(ISBLANK(AH121),"En cours",AE121+AH121))</f>
        <v/>
      </c>
    </row>
    <row r="122" spans="2:37" ht="21" x14ac:dyDescent="0.35">
      <c r="B122" s="163"/>
      <c r="C122" s="163"/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  <c r="AB122" s="163"/>
      <c r="AC122" s="163"/>
      <c r="AD122" s="164" t="str">
        <f>IF(MIN(F122,J122,N122,R122,V122,Z122)&lt;&gt;0,MIN(F122,J122,N122,R122,V122,Z122),"")</f>
        <v/>
      </c>
      <c r="AE122" s="164" t="str">
        <f>IF(MIN(H122,L122,P122,T122,X122,AB122)&lt;&gt;0,MIN(H122,L122,P122,T122,X122,AB122),"")</f>
        <v/>
      </c>
      <c r="AF122" s="164"/>
      <c r="AG122" s="163"/>
      <c r="AH122" s="164"/>
      <c r="AI122" s="163"/>
      <c r="AJ122" s="162" t="str">
        <f>IF(AD122="","",IF(ISBLANK(AF122),"En cours",AD122+AF122))</f>
        <v/>
      </c>
      <c r="AK122" s="162" t="str">
        <f>IF(AE122="","",IF(ISBLANK(AH122),"En cours",AE122+AH122))</f>
        <v/>
      </c>
    </row>
    <row r="123" spans="2:37" ht="21" x14ac:dyDescent="0.35">
      <c r="B123" s="163"/>
      <c r="C123" s="163"/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  <c r="AA123" s="163"/>
      <c r="AB123" s="163"/>
      <c r="AC123" s="163"/>
      <c r="AD123" s="164" t="str">
        <f>IF(MIN(F123,J123,N123,R123,V123,Z123)&lt;&gt;0,MIN(F123,J123,N123,R123,V123,Z123),"")</f>
        <v/>
      </c>
      <c r="AE123" s="164" t="str">
        <f>IF(MIN(H123,L123,P123,T123,X123,AB123)&lt;&gt;0,MIN(H123,L123,P123,T123,X123,AB123),"")</f>
        <v/>
      </c>
      <c r="AF123" s="164"/>
      <c r="AG123" s="163"/>
      <c r="AH123" s="164"/>
      <c r="AI123" s="163"/>
      <c r="AJ123" s="162" t="str">
        <f>IF(AD123="","",IF(ISBLANK(AF123),"En cours",AD123+AF123))</f>
        <v/>
      </c>
      <c r="AK123" s="162" t="str">
        <f>IF(AE123="","",IF(ISBLANK(AH123),"En cours",AE123+AH123))</f>
        <v/>
      </c>
    </row>
    <row r="124" spans="2:37" ht="21" x14ac:dyDescent="0.35">
      <c r="B124" s="163"/>
      <c r="C124" s="163"/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  <c r="AA124" s="163"/>
      <c r="AB124" s="163"/>
      <c r="AC124" s="163"/>
      <c r="AD124" s="164" t="str">
        <f>IF(MIN(F124,J124,N124,R124,V124,Z124)&lt;&gt;0,MIN(F124,J124,N124,R124,V124,Z124),"")</f>
        <v/>
      </c>
      <c r="AE124" s="164" t="str">
        <f>IF(MIN(H124,L124,P124,T124,X124,AB124)&lt;&gt;0,MIN(H124,L124,P124,T124,X124,AB124),"")</f>
        <v/>
      </c>
      <c r="AF124" s="164"/>
      <c r="AG124" s="163"/>
      <c r="AH124" s="164"/>
      <c r="AI124" s="163"/>
      <c r="AJ124" s="162" t="str">
        <f>IF(AD124="","",IF(ISBLANK(AF124),"En cours",AD124+AF124))</f>
        <v/>
      </c>
      <c r="AK124" s="162" t="str">
        <f>IF(AE124="","",IF(ISBLANK(AH124),"En cours",AE124+AH124))</f>
        <v/>
      </c>
    </row>
    <row r="125" spans="2:37" ht="21" x14ac:dyDescent="0.35">
      <c r="B125" s="163"/>
      <c r="C125" s="163"/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  <c r="AA125" s="163"/>
      <c r="AB125" s="163"/>
      <c r="AC125" s="163"/>
      <c r="AD125" s="164" t="str">
        <f>IF(MIN(F125,J125,N125,R125,V125,Z125)&lt;&gt;0,MIN(F125,J125,N125,R125,V125,Z125),"")</f>
        <v/>
      </c>
      <c r="AE125" s="164" t="str">
        <f>IF(MIN(H125,L125,P125,T125,X125,AB125)&lt;&gt;0,MIN(H125,L125,P125,T125,X125,AB125),"")</f>
        <v/>
      </c>
      <c r="AF125" s="164"/>
      <c r="AG125" s="163"/>
      <c r="AH125" s="164"/>
      <c r="AI125" s="163"/>
      <c r="AJ125" s="162" t="str">
        <f>IF(AD125="","",IF(ISBLANK(AF125),"En cours",AD125+AF125))</f>
        <v/>
      </c>
      <c r="AK125" s="162" t="str">
        <f>IF(AE125="","",IF(ISBLANK(AH125),"En cours",AE125+AH125))</f>
        <v/>
      </c>
    </row>
    <row r="126" spans="2:37" ht="21" x14ac:dyDescent="0.35">
      <c r="B126" s="163"/>
      <c r="C126" s="163"/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  <c r="AA126" s="163"/>
      <c r="AB126" s="163"/>
      <c r="AC126" s="163"/>
      <c r="AD126" s="164" t="str">
        <f>IF(MIN(F126,J126,N126,R126,V126,Z126)&lt;&gt;0,MIN(F126,J126,N126,R126,V126,Z126),"")</f>
        <v/>
      </c>
      <c r="AE126" s="164" t="str">
        <f>IF(MIN(H126,L126,P126,T126,X126,AB126)&lt;&gt;0,MIN(H126,L126,P126,T126,X126,AB126),"")</f>
        <v/>
      </c>
      <c r="AF126" s="164"/>
      <c r="AG126" s="163"/>
      <c r="AH126" s="164"/>
      <c r="AI126" s="163"/>
      <c r="AJ126" s="162" t="str">
        <f>IF(AD126="","",IF(ISBLANK(AF126),"En cours",AD126+AF126))</f>
        <v/>
      </c>
      <c r="AK126" s="162" t="str">
        <f>IF(AE126="","",IF(ISBLANK(AH126),"En cours",AE126+AH126))</f>
        <v/>
      </c>
    </row>
    <row r="127" spans="2:37" ht="21" x14ac:dyDescent="0.35">
      <c r="B127" s="163"/>
      <c r="C127" s="163"/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4" t="str">
        <f>IF(MIN(F127,J127,N127,R127,V127,Z127)&lt;&gt;0,MIN(F127,J127,N127,R127,V127,Z127),"")</f>
        <v/>
      </c>
      <c r="AE127" s="164" t="str">
        <f>IF(MIN(H127,L127,P127,T127,X127,AB127)&lt;&gt;0,MIN(H127,L127,P127,T127,X127,AB127),"")</f>
        <v/>
      </c>
      <c r="AF127" s="164"/>
      <c r="AG127" s="163"/>
      <c r="AH127" s="164"/>
      <c r="AI127" s="163"/>
      <c r="AJ127" s="162" t="str">
        <f>IF(AD127="","",IF(ISBLANK(AF127),"En cours",AD127+AF127))</f>
        <v/>
      </c>
      <c r="AK127" s="162" t="str">
        <f>IF(AE127="","",IF(ISBLANK(AH127),"En cours",AE127+AH127))</f>
        <v/>
      </c>
    </row>
    <row r="128" spans="2:37" ht="21" x14ac:dyDescent="0.35">
      <c r="B128" s="163"/>
      <c r="C128" s="163"/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4" t="str">
        <f>IF(MIN(F128,J128,N128,R128,V128,Z128)&lt;&gt;0,MIN(F128,J128,N128,R128,V128,Z128),"")</f>
        <v/>
      </c>
      <c r="AE128" s="164" t="str">
        <f>IF(MIN(H128,L128,P128,T128,X128,AB128)&lt;&gt;0,MIN(H128,L128,P128,T128,X128,AB128),"")</f>
        <v/>
      </c>
      <c r="AF128" s="164"/>
      <c r="AG128" s="163"/>
      <c r="AH128" s="164"/>
      <c r="AI128" s="163"/>
      <c r="AJ128" s="162" t="str">
        <f>IF(AD128="","",IF(ISBLANK(AF128),"En cours",AD128+AF128))</f>
        <v/>
      </c>
      <c r="AK128" s="162" t="str">
        <f>IF(AE128="","",IF(ISBLANK(AH128),"En cours",AE128+AH128))</f>
        <v/>
      </c>
    </row>
    <row r="129" spans="2:37" ht="21" x14ac:dyDescent="0.35">
      <c r="B129" s="163"/>
      <c r="C129" s="163"/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163"/>
      <c r="AC129" s="163"/>
      <c r="AD129" s="164" t="str">
        <f>IF(MIN(F129,J129,N129,R129,V129,Z129)&lt;&gt;0,MIN(F129,J129,N129,R129,V129,Z129),"")</f>
        <v/>
      </c>
      <c r="AE129" s="164" t="str">
        <f>IF(MIN(H129,L129,P129,T129,X129,AB129)&lt;&gt;0,MIN(H129,L129,P129,T129,X129,AB129),"")</f>
        <v/>
      </c>
      <c r="AF129" s="164"/>
      <c r="AG129" s="163"/>
      <c r="AH129" s="164"/>
      <c r="AI129" s="163"/>
      <c r="AJ129" s="162" t="str">
        <f>IF(AD129="","",IF(ISBLANK(AF129),"En cours",AD129+AF129))</f>
        <v/>
      </c>
      <c r="AK129" s="162" t="str">
        <f>IF(AE129="","",IF(ISBLANK(AH129),"En cours",AE129+AH129))</f>
        <v/>
      </c>
    </row>
    <row r="130" spans="2:37" ht="21" x14ac:dyDescent="0.35">
      <c r="B130" s="163"/>
      <c r="C130" s="163"/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  <c r="AA130" s="163"/>
      <c r="AB130" s="163"/>
      <c r="AC130" s="163"/>
      <c r="AD130" s="164" t="str">
        <f>IF(MIN(F130,J130,N130,R130,V130,Z130)&lt;&gt;0,MIN(F130,J130,N130,R130,V130,Z130),"")</f>
        <v/>
      </c>
      <c r="AE130" s="164" t="str">
        <f>IF(MIN(H130,L130,P130,T130,X130,AB130)&lt;&gt;0,MIN(H130,L130,P130,T130,X130,AB130),"")</f>
        <v/>
      </c>
      <c r="AF130" s="164"/>
      <c r="AG130" s="163"/>
      <c r="AH130" s="164"/>
      <c r="AI130" s="163"/>
      <c r="AJ130" s="162" t="str">
        <f>IF(AD130="","",IF(ISBLANK(AF130),"En cours",AD130+AF130))</f>
        <v/>
      </c>
      <c r="AK130" s="162" t="str">
        <f>IF(AE130="","",IF(ISBLANK(AH130),"En cours",AE130+AH130))</f>
        <v/>
      </c>
    </row>
    <row r="131" spans="2:37" ht="21" x14ac:dyDescent="0.35">
      <c r="B131" s="163"/>
      <c r="C131" s="163"/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4" t="str">
        <f>IF(MIN(F131,J131,N131,R131,V131,Z131)&lt;&gt;0,MIN(F131,J131,N131,R131,V131,Z131),"")</f>
        <v/>
      </c>
      <c r="AE131" s="164" t="str">
        <f>IF(MIN(H131,L131,P131,T131,X131,AB131)&lt;&gt;0,MIN(H131,L131,P131,T131,X131,AB131),"")</f>
        <v/>
      </c>
      <c r="AF131" s="164"/>
      <c r="AG131" s="163"/>
      <c r="AH131" s="164"/>
      <c r="AI131" s="163"/>
      <c r="AJ131" s="162" t="str">
        <f>IF(AD131="","",IF(ISBLANK(AF131),"En cours",AD131+AF131))</f>
        <v/>
      </c>
      <c r="AK131" s="162" t="str">
        <f>IF(AE131="","",IF(ISBLANK(AH131),"En cours",AE131+AH131))</f>
        <v/>
      </c>
    </row>
    <row r="132" spans="2:37" ht="21" x14ac:dyDescent="0.35">
      <c r="B132" s="163"/>
      <c r="C132" s="163"/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4" t="str">
        <f>IF(MIN(F132,J132,N132,R132,V132,Z132)&lt;&gt;0,MIN(F132,J132,N132,R132,V132,Z132),"")</f>
        <v/>
      </c>
      <c r="AE132" s="164" t="str">
        <f>IF(MIN(H132,L132,P132,T132,X132,AB132)&lt;&gt;0,MIN(H132,L132,P132,T132,X132,AB132),"")</f>
        <v/>
      </c>
      <c r="AF132" s="164"/>
      <c r="AG132" s="163"/>
      <c r="AH132" s="164"/>
      <c r="AI132" s="163"/>
      <c r="AJ132" s="162" t="str">
        <f>IF(AD132="","",IF(ISBLANK(AF132),"En cours",AD132+AF132))</f>
        <v/>
      </c>
      <c r="AK132" s="162" t="str">
        <f>IF(AE132="","",IF(ISBLANK(AH132),"En cours",AE132+AH132))</f>
        <v/>
      </c>
    </row>
    <row r="133" spans="2:37" ht="21" x14ac:dyDescent="0.35">
      <c r="B133" s="163"/>
      <c r="C133" s="163"/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4" t="str">
        <f>IF(MIN(F133,J133,N133,R133,V133,Z133)&lt;&gt;0,MIN(F133,J133,N133,R133,V133,Z133),"")</f>
        <v/>
      </c>
      <c r="AE133" s="164" t="str">
        <f>IF(MIN(H133,L133,P133,T133,X133,AB133)&lt;&gt;0,MIN(H133,L133,P133,T133,X133,AB133),"")</f>
        <v/>
      </c>
      <c r="AF133" s="164"/>
      <c r="AG133" s="163"/>
      <c r="AH133" s="164"/>
      <c r="AI133" s="163"/>
      <c r="AJ133" s="162" t="str">
        <f>IF(AD133="","",IF(ISBLANK(AF133),"En cours",AD133+AF133))</f>
        <v/>
      </c>
      <c r="AK133" s="162" t="str">
        <f>IF(AE133="","",IF(ISBLANK(AH133),"En cours",AE133+AH133))</f>
        <v/>
      </c>
    </row>
    <row r="134" spans="2:37" ht="21" x14ac:dyDescent="0.35">
      <c r="B134" s="163"/>
      <c r="C134" s="163"/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  <c r="AB134" s="163"/>
      <c r="AC134" s="163"/>
      <c r="AD134" s="164" t="str">
        <f>IF(MIN(F134,J134,N134,R134,V134,Z134)&lt;&gt;0,MIN(F134,J134,N134,R134,V134,Z134),"")</f>
        <v/>
      </c>
      <c r="AE134" s="164" t="str">
        <f>IF(MIN(H134,L134,P134,T134,X134,AB134)&lt;&gt;0,MIN(H134,L134,P134,T134,X134,AB134),"")</f>
        <v/>
      </c>
      <c r="AF134" s="164"/>
      <c r="AG134" s="163"/>
      <c r="AH134" s="164"/>
      <c r="AI134" s="163"/>
      <c r="AJ134" s="162" t="str">
        <f>IF(AD134="","",IF(ISBLANK(AF134),"En cours",AD134+AF134))</f>
        <v/>
      </c>
      <c r="AK134" s="162" t="str">
        <f>IF(AE134="","",IF(ISBLANK(AH134),"En cours",AE134+AH134))</f>
        <v/>
      </c>
    </row>
    <row r="135" spans="2:37" ht="21" x14ac:dyDescent="0.35">
      <c r="B135" s="163"/>
      <c r="C135" s="163"/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  <c r="AA135" s="163"/>
      <c r="AB135" s="163"/>
      <c r="AC135" s="163"/>
      <c r="AD135" s="164" t="str">
        <f>IF(MIN(F135,J135,N135,R135,V135,Z135)&lt;&gt;0,MIN(F135,J135,N135,R135,V135,Z135),"")</f>
        <v/>
      </c>
      <c r="AE135" s="164" t="str">
        <f>IF(MIN(H135,L135,P135,T135,X135,AB135)&lt;&gt;0,MIN(H135,L135,P135,T135,X135,AB135),"")</f>
        <v/>
      </c>
      <c r="AF135" s="164"/>
      <c r="AG135" s="163"/>
      <c r="AH135" s="164"/>
      <c r="AI135" s="163"/>
      <c r="AJ135" s="162" t="str">
        <f>IF(AD135="","",IF(ISBLANK(AF135),"En cours",AD135+AF135))</f>
        <v/>
      </c>
      <c r="AK135" s="162" t="str">
        <f>IF(AE135="","",IF(ISBLANK(AH135),"En cours",AE135+AH135))</f>
        <v/>
      </c>
    </row>
    <row r="136" spans="2:37" ht="21" x14ac:dyDescent="0.35">
      <c r="B136" s="163"/>
      <c r="C136" s="163"/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4" t="str">
        <f>IF(MIN(F136,J136,N136,R136,V136,Z136)&lt;&gt;0,MIN(F136,J136,N136,R136,V136,Z136),"")</f>
        <v/>
      </c>
      <c r="AE136" s="164" t="str">
        <f>IF(MIN(H136,L136,P136,T136,X136,AB136)&lt;&gt;0,MIN(H136,L136,P136,T136,X136,AB136),"")</f>
        <v/>
      </c>
      <c r="AF136" s="164"/>
      <c r="AG136" s="163"/>
      <c r="AH136" s="164"/>
      <c r="AI136" s="163"/>
      <c r="AJ136" s="162" t="str">
        <f>IF(AD136="","",IF(ISBLANK(AF136),"En cours",AD136+AF136))</f>
        <v/>
      </c>
      <c r="AK136" s="162" t="str">
        <f>IF(AE136="","",IF(ISBLANK(AH136),"En cours",AE136+AH136))</f>
        <v/>
      </c>
    </row>
    <row r="137" spans="2:37" ht="21" x14ac:dyDescent="0.35">
      <c r="B137" s="163"/>
      <c r="C137" s="163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  <c r="AA137" s="163"/>
      <c r="AB137" s="163"/>
      <c r="AC137" s="163"/>
      <c r="AD137" s="164" t="str">
        <f>IF(MIN(F137,J137,N137,R137,V137,Z137)&lt;&gt;0,MIN(F137,J137,N137,R137,V137,Z137),"")</f>
        <v/>
      </c>
      <c r="AE137" s="164" t="str">
        <f>IF(MIN(H137,L137,P137,T137,X137,AB137)&lt;&gt;0,MIN(H137,L137,P137,T137,X137,AB137),"")</f>
        <v/>
      </c>
      <c r="AF137" s="164"/>
      <c r="AG137" s="163"/>
      <c r="AH137" s="164"/>
      <c r="AI137" s="163"/>
      <c r="AJ137" s="162" t="str">
        <f>IF(AD137="","",IF(ISBLANK(AF137),"En cours",AD137+AF137))</f>
        <v/>
      </c>
      <c r="AK137" s="162" t="str">
        <f>IF(AE137="","",IF(ISBLANK(AH137),"En cours",AE137+AH137))</f>
        <v/>
      </c>
    </row>
    <row r="138" spans="2:37" ht="21" x14ac:dyDescent="0.35">
      <c r="B138" s="163"/>
      <c r="C138" s="163"/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4" t="str">
        <f>IF(MIN(F138,J138,N138,R138,V138,Z138)&lt;&gt;0,MIN(F138,J138,N138,R138,V138,Z138),"")</f>
        <v/>
      </c>
      <c r="AE138" s="164" t="str">
        <f>IF(MIN(H138,L138,P138,T138,X138,AB138)&lt;&gt;0,MIN(H138,L138,P138,T138,X138,AB138),"")</f>
        <v/>
      </c>
      <c r="AF138" s="164"/>
      <c r="AG138" s="163"/>
      <c r="AH138" s="164"/>
      <c r="AI138" s="163"/>
      <c r="AJ138" s="162" t="str">
        <f>IF(AD138="","",IF(ISBLANK(AF138),"En cours",AD138+AF138))</f>
        <v/>
      </c>
      <c r="AK138" s="162" t="str">
        <f>IF(AE138="","",IF(ISBLANK(AH138),"En cours",AE138+AH138))</f>
        <v/>
      </c>
    </row>
    <row r="139" spans="2:37" ht="21" x14ac:dyDescent="0.35">
      <c r="B139" s="163"/>
      <c r="C139" s="163"/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4" t="str">
        <f>IF(MIN(F139,J139,N139,R139,V139,Z139)&lt;&gt;0,MIN(F139,J139,N139,R139,V139,Z139),"")</f>
        <v/>
      </c>
      <c r="AE139" s="164" t="str">
        <f>IF(MIN(H139,L139,P139,T139,X139,AB139)&lt;&gt;0,MIN(H139,L139,P139,T139,X139,AB139),"")</f>
        <v/>
      </c>
      <c r="AF139" s="164"/>
      <c r="AG139" s="163"/>
      <c r="AH139" s="164"/>
      <c r="AI139" s="163"/>
      <c r="AJ139" s="162" t="str">
        <f>IF(AD139="","",IF(ISBLANK(AF139),"En cours",AD139+AF139))</f>
        <v/>
      </c>
      <c r="AK139" s="162" t="str">
        <f>IF(AE139="","",IF(ISBLANK(AH139),"En cours",AE139+AH139))</f>
        <v/>
      </c>
    </row>
    <row r="140" spans="2:37" ht="21" x14ac:dyDescent="0.35">
      <c r="B140" s="163"/>
      <c r="C140" s="163"/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  <c r="AA140" s="163"/>
      <c r="AB140" s="163"/>
      <c r="AC140" s="163"/>
      <c r="AD140" s="164" t="str">
        <f>IF(MIN(F140,J140,N140,R140,V140,Z140)&lt;&gt;0,MIN(F140,J140,N140,R140,V140,Z140),"")</f>
        <v/>
      </c>
      <c r="AE140" s="164" t="str">
        <f>IF(MIN(H140,L140,P140,T140,X140,AB140)&lt;&gt;0,MIN(H140,L140,P140,T140,X140,AB140),"")</f>
        <v/>
      </c>
      <c r="AF140" s="164"/>
      <c r="AG140" s="163"/>
      <c r="AH140" s="164"/>
      <c r="AI140" s="163"/>
      <c r="AJ140" s="162" t="str">
        <f>IF(AD140="","",IF(ISBLANK(AF140),"En cours",AD140+AF140))</f>
        <v/>
      </c>
      <c r="AK140" s="162" t="str">
        <f>IF(AE140="","",IF(ISBLANK(AH140),"En cours",AE140+AH140))</f>
        <v/>
      </c>
    </row>
    <row r="141" spans="2:37" ht="21" x14ac:dyDescent="0.35">
      <c r="B141" s="163"/>
      <c r="C141" s="163"/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  <c r="AA141" s="163"/>
      <c r="AB141" s="163"/>
      <c r="AC141" s="163"/>
      <c r="AD141" s="164" t="str">
        <f>IF(MIN(F141,J141,N141,R141,V141,Z141)&lt;&gt;0,MIN(F141,J141,N141,R141,V141,Z141),"")</f>
        <v/>
      </c>
      <c r="AE141" s="164" t="str">
        <f>IF(MIN(H141,L141,P141,T141,X141,AB141)&lt;&gt;0,MIN(H141,L141,P141,T141,X141,AB141),"")</f>
        <v/>
      </c>
      <c r="AF141" s="164"/>
      <c r="AG141" s="163"/>
      <c r="AH141" s="164"/>
      <c r="AI141" s="163"/>
      <c r="AJ141" s="162" t="str">
        <f>IF(AD141="","",IF(ISBLANK(AF141),"En cours",AD141+AF141))</f>
        <v/>
      </c>
      <c r="AK141" s="162" t="str">
        <f>IF(AE141="","",IF(ISBLANK(AH141),"En cours",AE141+AH141))</f>
        <v/>
      </c>
    </row>
    <row r="142" spans="2:37" ht="21" x14ac:dyDescent="0.35">
      <c r="B142" s="163"/>
      <c r="C142" s="163"/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4" t="str">
        <f>IF(MIN(F142,J142,N142,R142,V142,Z142)&lt;&gt;0,MIN(F142,J142,N142,R142,V142,Z142),"")</f>
        <v/>
      </c>
      <c r="AE142" s="164" t="str">
        <f>IF(MIN(H142,L142,P142,T142,X142,AB142)&lt;&gt;0,MIN(H142,L142,P142,T142,X142,AB142),"")</f>
        <v/>
      </c>
      <c r="AF142" s="164"/>
      <c r="AG142" s="163"/>
      <c r="AH142" s="164"/>
      <c r="AI142" s="163"/>
      <c r="AJ142" s="162" t="str">
        <f>IF(AD142="","",IF(ISBLANK(AF142),"En cours",AD142+AF142))</f>
        <v/>
      </c>
      <c r="AK142" s="162" t="str">
        <f>IF(AE142="","",IF(ISBLANK(AH142),"En cours",AE142+AH142))</f>
        <v/>
      </c>
    </row>
    <row r="143" spans="2:37" ht="21" x14ac:dyDescent="0.35">
      <c r="B143" s="163"/>
      <c r="C143" s="163"/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  <c r="AA143" s="163"/>
      <c r="AB143" s="163"/>
      <c r="AC143" s="163"/>
      <c r="AD143" s="164" t="str">
        <f>IF(MIN(F143,J143,N143,R143,V143,Z143)&lt;&gt;0,MIN(F143,J143,N143,R143,V143,Z143),"")</f>
        <v/>
      </c>
      <c r="AE143" s="164" t="str">
        <f>IF(MIN(H143,L143,P143,T143,X143,AB143)&lt;&gt;0,MIN(H143,L143,P143,T143,X143,AB143),"")</f>
        <v/>
      </c>
      <c r="AF143" s="164"/>
      <c r="AG143" s="163"/>
      <c r="AH143" s="164"/>
      <c r="AI143" s="163"/>
      <c r="AJ143" s="162" t="str">
        <f>IF(AD143="","",IF(ISBLANK(AF143),"En cours",AD143+AF143))</f>
        <v/>
      </c>
      <c r="AK143" s="162" t="str">
        <f>IF(AE143="","",IF(ISBLANK(AH143),"En cours",AE143+AH143))</f>
        <v/>
      </c>
    </row>
    <row r="144" spans="2:37" ht="21" x14ac:dyDescent="0.35">
      <c r="B144" s="163"/>
      <c r="C144" s="163"/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  <c r="AA144" s="163"/>
      <c r="AB144" s="163"/>
      <c r="AC144" s="163"/>
      <c r="AD144" s="164" t="str">
        <f>IF(MIN(F144,J144,N144,R144,V144,Z144)&lt;&gt;0,MIN(F144,J144,N144,R144,V144,Z144),"")</f>
        <v/>
      </c>
      <c r="AE144" s="164" t="str">
        <f>IF(MIN(H144,L144,P144,T144,X144,AB144)&lt;&gt;0,MIN(H144,L144,P144,T144,X144,AB144),"")</f>
        <v/>
      </c>
      <c r="AF144" s="164"/>
      <c r="AG144" s="163"/>
      <c r="AH144" s="164"/>
      <c r="AI144" s="163"/>
      <c r="AJ144" s="162" t="str">
        <f>IF(AD144="","",IF(ISBLANK(AF144),"En cours",AD144+AF144))</f>
        <v/>
      </c>
      <c r="AK144" s="162" t="str">
        <f>IF(AE144="","",IF(ISBLANK(AH144),"En cours",AE144+AH144))</f>
        <v/>
      </c>
    </row>
    <row r="145" spans="2:37" ht="21" x14ac:dyDescent="0.35">
      <c r="B145" s="163"/>
      <c r="C145" s="163"/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  <c r="AA145" s="163"/>
      <c r="AB145" s="163"/>
      <c r="AC145" s="163"/>
      <c r="AD145" s="164" t="str">
        <f>IF(MIN(F145,J145,N145,R145,V145,Z145)&lt;&gt;0,MIN(F145,J145,N145,R145,V145,Z145),"")</f>
        <v/>
      </c>
      <c r="AE145" s="164" t="str">
        <f>IF(MIN(H145,L145,P145,T145,X145,AB145)&lt;&gt;0,MIN(H145,L145,P145,T145,X145,AB145),"")</f>
        <v/>
      </c>
      <c r="AF145" s="164"/>
      <c r="AG145" s="163"/>
      <c r="AH145" s="164"/>
      <c r="AI145" s="163"/>
      <c r="AJ145" s="162" t="str">
        <f>IF(AD145="","",IF(ISBLANK(AF145),"En cours",AD145+AF145))</f>
        <v/>
      </c>
      <c r="AK145" s="162" t="str">
        <f>IF(AE145="","",IF(ISBLANK(AH145),"En cours",AE145+AH145))</f>
        <v/>
      </c>
    </row>
    <row r="146" spans="2:37" ht="21" x14ac:dyDescent="0.35">
      <c r="B146" s="163"/>
      <c r="C146" s="163"/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  <c r="AA146" s="163"/>
      <c r="AB146" s="163"/>
      <c r="AC146" s="163"/>
      <c r="AD146" s="164" t="str">
        <f>IF(MIN(F146,J146,N146,R146,V146,Z146)&lt;&gt;0,MIN(F146,J146,N146,R146,V146,Z146),"")</f>
        <v/>
      </c>
      <c r="AE146" s="164" t="str">
        <f>IF(MIN(H146,L146,P146,T146,X146,AB146)&lt;&gt;0,MIN(H146,L146,P146,T146,X146,AB146),"")</f>
        <v/>
      </c>
      <c r="AF146" s="164"/>
      <c r="AG146" s="163"/>
      <c r="AH146" s="164"/>
      <c r="AI146" s="163"/>
      <c r="AJ146" s="162" t="str">
        <f>IF(AD146="","",IF(ISBLANK(AF146),"En cours",AD146+AF146))</f>
        <v/>
      </c>
      <c r="AK146" s="162" t="str">
        <f>IF(AE146="","",IF(ISBLANK(AH146),"En cours",AE146+AH146))</f>
        <v/>
      </c>
    </row>
    <row r="147" spans="2:37" ht="21" x14ac:dyDescent="0.35">
      <c r="B147" s="163"/>
      <c r="C147" s="163"/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  <c r="AA147" s="163"/>
      <c r="AB147" s="163"/>
      <c r="AC147" s="163"/>
      <c r="AD147" s="164" t="str">
        <f>IF(MIN(F147,J147,N147,R147,V147,Z147)&lt;&gt;0,MIN(F147,J147,N147,R147,V147,Z147),"")</f>
        <v/>
      </c>
      <c r="AE147" s="164" t="str">
        <f>IF(MIN(H147,L147,P147,T147,X147,AB147)&lt;&gt;0,MIN(H147,L147,P147,T147,X147,AB147),"")</f>
        <v/>
      </c>
      <c r="AF147" s="164"/>
      <c r="AG147" s="163"/>
      <c r="AH147" s="164"/>
      <c r="AI147" s="163"/>
      <c r="AJ147" s="162" t="str">
        <f>IF(AD147="","",IF(ISBLANK(AF147),"En cours",AD147+AF147))</f>
        <v/>
      </c>
      <c r="AK147" s="162" t="str">
        <f>IF(AE147="","",IF(ISBLANK(AH147),"En cours",AE147+AH147))</f>
        <v/>
      </c>
    </row>
    <row r="148" spans="2:37" ht="21" x14ac:dyDescent="0.35">
      <c r="B148" s="163"/>
      <c r="C148" s="163"/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  <c r="AA148" s="163"/>
      <c r="AB148" s="163"/>
      <c r="AC148" s="163"/>
      <c r="AD148" s="164" t="str">
        <f>IF(MIN(F148,J148,N148,R148,V148,Z148)&lt;&gt;0,MIN(F148,J148,N148,R148,V148,Z148),"")</f>
        <v/>
      </c>
      <c r="AE148" s="164" t="str">
        <f>IF(MIN(H148,L148,P148,T148,X148,AB148)&lt;&gt;0,MIN(H148,L148,P148,T148,X148,AB148),"")</f>
        <v/>
      </c>
      <c r="AF148" s="164"/>
      <c r="AG148" s="163"/>
      <c r="AH148" s="164"/>
      <c r="AI148" s="163"/>
      <c r="AJ148" s="162" t="str">
        <f>IF(AD148="","",IF(ISBLANK(AF148),"En cours",AD148+AF148))</f>
        <v/>
      </c>
      <c r="AK148" s="162" t="str">
        <f>IF(AE148="","",IF(ISBLANK(AH148),"En cours",AE148+AH148))</f>
        <v/>
      </c>
    </row>
    <row r="149" spans="2:37" ht="21" x14ac:dyDescent="0.35">
      <c r="B149" s="163"/>
      <c r="C149" s="163"/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4" t="str">
        <f>IF(MIN(F149,J149,N149,R149,V149,Z149)&lt;&gt;0,MIN(F149,J149,N149,R149,V149,Z149),"")</f>
        <v/>
      </c>
      <c r="AE149" s="164" t="str">
        <f>IF(MIN(H149,L149,P149,T149,X149,AB149)&lt;&gt;0,MIN(H149,L149,P149,T149,X149,AB149),"")</f>
        <v/>
      </c>
      <c r="AF149" s="164"/>
      <c r="AG149" s="163"/>
      <c r="AH149" s="164"/>
      <c r="AI149" s="163"/>
      <c r="AJ149" s="162" t="str">
        <f>IF(AD149="","",IF(ISBLANK(AF149),"En cours",AD149+AF149))</f>
        <v/>
      </c>
      <c r="AK149" s="162" t="str">
        <f>IF(AE149="","",IF(ISBLANK(AH149),"En cours",AE149+AH149))</f>
        <v/>
      </c>
    </row>
    <row r="150" spans="2:37" ht="21" x14ac:dyDescent="0.35">
      <c r="B150" s="163"/>
      <c r="C150" s="163"/>
      <c r="D150" s="163"/>
      <c r="E150" s="163"/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  <c r="AA150" s="163"/>
      <c r="AB150" s="163"/>
      <c r="AC150" s="163"/>
      <c r="AD150" s="164" t="str">
        <f>IF(MIN(F150,J150,N150,R150,V150,Z150)&lt;&gt;0,MIN(F150,J150,N150,R150,V150,Z150),"")</f>
        <v/>
      </c>
      <c r="AE150" s="164" t="str">
        <f>IF(MIN(H150,L150,P150,T150,X150,AB150)&lt;&gt;0,MIN(H150,L150,P150,T150,X150,AB150),"")</f>
        <v/>
      </c>
      <c r="AF150" s="164"/>
      <c r="AG150" s="163"/>
      <c r="AH150" s="164"/>
      <c r="AI150" s="163"/>
      <c r="AJ150" s="162" t="str">
        <f>IF(AD150="","",IF(ISBLANK(AF150),"En cours",AD150+AF150))</f>
        <v/>
      </c>
      <c r="AK150" s="162" t="str">
        <f>IF(AE150="","",IF(ISBLANK(AH150),"En cours",AE150+AH150))</f>
        <v/>
      </c>
    </row>
    <row r="151" spans="2:37" ht="21" x14ac:dyDescent="0.35">
      <c r="B151" s="163"/>
      <c r="C151" s="163"/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  <c r="AA151" s="163"/>
      <c r="AB151" s="163"/>
      <c r="AC151" s="163"/>
      <c r="AD151" s="164" t="str">
        <f>IF(MIN(F151,J151,N151,R151,V151,Z151)&lt;&gt;0,MIN(F151,J151,N151,R151,V151,Z151),"")</f>
        <v/>
      </c>
      <c r="AE151" s="164" t="str">
        <f>IF(MIN(H151,L151,P151,T151,X151,AB151)&lt;&gt;0,MIN(H151,L151,P151,T151,X151,AB151),"")</f>
        <v/>
      </c>
      <c r="AF151" s="164"/>
      <c r="AG151" s="163"/>
      <c r="AH151" s="164"/>
      <c r="AI151" s="163"/>
      <c r="AJ151" s="162" t="str">
        <f>IF(AD151="","",IF(ISBLANK(AF151),"En cours",AD151+AF151))</f>
        <v/>
      </c>
      <c r="AK151" s="162" t="str">
        <f>IF(AE151="","",IF(ISBLANK(AH151),"En cours",AE151+AH151))</f>
        <v/>
      </c>
    </row>
    <row r="152" spans="2:37" ht="21" x14ac:dyDescent="0.35">
      <c r="B152" s="163"/>
      <c r="C152" s="163"/>
      <c r="D152" s="163"/>
      <c r="E152" s="163"/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4" t="str">
        <f>IF(MIN(F152,J152,N152,R152,V152,Z152)&lt;&gt;0,MIN(F152,J152,N152,R152,V152,Z152),"")</f>
        <v/>
      </c>
      <c r="AE152" s="164" t="str">
        <f>IF(MIN(H152,L152,P152,T152,X152,AB152)&lt;&gt;0,MIN(H152,L152,P152,T152,X152,AB152),"")</f>
        <v/>
      </c>
      <c r="AF152" s="164"/>
      <c r="AG152" s="163"/>
      <c r="AH152" s="164"/>
      <c r="AI152" s="163"/>
      <c r="AJ152" s="162" t="str">
        <f>IF(AD152="","",IF(ISBLANK(AF152),"En cours",AD152+AF152))</f>
        <v/>
      </c>
      <c r="AK152" s="162" t="str">
        <f>IF(AE152="","",IF(ISBLANK(AH152),"En cours",AE152+AH152))</f>
        <v/>
      </c>
    </row>
    <row r="153" spans="2:37" ht="21" x14ac:dyDescent="0.35">
      <c r="B153" s="163"/>
      <c r="C153" s="163"/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  <c r="AA153" s="163"/>
      <c r="AB153" s="163"/>
      <c r="AC153" s="163"/>
      <c r="AD153" s="164" t="str">
        <f>IF(MIN(F153,J153,N153,R153,V153,Z153)&lt;&gt;0,MIN(F153,J153,N153,R153,V153,Z153),"")</f>
        <v/>
      </c>
      <c r="AE153" s="164" t="str">
        <f>IF(MIN(H153,L153,P153,T153,X153,AB153)&lt;&gt;0,MIN(H153,L153,P153,T153,X153,AB153),"")</f>
        <v/>
      </c>
      <c r="AF153" s="164"/>
      <c r="AG153" s="163"/>
      <c r="AH153" s="164"/>
      <c r="AI153" s="163"/>
      <c r="AJ153" s="162" t="str">
        <f>IF(AD153="","",IF(ISBLANK(AF153),"En cours",AD153+AF153))</f>
        <v/>
      </c>
      <c r="AK153" s="162" t="str">
        <f>IF(AE153="","",IF(ISBLANK(AH153),"En cours",AE153+AH153))</f>
        <v/>
      </c>
    </row>
    <row r="154" spans="2:37" ht="21" x14ac:dyDescent="0.35">
      <c r="B154" s="163"/>
      <c r="C154" s="163"/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  <c r="AA154" s="163"/>
      <c r="AB154" s="163"/>
      <c r="AC154" s="163"/>
      <c r="AD154" s="164" t="str">
        <f>IF(MIN(F154,J154,N154,R154,V154,Z154)&lt;&gt;0,MIN(F154,J154,N154,R154,V154,Z154),"")</f>
        <v/>
      </c>
      <c r="AE154" s="164" t="str">
        <f>IF(MIN(H154,L154,P154,T154,X154,AB154)&lt;&gt;0,MIN(H154,L154,P154,T154,X154,AB154),"")</f>
        <v/>
      </c>
      <c r="AF154" s="164"/>
      <c r="AG154" s="163"/>
      <c r="AH154" s="164"/>
      <c r="AI154" s="163"/>
      <c r="AJ154" s="162" t="str">
        <f>IF(AD154="","",IF(ISBLANK(AF154),"En cours",AD154+AF154))</f>
        <v/>
      </c>
      <c r="AK154" s="162" t="str">
        <f>IF(AE154="","",IF(ISBLANK(AH154),"En cours",AE154+AH154))</f>
        <v/>
      </c>
    </row>
    <row r="155" spans="2:37" ht="21" x14ac:dyDescent="0.35">
      <c r="B155" s="163"/>
      <c r="C155" s="163"/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4" t="str">
        <f>IF(MIN(F155,J155,N155,R155,V155,Z155)&lt;&gt;0,MIN(F155,J155,N155,R155,V155,Z155),"")</f>
        <v/>
      </c>
      <c r="AE155" s="164" t="str">
        <f>IF(MIN(H155,L155,P155,T155,X155,AB155)&lt;&gt;0,MIN(H155,L155,P155,T155,X155,AB155),"")</f>
        <v/>
      </c>
      <c r="AF155" s="164"/>
      <c r="AG155" s="163"/>
      <c r="AH155" s="164"/>
      <c r="AI155" s="163"/>
      <c r="AJ155" s="162" t="str">
        <f>IF(AD155="","",IF(ISBLANK(AF155),"En cours",AD155+AF155))</f>
        <v/>
      </c>
      <c r="AK155" s="162" t="str">
        <f>IF(AE155="","",IF(ISBLANK(AH155),"En cours",AE155+AH155))</f>
        <v/>
      </c>
    </row>
    <row r="156" spans="2:37" ht="21" x14ac:dyDescent="0.35">
      <c r="B156" s="163"/>
      <c r="C156" s="163"/>
      <c r="D156" s="163"/>
      <c r="E156" s="163"/>
      <c r="F156" s="163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4" t="str">
        <f>IF(MIN(F156,J156,N156,R156,V156,Z156)&lt;&gt;0,MIN(F156,J156,N156,R156,V156,Z156),"")</f>
        <v/>
      </c>
      <c r="AE156" s="164" t="str">
        <f>IF(MIN(H156,L156,P156,T156,X156,AB156)&lt;&gt;0,MIN(H156,L156,P156,T156,X156,AB156),"")</f>
        <v/>
      </c>
      <c r="AF156" s="164"/>
      <c r="AG156" s="163"/>
      <c r="AH156" s="164"/>
      <c r="AI156" s="163"/>
      <c r="AJ156" s="162" t="str">
        <f>IF(AD156="","",IF(ISBLANK(AF156),"En cours",AD156+AF156))</f>
        <v/>
      </c>
      <c r="AK156" s="162" t="str">
        <f>IF(AE156="","",IF(ISBLANK(AH156),"En cours",AE156+AH156))</f>
        <v/>
      </c>
    </row>
    <row r="157" spans="2:37" ht="21" x14ac:dyDescent="0.35">
      <c r="B157" s="163"/>
      <c r="C157" s="163"/>
      <c r="D157" s="163"/>
      <c r="E157" s="163"/>
      <c r="F157" s="163"/>
      <c r="G157" s="163"/>
      <c r="H157" s="163"/>
      <c r="I157" s="163"/>
      <c r="J157" s="163"/>
      <c r="K157" s="163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  <c r="AA157" s="163"/>
      <c r="AB157" s="163"/>
      <c r="AC157" s="163"/>
      <c r="AD157" s="164" t="str">
        <f>IF(MIN(F157,J157,N157,R157,V157,Z157)&lt;&gt;0,MIN(F157,J157,N157,R157,V157,Z157),"")</f>
        <v/>
      </c>
      <c r="AE157" s="164" t="str">
        <f>IF(MIN(H157,L157,P157,T157,X157,AB157)&lt;&gt;0,MIN(H157,L157,P157,T157,X157,AB157),"")</f>
        <v/>
      </c>
      <c r="AF157" s="164"/>
      <c r="AG157" s="163"/>
      <c r="AH157" s="164"/>
      <c r="AI157" s="163"/>
      <c r="AJ157" s="162" t="str">
        <f>IF(AD157="","",IF(ISBLANK(AF157),"En cours",AD157+AF157))</f>
        <v/>
      </c>
      <c r="AK157" s="162" t="str">
        <f>IF(AE157="","",IF(ISBLANK(AH157),"En cours",AE157+AH157))</f>
        <v/>
      </c>
    </row>
    <row r="158" spans="2:37" ht="21" x14ac:dyDescent="0.35">
      <c r="B158" s="163"/>
      <c r="C158" s="163"/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  <c r="AA158" s="163"/>
      <c r="AB158" s="163"/>
      <c r="AC158" s="163"/>
      <c r="AD158" s="164" t="str">
        <f>IF(MIN(F158,J158,N158,R158,V158,Z158)&lt;&gt;0,MIN(F158,J158,N158,R158,V158,Z158),"")</f>
        <v/>
      </c>
      <c r="AE158" s="164" t="str">
        <f>IF(MIN(H158,L158,P158,T158,X158,AB158)&lt;&gt;0,MIN(H158,L158,P158,T158,X158,AB158),"")</f>
        <v/>
      </c>
      <c r="AF158" s="164"/>
      <c r="AG158" s="163"/>
      <c r="AH158" s="164"/>
      <c r="AI158" s="163"/>
      <c r="AJ158" s="162" t="str">
        <f>IF(AD158="","",IF(ISBLANK(AF158),"En cours",AD158+AF158))</f>
        <v/>
      </c>
      <c r="AK158" s="162" t="str">
        <f>IF(AE158="","",IF(ISBLANK(AH158),"En cours",AE158+AH158))</f>
        <v/>
      </c>
    </row>
    <row r="159" spans="2:37" ht="21" x14ac:dyDescent="0.35">
      <c r="B159" s="163"/>
      <c r="C159" s="163"/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  <c r="AA159" s="163"/>
      <c r="AB159" s="163"/>
      <c r="AC159" s="163"/>
      <c r="AD159" s="164" t="str">
        <f>IF(MIN(F159,J159,N159,R159,V159,Z159)&lt;&gt;0,MIN(F159,J159,N159,R159,V159,Z159),"")</f>
        <v/>
      </c>
      <c r="AE159" s="164" t="str">
        <f>IF(MIN(H159,L159,P159,T159,X159,AB159)&lt;&gt;0,MIN(H159,L159,P159,T159,X159,AB159),"")</f>
        <v/>
      </c>
      <c r="AF159" s="164"/>
      <c r="AG159" s="163"/>
      <c r="AH159" s="164"/>
      <c r="AI159" s="163"/>
      <c r="AJ159" s="162" t="str">
        <f>IF(AD159="","",IF(ISBLANK(AF159),"En cours",AD159+AF159))</f>
        <v/>
      </c>
      <c r="AK159" s="162" t="str">
        <f>IF(AE159="","",IF(ISBLANK(AH159),"En cours",AE159+AH159))</f>
        <v/>
      </c>
    </row>
    <row r="160" spans="2:37" ht="21" x14ac:dyDescent="0.35">
      <c r="B160" s="163"/>
      <c r="C160" s="163"/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  <c r="AA160" s="163"/>
      <c r="AB160" s="163"/>
      <c r="AC160" s="163"/>
      <c r="AD160" s="164" t="str">
        <f>IF(MIN(F160,J160,N160,R160,V160,Z160)&lt;&gt;0,MIN(F160,J160,N160,R160,V160,Z160),"")</f>
        <v/>
      </c>
      <c r="AE160" s="164" t="str">
        <f>IF(MIN(H160,L160,P160,T160,X160,AB160)&lt;&gt;0,MIN(H160,L160,P160,T160,X160,AB160),"")</f>
        <v/>
      </c>
      <c r="AF160" s="164"/>
      <c r="AG160" s="163"/>
      <c r="AH160" s="164"/>
      <c r="AI160" s="163"/>
      <c r="AJ160" s="162" t="str">
        <f>IF(AD160="","",IF(ISBLANK(AF160),"En cours",AD160+AF160))</f>
        <v/>
      </c>
      <c r="AK160" s="162" t="str">
        <f>IF(AE160="","",IF(ISBLANK(AH160),"En cours",AE160+AH160))</f>
        <v/>
      </c>
    </row>
    <row r="161" spans="2:37" ht="21" x14ac:dyDescent="0.35">
      <c r="B161" s="163"/>
      <c r="C161" s="163"/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3"/>
      <c r="AB161" s="163"/>
      <c r="AC161" s="163"/>
      <c r="AD161" s="164" t="str">
        <f>IF(MIN(F161,J161,N161,R161,V161,Z161)&lt;&gt;0,MIN(F161,J161,N161,R161,V161,Z161),"")</f>
        <v/>
      </c>
      <c r="AE161" s="164" t="str">
        <f>IF(MIN(H161,L161,P161,T161,X161,AB161)&lt;&gt;0,MIN(H161,L161,P161,T161,X161,AB161),"")</f>
        <v/>
      </c>
      <c r="AF161" s="164"/>
      <c r="AG161" s="163"/>
      <c r="AH161" s="164"/>
      <c r="AI161" s="163"/>
      <c r="AJ161" s="162" t="str">
        <f>IF(AD161="","",IF(ISBLANK(AF161),"En cours",AD161+AF161))</f>
        <v/>
      </c>
      <c r="AK161" s="162" t="str">
        <f>IF(AE161="","",IF(ISBLANK(AH161),"En cours",AE161+AH161))</f>
        <v/>
      </c>
    </row>
    <row r="162" spans="2:37" ht="21" x14ac:dyDescent="0.35">
      <c r="B162" s="163"/>
      <c r="C162" s="163"/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  <c r="AA162" s="163"/>
      <c r="AB162" s="163"/>
      <c r="AC162" s="163"/>
      <c r="AD162" s="164" t="str">
        <f>IF(MIN(F162,J162,N162,R162,V162,Z162)&lt;&gt;0,MIN(F162,J162,N162,R162,V162,Z162),"")</f>
        <v/>
      </c>
      <c r="AE162" s="164" t="str">
        <f>IF(MIN(H162,L162,P162,T162,X162,AB162)&lt;&gt;0,MIN(H162,L162,P162,T162,X162,AB162),"")</f>
        <v/>
      </c>
      <c r="AF162" s="164"/>
      <c r="AG162" s="163"/>
      <c r="AH162" s="164"/>
      <c r="AI162" s="163"/>
      <c r="AJ162" s="162" t="str">
        <f>IF(AD162="","",IF(ISBLANK(AF162),"En cours",AD162+AF162))</f>
        <v/>
      </c>
      <c r="AK162" s="162" t="str">
        <f>IF(AE162="","",IF(ISBLANK(AH162),"En cours",AE162+AH162))</f>
        <v/>
      </c>
    </row>
    <row r="163" spans="2:37" ht="21" x14ac:dyDescent="0.35">
      <c r="B163" s="163"/>
      <c r="C163" s="163"/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4" t="str">
        <f>IF(MIN(F163,J163,N163,R163,V163,Z163)&lt;&gt;0,MIN(F163,J163,N163,R163,V163,Z163),"")</f>
        <v/>
      </c>
      <c r="AE163" s="164" t="str">
        <f>IF(MIN(H163,L163,P163,T163,X163,AB163)&lt;&gt;0,MIN(H163,L163,P163,T163,X163,AB163),"")</f>
        <v/>
      </c>
      <c r="AF163" s="164"/>
      <c r="AG163" s="163"/>
      <c r="AH163" s="164"/>
      <c r="AI163" s="163"/>
      <c r="AJ163" s="162" t="str">
        <f>IF(AD163="","",IF(ISBLANK(AF163),"En cours",AD163+AF163))</f>
        <v/>
      </c>
      <c r="AK163" s="162" t="str">
        <f>IF(AE163="","",IF(ISBLANK(AH163),"En cours",AE163+AH163))</f>
        <v/>
      </c>
    </row>
    <row r="164" spans="2:37" ht="21" x14ac:dyDescent="0.35">
      <c r="B164" s="163"/>
      <c r="C164" s="163"/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  <c r="AA164" s="163"/>
      <c r="AB164" s="163"/>
      <c r="AC164" s="163"/>
      <c r="AD164" s="164" t="str">
        <f>IF(MIN(F164,J164,N164,R164,V164,Z164)&lt;&gt;0,MIN(F164,J164,N164,R164,V164,Z164),"")</f>
        <v/>
      </c>
      <c r="AE164" s="164" t="str">
        <f>IF(MIN(H164,L164,P164,T164,X164,AB164)&lt;&gt;0,MIN(H164,L164,P164,T164,X164,AB164),"")</f>
        <v/>
      </c>
      <c r="AF164" s="164"/>
      <c r="AG164" s="163"/>
      <c r="AH164" s="164"/>
      <c r="AI164" s="163"/>
      <c r="AJ164" s="162" t="str">
        <f>IF(AD164="","",IF(ISBLANK(AF164),"En cours",AD164+AF164))</f>
        <v/>
      </c>
      <c r="AK164" s="162" t="str">
        <f>IF(AE164="","",IF(ISBLANK(AH164),"En cours",AE164+AH164))</f>
        <v/>
      </c>
    </row>
    <row r="165" spans="2:37" ht="21" x14ac:dyDescent="0.35">
      <c r="B165" s="163"/>
      <c r="C165" s="163"/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  <c r="AA165" s="163"/>
      <c r="AB165" s="163"/>
      <c r="AC165" s="163"/>
      <c r="AD165" s="164" t="str">
        <f>IF(MIN(F165,J165,N165,R165,V165,Z165)&lt;&gt;0,MIN(F165,J165,N165,R165,V165,Z165),"")</f>
        <v/>
      </c>
      <c r="AE165" s="164" t="str">
        <f>IF(MIN(H165,L165,P165,T165,X165,AB165)&lt;&gt;0,MIN(H165,L165,P165,T165,X165,AB165),"")</f>
        <v/>
      </c>
      <c r="AF165" s="164"/>
      <c r="AG165" s="163"/>
      <c r="AH165" s="164"/>
      <c r="AI165" s="163"/>
      <c r="AJ165" s="162" t="str">
        <f>IF(AD165="","",IF(ISBLANK(AF165),"En cours",AD165+AF165))</f>
        <v/>
      </c>
      <c r="AK165" s="162" t="str">
        <f>IF(AE165="","",IF(ISBLANK(AH165),"En cours",AE165+AH165))</f>
        <v/>
      </c>
    </row>
    <row r="166" spans="2:37" ht="21" x14ac:dyDescent="0.35">
      <c r="B166" s="163"/>
      <c r="C166" s="163"/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  <c r="AB166" s="163"/>
      <c r="AC166" s="163"/>
      <c r="AD166" s="164" t="str">
        <f>IF(MIN(F166,J166,N166,R166,V166,Z166)&lt;&gt;0,MIN(F166,J166,N166,R166,V166,Z166),"")</f>
        <v/>
      </c>
      <c r="AE166" s="164" t="str">
        <f>IF(MIN(H166,L166,P166,T166,X166,AB166)&lt;&gt;0,MIN(H166,L166,P166,T166,X166,AB166),"")</f>
        <v/>
      </c>
      <c r="AF166" s="164"/>
      <c r="AG166" s="163"/>
      <c r="AH166" s="164"/>
      <c r="AI166" s="163"/>
      <c r="AJ166" s="162" t="str">
        <f>IF(AD166="","",IF(ISBLANK(AF166),"En cours",AD166+AF166))</f>
        <v/>
      </c>
      <c r="AK166" s="162" t="str">
        <f>IF(AE166="","",IF(ISBLANK(AH166),"En cours",AE166+AH166))</f>
        <v/>
      </c>
    </row>
    <row r="167" spans="2:37" ht="21" x14ac:dyDescent="0.35">
      <c r="B167" s="163"/>
      <c r="C167" s="163"/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  <c r="AA167" s="163"/>
      <c r="AB167" s="163"/>
      <c r="AC167" s="163"/>
      <c r="AD167" s="164" t="str">
        <f>IF(MIN(F167,J167,N167,R167,V167,Z167)&lt;&gt;0,MIN(F167,J167,N167,R167,V167,Z167),"")</f>
        <v/>
      </c>
      <c r="AE167" s="164" t="str">
        <f>IF(MIN(H167,L167,P167,T167,X167,AB167)&lt;&gt;0,MIN(H167,L167,P167,T167,X167,AB167),"")</f>
        <v/>
      </c>
      <c r="AF167" s="164"/>
      <c r="AG167" s="163"/>
      <c r="AH167" s="164"/>
      <c r="AI167" s="163"/>
      <c r="AJ167" s="162" t="str">
        <f>IF(AD167="","",IF(ISBLANK(AF167),"En cours",AD167+AF167))</f>
        <v/>
      </c>
      <c r="AK167" s="162" t="str">
        <f>IF(AE167="","",IF(ISBLANK(AH167),"En cours",AE167+AH167))</f>
        <v/>
      </c>
    </row>
    <row r="168" spans="2:37" ht="21" x14ac:dyDescent="0.35">
      <c r="B168" s="163"/>
      <c r="C168" s="163"/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  <c r="AA168" s="163"/>
      <c r="AB168" s="163"/>
      <c r="AC168" s="163"/>
      <c r="AD168" s="164" t="str">
        <f>IF(MIN(F168,J168,N168,R168,V168,Z168)&lt;&gt;0,MIN(F168,J168,N168,R168,V168,Z168),"")</f>
        <v/>
      </c>
      <c r="AE168" s="164" t="str">
        <f>IF(MIN(H168,L168,P168,T168,X168,AB168)&lt;&gt;0,MIN(H168,L168,P168,T168,X168,AB168),"")</f>
        <v/>
      </c>
      <c r="AF168" s="164"/>
      <c r="AG168" s="163"/>
      <c r="AH168" s="164"/>
      <c r="AI168" s="163"/>
      <c r="AJ168" s="162" t="str">
        <f>IF(AD168="","",IF(ISBLANK(AF168),"En cours",AD168+AF168))</f>
        <v/>
      </c>
      <c r="AK168" s="162" t="str">
        <f>IF(AE168="","",IF(ISBLANK(AH168),"En cours",AE168+AH168))</f>
        <v/>
      </c>
    </row>
    <row r="169" spans="2:37" ht="21" x14ac:dyDescent="0.35">
      <c r="B169" s="163"/>
      <c r="C169" s="163"/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4" t="str">
        <f>IF(MIN(F169,J169,N169,R169,V169,Z169)&lt;&gt;0,MIN(F169,J169,N169,R169,V169,Z169),"")</f>
        <v/>
      </c>
      <c r="AE169" s="164" t="str">
        <f>IF(MIN(H169,L169,P169,T169,X169,AB169)&lt;&gt;0,MIN(H169,L169,P169,T169,X169,AB169),"")</f>
        <v/>
      </c>
      <c r="AF169" s="164"/>
      <c r="AG169" s="163"/>
      <c r="AH169" s="164"/>
      <c r="AI169" s="163"/>
      <c r="AJ169" s="162" t="str">
        <f>IF(AD169="","",IF(ISBLANK(AF169),"En cours",AD169+AF169))</f>
        <v/>
      </c>
      <c r="AK169" s="162" t="str">
        <f>IF(AE169="","",IF(ISBLANK(AH169),"En cours",AE169+AH169))</f>
        <v/>
      </c>
    </row>
    <row r="170" spans="2:37" ht="21" x14ac:dyDescent="0.35">
      <c r="B170" s="163"/>
      <c r="C170" s="163"/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4" t="str">
        <f>IF(MIN(F170,J170,N170,R170,V170,Z170)&lt;&gt;0,MIN(F170,J170,N170,R170,V170,Z170),"")</f>
        <v/>
      </c>
      <c r="AE170" s="164" t="str">
        <f>IF(MIN(H170,L170,P170,T170,X170,AB170)&lt;&gt;0,MIN(H170,L170,P170,T170,X170,AB170),"")</f>
        <v/>
      </c>
      <c r="AF170" s="164"/>
      <c r="AG170" s="163"/>
      <c r="AH170" s="164"/>
      <c r="AI170" s="163"/>
      <c r="AJ170" s="162" t="str">
        <f>IF(AD170="","",IF(ISBLANK(AF170),"En cours",AD170+AF170))</f>
        <v/>
      </c>
      <c r="AK170" s="162" t="str">
        <f>IF(AE170="","",IF(ISBLANK(AH170),"En cours",AE170+AH170))</f>
        <v/>
      </c>
    </row>
    <row r="171" spans="2:37" ht="21" x14ac:dyDescent="0.35">
      <c r="B171" s="163"/>
      <c r="C171" s="163"/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  <c r="AA171" s="163"/>
      <c r="AB171" s="163"/>
      <c r="AC171" s="163"/>
      <c r="AD171" s="164" t="str">
        <f>IF(MIN(F171,J171,N171,R171,V171,Z171)&lt;&gt;0,MIN(F171,J171,N171,R171,V171,Z171),"")</f>
        <v/>
      </c>
      <c r="AE171" s="164" t="str">
        <f>IF(MIN(H171,L171,P171,T171,X171,AB171)&lt;&gt;0,MIN(H171,L171,P171,T171,X171,AB171),"")</f>
        <v/>
      </c>
      <c r="AF171" s="164"/>
      <c r="AG171" s="163"/>
      <c r="AH171" s="164"/>
      <c r="AI171" s="163"/>
      <c r="AJ171" s="162" t="str">
        <f>IF(AD171="","",IF(ISBLANK(AF171),"En cours",AD171+AF171))</f>
        <v/>
      </c>
      <c r="AK171" s="162" t="str">
        <f>IF(AE171="","",IF(ISBLANK(AH171),"En cours",AE171+AH171))</f>
        <v/>
      </c>
    </row>
    <row r="172" spans="2:37" ht="21" x14ac:dyDescent="0.35">
      <c r="B172" s="163"/>
      <c r="C172" s="163"/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4" t="str">
        <f>IF(MIN(F172,J172,N172,R172,V172,Z172)&lt;&gt;0,MIN(F172,J172,N172,R172,V172,Z172),"")</f>
        <v/>
      </c>
      <c r="AE172" s="164" t="str">
        <f>IF(MIN(H172,L172,P172,T172,X172,AB172)&lt;&gt;0,MIN(H172,L172,P172,T172,X172,AB172),"")</f>
        <v/>
      </c>
      <c r="AF172" s="164"/>
      <c r="AG172" s="163"/>
      <c r="AH172" s="164"/>
      <c r="AI172" s="163"/>
      <c r="AJ172" s="162" t="str">
        <f>IF(AD172="","",IF(ISBLANK(AF172),"En cours",AD172+AF172))</f>
        <v/>
      </c>
      <c r="AK172" s="162" t="str">
        <f>IF(AE172="","",IF(ISBLANK(AH172),"En cours",AE172+AH172))</f>
        <v/>
      </c>
    </row>
    <row r="173" spans="2:37" ht="21" x14ac:dyDescent="0.35">
      <c r="B173" s="163"/>
      <c r="C173" s="163"/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4" t="str">
        <f>IF(MIN(F173,J173,N173,R173,V173,Z173)&lt;&gt;0,MIN(F173,J173,N173,R173,V173,Z173),"")</f>
        <v/>
      </c>
      <c r="AE173" s="164" t="str">
        <f>IF(MIN(H173,L173,P173,T173,X173,AB173)&lt;&gt;0,MIN(H173,L173,P173,T173,X173,AB173),"")</f>
        <v/>
      </c>
      <c r="AF173" s="164"/>
      <c r="AG173" s="163"/>
      <c r="AH173" s="164"/>
      <c r="AI173" s="163"/>
      <c r="AJ173" s="162" t="str">
        <f>IF(AD173="","",IF(ISBLANK(AF173),"En cours",AD173+AF173))</f>
        <v/>
      </c>
      <c r="AK173" s="162" t="str">
        <f>IF(AE173="","",IF(ISBLANK(AH173),"En cours",AE173+AH173))</f>
        <v/>
      </c>
    </row>
    <row r="174" spans="2:37" ht="21" x14ac:dyDescent="0.35">
      <c r="B174" s="163"/>
      <c r="C174" s="163"/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4" t="str">
        <f>IF(MIN(F174,J174,N174,R174,V174,Z174)&lt;&gt;0,MIN(F174,J174,N174,R174,V174,Z174),"")</f>
        <v/>
      </c>
      <c r="AE174" s="164" t="str">
        <f>IF(MIN(H174,L174,P174,T174,X174,AB174)&lt;&gt;0,MIN(H174,L174,P174,T174,X174,AB174),"")</f>
        <v/>
      </c>
      <c r="AF174" s="164"/>
      <c r="AG174" s="163"/>
      <c r="AH174" s="164"/>
      <c r="AI174" s="163"/>
      <c r="AJ174" s="162" t="str">
        <f>IF(AD174="","",IF(ISBLANK(AF174),"En cours",AD174+AF174))</f>
        <v/>
      </c>
      <c r="AK174" s="162" t="str">
        <f>IF(AE174="","",IF(ISBLANK(AH174),"En cours",AE174+AH174))</f>
        <v/>
      </c>
    </row>
    <row r="175" spans="2:37" ht="21" x14ac:dyDescent="0.35">
      <c r="B175" s="163"/>
      <c r="C175" s="163"/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4" t="str">
        <f>IF(MIN(F175,J175,N175,R175,V175,Z175)&lt;&gt;0,MIN(F175,J175,N175,R175,V175,Z175),"")</f>
        <v/>
      </c>
      <c r="AE175" s="164" t="str">
        <f>IF(MIN(H175,L175,P175,T175,X175,AB175)&lt;&gt;0,MIN(H175,L175,P175,T175,X175,AB175),"")</f>
        <v/>
      </c>
      <c r="AF175" s="164"/>
      <c r="AG175" s="163"/>
      <c r="AH175" s="164"/>
      <c r="AI175" s="163"/>
      <c r="AJ175" s="162" t="str">
        <f>IF(AD175="","",IF(ISBLANK(AF175),"En cours",AD175+AF175))</f>
        <v/>
      </c>
      <c r="AK175" s="162" t="str">
        <f>IF(AE175="","",IF(ISBLANK(AH175),"En cours",AE175+AH175))</f>
        <v/>
      </c>
    </row>
    <row r="176" spans="2:37" ht="21" x14ac:dyDescent="0.35">
      <c r="B176" s="163"/>
      <c r="C176" s="163"/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  <c r="AA176" s="163"/>
      <c r="AB176" s="163"/>
      <c r="AC176" s="163"/>
      <c r="AD176" s="164" t="str">
        <f>IF(MIN(F176,J176,N176,R176,V176,Z176)&lt;&gt;0,MIN(F176,J176,N176,R176,V176,Z176),"")</f>
        <v/>
      </c>
      <c r="AE176" s="164" t="str">
        <f>IF(MIN(H176,L176,P176,T176,X176,AB176)&lt;&gt;0,MIN(H176,L176,P176,T176,X176,AB176),"")</f>
        <v/>
      </c>
      <c r="AF176" s="164"/>
      <c r="AG176" s="163"/>
      <c r="AH176" s="164"/>
      <c r="AI176" s="163"/>
      <c r="AJ176" s="162" t="str">
        <f>IF(AD176="","",IF(ISBLANK(AF176),"En cours",AD176+AF176))</f>
        <v/>
      </c>
      <c r="AK176" s="162" t="str">
        <f>IF(AE176="","",IF(ISBLANK(AH176),"En cours",AE176+AH176))</f>
        <v/>
      </c>
    </row>
    <row r="177" spans="2:37" ht="21" x14ac:dyDescent="0.35">
      <c r="B177" s="163"/>
      <c r="C177" s="163"/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4" t="str">
        <f>IF(MIN(F177,J177,N177,R177,V177,Z177)&lt;&gt;0,MIN(F177,J177,N177,R177,V177,Z177),"")</f>
        <v/>
      </c>
      <c r="AE177" s="164" t="str">
        <f>IF(MIN(H177,L177,P177,T177,X177,AB177)&lt;&gt;0,MIN(H177,L177,P177,T177,X177,AB177),"")</f>
        <v/>
      </c>
      <c r="AF177" s="164"/>
      <c r="AG177" s="163"/>
      <c r="AH177" s="164"/>
      <c r="AI177" s="163"/>
      <c r="AJ177" s="162" t="str">
        <f>IF(AD177="","",IF(ISBLANK(AF177),"En cours",AD177+AF177))</f>
        <v/>
      </c>
      <c r="AK177" s="162" t="str">
        <f>IF(AE177="","",IF(ISBLANK(AH177),"En cours",AE177+AH177))</f>
        <v/>
      </c>
    </row>
    <row r="178" spans="2:37" ht="21" x14ac:dyDescent="0.35">
      <c r="B178" s="16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4" t="str">
        <f>IF(MIN(F178,J178,N178,R178,V178,Z178)&lt;&gt;0,MIN(F178,J178,N178,R178,V178,Z178),"")</f>
        <v/>
      </c>
      <c r="AE178" s="164" t="str">
        <f>IF(MIN(H178,L178,P178,T178,X178,AB178)&lt;&gt;0,MIN(H178,L178,P178,T178,X178,AB178),"")</f>
        <v/>
      </c>
      <c r="AF178" s="164"/>
      <c r="AG178" s="163"/>
      <c r="AH178" s="164"/>
      <c r="AI178" s="163"/>
      <c r="AJ178" s="162" t="str">
        <f>IF(AD178="","",IF(ISBLANK(AF178),"En cours",AD178+AF178))</f>
        <v/>
      </c>
      <c r="AK178" s="162" t="str">
        <f>IF(AE178="","",IF(ISBLANK(AH178),"En cours",AE178+AH178))</f>
        <v/>
      </c>
    </row>
    <row r="179" spans="2:37" ht="21" x14ac:dyDescent="0.35">
      <c r="B179" s="163"/>
      <c r="C179" s="163"/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  <c r="AA179" s="163"/>
      <c r="AB179" s="163"/>
      <c r="AC179" s="163"/>
      <c r="AD179" s="164" t="str">
        <f>IF(MIN(F179,J179,N179,R179,V179,Z179)&lt;&gt;0,MIN(F179,J179,N179,R179,V179,Z179),"")</f>
        <v/>
      </c>
      <c r="AE179" s="164" t="str">
        <f>IF(MIN(H179,L179,P179,T179,X179,AB179)&lt;&gt;0,MIN(H179,L179,P179,T179,X179,AB179),"")</f>
        <v/>
      </c>
      <c r="AF179" s="164"/>
      <c r="AG179" s="163"/>
      <c r="AH179" s="164"/>
      <c r="AI179" s="163"/>
      <c r="AJ179" s="162" t="str">
        <f>IF(AD179="","",IF(ISBLANK(AF179),"En cours",AD179+AF179))</f>
        <v/>
      </c>
      <c r="AK179" s="162" t="str">
        <f>IF(AE179="","",IF(ISBLANK(AH179),"En cours",AE179+AH179))</f>
        <v/>
      </c>
    </row>
    <row r="180" spans="2:37" ht="21" x14ac:dyDescent="0.35">
      <c r="B180" s="163"/>
      <c r="C180" s="163"/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4" t="str">
        <f>IF(MIN(F180,J180,N180,R180,V180,Z180)&lt;&gt;0,MIN(F180,J180,N180,R180,V180,Z180),"")</f>
        <v/>
      </c>
      <c r="AE180" s="164" t="str">
        <f>IF(MIN(H180,L180,P180,T180,X180,AB180)&lt;&gt;0,MIN(H180,L180,P180,T180,X180,AB180),"")</f>
        <v/>
      </c>
      <c r="AF180" s="164"/>
      <c r="AG180" s="163"/>
      <c r="AH180" s="164"/>
      <c r="AI180" s="163"/>
      <c r="AJ180" s="162" t="str">
        <f>IF(AD180="","",IF(ISBLANK(AF180),"En cours",AD180+AF180))</f>
        <v/>
      </c>
      <c r="AK180" s="162" t="str">
        <f>IF(AE180="","",IF(ISBLANK(AH180),"En cours",AE180+AH180))</f>
        <v/>
      </c>
    </row>
    <row r="181" spans="2:37" ht="21" x14ac:dyDescent="0.35">
      <c r="B181" s="146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8" t="str">
        <f>IF(MIN(F181,J181,N181,R181,V181,Z181)&lt;&gt;0,MIN(F181,J181,N181,R181,V181,Z181),"")</f>
        <v/>
      </c>
      <c r="AE181" s="148" t="str">
        <f>IF(MIN(H181,L181,P181,T181,X181,AB181)&lt;&gt;0,MIN(H181,L181,P181,T181,X181,AB181),"")</f>
        <v/>
      </c>
      <c r="AF181" s="148"/>
      <c r="AG181" s="147"/>
      <c r="AH181" s="148"/>
      <c r="AI181" s="147"/>
      <c r="AJ181" s="149" t="str">
        <f>IF(AD181="","",IF(ISBLANK(AF181),"En cours",AD181+AF181))</f>
        <v/>
      </c>
      <c r="AK181" s="150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19" type="noConversion"/>
  <conditionalFormatting sqref="AJ181">
    <cfRule type="cellIs" dxfId="2599" priority="76289" stopIfTrue="1" operator="equal">
      <formula>"En cours"</formula>
    </cfRule>
  </conditionalFormatting>
  <conditionalFormatting sqref="AJ181">
    <cfRule type="cellIs" dxfId="2598" priority="76290" stopIfTrue="1" operator="notEqual">
      <formula>"En cours"</formula>
    </cfRule>
  </conditionalFormatting>
  <conditionalFormatting sqref="AK181">
    <cfRule type="cellIs" dxfId="2597" priority="76291" stopIfTrue="1" operator="equal">
      <formula>"En cours"</formula>
    </cfRule>
  </conditionalFormatting>
  <conditionalFormatting sqref="AK181">
    <cfRule type="cellIs" dxfId="2596" priority="76292" stopIfTrue="1" operator="notEqual">
      <formula>"En cours"</formula>
    </cfRule>
  </conditionalFormatting>
  <conditionalFormatting sqref="AJ150">
    <cfRule type="cellIs" dxfId="2595" priority="298289" stopIfTrue="1" operator="equal">
      <formula>"En cours"</formula>
    </cfRule>
  </conditionalFormatting>
  <conditionalFormatting sqref="AJ150">
    <cfRule type="cellIs" dxfId="2594" priority="298290" stopIfTrue="1" operator="notEqual">
      <formula>"En cours"</formula>
    </cfRule>
  </conditionalFormatting>
  <conditionalFormatting sqref="AK150">
    <cfRule type="cellIs" dxfId="2593" priority="298291" stopIfTrue="1" operator="equal">
      <formula>"En cours"</formula>
    </cfRule>
  </conditionalFormatting>
  <conditionalFormatting sqref="AK150">
    <cfRule type="cellIs" dxfId="2592" priority="298292" stopIfTrue="1" operator="notEqual">
      <formula>"En cours"</formula>
    </cfRule>
  </conditionalFormatting>
  <conditionalFormatting sqref="AJ151">
    <cfRule type="cellIs" dxfId="2591" priority="298293" stopIfTrue="1" operator="equal">
      <formula>"En cours"</formula>
    </cfRule>
  </conditionalFormatting>
  <conditionalFormatting sqref="AJ151">
    <cfRule type="cellIs" dxfId="2590" priority="298294" stopIfTrue="1" operator="notEqual">
      <formula>"En cours"</formula>
    </cfRule>
  </conditionalFormatting>
  <conditionalFormatting sqref="AK151">
    <cfRule type="cellIs" dxfId="2589" priority="298295" stopIfTrue="1" operator="equal">
      <formula>"En cours"</formula>
    </cfRule>
  </conditionalFormatting>
  <conditionalFormatting sqref="AK151">
    <cfRule type="cellIs" dxfId="2588" priority="298296" stopIfTrue="1" operator="notEqual">
      <formula>"En cours"</formula>
    </cfRule>
  </conditionalFormatting>
  <conditionalFormatting sqref="AJ149">
    <cfRule type="cellIs" dxfId="2587" priority="298309" stopIfTrue="1" operator="equal">
      <formula>"En cours"</formula>
    </cfRule>
  </conditionalFormatting>
  <conditionalFormatting sqref="AJ149">
    <cfRule type="cellIs" dxfId="2586" priority="298310" stopIfTrue="1" operator="notEqual">
      <formula>"En cours"</formula>
    </cfRule>
  </conditionalFormatting>
  <conditionalFormatting sqref="AK149">
    <cfRule type="cellIs" dxfId="2585" priority="298311" stopIfTrue="1" operator="equal">
      <formula>"En cours"</formula>
    </cfRule>
  </conditionalFormatting>
  <conditionalFormatting sqref="AK149">
    <cfRule type="cellIs" dxfId="2584" priority="298312" stopIfTrue="1" operator="notEqual">
      <formula>"En cours"</formula>
    </cfRule>
  </conditionalFormatting>
  <conditionalFormatting sqref="AJ152">
    <cfRule type="cellIs" dxfId="2583" priority="298345" stopIfTrue="1" operator="equal">
      <formula>"En cours"</formula>
    </cfRule>
  </conditionalFormatting>
  <conditionalFormatting sqref="AJ152">
    <cfRule type="cellIs" dxfId="2582" priority="298346" stopIfTrue="1" operator="notEqual">
      <formula>"En cours"</formula>
    </cfRule>
  </conditionalFormatting>
  <conditionalFormatting sqref="AK152">
    <cfRule type="cellIs" dxfId="2581" priority="298347" stopIfTrue="1" operator="equal">
      <formula>"En cours"</formula>
    </cfRule>
  </conditionalFormatting>
  <conditionalFormatting sqref="AK152">
    <cfRule type="cellIs" dxfId="2580" priority="298348" stopIfTrue="1" operator="notEqual">
      <formula>"En cours"</formula>
    </cfRule>
  </conditionalFormatting>
  <conditionalFormatting sqref="AJ157">
    <cfRule type="cellIs" dxfId="2579" priority="298405" stopIfTrue="1" operator="equal">
      <formula>"En cours"</formula>
    </cfRule>
  </conditionalFormatting>
  <conditionalFormatting sqref="AJ157">
    <cfRule type="cellIs" dxfId="2578" priority="298406" stopIfTrue="1" operator="notEqual">
      <formula>"En cours"</formula>
    </cfRule>
  </conditionalFormatting>
  <conditionalFormatting sqref="AK157">
    <cfRule type="cellIs" dxfId="2577" priority="298407" stopIfTrue="1" operator="equal">
      <formula>"En cours"</formula>
    </cfRule>
  </conditionalFormatting>
  <conditionalFormatting sqref="AK157">
    <cfRule type="cellIs" dxfId="2576" priority="298408" stopIfTrue="1" operator="notEqual">
      <formula>"En cours"</formula>
    </cfRule>
  </conditionalFormatting>
  <conditionalFormatting sqref="AJ161">
    <cfRule type="cellIs" dxfId="2575" priority="298441" stopIfTrue="1" operator="equal">
      <formula>"En cours"</formula>
    </cfRule>
  </conditionalFormatting>
  <conditionalFormatting sqref="AJ161">
    <cfRule type="cellIs" dxfId="2574" priority="298442" stopIfTrue="1" operator="notEqual">
      <formula>"En cours"</formula>
    </cfRule>
  </conditionalFormatting>
  <conditionalFormatting sqref="AK161">
    <cfRule type="cellIs" dxfId="2573" priority="298443" stopIfTrue="1" operator="equal">
      <formula>"En cours"</formula>
    </cfRule>
  </conditionalFormatting>
  <conditionalFormatting sqref="AK161">
    <cfRule type="cellIs" dxfId="2572" priority="298444" stopIfTrue="1" operator="notEqual">
      <formula>"En cours"</formula>
    </cfRule>
  </conditionalFormatting>
  <conditionalFormatting sqref="AJ164">
    <cfRule type="cellIs" dxfId="2571" priority="298457" stopIfTrue="1" operator="equal">
      <formula>"En cours"</formula>
    </cfRule>
  </conditionalFormatting>
  <conditionalFormatting sqref="AJ164">
    <cfRule type="cellIs" dxfId="2570" priority="298458" stopIfTrue="1" operator="notEqual">
      <formula>"En cours"</formula>
    </cfRule>
  </conditionalFormatting>
  <conditionalFormatting sqref="AK164">
    <cfRule type="cellIs" dxfId="2569" priority="298459" stopIfTrue="1" operator="equal">
      <formula>"En cours"</formula>
    </cfRule>
  </conditionalFormatting>
  <conditionalFormatting sqref="AK164">
    <cfRule type="cellIs" dxfId="2568" priority="298460" stopIfTrue="1" operator="notEqual">
      <formula>"En cours"</formula>
    </cfRule>
  </conditionalFormatting>
  <conditionalFormatting sqref="AJ167">
    <cfRule type="cellIs" dxfId="2567" priority="298725" stopIfTrue="1" operator="equal">
      <formula>"En cours"</formula>
    </cfRule>
  </conditionalFormatting>
  <conditionalFormatting sqref="AJ167">
    <cfRule type="cellIs" dxfId="2566" priority="298726" stopIfTrue="1" operator="notEqual">
      <formula>"En cours"</formula>
    </cfRule>
  </conditionalFormatting>
  <conditionalFormatting sqref="AK167">
    <cfRule type="cellIs" dxfId="2565" priority="298727" stopIfTrue="1" operator="equal">
      <formula>"En cours"</formula>
    </cfRule>
  </conditionalFormatting>
  <conditionalFormatting sqref="AK167">
    <cfRule type="cellIs" dxfId="2564" priority="298728" stopIfTrue="1" operator="notEqual">
      <formula>"En cours"</formula>
    </cfRule>
  </conditionalFormatting>
  <conditionalFormatting sqref="AJ169">
    <cfRule type="cellIs" dxfId="2563" priority="298765" stopIfTrue="1" operator="equal">
      <formula>"En cours"</formula>
    </cfRule>
  </conditionalFormatting>
  <conditionalFormatting sqref="AJ169">
    <cfRule type="cellIs" dxfId="2562" priority="298766" stopIfTrue="1" operator="notEqual">
      <formula>"En cours"</formula>
    </cfRule>
  </conditionalFormatting>
  <conditionalFormatting sqref="AK169">
    <cfRule type="cellIs" dxfId="2561" priority="298767" stopIfTrue="1" operator="equal">
      <formula>"En cours"</formula>
    </cfRule>
  </conditionalFormatting>
  <conditionalFormatting sqref="AK169">
    <cfRule type="cellIs" dxfId="2560" priority="298768" stopIfTrue="1" operator="notEqual">
      <formula>"En cours"</formula>
    </cfRule>
  </conditionalFormatting>
  <conditionalFormatting sqref="AJ156">
    <cfRule type="cellIs" dxfId="2559" priority="298877" stopIfTrue="1" operator="equal">
      <formula>"En cours"</formula>
    </cfRule>
  </conditionalFormatting>
  <conditionalFormatting sqref="AJ156">
    <cfRule type="cellIs" dxfId="2558" priority="298878" stopIfTrue="1" operator="notEqual">
      <formula>"En cours"</formula>
    </cfRule>
  </conditionalFormatting>
  <conditionalFormatting sqref="AK156">
    <cfRule type="cellIs" dxfId="2557" priority="298879" stopIfTrue="1" operator="equal">
      <formula>"En cours"</formula>
    </cfRule>
  </conditionalFormatting>
  <conditionalFormatting sqref="AK156">
    <cfRule type="cellIs" dxfId="2556" priority="298880" stopIfTrue="1" operator="notEqual">
      <formula>"En cours"</formula>
    </cfRule>
  </conditionalFormatting>
  <conditionalFormatting sqref="AJ163">
    <cfRule type="cellIs" dxfId="2555" priority="298917" stopIfTrue="1" operator="equal">
      <formula>"En cours"</formula>
    </cfRule>
  </conditionalFormatting>
  <conditionalFormatting sqref="AJ163">
    <cfRule type="cellIs" dxfId="2554" priority="298918" stopIfTrue="1" operator="notEqual">
      <formula>"En cours"</formula>
    </cfRule>
  </conditionalFormatting>
  <conditionalFormatting sqref="AK163">
    <cfRule type="cellIs" dxfId="2553" priority="298919" stopIfTrue="1" operator="equal">
      <formula>"En cours"</formula>
    </cfRule>
  </conditionalFormatting>
  <conditionalFormatting sqref="AK163">
    <cfRule type="cellIs" dxfId="2552" priority="298920" stopIfTrue="1" operator="notEqual">
      <formula>"En cours"</formula>
    </cfRule>
  </conditionalFormatting>
  <conditionalFormatting sqref="AJ171">
    <cfRule type="cellIs" dxfId="2551" priority="298949" stopIfTrue="1" operator="equal">
      <formula>"En cours"</formula>
    </cfRule>
  </conditionalFormatting>
  <conditionalFormatting sqref="AJ171">
    <cfRule type="cellIs" dxfId="2550" priority="298950" stopIfTrue="1" operator="notEqual">
      <formula>"En cours"</formula>
    </cfRule>
  </conditionalFormatting>
  <conditionalFormatting sqref="AK171">
    <cfRule type="cellIs" dxfId="2549" priority="298951" stopIfTrue="1" operator="equal">
      <formula>"En cours"</formula>
    </cfRule>
  </conditionalFormatting>
  <conditionalFormatting sqref="AK171">
    <cfRule type="cellIs" dxfId="2548" priority="298952" stopIfTrue="1" operator="notEqual">
      <formula>"En cours"</formula>
    </cfRule>
  </conditionalFormatting>
  <conditionalFormatting sqref="AJ154">
    <cfRule type="cellIs" dxfId="2547" priority="298953" stopIfTrue="1" operator="equal">
      <formula>"En cours"</formula>
    </cfRule>
  </conditionalFormatting>
  <conditionalFormatting sqref="AJ154">
    <cfRule type="cellIs" dxfId="2546" priority="298954" stopIfTrue="1" operator="notEqual">
      <formula>"En cours"</formula>
    </cfRule>
  </conditionalFormatting>
  <conditionalFormatting sqref="AK154">
    <cfRule type="cellIs" dxfId="2545" priority="298955" stopIfTrue="1" operator="equal">
      <formula>"En cours"</formula>
    </cfRule>
  </conditionalFormatting>
  <conditionalFormatting sqref="AK154">
    <cfRule type="cellIs" dxfId="2544" priority="298956" stopIfTrue="1" operator="notEqual">
      <formula>"En cours"</formula>
    </cfRule>
  </conditionalFormatting>
  <conditionalFormatting sqref="AJ170">
    <cfRule type="cellIs" dxfId="2543" priority="299273" stopIfTrue="1" operator="equal">
      <formula>"En cours"</formula>
    </cfRule>
  </conditionalFormatting>
  <conditionalFormatting sqref="AJ170">
    <cfRule type="cellIs" dxfId="2542" priority="299274" stopIfTrue="1" operator="notEqual">
      <formula>"En cours"</formula>
    </cfRule>
  </conditionalFormatting>
  <conditionalFormatting sqref="AK170">
    <cfRule type="cellIs" dxfId="2541" priority="299275" stopIfTrue="1" operator="equal">
      <formula>"En cours"</formula>
    </cfRule>
  </conditionalFormatting>
  <conditionalFormatting sqref="AK170">
    <cfRule type="cellIs" dxfId="2540" priority="299276" stopIfTrue="1" operator="notEqual">
      <formula>"En cours"</formula>
    </cfRule>
  </conditionalFormatting>
  <conditionalFormatting sqref="AJ148">
    <cfRule type="cellIs" dxfId="2539" priority="299325" stopIfTrue="1" operator="equal">
      <formula>"En cours"</formula>
    </cfRule>
  </conditionalFormatting>
  <conditionalFormatting sqref="AJ148">
    <cfRule type="cellIs" dxfId="2538" priority="299326" stopIfTrue="1" operator="notEqual">
      <formula>"En cours"</formula>
    </cfRule>
  </conditionalFormatting>
  <conditionalFormatting sqref="AK148">
    <cfRule type="cellIs" dxfId="2537" priority="299327" stopIfTrue="1" operator="equal">
      <formula>"En cours"</formula>
    </cfRule>
  </conditionalFormatting>
  <conditionalFormatting sqref="AK148">
    <cfRule type="cellIs" dxfId="2536" priority="299328" stopIfTrue="1" operator="notEqual">
      <formula>"En cours"</formula>
    </cfRule>
  </conditionalFormatting>
  <conditionalFormatting sqref="AJ159">
    <cfRule type="cellIs" dxfId="2535" priority="299397" stopIfTrue="1" operator="equal">
      <formula>"En cours"</formula>
    </cfRule>
  </conditionalFormatting>
  <conditionalFormatting sqref="AJ159">
    <cfRule type="cellIs" dxfId="2534" priority="299398" stopIfTrue="1" operator="notEqual">
      <formula>"En cours"</formula>
    </cfRule>
  </conditionalFormatting>
  <conditionalFormatting sqref="AK159">
    <cfRule type="cellIs" dxfId="2533" priority="299399" stopIfTrue="1" operator="equal">
      <formula>"En cours"</formula>
    </cfRule>
  </conditionalFormatting>
  <conditionalFormatting sqref="AK159">
    <cfRule type="cellIs" dxfId="2532" priority="299400" stopIfTrue="1" operator="notEqual">
      <formula>"En cours"</formula>
    </cfRule>
  </conditionalFormatting>
  <conditionalFormatting sqref="AJ160">
    <cfRule type="cellIs" dxfId="2531" priority="299429" stopIfTrue="1" operator="equal">
      <formula>"En cours"</formula>
    </cfRule>
  </conditionalFormatting>
  <conditionalFormatting sqref="AJ160">
    <cfRule type="cellIs" dxfId="2530" priority="299430" stopIfTrue="1" operator="notEqual">
      <formula>"En cours"</formula>
    </cfRule>
  </conditionalFormatting>
  <conditionalFormatting sqref="AK160">
    <cfRule type="cellIs" dxfId="2529" priority="299431" stopIfTrue="1" operator="equal">
      <formula>"En cours"</formula>
    </cfRule>
  </conditionalFormatting>
  <conditionalFormatting sqref="AK160">
    <cfRule type="cellIs" dxfId="2528" priority="299432" stopIfTrue="1" operator="notEqual">
      <formula>"En cours"</formula>
    </cfRule>
  </conditionalFormatting>
  <conditionalFormatting sqref="AJ165">
    <cfRule type="cellIs" dxfId="2527" priority="299837" stopIfTrue="1" operator="equal">
      <formula>"En cours"</formula>
    </cfRule>
  </conditionalFormatting>
  <conditionalFormatting sqref="AJ165">
    <cfRule type="cellIs" dxfId="2526" priority="299838" stopIfTrue="1" operator="notEqual">
      <formula>"En cours"</formula>
    </cfRule>
  </conditionalFormatting>
  <conditionalFormatting sqref="AK165">
    <cfRule type="cellIs" dxfId="2525" priority="299839" stopIfTrue="1" operator="equal">
      <formula>"En cours"</formula>
    </cfRule>
  </conditionalFormatting>
  <conditionalFormatting sqref="AK165">
    <cfRule type="cellIs" dxfId="2524" priority="299840" stopIfTrue="1" operator="notEqual">
      <formula>"En cours"</formula>
    </cfRule>
  </conditionalFormatting>
  <conditionalFormatting sqref="AJ166">
    <cfRule type="cellIs" dxfId="2523" priority="299849" stopIfTrue="1" operator="equal">
      <formula>"En cours"</formula>
    </cfRule>
  </conditionalFormatting>
  <conditionalFormatting sqref="AJ166">
    <cfRule type="cellIs" dxfId="2522" priority="299850" stopIfTrue="1" operator="notEqual">
      <formula>"En cours"</formula>
    </cfRule>
  </conditionalFormatting>
  <conditionalFormatting sqref="AK166">
    <cfRule type="cellIs" dxfId="2521" priority="299851" stopIfTrue="1" operator="equal">
      <formula>"En cours"</formula>
    </cfRule>
  </conditionalFormatting>
  <conditionalFormatting sqref="AK166">
    <cfRule type="cellIs" dxfId="2520" priority="299852" stopIfTrue="1" operator="notEqual">
      <formula>"En cours"</formula>
    </cfRule>
  </conditionalFormatting>
  <conditionalFormatting sqref="AJ172">
    <cfRule type="cellIs" dxfId="2519" priority="299853" stopIfTrue="1" operator="equal">
      <formula>"En cours"</formula>
    </cfRule>
  </conditionalFormatting>
  <conditionalFormatting sqref="AJ172">
    <cfRule type="cellIs" dxfId="2518" priority="299854" stopIfTrue="1" operator="notEqual">
      <formula>"En cours"</formula>
    </cfRule>
  </conditionalFormatting>
  <conditionalFormatting sqref="AK172">
    <cfRule type="cellIs" dxfId="2517" priority="299855" stopIfTrue="1" operator="equal">
      <formula>"En cours"</formula>
    </cfRule>
  </conditionalFormatting>
  <conditionalFormatting sqref="AK172">
    <cfRule type="cellIs" dxfId="2516" priority="299856" stopIfTrue="1" operator="notEqual">
      <formula>"En cours"</formula>
    </cfRule>
  </conditionalFormatting>
  <conditionalFormatting sqref="AJ173">
    <cfRule type="cellIs" dxfId="2515" priority="299857" stopIfTrue="1" operator="equal">
      <formula>"En cours"</formula>
    </cfRule>
  </conditionalFormatting>
  <conditionalFormatting sqref="AJ173">
    <cfRule type="cellIs" dxfId="2514" priority="299858" stopIfTrue="1" operator="notEqual">
      <formula>"En cours"</formula>
    </cfRule>
  </conditionalFormatting>
  <conditionalFormatting sqref="AK173">
    <cfRule type="cellIs" dxfId="2513" priority="299859" stopIfTrue="1" operator="equal">
      <formula>"En cours"</formula>
    </cfRule>
  </conditionalFormatting>
  <conditionalFormatting sqref="AK173">
    <cfRule type="cellIs" dxfId="2512" priority="299860" stopIfTrue="1" operator="notEqual">
      <formula>"En cours"</formula>
    </cfRule>
  </conditionalFormatting>
  <conditionalFormatting sqref="AJ177">
    <cfRule type="cellIs" dxfId="2511" priority="299873" stopIfTrue="1" operator="equal">
      <formula>"En cours"</formula>
    </cfRule>
  </conditionalFormatting>
  <conditionalFormatting sqref="AJ177">
    <cfRule type="cellIs" dxfId="2510" priority="299874" stopIfTrue="1" operator="notEqual">
      <formula>"En cours"</formula>
    </cfRule>
  </conditionalFormatting>
  <conditionalFormatting sqref="AK177">
    <cfRule type="cellIs" dxfId="2509" priority="299875" stopIfTrue="1" operator="equal">
      <formula>"En cours"</formula>
    </cfRule>
  </conditionalFormatting>
  <conditionalFormatting sqref="AK177">
    <cfRule type="cellIs" dxfId="2508" priority="299876" stopIfTrue="1" operator="notEqual">
      <formula>"En cours"</formula>
    </cfRule>
  </conditionalFormatting>
  <conditionalFormatting sqref="AJ174">
    <cfRule type="cellIs" dxfId="2507" priority="299893" stopIfTrue="1" operator="equal">
      <formula>"En cours"</formula>
    </cfRule>
  </conditionalFormatting>
  <conditionalFormatting sqref="AJ174">
    <cfRule type="cellIs" dxfId="2506" priority="299894" stopIfTrue="1" operator="notEqual">
      <formula>"En cours"</formula>
    </cfRule>
  </conditionalFormatting>
  <conditionalFormatting sqref="AK174">
    <cfRule type="cellIs" dxfId="2505" priority="299895" stopIfTrue="1" operator="equal">
      <formula>"En cours"</formula>
    </cfRule>
  </conditionalFormatting>
  <conditionalFormatting sqref="AK174">
    <cfRule type="cellIs" dxfId="2504" priority="299896" stopIfTrue="1" operator="notEqual">
      <formula>"En cours"</formula>
    </cfRule>
  </conditionalFormatting>
  <conditionalFormatting sqref="AJ168">
    <cfRule type="cellIs" dxfId="2503" priority="299917" stopIfTrue="1" operator="equal">
      <formula>"En cours"</formula>
    </cfRule>
  </conditionalFormatting>
  <conditionalFormatting sqref="AJ168">
    <cfRule type="cellIs" dxfId="2502" priority="299918" stopIfTrue="1" operator="notEqual">
      <formula>"En cours"</formula>
    </cfRule>
  </conditionalFormatting>
  <conditionalFormatting sqref="AK168">
    <cfRule type="cellIs" dxfId="2501" priority="299919" stopIfTrue="1" operator="equal">
      <formula>"En cours"</formula>
    </cfRule>
  </conditionalFormatting>
  <conditionalFormatting sqref="AK168">
    <cfRule type="cellIs" dxfId="2500" priority="299920" stopIfTrue="1" operator="notEqual">
      <formula>"En cours"</formula>
    </cfRule>
  </conditionalFormatting>
  <conditionalFormatting sqref="AJ178">
    <cfRule type="cellIs" dxfId="2499" priority="299989" stopIfTrue="1" operator="equal">
      <formula>"En cours"</formula>
    </cfRule>
  </conditionalFormatting>
  <conditionalFormatting sqref="AJ178">
    <cfRule type="cellIs" dxfId="2498" priority="299990" stopIfTrue="1" operator="notEqual">
      <formula>"En cours"</formula>
    </cfRule>
  </conditionalFormatting>
  <conditionalFormatting sqref="AK178">
    <cfRule type="cellIs" dxfId="2497" priority="299991" stopIfTrue="1" operator="equal">
      <formula>"En cours"</formula>
    </cfRule>
  </conditionalFormatting>
  <conditionalFormatting sqref="AK178">
    <cfRule type="cellIs" dxfId="2496" priority="299992" stopIfTrue="1" operator="notEqual">
      <formula>"En cours"</formula>
    </cfRule>
  </conditionalFormatting>
  <conditionalFormatting sqref="AJ179">
    <cfRule type="cellIs" dxfId="2495" priority="300041" stopIfTrue="1" operator="equal">
      <formula>"En cours"</formula>
    </cfRule>
  </conditionalFormatting>
  <conditionalFormatting sqref="AJ179">
    <cfRule type="cellIs" dxfId="2494" priority="300042" stopIfTrue="1" operator="notEqual">
      <formula>"En cours"</formula>
    </cfRule>
  </conditionalFormatting>
  <conditionalFormatting sqref="AK179">
    <cfRule type="cellIs" dxfId="2493" priority="300043" stopIfTrue="1" operator="equal">
      <formula>"En cours"</formula>
    </cfRule>
  </conditionalFormatting>
  <conditionalFormatting sqref="AK179">
    <cfRule type="cellIs" dxfId="2492" priority="300044" stopIfTrue="1" operator="notEqual">
      <formula>"En cours"</formula>
    </cfRule>
  </conditionalFormatting>
  <conditionalFormatting sqref="AJ155">
    <cfRule type="cellIs" dxfId="2491" priority="300053" stopIfTrue="1" operator="equal">
      <formula>"En cours"</formula>
    </cfRule>
  </conditionalFormatting>
  <conditionalFormatting sqref="AJ155">
    <cfRule type="cellIs" dxfId="2490" priority="300054" stopIfTrue="1" operator="notEqual">
      <formula>"En cours"</formula>
    </cfRule>
  </conditionalFormatting>
  <conditionalFormatting sqref="AK155">
    <cfRule type="cellIs" dxfId="2489" priority="300055" stopIfTrue="1" operator="equal">
      <formula>"En cours"</formula>
    </cfRule>
  </conditionalFormatting>
  <conditionalFormatting sqref="AK155">
    <cfRule type="cellIs" dxfId="2488" priority="300056" stopIfTrue="1" operator="notEqual">
      <formula>"En cours"</formula>
    </cfRule>
  </conditionalFormatting>
  <conditionalFormatting sqref="AJ175">
    <cfRule type="cellIs" dxfId="2487" priority="300069" stopIfTrue="1" operator="equal">
      <formula>"En cours"</formula>
    </cfRule>
    <cfRule type="cellIs" dxfId="2486" priority="300070" stopIfTrue="1" operator="notEqual">
      <formula>"En cours"</formula>
    </cfRule>
  </conditionalFormatting>
  <conditionalFormatting sqref="AK175">
    <cfRule type="cellIs" dxfId="2485" priority="300071" stopIfTrue="1" operator="equal">
      <formula>"En cours"</formula>
    </cfRule>
    <cfRule type="cellIs" dxfId="2484" priority="300072" stopIfTrue="1" operator="notEqual">
      <formula>"En cours"</formula>
    </cfRule>
  </conditionalFormatting>
  <conditionalFormatting sqref="AJ176">
    <cfRule type="cellIs" dxfId="2483" priority="300073" stopIfTrue="1" operator="equal">
      <formula>"En cours"</formula>
    </cfRule>
    <cfRule type="cellIs" dxfId="2482" priority="300074" stopIfTrue="1" operator="notEqual">
      <formula>"En cours"</formula>
    </cfRule>
  </conditionalFormatting>
  <conditionalFormatting sqref="AK176">
    <cfRule type="cellIs" dxfId="2481" priority="300075" stopIfTrue="1" operator="equal">
      <formula>"En cours"</formula>
    </cfRule>
    <cfRule type="cellIs" dxfId="2480" priority="300076" stopIfTrue="1" operator="notEqual">
      <formula>"En cours"</formula>
    </cfRule>
  </conditionalFormatting>
  <conditionalFormatting sqref="AJ158">
    <cfRule type="cellIs" dxfId="2479" priority="300085" stopIfTrue="1" operator="equal">
      <formula>"En cours"</formula>
    </cfRule>
  </conditionalFormatting>
  <conditionalFormatting sqref="AJ158">
    <cfRule type="cellIs" dxfId="2478" priority="300086" stopIfTrue="1" operator="notEqual">
      <formula>"En cours"</formula>
    </cfRule>
  </conditionalFormatting>
  <conditionalFormatting sqref="AK158">
    <cfRule type="cellIs" dxfId="2477" priority="300087" stopIfTrue="1" operator="equal">
      <formula>"En cours"</formula>
    </cfRule>
  </conditionalFormatting>
  <conditionalFormatting sqref="AK158">
    <cfRule type="cellIs" dxfId="2476" priority="300088" stopIfTrue="1" operator="notEqual">
      <formula>"En cours"</formula>
    </cfRule>
  </conditionalFormatting>
  <conditionalFormatting sqref="AJ162">
    <cfRule type="cellIs" dxfId="2475" priority="300093" stopIfTrue="1" operator="equal">
      <formula>"En cours"</formula>
    </cfRule>
  </conditionalFormatting>
  <conditionalFormatting sqref="AJ162">
    <cfRule type="cellIs" dxfId="2474" priority="300094" stopIfTrue="1" operator="notEqual">
      <formula>"En cours"</formula>
    </cfRule>
  </conditionalFormatting>
  <conditionalFormatting sqref="AK162">
    <cfRule type="cellIs" dxfId="2473" priority="300095" stopIfTrue="1" operator="equal">
      <formula>"En cours"</formula>
    </cfRule>
  </conditionalFormatting>
  <conditionalFormatting sqref="AK162">
    <cfRule type="cellIs" dxfId="2472" priority="300096" stopIfTrue="1" operator="notEqual">
      <formula>"En cours"</formula>
    </cfRule>
  </conditionalFormatting>
  <conditionalFormatting sqref="AJ153">
    <cfRule type="cellIs" dxfId="2471" priority="300125" stopIfTrue="1" operator="equal">
      <formula>"En cours"</formula>
    </cfRule>
  </conditionalFormatting>
  <conditionalFormatting sqref="AJ153">
    <cfRule type="cellIs" dxfId="2470" priority="300126" stopIfTrue="1" operator="notEqual">
      <formula>"En cours"</formula>
    </cfRule>
  </conditionalFormatting>
  <conditionalFormatting sqref="AK153">
    <cfRule type="cellIs" dxfId="2469" priority="300127" stopIfTrue="1" operator="equal">
      <formula>"En cours"</formula>
    </cfRule>
  </conditionalFormatting>
  <conditionalFormatting sqref="AK153">
    <cfRule type="cellIs" dxfId="2468" priority="300128" stopIfTrue="1" operator="notEqual">
      <formula>"En cours"</formula>
    </cfRule>
  </conditionalFormatting>
  <conditionalFormatting sqref="AJ180">
    <cfRule type="cellIs" dxfId="2467" priority="300185" stopIfTrue="1" operator="equal">
      <formula>"En cours"</formula>
    </cfRule>
  </conditionalFormatting>
  <conditionalFormatting sqref="AJ180">
    <cfRule type="cellIs" dxfId="2466" priority="300186" stopIfTrue="1" operator="notEqual">
      <formula>"En cours"</formula>
    </cfRule>
  </conditionalFormatting>
  <conditionalFormatting sqref="AK180">
    <cfRule type="cellIs" dxfId="2465" priority="300187" stopIfTrue="1" operator="equal">
      <formula>"En cours"</formula>
    </cfRule>
  </conditionalFormatting>
  <conditionalFormatting sqref="AK180">
    <cfRule type="cellIs" dxfId="2464" priority="300188" stopIfTrue="1" operator="notEqual">
      <formula>"En cours"</formula>
    </cfRule>
  </conditionalFormatting>
  <conditionalFormatting sqref="AJ120">
    <cfRule type="cellIs" dxfId="2363" priority="303809" stopIfTrue="1" operator="equal">
      <formula>"En cours"</formula>
    </cfRule>
  </conditionalFormatting>
  <conditionalFormatting sqref="AJ120">
    <cfRule type="cellIs" dxfId="2362" priority="303810" stopIfTrue="1" operator="notEqual">
      <formula>"En cours"</formula>
    </cfRule>
  </conditionalFormatting>
  <conditionalFormatting sqref="AK120">
    <cfRule type="cellIs" dxfId="2361" priority="303811" stopIfTrue="1" operator="equal">
      <formula>"En cours"</formula>
    </cfRule>
  </conditionalFormatting>
  <conditionalFormatting sqref="AK120">
    <cfRule type="cellIs" dxfId="2360" priority="303812" stopIfTrue="1" operator="notEqual">
      <formula>"En cours"</formula>
    </cfRule>
  </conditionalFormatting>
  <conditionalFormatting sqref="AJ121">
    <cfRule type="cellIs" dxfId="2355" priority="303825" stopIfTrue="1" operator="equal">
      <formula>"En cours"</formula>
    </cfRule>
  </conditionalFormatting>
  <conditionalFormatting sqref="AJ121">
    <cfRule type="cellIs" dxfId="2354" priority="303826" stopIfTrue="1" operator="notEqual">
      <formula>"En cours"</formula>
    </cfRule>
  </conditionalFormatting>
  <conditionalFormatting sqref="AK121">
    <cfRule type="cellIs" dxfId="2353" priority="303827" stopIfTrue="1" operator="equal">
      <formula>"En cours"</formula>
    </cfRule>
  </conditionalFormatting>
  <conditionalFormatting sqref="AK121">
    <cfRule type="cellIs" dxfId="2352" priority="303828" stopIfTrue="1" operator="notEqual">
      <formula>"En cours"</formula>
    </cfRule>
  </conditionalFormatting>
  <conditionalFormatting sqref="AJ123">
    <cfRule type="cellIs" dxfId="2351" priority="303837" stopIfTrue="1" operator="equal">
      <formula>"En cours"</formula>
    </cfRule>
  </conditionalFormatting>
  <conditionalFormatting sqref="AJ123">
    <cfRule type="cellIs" dxfId="2350" priority="303838" stopIfTrue="1" operator="notEqual">
      <formula>"En cours"</formula>
    </cfRule>
  </conditionalFormatting>
  <conditionalFormatting sqref="AK123">
    <cfRule type="cellIs" dxfId="2349" priority="303839" stopIfTrue="1" operator="equal">
      <formula>"En cours"</formula>
    </cfRule>
  </conditionalFormatting>
  <conditionalFormatting sqref="AK123">
    <cfRule type="cellIs" dxfId="2348" priority="303840" stopIfTrue="1" operator="notEqual">
      <formula>"En cours"</formula>
    </cfRule>
  </conditionalFormatting>
  <conditionalFormatting sqref="AJ122">
    <cfRule type="cellIs" dxfId="2347" priority="303849" stopIfTrue="1" operator="equal">
      <formula>"En cours"</formula>
    </cfRule>
  </conditionalFormatting>
  <conditionalFormatting sqref="AJ122">
    <cfRule type="cellIs" dxfId="2346" priority="303850" stopIfTrue="1" operator="notEqual">
      <formula>"En cours"</formula>
    </cfRule>
  </conditionalFormatting>
  <conditionalFormatting sqref="AK122">
    <cfRule type="cellIs" dxfId="2345" priority="303851" stopIfTrue="1" operator="equal">
      <formula>"En cours"</formula>
    </cfRule>
  </conditionalFormatting>
  <conditionalFormatting sqref="AK122">
    <cfRule type="cellIs" dxfId="2344" priority="303852" stopIfTrue="1" operator="notEqual">
      <formula>"En cours"</formula>
    </cfRule>
  </conditionalFormatting>
  <conditionalFormatting sqref="AJ124">
    <cfRule type="cellIs" dxfId="2343" priority="303853" stopIfTrue="1" operator="equal">
      <formula>"En cours"</formula>
    </cfRule>
  </conditionalFormatting>
  <conditionalFormatting sqref="AJ124">
    <cfRule type="cellIs" dxfId="2342" priority="303854" stopIfTrue="1" operator="notEqual">
      <formula>"En cours"</formula>
    </cfRule>
  </conditionalFormatting>
  <conditionalFormatting sqref="AK124">
    <cfRule type="cellIs" dxfId="2341" priority="303855" stopIfTrue="1" operator="equal">
      <formula>"En cours"</formula>
    </cfRule>
  </conditionalFormatting>
  <conditionalFormatting sqref="AK124">
    <cfRule type="cellIs" dxfId="2340" priority="303856" stopIfTrue="1" operator="notEqual">
      <formula>"En cours"</formula>
    </cfRule>
  </conditionalFormatting>
  <conditionalFormatting sqref="AJ125">
    <cfRule type="cellIs" dxfId="2339" priority="303865" stopIfTrue="1" operator="equal">
      <formula>"En cours"</formula>
    </cfRule>
  </conditionalFormatting>
  <conditionalFormatting sqref="AJ125">
    <cfRule type="cellIs" dxfId="2338" priority="303866" stopIfTrue="1" operator="notEqual">
      <formula>"En cours"</formula>
    </cfRule>
  </conditionalFormatting>
  <conditionalFormatting sqref="AK125">
    <cfRule type="cellIs" dxfId="2337" priority="303867" stopIfTrue="1" operator="equal">
      <formula>"En cours"</formula>
    </cfRule>
  </conditionalFormatting>
  <conditionalFormatting sqref="AK125">
    <cfRule type="cellIs" dxfId="2336" priority="303868" stopIfTrue="1" operator="notEqual">
      <formula>"En cours"</formula>
    </cfRule>
  </conditionalFormatting>
  <conditionalFormatting sqref="AJ128">
    <cfRule type="cellIs" dxfId="2335" priority="303873" stopIfTrue="1" operator="equal">
      <formula>"En cours"</formula>
    </cfRule>
  </conditionalFormatting>
  <conditionalFormatting sqref="AJ128">
    <cfRule type="cellIs" dxfId="2334" priority="303874" stopIfTrue="1" operator="notEqual">
      <formula>"En cours"</formula>
    </cfRule>
  </conditionalFormatting>
  <conditionalFormatting sqref="AK128">
    <cfRule type="cellIs" dxfId="2333" priority="303875" stopIfTrue="1" operator="equal">
      <formula>"En cours"</formula>
    </cfRule>
  </conditionalFormatting>
  <conditionalFormatting sqref="AK128">
    <cfRule type="cellIs" dxfId="2332" priority="303876" stopIfTrue="1" operator="notEqual">
      <formula>"En cours"</formula>
    </cfRule>
  </conditionalFormatting>
  <conditionalFormatting sqref="AJ127">
    <cfRule type="cellIs" dxfId="2327" priority="303893" stopIfTrue="1" operator="equal">
      <formula>"En cours"</formula>
    </cfRule>
  </conditionalFormatting>
  <conditionalFormatting sqref="AJ127">
    <cfRule type="cellIs" dxfId="2326" priority="303894" stopIfTrue="1" operator="notEqual">
      <formula>"En cours"</formula>
    </cfRule>
  </conditionalFormatting>
  <conditionalFormatting sqref="AK127">
    <cfRule type="cellIs" dxfId="2325" priority="303895" stopIfTrue="1" operator="equal">
      <formula>"En cours"</formula>
    </cfRule>
  </conditionalFormatting>
  <conditionalFormatting sqref="AK127">
    <cfRule type="cellIs" dxfId="2324" priority="303896" stopIfTrue="1" operator="notEqual">
      <formula>"En cours"</formula>
    </cfRule>
  </conditionalFormatting>
  <conditionalFormatting sqref="AJ126">
    <cfRule type="cellIs" dxfId="2323" priority="303897" stopIfTrue="1" operator="equal">
      <formula>"En cours"</formula>
    </cfRule>
  </conditionalFormatting>
  <conditionalFormatting sqref="AJ126">
    <cfRule type="cellIs" dxfId="2322" priority="303898" stopIfTrue="1" operator="notEqual">
      <formula>"En cours"</formula>
    </cfRule>
  </conditionalFormatting>
  <conditionalFormatting sqref="AK126">
    <cfRule type="cellIs" dxfId="2321" priority="303899" stopIfTrue="1" operator="equal">
      <formula>"En cours"</formula>
    </cfRule>
  </conditionalFormatting>
  <conditionalFormatting sqref="AK126">
    <cfRule type="cellIs" dxfId="2320" priority="303900" stopIfTrue="1" operator="notEqual">
      <formula>"En cours"</formula>
    </cfRule>
  </conditionalFormatting>
  <conditionalFormatting sqref="AJ131">
    <cfRule type="cellIs" dxfId="2311" priority="303917" stopIfTrue="1" operator="equal">
      <formula>"En cours"</formula>
    </cfRule>
  </conditionalFormatting>
  <conditionalFormatting sqref="AJ131">
    <cfRule type="cellIs" dxfId="2310" priority="303918" stopIfTrue="1" operator="notEqual">
      <formula>"En cours"</formula>
    </cfRule>
  </conditionalFormatting>
  <conditionalFormatting sqref="AK131">
    <cfRule type="cellIs" dxfId="2309" priority="303919" stopIfTrue="1" operator="equal">
      <formula>"En cours"</formula>
    </cfRule>
  </conditionalFormatting>
  <conditionalFormatting sqref="AK131">
    <cfRule type="cellIs" dxfId="2308" priority="303920" stopIfTrue="1" operator="notEqual">
      <formula>"En cours"</formula>
    </cfRule>
  </conditionalFormatting>
  <conditionalFormatting sqref="AJ130">
    <cfRule type="cellIs" dxfId="2303" priority="303937" stopIfTrue="1" operator="equal">
      <formula>"En cours"</formula>
    </cfRule>
  </conditionalFormatting>
  <conditionalFormatting sqref="AJ130">
    <cfRule type="cellIs" dxfId="2302" priority="303938" stopIfTrue="1" operator="notEqual">
      <formula>"En cours"</formula>
    </cfRule>
  </conditionalFormatting>
  <conditionalFormatting sqref="AK130">
    <cfRule type="cellIs" dxfId="2301" priority="303939" stopIfTrue="1" operator="equal">
      <formula>"En cours"</formula>
    </cfRule>
  </conditionalFormatting>
  <conditionalFormatting sqref="AK130">
    <cfRule type="cellIs" dxfId="2300" priority="303940" stopIfTrue="1" operator="notEqual">
      <formula>"En cours"</formula>
    </cfRule>
  </conditionalFormatting>
  <conditionalFormatting sqref="AJ129">
    <cfRule type="cellIs" dxfId="2295" priority="303957" stopIfTrue="1" operator="equal">
      <formula>"En cours"</formula>
    </cfRule>
  </conditionalFormatting>
  <conditionalFormatting sqref="AJ129">
    <cfRule type="cellIs" dxfId="2294" priority="303958" stopIfTrue="1" operator="notEqual">
      <formula>"En cours"</formula>
    </cfRule>
  </conditionalFormatting>
  <conditionalFormatting sqref="AK129">
    <cfRule type="cellIs" dxfId="2293" priority="303959" stopIfTrue="1" operator="equal">
      <formula>"En cours"</formula>
    </cfRule>
  </conditionalFormatting>
  <conditionalFormatting sqref="AK129">
    <cfRule type="cellIs" dxfId="2292" priority="303960" stopIfTrue="1" operator="notEqual">
      <formula>"En cours"</formula>
    </cfRule>
  </conditionalFormatting>
  <conditionalFormatting sqref="AJ132">
    <cfRule type="cellIs" dxfId="2287" priority="303973" stopIfTrue="1" operator="equal">
      <formula>"En cours"</formula>
    </cfRule>
  </conditionalFormatting>
  <conditionalFormatting sqref="AJ132">
    <cfRule type="cellIs" dxfId="2286" priority="303974" stopIfTrue="1" operator="notEqual">
      <formula>"En cours"</formula>
    </cfRule>
  </conditionalFormatting>
  <conditionalFormatting sqref="AK132">
    <cfRule type="cellIs" dxfId="2285" priority="303975" stopIfTrue="1" operator="equal">
      <formula>"En cours"</formula>
    </cfRule>
  </conditionalFormatting>
  <conditionalFormatting sqref="AK132">
    <cfRule type="cellIs" dxfId="2284" priority="303976" stopIfTrue="1" operator="notEqual">
      <formula>"En cours"</formula>
    </cfRule>
  </conditionalFormatting>
  <conditionalFormatting sqref="AJ133">
    <cfRule type="cellIs" dxfId="2275" priority="304013" stopIfTrue="1" operator="equal">
      <formula>"En cours"</formula>
    </cfRule>
  </conditionalFormatting>
  <conditionalFormatting sqref="AJ133">
    <cfRule type="cellIs" dxfId="2274" priority="304014" stopIfTrue="1" operator="notEqual">
      <formula>"En cours"</formula>
    </cfRule>
  </conditionalFormatting>
  <conditionalFormatting sqref="AK133">
    <cfRule type="cellIs" dxfId="2273" priority="304015" stopIfTrue="1" operator="equal">
      <formula>"En cours"</formula>
    </cfRule>
  </conditionalFormatting>
  <conditionalFormatting sqref="AK133">
    <cfRule type="cellIs" dxfId="2272" priority="304016" stopIfTrue="1" operator="notEqual">
      <formula>"En cours"</formula>
    </cfRule>
  </conditionalFormatting>
  <conditionalFormatting sqref="AJ134">
    <cfRule type="cellIs" dxfId="2271" priority="304017" stopIfTrue="1" operator="equal">
      <formula>"En cours"</formula>
    </cfRule>
  </conditionalFormatting>
  <conditionalFormatting sqref="AJ134">
    <cfRule type="cellIs" dxfId="2270" priority="304018" stopIfTrue="1" operator="notEqual">
      <formula>"En cours"</formula>
    </cfRule>
  </conditionalFormatting>
  <conditionalFormatting sqref="AK134">
    <cfRule type="cellIs" dxfId="2269" priority="304019" stopIfTrue="1" operator="equal">
      <formula>"En cours"</formula>
    </cfRule>
  </conditionalFormatting>
  <conditionalFormatting sqref="AK134">
    <cfRule type="cellIs" dxfId="2268" priority="304020" stopIfTrue="1" operator="notEqual">
      <formula>"En cours"</formula>
    </cfRule>
  </conditionalFormatting>
  <conditionalFormatting sqref="AJ135">
    <cfRule type="cellIs" dxfId="2263" priority="304025" stopIfTrue="1" operator="equal">
      <formula>"En cours"</formula>
    </cfRule>
  </conditionalFormatting>
  <conditionalFormatting sqref="AJ135">
    <cfRule type="cellIs" dxfId="2262" priority="304026" stopIfTrue="1" operator="notEqual">
      <formula>"En cours"</formula>
    </cfRule>
  </conditionalFormatting>
  <conditionalFormatting sqref="AK135">
    <cfRule type="cellIs" dxfId="2261" priority="304027" stopIfTrue="1" operator="equal">
      <formula>"En cours"</formula>
    </cfRule>
  </conditionalFormatting>
  <conditionalFormatting sqref="AK135">
    <cfRule type="cellIs" dxfId="2260" priority="304028" stopIfTrue="1" operator="notEqual">
      <formula>"En cours"</formula>
    </cfRule>
  </conditionalFormatting>
  <conditionalFormatting sqref="AJ136">
    <cfRule type="cellIs" dxfId="2259" priority="304029" stopIfTrue="1" operator="equal">
      <formula>"En cours"</formula>
    </cfRule>
  </conditionalFormatting>
  <conditionalFormatting sqref="AJ136">
    <cfRule type="cellIs" dxfId="2258" priority="304030" stopIfTrue="1" operator="notEqual">
      <formula>"En cours"</formula>
    </cfRule>
  </conditionalFormatting>
  <conditionalFormatting sqref="AK136">
    <cfRule type="cellIs" dxfId="2257" priority="304031" stopIfTrue="1" operator="equal">
      <formula>"En cours"</formula>
    </cfRule>
  </conditionalFormatting>
  <conditionalFormatting sqref="AK136">
    <cfRule type="cellIs" dxfId="2256" priority="304032" stopIfTrue="1" operator="notEqual">
      <formula>"En cours"</formula>
    </cfRule>
  </conditionalFormatting>
  <conditionalFormatting sqref="AJ138">
    <cfRule type="cellIs" dxfId="2255" priority="304033" stopIfTrue="1" operator="equal">
      <formula>"En cours"</formula>
    </cfRule>
  </conditionalFormatting>
  <conditionalFormatting sqref="AJ138">
    <cfRule type="cellIs" dxfId="2254" priority="304034" stopIfTrue="1" operator="notEqual">
      <formula>"En cours"</formula>
    </cfRule>
  </conditionalFormatting>
  <conditionalFormatting sqref="AK138">
    <cfRule type="cellIs" dxfId="2253" priority="304035" stopIfTrue="1" operator="equal">
      <formula>"En cours"</formula>
    </cfRule>
  </conditionalFormatting>
  <conditionalFormatting sqref="AK138">
    <cfRule type="cellIs" dxfId="2252" priority="304036" stopIfTrue="1" operator="notEqual">
      <formula>"En cours"</formula>
    </cfRule>
  </conditionalFormatting>
  <conditionalFormatting sqref="AJ137">
    <cfRule type="cellIs" dxfId="2243" priority="304053" stopIfTrue="1" operator="equal">
      <formula>"En cours"</formula>
    </cfRule>
  </conditionalFormatting>
  <conditionalFormatting sqref="AJ137">
    <cfRule type="cellIs" dxfId="2242" priority="304054" stopIfTrue="1" operator="notEqual">
      <formula>"En cours"</formula>
    </cfRule>
  </conditionalFormatting>
  <conditionalFormatting sqref="AK137">
    <cfRule type="cellIs" dxfId="2241" priority="304055" stopIfTrue="1" operator="equal">
      <formula>"En cours"</formula>
    </cfRule>
  </conditionalFormatting>
  <conditionalFormatting sqref="AK137">
    <cfRule type="cellIs" dxfId="2240" priority="304056" stopIfTrue="1" operator="notEqual">
      <formula>"En cours"</formula>
    </cfRule>
  </conditionalFormatting>
  <conditionalFormatting sqref="AJ141">
    <cfRule type="cellIs" dxfId="2235" priority="304065" stopIfTrue="1" operator="equal">
      <formula>"En cours"</formula>
    </cfRule>
  </conditionalFormatting>
  <conditionalFormatting sqref="AJ141">
    <cfRule type="cellIs" dxfId="2234" priority="304066" stopIfTrue="1" operator="notEqual">
      <formula>"En cours"</formula>
    </cfRule>
  </conditionalFormatting>
  <conditionalFormatting sqref="AK141">
    <cfRule type="cellIs" dxfId="2233" priority="304067" stopIfTrue="1" operator="equal">
      <formula>"En cours"</formula>
    </cfRule>
  </conditionalFormatting>
  <conditionalFormatting sqref="AK141">
    <cfRule type="cellIs" dxfId="2232" priority="304068" stopIfTrue="1" operator="notEqual">
      <formula>"En cours"</formula>
    </cfRule>
  </conditionalFormatting>
  <conditionalFormatting sqref="AJ144">
    <cfRule type="cellIs" dxfId="2219" priority="304089" stopIfTrue="1" operator="equal">
      <formula>"En cours"</formula>
    </cfRule>
  </conditionalFormatting>
  <conditionalFormatting sqref="AJ144">
    <cfRule type="cellIs" dxfId="2218" priority="304090" stopIfTrue="1" operator="notEqual">
      <formula>"En cours"</formula>
    </cfRule>
  </conditionalFormatting>
  <conditionalFormatting sqref="AK144">
    <cfRule type="cellIs" dxfId="2217" priority="304091" stopIfTrue="1" operator="equal">
      <formula>"En cours"</formula>
    </cfRule>
  </conditionalFormatting>
  <conditionalFormatting sqref="AK144">
    <cfRule type="cellIs" dxfId="2216" priority="304092" stopIfTrue="1" operator="notEqual">
      <formula>"En cours"</formula>
    </cfRule>
  </conditionalFormatting>
  <conditionalFormatting sqref="AJ145">
    <cfRule type="cellIs" dxfId="2215" priority="304097" stopIfTrue="1" operator="equal">
      <formula>"En cours"</formula>
    </cfRule>
  </conditionalFormatting>
  <conditionalFormatting sqref="AJ145">
    <cfRule type="cellIs" dxfId="2214" priority="304098" stopIfTrue="1" operator="notEqual">
      <formula>"En cours"</formula>
    </cfRule>
  </conditionalFormatting>
  <conditionalFormatting sqref="AK145">
    <cfRule type="cellIs" dxfId="2213" priority="304099" stopIfTrue="1" operator="equal">
      <formula>"En cours"</formula>
    </cfRule>
  </conditionalFormatting>
  <conditionalFormatting sqref="AK145">
    <cfRule type="cellIs" dxfId="2212" priority="304100" stopIfTrue="1" operator="notEqual">
      <formula>"En cours"</formula>
    </cfRule>
  </conditionalFormatting>
  <conditionalFormatting sqref="AJ143">
    <cfRule type="cellIs" dxfId="2211" priority="304101" stopIfTrue="1" operator="equal">
      <formula>"En cours"</formula>
    </cfRule>
  </conditionalFormatting>
  <conditionalFormatting sqref="AJ143">
    <cfRule type="cellIs" dxfId="2210" priority="304102" stopIfTrue="1" operator="notEqual">
      <formula>"En cours"</formula>
    </cfRule>
  </conditionalFormatting>
  <conditionalFormatting sqref="AK143">
    <cfRule type="cellIs" dxfId="2209" priority="304103" stopIfTrue="1" operator="equal">
      <formula>"En cours"</formula>
    </cfRule>
  </conditionalFormatting>
  <conditionalFormatting sqref="AK143">
    <cfRule type="cellIs" dxfId="2208" priority="304104" stopIfTrue="1" operator="notEqual">
      <formula>"En cours"</formula>
    </cfRule>
  </conditionalFormatting>
  <conditionalFormatting sqref="AJ146">
    <cfRule type="cellIs" dxfId="2207" priority="304105" stopIfTrue="1" operator="equal">
      <formula>"En cours"</formula>
    </cfRule>
  </conditionalFormatting>
  <conditionalFormatting sqref="AJ146">
    <cfRule type="cellIs" dxfId="2206" priority="304106" stopIfTrue="1" operator="notEqual">
      <formula>"En cours"</formula>
    </cfRule>
  </conditionalFormatting>
  <conditionalFormatting sqref="AK146">
    <cfRule type="cellIs" dxfId="2205" priority="304107" stopIfTrue="1" operator="equal">
      <formula>"En cours"</formula>
    </cfRule>
  </conditionalFormatting>
  <conditionalFormatting sqref="AK146">
    <cfRule type="cellIs" dxfId="2204" priority="304108" stopIfTrue="1" operator="notEqual">
      <formula>"En cours"</formula>
    </cfRule>
  </conditionalFormatting>
  <conditionalFormatting sqref="AJ142">
    <cfRule type="cellIs" dxfId="2203" priority="304109" stopIfTrue="1" operator="equal">
      <formula>"En cours"</formula>
    </cfRule>
  </conditionalFormatting>
  <conditionalFormatting sqref="AJ142">
    <cfRule type="cellIs" dxfId="2202" priority="304110" stopIfTrue="1" operator="notEqual">
      <formula>"En cours"</formula>
    </cfRule>
  </conditionalFormatting>
  <conditionalFormatting sqref="AK142">
    <cfRule type="cellIs" dxfId="2201" priority="304111" stopIfTrue="1" operator="equal">
      <formula>"En cours"</formula>
    </cfRule>
  </conditionalFormatting>
  <conditionalFormatting sqref="AK142">
    <cfRule type="cellIs" dxfId="2200" priority="304112" stopIfTrue="1" operator="notEqual">
      <formula>"En cours"</formula>
    </cfRule>
  </conditionalFormatting>
  <conditionalFormatting sqref="AJ140">
    <cfRule type="cellIs" dxfId="2199" priority="304113" stopIfTrue="1" operator="equal">
      <formula>"En cours"</formula>
    </cfRule>
  </conditionalFormatting>
  <conditionalFormatting sqref="AJ140">
    <cfRule type="cellIs" dxfId="2198" priority="304114" stopIfTrue="1" operator="notEqual">
      <formula>"En cours"</formula>
    </cfRule>
  </conditionalFormatting>
  <conditionalFormatting sqref="AK140">
    <cfRule type="cellIs" dxfId="2197" priority="304115" stopIfTrue="1" operator="equal">
      <formula>"En cours"</formula>
    </cfRule>
  </conditionalFormatting>
  <conditionalFormatting sqref="AK140">
    <cfRule type="cellIs" dxfId="2196" priority="304116" stopIfTrue="1" operator="notEqual">
      <formula>"En cours"</formula>
    </cfRule>
  </conditionalFormatting>
  <conditionalFormatting sqref="AJ147">
    <cfRule type="cellIs" dxfId="2191" priority="304129" stopIfTrue="1" operator="equal">
      <formula>"En cours"</formula>
    </cfRule>
  </conditionalFormatting>
  <conditionalFormatting sqref="AJ147">
    <cfRule type="cellIs" dxfId="2190" priority="304130" stopIfTrue="1" operator="notEqual">
      <formula>"En cours"</formula>
    </cfRule>
  </conditionalFormatting>
  <conditionalFormatting sqref="AK147">
    <cfRule type="cellIs" dxfId="2189" priority="304131" stopIfTrue="1" operator="equal">
      <formula>"En cours"</formula>
    </cfRule>
  </conditionalFormatting>
  <conditionalFormatting sqref="AK147">
    <cfRule type="cellIs" dxfId="2188" priority="304132" stopIfTrue="1" operator="notEqual">
      <formula>"En cours"</formula>
    </cfRule>
  </conditionalFormatting>
  <conditionalFormatting sqref="AJ139">
    <cfRule type="cellIs" dxfId="2187" priority="304133" stopIfTrue="1" operator="equal">
      <formula>"En cours"</formula>
    </cfRule>
  </conditionalFormatting>
  <conditionalFormatting sqref="AJ139">
    <cfRule type="cellIs" dxfId="2186" priority="304134" stopIfTrue="1" operator="notEqual">
      <formula>"En cours"</formula>
    </cfRule>
  </conditionalFormatting>
  <conditionalFormatting sqref="AK139">
    <cfRule type="cellIs" dxfId="2185" priority="304135" stopIfTrue="1" operator="equal">
      <formula>"En cours"</formula>
    </cfRule>
  </conditionalFormatting>
  <conditionalFormatting sqref="AK139">
    <cfRule type="cellIs" dxfId="2184" priority="304136" stopIfTrue="1" operator="notEqual">
      <formula>"En cours"</formula>
    </cfRule>
  </conditionalFormatting>
  <conditionalFormatting sqref="AJ4">
    <cfRule type="cellIs" dxfId="1591" priority="305029" stopIfTrue="1" operator="equal">
      <formula>"En cours"</formula>
    </cfRule>
  </conditionalFormatting>
  <conditionalFormatting sqref="AJ4">
    <cfRule type="cellIs" dxfId="1590" priority="305030" stopIfTrue="1" operator="notEqual">
      <formula>"En cours"</formula>
    </cfRule>
  </conditionalFormatting>
  <conditionalFormatting sqref="AK4">
    <cfRule type="cellIs" dxfId="1589" priority="305031" stopIfTrue="1" operator="equal">
      <formula>"En cours"</formula>
    </cfRule>
  </conditionalFormatting>
  <conditionalFormatting sqref="AK4">
    <cfRule type="cellIs" dxfId="1588" priority="305032" stopIfTrue="1" operator="notEqual">
      <formula>"En cours"</formula>
    </cfRule>
  </conditionalFormatting>
  <conditionalFormatting sqref="AJ7">
    <cfRule type="cellIs" dxfId="1587" priority="305033" stopIfTrue="1" operator="equal">
      <formula>"En cours"</formula>
    </cfRule>
  </conditionalFormatting>
  <conditionalFormatting sqref="AJ7">
    <cfRule type="cellIs" dxfId="1586" priority="305034" stopIfTrue="1" operator="notEqual">
      <formula>"En cours"</formula>
    </cfRule>
  </conditionalFormatting>
  <conditionalFormatting sqref="AK7">
    <cfRule type="cellIs" dxfId="1585" priority="305035" stopIfTrue="1" operator="equal">
      <formula>"En cours"</formula>
    </cfRule>
  </conditionalFormatting>
  <conditionalFormatting sqref="AK7">
    <cfRule type="cellIs" dxfId="1584" priority="305036" stopIfTrue="1" operator="notEqual">
      <formula>"En cours"</formula>
    </cfRule>
  </conditionalFormatting>
  <conditionalFormatting sqref="AJ10">
    <cfRule type="cellIs" dxfId="1583" priority="305037" stopIfTrue="1" operator="equal">
      <formula>"En cours"</formula>
    </cfRule>
  </conditionalFormatting>
  <conditionalFormatting sqref="AJ10">
    <cfRule type="cellIs" dxfId="1582" priority="305038" stopIfTrue="1" operator="notEqual">
      <formula>"En cours"</formula>
    </cfRule>
  </conditionalFormatting>
  <conditionalFormatting sqref="AK10">
    <cfRule type="cellIs" dxfId="1581" priority="305039" stopIfTrue="1" operator="equal">
      <formula>"En cours"</formula>
    </cfRule>
  </conditionalFormatting>
  <conditionalFormatting sqref="AK10">
    <cfRule type="cellIs" dxfId="1580" priority="305040" stopIfTrue="1" operator="notEqual">
      <formula>"En cours"</formula>
    </cfRule>
  </conditionalFormatting>
  <conditionalFormatting sqref="AJ8">
    <cfRule type="cellIs" dxfId="1579" priority="305041" stopIfTrue="1" operator="equal">
      <formula>"En cours"</formula>
    </cfRule>
  </conditionalFormatting>
  <conditionalFormatting sqref="AJ8">
    <cfRule type="cellIs" dxfId="1578" priority="305042" stopIfTrue="1" operator="notEqual">
      <formula>"En cours"</formula>
    </cfRule>
  </conditionalFormatting>
  <conditionalFormatting sqref="AK8">
    <cfRule type="cellIs" dxfId="1577" priority="305043" stopIfTrue="1" operator="equal">
      <formula>"En cours"</formula>
    </cfRule>
  </conditionalFormatting>
  <conditionalFormatting sqref="AK8">
    <cfRule type="cellIs" dxfId="1576" priority="305044" stopIfTrue="1" operator="notEqual">
      <formula>"En cours"</formula>
    </cfRule>
  </conditionalFormatting>
  <conditionalFormatting sqref="AJ5">
    <cfRule type="cellIs" dxfId="1575" priority="305045" stopIfTrue="1" operator="equal">
      <formula>"En cours"</formula>
    </cfRule>
  </conditionalFormatting>
  <conditionalFormatting sqref="AJ5">
    <cfRule type="cellIs" dxfId="1574" priority="305046" stopIfTrue="1" operator="notEqual">
      <formula>"En cours"</formula>
    </cfRule>
  </conditionalFormatting>
  <conditionalFormatting sqref="AK5">
    <cfRule type="cellIs" dxfId="1573" priority="305047" stopIfTrue="1" operator="equal">
      <formula>"En cours"</formula>
    </cfRule>
  </conditionalFormatting>
  <conditionalFormatting sqref="AK5">
    <cfRule type="cellIs" dxfId="1572" priority="305048" stopIfTrue="1" operator="notEqual">
      <formula>"En cours"</formula>
    </cfRule>
  </conditionalFormatting>
  <conditionalFormatting sqref="AJ20">
    <cfRule type="cellIs" dxfId="1567" priority="305053" stopIfTrue="1" operator="equal">
      <formula>"En cours"</formula>
    </cfRule>
  </conditionalFormatting>
  <conditionalFormatting sqref="AJ20">
    <cfRule type="cellIs" dxfId="1566" priority="305054" stopIfTrue="1" operator="notEqual">
      <formula>"En cours"</formula>
    </cfRule>
  </conditionalFormatting>
  <conditionalFormatting sqref="AK20">
    <cfRule type="cellIs" dxfId="1565" priority="305055" stopIfTrue="1" operator="equal">
      <formula>"En cours"</formula>
    </cfRule>
  </conditionalFormatting>
  <conditionalFormatting sqref="AK20">
    <cfRule type="cellIs" dxfId="1564" priority="305056" stopIfTrue="1" operator="notEqual">
      <formula>"En cours"</formula>
    </cfRule>
  </conditionalFormatting>
  <conditionalFormatting sqref="AJ12">
    <cfRule type="cellIs" dxfId="1563" priority="305057" stopIfTrue="1" operator="equal">
      <formula>"En cours"</formula>
    </cfRule>
  </conditionalFormatting>
  <conditionalFormatting sqref="AJ12">
    <cfRule type="cellIs" dxfId="1562" priority="305058" stopIfTrue="1" operator="notEqual">
      <formula>"En cours"</formula>
    </cfRule>
  </conditionalFormatting>
  <conditionalFormatting sqref="AK12">
    <cfRule type="cellIs" dxfId="1561" priority="305059" stopIfTrue="1" operator="equal">
      <formula>"En cours"</formula>
    </cfRule>
  </conditionalFormatting>
  <conditionalFormatting sqref="AK12">
    <cfRule type="cellIs" dxfId="1560" priority="305060" stopIfTrue="1" operator="notEqual">
      <formula>"En cours"</formula>
    </cfRule>
  </conditionalFormatting>
  <conditionalFormatting sqref="AJ9">
    <cfRule type="cellIs" dxfId="1559" priority="305061" stopIfTrue="1" operator="equal">
      <formula>"En cours"</formula>
    </cfRule>
  </conditionalFormatting>
  <conditionalFormatting sqref="AJ9">
    <cfRule type="cellIs" dxfId="1558" priority="305062" stopIfTrue="1" operator="notEqual">
      <formula>"En cours"</formula>
    </cfRule>
  </conditionalFormatting>
  <conditionalFormatting sqref="AK9">
    <cfRule type="cellIs" dxfId="1557" priority="305063" stopIfTrue="1" operator="equal">
      <formula>"En cours"</formula>
    </cfRule>
  </conditionalFormatting>
  <conditionalFormatting sqref="AK9">
    <cfRule type="cellIs" dxfId="1556" priority="305064" stopIfTrue="1" operator="notEqual">
      <formula>"En cours"</formula>
    </cfRule>
  </conditionalFormatting>
  <conditionalFormatting sqref="AJ15">
    <cfRule type="cellIs" dxfId="1547" priority="305073" stopIfTrue="1" operator="equal">
      <formula>"En cours"</formula>
    </cfRule>
  </conditionalFormatting>
  <conditionalFormatting sqref="AJ15">
    <cfRule type="cellIs" dxfId="1546" priority="305074" stopIfTrue="1" operator="notEqual">
      <formula>"En cours"</formula>
    </cfRule>
  </conditionalFormatting>
  <conditionalFormatting sqref="AK15">
    <cfRule type="cellIs" dxfId="1545" priority="305075" stopIfTrue="1" operator="equal">
      <formula>"En cours"</formula>
    </cfRule>
  </conditionalFormatting>
  <conditionalFormatting sqref="AK15">
    <cfRule type="cellIs" dxfId="1544" priority="305076" stopIfTrue="1" operator="notEqual">
      <formula>"En cours"</formula>
    </cfRule>
  </conditionalFormatting>
  <conditionalFormatting sqref="AJ18">
    <cfRule type="cellIs" dxfId="1539" priority="305081" stopIfTrue="1" operator="equal">
      <formula>"En cours"</formula>
    </cfRule>
  </conditionalFormatting>
  <conditionalFormatting sqref="AJ18">
    <cfRule type="cellIs" dxfId="1538" priority="305082" stopIfTrue="1" operator="notEqual">
      <formula>"En cours"</formula>
    </cfRule>
  </conditionalFormatting>
  <conditionalFormatting sqref="AK18">
    <cfRule type="cellIs" dxfId="1537" priority="305083" stopIfTrue="1" operator="equal">
      <formula>"En cours"</formula>
    </cfRule>
  </conditionalFormatting>
  <conditionalFormatting sqref="AK18">
    <cfRule type="cellIs" dxfId="1536" priority="305084" stopIfTrue="1" operator="notEqual">
      <formula>"En cours"</formula>
    </cfRule>
  </conditionalFormatting>
  <conditionalFormatting sqref="AJ17">
    <cfRule type="cellIs" dxfId="1527" priority="305093" stopIfTrue="1" operator="equal">
      <formula>"En cours"</formula>
    </cfRule>
  </conditionalFormatting>
  <conditionalFormatting sqref="AJ17">
    <cfRule type="cellIs" dxfId="1526" priority="305094" stopIfTrue="1" operator="notEqual">
      <formula>"En cours"</formula>
    </cfRule>
  </conditionalFormatting>
  <conditionalFormatting sqref="AK17">
    <cfRule type="cellIs" dxfId="1525" priority="305095" stopIfTrue="1" operator="equal">
      <formula>"En cours"</formula>
    </cfRule>
  </conditionalFormatting>
  <conditionalFormatting sqref="AK17">
    <cfRule type="cellIs" dxfId="1524" priority="305096" stopIfTrue="1" operator="notEqual">
      <formula>"En cours"</formula>
    </cfRule>
  </conditionalFormatting>
  <conditionalFormatting sqref="AJ23">
    <cfRule type="cellIs" dxfId="1523" priority="305097" stopIfTrue="1" operator="equal">
      <formula>"En cours"</formula>
    </cfRule>
  </conditionalFormatting>
  <conditionalFormatting sqref="AJ23">
    <cfRule type="cellIs" dxfId="1522" priority="305098" stopIfTrue="1" operator="notEqual">
      <formula>"En cours"</formula>
    </cfRule>
  </conditionalFormatting>
  <conditionalFormatting sqref="AK23">
    <cfRule type="cellIs" dxfId="1521" priority="305099" stopIfTrue="1" operator="equal">
      <formula>"En cours"</formula>
    </cfRule>
  </conditionalFormatting>
  <conditionalFormatting sqref="AK23">
    <cfRule type="cellIs" dxfId="1520" priority="305100" stopIfTrue="1" operator="notEqual">
      <formula>"En cours"</formula>
    </cfRule>
  </conditionalFormatting>
  <conditionalFormatting sqref="AJ25">
    <cfRule type="cellIs" dxfId="1519" priority="305101" stopIfTrue="1" operator="equal">
      <formula>"En cours"</formula>
    </cfRule>
  </conditionalFormatting>
  <conditionalFormatting sqref="AJ25">
    <cfRule type="cellIs" dxfId="1518" priority="305102" stopIfTrue="1" operator="notEqual">
      <formula>"En cours"</formula>
    </cfRule>
  </conditionalFormatting>
  <conditionalFormatting sqref="AK25">
    <cfRule type="cellIs" dxfId="1517" priority="305103" stopIfTrue="1" operator="equal">
      <formula>"En cours"</formula>
    </cfRule>
  </conditionalFormatting>
  <conditionalFormatting sqref="AK25">
    <cfRule type="cellIs" dxfId="1516" priority="305104" stopIfTrue="1" operator="notEqual">
      <formula>"En cours"</formula>
    </cfRule>
  </conditionalFormatting>
  <conditionalFormatting sqref="AJ21">
    <cfRule type="cellIs" dxfId="1507" priority="305113" stopIfTrue="1" operator="equal">
      <formula>"En cours"</formula>
    </cfRule>
  </conditionalFormatting>
  <conditionalFormatting sqref="AJ21">
    <cfRule type="cellIs" dxfId="1506" priority="305114" stopIfTrue="1" operator="notEqual">
      <formula>"En cours"</formula>
    </cfRule>
  </conditionalFormatting>
  <conditionalFormatting sqref="AK21">
    <cfRule type="cellIs" dxfId="1505" priority="305115" stopIfTrue="1" operator="equal">
      <formula>"En cours"</formula>
    </cfRule>
  </conditionalFormatting>
  <conditionalFormatting sqref="AK21">
    <cfRule type="cellIs" dxfId="1504" priority="305116" stopIfTrue="1" operator="notEqual">
      <formula>"En cours"</formula>
    </cfRule>
  </conditionalFormatting>
  <conditionalFormatting sqref="AJ28">
    <cfRule type="cellIs" dxfId="1503" priority="305117" stopIfTrue="1" operator="equal">
      <formula>"En cours"</formula>
    </cfRule>
  </conditionalFormatting>
  <conditionalFormatting sqref="AJ28">
    <cfRule type="cellIs" dxfId="1502" priority="305118" stopIfTrue="1" operator="notEqual">
      <formula>"En cours"</formula>
    </cfRule>
  </conditionalFormatting>
  <conditionalFormatting sqref="AK28">
    <cfRule type="cellIs" dxfId="1501" priority="305119" stopIfTrue="1" operator="equal">
      <formula>"En cours"</formula>
    </cfRule>
  </conditionalFormatting>
  <conditionalFormatting sqref="AK28">
    <cfRule type="cellIs" dxfId="1500" priority="305120" stopIfTrue="1" operator="notEqual">
      <formula>"En cours"</formula>
    </cfRule>
  </conditionalFormatting>
  <conditionalFormatting sqref="AJ34">
    <cfRule type="cellIs" dxfId="1499" priority="305121" stopIfTrue="1" operator="equal">
      <formula>"En cours"</formula>
    </cfRule>
  </conditionalFormatting>
  <conditionalFormatting sqref="AJ34">
    <cfRule type="cellIs" dxfId="1498" priority="305122" stopIfTrue="1" operator="notEqual">
      <formula>"En cours"</formula>
    </cfRule>
  </conditionalFormatting>
  <conditionalFormatting sqref="AK34">
    <cfRule type="cellIs" dxfId="1497" priority="305123" stopIfTrue="1" operator="equal">
      <formula>"En cours"</formula>
    </cfRule>
  </conditionalFormatting>
  <conditionalFormatting sqref="AK34">
    <cfRule type="cellIs" dxfId="1496" priority="305124" stopIfTrue="1" operator="notEqual">
      <formula>"En cours"</formula>
    </cfRule>
  </conditionalFormatting>
  <conditionalFormatting sqref="AJ30">
    <cfRule type="cellIs" dxfId="1491" priority="305129" stopIfTrue="1" operator="equal">
      <formula>"En cours"</formula>
    </cfRule>
  </conditionalFormatting>
  <conditionalFormatting sqref="AJ30">
    <cfRule type="cellIs" dxfId="1490" priority="305130" stopIfTrue="1" operator="notEqual">
      <formula>"En cours"</formula>
    </cfRule>
  </conditionalFormatting>
  <conditionalFormatting sqref="AK30">
    <cfRule type="cellIs" dxfId="1489" priority="305131" stopIfTrue="1" operator="equal">
      <formula>"En cours"</formula>
    </cfRule>
  </conditionalFormatting>
  <conditionalFormatting sqref="AK30">
    <cfRule type="cellIs" dxfId="1488" priority="305132" stopIfTrue="1" operator="notEqual">
      <formula>"En cours"</formula>
    </cfRule>
  </conditionalFormatting>
  <conditionalFormatting sqref="AJ31">
    <cfRule type="cellIs" dxfId="1455" priority="305165" stopIfTrue="1" operator="equal">
      <formula>"En cours"</formula>
    </cfRule>
  </conditionalFormatting>
  <conditionalFormatting sqref="AJ31">
    <cfRule type="cellIs" dxfId="1454" priority="305166" stopIfTrue="1" operator="notEqual">
      <formula>"En cours"</formula>
    </cfRule>
  </conditionalFormatting>
  <conditionalFormatting sqref="AK31">
    <cfRule type="cellIs" dxfId="1453" priority="305167" stopIfTrue="1" operator="equal">
      <formula>"En cours"</formula>
    </cfRule>
  </conditionalFormatting>
  <conditionalFormatting sqref="AK31">
    <cfRule type="cellIs" dxfId="1452" priority="305168" stopIfTrue="1" operator="notEqual">
      <formula>"En cours"</formula>
    </cfRule>
  </conditionalFormatting>
  <conditionalFormatting sqref="AJ33">
    <cfRule type="cellIs" dxfId="1447" priority="305173" stopIfTrue="1" operator="equal">
      <formula>"En cours"</formula>
    </cfRule>
  </conditionalFormatting>
  <conditionalFormatting sqref="AJ33">
    <cfRule type="cellIs" dxfId="1446" priority="305174" stopIfTrue="1" operator="notEqual">
      <formula>"En cours"</formula>
    </cfRule>
  </conditionalFormatting>
  <conditionalFormatting sqref="AK33">
    <cfRule type="cellIs" dxfId="1445" priority="305175" stopIfTrue="1" operator="equal">
      <formula>"En cours"</formula>
    </cfRule>
  </conditionalFormatting>
  <conditionalFormatting sqref="AK33">
    <cfRule type="cellIs" dxfId="1444" priority="305176" stopIfTrue="1" operator="notEqual">
      <formula>"En cours"</formula>
    </cfRule>
  </conditionalFormatting>
  <conditionalFormatting sqref="AJ42">
    <cfRule type="cellIs" dxfId="1439" priority="305181" stopIfTrue="1" operator="equal">
      <formula>"En cours"</formula>
    </cfRule>
  </conditionalFormatting>
  <conditionalFormatting sqref="AJ42">
    <cfRule type="cellIs" dxfId="1438" priority="305182" stopIfTrue="1" operator="notEqual">
      <formula>"En cours"</formula>
    </cfRule>
  </conditionalFormatting>
  <conditionalFormatting sqref="AK42">
    <cfRule type="cellIs" dxfId="1437" priority="305183" stopIfTrue="1" operator="equal">
      <formula>"En cours"</formula>
    </cfRule>
  </conditionalFormatting>
  <conditionalFormatting sqref="AK42">
    <cfRule type="cellIs" dxfId="1436" priority="305184" stopIfTrue="1" operator="notEqual">
      <formula>"En cours"</formula>
    </cfRule>
  </conditionalFormatting>
  <conditionalFormatting sqref="AJ49">
    <cfRule type="cellIs" dxfId="1435" priority="305185" stopIfTrue="1" operator="equal">
      <formula>"En cours"</formula>
    </cfRule>
  </conditionalFormatting>
  <conditionalFormatting sqref="AJ49">
    <cfRule type="cellIs" dxfId="1434" priority="305186" stopIfTrue="1" operator="notEqual">
      <formula>"En cours"</formula>
    </cfRule>
  </conditionalFormatting>
  <conditionalFormatting sqref="AK49">
    <cfRule type="cellIs" dxfId="1433" priority="305187" stopIfTrue="1" operator="equal">
      <formula>"En cours"</formula>
    </cfRule>
  </conditionalFormatting>
  <conditionalFormatting sqref="AK49">
    <cfRule type="cellIs" dxfId="1432" priority="305188" stopIfTrue="1" operator="notEqual">
      <formula>"En cours"</formula>
    </cfRule>
  </conditionalFormatting>
  <conditionalFormatting sqref="AJ36">
    <cfRule type="cellIs" dxfId="1431" priority="305189" stopIfTrue="1" operator="equal">
      <formula>"En cours"</formula>
    </cfRule>
  </conditionalFormatting>
  <conditionalFormatting sqref="AJ36">
    <cfRule type="cellIs" dxfId="1430" priority="305190" stopIfTrue="1" operator="notEqual">
      <formula>"En cours"</formula>
    </cfRule>
  </conditionalFormatting>
  <conditionalFormatting sqref="AK36">
    <cfRule type="cellIs" dxfId="1429" priority="305191" stopIfTrue="1" operator="equal">
      <formula>"En cours"</formula>
    </cfRule>
  </conditionalFormatting>
  <conditionalFormatting sqref="AK36">
    <cfRule type="cellIs" dxfId="1428" priority="305192" stopIfTrue="1" operator="notEqual">
      <formula>"En cours"</formula>
    </cfRule>
  </conditionalFormatting>
  <conditionalFormatting sqref="AJ48">
    <cfRule type="cellIs" dxfId="1427" priority="305193" stopIfTrue="1" operator="equal">
      <formula>"En cours"</formula>
    </cfRule>
  </conditionalFormatting>
  <conditionalFormatting sqref="AJ48">
    <cfRule type="cellIs" dxfId="1426" priority="305194" stopIfTrue="1" operator="notEqual">
      <formula>"En cours"</formula>
    </cfRule>
  </conditionalFormatting>
  <conditionalFormatting sqref="AK48">
    <cfRule type="cellIs" dxfId="1425" priority="305195" stopIfTrue="1" operator="equal">
      <formula>"En cours"</formula>
    </cfRule>
  </conditionalFormatting>
  <conditionalFormatting sqref="AK48">
    <cfRule type="cellIs" dxfId="1424" priority="305196" stopIfTrue="1" operator="notEqual">
      <formula>"En cours"</formula>
    </cfRule>
  </conditionalFormatting>
  <conditionalFormatting sqref="AJ44">
    <cfRule type="cellIs" dxfId="1419" priority="305201" stopIfTrue="1" operator="equal">
      <formula>"En cours"</formula>
    </cfRule>
  </conditionalFormatting>
  <conditionalFormatting sqref="AJ44">
    <cfRule type="cellIs" dxfId="1418" priority="305202" stopIfTrue="1" operator="notEqual">
      <formula>"En cours"</formula>
    </cfRule>
  </conditionalFormatting>
  <conditionalFormatting sqref="AK44">
    <cfRule type="cellIs" dxfId="1417" priority="305203" stopIfTrue="1" operator="equal">
      <formula>"En cours"</formula>
    </cfRule>
  </conditionalFormatting>
  <conditionalFormatting sqref="AK44">
    <cfRule type="cellIs" dxfId="1416" priority="305204" stopIfTrue="1" operator="notEqual">
      <formula>"En cours"</formula>
    </cfRule>
  </conditionalFormatting>
  <conditionalFormatting sqref="AJ55">
    <cfRule type="cellIs" dxfId="1391" priority="305229" stopIfTrue="1" operator="equal">
      <formula>"En cours"</formula>
    </cfRule>
  </conditionalFormatting>
  <conditionalFormatting sqref="AJ55">
    <cfRule type="cellIs" dxfId="1390" priority="305230" stopIfTrue="1" operator="notEqual">
      <formula>"En cours"</formula>
    </cfRule>
  </conditionalFormatting>
  <conditionalFormatting sqref="AK55">
    <cfRule type="cellIs" dxfId="1389" priority="305231" stopIfTrue="1" operator="equal">
      <formula>"En cours"</formula>
    </cfRule>
  </conditionalFormatting>
  <conditionalFormatting sqref="AK55">
    <cfRule type="cellIs" dxfId="1388" priority="305232" stopIfTrue="1" operator="notEqual">
      <formula>"En cours"</formula>
    </cfRule>
  </conditionalFormatting>
  <conditionalFormatting sqref="AJ57">
    <cfRule type="cellIs" dxfId="1383" priority="305237" stopIfTrue="1" operator="equal">
      <formula>"En cours"</formula>
    </cfRule>
  </conditionalFormatting>
  <conditionalFormatting sqref="AJ57">
    <cfRule type="cellIs" dxfId="1382" priority="305238" stopIfTrue="1" operator="notEqual">
      <formula>"En cours"</formula>
    </cfRule>
  </conditionalFormatting>
  <conditionalFormatting sqref="AK57">
    <cfRule type="cellIs" dxfId="1381" priority="305239" stopIfTrue="1" operator="equal">
      <formula>"En cours"</formula>
    </cfRule>
  </conditionalFormatting>
  <conditionalFormatting sqref="AK57">
    <cfRule type="cellIs" dxfId="1380" priority="305240" stopIfTrue="1" operator="notEqual">
      <formula>"En cours"</formula>
    </cfRule>
  </conditionalFormatting>
  <conditionalFormatting sqref="AJ58">
    <cfRule type="cellIs" dxfId="1379" priority="305241" stopIfTrue="1" operator="equal">
      <formula>"En cours"</formula>
    </cfRule>
  </conditionalFormatting>
  <conditionalFormatting sqref="AJ58">
    <cfRule type="cellIs" dxfId="1378" priority="305242" stopIfTrue="1" operator="notEqual">
      <formula>"En cours"</formula>
    </cfRule>
  </conditionalFormatting>
  <conditionalFormatting sqref="AK58">
    <cfRule type="cellIs" dxfId="1377" priority="305243" stopIfTrue="1" operator="equal">
      <formula>"En cours"</formula>
    </cfRule>
  </conditionalFormatting>
  <conditionalFormatting sqref="AK58">
    <cfRule type="cellIs" dxfId="1376" priority="305244" stopIfTrue="1" operator="notEqual">
      <formula>"En cours"</formula>
    </cfRule>
  </conditionalFormatting>
  <conditionalFormatting sqref="AJ56">
    <cfRule type="cellIs" dxfId="1367" priority="305253" stopIfTrue="1" operator="equal">
      <formula>"En cours"</formula>
    </cfRule>
  </conditionalFormatting>
  <conditionalFormatting sqref="AJ56">
    <cfRule type="cellIs" dxfId="1366" priority="305254" stopIfTrue="1" operator="notEqual">
      <formula>"En cours"</formula>
    </cfRule>
  </conditionalFormatting>
  <conditionalFormatting sqref="AK56">
    <cfRule type="cellIs" dxfId="1365" priority="305255" stopIfTrue="1" operator="equal">
      <formula>"En cours"</formula>
    </cfRule>
  </conditionalFormatting>
  <conditionalFormatting sqref="AK56">
    <cfRule type="cellIs" dxfId="1364" priority="305256" stopIfTrue="1" operator="notEqual">
      <formula>"En cours"</formula>
    </cfRule>
  </conditionalFormatting>
  <conditionalFormatting sqref="AJ67">
    <cfRule type="cellIs" dxfId="1363" priority="305257" stopIfTrue="1" operator="equal">
      <formula>"En cours"</formula>
    </cfRule>
  </conditionalFormatting>
  <conditionalFormatting sqref="AJ67">
    <cfRule type="cellIs" dxfId="1362" priority="305258" stopIfTrue="1" operator="notEqual">
      <formula>"En cours"</formula>
    </cfRule>
  </conditionalFormatting>
  <conditionalFormatting sqref="AK67">
    <cfRule type="cellIs" dxfId="1361" priority="305259" stopIfTrue="1" operator="equal">
      <formula>"En cours"</formula>
    </cfRule>
  </conditionalFormatting>
  <conditionalFormatting sqref="AK67">
    <cfRule type="cellIs" dxfId="1360" priority="305260" stopIfTrue="1" operator="notEqual">
      <formula>"En cours"</formula>
    </cfRule>
  </conditionalFormatting>
  <conditionalFormatting sqref="AJ62">
    <cfRule type="cellIs" dxfId="1347" priority="305273" stopIfTrue="1" operator="equal">
      <formula>"En cours"</formula>
    </cfRule>
  </conditionalFormatting>
  <conditionalFormatting sqref="AJ62">
    <cfRule type="cellIs" dxfId="1346" priority="305274" stopIfTrue="1" operator="notEqual">
      <formula>"En cours"</formula>
    </cfRule>
  </conditionalFormatting>
  <conditionalFormatting sqref="AK62">
    <cfRule type="cellIs" dxfId="1345" priority="305275" stopIfTrue="1" operator="equal">
      <formula>"En cours"</formula>
    </cfRule>
  </conditionalFormatting>
  <conditionalFormatting sqref="AK62">
    <cfRule type="cellIs" dxfId="1344" priority="305276" stopIfTrue="1" operator="notEqual">
      <formula>"En cours"</formula>
    </cfRule>
  </conditionalFormatting>
  <conditionalFormatting sqref="AJ64">
    <cfRule type="cellIs" dxfId="1343" priority="305277" stopIfTrue="1" operator="equal">
      <formula>"En cours"</formula>
    </cfRule>
  </conditionalFormatting>
  <conditionalFormatting sqref="AJ64">
    <cfRule type="cellIs" dxfId="1342" priority="305278" stopIfTrue="1" operator="notEqual">
      <formula>"En cours"</formula>
    </cfRule>
  </conditionalFormatting>
  <conditionalFormatting sqref="AK64">
    <cfRule type="cellIs" dxfId="1341" priority="305279" stopIfTrue="1" operator="equal">
      <formula>"En cours"</formula>
    </cfRule>
  </conditionalFormatting>
  <conditionalFormatting sqref="AK64">
    <cfRule type="cellIs" dxfId="1340" priority="305280" stopIfTrue="1" operator="notEqual">
      <formula>"En cours"</formula>
    </cfRule>
  </conditionalFormatting>
  <conditionalFormatting sqref="AJ61">
    <cfRule type="cellIs" dxfId="1335" priority="305285" stopIfTrue="1" operator="equal">
      <formula>"En cours"</formula>
    </cfRule>
  </conditionalFormatting>
  <conditionalFormatting sqref="AJ61">
    <cfRule type="cellIs" dxfId="1334" priority="305286" stopIfTrue="1" operator="notEqual">
      <formula>"En cours"</formula>
    </cfRule>
  </conditionalFormatting>
  <conditionalFormatting sqref="AK61">
    <cfRule type="cellIs" dxfId="1333" priority="305287" stopIfTrue="1" operator="equal">
      <formula>"En cours"</formula>
    </cfRule>
  </conditionalFormatting>
  <conditionalFormatting sqref="AK61">
    <cfRule type="cellIs" dxfId="1332" priority="305288" stopIfTrue="1" operator="notEqual">
      <formula>"En cours"</formula>
    </cfRule>
  </conditionalFormatting>
  <conditionalFormatting sqref="AJ68">
    <cfRule type="cellIs" dxfId="1331" priority="305289" stopIfTrue="1" operator="equal">
      <formula>"En cours"</formula>
    </cfRule>
  </conditionalFormatting>
  <conditionalFormatting sqref="AJ68">
    <cfRule type="cellIs" dxfId="1330" priority="305290" stopIfTrue="1" operator="notEqual">
      <formula>"En cours"</formula>
    </cfRule>
  </conditionalFormatting>
  <conditionalFormatting sqref="AK68">
    <cfRule type="cellIs" dxfId="1329" priority="305291" stopIfTrue="1" operator="equal">
      <formula>"En cours"</formula>
    </cfRule>
  </conditionalFormatting>
  <conditionalFormatting sqref="AK68">
    <cfRule type="cellIs" dxfId="1328" priority="305292" stopIfTrue="1" operator="notEqual">
      <formula>"En cours"</formula>
    </cfRule>
  </conditionalFormatting>
  <conditionalFormatting sqref="AJ63">
    <cfRule type="cellIs" dxfId="1323" priority="305297" stopIfTrue="1" operator="equal">
      <formula>"En cours"</formula>
    </cfRule>
  </conditionalFormatting>
  <conditionalFormatting sqref="AJ63">
    <cfRule type="cellIs" dxfId="1322" priority="305298" stopIfTrue="1" operator="notEqual">
      <formula>"En cours"</formula>
    </cfRule>
  </conditionalFormatting>
  <conditionalFormatting sqref="AK63">
    <cfRule type="cellIs" dxfId="1321" priority="305299" stopIfTrue="1" operator="equal">
      <formula>"En cours"</formula>
    </cfRule>
  </conditionalFormatting>
  <conditionalFormatting sqref="AK63">
    <cfRule type="cellIs" dxfId="1320" priority="305300" stopIfTrue="1" operator="notEqual">
      <formula>"En cours"</formula>
    </cfRule>
  </conditionalFormatting>
  <conditionalFormatting sqref="AJ71">
    <cfRule type="cellIs" dxfId="1319" priority="305301" stopIfTrue="1" operator="equal">
      <formula>"En cours"</formula>
    </cfRule>
  </conditionalFormatting>
  <conditionalFormatting sqref="AJ71">
    <cfRule type="cellIs" dxfId="1318" priority="305302" stopIfTrue="1" operator="notEqual">
      <formula>"En cours"</formula>
    </cfRule>
  </conditionalFormatting>
  <conditionalFormatting sqref="AK71">
    <cfRule type="cellIs" dxfId="1317" priority="305303" stopIfTrue="1" operator="equal">
      <formula>"En cours"</formula>
    </cfRule>
  </conditionalFormatting>
  <conditionalFormatting sqref="AK71">
    <cfRule type="cellIs" dxfId="1316" priority="305304" stopIfTrue="1" operator="notEqual">
      <formula>"En cours"</formula>
    </cfRule>
  </conditionalFormatting>
  <conditionalFormatting sqref="AJ73">
    <cfRule type="cellIs" dxfId="1315" priority="305305" stopIfTrue="1" operator="equal">
      <formula>"En cours"</formula>
    </cfRule>
  </conditionalFormatting>
  <conditionalFormatting sqref="AJ73">
    <cfRule type="cellIs" dxfId="1314" priority="305306" stopIfTrue="1" operator="notEqual">
      <formula>"En cours"</formula>
    </cfRule>
  </conditionalFormatting>
  <conditionalFormatting sqref="AK73">
    <cfRule type="cellIs" dxfId="1313" priority="305307" stopIfTrue="1" operator="equal">
      <formula>"En cours"</formula>
    </cfRule>
  </conditionalFormatting>
  <conditionalFormatting sqref="AK73">
    <cfRule type="cellIs" dxfId="1312" priority="305308" stopIfTrue="1" operator="notEqual">
      <formula>"En cours"</formula>
    </cfRule>
  </conditionalFormatting>
  <conditionalFormatting sqref="AJ75">
    <cfRule type="cellIs" dxfId="1303" priority="305317" stopIfTrue="1" operator="equal">
      <formula>"En cours"</formula>
    </cfRule>
  </conditionalFormatting>
  <conditionalFormatting sqref="AJ75">
    <cfRule type="cellIs" dxfId="1302" priority="305318" stopIfTrue="1" operator="notEqual">
      <formula>"En cours"</formula>
    </cfRule>
  </conditionalFormatting>
  <conditionalFormatting sqref="AK75">
    <cfRule type="cellIs" dxfId="1301" priority="305319" stopIfTrue="1" operator="equal">
      <formula>"En cours"</formula>
    </cfRule>
  </conditionalFormatting>
  <conditionalFormatting sqref="AK75">
    <cfRule type="cellIs" dxfId="1300" priority="305320" stopIfTrue="1" operator="notEqual">
      <formula>"En cours"</formula>
    </cfRule>
  </conditionalFormatting>
  <conditionalFormatting sqref="AJ77">
    <cfRule type="cellIs" dxfId="1299" priority="305321" stopIfTrue="1" operator="equal">
      <formula>"En cours"</formula>
    </cfRule>
  </conditionalFormatting>
  <conditionalFormatting sqref="AJ77">
    <cfRule type="cellIs" dxfId="1298" priority="305322" stopIfTrue="1" operator="notEqual">
      <formula>"En cours"</formula>
    </cfRule>
  </conditionalFormatting>
  <conditionalFormatting sqref="AK77">
    <cfRule type="cellIs" dxfId="1297" priority="305323" stopIfTrue="1" operator="equal">
      <formula>"En cours"</formula>
    </cfRule>
  </conditionalFormatting>
  <conditionalFormatting sqref="AK77">
    <cfRule type="cellIs" dxfId="1296" priority="305324" stopIfTrue="1" operator="notEqual">
      <formula>"En cours"</formula>
    </cfRule>
  </conditionalFormatting>
  <conditionalFormatting sqref="AJ6">
    <cfRule type="cellIs" dxfId="311" priority="305637" stopIfTrue="1" operator="equal">
      <formula>"En cours"</formula>
    </cfRule>
  </conditionalFormatting>
  <conditionalFormatting sqref="AJ6">
    <cfRule type="cellIs" dxfId="310" priority="305638" stopIfTrue="1" operator="notEqual">
      <formula>"En cours"</formula>
    </cfRule>
  </conditionalFormatting>
  <conditionalFormatting sqref="AK6">
    <cfRule type="cellIs" dxfId="309" priority="305639" stopIfTrue="1" operator="equal">
      <formula>"En cours"</formula>
    </cfRule>
  </conditionalFormatting>
  <conditionalFormatting sqref="AK6">
    <cfRule type="cellIs" dxfId="308" priority="305640" stopIfTrue="1" operator="notEqual">
      <formula>"En cours"</formula>
    </cfRule>
  </conditionalFormatting>
  <conditionalFormatting sqref="AJ16">
    <cfRule type="cellIs" dxfId="307" priority="305641" stopIfTrue="1" operator="equal">
      <formula>"En cours"</formula>
    </cfRule>
  </conditionalFormatting>
  <conditionalFormatting sqref="AJ16">
    <cfRule type="cellIs" dxfId="306" priority="305642" stopIfTrue="1" operator="notEqual">
      <formula>"En cours"</formula>
    </cfRule>
  </conditionalFormatting>
  <conditionalFormatting sqref="AK16">
    <cfRule type="cellIs" dxfId="305" priority="305643" stopIfTrue="1" operator="equal">
      <formula>"En cours"</formula>
    </cfRule>
  </conditionalFormatting>
  <conditionalFormatting sqref="AK16">
    <cfRule type="cellIs" dxfId="304" priority="305644" stopIfTrue="1" operator="notEqual">
      <formula>"En cours"</formula>
    </cfRule>
  </conditionalFormatting>
  <conditionalFormatting sqref="AJ79">
    <cfRule type="cellIs" dxfId="303" priority="305645" stopIfTrue="1" operator="equal">
      <formula>"En cours"</formula>
    </cfRule>
  </conditionalFormatting>
  <conditionalFormatting sqref="AJ79">
    <cfRule type="cellIs" dxfId="302" priority="305646" stopIfTrue="1" operator="notEqual">
      <formula>"En cours"</formula>
    </cfRule>
  </conditionalFormatting>
  <conditionalFormatting sqref="AK79">
    <cfRule type="cellIs" dxfId="301" priority="305647" stopIfTrue="1" operator="equal">
      <formula>"En cours"</formula>
    </cfRule>
  </conditionalFormatting>
  <conditionalFormatting sqref="AK79">
    <cfRule type="cellIs" dxfId="300" priority="305648" stopIfTrue="1" operator="notEqual">
      <formula>"En cours"</formula>
    </cfRule>
  </conditionalFormatting>
  <conditionalFormatting sqref="AJ19">
    <cfRule type="cellIs" dxfId="299" priority="305649" stopIfTrue="1" operator="equal">
      <formula>"En cours"</formula>
    </cfRule>
  </conditionalFormatting>
  <conditionalFormatting sqref="AJ19">
    <cfRule type="cellIs" dxfId="298" priority="305650" stopIfTrue="1" operator="notEqual">
      <formula>"En cours"</formula>
    </cfRule>
  </conditionalFormatting>
  <conditionalFormatting sqref="AK19">
    <cfRule type="cellIs" dxfId="297" priority="305651" stopIfTrue="1" operator="equal">
      <formula>"En cours"</formula>
    </cfRule>
  </conditionalFormatting>
  <conditionalFormatting sqref="AK19">
    <cfRule type="cellIs" dxfId="296" priority="305652" stopIfTrue="1" operator="notEqual">
      <formula>"En cours"</formula>
    </cfRule>
  </conditionalFormatting>
  <conditionalFormatting sqref="AJ13">
    <cfRule type="cellIs" dxfId="295" priority="305653" stopIfTrue="1" operator="equal">
      <formula>"En cours"</formula>
    </cfRule>
  </conditionalFormatting>
  <conditionalFormatting sqref="AJ13">
    <cfRule type="cellIs" dxfId="294" priority="305654" stopIfTrue="1" operator="notEqual">
      <formula>"En cours"</formula>
    </cfRule>
  </conditionalFormatting>
  <conditionalFormatting sqref="AK13">
    <cfRule type="cellIs" dxfId="293" priority="305655" stopIfTrue="1" operator="equal">
      <formula>"En cours"</formula>
    </cfRule>
  </conditionalFormatting>
  <conditionalFormatting sqref="AK13">
    <cfRule type="cellIs" dxfId="292" priority="305656" stopIfTrue="1" operator="notEqual">
      <formula>"En cours"</formula>
    </cfRule>
  </conditionalFormatting>
  <conditionalFormatting sqref="AJ78">
    <cfRule type="cellIs" dxfId="291" priority="305657" stopIfTrue="1" operator="equal">
      <formula>"En cours"</formula>
    </cfRule>
  </conditionalFormatting>
  <conditionalFormatting sqref="AJ78">
    <cfRule type="cellIs" dxfId="290" priority="305658" stopIfTrue="1" operator="notEqual">
      <formula>"En cours"</formula>
    </cfRule>
  </conditionalFormatting>
  <conditionalFormatting sqref="AK78">
    <cfRule type="cellIs" dxfId="289" priority="305659" stopIfTrue="1" operator="equal">
      <formula>"En cours"</formula>
    </cfRule>
  </conditionalFormatting>
  <conditionalFormatting sqref="AK78">
    <cfRule type="cellIs" dxfId="288" priority="305660" stopIfTrue="1" operator="notEqual">
      <formula>"En cours"</formula>
    </cfRule>
  </conditionalFormatting>
  <conditionalFormatting sqref="AJ80">
    <cfRule type="cellIs" dxfId="287" priority="305661" stopIfTrue="1" operator="equal">
      <formula>"En cours"</formula>
    </cfRule>
  </conditionalFormatting>
  <conditionalFormatting sqref="AJ80">
    <cfRule type="cellIs" dxfId="286" priority="305662" stopIfTrue="1" operator="notEqual">
      <formula>"En cours"</formula>
    </cfRule>
  </conditionalFormatting>
  <conditionalFormatting sqref="AK80">
    <cfRule type="cellIs" dxfId="285" priority="305663" stopIfTrue="1" operator="equal">
      <formula>"En cours"</formula>
    </cfRule>
  </conditionalFormatting>
  <conditionalFormatting sqref="AK80">
    <cfRule type="cellIs" dxfId="284" priority="305664" stopIfTrue="1" operator="notEqual">
      <formula>"En cours"</formula>
    </cfRule>
  </conditionalFormatting>
  <conditionalFormatting sqref="AJ11">
    <cfRule type="cellIs" dxfId="283" priority="305665" stopIfTrue="1" operator="equal">
      <formula>"En cours"</formula>
    </cfRule>
  </conditionalFormatting>
  <conditionalFormatting sqref="AJ11">
    <cfRule type="cellIs" dxfId="282" priority="305666" stopIfTrue="1" operator="notEqual">
      <formula>"En cours"</formula>
    </cfRule>
  </conditionalFormatting>
  <conditionalFormatting sqref="AK11">
    <cfRule type="cellIs" dxfId="281" priority="305667" stopIfTrue="1" operator="equal">
      <formula>"En cours"</formula>
    </cfRule>
  </conditionalFormatting>
  <conditionalFormatting sqref="AK11">
    <cfRule type="cellIs" dxfId="280" priority="305668" stopIfTrue="1" operator="notEqual">
      <formula>"En cours"</formula>
    </cfRule>
  </conditionalFormatting>
  <conditionalFormatting sqref="AJ14">
    <cfRule type="cellIs" dxfId="279" priority="305669" stopIfTrue="1" operator="equal">
      <formula>"En cours"</formula>
    </cfRule>
  </conditionalFormatting>
  <conditionalFormatting sqref="AJ14">
    <cfRule type="cellIs" dxfId="278" priority="305670" stopIfTrue="1" operator="notEqual">
      <formula>"En cours"</formula>
    </cfRule>
  </conditionalFormatting>
  <conditionalFormatting sqref="AK14">
    <cfRule type="cellIs" dxfId="277" priority="305671" stopIfTrue="1" operator="equal">
      <formula>"En cours"</formula>
    </cfRule>
  </conditionalFormatting>
  <conditionalFormatting sqref="AK14">
    <cfRule type="cellIs" dxfId="276" priority="305672" stopIfTrue="1" operator="notEqual">
      <formula>"En cours"</formula>
    </cfRule>
  </conditionalFormatting>
  <conditionalFormatting sqref="AJ81">
    <cfRule type="cellIs" dxfId="275" priority="305673" stopIfTrue="1" operator="equal">
      <formula>"En cours"</formula>
    </cfRule>
  </conditionalFormatting>
  <conditionalFormatting sqref="AJ81">
    <cfRule type="cellIs" dxfId="274" priority="305674" stopIfTrue="1" operator="notEqual">
      <formula>"En cours"</formula>
    </cfRule>
  </conditionalFormatting>
  <conditionalFormatting sqref="AK81">
    <cfRule type="cellIs" dxfId="273" priority="305675" stopIfTrue="1" operator="equal">
      <formula>"En cours"</formula>
    </cfRule>
  </conditionalFormatting>
  <conditionalFormatting sqref="AK81">
    <cfRule type="cellIs" dxfId="272" priority="305676" stopIfTrue="1" operator="notEqual">
      <formula>"En cours"</formula>
    </cfRule>
  </conditionalFormatting>
  <conditionalFormatting sqref="AJ24">
    <cfRule type="cellIs" dxfId="271" priority="305677" stopIfTrue="1" operator="equal">
      <formula>"En cours"</formula>
    </cfRule>
  </conditionalFormatting>
  <conditionalFormatting sqref="AJ24">
    <cfRule type="cellIs" dxfId="270" priority="305678" stopIfTrue="1" operator="notEqual">
      <formula>"En cours"</formula>
    </cfRule>
  </conditionalFormatting>
  <conditionalFormatting sqref="AK24">
    <cfRule type="cellIs" dxfId="269" priority="305679" stopIfTrue="1" operator="equal">
      <formula>"En cours"</formula>
    </cfRule>
  </conditionalFormatting>
  <conditionalFormatting sqref="AK24">
    <cfRule type="cellIs" dxfId="268" priority="305680" stopIfTrue="1" operator="notEqual">
      <formula>"En cours"</formula>
    </cfRule>
  </conditionalFormatting>
  <conditionalFormatting sqref="AJ84">
    <cfRule type="cellIs" dxfId="267" priority="305681" stopIfTrue="1" operator="equal">
      <formula>"En cours"</formula>
    </cfRule>
  </conditionalFormatting>
  <conditionalFormatting sqref="AJ84">
    <cfRule type="cellIs" dxfId="266" priority="305682" stopIfTrue="1" operator="notEqual">
      <formula>"En cours"</formula>
    </cfRule>
  </conditionalFormatting>
  <conditionalFormatting sqref="AK84">
    <cfRule type="cellIs" dxfId="265" priority="305683" stopIfTrue="1" operator="equal">
      <formula>"En cours"</formula>
    </cfRule>
  </conditionalFormatting>
  <conditionalFormatting sqref="AK84">
    <cfRule type="cellIs" dxfId="264" priority="305684" stopIfTrue="1" operator="notEqual">
      <formula>"En cours"</formula>
    </cfRule>
  </conditionalFormatting>
  <conditionalFormatting sqref="AJ39">
    <cfRule type="cellIs" dxfId="263" priority="305685" stopIfTrue="1" operator="equal">
      <formula>"En cours"</formula>
    </cfRule>
  </conditionalFormatting>
  <conditionalFormatting sqref="AJ39">
    <cfRule type="cellIs" dxfId="262" priority="305686" stopIfTrue="1" operator="notEqual">
      <formula>"En cours"</formula>
    </cfRule>
  </conditionalFormatting>
  <conditionalFormatting sqref="AK39">
    <cfRule type="cellIs" dxfId="261" priority="305687" stopIfTrue="1" operator="equal">
      <formula>"En cours"</formula>
    </cfRule>
  </conditionalFormatting>
  <conditionalFormatting sqref="AK39">
    <cfRule type="cellIs" dxfId="260" priority="305688" stopIfTrue="1" operator="notEqual">
      <formula>"En cours"</formula>
    </cfRule>
  </conditionalFormatting>
  <conditionalFormatting sqref="AJ29">
    <cfRule type="cellIs" dxfId="259" priority="305689" stopIfTrue="1" operator="equal">
      <formula>"En cours"</formula>
    </cfRule>
  </conditionalFormatting>
  <conditionalFormatting sqref="AJ29">
    <cfRule type="cellIs" dxfId="258" priority="305690" stopIfTrue="1" operator="notEqual">
      <formula>"En cours"</formula>
    </cfRule>
  </conditionalFormatting>
  <conditionalFormatting sqref="AK29">
    <cfRule type="cellIs" dxfId="257" priority="305691" stopIfTrue="1" operator="equal">
      <formula>"En cours"</formula>
    </cfRule>
  </conditionalFormatting>
  <conditionalFormatting sqref="AK29">
    <cfRule type="cellIs" dxfId="256" priority="305692" stopIfTrue="1" operator="notEqual">
      <formula>"En cours"</formula>
    </cfRule>
  </conditionalFormatting>
  <conditionalFormatting sqref="AJ40">
    <cfRule type="cellIs" dxfId="255" priority="305693" stopIfTrue="1" operator="equal">
      <formula>"En cours"</formula>
    </cfRule>
  </conditionalFormatting>
  <conditionalFormatting sqref="AJ40">
    <cfRule type="cellIs" dxfId="254" priority="305694" stopIfTrue="1" operator="notEqual">
      <formula>"En cours"</formula>
    </cfRule>
  </conditionalFormatting>
  <conditionalFormatting sqref="AK40">
    <cfRule type="cellIs" dxfId="253" priority="305695" stopIfTrue="1" operator="equal">
      <formula>"En cours"</formula>
    </cfRule>
  </conditionalFormatting>
  <conditionalFormatting sqref="AK40">
    <cfRule type="cellIs" dxfId="252" priority="305696" stopIfTrue="1" operator="notEqual">
      <formula>"En cours"</formula>
    </cfRule>
  </conditionalFormatting>
  <conditionalFormatting sqref="AJ85">
    <cfRule type="cellIs" dxfId="251" priority="305697" stopIfTrue="1" operator="equal">
      <formula>"En cours"</formula>
    </cfRule>
  </conditionalFormatting>
  <conditionalFormatting sqref="AJ85">
    <cfRule type="cellIs" dxfId="250" priority="305698" stopIfTrue="1" operator="notEqual">
      <formula>"En cours"</formula>
    </cfRule>
  </conditionalFormatting>
  <conditionalFormatting sqref="AK85">
    <cfRule type="cellIs" dxfId="249" priority="305699" stopIfTrue="1" operator="equal">
      <formula>"En cours"</formula>
    </cfRule>
  </conditionalFormatting>
  <conditionalFormatting sqref="AK85">
    <cfRule type="cellIs" dxfId="248" priority="305700" stopIfTrue="1" operator="notEqual">
      <formula>"En cours"</formula>
    </cfRule>
  </conditionalFormatting>
  <conditionalFormatting sqref="AJ83">
    <cfRule type="cellIs" dxfId="247" priority="305701" stopIfTrue="1" operator="equal">
      <formula>"En cours"</formula>
    </cfRule>
  </conditionalFormatting>
  <conditionalFormatting sqref="AJ83">
    <cfRule type="cellIs" dxfId="246" priority="305702" stopIfTrue="1" operator="notEqual">
      <formula>"En cours"</formula>
    </cfRule>
  </conditionalFormatting>
  <conditionalFormatting sqref="AK83">
    <cfRule type="cellIs" dxfId="245" priority="305703" stopIfTrue="1" operator="equal">
      <formula>"En cours"</formula>
    </cfRule>
  </conditionalFormatting>
  <conditionalFormatting sqref="AK83">
    <cfRule type="cellIs" dxfId="244" priority="305704" stopIfTrue="1" operator="notEqual">
      <formula>"En cours"</formula>
    </cfRule>
  </conditionalFormatting>
  <conditionalFormatting sqref="AJ82">
    <cfRule type="cellIs" dxfId="243" priority="305705" stopIfTrue="1" operator="equal">
      <formula>"En cours"</formula>
    </cfRule>
  </conditionalFormatting>
  <conditionalFormatting sqref="AJ82">
    <cfRule type="cellIs" dxfId="242" priority="305706" stopIfTrue="1" operator="notEqual">
      <formula>"En cours"</formula>
    </cfRule>
  </conditionalFormatting>
  <conditionalFormatting sqref="AK82">
    <cfRule type="cellIs" dxfId="241" priority="305707" stopIfTrue="1" operator="equal">
      <formula>"En cours"</formula>
    </cfRule>
  </conditionalFormatting>
  <conditionalFormatting sqref="AK82">
    <cfRule type="cellIs" dxfId="240" priority="305708" stopIfTrue="1" operator="notEqual">
      <formula>"En cours"</formula>
    </cfRule>
  </conditionalFormatting>
  <conditionalFormatting sqref="AJ91">
    <cfRule type="cellIs" dxfId="239" priority="305709" stopIfTrue="1" operator="equal">
      <formula>"En cours"</formula>
    </cfRule>
  </conditionalFormatting>
  <conditionalFormatting sqref="AJ91">
    <cfRule type="cellIs" dxfId="238" priority="305710" stopIfTrue="1" operator="notEqual">
      <formula>"En cours"</formula>
    </cfRule>
  </conditionalFormatting>
  <conditionalFormatting sqref="AK91">
    <cfRule type="cellIs" dxfId="237" priority="305711" stopIfTrue="1" operator="equal">
      <formula>"En cours"</formula>
    </cfRule>
  </conditionalFormatting>
  <conditionalFormatting sqref="AK91">
    <cfRule type="cellIs" dxfId="236" priority="305712" stopIfTrue="1" operator="notEqual">
      <formula>"En cours"</formula>
    </cfRule>
  </conditionalFormatting>
  <conditionalFormatting sqref="AJ27">
    <cfRule type="cellIs" dxfId="235" priority="305713" stopIfTrue="1" operator="equal">
      <formula>"En cours"</formula>
    </cfRule>
  </conditionalFormatting>
  <conditionalFormatting sqref="AJ27">
    <cfRule type="cellIs" dxfId="234" priority="305714" stopIfTrue="1" operator="notEqual">
      <formula>"En cours"</formula>
    </cfRule>
  </conditionalFormatting>
  <conditionalFormatting sqref="AK27">
    <cfRule type="cellIs" dxfId="233" priority="305715" stopIfTrue="1" operator="equal">
      <formula>"En cours"</formula>
    </cfRule>
  </conditionalFormatting>
  <conditionalFormatting sqref="AK27">
    <cfRule type="cellIs" dxfId="232" priority="305716" stopIfTrue="1" operator="notEqual">
      <formula>"En cours"</formula>
    </cfRule>
  </conditionalFormatting>
  <conditionalFormatting sqref="AJ37">
    <cfRule type="cellIs" dxfId="231" priority="305717" stopIfTrue="1" operator="equal">
      <formula>"En cours"</formula>
    </cfRule>
  </conditionalFormatting>
  <conditionalFormatting sqref="AJ37">
    <cfRule type="cellIs" dxfId="230" priority="305718" stopIfTrue="1" operator="notEqual">
      <formula>"En cours"</formula>
    </cfRule>
  </conditionalFormatting>
  <conditionalFormatting sqref="AK37">
    <cfRule type="cellIs" dxfId="229" priority="305719" stopIfTrue="1" operator="equal">
      <formula>"En cours"</formula>
    </cfRule>
  </conditionalFormatting>
  <conditionalFormatting sqref="AK37">
    <cfRule type="cellIs" dxfId="228" priority="305720" stopIfTrue="1" operator="notEqual">
      <formula>"En cours"</formula>
    </cfRule>
  </conditionalFormatting>
  <conditionalFormatting sqref="AJ87">
    <cfRule type="cellIs" dxfId="227" priority="305721" stopIfTrue="1" operator="equal">
      <formula>"En cours"</formula>
    </cfRule>
  </conditionalFormatting>
  <conditionalFormatting sqref="AJ87">
    <cfRule type="cellIs" dxfId="226" priority="305722" stopIfTrue="1" operator="notEqual">
      <formula>"En cours"</formula>
    </cfRule>
  </conditionalFormatting>
  <conditionalFormatting sqref="AK87">
    <cfRule type="cellIs" dxfId="225" priority="305723" stopIfTrue="1" operator="equal">
      <formula>"En cours"</formula>
    </cfRule>
  </conditionalFormatting>
  <conditionalFormatting sqref="AK87">
    <cfRule type="cellIs" dxfId="224" priority="305724" stopIfTrue="1" operator="notEqual">
      <formula>"En cours"</formula>
    </cfRule>
  </conditionalFormatting>
  <conditionalFormatting sqref="AJ93">
    <cfRule type="cellIs" dxfId="223" priority="305725" stopIfTrue="1" operator="equal">
      <formula>"En cours"</formula>
    </cfRule>
  </conditionalFormatting>
  <conditionalFormatting sqref="AJ93">
    <cfRule type="cellIs" dxfId="222" priority="305726" stopIfTrue="1" operator="notEqual">
      <formula>"En cours"</formula>
    </cfRule>
  </conditionalFormatting>
  <conditionalFormatting sqref="AK93">
    <cfRule type="cellIs" dxfId="221" priority="305727" stopIfTrue="1" operator="equal">
      <formula>"En cours"</formula>
    </cfRule>
  </conditionalFormatting>
  <conditionalFormatting sqref="AK93">
    <cfRule type="cellIs" dxfId="220" priority="305728" stopIfTrue="1" operator="notEqual">
      <formula>"En cours"</formula>
    </cfRule>
  </conditionalFormatting>
  <conditionalFormatting sqref="AJ35">
    <cfRule type="cellIs" dxfId="219" priority="305729" stopIfTrue="1" operator="equal">
      <formula>"En cours"</formula>
    </cfRule>
  </conditionalFormatting>
  <conditionalFormatting sqref="AJ35">
    <cfRule type="cellIs" dxfId="218" priority="305730" stopIfTrue="1" operator="notEqual">
      <formula>"En cours"</formula>
    </cfRule>
  </conditionalFormatting>
  <conditionalFormatting sqref="AK35">
    <cfRule type="cellIs" dxfId="217" priority="305731" stopIfTrue="1" operator="equal">
      <formula>"En cours"</formula>
    </cfRule>
  </conditionalFormatting>
  <conditionalFormatting sqref="AK35">
    <cfRule type="cellIs" dxfId="216" priority="305732" stopIfTrue="1" operator="notEqual">
      <formula>"En cours"</formula>
    </cfRule>
  </conditionalFormatting>
  <conditionalFormatting sqref="AJ86">
    <cfRule type="cellIs" dxfId="215" priority="305733" stopIfTrue="1" operator="equal">
      <formula>"En cours"</formula>
    </cfRule>
  </conditionalFormatting>
  <conditionalFormatting sqref="AJ86">
    <cfRule type="cellIs" dxfId="214" priority="305734" stopIfTrue="1" operator="notEqual">
      <formula>"En cours"</formula>
    </cfRule>
  </conditionalFormatting>
  <conditionalFormatting sqref="AK86">
    <cfRule type="cellIs" dxfId="213" priority="305735" stopIfTrue="1" operator="equal">
      <formula>"En cours"</formula>
    </cfRule>
  </conditionalFormatting>
  <conditionalFormatting sqref="AK86">
    <cfRule type="cellIs" dxfId="212" priority="305736" stopIfTrue="1" operator="notEqual">
      <formula>"En cours"</formula>
    </cfRule>
  </conditionalFormatting>
  <conditionalFormatting sqref="AJ41">
    <cfRule type="cellIs" dxfId="211" priority="305737" stopIfTrue="1" operator="equal">
      <formula>"En cours"</formula>
    </cfRule>
  </conditionalFormatting>
  <conditionalFormatting sqref="AJ41">
    <cfRule type="cellIs" dxfId="210" priority="305738" stopIfTrue="1" operator="notEqual">
      <formula>"En cours"</formula>
    </cfRule>
  </conditionalFormatting>
  <conditionalFormatting sqref="AK41">
    <cfRule type="cellIs" dxfId="209" priority="305739" stopIfTrue="1" operator="equal">
      <formula>"En cours"</formula>
    </cfRule>
  </conditionalFormatting>
  <conditionalFormatting sqref="AK41">
    <cfRule type="cellIs" dxfId="208" priority="305740" stopIfTrue="1" operator="notEqual">
      <formula>"En cours"</formula>
    </cfRule>
  </conditionalFormatting>
  <conditionalFormatting sqref="AJ53">
    <cfRule type="cellIs" dxfId="207" priority="305741" stopIfTrue="1" operator="equal">
      <formula>"En cours"</formula>
    </cfRule>
  </conditionalFormatting>
  <conditionalFormatting sqref="AJ53">
    <cfRule type="cellIs" dxfId="206" priority="305742" stopIfTrue="1" operator="notEqual">
      <formula>"En cours"</formula>
    </cfRule>
  </conditionalFormatting>
  <conditionalFormatting sqref="AK53">
    <cfRule type="cellIs" dxfId="205" priority="305743" stopIfTrue="1" operator="equal">
      <formula>"En cours"</formula>
    </cfRule>
  </conditionalFormatting>
  <conditionalFormatting sqref="AK53">
    <cfRule type="cellIs" dxfId="204" priority="305744" stopIfTrue="1" operator="notEqual">
      <formula>"En cours"</formula>
    </cfRule>
  </conditionalFormatting>
  <conditionalFormatting sqref="AJ89">
    <cfRule type="cellIs" dxfId="203" priority="305745" stopIfTrue="1" operator="equal">
      <formula>"En cours"</formula>
    </cfRule>
  </conditionalFormatting>
  <conditionalFormatting sqref="AJ89">
    <cfRule type="cellIs" dxfId="202" priority="305746" stopIfTrue="1" operator="notEqual">
      <formula>"En cours"</formula>
    </cfRule>
  </conditionalFormatting>
  <conditionalFormatting sqref="AK89">
    <cfRule type="cellIs" dxfId="201" priority="305747" stopIfTrue="1" operator="equal">
      <formula>"En cours"</formula>
    </cfRule>
  </conditionalFormatting>
  <conditionalFormatting sqref="AK89">
    <cfRule type="cellIs" dxfId="200" priority="305748" stopIfTrue="1" operator="notEqual">
      <formula>"En cours"</formula>
    </cfRule>
  </conditionalFormatting>
  <conditionalFormatting sqref="AJ90">
    <cfRule type="cellIs" dxfId="199" priority="305749" stopIfTrue="1" operator="equal">
      <formula>"En cours"</formula>
    </cfRule>
  </conditionalFormatting>
  <conditionalFormatting sqref="AJ90">
    <cfRule type="cellIs" dxfId="198" priority="305750" stopIfTrue="1" operator="notEqual">
      <formula>"En cours"</formula>
    </cfRule>
  </conditionalFormatting>
  <conditionalFormatting sqref="AK90">
    <cfRule type="cellIs" dxfId="197" priority="305751" stopIfTrue="1" operator="equal">
      <formula>"En cours"</formula>
    </cfRule>
  </conditionalFormatting>
  <conditionalFormatting sqref="AK90">
    <cfRule type="cellIs" dxfId="196" priority="305752" stopIfTrue="1" operator="notEqual">
      <formula>"En cours"</formula>
    </cfRule>
  </conditionalFormatting>
  <conditionalFormatting sqref="AJ26">
    <cfRule type="cellIs" dxfId="195" priority="305753" stopIfTrue="1" operator="equal">
      <formula>"En cours"</formula>
    </cfRule>
  </conditionalFormatting>
  <conditionalFormatting sqref="AJ26">
    <cfRule type="cellIs" dxfId="194" priority="305754" stopIfTrue="1" operator="notEqual">
      <formula>"En cours"</formula>
    </cfRule>
  </conditionalFormatting>
  <conditionalFormatting sqref="AK26">
    <cfRule type="cellIs" dxfId="193" priority="305755" stopIfTrue="1" operator="equal">
      <formula>"En cours"</formula>
    </cfRule>
  </conditionalFormatting>
  <conditionalFormatting sqref="AK26">
    <cfRule type="cellIs" dxfId="192" priority="305756" stopIfTrue="1" operator="notEqual">
      <formula>"En cours"</formula>
    </cfRule>
  </conditionalFormatting>
  <conditionalFormatting sqref="AJ47">
    <cfRule type="cellIs" dxfId="191" priority="305757" stopIfTrue="1" operator="equal">
      <formula>"En cours"</formula>
    </cfRule>
  </conditionalFormatting>
  <conditionalFormatting sqref="AJ47">
    <cfRule type="cellIs" dxfId="190" priority="305758" stopIfTrue="1" operator="notEqual">
      <formula>"En cours"</formula>
    </cfRule>
  </conditionalFormatting>
  <conditionalFormatting sqref="AK47">
    <cfRule type="cellIs" dxfId="189" priority="305759" stopIfTrue="1" operator="equal">
      <formula>"En cours"</formula>
    </cfRule>
  </conditionalFormatting>
  <conditionalFormatting sqref="AK47">
    <cfRule type="cellIs" dxfId="188" priority="305760" stopIfTrue="1" operator="notEqual">
      <formula>"En cours"</formula>
    </cfRule>
  </conditionalFormatting>
  <conditionalFormatting sqref="AJ46">
    <cfRule type="cellIs" dxfId="187" priority="305761" stopIfTrue="1" operator="equal">
      <formula>"En cours"</formula>
    </cfRule>
  </conditionalFormatting>
  <conditionalFormatting sqref="AJ46">
    <cfRule type="cellIs" dxfId="186" priority="305762" stopIfTrue="1" operator="notEqual">
      <formula>"En cours"</formula>
    </cfRule>
  </conditionalFormatting>
  <conditionalFormatting sqref="AK46">
    <cfRule type="cellIs" dxfId="185" priority="305763" stopIfTrue="1" operator="equal">
      <formula>"En cours"</formula>
    </cfRule>
  </conditionalFormatting>
  <conditionalFormatting sqref="AK46">
    <cfRule type="cellIs" dxfId="184" priority="305764" stopIfTrue="1" operator="notEqual">
      <formula>"En cours"</formula>
    </cfRule>
  </conditionalFormatting>
  <conditionalFormatting sqref="AJ88">
    <cfRule type="cellIs" dxfId="183" priority="305765" stopIfTrue="1" operator="equal">
      <formula>"En cours"</formula>
    </cfRule>
  </conditionalFormatting>
  <conditionalFormatting sqref="AJ88">
    <cfRule type="cellIs" dxfId="182" priority="305766" stopIfTrue="1" operator="notEqual">
      <formula>"En cours"</formula>
    </cfRule>
  </conditionalFormatting>
  <conditionalFormatting sqref="AK88">
    <cfRule type="cellIs" dxfId="181" priority="305767" stopIfTrue="1" operator="equal">
      <formula>"En cours"</formula>
    </cfRule>
  </conditionalFormatting>
  <conditionalFormatting sqref="AK88">
    <cfRule type="cellIs" dxfId="180" priority="305768" stopIfTrue="1" operator="notEqual">
      <formula>"En cours"</formula>
    </cfRule>
  </conditionalFormatting>
  <conditionalFormatting sqref="AJ92">
    <cfRule type="cellIs" dxfId="179" priority="305769" stopIfTrue="1" operator="equal">
      <formula>"En cours"</formula>
    </cfRule>
  </conditionalFormatting>
  <conditionalFormatting sqref="AJ92">
    <cfRule type="cellIs" dxfId="178" priority="305770" stopIfTrue="1" operator="notEqual">
      <formula>"En cours"</formula>
    </cfRule>
  </conditionalFormatting>
  <conditionalFormatting sqref="AK92">
    <cfRule type="cellIs" dxfId="177" priority="305771" stopIfTrue="1" operator="equal">
      <formula>"En cours"</formula>
    </cfRule>
  </conditionalFormatting>
  <conditionalFormatting sqref="AK92">
    <cfRule type="cellIs" dxfId="176" priority="305772" stopIfTrue="1" operator="notEqual">
      <formula>"En cours"</formula>
    </cfRule>
  </conditionalFormatting>
  <conditionalFormatting sqref="AJ38">
    <cfRule type="cellIs" dxfId="175" priority="305773" stopIfTrue="1" operator="equal">
      <formula>"En cours"</formula>
    </cfRule>
  </conditionalFormatting>
  <conditionalFormatting sqref="AJ38">
    <cfRule type="cellIs" dxfId="174" priority="305774" stopIfTrue="1" operator="notEqual">
      <formula>"En cours"</formula>
    </cfRule>
  </conditionalFormatting>
  <conditionalFormatting sqref="AK38">
    <cfRule type="cellIs" dxfId="173" priority="305775" stopIfTrue="1" operator="equal">
      <formula>"En cours"</formula>
    </cfRule>
  </conditionalFormatting>
  <conditionalFormatting sqref="AK38">
    <cfRule type="cellIs" dxfId="172" priority="305776" stopIfTrue="1" operator="notEqual">
      <formula>"En cours"</formula>
    </cfRule>
  </conditionalFormatting>
  <conditionalFormatting sqref="AJ32">
    <cfRule type="cellIs" dxfId="171" priority="305777" stopIfTrue="1" operator="equal">
      <formula>"En cours"</formula>
    </cfRule>
  </conditionalFormatting>
  <conditionalFormatting sqref="AJ32">
    <cfRule type="cellIs" dxfId="170" priority="305778" stopIfTrue="1" operator="notEqual">
      <formula>"En cours"</formula>
    </cfRule>
  </conditionalFormatting>
  <conditionalFormatting sqref="AK32">
    <cfRule type="cellIs" dxfId="169" priority="305779" stopIfTrue="1" operator="equal">
      <formula>"En cours"</formula>
    </cfRule>
  </conditionalFormatting>
  <conditionalFormatting sqref="AK32">
    <cfRule type="cellIs" dxfId="168" priority="305780" stopIfTrue="1" operator="notEqual">
      <formula>"En cours"</formula>
    </cfRule>
  </conditionalFormatting>
  <conditionalFormatting sqref="AJ96">
    <cfRule type="cellIs" dxfId="167" priority="305781" stopIfTrue="1" operator="equal">
      <formula>"En cours"</formula>
    </cfRule>
  </conditionalFormatting>
  <conditionalFormatting sqref="AJ96">
    <cfRule type="cellIs" dxfId="166" priority="305782" stopIfTrue="1" operator="notEqual">
      <formula>"En cours"</formula>
    </cfRule>
  </conditionalFormatting>
  <conditionalFormatting sqref="AK96">
    <cfRule type="cellIs" dxfId="165" priority="305783" stopIfTrue="1" operator="equal">
      <formula>"En cours"</formula>
    </cfRule>
  </conditionalFormatting>
  <conditionalFormatting sqref="AK96">
    <cfRule type="cellIs" dxfId="164" priority="305784" stopIfTrue="1" operator="notEqual">
      <formula>"En cours"</formula>
    </cfRule>
  </conditionalFormatting>
  <conditionalFormatting sqref="AJ94">
    <cfRule type="cellIs" dxfId="163" priority="305785" stopIfTrue="1" operator="equal">
      <formula>"En cours"</formula>
    </cfRule>
  </conditionalFormatting>
  <conditionalFormatting sqref="AJ94">
    <cfRule type="cellIs" dxfId="162" priority="305786" stopIfTrue="1" operator="notEqual">
      <formula>"En cours"</formula>
    </cfRule>
  </conditionalFormatting>
  <conditionalFormatting sqref="AK94">
    <cfRule type="cellIs" dxfId="161" priority="305787" stopIfTrue="1" operator="equal">
      <formula>"En cours"</formula>
    </cfRule>
  </conditionalFormatting>
  <conditionalFormatting sqref="AK94">
    <cfRule type="cellIs" dxfId="160" priority="305788" stopIfTrue="1" operator="notEqual">
      <formula>"En cours"</formula>
    </cfRule>
  </conditionalFormatting>
  <conditionalFormatting sqref="AJ95">
    <cfRule type="cellIs" dxfId="159" priority="305789" stopIfTrue="1" operator="equal">
      <formula>"En cours"</formula>
    </cfRule>
  </conditionalFormatting>
  <conditionalFormatting sqref="AJ95">
    <cfRule type="cellIs" dxfId="158" priority="305790" stopIfTrue="1" operator="notEqual">
      <formula>"En cours"</formula>
    </cfRule>
  </conditionalFormatting>
  <conditionalFormatting sqref="AK95">
    <cfRule type="cellIs" dxfId="157" priority="305791" stopIfTrue="1" operator="equal">
      <formula>"En cours"</formula>
    </cfRule>
  </conditionalFormatting>
  <conditionalFormatting sqref="AK95">
    <cfRule type="cellIs" dxfId="156" priority="305792" stopIfTrue="1" operator="notEqual">
      <formula>"En cours"</formula>
    </cfRule>
  </conditionalFormatting>
  <conditionalFormatting sqref="AJ50">
    <cfRule type="cellIs" dxfId="155" priority="305793" stopIfTrue="1" operator="equal">
      <formula>"En cours"</formula>
    </cfRule>
  </conditionalFormatting>
  <conditionalFormatting sqref="AJ50">
    <cfRule type="cellIs" dxfId="154" priority="305794" stopIfTrue="1" operator="notEqual">
      <formula>"En cours"</formula>
    </cfRule>
  </conditionalFormatting>
  <conditionalFormatting sqref="AK50">
    <cfRule type="cellIs" dxfId="153" priority="305795" stopIfTrue="1" operator="equal">
      <formula>"En cours"</formula>
    </cfRule>
  </conditionalFormatting>
  <conditionalFormatting sqref="AK50">
    <cfRule type="cellIs" dxfId="152" priority="305796" stopIfTrue="1" operator="notEqual">
      <formula>"En cours"</formula>
    </cfRule>
  </conditionalFormatting>
  <conditionalFormatting sqref="AJ54">
    <cfRule type="cellIs" dxfId="151" priority="305797" stopIfTrue="1" operator="equal">
      <formula>"En cours"</formula>
    </cfRule>
  </conditionalFormatting>
  <conditionalFormatting sqref="AJ54">
    <cfRule type="cellIs" dxfId="150" priority="305798" stopIfTrue="1" operator="notEqual">
      <formula>"En cours"</formula>
    </cfRule>
  </conditionalFormatting>
  <conditionalFormatting sqref="AK54">
    <cfRule type="cellIs" dxfId="149" priority="305799" stopIfTrue="1" operator="equal">
      <formula>"En cours"</formula>
    </cfRule>
  </conditionalFormatting>
  <conditionalFormatting sqref="AK54">
    <cfRule type="cellIs" dxfId="148" priority="305800" stopIfTrue="1" operator="notEqual">
      <formula>"En cours"</formula>
    </cfRule>
  </conditionalFormatting>
  <conditionalFormatting sqref="AJ22">
    <cfRule type="cellIs" dxfId="147" priority="305801" stopIfTrue="1" operator="equal">
      <formula>"En cours"</formula>
    </cfRule>
  </conditionalFormatting>
  <conditionalFormatting sqref="AJ22">
    <cfRule type="cellIs" dxfId="146" priority="305802" stopIfTrue="1" operator="notEqual">
      <formula>"En cours"</formula>
    </cfRule>
  </conditionalFormatting>
  <conditionalFormatting sqref="AK22">
    <cfRule type="cellIs" dxfId="145" priority="305803" stopIfTrue="1" operator="equal">
      <formula>"En cours"</formula>
    </cfRule>
  </conditionalFormatting>
  <conditionalFormatting sqref="AK22">
    <cfRule type="cellIs" dxfId="144" priority="305804" stopIfTrue="1" operator="notEqual">
      <formula>"En cours"</formula>
    </cfRule>
  </conditionalFormatting>
  <conditionalFormatting sqref="AJ51">
    <cfRule type="cellIs" dxfId="143" priority="305805" stopIfTrue="1" operator="equal">
      <formula>"En cours"</formula>
    </cfRule>
  </conditionalFormatting>
  <conditionalFormatting sqref="AJ51">
    <cfRule type="cellIs" dxfId="142" priority="305806" stopIfTrue="1" operator="notEqual">
      <formula>"En cours"</formula>
    </cfRule>
  </conditionalFormatting>
  <conditionalFormatting sqref="AK51">
    <cfRule type="cellIs" dxfId="141" priority="305807" stopIfTrue="1" operator="equal">
      <formula>"En cours"</formula>
    </cfRule>
  </conditionalFormatting>
  <conditionalFormatting sqref="AK51">
    <cfRule type="cellIs" dxfId="140" priority="305808" stopIfTrue="1" operator="notEqual">
      <formula>"En cours"</formula>
    </cfRule>
  </conditionalFormatting>
  <conditionalFormatting sqref="AJ43">
    <cfRule type="cellIs" dxfId="139" priority="305809" stopIfTrue="1" operator="equal">
      <formula>"En cours"</formula>
    </cfRule>
  </conditionalFormatting>
  <conditionalFormatting sqref="AJ43">
    <cfRule type="cellIs" dxfId="138" priority="305810" stopIfTrue="1" operator="notEqual">
      <formula>"En cours"</formula>
    </cfRule>
  </conditionalFormatting>
  <conditionalFormatting sqref="AK43">
    <cfRule type="cellIs" dxfId="137" priority="305811" stopIfTrue="1" operator="equal">
      <formula>"En cours"</formula>
    </cfRule>
  </conditionalFormatting>
  <conditionalFormatting sqref="AK43">
    <cfRule type="cellIs" dxfId="136" priority="305812" stopIfTrue="1" operator="notEqual">
      <formula>"En cours"</formula>
    </cfRule>
  </conditionalFormatting>
  <conditionalFormatting sqref="AJ45">
    <cfRule type="cellIs" dxfId="135" priority="305813" stopIfTrue="1" operator="equal">
      <formula>"En cours"</formula>
    </cfRule>
  </conditionalFormatting>
  <conditionalFormatting sqref="AJ45">
    <cfRule type="cellIs" dxfId="134" priority="305814" stopIfTrue="1" operator="notEqual">
      <formula>"En cours"</formula>
    </cfRule>
  </conditionalFormatting>
  <conditionalFormatting sqref="AK45">
    <cfRule type="cellIs" dxfId="133" priority="305815" stopIfTrue="1" operator="equal">
      <formula>"En cours"</formula>
    </cfRule>
  </conditionalFormatting>
  <conditionalFormatting sqref="AK45">
    <cfRule type="cellIs" dxfId="132" priority="305816" stopIfTrue="1" operator="notEqual">
      <formula>"En cours"</formula>
    </cfRule>
  </conditionalFormatting>
  <conditionalFormatting sqref="AJ52">
    <cfRule type="cellIs" dxfId="131" priority="305817" stopIfTrue="1" operator="equal">
      <formula>"En cours"</formula>
    </cfRule>
  </conditionalFormatting>
  <conditionalFormatting sqref="AJ52">
    <cfRule type="cellIs" dxfId="130" priority="305818" stopIfTrue="1" operator="notEqual">
      <formula>"En cours"</formula>
    </cfRule>
  </conditionalFormatting>
  <conditionalFormatting sqref="AK52">
    <cfRule type="cellIs" dxfId="129" priority="305819" stopIfTrue="1" operator="equal">
      <formula>"En cours"</formula>
    </cfRule>
  </conditionalFormatting>
  <conditionalFormatting sqref="AK52">
    <cfRule type="cellIs" dxfId="128" priority="305820" stopIfTrue="1" operator="notEqual">
      <formula>"En cours"</formula>
    </cfRule>
  </conditionalFormatting>
  <conditionalFormatting sqref="AJ97">
    <cfRule type="cellIs" dxfId="127" priority="305821" stopIfTrue="1" operator="equal">
      <formula>"En cours"</formula>
    </cfRule>
  </conditionalFormatting>
  <conditionalFormatting sqref="AJ97">
    <cfRule type="cellIs" dxfId="126" priority="305822" stopIfTrue="1" operator="notEqual">
      <formula>"En cours"</formula>
    </cfRule>
  </conditionalFormatting>
  <conditionalFormatting sqref="AK97">
    <cfRule type="cellIs" dxfId="125" priority="305823" stopIfTrue="1" operator="equal">
      <formula>"En cours"</formula>
    </cfRule>
  </conditionalFormatting>
  <conditionalFormatting sqref="AK97">
    <cfRule type="cellIs" dxfId="124" priority="305824" stopIfTrue="1" operator="notEqual">
      <formula>"En cours"</formula>
    </cfRule>
  </conditionalFormatting>
  <conditionalFormatting sqref="AJ98">
    <cfRule type="cellIs" dxfId="123" priority="305825" stopIfTrue="1" operator="equal">
      <formula>"En cours"</formula>
    </cfRule>
  </conditionalFormatting>
  <conditionalFormatting sqref="AJ98">
    <cfRule type="cellIs" dxfId="122" priority="305826" stopIfTrue="1" operator="notEqual">
      <formula>"En cours"</formula>
    </cfRule>
  </conditionalFormatting>
  <conditionalFormatting sqref="AK98">
    <cfRule type="cellIs" dxfId="121" priority="305827" stopIfTrue="1" operator="equal">
      <formula>"En cours"</formula>
    </cfRule>
  </conditionalFormatting>
  <conditionalFormatting sqref="AK98">
    <cfRule type="cellIs" dxfId="120" priority="305828" stopIfTrue="1" operator="notEqual">
      <formula>"En cours"</formula>
    </cfRule>
  </conditionalFormatting>
  <conditionalFormatting sqref="AJ99">
    <cfRule type="cellIs" dxfId="119" priority="305829" stopIfTrue="1" operator="equal">
      <formula>"En cours"</formula>
    </cfRule>
  </conditionalFormatting>
  <conditionalFormatting sqref="AJ99">
    <cfRule type="cellIs" dxfId="118" priority="305830" stopIfTrue="1" operator="notEqual">
      <formula>"En cours"</formula>
    </cfRule>
  </conditionalFormatting>
  <conditionalFormatting sqref="AK99">
    <cfRule type="cellIs" dxfId="117" priority="305831" stopIfTrue="1" operator="equal">
      <formula>"En cours"</formula>
    </cfRule>
  </conditionalFormatting>
  <conditionalFormatting sqref="AK99">
    <cfRule type="cellIs" dxfId="116" priority="305832" stopIfTrue="1" operator="notEqual">
      <formula>"En cours"</formula>
    </cfRule>
  </conditionalFormatting>
  <conditionalFormatting sqref="AJ100">
    <cfRule type="cellIs" dxfId="115" priority="305833" stopIfTrue="1" operator="equal">
      <formula>"En cours"</formula>
    </cfRule>
  </conditionalFormatting>
  <conditionalFormatting sqref="AJ100">
    <cfRule type="cellIs" dxfId="114" priority="305834" stopIfTrue="1" operator="notEqual">
      <formula>"En cours"</formula>
    </cfRule>
  </conditionalFormatting>
  <conditionalFormatting sqref="AK100">
    <cfRule type="cellIs" dxfId="113" priority="305835" stopIfTrue="1" operator="equal">
      <formula>"En cours"</formula>
    </cfRule>
  </conditionalFormatting>
  <conditionalFormatting sqref="AK100">
    <cfRule type="cellIs" dxfId="112" priority="305836" stopIfTrue="1" operator="notEqual">
      <formula>"En cours"</formula>
    </cfRule>
  </conditionalFormatting>
  <conditionalFormatting sqref="AJ101">
    <cfRule type="cellIs" dxfId="111" priority="305837" stopIfTrue="1" operator="equal">
      <formula>"En cours"</formula>
    </cfRule>
  </conditionalFormatting>
  <conditionalFormatting sqref="AJ101">
    <cfRule type="cellIs" dxfId="110" priority="305838" stopIfTrue="1" operator="notEqual">
      <formula>"En cours"</formula>
    </cfRule>
  </conditionalFormatting>
  <conditionalFormatting sqref="AK101">
    <cfRule type="cellIs" dxfId="109" priority="305839" stopIfTrue="1" operator="equal">
      <formula>"En cours"</formula>
    </cfRule>
  </conditionalFormatting>
  <conditionalFormatting sqref="AK101">
    <cfRule type="cellIs" dxfId="108" priority="305840" stopIfTrue="1" operator="notEqual">
      <formula>"En cours"</formula>
    </cfRule>
  </conditionalFormatting>
  <conditionalFormatting sqref="AJ104">
    <cfRule type="cellIs" dxfId="107" priority="305841" stopIfTrue="1" operator="equal">
      <formula>"En cours"</formula>
    </cfRule>
  </conditionalFormatting>
  <conditionalFormatting sqref="AJ104">
    <cfRule type="cellIs" dxfId="106" priority="305842" stopIfTrue="1" operator="notEqual">
      <formula>"En cours"</formula>
    </cfRule>
  </conditionalFormatting>
  <conditionalFormatting sqref="AK104">
    <cfRule type="cellIs" dxfId="105" priority="305843" stopIfTrue="1" operator="equal">
      <formula>"En cours"</formula>
    </cfRule>
  </conditionalFormatting>
  <conditionalFormatting sqref="AK104">
    <cfRule type="cellIs" dxfId="104" priority="305844" stopIfTrue="1" operator="notEqual">
      <formula>"En cours"</formula>
    </cfRule>
  </conditionalFormatting>
  <conditionalFormatting sqref="AJ70">
    <cfRule type="cellIs" dxfId="103" priority="305845" stopIfTrue="1" operator="equal">
      <formula>"En cours"</formula>
    </cfRule>
  </conditionalFormatting>
  <conditionalFormatting sqref="AJ70">
    <cfRule type="cellIs" dxfId="102" priority="305846" stopIfTrue="1" operator="notEqual">
      <formula>"En cours"</formula>
    </cfRule>
  </conditionalFormatting>
  <conditionalFormatting sqref="AK70">
    <cfRule type="cellIs" dxfId="101" priority="305847" stopIfTrue="1" operator="equal">
      <formula>"En cours"</formula>
    </cfRule>
  </conditionalFormatting>
  <conditionalFormatting sqref="AK70">
    <cfRule type="cellIs" dxfId="100" priority="305848" stopIfTrue="1" operator="notEqual">
      <formula>"En cours"</formula>
    </cfRule>
  </conditionalFormatting>
  <conditionalFormatting sqref="AJ102">
    <cfRule type="cellIs" dxfId="99" priority="305849" stopIfTrue="1" operator="equal">
      <formula>"En cours"</formula>
    </cfRule>
  </conditionalFormatting>
  <conditionalFormatting sqref="AJ102">
    <cfRule type="cellIs" dxfId="98" priority="305850" stopIfTrue="1" operator="notEqual">
      <formula>"En cours"</formula>
    </cfRule>
  </conditionalFormatting>
  <conditionalFormatting sqref="AK102">
    <cfRule type="cellIs" dxfId="97" priority="305851" stopIfTrue="1" operator="equal">
      <formula>"En cours"</formula>
    </cfRule>
  </conditionalFormatting>
  <conditionalFormatting sqref="AK102">
    <cfRule type="cellIs" dxfId="96" priority="305852" stopIfTrue="1" operator="notEqual">
      <formula>"En cours"</formula>
    </cfRule>
  </conditionalFormatting>
  <conditionalFormatting sqref="AJ108">
    <cfRule type="cellIs" dxfId="95" priority="305853" stopIfTrue="1" operator="equal">
      <formula>"En cours"</formula>
    </cfRule>
  </conditionalFormatting>
  <conditionalFormatting sqref="AJ108">
    <cfRule type="cellIs" dxfId="94" priority="305854" stopIfTrue="1" operator="notEqual">
      <formula>"En cours"</formula>
    </cfRule>
  </conditionalFormatting>
  <conditionalFormatting sqref="AK108">
    <cfRule type="cellIs" dxfId="93" priority="305855" stopIfTrue="1" operator="equal">
      <formula>"En cours"</formula>
    </cfRule>
  </conditionalFormatting>
  <conditionalFormatting sqref="AK108">
    <cfRule type="cellIs" dxfId="92" priority="305856" stopIfTrue="1" operator="notEqual">
      <formula>"En cours"</formula>
    </cfRule>
  </conditionalFormatting>
  <conditionalFormatting sqref="AJ59">
    <cfRule type="cellIs" dxfId="91" priority="305857" stopIfTrue="1" operator="equal">
      <formula>"En cours"</formula>
    </cfRule>
  </conditionalFormatting>
  <conditionalFormatting sqref="AJ59">
    <cfRule type="cellIs" dxfId="90" priority="305858" stopIfTrue="1" operator="notEqual">
      <formula>"En cours"</formula>
    </cfRule>
  </conditionalFormatting>
  <conditionalFormatting sqref="AK59">
    <cfRule type="cellIs" dxfId="89" priority="305859" stopIfTrue="1" operator="equal">
      <formula>"En cours"</formula>
    </cfRule>
  </conditionalFormatting>
  <conditionalFormatting sqref="AK59">
    <cfRule type="cellIs" dxfId="88" priority="305860" stopIfTrue="1" operator="notEqual">
      <formula>"En cours"</formula>
    </cfRule>
  </conditionalFormatting>
  <conditionalFormatting sqref="AJ103">
    <cfRule type="cellIs" dxfId="87" priority="305861" stopIfTrue="1" operator="equal">
      <formula>"En cours"</formula>
    </cfRule>
  </conditionalFormatting>
  <conditionalFormatting sqref="AJ103">
    <cfRule type="cellIs" dxfId="86" priority="305862" stopIfTrue="1" operator="notEqual">
      <formula>"En cours"</formula>
    </cfRule>
  </conditionalFormatting>
  <conditionalFormatting sqref="AK103">
    <cfRule type="cellIs" dxfId="85" priority="305863" stopIfTrue="1" operator="equal">
      <formula>"En cours"</formula>
    </cfRule>
  </conditionalFormatting>
  <conditionalFormatting sqref="AK103">
    <cfRule type="cellIs" dxfId="84" priority="305864" stopIfTrue="1" operator="notEqual">
      <formula>"En cours"</formula>
    </cfRule>
  </conditionalFormatting>
  <conditionalFormatting sqref="AJ112">
    <cfRule type="cellIs" dxfId="83" priority="305865" stopIfTrue="1" operator="equal">
      <formula>"En cours"</formula>
    </cfRule>
  </conditionalFormatting>
  <conditionalFormatting sqref="AJ112">
    <cfRule type="cellIs" dxfId="82" priority="305866" stopIfTrue="1" operator="notEqual">
      <formula>"En cours"</formula>
    </cfRule>
  </conditionalFormatting>
  <conditionalFormatting sqref="AK112">
    <cfRule type="cellIs" dxfId="81" priority="305867" stopIfTrue="1" operator="equal">
      <formula>"En cours"</formula>
    </cfRule>
  </conditionalFormatting>
  <conditionalFormatting sqref="AK112">
    <cfRule type="cellIs" dxfId="80" priority="305868" stopIfTrue="1" operator="notEqual">
      <formula>"En cours"</formula>
    </cfRule>
  </conditionalFormatting>
  <conditionalFormatting sqref="AJ65">
    <cfRule type="cellIs" dxfId="79" priority="305869" stopIfTrue="1" operator="equal">
      <formula>"En cours"</formula>
    </cfRule>
  </conditionalFormatting>
  <conditionalFormatting sqref="AJ65">
    <cfRule type="cellIs" dxfId="78" priority="305870" stopIfTrue="1" operator="notEqual">
      <formula>"En cours"</formula>
    </cfRule>
  </conditionalFormatting>
  <conditionalFormatting sqref="AK65">
    <cfRule type="cellIs" dxfId="77" priority="305871" stopIfTrue="1" operator="equal">
      <formula>"En cours"</formula>
    </cfRule>
  </conditionalFormatting>
  <conditionalFormatting sqref="AK65">
    <cfRule type="cellIs" dxfId="76" priority="305872" stopIfTrue="1" operator="notEqual">
      <formula>"En cours"</formula>
    </cfRule>
  </conditionalFormatting>
  <conditionalFormatting sqref="AJ107">
    <cfRule type="cellIs" dxfId="75" priority="305873" stopIfTrue="1" operator="equal">
      <formula>"En cours"</formula>
    </cfRule>
  </conditionalFormatting>
  <conditionalFormatting sqref="AJ107">
    <cfRule type="cellIs" dxfId="74" priority="305874" stopIfTrue="1" operator="notEqual">
      <formula>"En cours"</formula>
    </cfRule>
  </conditionalFormatting>
  <conditionalFormatting sqref="AK107">
    <cfRule type="cellIs" dxfId="73" priority="305875" stopIfTrue="1" operator="equal">
      <formula>"En cours"</formula>
    </cfRule>
  </conditionalFormatting>
  <conditionalFormatting sqref="AK107">
    <cfRule type="cellIs" dxfId="72" priority="305876" stopIfTrue="1" operator="notEqual">
      <formula>"En cours"</formula>
    </cfRule>
  </conditionalFormatting>
  <conditionalFormatting sqref="AJ66">
    <cfRule type="cellIs" dxfId="71" priority="305877" stopIfTrue="1" operator="equal">
      <formula>"En cours"</formula>
    </cfRule>
  </conditionalFormatting>
  <conditionalFormatting sqref="AJ66">
    <cfRule type="cellIs" dxfId="70" priority="305878" stopIfTrue="1" operator="notEqual">
      <formula>"En cours"</formula>
    </cfRule>
  </conditionalFormatting>
  <conditionalFormatting sqref="AK66">
    <cfRule type="cellIs" dxfId="69" priority="305879" stopIfTrue="1" operator="equal">
      <formula>"En cours"</formula>
    </cfRule>
  </conditionalFormatting>
  <conditionalFormatting sqref="AK66">
    <cfRule type="cellIs" dxfId="68" priority="305880" stopIfTrue="1" operator="notEqual">
      <formula>"En cours"</formula>
    </cfRule>
  </conditionalFormatting>
  <conditionalFormatting sqref="AJ117">
    <cfRule type="cellIs" dxfId="67" priority="305881" stopIfTrue="1" operator="equal">
      <formula>"En cours"</formula>
    </cfRule>
  </conditionalFormatting>
  <conditionalFormatting sqref="AJ117">
    <cfRule type="cellIs" dxfId="66" priority="305882" stopIfTrue="1" operator="notEqual">
      <formula>"En cours"</formula>
    </cfRule>
  </conditionalFormatting>
  <conditionalFormatting sqref="AK117">
    <cfRule type="cellIs" dxfId="65" priority="305883" stopIfTrue="1" operator="equal">
      <formula>"En cours"</formula>
    </cfRule>
  </conditionalFormatting>
  <conditionalFormatting sqref="AK117">
    <cfRule type="cellIs" dxfId="64" priority="305884" stopIfTrue="1" operator="notEqual">
      <formula>"En cours"</formula>
    </cfRule>
  </conditionalFormatting>
  <conditionalFormatting sqref="AJ69">
    <cfRule type="cellIs" dxfId="63" priority="305885" stopIfTrue="1" operator="equal">
      <formula>"En cours"</formula>
    </cfRule>
  </conditionalFormatting>
  <conditionalFormatting sqref="AJ69">
    <cfRule type="cellIs" dxfId="62" priority="305886" stopIfTrue="1" operator="notEqual">
      <formula>"En cours"</formula>
    </cfRule>
  </conditionalFormatting>
  <conditionalFormatting sqref="AK69">
    <cfRule type="cellIs" dxfId="61" priority="305887" stopIfTrue="1" operator="equal">
      <formula>"En cours"</formula>
    </cfRule>
  </conditionalFormatting>
  <conditionalFormatting sqref="AK69">
    <cfRule type="cellIs" dxfId="60" priority="305888" stopIfTrue="1" operator="notEqual">
      <formula>"En cours"</formula>
    </cfRule>
  </conditionalFormatting>
  <conditionalFormatting sqref="AJ110">
    <cfRule type="cellIs" dxfId="59" priority="305889" stopIfTrue="1" operator="equal">
      <formula>"En cours"</formula>
    </cfRule>
  </conditionalFormatting>
  <conditionalFormatting sqref="AJ110">
    <cfRule type="cellIs" dxfId="58" priority="305890" stopIfTrue="1" operator="notEqual">
      <formula>"En cours"</formula>
    </cfRule>
  </conditionalFormatting>
  <conditionalFormatting sqref="AK110">
    <cfRule type="cellIs" dxfId="57" priority="305891" stopIfTrue="1" operator="equal">
      <formula>"En cours"</formula>
    </cfRule>
  </conditionalFormatting>
  <conditionalFormatting sqref="AK110">
    <cfRule type="cellIs" dxfId="56" priority="305892" stopIfTrue="1" operator="notEqual">
      <formula>"En cours"</formula>
    </cfRule>
  </conditionalFormatting>
  <conditionalFormatting sqref="AJ113">
    <cfRule type="cellIs" dxfId="55" priority="305893" stopIfTrue="1" operator="equal">
      <formula>"En cours"</formula>
    </cfRule>
  </conditionalFormatting>
  <conditionalFormatting sqref="AJ113">
    <cfRule type="cellIs" dxfId="54" priority="305894" stopIfTrue="1" operator="notEqual">
      <formula>"En cours"</formula>
    </cfRule>
  </conditionalFormatting>
  <conditionalFormatting sqref="AK113">
    <cfRule type="cellIs" dxfId="53" priority="305895" stopIfTrue="1" operator="equal">
      <formula>"En cours"</formula>
    </cfRule>
  </conditionalFormatting>
  <conditionalFormatting sqref="AK113">
    <cfRule type="cellIs" dxfId="52" priority="305896" stopIfTrue="1" operator="notEqual">
      <formula>"En cours"</formula>
    </cfRule>
  </conditionalFormatting>
  <conditionalFormatting sqref="AJ114">
    <cfRule type="cellIs" dxfId="51" priority="305897" stopIfTrue="1" operator="equal">
      <formula>"En cours"</formula>
    </cfRule>
  </conditionalFormatting>
  <conditionalFormatting sqref="AJ114">
    <cfRule type="cellIs" dxfId="50" priority="305898" stopIfTrue="1" operator="notEqual">
      <formula>"En cours"</formula>
    </cfRule>
  </conditionalFormatting>
  <conditionalFormatting sqref="AK114">
    <cfRule type="cellIs" dxfId="49" priority="305899" stopIfTrue="1" operator="equal">
      <formula>"En cours"</formula>
    </cfRule>
  </conditionalFormatting>
  <conditionalFormatting sqref="AK114">
    <cfRule type="cellIs" dxfId="48" priority="305900" stopIfTrue="1" operator="notEqual">
      <formula>"En cours"</formula>
    </cfRule>
  </conditionalFormatting>
  <conditionalFormatting sqref="AJ76">
    <cfRule type="cellIs" dxfId="47" priority="305901" stopIfTrue="1" operator="equal">
      <formula>"En cours"</formula>
    </cfRule>
  </conditionalFormatting>
  <conditionalFormatting sqref="AJ76">
    <cfRule type="cellIs" dxfId="46" priority="305902" stopIfTrue="1" operator="notEqual">
      <formula>"En cours"</formula>
    </cfRule>
  </conditionalFormatting>
  <conditionalFormatting sqref="AK76">
    <cfRule type="cellIs" dxfId="45" priority="305903" stopIfTrue="1" operator="equal">
      <formula>"En cours"</formula>
    </cfRule>
  </conditionalFormatting>
  <conditionalFormatting sqref="AK76">
    <cfRule type="cellIs" dxfId="44" priority="305904" stopIfTrue="1" operator="notEqual">
      <formula>"En cours"</formula>
    </cfRule>
  </conditionalFormatting>
  <conditionalFormatting sqref="AJ115">
    <cfRule type="cellIs" dxfId="43" priority="305905" stopIfTrue="1" operator="equal">
      <formula>"En cours"</formula>
    </cfRule>
  </conditionalFormatting>
  <conditionalFormatting sqref="AJ115">
    <cfRule type="cellIs" dxfId="42" priority="305906" stopIfTrue="1" operator="notEqual">
      <formula>"En cours"</formula>
    </cfRule>
  </conditionalFormatting>
  <conditionalFormatting sqref="AK115">
    <cfRule type="cellIs" dxfId="41" priority="305907" stopIfTrue="1" operator="equal">
      <formula>"En cours"</formula>
    </cfRule>
  </conditionalFormatting>
  <conditionalFormatting sqref="AK115">
    <cfRule type="cellIs" dxfId="40" priority="305908" stopIfTrue="1" operator="notEqual">
      <formula>"En cours"</formula>
    </cfRule>
  </conditionalFormatting>
  <conditionalFormatting sqref="AJ111">
    <cfRule type="cellIs" dxfId="39" priority="305909" stopIfTrue="1" operator="equal">
      <formula>"En cours"</formula>
    </cfRule>
  </conditionalFormatting>
  <conditionalFormatting sqref="AJ111">
    <cfRule type="cellIs" dxfId="38" priority="305910" stopIfTrue="1" operator="notEqual">
      <formula>"En cours"</formula>
    </cfRule>
  </conditionalFormatting>
  <conditionalFormatting sqref="AK111">
    <cfRule type="cellIs" dxfId="37" priority="305911" stopIfTrue="1" operator="equal">
      <formula>"En cours"</formula>
    </cfRule>
  </conditionalFormatting>
  <conditionalFormatting sqref="AK111">
    <cfRule type="cellIs" dxfId="36" priority="305912" stopIfTrue="1" operator="notEqual">
      <formula>"En cours"</formula>
    </cfRule>
  </conditionalFormatting>
  <conditionalFormatting sqref="AJ116">
    <cfRule type="cellIs" dxfId="35" priority="305913" stopIfTrue="1" operator="equal">
      <formula>"En cours"</formula>
    </cfRule>
  </conditionalFormatting>
  <conditionalFormatting sqref="AJ116">
    <cfRule type="cellIs" dxfId="34" priority="305914" stopIfTrue="1" operator="notEqual">
      <formula>"En cours"</formula>
    </cfRule>
  </conditionalFormatting>
  <conditionalFormatting sqref="AK116">
    <cfRule type="cellIs" dxfId="33" priority="305915" stopIfTrue="1" operator="equal">
      <formula>"En cours"</formula>
    </cfRule>
  </conditionalFormatting>
  <conditionalFormatting sqref="AK116">
    <cfRule type="cellIs" dxfId="32" priority="305916" stopIfTrue="1" operator="notEqual">
      <formula>"En cours"</formula>
    </cfRule>
  </conditionalFormatting>
  <conditionalFormatting sqref="AJ109">
    <cfRule type="cellIs" dxfId="31" priority="305917" stopIfTrue="1" operator="equal">
      <formula>"En cours"</formula>
    </cfRule>
  </conditionalFormatting>
  <conditionalFormatting sqref="AJ109">
    <cfRule type="cellIs" dxfId="30" priority="305918" stopIfTrue="1" operator="notEqual">
      <formula>"En cours"</formula>
    </cfRule>
  </conditionalFormatting>
  <conditionalFormatting sqref="AK109">
    <cfRule type="cellIs" dxfId="29" priority="305919" stopIfTrue="1" operator="equal">
      <formula>"En cours"</formula>
    </cfRule>
  </conditionalFormatting>
  <conditionalFormatting sqref="AK109">
    <cfRule type="cellIs" dxfId="28" priority="305920" stopIfTrue="1" operator="notEqual">
      <formula>"En cours"</formula>
    </cfRule>
  </conditionalFormatting>
  <conditionalFormatting sqref="AJ106">
    <cfRule type="cellIs" dxfId="27" priority="305921" stopIfTrue="1" operator="equal">
      <formula>"En cours"</formula>
    </cfRule>
  </conditionalFormatting>
  <conditionalFormatting sqref="AJ106">
    <cfRule type="cellIs" dxfId="26" priority="305922" stopIfTrue="1" operator="notEqual">
      <formula>"En cours"</formula>
    </cfRule>
  </conditionalFormatting>
  <conditionalFormatting sqref="AK106">
    <cfRule type="cellIs" dxfId="25" priority="305923" stopIfTrue="1" operator="equal">
      <formula>"En cours"</formula>
    </cfRule>
  </conditionalFormatting>
  <conditionalFormatting sqref="AK106">
    <cfRule type="cellIs" dxfId="24" priority="305924" stopIfTrue="1" operator="notEqual">
      <formula>"En cours"</formula>
    </cfRule>
  </conditionalFormatting>
  <conditionalFormatting sqref="AJ72">
    <cfRule type="cellIs" dxfId="23" priority="305925" stopIfTrue="1" operator="equal">
      <formula>"En cours"</formula>
    </cfRule>
  </conditionalFormatting>
  <conditionalFormatting sqref="AJ72">
    <cfRule type="cellIs" dxfId="22" priority="305926" stopIfTrue="1" operator="notEqual">
      <formula>"En cours"</formula>
    </cfRule>
  </conditionalFormatting>
  <conditionalFormatting sqref="AK72">
    <cfRule type="cellIs" dxfId="21" priority="305927" stopIfTrue="1" operator="equal">
      <formula>"En cours"</formula>
    </cfRule>
  </conditionalFormatting>
  <conditionalFormatting sqref="AK72">
    <cfRule type="cellIs" dxfId="20" priority="305928" stopIfTrue="1" operator="notEqual">
      <formula>"En cours"</formula>
    </cfRule>
  </conditionalFormatting>
  <conditionalFormatting sqref="AJ118">
    <cfRule type="cellIs" dxfId="19" priority="305929" stopIfTrue="1" operator="equal">
      <formula>"En cours"</formula>
    </cfRule>
  </conditionalFormatting>
  <conditionalFormatting sqref="AJ118">
    <cfRule type="cellIs" dxfId="18" priority="305930" stopIfTrue="1" operator="notEqual">
      <formula>"En cours"</formula>
    </cfRule>
  </conditionalFormatting>
  <conditionalFormatting sqref="AK118">
    <cfRule type="cellIs" dxfId="17" priority="305931" stopIfTrue="1" operator="equal">
      <formula>"En cours"</formula>
    </cfRule>
  </conditionalFormatting>
  <conditionalFormatting sqref="AK118">
    <cfRule type="cellIs" dxfId="16" priority="305932" stopIfTrue="1" operator="notEqual">
      <formula>"En cours"</formula>
    </cfRule>
  </conditionalFormatting>
  <conditionalFormatting sqref="AJ60">
    <cfRule type="cellIs" dxfId="15" priority="305933" stopIfTrue="1" operator="equal">
      <formula>"En cours"</formula>
    </cfRule>
  </conditionalFormatting>
  <conditionalFormatting sqref="AJ60">
    <cfRule type="cellIs" dxfId="14" priority="305934" stopIfTrue="1" operator="notEqual">
      <formula>"En cours"</formula>
    </cfRule>
  </conditionalFormatting>
  <conditionalFormatting sqref="AK60">
    <cfRule type="cellIs" dxfId="13" priority="305935" stopIfTrue="1" operator="equal">
      <formula>"En cours"</formula>
    </cfRule>
  </conditionalFormatting>
  <conditionalFormatting sqref="AK60">
    <cfRule type="cellIs" dxfId="12" priority="305936" stopIfTrue="1" operator="notEqual">
      <formula>"En cours"</formula>
    </cfRule>
  </conditionalFormatting>
  <conditionalFormatting sqref="AJ119">
    <cfRule type="cellIs" dxfId="11" priority="305937" stopIfTrue="1" operator="equal">
      <formula>"En cours"</formula>
    </cfRule>
  </conditionalFormatting>
  <conditionalFormatting sqref="AJ119">
    <cfRule type="cellIs" dxfId="10" priority="305938" stopIfTrue="1" operator="notEqual">
      <formula>"En cours"</formula>
    </cfRule>
  </conditionalFormatting>
  <conditionalFormatting sqref="AK119">
    <cfRule type="cellIs" dxfId="9" priority="305939" stopIfTrue="1" operator="equal">
      <formula>"En cours"</formula>
    </cfRule>
  </conditionalFormatting>
  <conditionalFormatting sqref="AK119">
    <cfRule type="cellIs" dxfId="8" priority="305940" stopIfTrue="1" operator="notEqual">
      <formula>"En cours"</formula>
    </cfRule>
  </conditionalFormatting>
  <conditionalFormatting sqref="AJ105">
    <cfRule type="cellIs" dxfId="7" priority="305941" stopIfTrue="1" operator="equal">
      <formula>"En cours"</formula>
    </cfRule>
  </conditionalFormatting>
  <conditionalFormatting sqref="AJ105">
    <cfRule type="cellIs" dxfId="6" priority="305942" stopIfTrue="1" operator="notEqual">
      <formula>"En cours"</formula>
    </cfRule>
  </conditionalFormatting>
  <conditionalFormatting sqref="AK105">
    <cfRule type="cellIs" dxfId="5" priority="305943" stopIfTrue="1" operator="equal">
      <formula>"En cours"</formula>
    </cfRule>
  </conditionalFormatting>
  <conditionalFormatting sqref="AK105">
    <cfRule type="cellIs" dxfId="4" priority="305944" stopIfTrue="1" operator="notEqual">
      <formula>"En cours"</formula>
    </cfRule>
  </conditionalFormatting>
  <conditionalFormatting sqref="AJ74">
    <cfRule type="cellIs" dxfId="3" priority="305945" stopIfTrue="1" operator="equal">
      <formula>"En cours"</formula>
    </cfRule>
  </conditionalFormatting>
  <conditionalFormatting sqref="AJ74">
    <cfRule type="cellIs" dxfId="2" priority="305946" stopIfTrue="1" operator="notEqual">
      <formula>"En cours"</formula>
    </cfRule>
  </conditionalFormatting>
  <conditionalFormatting sqref="AK74">
    <cfRule type="cellIs" dxfId="1" priority="305947" stopIfTrue="1" operator="equal">
      <formula>"En cours"</formula>
    </cfRule>
  </conditionalFormatting>
  <conditionalFormatting sqref="AK74">
    <cfRule type="cellIs" dxfId="0" priority="305948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:AK2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21</v>
      </c>
      <c r="C2" s="71" t="s">
        <v>37</v>
      </c>
      <c r="E2" s="19"/>
      <c r="F2" s="192" t="s">
        <v>18</v>
      </c>
      <c r="G2" s="193"/>
      <c r="H2" s="193"/>
      <c r="I2" s="194"/>
      <c r="J2" s="195" t="s">
        <v>19</v>
      </c>
      <c r="K2" s="196"/>
      <c r="L2" s="196"/>
      <c r="M2" s="197"/>
      <c r="N2" s="198" t="s">
        <v>20</v>
      </c>
      <c r="O2" s="193"/>
      <c r="P2" s="193"/>
      <c r="Q2" s="194"/>
      <c r="R2" s="195" t="s">
        <v>21</v>
      </c>
      <c r="S2" s="196"/>
      <c r="T2" s="196"/>
      <c r="U2" s="197"/>
      <c r="V2" s="198" t="s">
        <v>22</v>
      </c>
      <c r="W2" s="193"/>
      <c r="X2" s="193"/>
      <c r="Y2" s="194"/>
      <c r="Z2" s="195" t="s">
        <v>23</v>
      </c>
      <c r="AA2" s="196"/>
      <c r="AB2" s="196"/>
      <c r="AC2" s="199"/>
      <c r="AD2" s="185" t="s">
        <v>24</v>
      </c>
      <c r="AE2" s="186"/>
      <c r="AF2" s="187" t="s">
        <v>17</v>
      </c>
      <c r="AG2" s="188"/>
      <c r="AH2" s="188"/>
      <c r="AI2" s="189"/>
      <c r="AJ2" s="190" t="s">
        <v>25</v>
      </c>
      <c r="AK2" s="191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 t="s">
        <v>190</v>
      </c>
      <c r="C4" s="163" t="s">
        <v>105</v>
      </c>
      <c r="D4" s="163">
        <v>15.7</v>
      </c>
      <c r="E4" s="163" t="s">
        <v>204</v>
      </c>
      <c r="F4" s="163">
        <v>86</v>
      </c>
      <c r="G4" s="163">
        <v>7</v>
      </c>
      <c r="H4" s="163">
        <v>104</v>
      </c>
      <c r="I4" s="163">
        <v>7</v>
      </c>
      <c r="J4" s="163">
        <v>70</v>
      </c>
      <c r="K4" s="163">
        <v>1</v>
      </c>
      <c r="L4" s="163">
        <v>88</v>
      </c>
      <c r="M4" s="163">
        <v>3</v>
      </c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4">
        <f>IF(MIN(F4,J4,N4,R4,V4,Z4)&lt;&gt;0,MIN(F4,J4,N4,R4,V4,Z4),"")</f>
        <v>70</v>
      </c>
      <c r="AE4" s="164">
        <f>IF(MIN(H4,L4,P4,T4,X4,AB4)&lt;&gt;0,MIN(H4,L4,P4,T4,X4,AB4),"")</f>
        <v>88</v>
      </c>
      <c r="AF4" s="164"/>
      <c r="AG4" s="163"/>
      <c r="AH4" s="164"/>
      <c r="AI4" s="163"/>
      <c r="AJ4" s="162" t="str">
        <f>IF(AD4="","",IF(ISBLANK(AF4),"En cours",AD4+AF4))</f>
        <v>En cours</v>
      </c>
      <c r="AK4" s="162" t="str">
        <f>IF(AE4="","",IF(ISBLANK(AH4),"En cours",AE4+AH4))</f>
        <v>En cours</v>
      </c>
    </row>
    <row r="5" spans="2:37" ht="21" x14ac:dyDescent="0.35">
      <c r="B5" s="163" t="s">
        <v>184</v>
      </c>
      <c r="C5" s="163" t="s">
        <v>105</v>
      </c>
      <c r="D5" s="163">
        <v>13.7</v>
      </c>
      <c r="E5" s="163" t="s">
        <v>204</v>
      </c>
      <c r="F5" s="163">
        <v>71</v>
      </c>
      <c r="G5" s="163">
        <v>3</v>
      </c>
      <c r="H5" s="163">
        <v>87</v>
      </c>
      <c r="I5" s="163">
        <v>2</v>
      </c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4">
        <f>IF(MIN(F5,J5,N5,R5,V5,Z5)&lt;&gt;0,MIN(F5,J5,N5,R5,V5,Z5),"")</f>
        <v>71</v>
      </c>
      <c r="AE5" s="164">
        <f>IF(MIN(H5,L5,P5,T5,X5,AB5)&lt;&gt;0,MIN(H5,L5,P5,T5,X5,AB5),"")</f>
        <v>87</v>
      </c>
      <c r="AF5" s="164"/>
      <c r="AG5" s="163"/>
      <c r="AH5" s="164"/>
      <c r="AI5" s="163"/>
      <c r="AJ5" s="162" t="str">
        <f>IF(AD5="","",IF(ISBLANK(AF5),"En cours",AD5+AF5))</f>
        <v>En cours</v>
      </c>
      <c r="AK5" s="162" t="str">
        <f>IF(AE5="","",IF(ISBLANK(AH5),"En cours",AE5+AH5))</f>
        <v>En cours</v>
      </c>
    </row>
    <row r="6" spans="2:37" ht="21" x14ac:dyDescent="0.35">
      <c r="B6" s="163" t="s">
        <v>197</v>
      </c>
      <c r="C6" s="163" t="s">
        <v>105</v>
      </c>
      <c r="D6" s="163">
        <v>20.2</v>
      </c>
      <c r="E6" s="163" t="s">
        <v>207</v>
      </c>
      <c r="F6" s="163">
        <v>81</v>
      </c>
      <c r="G6" s="163">
        <v>9</v>
      </c>
      <c r="H6" s="163">
        <v>100</v>
      </c>
      <c r="I6" s="163">
        <v>7</v>
      </c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4">
        <f>IF(MIN(F6,J6,N6,R6,V6,Z6)&lt;&gt;0,MIN(F6,J6,N6,R6,V6,Z6),"")</f>
        <v>81</v>
      </c>
      <c r="AE6" s="164">
        <f>IF(MIN(H6,L6,P6,T6,X6,AB6)&lt;&gt;0,MIN(H6,L6,P6,T6,X6,AB6),"")</f>
        <v>100</v>
      </c>
      <c r="AF6" s="164"/>
      <c r="AG6" s="163"/>
      <c r="AH6" s="164"/>
      <c r="AI6" s="163"/>
      <c r="AJ6" s="162" t="str">
        <f>IF(AD6="","",IF(ISBLANK(AF6),"En cours",AD6+AF6))</f>
        <v>En cours</v>
      </c>
      <c r="AK6" s="162" t="str">
        <f>IF(AE6="","",IF(ISBLANK(AH6),"En cours",AE6+AH6))</f>
        <v>En cours</v>
      </c>
    </row>
    <row r="7" spans="2:37" ht="21" x14ac:dyDescent="0.35">
      <c r="B7" s="163" t="s">
        <v>257</v>
      </c>
      <c r="C7" s="163" t="s">
        <v>105</v>
      </c>
      <c r="D7" s="163">
        <v>25.6</v>
      </c>
      <c r="E7" s="163" t="s">
        <v>207</v>
      </c>
      <c r="F7" s="163"/>
      <c r="G7" s="163"/>
      <c r="H7" s="163"/>
      <c r="I7" s="163"/>
      <c r="J7" s="163">
        <v>85</v>
      </c>
      <c r="K7" s="163">
        <v>4</v>
      </c>
      <c r="L7" s="163">
        <v>110</v>
      </c>
      <c r="M7" s="163">
        <v>4</v>
      </c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4">
        <f>IF(MIN(F7,J7,N7,R7,V7,Z7)&lt;&gt;0,MIN(F7,J7,N7,R7,V7,Z7),"")</f>
        <v>85</v>
      </c>
      <c r="AE7" s="164">
        <f>IF(MIN(H7,L7,P7,T7,X7,AB7)&lt;&gt;0,MIN(H7,L7,P7,T7,X7,AB7),"")</f>
        <v>110</v>
      </c>
      <c r="AF7" s="164"/>
      <c r="AG7" s="163"/>
      <c r="AH7" s="164"/>
      <c r="AI7" s="163"/>
      <c r="AJ7" s="162" t="str">
        <f>IF(AD7="","",IF(ISBLANK(AF7),"En cours",AD7+AF7))</f>
        <v>En cours</v>
      </c>
      <c r="AK7" s="162" t="str">
        <f>IF(AE7="","",IF(ISBLANK(AH7),"En cours",AE7+AH7))</f>
        <v>En cours</v>
      </c>
    </row>
    <row r="8" spans="2:37" ht="21" x14ac:dyDescent="0.35">
      <c r="B8" s="163" t="s">
        <v>254</v>
      </c>
      <c r="C8" s="163" t="s">
        <v>105</v>
      </c>
      <c r="D8" s="163">
        <v>16.899999999999999</v>
      </c>
      <c r="E8" s="163" t="s">
        <v>204</v>
      </c>
      <c r="F8" s="163"/>
      <c r="G8" s="163"/>
      <c r="H8" s="163"/>
      <c r="I8" s="163"/>
      <c r="J8" s="163">
        <v>78</v>
      </c>
      <c r="K8" s="163">
        <v>4</v>
      </c>
      <c r="L8" s="163">
        <v>97</v>
      </c>
      <c r="M8" s="163">
        <v>4</v>
      </c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4">
        <f>IF(MIN(F8,J8,N8,R8,V8,Z8)&lt;&gt;0,MIN(F8,J8,N8,R8,V8,Z8),"")</f>
        <v>78</v>
      </c>
      <c r="AE8" s="164">
        <f>IF(MIN(H8,L8,P8,T8,X8,AB8)&lt;&gt;0,MIN(H8,L8,P8,T8,X8,AB8),"")</f>
        <v>97</v>
      </c>
      <c r="AF8" s="164"/>
      <c r="AG8" s="163"/>
      <c r="AH8" s="164"/>
      <c r="AI8" s="163"/>
      <c r="AJ8" s="162" t="str">
        <f>IF(AD8="","",IF(ISBLANK(AF8),"En cours",AD8+AF8))</f>
        <v>En cours</v>
      </c>
      <c r="AK8" s="162" t="str">
        <f>IF(AE8="","",IF(ISBLANK(AH8),"En cours",AE8+AH8))</f>
        <v>En cours</v>
      </c>
    </row>
    <row r="9" spans="2:37" ht="21" x14ac:dyDescent="0.35">
      <c r="B9" s="163" t="s">
        <v>255</v>
      </c>
      <c r="C9" s="163" t="s">
        <v>105</v>
      </c>
      <c r="D9" s="163">
        <v>31.7</v>
      </c>
      <c r="E9" s="163" t="s">
        <v>206</v>
      </c>
      <c r="F9" s="163"/>
      <c r="G9" s="163"/>
      <c r="H9" s="163"/>
      <c r="I9" s="163"/>
      <c r="J9" s="163">
        <v>68</v>
      </c>
      <c r="K9" s="163">
        <v>1</v>
      </c>
      <c r="L9" s="163">
        <v>96</v>
      </c>
      <c r="M9" s="163">
        <v>1</v>
      </c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>
        <f>IF(MIN(F9,J9,N9,R9,V9,Z9)&lt;&gt;0,MIN(F9,J9,N9,R9,V9,Z9),"")</f>
        <v>68</v>
      </c>
      <c r="AE9" s="164">
        <f>IF(MIN(H9,L9,P9,T9,X9,AB9)&lt;&gt;0,MIN(H9,L9,P9,T9,X9,AB9),"")</f>
        <v>96</v>
      </c>
      <c r="AF9" s="164"/>
      <c r="AG9" s="163"/>
      <c r="AH9" s="164"/>
      <c r="AI9" s="163"/>
      <c r="AJ9" s="162" t="str">
        <f>IF(AD9="","",IF(ISBLANK(AF9),"En cours",AD9+AF9))</f>
        <v>En cours</v>
      </c>
      <c r="AK9" s="162" t="str">
        <f>IF(AE9="","",IF(ISBLANK(AH9),"En cours",AE9+AH9))</f>
        <v>En cours</v>
      </c>
    </row>
    <row r="10" spans="2:37" ht="21" x14ac:dyDescent="0.35">
      <c r="B10" s="163" t="s">
        <v>198</v>
      </c>
      <c r="C10" s="163" t="s">
        <v>105</v>
      </c>
      <c r="D10" s="163">
        <v>23.9</v>
      </c>
      <c r="E10" s="163" t="s">
        <v>207</v>
      </c>
      <c r="F10" s="163">
        <v>77</v>
      </c>
      <c r="G10" s="163">
        <v>7</v>
      </c>
      <c r="H10" s="163">
        <v>100</v>
      </c>
      <c r="I10" s="163">
        <v>8</v>
      </c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>
        <f>IF(MIN(F10,J10,N10,R10,V10,Z10)&lt;&gt;0,MIN(F10,J10,N10,R10,V10,Z10),"")</f>
        <v>77</v>
      </c>
      <c r="AE10" s="164">
        <f>IF(MIN(H10,L10,P10,T10,X10,AB10)&lt;&gt;0,MIN(H10,L10,P10,T10,X10,AB10),"")</f>
        <v>100</v>
      </c>
      <c r="AF10" s="164"/>
      <c r="AG10" s="163"/>
      <c r="AH10" s="164"/>
      <c r="AI10" s="163"/>
      <c r="AJ10" s="162" t="str">
        <f>IF(AD10="","",IF(ISBLANK(AF10),"En cours",AD10+AF10))</f>
        <v>En cours</v>
      </c>
      <c r="AK10" s="162" t="str">
        <f>IF(AE10="","",IF(ISBLANK(AH10),"En cours",AE10+AH10))</f>
        <v>En cours</v>
      </c>
    </row>
    <row r="11" spans="2:37" ht="21" x14ac:dyDescent="0.35">
      <c r="B11" s="163" t="s">
        <v>200</v>
      </c>
      <c r="C11" s="163" t="s">
        <v>105</v>
      </c>
      <c r="D11" s="163">
        <v>33</v>
      </c>
      <c r="E11" s="163" t="s">
        <v>206</v>
      </c>
      <c r="F11" s="163">
        <v>80</v>
      </c>
      <c r="G11" s="163">
        <v>8</v>
      </c>
      <c r="H11" s="163">
        <v>110</v>
      </c>
      <c r="I11" s="163">
        <v>10</v>
      </c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4">
        <f>IF(MIN(F11,J11,N11,R11,V11,Z11)&lt;&gt;0,MIN(F11,J11,N11,R11,V11,Z11),"")</f>
        <v>80</v>
      </c>
      <c r="AE11" s="164">
        <f>IF(MIN(H11,L11,P11,T11,X11,AB11)&lt;&gt;0,MIN(H11,L11,P11,T11,X11,AB11),"")</f>
        <v>110</v>
      </c>
      <c r="AF11" s="164"/>
      <c r="AG11" s="163"/>
      <c r="AH11" s="164"/>
      <c r="AI11" s="163"/>
      <c r="AJ11" s="162" t="str">
        <f>IF(AD11="","",IF(ISBLANK(AF11),"En cours",AD11+AF11))</f>
        <v>En cours</v>
      </c>
      <c r="AK11" s="162" t="str">
        <f>IF(AE11="","",IF(ISBLANK(AH11),"En cours",AE11+AH11))</f>
        <v>En cours</v>
      </c>
    </row>
    <row r="12" spans="2:37" ht="21" x14ac:dyDescent="0.35">
      <c r="B12" s="163" t="s">
        <v>199</v>
      </c>
      <c r="C12" s="163" t="s">
        <v>105</v>
      </c>
      <c r="D12" s="163">
        <v>27.2</v>
      </c>
      <c r="E12" s="163" t="s">
        <v>206</v>
      </c>
      <c r="F12" s="163">
        <v>83</v>
      </c>
      <c r="G12" s="163">
        <v>10</v>
      </c>
      <c r="H12" s="163">
        <v>107</v>
      </c>
      <c r="I12" s="163">
        <v>9</v>
      </c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4">
        <f>IF(MIN(F12,J12,N12,R12,V12,Z12)&lt;&gt;0,MIN(F12,J12,N12,R12,V12,Z12),"")</f>
        <v>83</v>
      </c>
      <c r="AE12" s="164">
        <f>IF(MIN(H12,L12,P12,T12,X12,AB12)&lt;&gt;0,MIN(H12,L12,P12,T12,X12,AB12),"")</f>
        <v>107</v>
      </c>
      <c r="AF12" s="164"/>
      <c r="AG12" s="163"/>
      <c r="AH12" s="164"/>
      <c r="AI12" s="163"/>
      <c r="AJ12" s="162" t="str">
        <f>IF(AD12="","",IF(ISBLANK(AF12),"En cours",AD12+AF12))</f>
        <v>En cours</v>
      </c>
      <c r="AK12" s="162" t="str">
        <f>IF(AE12="","",IF(ISBLANK(AH12),"En cours",AE12+AH12))</f>
        <v>En cours</v>
      </c>
    </row>
    <row r="13" spans="2:37" ht="21" x14ac:dyDescent="0.35">
      <c r="B13" s="163" t="s">
        <v>256</v>
      </c>
      <c r="C13" s="163" t="s">
        <v>105</v>
      </c>
      <c r="D13" s="163">
        <v>32.1</v>
      </c>
      <c r="E13" s="163" t="s">
        <v>206</v>
      </c>
      <c r="F13" s="163"/>
      <c r="G13" s="163"/>
      <c r="H13" s="163"/>
      <c r="I13" s="163"/>
      <c r="J13" s="163">
        <v>71</v>
      </c>
      <c r="K13" s="163">
        <v>2</v>
      </c>
      <c r="L13" s="163">
        <v>100</v>
      </c>
      <c r="M13" s="163">
        <v>3</v>
      </c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4">
        <f>IF(MIN(F13,J13,N13,R13,V13,Z13)&lt;&gt;0,MIN(F13,J13,N13,R13,V13,Z13),"")</f>
        <v>71</v>
      </c>
      <c r="AE13" s="164">
        <f>IF(MIN(H13,L13,P13,T13,X13,AB13)&lt;&gt;0,MIN(H13,L13,P13,T13,X13,AB13),"")</f>
        <v>100</v>
      </c>
      <c r="AF13" s="164"/>
      <c r="AG13" s="163"/>
      <c r="AH13" s="164"/>
      <c r="AI13" s="163"/>
      <c r="AJ13" s="162" t="str">
        <f>IF(AD13="","",IF(ISBLANK(AF13),"En cours",AD13+AF13))</f>
        <v>En cours</v>
      </c>
      <c r="AK13" s="162" t="str">
        <f>IF(AE13="","",IF(ISBLANK(AH13),"En cours",AE13+AH13))</f>
        <v>En cours</v>
      </c>
    </row>
    <row r="14" spans="2:37" ht="21" x14ac:dyDescent="0.35">
      <c r="B14" s="163" t="s">
        <v>194</v>
      </c>
      <c r="C14" s="163" t="s">
        <v>105</v>
      </c>
      <c r="D14" s="163">
        <v>26.9</v>
      </c>
      <c r="E14" s="163" t="s">
        <v>206</v>
      </c>
      <c r="F14" s="163">
        <v>73</v>
      </c>
      <c r="G14" s="163">
        <v>3</v>
      </c>
      <c r="H14" s="163">
        <v>96</v>
      </c>
      <c r="I14" s="163">
        <v>4</v>
      </c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>
        <f>IF(MIN(F14,J14,N14,R14,V14,Z14)&lt;&gt;0,MIN(F14,J14,N14,R14,V14,Z14),"")</f>
        <v>73</v>
      </c>
      <c r="AE14" s="164">
        <f>IF(MIN(H14,L14,P14,T14,X14,AB14)&lt;&gt;0,MIN(H14,L14,P14,T14,X14,AB14),"")</f>
        <v>96</v>
      </c>
      <c r="AF14" s="164"/>
      <c r="AG14" s="163"/>
      <c r="AH14" s="164"/>
      <c r="AI14" s="163"/>
      <c r="AJ14" s="162" t="str">
        <f>IF(AD14="","",IF(ISBLANK(AF14),"En cours",AD14+AF14))</f>
        <v>En cours</v>
      </c>
      <c r="AK14" s="162" t="str">
        <f>IF(AE14="","",IF(ISBLANK(AH14),"En cours",AE14+AH14))</f>
        <v>En cours</v>
      </c>
    </row>
    <row r="15" spans="2:37" ht="21" x14ac:dyDescent="0.35">
      <c r="B15" s="163" t="s">
        <v>186</v>
      </c>
      <c r="C15" s="163" t="s">
        <v>105</v>
      </c>
      <c r="D15" s="163">
        <v>14.7</v>
      </c>
      <c r="E15" s="163" t="s">
        <v>204</v>
      </c>
      <c r="F15" s="163">
        <v>76</v>
      </c>
      <c r="G15" s="163">
        <v>4</v>
      </c>
      <c r="H15" s="163">
        <v>93</v>
      </c>
      <c r="I15" s="163">
        <v>4</v>
      </c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4">
        <f>IF(MIN(F15,J15,N15,R15,V15,Z15)&lt;&gt;0,MIN(F15,J15,N15,R15,V15,Z15),"")</f>
        <v>76</v>
      </c>
      <c r="AE15" s="164">
        <f>IF(MIN(H15,L15,P15,T15,X15,AB15)&lt;&gt;0,MIN(H15,L15,P15,T15,X15,AB15),"")</f>
        <v>93</v>
      </c>
      <c r="AF15" s="164"/>
      <c r="AG15" s="163"/>
      <c r="AH15" s="164"/>
      <c r="AI15" s="163"/>
      <c r="AJ15" s="162" t="str">
        <f>IF(AD15="","",IF(ISBLANK(AF15),"En cours",AD15+AF15))</f>
        <v>En cours</v>
      </c>
      <c r="AK15" s="162" t="str">
        <f>IF(AE15="","",IF(ISBLANK(AH15),"En cours",AE15+AH15))</f>
        <v>En cours</v>
      </c>
    </row>
    <row r="16" spans="2:37" ht="21" x14ac:dyDescent="0.35">
      <c r="B16" s="163" t="s">
        <v>188</v>
      </c>
      <c r="C16" s="163" t="s">
        <v>189</v>
      </c>
      <c r="D16" s="163">
        <v>13.3</v>
      </c>
      <c r="E16" s="163" t="s">
        <v>204</v>
      </c>
      <c r="F16" s="163">
        <v>83</v>
      </c>
      <c r="G16" s="163">
        <v>6</v>
      </c>
      <c r="H16" s="163">
        <v>98</v>
      </c>
      <c r="I16" s="163">
        <v>6</v>
      </c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>
        <f>IF(MIN(F16,J16,N16,R16,V16,Z16)&lt;&gt;0,MIN(F16,J16,N16,R16,V16,Z16),"")</f>
        <v>83</v>
      </c>
      <c r="AE16" s="164">
        <f>IF(MIN(H16,L16,P16,T16,X16,AB16)&lt;&gt;0,MIN(H16,L16,P16,T16,X16,AB16),"")</f>
        <v>98</v>
      </c>
      <c r="AF16" s="164"/>
      <c r="AG16" s="163"/>
      <c r="AH16" s="164"/>
      <c r="AI16" s="163"/>
      <c r="AJ16" s="162" t="str">
        <f>IF(AD16="","",IF(ISBLANK(AF16),"En cours",AD16+AF16))</f>
        <v>En cours</v>
      </c>
      <c r="AK16" s="162" t="str">
        <f>IF(AE16="","",IF(ISBLANK(AH16),"En cours",AE16+AH16))</f>
        <v>En cours</v>
      </c>
    </row>
    <row r="17" spans="2:37" ht="21" x14ac:dyDescent="0.35">
      <c r="B17" s="163" t="s">
        <v>195</v>
      </c>
      <c r="C17" s="163" t="s">
        <v>105</v>
      </c>
      <c r="D17" s="163">
        <v>22.1</v>
      </c>
      <c r="E17" s="163" t="s">
        <v>207</v>
      </c>
      <c r="F17" s="163">
        <v>76</v>
      </c>
      <c r="G17" s="163">
        <v>6</v>
      </c>
      <c r="H17" s="163">
        <v>97</v>
      </c>
      <c r="I17" s="163">
        <v>5</v>
      </c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>
        <f>IF(MIN(F17,J17,N17,R17,V17,Z17)&lt;&gt;0,MIN(F17,J17,N17,R17,V17,Z17),"")</f>
        <v>76</v>
      </c>
      <c r="AE17" s="164">
        <f>IF(MIN(H17,L17,P17,T17,X17,AB17)&lt;&gt;0,MIN(H17,L17,P17,T17,X17,AB17),"")</f>
        <v>97</v>
      </c>
      <c r="AF17" s="164"/>
      <c r="AG17" s="163"/>
      <c r="AH17" s="164"/>
      <c r="AI17" s="163"/>
      <c r="AJ17" s="162" t="str">
        <f>IF(AD17="","",IF(ISBLANK(AF17),"En cours",AD17+AF17))</f>
        <v>En cours</v>
      </c>
      <c r="AK17" s="162" t="str">
        <f>IF(AE17="","",IF(ISBLANK(AH17),"En cours",AE17+AH17))</f>
        <v>En cours</v>
      </c>
    </row>
    <row r="18" spans="2:37" ht="21" x14ac:dyDescent="0.35">
      <c r="B18" s="163" t="s">
        <v>192</v>
      </c>
      <c r="C18" s="163" t="s">
        <v>105</v>
      </c>
      <c r="D18" s="163">
        <v>29</v>
      </c>
      <c r="E18" s="163" t="s">
        <v>206</v>
      </c>
      <c r="F18" s="163">
        <v>64</v>
      </c>
      <c r="G18" s="163">
        <v>2</v>
      </c>
      <c r="H18" s="163">
        <v>90</v>
      </c>
      <c r="I18" s="163">
        <v>2</v>
      </c>
      <c r="J18" s="163">
        <v>73</v>
      </c>
      <c r="K18" s="163">
        <v>3</v>
      </c>
      <c r="L18" s="163">
        <v>99</v>
      </c>
      <c r="M18" s="163">
        <v>2</v>
      </c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4">
        <f>IF(MIN(F18,J18,N18,R18,V18,Z18)&lt;&gt;0,MIN(F18,J18,N18,R18,V18,Z18),"")</f>
        <v>64</v>
      </c>
      <c r="AE18" s="164">
        <f>IF(MIN(H18,L18,P18,T18,X18,AB18)&lt;&gt;0,MIN(H18,L18,P18,T18,X18,AB18),"")</f>
        <v>90</v>
      </c>
      <c r="AF18" s="164"/>
      <c r="AG18" s="163"/>
      <c r="AH18" s="164"/>
      <c r="AI18" s="163"/>
      <c r="AJ18" s="162" t="str">
        <f>IF(AD18="","",IF(ISBLANK(AF18),"En cours",AD18+AF18))</f>
        <v>En cours</v>
      </c>
      <c r="AK18" s="162" t="str">
        <f>IF(AE18="","",IF(ISBLANK(AH18),"En cours",AE18+AH18))</f>
        <v>En cours</v>
      </c>
    </row>
    <row r="19" spans="2:37" ht="21" x14ac:dyDescent="0.35">
      <c r="B19" s="163" t="s">
        <v>183</v>
      </c>
      <c r="C19" s="163" t="s">
        <v>105</v>
      </c>
      <c r="D19" s="163">
        <v>8.1999999999999993</v>
      </c>
      <c r="E19" s="163" t="s">
        <v>205</v>
      </c>
      <c r="F19" s="163">
        <v>70</v>
      </c>
      <c r="G19" s="163">
        <v>2</v>
      </c>
      <c r="H19" s="163">
        <v>80</v>
      </c>
      <c r="I19" s="163">
        <v>1</v>
      </c>
      <c r="J19" s="163">
        <v>71</v>
      </c>
      <c r="K19" s="163">
        <v>2</v>
      </c>
      <c r="L19" s="163">
        <v>81</v>
      </c>
      <c r="M19" s="163">
        <v>1</v>
      </c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4">
        <f>IF(MIN(F19,J19,N19,R19,V19,Z19)&lt;&gt;0,MIN(F19,J19,N19,R19,V19,Z19),"")</f>
        <v>70</v>
      </c>
      <c r="AE19" s="164">
        <f>IF(MIN(H19,L19,P19,T19,X19,AB19)&lt;&gt;0,MIN(H19,L19,P19,T19,X19,AB19),"")</f>
        <v>80</v>
      </c>
      <c r="AF19" s="164"/>
      <c r="AG19" s="163"/>
      <c r="AH19" s="164"/>
      <c r="AI19" s="163"/>
      <c r="AJ19" s="162" t="str">
        <f>IF(AD19="","",IF(ISBLANK(AF19),"En cours",AD19+AF19))</f>
        <v>En cours</v>
      </c>
      <c r="AK19" s="162" t="str">
        <f>IF(AE19="","",IF(ISBLANK(AH19),"En cours",AE19+AH19))</f>
        <v>En cours</v>
      </c>
    </row>
    <row r="20" spans="2:37" ht="21" x14ac:dyDescent="0.35">
      <c r="B20" s="163" t="s">
        <v>191</v>
      </c>
      <c r="C20" s="163" t="s">
        <v>105</v>
      </c>
      <c r="D20" s="163">
        <v>34.799999999999997</v>
      </c>
      <c r="E20" s="163" t="s">
        <v>206</v>
      </c>
      <c r="F20" s="163">
        <v>56</v>
      </c>
      <c r="G20" s="163">
        <v>1</v>
      </c>
      <c r="H20" s="163">
        <v>88</v>
      </c>
      <c r="I20" s="163">
        <v>1</v>
      </c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4">
        <f>IF(MIN(F20,J20,N20,R20,V20,Z20)&lt;&gt;0,MIN(F20,J20,N20,R20,V20,Z20),"")</f>
        <v>56</v>
      </c>
      <c r="AE20" s="164">
        <f>IF(MIN(H20,L20,P20,T20,X20,AB20)&lt;&gt;0,MIN(H20,L20,P20,T20,X20,AB20),"")</f>
        <v>88</v>
      </c>
      <c r="AF20" s="164"/>
      <c r="AG20" s="163"/>
      <c r="AH20" s="164"/>
      <c r="AI20" s="163"/>
      <c r="AJ20" s="162" t="str">
        <f>IF(AD20="","",IF(ISBLANK(AF20),"En cours",AD20+AF20))</f>
        <v>En cours</v>
      </c>
      <c r="AK20" s="162" t="str">
        <f>IF(AE20="","",IF(ISBLANK(AH20),"En cours",AE20+AH20))</f>
        <v>En cours</v>
      </c>
    </row>
    <row r="21" spans="2:37" ht="21" x14ac:dyDescent="0.35">
      <c r="B21" s="163" t="s">
        <v>185</v>
      </c>
      <c r="C21" s="163" t="s">
        <v>105</v>
      </c>
      <c r="D21" s="163">
        <v>18.2</v>
      </c>
      <c r="E21" s="163" t="s">
        <v>204</v>
      </c>
      <c r="F21" s="163">
        <v>69</v>
      </c>
      <c r="G21" s="163">
        <v>1</v>
      </c>
      <c r="H21" s="163">
        <v>90</v>
      </c>
      <c r="I21" s="163">
        <v>3</v>
      </c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4">
        <f>IF(MIN(F21,J21,N21,R21,V21,Z21)&lt;&gt;0,MIN(F21,J21,N21,R21,V21,Z21),"")</f>
        <v>69</v>
      </c>
      <c r="AE21" s="164">
        <f>IF(MIN(H21,L21,P21,T21,X21,AB21)&lt;&gt;0,MIN(H21,L21,P21,T21,X21,AB21),"")</f>
        <v>90</v>
      </c>
      <c r="AF21" s="164"/>
      <c r="AG21" s="163"/>
      <c r="AH21" s="164"/>
      <c r="AI21" s="163"/>
      <c r="AJ21" s="162" t="str">
        <f>IF(AD21="","",IF(ISBLANK(AF21),"En cours",AD21+AF21))</f>
        <v>En cours</v>
      </c>
      <c r="AK21" s="162" t="str">
        <f>IF(AE21="","",IF(ISBLANK(AH21),"En cours",AE21+AH21))</f>
        <v>En cours</v>
      </c>
    </row>
    <row r="22" spans="2:37" ht="21" x14ac:dyDescent="0.35">
      <c r="B22" s="163" t="s">
        <v>193</v>
      </c>
      <c r="C22" s="163" t="s">
        <v>105</v>
      </c>
      <c r="D22" s="163">
        <v>20.399999999999999</v>
      </c>
      <c r="E22" s="163" t="s">
        <v>207</v>
      </c>
      <c r="F22" s="163">
        <v>74</v>
      </c>
      <c r="G22" s="163">
        <v>4</v>
      </c>
      <c r="H22" s="163">
        <v>93</v>
      </c>
      <c r="I22" s="163">
        <v>3</v>
      </c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>
        <f>IF(MIN(F22,J22,N22,R22,V22,Z22)&lt;&gt;0,MIN(F22,J22,N22,R22,V22,Z22),"")</f>
        <v>74</v>
      </c>
      <c r="AE22" s="164">
        <f>IF(MIN(H22,L22,P22,T22,X22,AB22)&lt;&gt;0,MIN(H22,L22,P22,T22,X22,AB22),"")</f>
        <v>93</v>
      </c>
      <c r="AF22" s="164"/>
      <c r="AG22" s="163"/>
      <c r="AH22" s="164"/>
      <c r="AI22" s="163"/>
      <c r="AJ22" s="162" t="str">
        <f>IF(AD22="","",IF(ISBLANK(AF22),"En cours",AD22+AF22))</f>
        <v>En cours</v>
      </c>
      <c r="AK22" s="162" t="str">
        <f>IF(AE22="","",IF(ISBLANK(AH22),"En cours",AE22+AH22))</f>
        <v>En cours</v>
      </c>
    </row>
    <row r="23" spans="2:37" ht="21" x14ac:dyDescent="0.35">
      <c r="B23" s="163" t="s">
        <v>196</v>
      </c>
      <c r="C23" s="163" t="s">
        <v>105</v>
      </c>
      <c r="D23" s="163">
        <v>28.8</v>
      </c>
      <c r="E23" s="163" t="s">
        <v>206</v>
      </c>
      <c r="F23" s="163">
        <v>75</v>
      </c>
      <c r="G23" s="163">
        <v>5</v>
      </c>
      <c r="H23" s="163">
        <v>100</v>
      </c>
      <c r="I23" s="163">
        <v>6</v>
      </c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>
        <f>IF(MIN(F23,J23,N23,R23,V23,Z23)&lt;&gt;0,MIN(F23,J23,N23,R23,V23,Z23),"")</f>
        <v>75</v>
      </c>
      <c r="AE23" s="164">
        <f>IF(MIN(H23,L23,P23,T23,X23,AB23)&lt;&gt;0,MIN(H23,L23,P23,T23,X23,AB23),"")</f>
        <v>100</v>
      </c>
      <c r="AF23" s="164"/>
      <c r="AG23" s="163"/>
      <c r="AH23" s="164"/>
      <c r="AI23" s="163"/>
      <c r="AJ23" s="162" t="str">
        <f>IF(AD23="","",IF(ISBLANK(AF23),"En cours",AD23+AF23))</f>
        <v>En cours</v>
      </c>
      <c r="AK23" s="162" t="str">
        <f>IF(AE23="","",IF(ISBLANK(AH23),"En cours",AE23+AH23))</f>
        <v>En cours</v>
      </c>
    </row>
    <row r="24" spans="2:37" ht="21" x14ac:dyDescent="0.35">
      <c r="B24" s="163" t="s">
        <v>187</v>
      </c>
      <c r="C24" s="163" t="s">
        <v>105</v>
      </c>
      <c r="D24" s="163">
        <v>14.3</v>
      </c>
      <c r="E24" s="163" t="s">
        <v>204</v>
      </c>
      <c r="F24" s="163">
        <v>80</v>
      </c>
      <c r="G24" s="163">
        <v>5</v>
      </c>
      <c r="H24" s="163">
        <v>96</v>
      </c>
      <c r="I24" s="163">
        <v>5</v>
      </c>
      <c r="J24" s="163">
        <v>71</v>
      </c>
      <c r="K24" s="163">
        <v>3</v>
      </c>
      <c r="L24" s="163">
        <v>87</v>
      </c>
      <c r="M24" s="163">
        <v>2</v>
      </c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>
        <f>IF(MIN(F24,J24,N24,R24,V24,Z24)&lt;&gt;0,MIN(F24,J24,N24,R24,V24,Z24),"")</f>
        <v>71</v>
      </c>
      <c r="AE24" s="164">
        <f>IF(MIN(H24,L24,P24,T24,X24,AB24)&lt;&gt;0,MIN(H24,L24,P24,T24,X24,AB24),"")</f>
        <v>87</v>
      </c>
      <c r="AF24" s="164"/>
      <c r="AG24" s="163"/>
      <c r="AH24" s="164"/>
      <c r="AI24" s="163"/>
      <c r="AJ24" s="162" t="str">
        <f>IF(AD24="","",IF(ISBLANK(AF24),"En cours",AD24+AF24))</f>
        <v>En cours</v>
      </c>
      <c r="AK24" s="162" t="str">
        <f>IF(AE24="","",IF(ISBLANK(AH24),"En cours",AE24+AH24))</f>
        <v>En cours</v>
      </c>
    </row>
    <row r="25" spans="2:37" ht="21" x14ac:dyDescent="0.35"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4" t="str">
        <f>IF(MIN(F25,J25,N25,R25,V25,Z25)&lt;&gt;0,MIN(F25,J25,N25,R25,V25,Z25),"")</f>
        <v/>
      </c>
      <c r="AE25" s="164" t="str">
        <f>IF(MIN(H25,L25,P25,T25,X25,AB25)&lt;&gt;0,MIN(H25,L25,P25,T25,X25,AB25),"")</f>
        <v/>
      </c>
      <c r="AF25" s="164"/>
      <c r="AG25" s="163"/>
      <c r="AH25" s="164"/>
      <c r="AI25" s="163"/>
      <c r="AJ25" s="162" t="str">
        <f>IF(AD25="","",IF(ISBLANK(AF25),"En cours",AD25+AF25))</f>
        <v/>
      </c>
      <c r="AK25" s="162" t="str">
        <f>IF(AE25="","",IF(ISBLANK(AH25),"En cours",AE25+AH25))</f>
        <v/>
      </c>
    </row>
    <row r="26" spans="2:37" ht="21" x14ac:dyDescent="0.35"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4" t="str">
        <f>IF(MIN(F26,J26,N26,R26,V26,Z26)&lt;&gt;0,MIN(F26,J26,N26,R26,V26,Z26),"")</f>
        <v/>
      </c>
      <c r="AE26" s="164" t="str">
        <f>IF(MIN(H26,L26,P26,T26,X26,AB26)&lt;&gt;0,MIN(H26,L26,P26,T26,X26,AB26),"")</f>
        <v/>
      </c>
      <c r="AF26" s="164"/>
      <c r="AG26" s="163"/>
      <c r="AH26" s="164"/>
      <c r="AI26" s="163"/>
      <c r="AJ26" s="162" t="str">
        <f>IF(AD26="","",IF(ISBLANK(AF26),"En cours",AD26+AF26))</f>
        <v/>
      </c>
      <c r="AK26" s="162" t="str">
        <f>IF(AE26="","",IF(ISBLANK(AH26),"En cours",AE26+AH26))</f>
        <v/>
      </c>
    </row>
    <row r="27" spans="2:37" ht="21" x14ac:dyDescent="0.35"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4" t="str">
        <f>IF(MIN(F27,J27,N27,R27,V27,Z27)&lt;&gt;0,MIN(F27,J27,N27,R27,V27,Z27),"")</f>
        <v/>
      </c>
      <c r="AE27" s="164" t="str">
        <f>IF(MIN(H27,L27,P27,T27,X27,AB27)&lt;&gt;0,MIN(H27,L27,P27,T27,X27,AB27),"")</f>
        <v/>
      </c>
      <c r="AF27" s="164"/>
      <c r="AG27" s="163"/>
      <c r="AH27" s="164"/>
      <c r="AI27" s="163"/>
      <c r="AJ27" s="162" t="str">
        <f>IF(AD27="","",IF(ISBLANK(AF27),"En cours",AD27+AF27))</f>
        <v/>
      </c>
      <c r="AK27" s="162" t="str">
        <f>IF(AE27="","",IF(ISBLANK(AH27),"En cours",AE27+AH27))</f>
        <v/>
      </c>
    </row>
    <row r="28" spans="2:37" ht="21" x14ac:dyDescent="0.35"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4" t="str">
        <f>IF(MIN(F28,J28,N28,R28,V28,Z28)&lt;&gt;0,MIN(F28,J28,N28,R28,V28,Z28),"")</f>
        <v/>
      </c>
      <c r="AE28" s="164" t="str">
        <f>IF(MIN(H28,L28,P28,T28,X28,AB28)&lt;&gt;0,MIN(H28,L28,P28,T28,X28,AB28),"")</f>
        <v/>
      </c>
      <c r="AF28" s="164"/>
      <c r="AG28" s="163"/>
      <c r="AH28" s="164"/>
      <c r="AI28" s="163"/>
      <c r="AJ28" s="162" t="str">
        <f>IF(AD28="","",IF(ISBLANK(AF28),"En cours",AD28+AF28))</f>
        <v/>
      </c>
      <c r="AK28" s="162" t="str">
        <f>IF(AE28="","",IF(ISBLANK(AH28),"En cours",AE28+AH28))</f>
        <v/>
      </c>
    </row>
    <row r="29" spans="2:37" ht="21" x14ac:dyDescent="0.35"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4" t="str">
        <f>IF(MIN(F29,J29,N29,R29,V29,Z29)&lt;&gt;0,MIN(F29,J29,N29,R29,V29,Z29),"")</f>
        <v/>
      </c>
      <c r="AE29" s="164" t="str">
        <f>IF(MIN(H29,L29,P29,T29,X29,AB29)&lt;&gt;0,MIN(H29,L29,P29,T29,X29,AB29),"")</f>
        <v/>
      </c>
      <c r="AF29" s="164"/>
      <c r="AG29" s="163"/>
      <c r="AH29" s="164"/>
      <c r="AI29" s="163"/>
      <c r="AJ29" s="162" t="str">
        <f>IF(AD29="","",IF(ISBLANK(AF29),"En cours",AD29+AF29))</f>
        <v/>
      </c>
      <c r="AK29" s="162" t="str">
        <f>IF(AE29="","",IF(ISBLANK(AH29),"En cours",AE29+AH29))</f>
        <v/>
      </c>
    </row>
    <row r="30" spans="2:37" ht="21" x14ac:dyDescent="0.35"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4" t="str">
        <f>IF(MIN(F30,J30,N30,R30,V30,Z30)&lt;&gt;0,MIN(F30,J30,N30,R30,V30,Z30),"")</f>
        <v/>
      </c>
      <c r="AE30" s="164" t="str">
        <f>IF(MIN(H30,L30,P30,T30,X30,AB30)&lt;&gt;0,MIN(H30,L30,P30,T30,X30,AB30),"")</f>
        <v/>
      </c>
      <c r="AF30" s="164"/>
      <c r="AG30" s="163"/>
      <c r="AH30" s="164"/>
      <c r="AI30" s="163"/>
      <c r="AJ30" s="162" t="str">
        <f>IF(AD30="","",IF(ISBLANK(AF30),"En cours",AD30+AF30))</f>
        <v/>
      </c>
      <c r="AK30" s="162" t="str">
        <f>IF(AE30="","",IF(ISBLANK(AH30),"En cours",AE30+AH30))</f>
        <v/>
      </c>
    </row>
    <row r="31" spans="2:37" ht="21" x14ac:dyDescent="0.35"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4" t="str">
        <f>IF(MIN(F31,J31,N31,R31,V31,Z31)&lt;&gt;0,MIN(F31,J31,N31,R31,V31,Z31),"")</f>
        <v/>
      </c>
      <c r="AE31" s="164" t="str">
        <f>IF(MIN(H31,L31,P31,T31,X31,AB31)&lt;&gt;0,MIN(H31,L31,P31,T31,X31,AB31),"")</f>
        <v/>
      </c>
      <c r="AF31" s="164"/>
      <c r="AG31" s="163"/>
      <c r="AH31" s="164"/>
      <c r="AI31" s="163"/>
      <c r="AJ31" s="162" t="str">
        <f>IF(AD31="","",IF(ISBLANK(AF31),"En cours",AD31+AF31))</f>
        <v/>
      </c>
      <c r="AK31" s="162" t="str">
        <f>IF(AE31="","",IF(ISBLANK(AH31),"En cours",AE31+AH31))</f>
        <v/>
      </c>
    </row>
    <row r="32" spans="2:37" ht="21" x14ac:dyDescent="0.35"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4" t="str">
        <f>IF(MIN(F32,J32,N32,R32,V32,Z32)&lt;&gt;0,MIN(F32,J32,N32,R32,V32,Z32),"")</f>
        <v/>
      </c>
      <c r="AE32" s="164" t="str">
        <f>IF(MIN(H32,L32,P32,T32,X32,AB32)&lt;&gt;0,MIN(H32,L32,P32,T32,X32,AB32),"")</f>
        <v/>
      </c>
      <c r="AF32" s="164"/>
      <c r="AG32" s="163"/>
      <c r="AH32" s="164"/>
      <c r="AI32" s="163"/>
      <c r="AJ32" s="162" t="str">
        <f>IF(AD32="","",IF(ISBLANK(AF32),"En cours",AD32+AF32))</f>
        <v/>
      </c>
      <c r="AK32" s="162" t="str">
        <f>IF(AE32="","",IF(ISBLANK(AH32),"En cours",AE32+AH32))</f>
        <v/>
      </c>
    </row>
    <row r="33" spans="2:37" ht="21" x14ac:dyDescent="0.35"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4" t="str">
        <f>IF(MIN(F33,J33,N33,R33,V33,Z33)&lt;&gt;0,MIN(F33,J33,N33,R33,V33,Z33),"")</f>
        <v/>
      </c>
      <c r="AE33" s="164" t="str">
        <f>IF(MIN(H33,L33,P33,T33,X33,AB33)&lt;&gt;0,MIN(H33,L33,P33,T33,X33,AB33),"")</f>
        <v/>
      </c>
      <c r="AF33" s="164"/>
      <c r="AG33" s="163"/>
      <c r="AH33" s="164"/>
      <c r="AI33" s="163"/>
      <c r="AJ33" s="162" t="str">
        <f>IF(AD33="","",IF(ISBLANK(AF33),"En cours",AD33+AF33))</f>
        <v/>
      </c>
      <c r="AK33" s="162" t="str">
        <f>IF(AE33="","",IF(ISBLANK(AH33),"En cours",AE33+AH33))</f>
        <v/>
      </c>
    </row>
    <row r="34" spans="2:37" ht="21" x14ac:dyDescent="0.35"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4" t="str">
        <f>IF(MIN(F34,J34,N34,R34,V34,Z34)&lt;&gt;0,MIN(F34,J34,N34,R34,V34,Z34),"")</f>
        <v/>
      </c>
      <c r="AE34" s="164" t="str">
        <f>IF(MIN(H34,L34,P34,T34,X34,AB34)&lt;&gt;0,MIN(H34,L34,P34,T34,X34,AB34),"")</f>
        <v/>
      </c>
      <c r="AF34" s="164"/>
      <c r="AG34" s="163"/>
      <c r="AH34" s="164"/>
      <c r="AI34" s="163"/>
      <c r="AJ34" s="162" t="str">
        <f>IF(AD34="","",IF(ISBLANK(AF34),"En cours",AD34+AF34))</f>
        <v/>
      </c>
      <c r="AK34" s="162" t="str">
        <f>IF(AE34="","",IF(ISBLANK(AH34),"En cours",AE34+AH34))</f>
        <v/>
      </c>
    </row>
    <row r="35" spans="2:37" ht="21" x14ac:dyDescent="0.35"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4" t="str">
        <f>IF(MIN(F35,J35,N35,R35,V35,Z35)&lt;&gt;0,MIN(F35,J35,N35,R35,V35,Z35),"")</f>
        <v/>
      </c>
      <c r="AE35" s="164" t="str">
        <f>IF(MIN(H35,L35,P35,T35,X35,AB35)&lt;&gt;0,MIN(H35,L35,P35,T35,X35,AB35),"")</f>
        <v/>
      </c>
      <c r="AF35" s="164"/>
      <c r="AG35" s="163"/>
      <c r="AH35" s="164"/>
      <c r="AI35" s="163"/>
      <c r="AJ35" s="162" t="str">
        <f>IF(AD35="","",IF(ISBLANK(AF35),"En cours",AD35+AF35))</f>
        <v/>
      </c>
      <c r="AK35" s="162" t="str">
        <f>IF(AE35="","",IF(ISBLANK(AH35),"En cours",AE35+AH35))</f>
        <v/>
      </c>
    </row>
    <row r="36" spans="2:37" ht="21" x14ac:dyDescent="0.35">
      <c r="B36" s="163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4" t="str">
        <f>IF(MIN(F36,J36,N36,R36,V36,Z36)&lt;&gt;0,MIN(F36,J36,N36,R36,V36,Z36),"")</f>
        <v/>
      </c>
      <c r="AE36" s="164" t="str">
        <f>IF(MIN(H36,L36,P36,T36,X36,AB36)&lt;&gt;0,MIN(H36,L36,P36,T36,X36,AB36),"")</f>
        <v/>
      </c>
      <c r="AF36" s="164"/>
      <c r="AG36" s="163"/>
      <c r="AH36" s="164"/>
      <c r="AI36" s="163"/>
      <c r="AJ36" s="162" t="str">
        <f>IF(AD36="","",IF(ISBLANK(AF36),"En cours",AD36+AF36))</f>
        <v/>
      </c>
      <c r="AK36" s="162" t="str">
        <f>IF(AE36="","",IF(ISBLANK(AH36),"En cours",AE36+AH36))</f>
        <v/>
      </c>
    </row>
    <row r="37" spans="2:37" ht="21" x14ac:dyDescent="0.35"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 t="str">
        <f>IF(MIN(F37,J37,N37,R37,V37,Z37)&lt;&gt;0,MIN(F37,J37,N37,R37,V37,Z37),"")</f>
        <v/>
      </c>
      <c r="AE37" s="164" t="str">
        <f>IF(MIN(H37,L37,P37,T37,X37,AB37)&lt;&gt;0,MIN(H37,L37,P37,T37,X37,AB37),"")</f>
        <v/>
      </c>
      <c r="AF37" s="164"/>
      <c r="AG37" s="163"/>
      <c r="AH37" s="164"/>
      <c r="AI37" s="163"/>
      <c r="AJ37" s="162" t="str">
        <f>IF(AD37="","",IF(ISBLANK(AF37),"En cours",AD37+AF37))</f>
        <v/>
      </c>
      <c r="AK37" s="162" t="str">
        <f>IF(AE37="","",IF(ISBLANK(AH37),"En cours",AE37+AH37))</f>
        <v/>
      </c>
    </row>
    <row r="38" spans="2:37" ht="21" x14ac:dyDescent="0.35"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4" t="str">
        <f>IF(MIN(F38,J38,N38,R38,V38,Z38)&lt;&gt;0,MIN(F38,J38,N38,R38,V38,Z38),"")</f>
        <v/>
      </c>
      <c r="AE38" s="164" t="str">
        <f>IF(MIN(H38,L38,P38,T38,X38,AB38)&lt;&gt;0,MIN(H38,L38,P38,T38,X38,AB38),"")</f>
        <v/>
      </c>
      <c r="AF38" s="164"/>
      <c r="AG38" s="163"/>
      <c r="AH38" s="164"/>
      <c r="AI38" s="163"/>
      <c r="AJ38" s="162" t="str">
        <f>IF(AD38="","",IF(ISBLANK(AF38),"En cours",AD38+AF38))</f>
        <v/>
      </c>
      <c r="AK38" s="162" t="str">
        <f>IF(AE38="","",IF(ISBLANK(AH38),"En cours",AE38+AH38))</f>
        <v/>
      </c>
    </row>
    <row r="39" spans="2:37" ht="21" x14ac:dyDescent="0.35"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4" t="str">
        <f>IF(MIN(F39,J39,N39,R39,V39,Z39)&lt;&gt;0,MIN(F39,J39,N39,R39,V39,Z39),"")</f>
        <v/>
      </c>
      <c r="AE39" s="164" t="str">
        <f>IF(MIN(H39,L39,P39,T39,X39,AB39)&lt;&gt;0,MIN(H39,L39,P39,T39,X39,AB39),"")</f>
        <v/>
      </c>
      <c r="AF39" s="164"/>
      <c r="AG39" s="163"/>
      <c r="AH39" s="164"/>
      <c r="AI39" s="163"/>
      <c r="AJ39" s="162" t="str">
        <f>IF(AD39="","",IF(ISBLANK(AF39),"En cours",AD39+AF39))</f>
        <v/>
      </c>
      <c r="AK39" s="162" t="str">
        <f>IF(AE39="","",IF(ISBLANK(AH39),"En cours",AE39+AH39))</f>
        <v/>
      </c>
    </row>
    <row r="40" spans="2:37" ht="21" x14ac:dyDescent="0.35">
      <c r="B40" s="163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4" t="str">
        <f>IF(MIN(F40,J40,N40,R40,V40,Z40)&lt;&gt;0,MIN(F40,J40,N40,R40,V40,Z40),"")</f>
        <v/>
      </c>
      <c r="AE40" s="164" t="str">
        <f>IF(MIN(H40,L40,P40,T40,X40,AB40)&lt;&gt;0,MIN(H40,L40,P40,T40,X40,AB40),"")</f>
        <v/>
      </c>
      <c r="AF40" s="164"/>
      <c r="AG40" s="163"/>
      <c r="AH40" s="164"/>
      <c r="AI40" s="163"/>
      <c r="AJ40" s="162" t="str">
        <f>IF(AD40="","",IF(ISBLANK(AF40),"En cours",AD40+AF40))</f>
        <v/>
      </c>
      <c r="AK40" s="162" t="str">
        <f>IF(AE40="","",IF(ISBLANK(AH40),"En cours",AE40+AH40))</f>
        <v/>
      </c>
    </row>
    <row r="41" spans="2:37" ht="21" x14ac:dyDescent="0.35">
      <c r="B41" s="16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4" t="str">
        <f>IF(MIN(F41,J41,N41,R41,V41,Z41)&lt;&gt;0,MIN(F41,J41,N41,R41,V41,Z41),"")</f>
        <v/>
      </c>
      <c r="AE41" s="164" t="str">
        <f>IF(MIN(H41,L41,P41,T41,X41,AB41)&lt;&gt;0,MIN(H41,L41,P41,T41,X41,AB41),"")</f>
        <v/>
      </c>
      <c r="AF41" s="164"/>
      <c r="AG41" s="163"/>
      <c r="AH41" s="164"/>
      <c r="AI41" s="163"/>
      <c r="AJ41" s="162" t="str">
        <f>IF(AD41="","",IF(ISBLANK(AF41),"En cours",AD41+AF41))</f>
        <v/>
      </c>
      <c r="AK41" s="162" t="str">
        <f>IF(AE41="","",IF(ISBLANK(AH41),"En cours",AE41+AH41))</f>
        <v/>
      </c>
    </row>
    <row r="42" spans="2:37" ht="21" x14ac:dyDescent="0.35"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4" t="str">
        <f>IF(MIN(F42,J42,N42,R42,V42,Z42)&lt;&gt;0,MIN(F42,J42,N42,R42,V42,Z42),"")</f>
        <v/>
      </c>
      <c r="AE42" s="164" t="str">
        <f>IF(MIN(H42,L42,P42,T42,X42,AB42)&lt;&gt;0,MIN(H42,L42,P42,T42,X42,AB42),"")</f>
        <v/>
      </c>
      <c r="AF42" s="164"/>
      <c r="AG42" s="163"/>
      <c r="AH42" s="164"/>
      <c r="AI42" s="163"/>
      <c r="AJ42" s="162" t="str">
        <f>IF(AD42="","",IF(ISBLANK(AF42),"En cours",AD42+AF42))</f>
        <v/>
      </c>
      <c r="AK42" s="162" t="str">
        <f>IF(AE42="","",IF(ISBLANK(AH42),"En cours",AE42+AH42))</f>
        <v/>
      </c>
    </row>
    <row r="43" spans="2:37" ht="21" x14ac:dyDescent="0.35"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 t="str">
        <f>IF(MIN(F43,J43,N43,R43,V43,Z43)&lt;&gt;0,MIN(F43,J43,N43,R43,V43,Z43),"")</f>
        <v/>
      </c>
      <c r="AE43" s="164" t="str">
        <f>IF(MIN(H43,L43,P43,T43,X43,AB43)&lt;&gt;0,MIN(H43,L43,P43,T43,X43,AB43),"")</f>
        <v/>
      </c>
      <c r="AF43" s="164"/>
      <c r="AG43" s="163"/>
      <c r="AH43" s="164"/>
      <c r="AI43" s="163"/>
      <c r="AJ43" s="162" t="str">
        <f>IF(AD43="","",IF(ISBLANK(AF43),"En cours",AD43+AF43))</f>
        <v/>
      </c>
      <c r="AK43" s="162" t="str">
        <f>IF(AE43="","",IF(ISBLANK(AH43),"En cours",AE43+AH43))</f>
        <v/>
      </c>
    </row>
    <row r="44" spans="2:37" ht="21" x14ac:dyDescent="0.35"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 t="str">
        <f>IF(MIN(F44,J44,N44,R44,V44,Z44)&lt;&gt;0,MIN(F44,J44,N44,R44,V44,Z44),"")</f>
        <v/>
      </c>
      <c r="AE44" s="164" t="str">
        <f>IF(MIN(H44,L44,P44,T44,X44,AB44)&lt;&gt;0,MIN(H44,L44,P44,T44,X44,AB44),"")</f>
        <v/>
      </c>
      <c r="AF44" s="164"/>
      <c r="AG44" s="163"/>
      <c r="AH44" s="164"/>
      <c r="AI44" s="163"/>
      <c r="AJ44" s="162" t="str">
        <f>IF(AD44="","",IF(ISBLANK(AF44),"En cours",AD44+AF44))</f>
        <v/>
      </c>
      <c r="AK44" s="162" t="str">
        <f>IF(AE44="","",IF(ISBLANK(AH44),"En cours",AE44+AH44))</f>
        <v/>
      </c>
    </row>
    <row r="45" spans="2:37" ht="21" x14ac:dyDescent="0.35"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4" t="str">
        <f>IF(MIN(F45,J45,N45,R45,V45,Z45)&lt;&gt;0,MIN(F45,J45,N45,R45,V45,Z45),"")</f>
        <v/>
      </c>
      <c r="AE45" s="164" t="str">
        <f>IF(MIN(H45,L45,P45,T45,X45,AB45)&lt;&gt;0,MIN(H45,L45,P45,T45,X45,AB45),"")</f>
        <v/>
      </c>
      <c r="AF45" s="164"/>
      <c r="AG45" s="163"/>
      <c r="AH45" s="164"/>
      <c r="AI45" s="163"/>
      <c r="AJ45" s="162" t="str">
        <f>IF(AD45="","",IF(ISBLANK(AF45),"En cours",AD45+AF45))</f>
        <v/>
      </c>
      <c r="AK45" s="162" t="str">
        <f>IF(AE45="","",IF(ISBLANK(AH45),"En cours",AE45+AH45))</f>
        <v/>
      </c>
    </row>
    <row r="46" spans="2:37" ht="21" x14ac:dyDescent="0.35"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4" t="str">
        <f>IF(MIN(F46,J46,N46,R46,V46,Z46)&lt;&gt;0,MIN(F46,J46,N46,R46,V46,Z46),"")</f>
        <v/>
      </c>
      <c r="AE46" s="164" t="str">
        <f>IF(MIN(H46,L46,P46,T46,X46,AB46)&lt;&gt;0,MIN(H46,L46,P46,T46,X46,AB46),"")</f>
        <v/>
      </c>
      <c r="AF46" s="164"/>
      <c r="AG46" s="163"/>
      <c r="AH46" s="164"/>
      <c r="AI46" s="163"/>
      <c r="AJ46" s="162" t="str">
        <f>IF(AD46="","",IF(ISBLANK(AF46),"En cours",AD46+AF46))</f>
        <v/>
      </c>
      <c r="AK46" s="162" t="str">
        <f>IF(AE46="","",IF(ISBLANK(AH46),"En cours",AE46+AH46))</f>
        <v/>
      </c>
    </row>
    <row r="47" spans="2:37" ht="21" x14ac:dyDescent="0.35"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 t="str">
        <f>IF(MIN(F47,J47,N47,R47,V47,Z47)&lt;&gt;0,MIN(F47,J47,N47,R47,V47,Z47),"")</f>
        <v/>
      </c>
      <c r="AE47" s="164" t="str">
        <f>IF(MIN(H47,L47,P47,T47,X47,AB47)&lt;&gt;0,MIN(H47,L47,P47,T47,X47,AB47),"")</f>
        <v/>
      </c>
      <c r="AF47" s="164"/>
      <c r="AG47" s="163"/>
      <c r="AH47" s="164"/>
      <c r="AI47" s="163"/>
      <c r="AJ47" s="162" t="str">
        <f>IF(AD47="","",IF(ISBLANK(AF47),"En cours",AD47+AF47))</f>
        <v/>
      </c>
      <c r="AK47" s="162" t="str">
        <f>IF(AE47="","",IF(ISBLANK(AH47),"En cours",AE47+AH47))</f>
        <v/>
      </c>
    </row>
    <row r="48" spans="2:37" ht="21" x14ac:dyDescent="0.35"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4" t="str">
        <f>IF(MIN(F48,J48,N48,R48,V48,Z48)&lt;&gt;0,MIN(F48,J48,N48,R48,V48,Z48),"")</f>
        <v/>
      </c>
      <c r="AE48" s="164" t="str">
        <f>IF(MIN(H48,L48,P48,T48,X48,AB48)&lt;&gt;0,MIN(H48,L48,P48,T48,X48,AB48),"")</f>
        <v/>
      </c>
      <c r="AF48" s="164"/>
      <c r="AG48" s="163"/>
      <c r="AH48" s="164"/>
      <c r="AI48" s="163"/>
      <c r="AJ48" s="162" t="str">
        <f>IF(AD48="","",IF(ISBLANK(AF48),"En cours",AD48+AF48))</f>
        <v/>
      </c>
      <c r="AK48" s="162" t="str">
        <f>IF(AE48="","",IF(ISBLANK(AH48),"En cours",AE48+AH48))</f>
        <v/>
      </c>
    </row>
    <row r="49" spans="2:37" ht="21" x14ac:dyDescent="0.35"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 t="str">
        <f>IF(MIN(F49,J49,N49,R49,V49,Z49)&lt;&gt;0,MIN(F49,J49,N49,R49,V49,Z49),"")</f>
        <v/>
      </c>
      <c r="AE49" s="164" t="str">
        <f>IF(MIN(H49,L49,P49,T49,X49,AB49)&lt;&gt;0,MIN(H49,L49,P49,T49,X49,AB49),"")</f>
        <v/>
      </c>
      <c r="AF49" s="164"/>
      <c r="AG49" s="163"/>
      <c r="AH49" s="164"/>
      <c r="AI49" s="163"/>
      <c r="AJ49" s="162" t="str">
        <f>IF(AD49="","",IF(ISBLANK(AF49),"En cours",AD49+AF49))</f>
        <v/>
      </c>
      <c r="AK49" s="162" t="str">
        <f>IF(AE49="","",IF(ISBLANK(AH49),"En cours",AE49+AH49))</f>
        <v/>
      </c>
    </row>
    <row r="50" spans="2:37" ht="21" x14ac:dyDescent="0.35">
      <c r="B50" s="163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4" t="str">
        <f>IF(MIN(F50,J50,N50,R50,V50,Z50)&lt;&gt;0,MIN(F50,J50,N50,R50,V50,Z50),"")</f>
        <v/>
      </c>
      <c r="AE50" s="164" t="str">
        <f>IF(MIN(H50,L50,P50,T50,X50,AB50)&lt;&gt;0,MIN(H50,L50,P50,T50,X50,AB50),"")</f>
        <v/>
      </c>
      <c r="AF50" s="164"/>
      <c r="AG50" s="163"/>
      <c r="AH50" s="164"/>
      <c r="AI50" s="163"/>
      <c r="AJ50" s="162" t="str">
        <f>IF(AD50="","",IF(ISBLANK(AF50),"En cours",AD50+AF50))</f>
        <v/>
      </c>
      <c r="AK50" s="162" t="str">
        <f>IF(AE50="","",IF(ISBLANK(AH50),"En cours",AE50+AH50))</f>
        <v/>
      </c>
    </row>
    <row r="51" spans="2:37" ht="21" x14ac:dyDescent="0.35">
      <c r="B51" s="163"/>
      <c r="C51" s="163"/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 t="str">
        <f>IF(MIN(F51,J51,N51,R51,V51,Z51)&lt;&gt;0,MIN(F51,J51,N51,R51,V51,Z51),"")</f>
        <v/>
      </c>
      <c r="AE51" s="164" t="str">
        <f>IF(MIN(H51,L51,P51,T51,X51,AB51)&lt;&gt;0,MIN(H51,L51,P51,T51,X51,AB51),"")</f>
        <v/>
      </c>
      <c r="AF51" s="164"/>
      <c r="AG51" s="163"/>
      <c r="AH51" s="164"/>
      <c r="AI51" s="163"/>
      <c r="AJ51" s="162" t="str">
        <f>IF(AD51="","",IF(ISBLANK(AF51),"En cours",AD51+AF51))</f>
        <v/>
      </c>
      <c r="AK51" s="162" t="str">
        <f>IF(AE51="","",IF(ISBLANK(AH51),"En cours",AE51+AH51))</f>
        <v/>
      </c>
    </row>
    <row r="52" spans="2:37" ht="21" x14ac:dyDescent="0.35"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 t="str">
        <f>IF(MIN(F52,J52,N52,R52,V52,Z52)&lt;&gt;0,MIN(F52,J52,N52,R52,V52,Z52),"")</f>
        <v/>
      </c>
      <c r="AE52" s="164" t="str">
        <f>IF(MIN(H52,L52,P52,T52,X52,AB52)&lt;&gt;0,MIN(H52,L52,P52,T52,X52,AB52),"")</f>
        <v/>
      </c>
      <c r="AF52" s="164"/>
      <c r="AG52" s="163"/>
      <c r="AH52" s="164"/>
      <c r="AI52" s="163"/>
      <c r="AJ52" s="162" t="str">
        <f>IF(AD52="","",IF(ISBLANK(AF52),"En cours",AD52+AF52))</f>
        <v/>
      </c>
      <c r="AK52" s="162" t="str">
        <f>IF(AE52="","",IF(ISBLANK(AH52),"En cours",AE52+AH52))</f>
        <v/>
      </c>
    </row>
    <row r="53" spans="2:37" ht="21" x14ac:dyDescent="0.35"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4" t="str">
        <f>IF(MIN(F53,J53,N53,R53,V53,Z53)&lt;&gt;0,MIN(F53,J53,N53,R53,V53,Z53),"")</f>
        <v/>
      </c>
      <c r="AE53" s="164" t="str">
        <f>IF(MIN(H53,L53,P53,T53,X53,AB53)&lt;&gt;0,MIN(H53,L53,P53,T53,X53,AB53),"")</f>
        <v/>
      </c>
      <c r="AF53" s="164"/>
      <c r="AG53" s="163"/>
      <c r="AH53" s="164"/>
      <c r="AI53" s="163"/>
      <c r="AJ53" s="162" t="str">
        <f>IF(AD53="","",IF(ISBLANK(AF53),"En cours",AD53+AF53))</f>
        <v/>
      </c>
      <c r="AK53" s="162" t="str">
        <f>IF(AE53="","",IF(ISBLANK(AH53),"En cours",AE53+AH53))</f>
        <v/>
      </c>
    </row>
    <row r="54" spans="2:37" ht="21" x14ac:dyDescent="0.35"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4" t="str">
        <f>IF(MIN(F54,J54,N54,R54,V54,Z54)&lt;&gt;0,MIN(F54,J54,N54,R54,V54,Z54),"")</f>
        <v/>
      </c>
      <c r="AE54" s="164" t="str">
        <f>IF(MIN(H54,L54,P54,T54,X54,AB54)&lt;&gt;0,MIN(H54,L54,P54,T54,X54,AB54),"")</f>
        <v/>
      </c>
      <c r="AF54" s="164"/>
      <c r="AG54" s="163"/>
      <c r="AH54" s="164"/>
      <c r="AI54" s="163"/>
      <c r="AJ54" s="162" t="str">
        <f>IF(AD54="","",IF(ISBLANK(AF54),"En cours",AD54+AF54))</f>
        <v/>
      </c>
      <c r="AK54" s="162" t="str">
        <f>IF(AE54="","",IF(ISBLANK(AH54),"En cours",AE54+AH54))</f>
        <v/>
      </c>
    </row>
    <row r="55" spans="2:37" ht="21" x14ac:dyDescent="0.35"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 t="str">
        <f>IF(MIN(F55,J55,N55,R55,V55,Z55)&lt;&gt;0,MIN(F55,J55,N55,R55,V55,Z55),"")</f>
        <v/>
      </c>
      <c r="AE55" s="164" t="str">
        <f>IF(MIN(H55,L55,P55,T55,X55,AB55)&lt;&gt;0,MIN(H55,L55,P55,T55,X55,AB55),"")</f>
        <v/>
      </c>
      <c r="AF55" s="164"/>
      <c r="AG55" s="163"/>
      <c r="AH55" s="164"/>
      <c r="AI55" s="163"/>
      <c r="AJ55" s="162" t="str">
        <f>IF(AD55="","",IF(ISBLANK(AF55),"En cours",AD55+AF55))</f>
        <v/>
      </c>
      <c r="AK55" s="162" t="str">
        <f>IF(AE55="","",IF(ISBLANK(AH55),"En cours",AE55+AH55))</f>
        <v/>
      </c>
    </row>
    <row r="56" spans="2:37" ht="21" x14ac:dyDescent="0.35"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 t="str">
        <f>IF(MIN(F56,J56,N56,R56,V56,Z56)&lt;&gt;0,MIN(F56,J56,N56,R56,V56,Z56),"")</f>
        <v/>
      </c>
      <c r="AE56" s="164" t="str">
        <f>IF(MIN(H56,L56,P56,T56,X56,AB56)&lt;&gt;0,MIN(H56,L56,P56,T56,X56,AB56),"")</f>
        <v/>
      </c>
      <c r="AF56" s="164"/>
      <c r="AG56" s="163"/>
      <c r="AH56" s="164"/>
      <c r="AI56" s="163"/>
      <c r="AJ56" s="162" t="str">
        <f>IF(AD56="","",IF(ISBLANK(AF56),"En cours",AD56+AF56))</f>
        <v/>
      </c>
      <c r="AK56" s="162" t="str">
        <f>IF(AE56="","",IF(ISBLANK(AH56),"En cours",AE56+AH56))</f>
        <v/>
      </c>
    </row>
    <row r="57" spans="2:37" ht="21" x14ac:dyDescent="0.35"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4" t="str">
        <f>IF(MIN(F57,J57,N57,R57,V57,Z57)&lt;&gt;0,MIN(F57,J57,N57,R57,V57,Z57),"")</f>
        <v/>
      </c>
      <c r="AE57" s="164" t="str">
        <f>IF(MIN(H57,L57,P57,T57,X57,AB57)&lt;&gt;0,MIN(H57,L57,P57,T57,X57,AB57),"")</f>
        <v/>
      </c>
      <c r="AF57" s="164"/>
      <c r="AG57" s="163"/>
      <c r="AH57" s="164"/>
      <c r="AI57" s="163"/>
      <c r="AJ57" s="162" t="str">
        <f>IF(AD57="","",IF(ISBLANK(AF57),"En cours",AD57+AF57))</f>
        <v/>
      </c>
      <c r="AK57" s="162" t="str">
        <f>IF(AE57="","",IF(ISBLANK(AH57),"En cours",AE57+AH57))</f>
        <v/>
      </c>
    </row>
    <row r="58" spans="2:37" ht="21" x14ac:dyDescent="0.35"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 t="str">
        <f>IF(MIN(F58,J58,N58,R58,V58,Z58)&lt;&gt;0,MIN(F58,J58,N58,R58,V58,Z58),"")</f>
        <v/>
      </c>
      <c r="AE58" s="164" t="str">
        <f>IF(MIN(H58,L58,P58,T58,X58,AB58)&lt;&gt;0,MIN(H58,L58,P58,T58,X58,AB58),"")</f>
        <v/>
      </c>
      <c r="AF58" s="164"/>
      <c r="AG58" s="163"/>
      <c r="AH58" s="164"/>
      <c r="AI58" s="163"/>
      <c r="AJ58" s="162" t="str">
        <f>IF(AD58="","",IF(ISBLANK(AF58),"En cours",AD58+AF58))</f>
        <v/>
      </c>
      <c r="AK58" s="162" t="str">
        <f>IF(AE58="","",IF(ISBLANK(AH58),"En cours",AE58+AH58))</f>
        <v/>
      </c>
    </row>
    <row r="59" spans="2:37" ht="21" x14ac:dyDescent="0.35"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4" t="str">
        <f>IF(MIN(F59,J59,N59,R59,V59,Z59)&lt;&gt;0,MIN(F59,J59,N59,R59,V59,Z59),"")</f>
        <v/>
      </c>
      <c r="AE59" s="164" t="str">
        <f>IF(MIN(H59,L59,P59,T59,X59,AB59)&lt;&gt;0,MIN(H59,L59,P59,T59,X59,AB59),"")</f>
        <v/>
      </c>
      <c r="AF59" s="164"/>
      <c r="AG59" s="163"/>
      <c r="AH59" s="164"/>
      <c r="AI59" s="163"/>
      <c r="AJ59" s="162" t="str">
        <f>IF(AD59="","",IF(ISBLANK(AF59),"En cours",AD59+AF59))</f>
        <v/>
      </c>
      <c r="AK59" s="162" t="str">
        <f>IF(AE59="","",IF(ISBLANK(AH59),"En cours",AE59+AH59))</f>
        <v/>
      </c>
    </row>
    <row r="60" spans="2:37" ht="21" x14ac:dyDescent="0.35"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 t="str">
        <f>IF(MIN(F60,J60,N60,R60,V60,Z60)&lt;&gt;0,MIN(F60,J60,N60,R60,V60,Z60),"")</f>
        <v/>
      </c>
      <c r="AE60" s="164" t="str">
        <f>IF(MIN(H60,L60,P60,T60,X60,AB60)&lt;&gt;0,MIN(H60,L60,P60,T60,X60,AB60),"")</f>
        <v/>
      </c>
      <c r="AF60" s="164"/>
      <c r="AG60" s="163"/>
      <c r="AH60" s="164"/>
      <c r="AI60" s="163"/>
      <c r="AJ60" s="162" t="str">
        <f>IF(AD60="","",IF(ISBLANK(AF60),"En cours",AD60+AF60))</f>
        <v/>
      </c>
      <c r="AK60" s="162" t="str">
        <f>IF(AE60="","",IF(ISBLANK(AH60),"En cours",AE60+AH60))</f>
        <v/>
      </c>
    </row>
    <row r="61" spans="2:37" ht="21" x14ac:dyDescent="0.35"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 t="str">
        <f>IF(MIN(F61,J61,N61,R61,V61,Z61)&lt;&gt;0,MIN(F61,J61,N61,R61,V61,Z61),"")</f>
        <v/>
      </c>
      <c r="AE61" s="164" t="str">
        <f>IF(MIN(H61,L61,P61,T61,X61,AB61)&lt;&gt;0,MIN(H61,L61,P61,T61,X61,AB61),"")</f>
        <v/>
      </c>
      <c r="AF61" s="164"/>
      <c r="AG61" s="163"/>
      <c r="AH61" s="164"/>
      <c r="AI61" s="163"/>
      <c r="AJ61" s="162" t="str">
        <f>IF(AD61="","",IF(ISBLANK(AF61),"En cours",AD61+AF61))</f>
        <v/>
      </c>
      <c r="AK61" s="162" t="str">
        <f>IF(AE61="","",IF(ISBLANK(AH61),"En cours",AE61+AH61))</f>
        <v/>
      </c>
    </row>
    <row r="62" spans="2:37" ht="21" x14ac:dyDescent="0.35"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 t="str">
        <f>IF(MIN(F62,J62,N62,R62,V62,Z62)&lt;&gt;0,MIN(F62,J62,N62,R62,V62,Z62),"")</f>
        <v/>
      </c>
      <c r="AE62" s="164" t="str">
        <f>IF(MIN(H62,L62,P62,T62,X62,AB62)&lt;&gt;0,MIN(H62,L62,P62,T62,X62,AB62),"")</f>
        <v/>
      </c>
      <c r="AF62" s="164"/>
      <c r="AG62" s="163"/>
      <c r="AH62" s="164"/>
      <c r="AI62" s="163"/>
      <c r="AJ62" s="162" t="str">
        <f>IF(AD62="","",IF(ISBLANK(AF62),"En cours",AD62+AF62))</f>
        <v/>
      </c>
      <c r="AK62" s="162" t="str">
        <f>IF(AE62="","",IF(ISBLANK(AH62),"En cours",AE62+AH62))</f>
        <v/>
      </c>
    </row>
    <row r="63" spans="2:37" ht="21" x14ac:dyDescent="0.35"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 t="str">
        <f>IF(MIN(F63,J63,N63,R63,V63,Z63)&lt;&gt;0,MIN(F63,J63,N63,R63,V63,Z63),"")</f>
        <v/>
      </c>
      <c r="AE63" s="164" t="str">
        <f>IF(MIN(H63,L63,P63,T63,X63,AB63)&lt;&gt;0,MIN(H63,L63,P63,T63,X63,AB63),"")</f>
        <v/>
      </c>
      <c r="AF63" s="164"/>
      <c r="AG63" s="163"/>
      <c r="AH63" s="164"/>
      <c r="AI63" s="163"/>
      <c r="AJ63" s="162" t="str">
        <f>IF(AD63="","",IF(ISBLANK(AF63),"En cours",AD63+AF63))</f>
        <v/>
      </c>
      <c r="AK63" s="162" t="str">
        <f>IF(AE63="","",IF(ISBLANK(AH63),"En cours",AE63+AH63))</f>
        <v/>
      </c>
    </row>
    <row r="64" spans="2:37" ht="21" x14ac:dyDescent="0.35"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4" t="str">
        <f>IF(MIN(F64,J64,N64,R64,V64,Z64)&lt;&gt;0,MIN(F64,J64,N64,R64,V64,Z64),"")</f>
        <v/>
      </c>
      <c r="AE64" s="164" t="str">
        <f>IF(MIN(H64,L64,P64,T64,X64,AB64)&lt;&gt;0,MIN(H64,L64,P64,T64,X64,AB64),"")</f>
        <v/>
      </c>
      <c r="AF64" s="164"/>
      <c r="AG64" s="163"/>
      <c r="AH64" s="164"/>
      <c r="AI64" s="163"/>
      <c r="AJ64" s="162" t="str">
        <f>IF(AD64="","",IF(ISBLANK(AF64),"En cours",AD64+AF64))</f>
        <v/>
      </c>
      <c r="AK64" s="162" t="str">
        <f>IF(AE64="","",IF(ISBLANK(AH64),"En cours",AE64+AH64))</f>
        <v/>
      </c>
    </row>
    <row r="65" spans="2:37" ht="21" x14ac:dyDescent="0.35"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 t="str">
        <f>IF(MIN(F65,J65,N65,R65,V65,Z65)&lt;&gt;0,MIN(F65,J65,N65,R65,V65,Z65),"")</f>
        <v/>
      </c>
      <c r="AE65" s="164" t="str">
        <f>IF(MIN(H65,L65,P65,T65,X65,AB65)&lt;&gt;0,MIN(H65,L65,P65,T65,X65,AB65),"")</f>
        <v/>
      </c>
      <c r="AF65" s="164"/>
      <c r="AG65" s="163"/>
      <c r="AH65" s="164"/>
      <c r="AI65" s="163"/>
      <c r="AJ65" s="162" t="str">
        <f>IF(AD65="","",IF(ISBLANK(AF65),"En cours",AD65+AF65))</f>
        <v/>
      </c>
      <c r="AK65" s="162" t="str">
        <f>IF(AE65="","",IF(ISBLANK(AH65),"En cours",AE65+AH65))</f>
        <v/>
      </c>
    </row>
    <row r="66" spans="2:37" ht="21" x14ac:dyDescent="0.35"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4" t="str">
        <f>IF(MIN(F66,J66,N66,R66,V66,Z66)&lt;&gt;0,MIN(F66,J66,N66,R66,V66,Z66),"")</f>
        <v/>
      </c>
      <c r="AE66" s="164" t="str">
        <f>IF(MIN(H66,L66,P66,T66,X66,AB66)&lt;&gt;0,MIN(H66,L66,P66,T66,X66,AB66),"")</f>
        <v/>
      </c>
      <c r="AF66" s="164"/>
      <c r="AG66" s="163"/>
      <c r="AH66" s="164"/>
      <c r="AI66" s="163"/>
      <c r="AJ66" s="162" t="str">
        <f>IF(AD66="","",IF(ISBLANK(AF66),"En cours",AD66+AF66))</f>
        <v/>
      </c>
      <c r="AK66" s="162" t="str">
        <f>IF(AE66="","",IF(ISBLANK(AH66),"En cours",AE66+AH66))</f>
        <v/>
      </c>
    </row>
    <row r="67" spans="2:37" ht="21" x14ac:dyDescent="0.35"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4" t="str">
        <f>IF(MIN(F67,J67,N67,R67,V67,Z67)&lt;&gt;0,MIN(F67,J67,N67,R67,V67,Z67),"")</f>
        <v/>
      </c>
      <c r="AE67" s="164" t="str">
        <f>IF(MIN(H67,L67,P67,T67,X67,AB67)&lt;&gt;0,MIN(H67,L67,P67,T67,X67,AB67),"")</f>
        <v/>
      </c>
      <c r="AF67" s="164"/>
      <c r="AG67" s="163"/>
      <c r="AH67" s="164"/>
      <c r="AI67" s="163"/>
      <c r="AJ67" s="162" t="str">
        <f>IF(AD67="","",IF(ISBLANK(AF67),"En cours",AD67+AF67))</f>
        <v/>
      </c>
      <c r="AK67" s="162" t="str">
        <f>IF(AE67="","",IF(ISBLANK(AH67),"En cours",AE67+AH67))</f>
        <v/>
      </c>
    </row>
    <row r="68" spans="2:37" ht="21" x14ac:dyDescent="0.35"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4" t="str">
        <f>IF(MIN(F68,J68,N68,R68,V68,Z68)&lt;&gt;0,MIN(F68,J68,N68,R68,V68,Z68),"")</f>
        <v/>
      </c>
      <c r="AE68" s="164" t="str">
        <f>IF(MIN(H68,L68,P68,T68,X68,AB68)&lt;&gt;0,MIN(H68,L68,P68,T68,X68,AB68),"")</f>
        <v/>
      </c>
      <c r="AF68" s="164"/>
      <c r="AG68" s="163"/>
      <c r="AH68" s="164"/>
      <c r="AI68" s="163"/>
      <c r="AJ68" s="162" t="str">
        <f>IF(AD68="","",IF(ISBLANK(AF68),"En cours",AD68+AF68))</f>
        <v/>
      </c>
      <c r="AK68" s="162" t="str">
        <f>IF(AE68="","",IF(ISBLANK(AH68),"En cours",AE68+AH68))</f>
        <v/>
      </c>
    </row>
    <row r="69" spans="2:37" ht="21" x14ac:dyDescent="0.35">
      <c r="B69" s="16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4" t="str">
        <f>IF(MIN(F69,J69,N69,R69,V69,Z69)&lt;&gt;0,MIN(F69,J69,N69,R69,V69,Z69),"")</f>
        <v/>
      </c>
      <c r="AE69" s="164" t="str">
        <f>IF(MIN(H69,L69,P69,T69,X69,AB69)&lt;&gt;0,MIN(H69,L69,P69,T69,X69,AB69),"")</f>
        <v/>
      </c>
      <c r="AF69" s="164"/>
      <c r="AG69" s="163"/>
      <c r="AH69" s="164"/>
      <c r="AI69" s="163"/>
      <c r="AJ69" s="162" t="str">
        <f>IF(AD69="","",IF(ISBLANK(AF69),"En cours",AD69+AF69))</f>
        <v/>
      </c>
      <c r="AK69" s="162" t="str">
        <f>IF(AE69="","",IF(ISBLANK(AH69),"En cours",AE69+AH69))</f>
        <v/>
      </c>
    </row>
    <row r="70" spans="2:37" ht="21" x14ac:dyDescent="0.35">
      <c r="B70" s="163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 t="str">
        <f>IF(MIN(F70,J70,N70,R70,V70,Z70)&lt;&gt;0,MIN(F70,J70,N70,R70,V70,Z70),"")</f>
        <v/>
      </c>
      <c r="AE70" s="164" t="str">
        <f>IF(MIN(H70,L70,P70,T70,X70,AB70)&lt;&gt;0,MIN(H70,L70,P70,T70,X70,AB70),"")</f>
        <v/>
      </c>
      <c r="AF70" s="164"/>
      <c r="AG70" s="163"/>
      <c r="AH70" s="164"/>
      <c r="AI70" s="163"/>
      <c r="AJ70" s="162" t="str">
        <f>IF(AD70="","",IF(ISBLANK(AF70),"En cours",AD70+AF70))</f>
        <v/>
      </c>
      <c r="AK70" s="162" t="str">
        <f>IF(AE70="","",IF(ISBLANK(AH70),"En cours",AE70+AH70))</f>
        <v/>
      </c>
    </row>
    <row r="71" spans="2:37" ht="21" x14ac:dyDescent="0.35"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4" t="str">
        <f>IF(MIN(F71,J71,N71,R71,V71,Z71)&lt;&gt;0,MIN(F71,J71,N71,R71,V71,Z71),"")</f>
        <v/>
      </c>
      <c r="AE71" s="164" t="str">
        <f>IF(MIN(H71,L71,P71,T71,X71,AB71)&lt;&gt;0,MIN(H71,L71,P71,T71,X71,AB71),"")</f>
        <v/>
      </c>
      <c r="AF71" s="164"/>
      <c r="AG71" s="163"/>
      <c r="AH71" s="164"/>
      <c r="AI71" s="163"/>
      <c r="AJ71" s="162" t="str">
        <f>IF(AD71="","",IF(ISBLANK(AF71),"En cours",AD71+AF71))</f>
        <v/>
      </c>
      <c r="AK71" s="162" t="str">
        <f>IF(AE71="","",IF(ISBLANK(AH71),"En cours",AE71+AH71))</f>
        <v/>
      </c>
    </row>
    <row r="72" spans="2:37" ht="21" x14ac:dyDescent="0.35">
      <c r="B72" s="163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4" t="str">
        <f>IF(MIN(F72,J72,N72,R72,V72,Z72)&lt;&gt;0,MIN(F72,J72,N72,R72,V72,Z72),"")</f>
        <v/>
      </c>
      <c r="AE72" s="164" t="str">
        <f>IF(MIN(H72,L72,P72,T72,X72,AB72)&lt;&gt;0,MIN(H72,L72,P72,T72,X72,AB72),"")</f>
        <v/>
      </c>
      <c r="AF72" s="164"/>
      <c r="AG72" s="163"/>
      <c r="AH72" s="164"/>
      <c r="AI72" s="163"/>
      <c r="AJ72" s="162" t="str">
        <f>IF(AD72="","",IF(ISBLANK(AF72),"En cours",AD72+AF72))</f>
        <v/>
      </c>
      <c r="AK72" s="162" t="str">
        <f>IF(AE72="","",IF(ISBLANK(AH72),"En cours",AE72+AH72))</f>
        <v/>
      </c>
    </row>
    <row r="73" spans="2:37" ht="21" x14ac:dyDescent="0.35">
      <c r="B73" s="16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4" t="str">
        <f>IF(MIN(F73,J73,N73,R73,V73,Z73)&lt;&gt;0,MIN(F73,J73,N73,R73,V73,Z73),"")</f>
        <v/>
      </c>
      <c r="AE73" s="164" t="str">
        <f>IF(MIN(H73,L73,P73,T73,X73,AB73)&lt;&gt;0,MIN(H73,L73,P73,T73,X73,AB73),"")</f>
        <v/>
      </c>
      <c r="AF73" s="164"/>
      <c r="AG73" s="163"/>
      <c r="AH73" s="164"/>
      <c r="AI73" s="163"/>
      <c r="AJ73" s="162" t="str">
        <f>IF(AD73="","",IF(ISBLANK(AF73),"En cours",AD73+AF73))</f>
        <v/>
      </c>
      <c r="AK73" s="162" t="str">
        <f>IF(AE73="","",IF(ISBLANK(AH73),"En cours",AE73+AH73))</f>
        <v/>
      </c>
    </row>
    <row r="74" spans="2:37" ht="21" x14ac:dyDescent="0.35">
      <c r="B74" s="163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 t="str">
        <f>IF(MIN(F74,J74,N74,R74,V74,Z74)&lt;&gt;0,MIN(F74,J74,N74,R74,V74,Z74),"")</f>
        <v/>
      </c>
      <c r="AE74" s="164" t="str">
        <f>IF(MIN(H74,L74,P74,T74,X74,AB74)&lt;&gt;0,MIN(H74,L74,P74,T74,X74,AB74),"")</f>
        <v/>
      </c>
      <c r="AF74" s="164"/>
      <c r="AG74" s="163"/>
      <c r="AH74" s="164"/>
      <c r="AI74" s="163"/>
      <c r="AJ74" s="162" t="str">
        <f>IF(AD74="","",IF(ISBLANK(AF74),"En cours",AD74+AF74))</f>
        <v/>
      </c>
      <c r="AK74" s="162" t="str">
        <f>IF(AE74="","",IF(ISBLANK(AH74),"En cours",AE74+AH74))</f>
        <v/>
      </c>
    </row>
    <row r="75" spans="2:37" ht="21" x14ac:dyDescent="0.35">
      <c r="B75" s="163"/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 t="str">
        <f>IF(MIN(F75,J75,N75,R75,V75,Z75)&lt;&gt;0,MIN(F75,J75,N75,R75,V75,Z75),"")</f>
        <v/>
      </c>
      <c r="AE75" s="164" t="str">
        <f>IF(MIN(H75,L75,P75,T75,X75,AB75)&lt;&gt;0,MIN(H75,L75,P75,T75,X75,AB75),"")</f>
        <v/>
      </c>
      <c r="AF75" s="164"/>
      <c r="AG75" s="163"/>
      <c r="AH75" s="164"/>
      <c r="AI75" s="163"/>
      <c r="AJ75" s="162" t="str">
        <f>IF(AD75="","",IF(ISBLANK(AF75),"En cours",AD75+AF75))</f>
        <v/>
      </c>
      <c r="AK75" s="162" t="str">
        <f>IF(AE75="","",IF(ISBLANK(AH75),"En cours",AE75+AH75))</f>
        <v/>
      </c>
    </row>
    <row r="76" spans="2:37" ht="21" x14ac:dyDescent="0.35">
      <c r="B76" s="163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4" t="str">
        <f>IF(MIN(F76,J76,N76,R76,V76,Z76)&lt;&gt;0,MIN(F76,J76,N76,R76,V76,Z76),"")</f>
        <v/>
      </c>
      <c r="AE76" s="164" t="str">
        <f>IF(MIN(H76,L76,P76,T76,X76,AB76)&lt;&gt;0,MIN(H76,L76,P76,T76,X76,AB76),"")</f>
        <v/>
      </c>
      <c r="AF76" s="164"/>
      <c r="AG76" s="163"/>
      <c r="AH76" s="164"/>
      <c r="AI76" s="163"/>
      <c r="AJ76" s="162" t="str">
        <f>IF(AD76="","",IF(ISBLANK(AF76),"En cours",AD76+AF76))</f>
        <v/>
      </c>
      <c r="AK76" s="162" t="str">
        <f>IF(AE76="","",IF(ISBLANK(AH76),"En cours",AE76+AH76))</f>
        <v/>
      </c>
    </row>
    <row r="77" spans="2:37" ht="21" x14ac:dyDescent="0.35"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4" t="str">
        <f>IF(MIN(F77,J77,N77,R77,V77,Z77)&lt;&gt;0,MIN(F77,J77,N77,R77,V77,Z77),"")</f>
        <v/>
      </c>
      <c r="AE77" s="164" t="str">
        <f>IF(MIN(H77,L77,P77,T77,X77,AB77)&lt;&gt;0,MIN(H77,L77,P77,T77,X77,AB77),"")</f>
        <v/>
      </c>
      <c r="AF77" s="164"/>
      <c r="AG77" s="163"/>
      <c r="AH77" s="164"/>
      <c r="AI77" s="163"/>
      <c r="AJ77" s="162" t="str">
        <f>IF(AD77="","",IF(ISBLANK(AF77),"En cours",AD77+AF77))</f>
        <v/>
      </c>
      <c r="AK77" s="162" t="str">
        <f>IF(AE77="","",IF(ISBLANK(AH77),"En cours",AE77+AH77))</f>
        <v/>
      </c>
    </row>
    <row r="78" spans="2:37" ht="21" x14ac:dyDescent="0.35"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4" t="str">
        <f>IF(MIN(F78,J78,N78,R78,V78,Z78)&lt;&gt;0,MIN(F78,J78,N78,R78,V78,Z78),"")</f>
        <v/>
      </c>
      <c r="AE78" s="164" t="str">
        <f>IF(MIN(H78,L78,P78,T78,X78,AB78)&lt;&gt;0,MIN(H78,L78,P78,T78,X78,AB78),"")</f>
        <v/>
      </c>
      <c r="AF78" s="164"/>
      <c r="AG78" s="163"/>
      <c r="AH78" s="164"/>
      <c r="AI78" s="163"/>
      <c r="AJ78" s="162" t="str">
        <f>IF(AD78="","",IF(ISBLANK(AF78),"En cours",AD78+AF78))</f>
        <v/>
      </c>
      <c r="AK78" s="162" t="str">
        <f>IF(AE78="","",IF(ISBLANK(AH78),"En cours",AE78+AH78))</f>
        <v/>
      </c>
    </row>
    <row r="79" spans="2:37" ht="21" x14ac:dyDescent="0.35">
      <c r="B79" s="163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4" t="str">
        <f>IF(MIN(F79,J79,N79,R79,V79,Z79)&lt;&gt;0,MIN(F79,J79,N79,R79,V79,Z79),"")</f>
        <v/>
      </c>
      <c r="AE79" s="164" t="str">
        <f>IF(MIN(H79,L79,P79,T79,X79,AB79)&lt;&gt;0,MIN(H79,L79,P79,T79,X79,AB79),"")</f>
        <v/>
      </c>
      <c r="AF79" s="164"/>
      <c r="AG79" s="163"/>
      <c r="AH79" s="164"/>
      <c r="AI79" s="163"/>
      <c r="AJ79" s="162" t="str">
        <f>IF(AD79="","",IF(ISBLANK(AF79),"En cours",AD79+AF79))</f>
        <v/>
      </c>
      <c r="AK79" s="162" t="str">
        <f>IF(AE79="","",IF(ISBLANK(AH79),"En cours",AE79+AH79))</f>
        <v/>
      </c>
    </row>
    <row r="80" spans="2:37" ht="21" x14ac:dyDescent="0.35"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4" t="str">
        <f>IF(MIN(F80,J80,N80,R80,V80,Z80)&lt;&gt;0,MIN(F80,J80,N80,R80,V80,Z80),"")</f>
        <v/>
      </c>
      <c r="AE80" s="164" t="str">
        <f>IF(MIN(H80,L80,P80,T80,X80,AB80)&lt;&gt;0,MIN(H80,L80,P80,T80,X80,AB80),"")</f>
        <v/>
      </c>
      <c r="AF80" s="164"/>
      <c r="AG80" s="163"/>
      <c r="AH80" s="164"/>
      <c r="AI80" s="163"/>
      <c r="AJ80" s="162" t="str">
        <f>IF(AD80="","",IF(ISBLANK(AF80),"En cours",AD80+AF80))</f>
        <v/>
      </c>
      <c r="AK80" s="162" t="str">
        <f>IF(AE80="","",IF(ISBLANK(AH80),"En cours",AE80+AH80))</f>
        <v/>
      </c>
    </row>
    <row r="81" spans="2:37" ht="21" x14ac:dyDescent="0.35"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 t="str">
        <f>IF(MIN(F81,J81,N81,R81,V81,Z81)&lt;&gt;0,MIN(F81,J81,N81,R81,V81,Z81),"")</f>
        <v/>
      </c>
      <c r="AE81" s="164" t="str">
        <f>IF(MIN(H81,L81,P81,T81,X81,AB81)&lt;&gt;0,MIN(H81,L81,P81,T81,X81,AB81),"")</f>
        <v/>
      </c>
      <c r="AF81" s="164"/>
      <c r="AG81" s="163"/>
      <c r="AH81" s="164"/>
      <c r="AI81" s="163"/>
      <c r="AJ81" s="162" t="str">
        <f>IF(AD81="","",IF(ISBLANK(AF81),"En cours",AD81+AF81))</f>
        <v/>
      </c>
      <c r="AK81" s="162" t="str">
        <f>IF(AE81="","",IF(ISBLANK(AH81),"En cours",AE81+AH81))</f>
        <v/>
      </c>
    </row>
    <row r="82" spans="2:37" ht="21" x14ac:dyDescent="0.35"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4" t="str">
        <f>IF(MIN(F82,J82,N82,R82,V82,Z82)&lt;&gt;0,MIN(F82,J82,N82,R82,V82,Z82),"")</f>
        <v/>
      </c>
      <c r="AE82" s="164" t="str">
        <f>IF(MIN(H82,L82,P82,T82,X82,AB82)&lt;&gt;0,MIN(H82,L82,P82,T82,X82,AB82),"")</f>
        <v/>
      </c>
      <c r="AF82" s="164"/>
      <c r="AG82" s="163"/>
      <c r="AH82" s="164"/>
      <c r="AI82" s="163"/>
      <c r="AJ82" s="162" t="str">
        <f>IF(AD82="","",IF(ISBLANK(AF82),"En cours",AD82+AF82))</f>
        <v/>
      </c>
      <c r="AK82" s="162" t="str">
        <f>IF(AE82="","",IF(ISBLANK(AH82),"En cours",AE82+AH82))</f>
        <v/>
      </c>
    </row>
    <row r="83" spans="2:37" ht="21" x14ac:dyDescent="0.35"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4" t="str">
        <f>IF(MIN(F83,J83,N83,R83,V83,Z83)&lt;&gt;0,MIN(F83,J83,N83,R83,V83,Z83),"")</f>
        <v/>
      </c>
      <c r="AE83" s="164" t="str">
        <f>IF(MIN(H83,L83,P83,T83,X83,AB83)&lt;&gt;0,MIN(H83,L83,P83,T83,X83,AB83),"")</f>
        <v/>
      </c>
      <c r="AF83" s="164"/>
      <c r="AG83" s="163"/>
      <c r="AH83" s="164"/>
      <c r="AI83" s="163"/>
      <c r="AJ83" s="162" t="str">
        <f>IF(AD83="","",IF(ISBLANK(AF83),"En cours",AD83+AF83))</f>
        <v/>
      </c>
      <c r="AK83" s="162" t="str">
        <f>IF(AE83="","",IF(ISBLANK(AH83),"En cours",AE83+AH83))</f>
        <v/>
      </c>
    </row>
    <row r="84" spans="2:37" ht="21" x14ac:dyDescent="0.35"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4" t="str">
        <f>IF(MIN(F84,J84,N84,R84,V84,Z84)&lt;&gt;0,MIN(F84,J84,N84,R84,V84,Z84),"")</f>
        <v/>
      </c>
      <c r="AE84" s="164" t="str">
        <f>IF(MIN(H84,L84,P84,T84,X84,AB84)&lt;&gt;0,MIN(H84,L84,P84,T84,X84,AB84),"")</f>
        <v/>
      </c>
      <c r="AF84" s="164"/>
      <c r="AG84" s="163"/>
      <c r="AH84" s="164"/>
      <c r="AI84" s="163"/>
      <c r="AJ84" s="162" t="str">
        <f>IF(AD84="","",IF(ISBLANK(AF84),"En cours",AD84+AF84))</f>
        <v/>
      </c>
      <c r="AK84" s="162" t="str">
        <f>IF(AE84="","",IF(ISBLANK(AH84),"En cours",AE84+AH84))</f>
        <v/>
      </c>
    </row>
    <row r="85" spans="2:37" ht="21" x14ac:dyDescent="0.35"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4" t="str">
        <f>IF(MIN(F85,J85,N85,R85,V85,Z85)&lt;&gt;0,MIN(F85,J85,N85,R85,V85,Z85),"")</f>
        <v/>
      </c>
      <c r="AE85" s="164" t="str">
        <f>IF(MIN(H85,L85,P85,T85,X85,AB85)&lt;&gt;0,MIN(H85,L85,P85,T85,X85,AB85),"")</f>
        <v/>
      </c>
      <c r="AF85" s="164"/>
      <c r="AG85" s="163"/>
      <c r="AH85" s="164"/>
      <c r="AI85" s="163"/>
      <c r="AJ85" s="162" t="str">
        <f>IF(AD85="","",IF(ISBLANK(AF85),"En cours",AD85+AF85))</f>
        <v/>
      </c>
      <c r="AK85" s="162" t="str">
        <f>IF(AE85="","",IF(ISBLANK(AH85),"En cours",AE85+AH85))</f>
        <v/>
      </c>
    </row>
    <row r="86" spans="2:37" ht="21" x14ac:dyDescent="0.35"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4" t="str">
        <f>IF(MIN(F86,J86,N86,R86,V86,Z86)&lt;&gt;0,MIN(F86,J86,N86,R86,V86,Z86),"")</f>
        <v/>
      </c>
      <c r="AE86" s="164" t="str">
        <f>IF(MIN(H86,L86,P86,T86,X86,AB86)&lt;&gt;0,MIN(H86,L86,P86,T86,X86,AB86),"")</f>
        <v/>
      </c>
      <c r="AF86" s="164"/>
      <c r="AG86" s="163"/>
      <c r="AH86" s="164"/>
      <c r="AI86" s="163"/>
      <c r="AJ86" s="162" t="str">
        <f>IF(AD86="","",IF(ISBLANK(AF86),"En cours",AD86+AF86))</f>
        <v/>
      </c>
      <c r="AK86" s="162" t="str">
        <f>IF(AE86="","",IF(ISBLANK(AH86),"En cours",AE86+AH86))</f>
        <v/>
      </c>
    </row>
    <row r="87" spans="2:37" ht="21" x14ac:dyDescent="0.35"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 t="str">
        <f>IF(MIN(F87,J87,N87,R87,V87,Z87)&lt;&gt;0,MIN(F87,J87,N87,R87,V87,Z87),"")</f>
        <v/>
      </c>
      <c r="AE87" s="164" t="str">
        <f>IF(MIN(H87,L87,P87,T87,X87,AB87)&lt;&gt;0,MIN(H87,L87,P87,T87,X87,AB87),"")</f>
        <v/>
      </c>
      <c r="AF87" s="164"/>
      <c r="AG87" s="163"/>
      <c r="AH87" s="164"/>
      <c r="AI87" s="163"/>
      <c r="AJ87" s="162" t="str">
        <f>IF(AD87="","",IF(ISBLANK(AF87),"En cours",AD87+AF87))</f>
        <v/>
      </c>
      <c r="AK87" s="162" t="str">
        <f>IF(AE87="","",IF(ISBLANK(AH87),"En cours",AE87+AH87))</f>
        <v/>
      </c>
    </row>
    <row r="88" spans="2:37" ht="21" x14ac:dyDescent="0.35"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 t="str">
        <f>IF(MIN(F88,J88,N88,R88,V88,Z88)&lt;&gt;0,MIN(F88,J88,N88,R88,V88,Z88),"")</f>
        <v/>
      </c>
      <c r="AE88" s="164" t="str">
        <f>IF(MIN(H88,L88,P88,T88,X88,AB88)&lt;&gt;0,MIN(H88,L88,P88,T88,X88,AB88),"")</f>
        <v/>
      </c>
      <c r="AF88" s="164"/>
      <c r="AG88" s="163"/>
      <c r="AH88" s="164"/>
      <c r="AI88" s="163"/>
      <c r="AJ88" s="162" t="str">
        <f>IF(AD88="","",IF(ISBLANK(AF88),"En cours",AD88+AF88))</f>
        <v/>
      </c>
      <c r="AK88" s="162" t="str">
        <f>IF(AE88="","",IF(ISBLANK(AH88),"En cours",AE88+AH88))</f>
        <v/>
      </c>
    </row>
    <row r="89" spans="2:37" ht="21" x14ac:dyDescent="0.35"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4" t="str">
        <f>IF(MIN(F89,J89,N89,R89,V89,Z89)&lt;&gt;0,MIN(F89,J89,N89,R89,V89,Z89),"")</f>
        <v/>
      </c>
      <c r="AE89" s="164" t="str">
        <f>IF(MIN(H89,L89,P89,T89,X89,AB89)&lt;&gt;0,MIN(H89,L89,P89,T89,X89,AB89),"")</f>
        <v/>
      </c>
      <c r="AF89" s="164"/>
      <c r="AG89" s="163"/>
      <c r="AH89" s="164"/>
      <c r="AI89" s="163"/>
      <c r="AJ89" s="162" t="str">
        <f>IF(AD89="","",IF(ISBLANK(AF89),"En cours",AD89+AF89))</f>
        <v/>
      </c>
      <c r="AK89" s="162" t="str">
        <f>IF(AE89="","",IF(ISBLANK(AH89),"En cours",AE89+AH89))</f>
        <v/>
      </c>
    </row>
    <row r="90" spans="2:37" ht="21" x14ac:dyDescent="0.35"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4" t="str">
        <f>IF(MIN(F90,J90,N90,R90,V90,Z90)&lt;&gt;0,MIN(F90,J90,N90,R90,V90,Z90),"")</f>
        <v/>
      </c>
      <c r="AE90" s="164" t="str">
        <f>IF(MIN(H90,L90,P90,T90,X90,AB90)&lt;&gt;0,MIN(H90,L90,P90,T90,X90,AB90),"")</f>
        <v/>
      </c>
      <c r="AF90" s="164"/>
      <c r="AG90" s="163"/>
      <c r="AH90" s="164"/>
      <c r="AI90" s="163"/>
      <c r="AJ90" s="162" t="str">
        <f>IF(AD90="","",IF(ISBLANK(AF90),"En cours",AD90+AF90))</f>
        <v/>
      </c>
      <c r="AK90" s="162" t="str">
        <f>IF(AE90="","",IF(ISBLANK(AH90),"En cours",AE90+AH90))</f>
        <v/>
      </c>
    </row>
    <row r="91" spans="2:37" ht="21" x14ac:dyDescent="0.35"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4" t="str">
        <f>IF(MIN(F91,J91,N91,R91,V91,Z91)&lt;&gt;0,MIN(F91,J91,N91,R91,V91,Z91),"")</f>
        <v/>
      </c>
      <c r="AE91" s="164" t="str">
        <f>IF(MIN(H91,L91,P91,T91,X91,AB91)&lt;&gt;0,MIN(H91,L91,P91,T91,X91,AB91),"")</f>
        <v/>
      </c>
      <c r="AF91" s="164"/>
      <c r="AG91" s="163"/>
      <c r="AH91" s="164"/>
      <c r="AI91" s="163"/>
      <c r="AJ91" s="162" t="str">
        <f>IF(AD91="","",IF(ISBLANK(AF91),"En cours",AD91+AF91))</f>
        <v/>
      </c>
      <c r="AK91" s="162" t="str">
        <f>IF(AE91="","",IF(ISBLANK(AH91),"En cours",AE91+AH91))</f>
        <v/>
      </c>
    </row>
    <row r="92" spans="2:37" ht="21" x14ac:dyDescent="0.35"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4" t="str">
        <f>IF(MIN(F92,J92,N92,R92,V92,Z92)&lt;&gt;0,MIN(F92,J92,N92,R92,V92,Z92),"")</f>
        <v/>
      </c>
      <c r="AE92" s="164" t="str">
        <f>IF(MIN(H92,L92,P92,T92,X92,AB92)&lt;&gt;0,MIN(H92,L92,P92,T92,X92,AB92),"")</f>
        <v/>
      </c>
      <c r="AF92" s="164"/>
      <c r="AG92" s="163"/>
      <c r="AH92" s="164"/>
      <c r="AI92" s="163"/>
      <c r="AJ92" s="162" t="str">
        <f>IF(AD92="","",IF(ISBLANK(AF92),"En cours",AD92+AF92))</f>
        <v/>
      </c>
      <c r="AK92" s="162" t="str">
        <f>IF(AE92="","",IF(ISBLANK(AH92),"En cours",AE92+AH92))</f>
        <v/>
      </c>
    </row>
    <row r="93" spans="2:37" ht="21" x14ac:dyDescent="0.35"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4" t="str">
        <f>IF(MIN(F93,J93,N93,R93,V93,Z93)&lt;&gt;0,MIN(F93,J93,N93,R93,V93,Z93),"")</f>
        <v/>
      </c>
      <c r="AE93" s="164" t="str">
        <f>IF(MIN(H93,L93,P93,T93,X93,AB93)&lt;&gt;0,MIN(H93,L93,P93,T93,X93,AB93),"")</f>
        <v/>
      </c>
      <c r="AF93" s="164"/>
      <c r="AG93" s="163"/>
      <c r="AH93" s="164"/>
      <c r="AI93" s="163"/>
      <c r="AJ93" s="162" t="str">
        <f>IF(AD93="","",IF(ISBLANK(AF93),"En cours",AD93+AF93))</f>
        <v/>
      </c>
      <c r="AK93" s="162" t="str">
        <f>IF(AE93="","",IF(ISBLANK(AH93),"En cours",AE93+AH93))</f>
        <v/>
      </c>
    </row>
    <row r="94" spans="2:37" ht="21" x14ac:dyDescent="0.35"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4" t="str">
        <f>IF(MIN(F94,J94,N94,R94,V94,Z94)&lt;&gt;0,MIN(F94,J94,N94,R94,V94,Z94),"")</f>
        <v/>
      </c>
      <c r="AE94" s="164" t="str">
        <f>IF(MIN(H94,L94,P94,T94,X94,AB94)&lt;&gt;0,MIN(H94,L94,P94,T94,X94,AB94),"")</f>
        <v/>
      </c>
      <c r="AF94" s="164"/>
      <c r="AG94" s="163"/>
      <c r="AH94" s="164"/>
      <c r="AI94" s="163"/>
      <c r="AJ94" s="162" t="str">
        <f>IF(AD94="","",IF(ISBLANK(AF94),"En cours",AD94+AF94))</f>
        <v/>
      </c>
      <c r="AK94" s="162" t="str">
        <f>IF(AE94="","",IF(ISBLANK(AH94),"En cours",AE94+AH94))</f>
        <v/>
      </c>
    </row>
    <row r="95" spans="2:37" ht="21" x14ac:dyDescent="0.35"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4" t="str">
        <f>IF(MIN(F95,J95,N95,R95,V95,Z95)&lt;&gt;0,MIN(F95,J95,N95,R95,V95,Z95),"")</f>
        <v/>
      </c>
      <c r="AE95" s="164" t="str">
        <f>IF(MIN(H95,L95,P95,T95,X95,AB95)&lt;&gt;0,MIN(H95,L95,P95,T95,X95,AB95),"")</f>
        <v/>
      </c>
      <c r="AF95" s="164"/>
      <c r="AG95" s="163"/>
      <c r="AH95" s="164"/>
      <c r="AI95" s="163"/>
      <c r="AJ95" s="162" t="str">
        <f>IF(AD95="","",IF(ISBLANK(AF95),"En cours",AD95+AF95))</f>
        <v/>
      </c>
      <c r="AK95" s="162" t="str">
        <f>IF(AE95="","",IF(ISBLANK(AH95),"En cours",AE95+AH95))</f>
        <v/>
      </c>
    </row>
    <row r="96" spans="2:37" ht="21" x14ac:dyDescent="0.35"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4" t="str">
        <f>IF(MIN(F96,J96,N96,R96,V96,Z96)&lt;&gt;0,MIN(F96,J96,N96,R96,V96,Z96),"")</f>
        <v/>
      </c>
      <c r="AE96" s="164" t="str">
        <f>IF(MIN(H96,L96,P96,T96,X96,AB96)&lt;&gt;0,MIN(H96,L96,P96,T96,X96,AB96),"")</f>
        <v/>
      </c>
      <c r="AF96" s="164"/>
      <c r="AG96" s="163"/>
      <c r="AH96" s="164"/>
      <c r="AI96" s="163"/>
      <c r="AJ96" s="162" t="str">
        <f>IF(AD96="","",IF(ISBLANK(AF96),"En cours",AD96+AF96))</f>
        <v/>
      </c>
      <c r="AK96" s="162" t="str">
        <f>IF(AE96="","",IF(ISBLANK(AH96),"En cours",AE96+AH96))</f>
        <v/>
      </c>
    </row>
    <row r="97" spans="2:37" ht="21" x14ac:dyDescent="0.35"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4" t="str">
        <f>IF(MIN(F97,J97,N97,R97,V97,Z97)&lt;&gt;0,MIN(F97,J97,N97,R97,V97,Z97),"")</f>
        <v/>
      </c>
      <c r="AE97" s="164" t="str">
        <f>IF(MIN(H97,L97,P97,T97,X97,AB97)&lt;&gt;0,MIN(H97,L97,P97,T97,X97,AB97),"")</f>
        <v/>
      </c>
      <c r="AF97" s="164"/>
      <c r="AG97" s="163"/>
      <c r="AH97" s="164"/>
      <c r="AI97" s="163"/>
      <c r="AJ97" s="162" t="str">
        <f>IF(AD97="","",IF(ISBLANK(AF97),"En cours",AD97+AF97))</f>
        <v/>
      </c>
      <c r="AK97" s="162" t="str">
        <f>IF(AE97="","",IF(ISBLANK(AH97),"En cours",AE97+AH97))</f>
        <v/>
      </c>
    </row>
    <row r="98" spans="2:37" ht="21" x14ac:dyDescent="0.35"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4" t="str">
        <f>IF(MIN(F98,J98,N98,R98,V98,Z98)&lt;&gt;0,MIN(F98,J98,N98,R98,V98,Z98),"")</f>
        <v/>
      </c>
      <c r="AE98" s="164" t="str">
        <f>IF(MIN(H98,L98,P98,T98,X98,AB98)&lt;&gt;0,MIN(H98,L98,P98,T98,X98,AB98),"")</f>
        <v/>
      </c>
      <c r="AF98" s="164"/>
      <c r="AG98" s="163"/>
      <c r="AH98" s="164"/>
      <c r="AI98" s="163"/>
      <c r="AJ98" s="162" t="str">
        <f>IF(AD98="","",IF(ISBLANK(AF98),"En cours",AD98+AF98))</f>
        <v/>
      </c>
      <c r="AK98" s="162" t="str">
        <f>IF(AE98="","",IF(ISBLANK(AH98),"En cours",AE98+AH98))</f>
        <v/>
      </c>
    </row>
    <row r="99" spans="2:37" ht="21" x14ac:dyDescent="0.35"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4" t="str">
        <f>IF(MIN(F99,J99,N99,R99,V99,Z99)&lt;&gt;0,MIN(F99,J99,N99,R99,V99,Z99),"")</f>
        <v/>
      </c>
      <c r="AE99" s="164" t="str">
        <f>IF(MIN(H99,L99,P99,T99,X99,AB99)&lt;&gt;0,MIN(H99,L99,P99,T99,X99,AB99),"")</f>
        <v/>
      </c>
      <c r="AF99" s="164"/>
      <c r="AG99" s="163"/>
      <c r="AH99" s="164"/>
      <c r="AI99" s="163"/>
      <c r="AJ99" s="162" t="str">
        <f>IF(AD99="","",IF(ISBLANK(AF99),"En cours",AD99+AF99))</f>
        <v/>
      </c>
      <c r="AK99" s="162" t="str">
        <f>IF(AE99="","",IF(ISBLANK(AH99),"En cours",AE99+AH99))</f>
        <v/>
      </c>
    </row>
    <row r="100" spans="2:37" ht="21" x14ac:dyDescent="0.35"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4" t="str">
        <f>IF(MIN(F100,J100,N100,R100,V100,Z100)&lt;&gt;0,MIN(F100,J100,N100,R100,V100,Z100),"")</f>
        <v/>
      </c>
      <c r="AE100" s="164" t="str">
        <f>IF(MIN(H100,L100,P100,T100,X100,AB100)&lt;&gt;0,MIN(H100,L100,P100,T100,X100,AB100),"")</f>
        <v/>
      </c>
      <c r="AF100" s="164"/>
      <c r="AG100" s="163"/>
      <c r="AH100" s="164"/>
      <c r="AI100" s="163"/>
      <c r="AJ100" s="162" t="str">
        <f>IF(AD100="","",IF(ISBLANK(AF100),"En cours",AD100+AF100))</f>
        <v/>
      </c>
      <c r="AK100" s="162" t="str">
        <f>IF(AE100="","",IF(ISBLANK(AH100),"En cours",AE100+AH100))</f>
        <v/>
      </c>
    </row>
    <row r="101" spans="2:37" ht="21" x14ac:dyDescent="0.35"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4" t="str">
        <f>IF(MIN(F101,J101,N101,R101,V101,Z101)&lt;&gt;0,MIN(F101,J101,N101,R101,V101,Z101),"")</f>
        <v/>
      </c>
      <c r="AE101" s="164" t="str">
        <f>IF(MIN(H101,L101,P101,T101,X101,AB101)&lt;&gt;0,MIN(H101,L101,P101,T101,X101,AB101),"")</f>
        <v/>
      </c>
      <c r="AF101" s="164"/>
      <c r="AG101" s="163"/>
      <c r="AH101" s="164"/>
      <c r="AI101" s="163"/>
      <c r="AJ101" s="162" t="str">
        <f>IF(AD101="","",IF(ISBLANK(AF101),"En cours",AD101+AF101))</f>
        <v/>
      </c>
      <c r="AK101" s="162" t="str">
        <f>IF(AE101="","",IF(ISBLANK(AH101),"En cours",AE101+AH101))</f>
        <v/>
      </c>
    </row>
    <row r="102" spans="2:37" ht="21" x14ac:dyDescent="0.35"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4" t="str">
        <f>IF(MIN(F102,J102,N102,R102,V102,Z102)&lt;&gt;0,MIN(F102,J102,N102,R102,V102,Z102),"")</f>
        <v/>
      </c>
      <c r="AE102" s="164" t="str">
        <f>IF(MIN(H102,L102,P102,T102,X102,AB102)&lt;&gt;0,MIN(H102,L102,P102,T102,X102,AB102),"")</f>
        <v/>
      </c>
      <c r="AF102" s="164"/>
      <c r="AG102" s="163"/>
      <c r="AH102" s="164"/>
      <c r="AI102" s="163"/>
      <c r="AJ102" s="162" t="str">
        <f>IF(AD102="","",IF(ISBLANK(AF102),"En cours",AD102+AF102))</f>
        <v/>
      </c>
      <c r="AK102" s="162" t="str">
        <f>IF(AE102="","",IF(ISBLANK(AH102),"En cours",AE102+AH102))</f>
        <v/>
      </c>
    </row>
    <row r="103" spans="2:37" ht="21" x14ac:dyDescent="0.35">
      <c r="B103" s="158"/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60" t="str">
        <f>IF(MIN(F103,J103,N103,R103,V103,Z103)&lt;&gt;0,MIN(F103,J103,N103,R103,V103,Z103),"")</f>
        <v/>
      </c>
      <c r="AE103" s="160" t="str">
        <f>IF(MIN(H103,L103,P103,T103,X103,AB103)&lt;&gt;0,MIN(H103,L103,P103,T103,X103,AB103),"")</f>
        <v/>
      </c>
      <c r="AF103" s="160"/>
      <c r="AG103" s="159"/>
      <c r="AH103" s="160"/>
      <c r="AI103" s="159"/>
      <c r="AJ103" s="161" t="str">
        <f>IF(AD103="","",IF(ISBLANK(AF103),"En cours",AD103+AF103))</f>
        <v/>
      </c>
      <c r="AK103" s="162" t="str">
        <f>IF(AE103="","",IF(ISBLANK(AH103),"En cours",AE103+AH103))</f>
        <v/>
      </c>
    </row>
    <row r="104" spans="2:37" ht="21" x14ac:dyDescent="0.35">
      <c r="B104" s="158"/>
      <c r="C104" s="159"/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60" t="str">
        <f>IF(MIN(F104,J104,N104,R104,V104,Z104)&lt;&gt;0,MIN(F104,J104,N104,R104,V104,Z104),"")</f>
        <v/>
      </c>
      <c r="AE104" s="160" t="str">
        <f>IF(MIN(H104,L104,P104,T104,X104,AB104)&lt;&gt;0,MIN(H104,L104,P104,T104,X104,AB104),"")</f>
        <v/>
      </c>
      <c r="AF104" s="160"/>
      <c r="AG104" s="159"/>
      <c r="AH104" s="160"/>
      <c r="AI104" s="159"/>
      <c r="AJ104" s="161" t="str">
        <f>IF(AD104="","",IF(ISBLANK(AF104),"En cours",AD104+AF104))</f>
        <v/>
      </c>
      <c r="AK104" s="162" t="str">
        <f>IF(AE104="","",IF(ISBLANK(AH104),"En cours",AE104+AH104))</f>
        <v/>
      </c>
    </row>
    <row r="105" spans="2:37" ht="21" x14ac:dyDescent="0.35">
      <c r="B105" s="158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60" t="str">
        <f>IF(MIN(F105,J105,N105,R105,V105,Z105)&lt;&gt;0,MIN(F105,J105,N105,R105,V105,Z105),"")</f>
        <v/>
      </c>
      <c r="AE105" s="160" t="str">
        <f>IF(MIN(H105,L105,P105,T105,X105,AB105)&lt;&gt;0,MIN(H105,L105,P105,T105,X105,AB105),"")</f>
        <v/>
      </c>
      <c r="AF105" s="160"/>
      <c r="AG105" s="159"/>
      <c r="AH105" s="160"/>
      <c r="AI105" s="159"/>
      <c r="AJ105" s="161" t="str">
        <f>IF(AD105="","",IF(ISBLANK(AF105),"En cours",AD105+AF105))</f>
        <v/>
      </c>
      <c r="AK105" s="162" t="str">
        <f>IF(AE105="","",IF(ISBLANK(AH105),"En cours",AE105+AH105))</f>
        <v/>
      </c>
    </row>
    <row r="106" spans="2:37" ht="21" x14ac:dyDescent="0.35">
      <c r="B106" s="158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60" t="str">
        <f>IF(MIN(F106,J106,N106,R106,V106,Z106)&lt;&gt;0,MIN(F106,J106,N106,R106,V106,Z106),"")</f>
        <v/>
      </c>
      <c r="AE106" s="160" t="str">
        <f>IF(MIN(H106,L106,P106,T106,X106,AB106)&lt;&gt;0,MIN(H106,L106,P106,T106,X106,AB106),"")</f>
        <v/>
      </c>
      <c r="AF106" s="160"/>
      <c r="AG106" s="159"/>
      <c r="AH106" s="160"/>
      <c r="AI106" s="159"/>
      <c r="AJ106" s="161" t="str">
        <f>IF(AD106="","",IF(ISBLANK(AF106),"En cours",AD106+AF106))</f>
        <v/>
      </c>
      <c r="AK106" s="162" t="str">
        <f>IF(AE106="","",IF(ISBLANK(AH106),"En cours",AE106+AH106))</f>
        <v/>
      </c>
    </row>
    <row r="107" spans="2:37" ht="21" x14ac:dyDescent="0.35">
      <c r="B107" s="158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60" t="str">
        <f>IF(MIN(F107,J107,N107,R107,V107,Z107)&lt;&gt;0,MIN(F107,J107,N107,R107,V107,Z107),"")</f>
        <v/>
      </c>
      <c r="AE107" s="160" t="str">
        <f>IF(MIN(H107,L107,P107,T107,X107,AB107)&lt;&gt;0,MIN(H107,L107,P107,T107,X107,AB107),"")</f>
        <v/>
      </c>
      <c r="AF107" s="160"/>
      <c r="AG107" s="159"/>
      <c r="AH107" s="160"/>
      <c r="AI107" s="159"/>
      <c r="AJ107" s="161" t="str">
        <f>IF(AD107="","",IF(ISBLANK(AF107),"En cours",AD107+AF107))</f>
        <v/>
      </c>
      <c r="AK107" s="162" t="str">
        <f>IF(AE107="","",IF(ISBLANK(AH107),"En cours",AE107+AH107))</f>
        <v/>
      </c>
    </row>
    <row r="108" spans="2:37" ht="21" x14ac:dyDescent="0.35">
      <c r="B108" s="158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60" t="str">
        <f>IF(MIN(F108,J108,N108,R108,V108,Z108)&lt;&gt;0,MIN(F108,J108,N108,R108,V108,Z108),"")</f>
        <v/>
      </c>
      <c r="AE108" s="160" t="str">
        <f>IF(MIN(H108,L108,P108,T108,X108,AB108)&lt;&gt;0,MIN(H108,L108,P108,T108,X108,AB108),"")</f>
        <v/>
      </c>
      <c r="AF108" s="160"/>
      <c r="AG108" s="159"/>
      <c r="AH108" s="160"/>
      <c r="AI108" s="159"/>
      <c r="AJ108" s="161" t="str">
        <f>IF(AD108="","",IF(ISBLANK(AF108),"En cours",AD108+AF108))</f>
        <v/>
      </c>
      <c r="AK108" s="162" t="str">
        <f>IF(AE108="","",IF(ISBLANK(AH108),"En cours",AE108+AH108))</f>
        <v/>
      </c>
    </row>
    <row r="109" spans="2:37" ht="21" x14ac:dyDescent="0.35">
      <c r="B109" s="158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60" t="str">
        <f>IF(MIN(F109,J109,N109,R109,V109,Z109)&lt;&gt;0,MIN(F109,J109,N109,R109,V109,Z109),"")</f>
        <v/>
      </c>
      <c r="AE109" s="160" t="str">
        <f>IF(MIN(H109,L109,P109,T109,X109,AB109)&lt;&gt;0,MIN(H109,L109,P109,T109,X109,AB109),"")</f>
        <v/>
      </c>
      <c r="AF109" s="160"/>
      <c r="AG109" s="159"/>
      <c r="AH109" s="160"/>
      <c r="AI109" s="159"/>
      <c r="AJ109" s="161" t="str">
        <f>IF(AD109="","",IF(ISBLANK(AF109),"En cours",AD109+AF109))</f>
        <v/>
      </c>
      <c r="AK109" s="162" t="str">
        <f>IF(AE109="","",IF(ISBLANK(AH109),"En cours",AE109+AH109))</f>
        <v/>
      </c>
    </row>
    <row r="110" spans="2:37" ht="21" x14ac:dyDescent="0.35">
      <c r="B110" s="158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60" t="str">
        <f>IF(MIN(F110,J110,N110,R110,V110,Z110)&lt;&gt;0,MIN(F110,J110,N110,R110,V110,Z110),"")</f>
        <v/>
      </c>
      <c r="AE110" s="160" t="str">
        <f>IF(MIN(H110,L110,P110,T110,X110,AB110)&lt;&gt;0,MIN(H110,L110,P110,T110,X110,AB110),"")</f>
        <v/>
      </c>
      <c r="AF110" s="160"/>
      <c r="AG110" s="159"/>
      <c r="AH110" s="160"/>
      <c r="AI110" s="159"/>
      <c r="AJ110" s="161" t="str">
        <f>IF(AD110="","",IF(ISBLANK(AF110),"En cours",AD110+AF110))</f>
        <v/>
      </c>
      <c r="AK110" s="162" t="str">
        <f>IF(AE110="","",IF(ISBLANK(AH110),"En cours",AE110+AH110))</f>
        <v/>
      </c>
    </row>
    <row r="111" spans="2:37" ht="21" x14ac:dyDescent="0.35">
      <c r="B111" s="158"/>
      <c r="C111" s="159"/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60" t="str">
        <f>IF(MIN(F111,J111,N111,R111,V111,Z111)&lt;&gt;0,MIN(F111,J111,N111,R111,V111,Z111),"")</f>
        <v/>
      </c>
      <c r="AE111" s="160" t="str">
        <f>IF(MIN(H111,L111,P111,T111,X111,AB111)&lt;&gt;0,MIN(H111,L111,P111,T111,X111,AB111),"")</f>
        <v/>
      </c>
      <c r="AF111" s="160"/>
      <c r="AG111" s="159"/>
      <c r="AH111" s="160"/>
      <c r="AI111" s="159"/>
      <c r="AJ111" s="161" t="str">
        <f>IF(AD111="","",IF(ISBLANK(AF111),"En cours",AD111+AF111))</f>
        <v/>
      </c>
      <c r="AK111" s="162" t="str">
        <f>IF(AE111="","",IF(ISBLANK(AH111),"En cours",AE111+AH111))</f>
        <v/>
      </c>
    </row>
    <row r="112" spans="2:37" ht="21" x14ac:dyDescent="0.35">
      <c r="B112" s="158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60" t="str">
        <f>IF(MIN(F112,J112,N112,R112,V112,Z112)&lt;&gt;0,MIN(F112,J112,N112,R112,V112,Z112),"")</f>
        <v/>
      </c>
      <c r="AE112" s="160" t="str">
        <f>IF(MIN(H112,L112,P112,T112,X112,AB112)&lt;&gt;0,MIN(H112,L112,P112,T112,X112,AB112),"")</f>
        <v/>
      </c>
      <c r="AF112" s="160"/>
      <c r="AG112" s="159"/>
      <c r="AH112" s="160"/>
      <c r="AI112" s="159"/>
      <c r="AJ112" s="161" t="str">
        <f>IF(AD112="","",IF(ISBLANK(AF112),"En cours",AD112+AF112))</f>
        <v/>
      </c>
      <c r="AK112" s="162" t="str">
        <f>IF(AE112="","",IF(ISBLANK(AH112),"En cours",AE112+AH112))</f>
        <v/>
      </c>
    </row>
    <row r="113" spans="2:37" ht="21" x14ac:dyDescent="0.35">
      <c r="B113" s="158"/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60" t="str">
        <f>IF(MIN(F113,J113,N113,R113,V113,Z113)&lt;&gt;0,MIN(F113,J113,N113,R113,V113,Z113),"")</f>
        <v/>
      </c>
      <c r="AE113" s="160" t="str">
        <f>IF(MIN(H113,L113,P113,T113,X113,AB113)&lt;&gt;0,MIN(H113,L113,P113,T113,X113,AB113),"")</f>
        <v/>
      </c>
      <c r="AF113" s="160"/>
      <c r="AG113" s="159"/>
      <c r="AH113" s="160"/>
      <c r="AI113" s="159"/>
      <c r="AJ113" s="161" t="str">
        <f>IF(AD113="","",IF(ISBLANK(AF113),"En cours",AD113+AF113))</f>
        <v/>
      </c>
      <c r="AK113" s="162" t="str">
        <f>IF(AE113="","",IF(ISBLANK(AH113),"En cours",AE113+AH113))</f>
        <v/>
      </c>
    </row>
    <row r="114" spans="2:37" ht="21" x14ac:dyDescent="0.35">
      <c r="B114" s="158"/>
      <c r="C114" s="159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60" t="str">
        <f>IF(MIN(F114,J114,N114,R114,V114,Z114)&lt;&gt;0,MIN(F114,J114,N114,R114,V114,Z114),"")</f>
        <v/>
      </c>
      <c r="AE114" s="160" t="str">
        <f>IF(MIN(H114,L114,P114,T114,X114,AB114)&lt;&gt;0,MIN(H114,L114,P114,T114,X114,AB114),"")</f>
        <v/>
      </c>
      <c r="AF114" s="160"/>
      <c r="AG114" s="159"/>
      <c r="AH114" s="160"/>
      <c r="AI114" s="159"/>
      <c r="AJ114" s="161" t="str">
        <f>IF(AD114="","",IF(ISBLANK(AF114),"En cours",AD114+AF114))</f>
        <v/>
      </c>
      <c r="AK114" s="162" t="str">
        <f>IF(AE114="","",IF(ISBLANK(AH114),"En cours",AE114+AH114))</f>
        <v/>
      </c>
    </row>
    <row r="115" spans="2:37" ht="21" x14ac:dyDescent="0.35">
      <c r="B115" s="158"/>
      <c r="C115" s="159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60" t="str">
        <f>IF(MIN(F115,J115,N115,R115,V115,Z115)&lt;&gt;0,MIN(F115,J115,N115,R115,V115,Z115),"")</f>
        <v/>
      </c>
      <c r="AE115" s="160" t="str">
        <f>IF(MIN(H115,L115,P115,T115,X115,AB115)&lt;&gt;0,MIN(H115,L115,P115,T115,X115,AB115),"")</f>
        <v/>
      </c>
      <c r="AF115" s="160"/>
      <c r="AG115" s="159"/>
      <c r="AH115" s="160"/>
      <c r="AI115" s="159"/>
      <c r="AJ115" s="161" t="str">
        <f>IF(AD115="","",IF(ISBLANK(AF115),"En cours",AD115+AF115))</f>
        <v/>
      </c>
      <c r="AK115" s="162" t="str">
        <f>IF(AE115="","",IF(ISBLANK(AH115),"En cours",AE115+AH115))</f>
        <v/>
      </c>
    </row>
    <row r="116" spans="2:37" ht="21" x14ac:dyDescent="0.35">
      <c r="B116" s="158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60" t="str">
        <f>IF(MIN(F116,J116,N116,R116,V116,Z116)&lt;&gt;0,MIN(F116,J116,N116,R116,V116,Z116),"")</f>
        <v/>
      </c>
      <c r="AE116" s="160" t="str">
        <f>IF(MIN(H116,L116,P116,T116,X116,AB116)&lt;&gt;0,MIN(H116,L116,P116,T116,X116,AB116),"")</f>
        <v/>
      </c>
      <c r="AF116" s="160"/>
      <c r="AG116" s="159"/>
      <c r="AH116" s="160"/>
      <c r="AI116" s="159"/>
      <c r="AJ116" s="161" t="str">
        <f>IF(AD116="","",IF(ISBLANK(AF116),"En cours",AD116+AF116))</f>
        <v/>
      </c>
      <c r="AK116" s="162" t="str">
        <f>IF(AE116="","",IF(ISBLANK(AH116),"En cours",AE116+AH116))</f>
        <v/>
      </c>
    </row>
    <row r="117" spans="2:37" ht="21" x14ac:dyDescent="0.35">
      <c r="B117" s="158"/>
      <c r="C117" s="159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60" t="str">
        <f>IF(MIN(F117,J117,N117,R117,V117,Z117)&lt;&gt;0,MIN(F117,J117,N117,R117,V117,Z117),"")</f>
        <v/>
      </c>
      <c r="AE117" s="160" t="str">
        <f>IF(MIN(H117,L117,P117,T117,X117,AB117)&lt;&gt;0,MIN(H117,L117,P117,T117,X117,AB117),"")</f>
        <v/>
      </c>
      <c r="AF117" s="160"/>
      <c r="AG117" s="159"/>
      <c r="AH117" s="160"/>
      <c r="AI117" s="159"/>
      <c r="AJ117" s="161" t="str">
        <f>IF(AD117="","",IF(ISBLANK(AF117),"En cours",AD117+AF117))</f>
        <v/>
      </c>
      <c r="AK117" s="162" t="str">
        <f>IF(AE117="","",IF(ISBLANK(AH117),"En cours",AE117+AH117))</f>
        <v/>
      </c>
    </row>
    <row r="118" spans="2:37" ht="21" x14ac:dyDescent="0.35">
      <c r="B118" s="158"/>
      <c r="C118" s="159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60" t="str">
        <f>IF(MIN(F118,J118,N118,R118,V118,Z118)&lt;&gt;0,MIN(F118,J118,N118,R118,V118,Z118),"")</f>
        <v/>
      </c>
      <c r="AE118" s="160" t="str">
        <f>IF(MIN(H118,L118,P118,T118,X118,AB118)&lt;&gt;0,MIN(H118,L118,P118,T118,X118,AB118),"")</f>
        <v/>
      </c>
      <c r="AF118" s="160"/>
      <c r="AG118" s="159"/>
      <c r="AH118" s="160"/>
      <c r="AI118" s="159"/>
      <c r="AJ118" s="161" t="str">
        <f>IF(AD118="","",IF(ISBLANK(AF118),"En cours",AD118+AF118))</f>
        <v/>
      </c>
      <c r="AK118" s="162" t="str">
        <f>IF(AE118="","",IF(ISBLANK(AH118),"En cours",AE118+AH118))</f>
        <v/>
      </c>
    </row>
    <row r="119" spans="2:37" ht="21" x14ac:dyDescent="0.35">
      <c r="B119" s="158"/>
      <c r="C119" s="159"/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60" t="str">
        <f>IF(MIN(F119,J119,N119,R119,V119,Z119)&lt;&gt;0,MIN(F119,J119,N119,R119,V119,Z119),"")</f>
        <v/>
      </c>
      <c r="AE119" s="160" t="str">
        <f>IF(MIN(H119,L119,P119,T119,X119,AB119)&lt;&gt;0,MIN(H119,L119,P119,T119,X119,AB119),"")</f>
        <v/>
      </c>
      <c r="AF119" s="160"/>
      <c r="AG119" s="159"/>
      <c r="AH119" s="160"/>
      <c r="AI119" s="159"/>
      <c r="AJ119" s="161" t="str">
        <f>IF(AD119="","",IF(ISBLANK(AF119),"En cours",AD119+AF119))</f>
        <v/>
      </c>
      <c r="AK119" s="162" t="str">
        <f>IF(AE119="","",IF(ISBLANK(AH119),"En cours",AE119+AH119))</f>
        <v/>
      </c>
    </row>
    <row r="120" spans="2:37" ht="21" x14ac:dyDescent="0.35">
      <c r="B120" s="158"/>
      <c r="C120" s="159"/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60" t="str">
        <f>IF(MIN(F120,J120,N120,R120,V120,Z120)&lt;&gt;0,MIN(F120,J120,N120,R120,V120,Z120),"")</f>
        <v/>
      </c>
      <c r="AE120" s="160" t="str">
        <f>IF(MIN(H120,L120,P120,T120,X120,AB120)&lt;&gt;0,MIN(H120,L120,P120,T120,X120,AB120),"")</f>
        <v/>
      </c>
      <c r="AF120" s="160"/>
      <c r="AG120" s="159"/>
      <c r="AH120" s="160"/>
      <c r="AI120" s="159"/>
      <c r="AJ120" s="161" t="str">
        <f>IF(AD120="","",IF(ISBLANK(AF120),"En cours",AD120+AF120))</f>
        <v/>
      </c>
      <c r="AK120" s="162" t="str">
        <f>IF(AE120="","",IF(ISBLANK(AH120),"En cours",AE120+AH120))</f>
        <v/>
      </c>
    </row>
    <row r="121" spans="2:37" ht="21" x14ac:dyDescent="0.35">
      <c r="B121" s="158"/>
      <c r="C121" s="159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60" t="str">
        <f>IF(MIN(F121,J121,N121,R121,V121,Z121)&lt;&gt;0,MIN(F121,J121,N121,R121,V121,Z121),"")</f>
        <v/>
      </c>
      <c r="AE121" s="160" t="str">
        <f>IF(MIN(H121,L121,P121,T121,X121,AB121)&lt;&gt;0,MIN(H121,L121,P121,T121,X121,AB121),"")</f>
        <v/>
      </c>
      <c r="AF121" s="160"/>
      <c r="AG121" s="159"/>
      <c r="AH121" s="160"/>
      <c r="AI121" s="159"/>
      <c r="AJ121" s="161" t="str">
        <f>IF(AD121="","",IF(ISBLANK(AF121),"En cours",AD121+AF121))</f>
        <v/>
      </c>
      <c r="AK121" s="162" t="str">
        <f>IF(AE121="","",IF(ISBLANK(AH121),"En cours",AE121+AH121))</f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>IF(MIN(F122,J122,N122,R122,V122,Z122)&lt;&gt;0,MIN(F122,J122,N122,R122,V122,Z122),"")</f>
        <v/>
      </c>
      <c r="AE122" s="76" t="str">
        <f>IF(MIN(H122,L122,P122,T122,X122,AB122)&lt;&gt;0,MIN(H122,L122,P122,T122,X122,AB122),"")</f>
        <v/>
      </c>
      <c r="AF122" s="77"/>
      <c r="AG122" s="73"/>
      <c r="AH122" s="77"/>
      <c r="AI122" s="73"/>
      <c r="AJ122" s="78" t="str">
        <f>IF(AD122="","",IF(ISBLANK(AF122),"En cours",AD122+AF122))</f>
        <v/>
      </c>
      <c r="AK122" s="79" t="str">
        <f>IF(AE122="","",IF(ISBLANK(AH122),"En cours",AE122+AH122))</f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>IF(MIN(F123,J123,N123,R123,V123,Z123)&lt;&gt;0,MIN(F123,J123,N123,R123,V123,Z123),"")</f>
        <v/>
      </c>
      <c r="AE123" s="76" t="str">
        <f>IF(MIN(H123,L123,P123,T123,X123,AB123)&lt;&gt;0,MIN(H123,L123,P123,T123,X123,AB123),"")</f>
        <v/>
      </c>
      <c r="AF123" s="77"/>
      <c r="AG123" s="73"/>
      <c r="AH123" s="77"/>
      <c r="AI123" s="73"/>
      <c r="AJ123" s="78" t="str">
        <f>IF(AD123="","",IF(ISBLANK(AF123),"En cours",AD123+AF123))</f>
        <v/>
      </c>
      <c r="AK123" s="79" t="str">
        <f>IF(AE123="","",IF(ISBLANK(AH123),"En cours",AE123+AH123))</f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>IF(MIN(F124,J124,N124,R124,V124,Z124)&lt;&gt;0,MIN(F124,J124,N124,R124,V124,Z124),"")</f>
        <v/>
      </c>
      <c r="AE124" s="76" t="str">
        <f>IF(MIN(H124,L124,P124,T124,X124,AB124)&lt;&gt;0,MIN(H124,L124,P124,T124,X124,AB124),"")</f>
        <v/>
      </c>
      <c r="AF124" s="77"/>
      <c r="AG124" s="73"/>
      <c r="AH124" s="77"/>
      <c r="AI124" s="73"/>
      <c r="AJ124" s="78" t="str">
        <f>IF(AD124="","",IF(ISBLANK(AF124),"En cours",AD124+AF124))</f>
        <v/>
      </c>
      <c r="AK124" s="79" t="str">
        <f>IF(AE124="","",IF(ISBLANK(AH124),"En cours",AE124+AH124))</f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>IF(MIN(F125,J125,N125,R125,V125,Z125)&lt;&gt;0,MIN(F125,J125,N125,R125,V125,Z125),"")</f>
        <v/>
      </c>
      <c r="AE125" s="76" t="str">
        <f>IF(MIN(H125,L125,P125,T125,X125,AB125)&lt;&gt;0,MIN(H125,L125,P125,T125,X125,AB125),"")</f>
        <v/>
      </c>
      <c r="AF125" s="77"/>
      <c r="AG125" s="73"/>
      <c r="AH125" s="77"/>
      <c r="AI125" s="73"/>
      <c r="AJ125" s="78" t="str">
        <f>IF(AD125="","",IF(ISBLANK(AF125),"En cours",AD125+AF125))</f>
        <v/>
      </c>
      <c r="AK125" s="79" t="str">
        <f>IF(AE125="","",IF(ISBLANK(AH125),"En cours",AE125+AH125))</f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>IF(MIN(F126,J126,N126,R126,V126,Z126)&lt;&gt;0,MIN(F126,J126,N126,R126,V126,Z126),"")</f>
        <v/>
      </c>
      <c r="AE126" s="76" t="str">
        <f>IF(MIN(H126,L126,P126,T126,X126,AB126)&lt;&gt;0,MIN(H126,L126,P126,T126,X126,AB126),"")</f>
        <v/>
      </c>
      <c r="AF126" s="77"/>
      <c r="AG126" s="73"/>
      <c r="AH126" s="77"/>
      <c r="AI126" s="73"/>
      <c r="AJ126" s="78" t="str">
        <f>IF(AD126="","",IF(ISBLANK(AF126),"En cours",AD126+AF126))</f>
        <v/>
      </c>
      <c r="AK126" s="79" t="str">
        <f>IF(AE126="","",IF(ISBLANK(AH126),"En cours",AE126+AH126))</f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>IF(MIN(F127,J127,N127,R127,V127,Z127)&lt;&gt;0,MIN(F127,J127,N127,R127,V127,Z127),"")</f>
        <v/>
      </c>
      <c r="AE127" s="76" t="str">
        <f>IF(MIN(H127,L127,P127,T127,X127,AB127)&lt;&gt;0,MIN(H127,L127,P127,T127,X127,AB127),"")</f>
        <v/>
      </c>
      <c r="AF127" s="77"/>
      <c r="AG127" s="73"/>
      <c r="AH127" s="77"/>
      <c r="AI127" s="73"/>
      <c r="AJ127" s="78" t="str">
        <f>IF(AD127="","",IF(ISBLANK(AF127),"En cours",AD127+AF127))</f>
        <v/>
      </c>
      <c r="AK127" s="79" t="str">
        <f>IF(AE127="","",IF(ISBLANK(AH127),"En cours",AE127+AH127))</f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>IF(MIN(F128,J128,N128,R128,V128,Z128)&lt;&gt;0,MIN(F128,J128,N128,R128,V128,Z128),"")</f>
        <v/>
      </c>
      <c r="AE128" s="76" t="str">
        <f>IF(MIN(H128,L128,P128,T128,X128,AB128)&lt;&gt;0,MIN(H128,L128,P128,T128,X128,AB128),"")</f>
        <v/>
      </c>
      <c r="AF128" s="77"/>
      <c r="AG128" s="73"/>
      <c r="AH128" s="77"/>
      <c r="AI128" s="73"/>
      <c r="AJ128" s="78" t="str">
        <f>IF(AD128="","",IF(ISBLANK(AF128),"En cours",AD128+AF128))</f>
        <v/>
      </c>
      <c r="AK128" s="79" t="str">
        <f>IF(AE128="","",IF(ISBLANK(AH128),"En cours",AE128+AH128))</f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>IF(MIN(F129,J129,N129,R129,V129,Z129)&lt;&gt;0,MIN(F129,J129,N129,R129,V129,Z129),"")</f>
        <v/>
      </c>
      <c r="AE129" s="76" t="str">
        <f>IF(MIN(H129,L129,P129,T129,X129,AB129)&lt;&gt;0,MIN(H129,L129,P129,T129,X129,AB129),"")</f>
        <v/>
      </c>
      <c r="AF129" s="77"/>
      <c r="AG129" s="73"/>
      <c r="AH129" s="77"/>
      <c r="AI129" s="73"/>
      <c r="AJ129" s="78" t="str">
        <f>IF(AD129="","",IF(ISBLANK(AF129),"En cours",AD129+AF129))</f>
        <v/>
      </c>
      <c r="AK129" s="79" t="str">
        <f>IF(AE129="","",IF(ISBLANK(AH129),"En cours",AE129+AH129))</f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>IF(MIN(F130,J130,N130,R130,V130,Z130)&lt;&gt;0,MIN(F130,J130,N130,R130,V130,Z130),"")</f>
        <v/>
      </c>
      <c r="AE130" s="76" t="str">
        <f>IF(MIN(H130,L130,P130,T130,X130,AB130)&lt;&gt;0,MIN(H130,L130,P130,T130,X130,AB130),"")</f>
        <v/>
      </c>
      <c r="AF130" s="77"/>
      <c r="AG130" s="73"/>
      <c r="AH130" s="77"/>
      <c r="AI130" s="73"/>
      <c r="AJ130" s="78" t="str">
        <f>IF(AD130="","",IF(ISBLANK(AF130),"En cours",AD130+AF130))</f>
        <v/>
      </c>
      <c r="AK130" s="79" t="str">
        <f>IF(AE130="","",IF(ISBLANK(AH130),"En cours",AE130+AH130))</f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>IF(MIN(F131,J131,N131,R131,V131,Z131)&lt;&gt;0,MIN(F131,J131,N131,R131,V131,Z131),"")</f>
        <v/>
      </c>
      <c r="AE131" s="76" t="str">
        <f>IF(MIN(H131,L131,P131,T131,X131,AB131)&lt;&gt;0,MIN(H131,L131,P131,T131,X131,AB131),"")</f>
        <v/>
      </c>
      <c r="AF131" s="77"/>
      <c r="AG131" s="73"/>
      <c r="AH131" s="77"/>
      <c r="AI131" s="73"/>
      <c r="AJ131" s="78" t="str">
        <f>IF(AD131="","",IF(ISBLANK(AF131),"En cours",AD131+AF131))</f>
        <v/>
      </c>
      <c r="AK131" s="79" t="str">
        <f>IF(AE131="","",IF(ISBLANK(AH131),"En cours",AE131+AH131))</f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>IF(MIN(F132,J132,N132,R132,V132,Z132)&lt;&gt;0,MIN(F132,J132,N132,R132,V132,Z132),"")</f>
        <v/>
      </c>
      <c r="AE132" s="76" t="str">
        <f>IF(MIN(H132,L132,P132,T132,X132,AB132)&lt;&gt;0,MIN(H132,L132,P132,T132,X132,AB132),"")</f>
        <v/>
      </c>
      <c r="AF132" s="77"/>
      <c r="AG132" s="73"/>
      <c r="AH132" s="77"/>
      <c r="AI132" s="73"/>
      <c r="AJ132" s="78" t="str">
        <f>IF(AD132="","",IF(ISBLANK(AF132),"En cours",AD132+AF132))</f>
        <v/>
      </c>
      <c r="AK132" s="79" t="str">
        <f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>IF(MIN(F133,J133,N133,R133,V133,Z133)&lt;&gt;0,MIN(F133,J133,N133,R133,V133,Z133),"")</f>
        <v/>
      </c>
      <c r="AE133" s="76" t="str">
        <f>IF(MIN(H133,L133,P133,T133,X133,AB133)&lt;&gt;0,MIN(H133,L133,P133,T133,X133,AB133),"")</f>
        <v/>
      </c>
      <c r="AF133" s="77"/>
      <c r="AG133" s="73"/>
      <c r="AH133" s="77"/>
      <c r="AI133" s="73"/>
      <c r="AJ133" s="78" t="str">
        <f>IF(AD133="","",IF(ISBLANK(AF133),"En cours",AD133+AF133))</f>
        <v/>
      </c>
      <c r="AK133" s="79" t="str">
        <f>IF(AE133="","",IF(ISBLANK(AH133),"En cours",AE133+AH133))</f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>IF(MIN(F134,J134,N134,R134,V134,Z134)&lt;&gt;0,MIN(F134,J134,N134,R134,V134,Z134),"")</f>
        <v/>
      </c>
      <c r="AE134" s="76" t="str">
        <f>IF(MIN(H134,L134,P134,T134,X134,AB134)&lt;&gt;0,MIN(H134,L134,P134,T134,X134,AB134),"")</f>
        <v/>
      </c>
      <c r="AF134" s="77"/>
      <c r="AG134" s="73"/>
      <c r="AH134" s="77"/>
      <c r="AI134" s="73"/>
      <c r="AJ134" s="78" t="str">
        <f>IF(AD134="","",IF(ISBLANK(AF134),"En cours",AD134+AF134))</f>
        <v/>
      </c>
      <c r="AK134" s="79" t="str">
        <f>IF(AE134="","",IF(ISBLANK(AH134),"En cours",AE134+AH134))</f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>IF(MIN(F135,J135,N135,R135,V135,Z135)&lt;&gt;0,MIN(F135,J135,N135,R135,V135,Z135),"")</f>
        <v/>
      </c>
      <c r="AE135" s="76" t="str">
        <f>IF(MIN(H135,L135,P135,T135,X135,AB135)&lt;&gt;0,MIN(H135,L135,P135,T135,X135,AB135),"")</f>
        <v/>
      </c>
      <c r="AF135" s="77"/>
      <c r="AG135" s="73"/>
      <c r="AH135" s="77"/>
      <c r="AI135" s="73"/>
      <c r="AJ135" s="78" t="str">
        <f>IF(AD135="","",IF(ISBLANK(AF135),"En cours",AD135+AF135))</f>
        <v/>
      </c>
      <c r="AK135" s="79" t="str">
        <f>IF(AE135="","",IF(ISBLANK(AH135),"En cours",AE135+AH135))</f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>IF(MIN(F136,J136,N136,R136,V136,Z136)&lt;&gt;0,MIN(F136,J136,N136,R136,V136,Z136),"")</f>
        <v/>
      </c>
      <c r="AE136" s="76" t="str">
        <f>IF(MIN(H136,L136,P136,T136,X136,AB136)&lt;&gt;0,MIN(H136,L136,P136,T136,X136,AB136),"")</f>
        <v/>
      </c>
      <c r="AF136" s="77"/>
      <c r="AG136" s="73"/>
      <c r="AH136" s="77"/>
      <c r="AI136" s="73"/>
      <c r="AJ136" s="78" t="str">
        <f>IF(AD136="","",IF(ISBLANK(AF136),"En cours",AD136+AF136))</f>
        <v/>
      </c>
      <c r="AK136" s="79" t="str">
        <f>IF(AE136="","",IF(ISBLANK(AH136),"En cours",AE136+AH136))</f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>IF(MIN(F137,J137,N137,R137,V137,Z137)&lt;&gt;0,MIN(F137,J137,N137,R137,V137,Z137),"")</f>
        <v/>
      </c>
      <c r="AE137" s="76" t="str">
        <f>IF(MIN(H137,L137,P137,T137,X137,AB137)&lt;&gt;0,MIN(H137,L137,P137,T137,X137,AB137),"")</f>
        <v/>
      </c>
      <c r="AF137" s="77"/>
      <c r="AG137" s="73"/>
      <c r="AH137" s="77"/>
      <c r="AI137" s="73"/>
      <c r="AJ137" s="78" t="str">
        <f>IF(AD137="","",IF(ISBLANK(AF137),"En cours",AD137+AF137))</f>
        <v/>
      </c>
      <c r="AK137" s="79" t="str">
        <f>IF(AE137="","",IF(ISBLANK(AH137),"En cours",AE137+AH137))</f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>IF(MIN(F138,J138,N138,R138,V138,Z138)&lt;&gt;0,MIN(F138,J138,N138,R138,V138,Z138),"")</f>
        <v/>
      </c>
      <c r="AE138" s="76" t="str">
        <f>IF(MIN(H138,L138,P138,T138,X138,AB138)&lt;&gt;0,MIN(H138,L138,P138,T138,X138,AB138),"")</f>
        <v/>
      </c>
      <c r="AF138" s="77"/>
      <c r="AG138" s="73"/>
      <c r="AH138" s="77"/>
      <c r="AI138" s="73"/>
      <c r="AJ138" s="78" t="str">
        <f>IF(AD138="","",IF(ISBLANK(AF138),"En cours",AD138+AF138))</f>
        <v/>
      </c>
      <c r="AK138" s="79" t="str">
        <f>IF(AE138="","",IF(ISBLANK(AH138),"En cours",AE138+AH138))</f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>IF(MIN(F139,J139,N139,R139,V139,Z139)&lt;&gt;0,MIN(F139,J139,N139,R139,V139,Z139),"")</f>
        <v/>
      </c>
      <c r="AE139" s="76" t="str">
        <f>IF(MIN(H139,L139,P139,T139,X139,AB139)&lt;&gt;0,MIN(H139,L139,P139,T139,X139,AB139),"")</f>
        <v/>
      </c>
      <c r="AF139" s="77"/>
      <c r="AG139" s="73"/>
      <c r="AH139" s="77"/>
      <c r="AI139" s="73"/>
      <c r="AJ139" s="78" t="str">
        <f>IF(AD139="","",IF(ISBLANK(AF139),"En cours",AD139+AF139))</f>
        <v/>
      </c>
      <c r="AK139" s="79" t="str">
        <f>IF(AE139="","",IF(ISBLANK(AH139),"En cours",AE139+AH139))</f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>IF(MIN(F140,J140,N140,R140,V140,Z140)&lt;&gt;0,MIN(F140,J140,N140,R140,V140,Z140),"")</f>
        <v/>
      </c>
      <c r="AE140" s="76" t="str">
        <f>IF(MIN(H140,L140,P140,T140,X140,AB140)&lt;&gt;0,MIN(H140,L140,P140,T140,X140,AB140),"")</f>
        <v/>
      </c>
      <c r="AF140" s="77"/>
      <c r="AG140" s="73"/>
      <c r="AH140" s="77"/>
      <c r="AI140" s="73"/>
      <c r="AJ140" s="78" t="str">
        <f>IF(AD140="","",IF(ISBLANK(AF140),"En cours",AD140+AF140))</f>
        <v/>
      </c>
      <c r="AK140" s="79" t="str">
        <f>IF(AE140="","",IF(ISBLANK(AH140),"En cours",AE140+AH140))</f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>IF(MIN(F141,J141,N141,R141,V141,Z141)&lt;&gt;0,MIN(F141,J141,N141,R141,V141,Z141),"")</f>
        <v/>
      </c>
      <c r="AE141" s="76" t="str">
        <f>IF(MIN(H141,L141,P141,T141,X141,AB141)&lt;&gt;0,MIN(H141,L141,P141,T141,X141,AB141),"")</f>
        <v/>
      </c>
      <c r="AF141" s="77"/>
      <c r="AG141" s="73"/>
      <c r="AH141" s="77"/>
      <c r="AI141" s="73"/>
      <c r="AJ141" s="78" t="str">
        <f>IF(AD141="","",IF(ISBLANK(AF141),"En cours",AD141+AF141))</f>
        <v/>
      </c>
      <c r="AK141" s="79" t="str">
        <f>IF(AE141="","",IF(ISBLANK(AH141),"En cours",AE141+AH141))</f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>IF(MIN(F142,J142,N142,R142,V142,Z142)&lt;&gt;0,MIN(F142,J142,N142,R142,V142,Z142),"")</f>
        <v/>
      </c>
      <c r="AE142" s="76" t="str">
        <f>IF(MIN(H142,L142,P142,T142,X142,AB142)&lt;&gt;0,MIN(H142,L142,P142,T142,X142,AB142),"")</f>
        <v/>
      </c>
      <c r="AF142" s="77"/>
      <c r="AG142" s="73"/>
      <c r="AH142" s="77"/>
      <c r="AI142" s="73"/>
      <c r="AJ142" s="78" t="str">
        <f>IF(AD142="","",IF(ISBLANK(AF142),"En cours",AD142+AF142))</f>
        <v/>
      </c>
      <c r="AK142" s="79" t="str">
        <f>IF(AE142="","",IF(ISBLANK(AH142),"En cours",AE142+AH142))</f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>IF(MIN(F143,J143,N143,R143,V143,Z143)&lt;&gt;0,MIN(F143,J143,N143,R143,V143,Z143),"")</f>
        <v/>
      </c>
      <c r="AE143" s="76" t="str">
        <f>IF(MIN(H143,L143,P143,T143,X143,AB143)&lt;&gt;0,MIN(H143,L143,P143,T143,X143,AB143),"")</f>
        <v/>
      </c>
      <c r="AF143" s="77"/>
      <c r="AG143" s="73"/>
      <c r="AH143" s="77"/>
      <c r="AI143" s="73"/>
      <c r="AJ143" s="78" t="str">
        <f>IF(AD143="","",IF(ISBLANK(AF143),"En cours",AD143+AF143))</f>
        <v/>
      </c>
      <c r="AK143" s="79" t="str">
        <f>IF(AE143="","",IF(ISBLANK(AH143),"En cours",AE143+AH143))</f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>IF(MIN(F144,J144,N144,R144,V144,Z144)&lt;&gt;0,MIN(F144,J144,N144,R144,V144,Z144),"")</f>
        <v/>
      </c>
      <c r="AE144" s="76" t="str">
        <f>IF(MIN(H144,L144,P144,T144,X144,AB144)&lt;&gt;0,MIN(H144,L144,P144,T144,X144,AB144),"")</f>
        <v/>
      </c>
      <c r="AF144" s="77"/>
      <c r="AG144" s="73"/>
      <c r="AH144" s="77"/>
      <c r="AI144" s="73"/>
      <c r="AJ144" s="78" t="str">
        <f>IF(AD144="","",IF(ISBLANK(AF144),"En cours",AD144+AF144))</f>
        <v/>
      </c>
      <c r="AK144" s="79" t="str">
        <f>IF(AE144="","",IF(ISBLANK(AH144),"En cours",AE144+AH144))</f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>IF(MIN(F145,J145,N145,R145,V145,Z145)&lt;&gt;0,MIN(F145,J145,N145,R145,V145,Z145),"")</f>
        <v/>
      </c>
      <c r="AE145" s="76" t="str">
        <f>IF(MIN(H145,L145,P145,T145,X145,AB145)&lt;&gt;0,MIN(H145,L145,P145,T145,X145,AB145),"")</f>
        <v/>
      </c>
      <c r="AF145" s="77"/>
      <c r="AG145" s="73"/>
      <c r="AH145" s="77"/>
      <c r="AI145" s="73"/>
      <c r="AJ145" s="78" t="str">
        <f>IF(AD145="","",IF(ISBLANK(AF145),"En cours",AD145+AF145))</f>
        <v/>
      </c>
      <c r="AK145" s="79" t="str">
        <f>IF(AE145="","",IF(ISBLANK(AH145),"En cours",AE145+AH145))</f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>IF(MIN(F146,J146,N146,R146,V146,Z146)&lt;&gt;0,MIN(F146,J146,N146,R146,V146,Z146),"")</f>
        <v/>
      </c>
      <c r="AE146" s="76" t="str">
        <f>IF(MIN(H146,L146,P146,T146,X146,AB146)&lt;&gt;0,MIN(H146,L146,P146,T146,X146,AB146),"")</f>
        <v/>
      </c>
      <c r="AF146" s="77"/>
      <c r="AG146" s="73"/>
      <c r="AH146" s="77"/>
      <c r="AI146" s="73"/>
      <c r="AJ146" s="78" t="str">
        <f>IF(AD146="","",IF(ISBLANK(AF146),"En cours",AD146+AF146))</f>
        <v/>
      </c>
      <c r="AK146" s="79" t="str">
        <f>IF(AE146="","",IF(ISBLANK(AH146),"En cours",AE146+AH146))</f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>IF(MIN(F147,J147,N147,R147,V147,Z147)&lt;&gt;0,MIN(F147,J147,N147,R147,V147,Z147),"")</f>
        <v/>
      </c>
      <c r="AE147" s="76" t="str">
        <f>IF(MIN(H147,L147,P147,T147,X147,AB147)&lt;&gt;0,MIN(H147,L147,P147,T147,X147,AB147),"")</f>
        <v/>
      </c>
      <c r="AF147" s="77"/>
      <c r="AG147" s="73"/>
      <c r="AH147" s="77"/>
      <c r="AI147" s="73"/>
      <c r="AJ147" s="78" t="str">
        <f>IF(AD147="","",IF(ISBLANK(AF147),"En cours",AD147+AF147))</f>
        <v/>
      </c>
      <c r="AK147" s="79" t="str">
        <f>IF(AE147="","",IF(ISBLANK(AH147),"En cours",AE147+AH147))</f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>IF(MIN(F148,J148,N148,R148,V148,Z148)&lt;&gt;0,MIN(F148,J148,N148,R148,V148,Z148),"")</f>
        <v/>
      </c>
      <c r="AE148" s="76" t="str">
        <f>IF(MIN(H148,L148,P148,T148,X148,AB148)&lt;&gt;0,MIN(H148,L148,P148,T148,X148,AB148),"")</f>
        <v/>
      </c>
      <c r="AF148" s="77"/>
      <c r="AG148" s="73"/>
      <c r="AH148" s="77"/>
      <c r="AI148" s="73"/>
      <c r="AJ148" s="78" t="str">
        <f>IF(AD148="","",IF(ISBLANK(AF148),"En cours",AD148+AF148))</f>
        <v/>
      </c>
      <c r="AK148" s="79" t="str">
        <f>IF(AE148="","",IF(ISBLANK(AH148),"En cours",AE148+AH148))</f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>IF(MIN(F149,J149,N149,R149,V149,Z149)&lt;&gt;0,MIN(F149,J149,N149,R149,V149,Z149),"")</f>
        <v/>
      </c>
      <c r="AE149" s="76" t="str">
        <f>IF(MIN(H149,L149,P149,T149,X149,AB149)&lt;&gt;0,MIN(H149,L149,P149,T149,X149,AB149),"")</f>
        <v/>
      </c>
      <c r="AF149" s="77"/>
      <c r="AG149" s="73"/>
      <c r="AH149" s="77"/>
      <c r="AI149" s="73"/>
      <c r="AJ149" s="78" t="str">
        <f>IF(AD149="","",IF(ISBLANK(AF149),"En cours",AD149+AF149))</f>
        <v/>
      </c>
      <c r="AK149" s="79" t="str">
        <f>IF(AE149="","",IF(ISBLANK(AH149),"En cours",AE149+AH149))</f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>IF(MIN(F150,J150,N150,R150,V150,Z150)&lt;&gt;0,MIN(F150,J150,N150,R150,V150,Z150),"")</f>
        <v/>
      </c>
      <c r="AE150" s="76" t="str">
        <f>IF(MIN(H150,L150,P150,T150,X150,AB150)&lt;&gt;0,MIN(H150,L150,P150,T150,X150,AB150),"")</f>
        <v/>
      </c>
      <c r="AF150" s="77"/>
      <c r="AG150" s="73"/>
      <c r="AH150" s="77"/>
      <c r="AI150" s="73"/>
      <c r="AJ150" s="78" t="str">
        <f>IF(AD150="","",IF(ISBLANK(AF150),"En cours",AD150+AF150))</f>
        <v/>
      </c>
      <c r="AK150" s="79" t="str">
        <f>IF(AE150="","",IF(ISBLANK(AH150),"En cours",AE150+AH150))</f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>IF(MIN(F151,J151,N151,R151,V151,Z151)&lt;&gt;0,MIN(F151,J151,N151,R151,V151,Z151),"")</f>
        <v/>
      </c>
      <c r="AE151" s="76" t="str">
        <f>IF(MIN(H151,L151,P151,T151,X151,AB151)&lt;&gt;0,MIN(H151,L151,P151,T151,X151,AB151),"")</f>
        <v/>
      </c>
      <c r="AF151" s="77"/>
      <c r="AG151" s="73"/>
      <c r="AH151" s="77"/>
      <c r="AI151" s="73"/>
      <c r="AJ151" s="78" t="str">
        <f>IF(AD151="","",IF(ISBLANK(AF151),"En cours",AD151+AF151))</f>
        <v/>
      </c>
      <c r="AK151" s="79" t="str">
        <f>IF(AE151="","",IF(ISBLANK(AH151),"En cours",AE151+AH151))</f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>IF(MIN(F152,J152,N152,R152,V152,Z152)&lt;&gt;0,MIN(F152,J152,N152,R152,V152,Z152),"")</f>
        <v/>
      </c>
      <c r="AE152" s="76" t="str">
        <f>IF(MIN(H152,L152,P152,T152,X152,AB152)&lt;&gt;0,MIN(H152,L152,P152,T152,X152,AB152),"")</f>
        <v/>
      </c>
      <c r="AF152" s="77"/>
      <c r="AG152" s="73"/>
      <c r="AH152" s="77"/>
      <c r="AI152" s="73"/>
      <c r="AJ152" s="78" t="str">
        <f>IF(AD152="","",IF(ISBLANK(AF152),"En cours",AD152+AF152))</f>
        <v/>
      </c>
      <c r="AK152" s="79" t="str">
        <f>IF(AE152="","",IF(ISBLANK(AH152),"En cours",AE152+AH152))</f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>IF(MIN(F153,J153,N153,R153,V153,Z153)&lt;&gt;0,MIN(F153,J153,N153,R153,V153,Z153),"")</f>
        <v/>
      </c>
      <c r="AE153" s="76" t="str">
        <f>IF(MIN(H153,L153,P153,T153,X153,AB153)&lt;&gt;0,MIN(H153,L153,P153,T153,X153,AB153),"")</f>
        <v/>
      </c>
      <c r="AF153" s="77"/>
      <c r="AG153" s="73"/>
      <c r="AH153" s="77"/>
      <c r="AI153" s="73"/>
      <c r="AJ153" s="78" t="str">
        <f>IF(AD153="","",IF(ISBLANK(AF153),"En cours",AD153+AF153))</f>
        <v/>
      </c>
      <c r="AK153" s="79" t="str">
        <f>IF(AE153="","",IF(ISBLANK(AH153),"En cours",AE153+AH153))</f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>IF(MIN(F154,J154,N154,R154,V154,Z154)&lt;&gt;0,MIN(F154,J154,N154,R154,V154,Z154),"")</f>
        <v/>
      </c>
      <c r="AE154" s="76" t="str">
        <f>IF(MIN(H154,L154,P154,T154,X154,AB154)&lt;&gt;0,MIN(H154,L154,P154,T154,X154,AB154),"")</f>
        <v/>
      </c>
      <c r="AF154" s="77"/>
      <c r="AG154" s="73"/>
      <c r="AH154" s="77"/>
      <c r="AI154" s="73"/>
      <c r="AJ154" s="78" t="str">
        <f>IF(AD154="","",IF(ISBLANK(AF154),"En cours",AD154+AF154))</f>
        <v/>
      </c>
      <c r="AK154" s="79" t="str">
        <f>IF(AE154="","",IF(ISBLANK(AH154),"En cours",AE154+AH154))</f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>IF(MIN(F155,J155,N155,R155,V155,Z155)&lt;&gt;0,MIN(F155,J155,N155,R155,V155,Z155),"")</f>
        <v/>
      </c>
      <c r="AE155" s="76" t="str">
        <f>IF(MIN(H155,L155,P155,T155,X155,AB155)&lt;&gt;0,MIN(H155,L155,P155,T155,X155,AB155),"")</f>
        <v/>
      </c>
      <c r="AF155" s="77"/>
      <c r="AG155" s="73"/>
      <c r="AH155" s="77"/>
      <c r="AI155" s="73"/>
      <c r="AJ155" s="78" t="str">
        <f>IF(AD155="","",IF(ISBLANK(AF155),"En cours",AD155+AF155))</f>
        <v/>
      </c>
      <c r="AK155" s="79" t="str">
        <f>IF(AE155="","",IF(ISBLANK(AH155),"En cours",AE155+AH155))</f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>IF(MIN(F156,J156,N156,R156,V156,Z156)&lt;&gt;0,MIN(F156,J156,N156,R156,V156,Z156),"")</f>
        <v/>
      </c>
      <c r="AE156" s="76" t="str">
        <f>IF(MIN(H156,L156,P156,T156,X156,AB156)&lt;&gt;0,MIN(H156,L156,P156,T156,X156,AB156),"")</f>
        <v/>
      </c>
      <c r="AF156" s="77"/>
      <c r="AG156" s="73"/>
      <c r="AH156" s="77"/>
      <c r="AI156" s="73"/>
      <c r="AJ156" s="78" t="str">
        <f>IF(AD156="","",IF(ISBLANK(AF156),"En cours",AD156+AF156))</f>
        <v/>
      </c>
      <c r="AK156" s="79" t="str">
        <f>IF(AE156="","",IF(ISBLANK(AH156),"En cours",AE156+AH156))</f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>IF(MIN(F157,J157,N157,R157,V157,Z157)&lt;&gt;0,MIN(F157,J157,N157,R157,V157,Z157),"")</f>
        <v/>
      </c>
      <c r="AE157" s="76" t="str">
        <f>IF(MIN(H157,L157,P157,T157,X157,AB157)&lt;&gt;0,MIN(H157,L157,P157,T157,X157,AB157),"")</f>
        <v/>
      </c>
      <c r="AF157" s="77"/>
      <c r="AG157" s="73"/>
      <c r="AH157" s="77"/>
      <c r="AI157" s="73"/>
      <c r="AJ157" s="78" t="str">
        <f>IF(AD157="","",IF(ISBLANK(AF157),"En cours",AD157+AF157))</f>
        <v/>
      </c>
      <c r="AK157" s="79" t="str">
        <f>IF(AE157="","",IF(ISBLANK(AH157),"En cours",AE157+AH157))</f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>IF(MIN(F158,J158,N158,R158,V158,Z158)&lt;&gt;0,MIN(F158,J158,N158,R158,V158,Z158),"")</f>
        <v/>
      </c>
      <c r="AE158" s="76" t="str">
        <f>IF(MIN(H158,L158,P158,T158,X158,AB158)&lt;&gt;0,MIN(H158,L158,P158,T158,X158,AB158),"")</f>
        <v/>
      </c>
      <c r="AF158" s="77"/>
      <c r="AG158" s="73"/>
      <c r="AH158" s="77"/>
      <c r="AI158" s="73"/>
      <c r="AJ158" s="78" t="str">
        <f>IF(AD158="","",IF(ISBLANK(AF158),"En cours",AD158+AF158))</f>
        <v/>
      </c>
      <c r="AK158" s="79" t="str">
        <f>IF(AE158="","",IF(ISBLANK(AH158),"En cours",AE158+AH158))</f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>IF(MIN(F159,J159,N159,R159,V159,Z159)&lt;&gt;0,MIN(F159,J159,N159,R159,V159,Z159),"")</f>
        <v/>
      </c>
      <c r="AE159" s="76" t="str">
        <f>IF(MIN(H159,L159,P159,T159,X159,AB159)&lt;&gt;0,MIN(H159,L159,P159,T159,X159,AB159),"")</f>
        <v/>
      </c>
      <c r="AF159" s="77"/>
      <c r="AG159" s="73"/>
      <c r="AH159" s="77"/>
      <c r="AI159" s="73"/>
      <c r="AJ159" s="78" t="str">
        <f>IF(AD159="","",IF(ISBLANK(AF159),"En cours",AD159+AF159))</f>
        <v/>
      </c>
      <c r="AK159" s="79" t="str">
        <f>IF(AE159="","",IF(ISBLANK(AH159),"En cours",AE159+AH159))</f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>IF(MIN(F160,J160,N160,R160,V160,Z160)&lt;&gt;0,MIN(F160,J160,N160,R160,V160,Z160),"")</f>
        <v/>
      </c>
      <c r="AE160" s="76" t="str">
        <f>IF(MIN(H160,L160,P160,T160,X160,AB160)&lt;&gt;0,MIN(H160,L160,P160,T160,X160,AB160),"")</f>
        <v/>
      </c>
      <c r="AF160" s="77"/>
      <c r="AG160" s="73"/>
      <c r="AH160" s="77"/>
      <c r="AI160" s="73"/>
      <c r="AJ160" s="78" t="str">
        <f>IF(AD160="","",IF(ISBLANK(AF160),"En cours",AD160+AF160))</f>
        <v/>
      </c>
      <c r="AK160" s="79" t="str">
        <f>IF(AE160="","",IF(ISBLANK(AH160),"En cours",AE160+AH160))</f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>IF(MIN(F161,J161,N161,R161,V161,Z161)&lt;&gt;0,MIN(F161,J161,N161,R161,V161,Z161),"")</f>
        <v/>
      </c>
      <c r="AE161" s="76" t="str">
        <f>IF(MIN(H161,L161,P161,T161,X161,AB161)&lt;&gt;0,MIN(H161,L161,P161,T161,X161,AB161),"")</f>
        <v/>
      </c>
      <c r="AF161" s="77"/>
      <c r="AG161" s="73"/>
      <c r="AH161" s="77"/>
      <c r="AI161" s="73"/>
      <c r="AJ161" s="78" t="str">
        <f>IF(AD161="","",IF(ISBLANK(AF161),"En cours",AD161+AF161))</f>
        <v/>
      </c>
      <c r="AK161" s="79" t="str">
        <f>IF(AE161="","",IF(ISBLANK(AH161),"En cours",AE161+AH161))</f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>IF(MIN(F162,J162,N162,R162,V162,Z162)&lt;&gt;0,MIN(F162,J162,N162,R162,V162,Z162),"")</f>
        <v/>
      </c>
      <c r="AE162" s="76" t="str">
        <f>IF(MIN(H162,L162,P162,T162,X162,AB162)&lt;&gt;0,MIN(H162,L162,P162,T162,X162,AB162),"")</f>
        <v/>
      </c>
      <c r="AF162" s="77"/>
      <c r="AG162" s="73"/>
      <c r="AH162" s="77"/>
      <c r="AI162" s="73"/>
      <c r="AJ162" s="78" t="str">
        <f>IF(AD162="","",IF(ISBLANK(AF162),"En cours",AD162+AF162))</f>
        <v/>
      </c>
      <c r="AK162" s="79" t="str">
        <f>IF(AE162="","",IF(ISBLANK(AH162),"En cours",AE162+AH162))</f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>IF(MIN(F163,J163,N163,R163,V163,Z163)&lt;&gt;0,MIN(F163,J163,N163,R163,V163,Z163),"")</f>
        <v/>
      </c>
      <c r="AE163" s="76" t="str">
        <f>IF(MIN(H163,L163,P163,T163,X163,AB163)&lt;&gt;0,MIN(H163,L163,P163,T163,X163,AB163),"")</f>
        <v/>
      </c>
      <c r="AF163" s="77"/>
      <c r="AG163" s="73"/>
      <c r="AH163" s="77"/>
      <c r="AI163" s="73"/>
      <c r="AJ163" s="78" t="str">
        <f>IF(AD163="","",IF(ISBLANK(AF163),"En cours",AD163+AF163))</f>
        <v/>
      </c>
      <c r="AK163" s="79" t="str">
        <f>IF(AE163="","",IF(ISBLANK(AH163),"En cours",AE163+AH163))</f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>IF(MIN(F164,J164,N164,R164,V164,Z164)&lt;&gt;0,MIN(F164,J164,N164,R164,V164,Z164),"")</f>
        <v/>
      </c>
      <c r="AE164" s="76" t="str">
        <f>IF(MIN(H164,L164,P164,T164,X164,AB164)&lt;&gt;0,MIN(H164,L164,P164,T164,X164,AB164),"")</f>
        <v/>
      </c>
      <c r="AF164" s="77"/>
      <c r="AG164" s="73"/>
      <c r="AH164" s="77"/>
      <c r="AI164" s="73"/>
      <c r="AJ164" s="78" t="str">
        <f>IF(AD164="","",IF(ISBLANK(AF164),"En cours",AD164+AF164))</f>
        <v/>
      </c>
      <c r="AK164" s="79" t="str">
        <f>IF(AE164="","",IF(ISBLANK(AH164),"En cours",AE164+AH164))</f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>IF(MIN(F165,J165,N165,R165,V165,Z165)&lt;&gt;0,MIN(F165,J165,N165,R165,V165,Z165),"")</f>
        <v/>
      </c>
      <c r="AE165" s="76" t="str">
        <f>IF(MIN(H165,L165,P165,T165,X165,AB165)&lt;&gt;0,MIN(H165,L165,P165,T165,X165,AB165),"")</f>
        <v/>
      </c>
      <c r="AF165" s="77"/>
      <c r="AG165" s="73"/>
      <c r="AH165" s="77"/>
      <c r="AI165" s="73"/>
      <c r="AJ165" s="78" t="str">
        <f>IF(AD165="","",IF(ISBLANK(AF165),"En cours",AD165+AF165))</f>
        <v/>
      </c>
      <c r="AK165" s="79" t="str">
        <f>IF(AE165="","",IF(ISBLANK(AH165),"En cours",AE165+AH165))</f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>IF(MIN(F166,J166,N166,R166,V166,Z166)&lt;&gt;0,MIN(F166,J166,N166,R166,V166,Z166),"")</f>
        <v/>
      </c>
      <c r="AE166" s="76" t="str">
        <f>IF(MIN(H166,L166,P166,T166,X166,AB166)&lt;&gt;0,MIN(H166,L166,P166,T166,X166,AB166),"")</f>
        <v/>
      </c>
      <c r="AF166" s="77"/>
      <c r="AG166" s="73"/>
      <c r="AH166" s="77"/>
      <c r="AI166" s="73"/>
      <c r="AJ166" s="78" t="str">
        <f>IF(AD166="","",IF(ISBLANK(AF166),"En cours",AD166+AF166))</f>
        <v/>
      </c>
      <c r="AK166" s="79" t="str">
        <f>IF(AE166="","",IF(ISBLANK(AH166),"En cours",AE166+AH166))</f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>IF(MIN(F167,J167,N167,R167,V167,Z167)&lt;&gt;0,MIN(F167,J167,N167,R167,V167,Z167),"")</f>
        <v/>
      </c>
      <c r="AE167" s="76" t="str">
        <f>IF(MIN(H167,L167,P167,T167,X167,AB167)&lt;&gt;0,MIN(H167,L167,P167,T167,X167,AB167),"")</f>
        <v/>
      </c>
      <c r="AF167" s="77"/>
      <c r="AG167" s="73"/>
      <c r="AH167" s="77"/>
      <c r="AI167" s="73"/>
      <c r="AJ167" s="78" t="str">
        <f>IF(AD167="","",IF(ISBLANK(AF167),"En cours",AD167+AF167))</f>
        <v/>
      </c>
      <c r="AK167" s="79" t="str">
        <f>IF(AE167="","",IF(ISBLANK(AH167),"En cours",AE167+AH167))</f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>IF(MIN(F168,J168,N168,R168,V168,Z168)&lt;&gt;0,MIN(F168,J168,N168,R168,V168,Z168),"")</f>
        <v/>
      </c>
      <c r="AE168" s="76" t="str">
        <f>IF(MIN(H168,L168,P168,T168,X168,AB168)&lt;&gt;0,MIN(H168,L168,P168,T168,X168,AB168),"")</f>
        <v/>
      </c>
      <c r="AF168" s="77"/>
      <c r="AG168" s="73"/>
      <c r="AH168" s="77"/>
      <c r="AI168" s="73"/>
      <c r="AJ168" s="78" t="str">
        <f>IF(AD168="","",IF(ISBLANK(AF168),"En cours",AD168+AF168))</f>
        <v/>
      </c>
      <c r="AK168" s="79" t="str">
        <f>IF(AE168="","",IF(ISBLANK(AH168),"En cours",AE168+AH168))</f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>IF(MIN(F169,J169,N169,R169,V169,Z169)&lt;&gt;0,MIN(F169,J169,N169,R169,V169,Z169),"")</f>
        <v/>
      </c>
      <c r="AE169" s="76" t="str">
        <f>IF(MIN(H169,L169,P169,T169,X169,AB169)&lt;&gt;0,MIN(H169,L169,P169,T169,X169,AB169),"")</f>
        <v/>
      </c>
      <c r="AF169" s="77"/>
      <c r="AG169" s="73"/>
      <c r="AH169" s="77"/>
      <c r="AI169" s="73"/>
      <c r="AJ169" s="78" t="str">
        <f>IF(AD169="","",IF(ISBLANK(AF169),"En cours",AD169+AF169))</f>
        <v/>
      </c>
      <c r="AK169" s="79" t="str">
        <f>IF(AE169="","",IF(ISBLANK(AH169),"En cours",AE169+AH169))</f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>IF(MIN(F170,J170,N170,R170,V170,Z170)&lt;&gt;0,MIN(F170,J170,N170,R170,V170,Z170),"")</f>
        <v/>
      </c>
      <c r="AE170" s="76" t="str">
        <f>IF(MIN(H170,L170,P170,T170,X170,AB170)&lt;&gt;0,MIN(H170,L170,P170,T170,X170,AB170),"")</f>
        <v/>
      </c>
      <c r="AF170" s="77"/>
      <c r="AG170" s="73"/>
      <c r="AH170" s="77"/>
      <c r="AI170" s="73"/>
      <c r="AJ170" s="78" t="str">
        <f>IF(AD170="","",IF(ISBLANK(AF170),"En cours",AD170+AF170))</f>
        <v/>
      </c>
      <c r="AK170" s="79" t="str">
        <f>IF(AE170="","",IF(ISBLANK(AH170),"En cours",AE170+AH170))</f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>IF(MIN(F171,J171,N171,R171,V171,Z171)&lt;&gt;0,MIN(F171,J171,N171,R171,V171,Z171),"")</f>
        <v/>
      </c>
      <c r="AE171" s="76" t="str">
        <f>IF(MIN(H171,L171,P171,T171,X171,AB171)&lt;&gt;0,MIN(H171,L171,P171,T171,X171,AB171),"")</f>
        <v/>
      </c>
      <c r="AF171" s="77"/>
      <c r="AG171" s="73"/>
      <c r="AH171" s="77"/>
      <c r="AI171" s="73"/>
      <c r="AJ171" s="78" t="str">
        <f>IF(AD171="","",IF(ISBLANK(AF171),"En cours",AD171+AF171))</f>
        <v/>
      </c>
      <c r="AK171" s="79" t="str">
        <f>IF(AE171="","",IF(ISBLANK(AH171),"En cours",AE171+AH171))</f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>IF(MIN(F172,J172,N172,R172,V172,Z172)&lt;&gt;0,MIN(F172,J172,N172,R172,V172,Z172),"")</f>
        <v/>
      </c>
      <c r="AE172" s="76" t="str">
        <f>IF(MIN(H172,L172,P172,T172,X172,AB172)&lt;&gt;0,MIN(H172,L172,P172,T172,X172,AB172),"")</f>
        <v/>
      </c>
      <c r="AF172" s="77"/>
      <c r="AG172" s="73"/>
      <c r="AH172" s="77"/>
      <c r="AI172" s="73"/>
      <c r="AJ172" s="78" t="str">
        <f>IF(AD172="","",IF(ISBLANK(AF172),"En cours",AD172+AF172))</f>
        <v/>
      </c>
      <c r="AK172" s="79" t="str">
        <f>IF(AE172="","",IF(ISBLANK(AH172),"En cours",AE172+AH172))</f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>IF(MIN(F173,J173,N173,R173,V173,Z173)&lt;&gt;0,MIN(F173,J173,N173,R173,V173,Z173),"")</f>
        <v/>
      </c>
      <c r="AE173" s="76" t="str">
        <f>IF(MIN(H173,L173,P173,T173,X173,AB173)&lt;&gt;0,MIN(H173,L173,P173,T173,X173,AB173),"")</f>
        <v/>
      </c>
      <c r="AF173" s="77"/>
      <c r="AG173" s="73"/>
      <c r="AH173" s="77"/>
      <c r="AI173" s="73"/>
      <c r="AJ173" s="78" t="str">
        <f>IF(AD173="","",IF(ISBLANK(AF173),"En cours",AD173+AF173))</f>
        <v/>
      </c>
      <c r="AK173" s="79" t="str">
        <f>IF(AE173="","",IF(ISBLANK(AH173),"En cours",AE173+AH173))</f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>IF(MIN(F174,J174,N174,R174,V174,Z174)&lt;&gt;0,MIN(F174,J174,N174,R174,V174,Z174),"")</f>
        <v/>
      </c>
      <c r="AE174" s="76" t="str">
        <f>IF(MIN(H174,L174,P174,T174,X174,AB174)&lt;&gt;0,MIN(H174,L174,P174,T174,X174,AB174),"")</f>
        <v/>
      </c>
      <c r="AF174" s="77"/>
      <c r="AG174" s="73"/>
      <c r="AH174" s="77"/>
      <c r="AI174" s="73"/>
      <c r="AJ174" s="78" t="str">
        <f>IF(AD174="","",IF(ISBLANK(AF174),"En cours",AD174+AF174))</f>
        <v/>
      </c>
      <c r="AK174" s="79" t="str">
        <f>IF(AE174="","",IF(ISBLANK(AH174),"En cours",AE174+AH174))</f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>IF(MIN(F175,J175,N175,R175,V175,Z175)&lt;&gt;0,MIN(F175,J175,N175,R175,V175,Z175),"")</f>
        <v/>
      </c>
      <c r="AE175" s="76" t="str">
        <f>IF(MIN(H175,L175,P175,T175,X175,AB175)&lt;&gt;0,MIN(H175,L175,P175,T175,X175,AB175),"")</f>
        <v/>
      </c>
      <c r="AF175" s="77"/>
      <c r="AG175" s="73"/>
      <c r="AH175" s="77"/>
      <c r="AI175" s="73"/>
      <c r="AJ175" s="78" t="str">
        <f>IF(AD175="","",IF(ISBLANK(AF175),"En cours",AD175+AF175))</f>
        <v/>
      </c>
      <c r="AK175" s="79" t="str">
        <f>IF(AE175="","",IF(ISBLANK(AH175),"En cours",AE175+AH175))</f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>IF(MIN(F176,J176,N176,R176,V176,Z176)&lt;&gt;0,MIN(F176,J176,N176,R176,V176,Z176),"")</f>
        <v/>
      </c>
      <c r="AE176" s="76" t="str">
        <f>IF(MIN(H176,L176,P176,T176,X176,AB176)&lt;&gt;0,MIN(H176,L176,P176,T176,X176,AB176),"")</f>
        <v/>
      </c>
      <c r="AF176" s="77"/>
      <c r="AG176" s="73"/>
      <c r="AH176" s="77"/>
      <c r="AI176" s="73"/>
      <c r="AJ176" s="78" t="str">
        <f>IF(AD176="","",IF(ISBLANK(AF176),"En cours",AD176+AF176))</f>
        <v/>
      </c>
      <c r="AK176" s="79" t="str">
        <f>IF(AE176="","",IF(ISBLANK(AH176),"En cours",AE176+AH176))</f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>IF(MIN(F177,J177,N177,R177,V177,Z177)&lt;&gt;0,MIN(F177,J177,N177,R177,V177,Z177),"")</f>
        <v/>
      </c>
      <c r="AE177" s="76" t="str">
        <f>IF(MIN(H177,L177,P177,T177,X177,AB177)&lt;&gt;0,MIN(H177,L177,P177,T177,X177,AB177),"")</f>
        <v/>
      </c>
      <c r="AF177" s="77"/>
      <c r="AG177" s="73"/>
      <c r="AH177" s="77"/>
      <c r="AI177" s="73"/>
      <c r="AJ177" s="78" t="str">
        <f>IF(AD177="","",IF(ISBLANK(AF177),"En cours",AD177+AF177))</f>
        <v/>
      </c>
      <c r="AK177" s="79" t="str">
        <f>IF(AE177="","",IF(ISBLANK(AH177),"En cours",AE177+AH177))</f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>IF(MIN(F178,J178,N178,R178,V178,Z178)&lt;&gt;0,MIN(F178,J178,N178,R178,V178,Z178),"")</f>
        <v/>
      </c>
      <c r="AE178" s="76" t="str">
        <f>IF(MIN(H178,L178,P178,T178,X178,AB178)&lt;&gt;0,MIN(H178,L178,P178,T178,X178,AB178),"")</f>
        <v/>
      </c>
      <c r="AF178" s="77"/>
      <c r="AG178" s="73"/>
      <c r="AH178" s="77"/>
      <c r="AI178" s="73"/>
      <c r="AJ178" s="78" t="str">
        <f>IF(AD178="","",IF(ISBLANK(AF178),"En cours",AD178+AF178))</f>
        <v/>
      </c>
      <c r="AK178" s="79" t="str">
        <f>IF(AE178="","",IF(ISBLANK(AH178),"En cours",AE178+AH178))</f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>IF(MIN(F179,J179,N179,R179,V179,Z179)&lt;&gt;0,MIN(F179,J179,N179,R179,V179,Z179),"")</f>
        <v/>
      </c>
      <c r="AE179" s="76" t="str">
        <f>IF(MIN(H179,L179,P179,T179,X179,AB179)&lt;&gt;0,MIN(H179,L179,P179,T179,X179,AB179),"")</f>
        <v/>
      </c>
      <c r="AF179" s="77"/>
      <c r="AG179" s="73"/>
      <c r="AH179" s="77"/>
      <c r="AI179" s="73"/>
      <c r="AJ179" s="78" t="str">
        <f>IF(AD179="","",IF(ISBLANK(AF179),"En cours",AD179+AF179))</f>
        <v/>
      </c>
      <c r="AK179" s="79" t="str">
        <f>IF(AE179="","",IF(ISBLANK(AH179),"En cours",AE179+AH179))</f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>IF(MIN(F180,J180,N180,R180,V180,Z180)&lt;&gt;0,MIN(F180,J180,N180,R180,V180,Z180),"")</f>
        <v/>
      </c>
      <c r="AE180" s="76" t="str">
        <f>IF(MIN(H180,L180,P180,T180,X180,AB180)&lt;&gt;0,MIN(H180,L180,P180,T180,X180,AB180),"")</f>
        <v/>
      </c>
      <c r="AF180" s="77"/>
      <c r="AG180" s="73"/>
      <c r="AH180" s="77"/>
      <c r="AI180" s="73"/>
      <c r="AJ180" s="78" t="str">
        <f>IF(AD180="","",IF(ISBLANK(AF180),"En cours",AD180+AF180))</f>
        <v/>
      </c>
      <c r="AK180" s="79" t="str">
        <f>IF(AE180="","",IF(ISBLANK(AH180),"En cours",AE180+AH180))</f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>IF(MIN(F181,J181,N181,R181,V181,Z181)&lt;&gt;0,MIN(F181,J181,N181,R181,V181,Z181),"")</f>
        <v/>
      </c>
      <c r="AE181" s="76" t="str">
        <f>IF(MIN(H181,L181,P181,T181,X181,AB181)&lt;&gt;0,MIN(H181,L181,P181,T181,X181,AB181),"")</f>
        <v/>
      </c>
      <c r="AF181" s="77"/>
      <c r="AG181" s="73"/>
      <c r="AH181" s="77"/>
      <c r="AI181" s="73"/>
      <c r="AJ181" s="78" t="str">
        <f>IF(AD181="","",IF(ISBLANK(AF181),"En cours",AD181+AF181))</f>
        <v/>
      </c>
      <c r="AK181" s="79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103">
    <cfRule type="cellIs" dxfId="1295" priority="74637" stopIfTrue="1" operator="equal">
      <formula>"En cours"</formula>
    </cfRule>
  </conditionalFormatting>
  <conditionalFormatting sqref="AJ103">
    <cfRule type="cellIs" dxfId="1294" priority="74638" stopIfTrue="1" operator="notEqual">
      <formula>"En cours"</formula>
    </cfRule>
  </conditionalFormatting>
  <conditionalFormatting sqref="AK103">
    <cfRule type="cellIs" dxfId="1293" priority="74639" stopIfTrue="1" operator="equal">
      <formula>"En cours"</formula>
    </cfRule>
  </conditionalFormatting>
  <conditionalFormatting sqref="AK103">
    <cfRule type="cellIs" dxfId="1292" priority="74640" stopIfTrue="1" operator="notEqual">
      <formula>"En cours"</formula>
    </cfRule>
  </conditionalFormatting>
  <conditionalFormatting sqref="AJ106">
    <cfRule type="cellIs" dxfId="1291" priority="74641" stopIfTrue="1" operator="equal">
      <formula>"En cours"</formula>
    </cfRule>
  </conditionalFormatting>
  <conditionalFormatting sqref="AJ106">
    <cfRule type="cellIs" dxfId="1290" priority="74642" stopIfTrue="1" operator="notEqual">
      <formula>"En cours"</formula>
    </cfRule>
  </conditionalFormatting>
  <conditionalFormatting sqref="AK106">
    <cfRule type="cellIs" dxfId="1289" priority="74643" stopIfTrue="1" operator="equal">
      <formula>"En cours"</formula>
    </cfRule>
  </conditionalFormatting>
  <conditionalFormatting sqref="AK106">
    <cfRule type="cellIs" dxfId="1288" priority="74644" stopIfTrue="1" operator="notEqual">
      <formula>"En cours"</formula>
    </cfRule>
  </conditionalFormatting>
  <conditionalFormatting sqref="AJ104">
    <cfRule type="cellIs" dxfId="1287" priority="74649" stopIfTrue="1" operator="equal">
      <formula>"En cours"</formula>
    </cfRule>
  </conditionalFormatting>
  <conditionalFormatting sqref="AJ104">
    <cfRule type="cellIs" dxfId="1286" priority="74650" stopIfTrue="1" operator="notEqual">
      <formula>"En cours"</formula>
    </cfRule>
  </conditionalFormatting>
  <conditionalFormatting sqref="AK104">
    <cfRule type="cellIs" dxfId="1285" priority="74651" stopIfTrue="1" operator="equal">
      <formula>"En cours"</formula>
    </cfRule>
  </conditionalFormatting>
  <conditionalFormatting sqref="AK104">
    <cfRule type="cellIs" dxfId="1284" priority="74652" stopIfTrue="1" operator="notEqual">
      <formula>"En cours"</formula>
    </cfRule>
  </conditionalFormatting>
  <conditionalFormatting sqref="AJ110">
    <cfRule type="cellIs" dxfId="1283" priority="74653" stopIfTrue="1" operator="equal">
      <formula>"En cours"</formula>
    </cfRule>
    <cfRule type="cellIs" dxfId="1282" priority="74654" stopIfTrue="1" operator="notEqual">
      <formula>"En cours"</formula>
    </cfRule>
  </conditionalFormatting>
  <conditionalFormatting sqref="AK110">
    <cfRule type="cellIs" dxfId="1281" priority="74655" stopIfTrue="1" operator="equal">
      <formula>"En cours"</formula>
    </cfRule>
    <cfRule type="cellIs" dxfId="1280" priority="74656" stopIfTrue="1" operator="notEqual">
      <formula>"En cours"</formula>
    </cfRule>
  </conditionalFormatting>
  <conditionalFormatting sqref="AJ105">
    <cfRule type="cellIs" dxfId="1279" priority="74661" stopIfTrue="1" operator="equal">
      <formula>"En cours"</formula>
    </cfRule>
  </conditionalFormatting>
  <conditionalFormatting sqref="AJ105">
    <cfRule type="cellIs" dxfId="1278" priority="74662" stopIfTrue="1" operator="notEqual">
      <formula>"En cours"</formula>
    </cfRule>
  </conditionalFormatting>
  <conditionalFormatting sqref="AK105">
    <cfRule type="cellIs" dxfId="1277" priority="74663" stopIfTrue="1" operator="equal">
      <formula>"En cours"</formula>
    </cfRule>
  </conditionalFormatting>
  <conditionalFormatting sqref="AK105">
    <cfRule type="cellIs" dxfId="1276" priority="74664" stopIfTrue="1" operator="notEqual">
      <formula>"En cours"</formula>
    </cfRule>
  </conditionalFormatting>
  <conditionalFormatting sqref="AJ114">
    <cfRule type="cellIs" dxfId="1275" priority="74665" stopIfTrue="1" operator="equal">
      <formula>"En cours"</formula>
    </cfRule>
    <cfRule type="cellIs" dxfId="1274" priority="74666" stopIfTrue="1" operator="notEqual">
      <formula>"En cours"</formula>
    </cfRule>
  </conditionalFormatting>
  <conditionalFormatting sqref="AK114">
    <cfRule type="cellIs" dxfId="1273" priority="74667" stopIfTrue="1" operator="equal">
      <formula>"En cours"</formula>
    </cfRule>
    <cfRule type="cellIs" dxfId="1272" priority="74668" stopIfTrue="1" operator="notEqual">
      <formula>"En cours"</formula>
    </cfRule>
  </conditionalFormatting>
  <conditionalFormatting sqref="AJ109">
    <cfRule type="cellIs" dxfId="1271" priority="74673" stopIfTrue="1" operator="equal">
      <formula>"En cours"</formula>
    </cfRule>
  </conditionalFormatting>
  <conditionalFormatting sqref="AJ109">
    <cfRule type="cellIs" dxfId="1270" priority="74674" stopIfTrue="1" operator="notEqual">
      <formula>"En cours"</formula>
    </cfRule>
  </conditionalFormatting>
  <conditionalFormatting sqref="AK109">
    <cfRule type="cellIs" dxfId="1269" priority="74675" stopIfTrue="1" operator="equal">
      <formula>"En cours"</formula>
    </cfRule>
  </conditionalFormatting>
  <conditionalFormatting sqref="AK109">
    <cfRule type="cellIs" dxfId="1268" priority="74676" stopIfTrue="1" operator="notEqual">
      <formula>"En cours"</formula>
    </cfRule>
  </conditionalFormatting>
  <conditionalFormatting sqref="AJ119">
    <cfRule type="cellIs" dxfId="1267" priority="74681" stopIfTrue="1" operator="equal">
      <formula>"En cours"</formula>
    </cfRule>
  </conditionalFormatting>
  <conditionalFormatting sqref="AJ119">
    <cfRule type="cellIs" dxfId="1266" priority="74682" stopIfTrue="1" operator="notEqual">
      <formula>"En cours"</formula>
    </cfRule>
  </conditionalFormatting>
  <conditionalFormatting sqref="AK119">
    <cfRule type="cellIs" dxfId="1265" priority="74683" stopIfTrue="1" operator="equal">
      <formula>"En cours"</formula>
    </cfRule>
  </conditionalFormatting>
  <conditionalFormatting sqref="AK119">
    <cfRule type="cellIs" dxfId="1264" priority="74684" stopIfTrue="1" operator="notEqual">
      <formula>"En cours"</formula>
    </cfRule>
  </conditionalFormatting>
  <conditionalFormatting sqref="AJ112">
    <cfRule type="cellIs" dxfId="1263" priority="74689" stopIfTrue="1" operator="equal">
      <formula>"En cours"</formula>
    </cfRule>
    <cfRule type="cellIs" dxfId="1262" priority="74690" stopIfTrue="1" operator="notEqual">
      <formula>"En cours"</formula>
    </cfRule>
  </conditionalFormatting>
  <conditionalFormatting sqref="AK112">
    <cfRule type="cellIs" dxfId="1261" priority="74691" stopIfTrue="1" operator="equal">
      <formula>"En cours"</formula>
    </cfRule>
    <cfRule type="cellIs" dxfId="1260" priority="74692" stopIfTrue="1" operator="notEqual">
      <formula>"En cours"</formula>
    </cfRule>
  </conditionalFormatting>
  <conditionalFormatting sqref="AJ115">
    <cfRule type="cellIs" dxfId="1259" priority="74693" stopIfTrue="1" operator="equal">
      <formula>"En cours"</formula>
    </cfRule>
  </conditionalFormatting>
  <conditionalFormatting sqref="AJ115">
    <cfRule type="cellIs" dxfId="1258" priority="74694" stopIfTrue="1" operator="notEqual">
      <formula>"En cours"</formula>
    </cfRule>
  </conditionalFormatting>
  <conditionalFormatting sqref="AK115">
    <cfRule type="cellIs" dxfId="1257" priority="74695" stopIfTrue="1" operator="equal">
      <formula>"En cours"</formula>
    </cfRule>
  </conditionalFormatting>
  <conditionalFormatting sqref="AK115">
    <cfRule type="cellIs" dxfId="1256" priority="74696" stopIfTrue="1" operator="notEqual">
      <formula>"En cours"</formula>
    </cfRule>
  </conditionalFormatting>
  <conditionalFormatting sqref="AJ116">
    <cfRule type="cellIs" dxfId="1255" priority="74697" stopIfTrue="1" operator="equal">
      <formula>"En cours"</formula>
    </cfRule>
  </conditionalFormatting>
  <conditionalFormatting sqref="AJ116">
    <cfRule type="cellIs" dxfId="1254" priority="74698" stopIfTrue="1" operator="notEqual">
      <formula>"En cours"</formula>
    </cfRule>
  </conditionalFormatting>
  <conditionalFormatting sqref="AK116">
    <cfRule type="cellIs" dxfId="1253" priority="74699" stopIfTrue="1" operator="equal">
      <formula>"En cours"</formula>
    </cfRule>
  </conditionalFormatting>
  <conditionalFormatting sqref="AK116">
    <cfRule type="cellIs" dxfId="1252" priority="74700" stopIfTrue="1" operator="notEqual">
      <formula>"En cours"</formula>
    </cfRule>
  </conditionalFormatting>
  <conditionalFormatting sqref="AJ117">
    <cfRule type="cellIs" dxfId="1251" priority="74705" stopIfTrue="1" operator="equal">
      <formula>"En cours"</formula>
    </cfRule>
  </conditionalFormatting>
  <conditionalFormatting sqref="AJ117">
    <cfRule type="cellIs" dxfId="1250" priority="74706" stopIfTrue="1" operator="notEqual">
      <formula>"En cours"</formula>
    </cfRule>
  </conditionalFormatting>
  <conditionalFormatting sqref="AK117">
    <cfRule type="cellIs" dxfId="1249" priority="74707" stopIfTrue="1" operator="equal">
      <formula>"En cours"</formula>
    </cfRule>
  </conditionalFormatting>
  <conditionalFormatting sqref="AK117">
    <cfRule type="cellIs" dxfId="1248" priority="74708" stopIfTrue="1" operator="notEqual">
      <formula>"En cours"</formula>
    </cfRule>
  </conditionalFormatting>
  <conditionalFormatting sqref="AJ113">
    <cfRule type="cellIs" dxfId="1247" priority="74709" stopIfTrue="1" operator="equal">
      <formula>"En cours"</formula>
    </cfRule>
    <cfRule type="cellIs" dxfId="1246" priority="74710" stopIfTrue="1" operator="notEqual">
      <formula>"En cours"</formula>
    </cfRule>
  </conditionalFormatting>
  <conditionalFormatting sqref="AK113">
    <cfRule type="cellIs" dxfId="1245" priority="74711" stopIfTrue="1" operator="equal">
      <formula>"En cours"</formula>
    </cfRule>
    <cfRule type="cellIs" dxfId="1244" priority="74712" stopIfTrue="1" operator="notEqual">
      <formula>"En cours"</formula>
    </cfRule>
  </conditionalFormatting>
  <conditionalFormatting sqref="AJ118">
    <cfRule type="cellIs" dxfId="1243" priority="74713" stopIfTrue="1" operator="equal">
      <formula>"En cours"</formula>
    </cfRule>
    <cfRule type="cellIs" dxfId="1242" priority="74714" stopIfTrue="1" operator="notEqual">
      <formula>"En cours"</formula>
    </cfRule>
  </conditionalFormatting>
  <conditionalFormatting sqref="AK118">
    <cfRule type="cellIs" dxfId="1241" priority="74715" stopIfTrue="1" operator="equal">
      <formula>"En cours"</formula>
    </cfRule>
    <cfRule type="cellIs" dxfId="1240" priority="74716" stopIfTrue="1" operator="notEqual">
      <formula>"En cours"</formula>
    </cfRule>
  </conditionalFormatting>
  <conditionalFormatting sqref="AJ111">
    <cfRule type="cellIs" dxfId="1239" priority="74717" stopIfTrue="1" operator="equal">
      <formula>"En cours"</formula>
    </cfRule>
    <cfRule type="cellIs" dxfId="1238" priority="74718" stopIfTrue="1" operator="notEqual">
      <formula>"En cours"</formula>
    </cfRule>
  </conditionalFormatting>
  <conditionalFormatting sqref="AK111">
    <cfRule type="cellIs" dxfId="1237" priority="74719" stopIfTrue="1" operator="equal">
      <formula>"En cours"</formula>
    </cfRule>
    <cfRule type="cellIs" dxfId="1236" priority="74720" stopIfTrue="1" operator="notEqual">
      <formula>"En cours"</formula>
    </cfRule>
  </conditionalFormatting>
  <conditionalFormatting sqref="AJ108">
    <cfRule type="cellIs" dxfId="1235" priority="74721" stopIfTrue="1" operator="equal">
      <formula>"En cours"</formula>
    </cfRule>
  </conditionalFormatting>
  <conditionalFormatting sqref="AJ108">
    <cfRule type="cellIs" dxfId="1234" priority="74722" stopIfTrue="1" operator="notEqual">
      <formula>"En cours"</formula>
    </cfRule>
  </conditionalFormatting>
  <conditionalFormatting sqref="AK108">
    <cfRule type="cellIs" dxfId="1233" priority="74723" stopIfTrue="1" operator="equal">
      <formula>"En cours"</formula>
    </cfRule>
  </conditionalFormatting>
  <conditionalFormatting sqref="AK108">
    <cfRule type="cellIs" dxfId="1232" priority="74724" stopIfTrue="1" operator="notEqual">
      <formula>"En cours"</formula>
    </cfRule>
  </conditionalFormatting>
  <conditionalFormatting sqref="AJ120">
    <cfRule type="cellIs" dxfId="1231" priority="74729" stopIfTrue="1" operator="equal">
      <formula>"En cours"</formula>
    </cfRule>
  </conditionalFormatting>
  <conditionalFormatting sqref="AJ120">
    <cfRule type="cellIs" dxfId="1230" priority="74730" stopIfTrue="1" operator="notEqual">
      <formula>"En cours"</formula>
    </cfRule>
  </conditionalFormatting>
  <conditionalFormatting sqref="AK120">
    <cfRule type="cellIs" dxfId="1229" priority="74731" stopIfTrue="1" operator="equal">
      <formula>"En cours"</formula>
    </cfRule>
  </conditionalFormatting>
  <conditionalFormatting sqref="AK120">
    <cfRule type="cellIs" dxfId="1228" priority="74732" stopIfTrue="1" operator="notEqual">
      <formula>"En cours"</formula>
    </cfRule>
  </conditionalFormatting>
  <conditionalFormatting sqref="AJ121">
    <cfRule type="cellIs" dxfId="1227" priority="74737" stopIfTrue="1" operator="equal">
      <formula>"En cours"</formula>
    </cfRule>
  </conditionalFormatting>
  <conditionalFormatting sqref="AJ121">
    <cfRule type="cellIs" dxfId="1226" priority="74738" stopIfTrue="1" operator="notEqual">
      <formula>"En cours"</formula>
    </cfRule>
  </conditionalFormatting>
  <conditionalFormatting sqref="AK121">
    <cfRule type="cellIs" dxfId="1225" priority="74739" stopIfTrue="1" operator="equal">
      <formula>"En cours"</formula>
    </cfRule>
  </conditionalFormatting>
  <conditionalFormatting sqref="AK121">
    <cfRule type="cellIs" dxfId="1224" priority="74740" stopIfTrue="1" operator="notEqual">
      <formula>"En cours"</formula>
    </cfRule>
  </conditionalFormatting>
  <conditionalFormatting sqref="AJ107">
    <cfRule type="cellIs" dxfId="1223" priority="74741" stopIfTrue="1" operator="equal">
      <formula>"En cours"</formula>
    </cfRule>
  </conditionalFormatting>
  <conditionalFormatting sqref="AJ107">
    <cfRule type="cellIs" dxfId="1222" priority="74742" stopIfTrue="1" operator="notEqual">
      <formula>"En cours"</formula>
    </cfRule>
  </conditionalFormatting>
  <conditionalFormatting sqref="AK107">
    <cfRule type="cellIs" dxfId="1221" priority="74743" stopIfTrue="1" operator="equal">
      <formula>"En cours"</formula>
    </cfRule>
  </conditionalFormatting>
  <conditionalFormatting sqref="AK107">
    <cfRule type="cellIs" dxfId="1220" priority="74744" stopIfTrue="1" operator="notEqual">
      <formula>"En cours"</formula>
    </cfRule>
  </conditionalFormatting>
  <conditionalFormatting sqref="AJ97">
    <cfRule type="cellIs" dxfId="1219" priority="75565" stopIfTrue="1" operator="equal">
      <formula>"En cours"</formula>
    </cfRule>
  </conditionalFormatting>
  <conditionalFormatting sqref="AJ97">
    <cfRule type="cellIs" dxfId="1218" priority="75566" stopIfTrue="1" operator="notEqual">
      <formula>"En cours"</formula>
    </cfRule>
  </conditionalFormatting>
  <conditionalFormatting sqref="AK97">
    <cfRule type="cellIs" dxfId="1217" priority="75567" stopIfTrue="1" operator="equal">
      <formula>"En cours"</formula>
    </cfRule>
  </conditionalFormatting>
  <conditionalFormatting sqref="AK97">
    <cfRule type="cellIs" dxfId="1216" priority="75568" stopIfTrue="1" operator="notEqual">
      <formula>"En cours"</formula>
    </cfRule>
  </conditionalFormatting>
  <conditionalFormatting sqref="AJ95">
    <cfRule type="cellIs" dxfId="1215" priority="75569" stopIfTrue="1" operator="equal">
      <formula>"En cours"</formula>
    </cfRule>
  </conditionalFormatting>
  <conditionalFormatting sqref="AJ95">
    <cfRule type="cellIs" dxfId="1214" priority="75570" stopIfTrue="1" operator="notEqual">
      <formula>"En cours"</formula>
    </cfRule>
  </conditionalFormatting>
  <conditionalFormatting sqref="AK95">
    <cfRule type="cellIs" dxfId="1213" priority="75571" stopIfTrue="1" operator="equal">
      <formula>"En cours"</formula>
    </cfRule>
  </conditionalFormatting>
  <conditionalFormatting sqref="AK95">
    <cfRule type="cellIs" dxfId="1212" priority="75572" stopIfTrue="1" operator="notEqual">
      <formula>"En cours"</formula>
    </cfRule>
  </conditionalFormatting>
  <conditionalFormatting sqref="AJ99">
    <cfRule type="cellIs" dxfId="1211" priority="75589" stopIfTrue="1" operator="equal">
      <formula>"En cours"</formula>
    </cfRule>
  </conditionalFormatting>
  <conditionalFormatting sqref="AJ99">
    <cfRule type="cellIs" dxfId="1210" priority="75590" stopIfTrue="1" operator="notEqual">
      <formula>"En cours"</formula>
    </cfRule>
  </conditionalFormatting>
  <conditionalFormatting sqref="AK99">
    <cfRule type="cellIs" dxfId="1209" priority="75591" stopIfTrue="1" operator="equal">
      <formula>"En cours"</formula>
    </cfRule>
  </conditionalFormatting>
  <conditionalFormatting sqref="AK99">
    <cfRule type="cellIs" dxfId="1208" priority="75592" stopIfTrue="1" operator="notEqual">
      <formula>"En cours"</formula>
    </cfRule>
  </conditionalFormatting>
  <conditionalFormatting sqref="AJ101">
    <cfRule type="cellIs" dxfId="1207" priority="75613" stopIfTrue="1" operator="equal">
      <formula>"En cours"</formula>
    </cfRule>
  </conditionalFormatting>
  <conditionalFormatting sqref="AJ101">
    <cfRule type="cellIs" dxfId="1206" priority="75614" stopIfTrue="1" operator="notEqual">
      <formula>"En cours"</formula>
    </cfRule>
  </conditionalFormatting>
  <conditionalFormatting sqref="AK101">
    <cfRule type="cellIs" dxfId="1205" priority="75615" stopIfTrue="1" operator="equal">
      <formula>"En cours"</formula>
    </cfRule>
  </conditionalFormatting>
  <conditionalFormatting sqref="AK101">
    <cfRule type="cellIs" dxfId="1204" priority="75616" stopIfTrue="1" operator="notEqual">
      <formula>"En cours"</formula>
    </cfRule>
  </conditionalFormatting>
  <conditionalFormatting sqref="AJ96">
    <cfRule type="cellIs" dxfId="1203" priority="75617" stopIfTrue="1" operator="equal">
      <formula>"En cours"</formula>
    </cfRule>
  </conditionalFormatting>
  <conditionalFormatting sqref="AJ96">
    <cfRule type="cellIs" dxfId="1202" priority="75618" stopIfTrue="1" operator="notEqual">
      <formula>"En cours"</formula>
    </cfRule>
  </conditionalFormatting>
  <conditionalFormatting sqref="AK96">
    <cfRule type="cellIs" dxfId="1201" priority="75619" stopIfTrue="1" operator="equal">
      <formula>"En cours"</formula>
    </cfRule>
  </conditionalFormatting>
  <conditionalFormatting sqref="AK96">
    <cfRule type="cellIs" dxfId="1200" priority="75620" stopIfTrue="1" operator="notEqual">
      <formula>"En cours"</formula>
    </cfRule>
  </conditionalFormatting>
  <conditionalFormatting sqref="AJ100">
    <cfRule type="cellIs" dxfId="1199" priority="75621" stopIfTrue="1" operator="equal">
      <formula>"En cours"</formula>
    </cfRule>
  </conditionalFormatting>
  <conditionalFormatting sqref="AJ100">
    <cfRule type="cellIs" dxfId="1198" priority="75622" stopIfTrue="1" operator="notEqual">
      <formula>"En cours"</formula>
    </cfRule>
  </conditionalFormatting>
  <conditionalFormatting sqref="AK100">
    <cfRule type="cellIs" dxfId="1197" priority="75623" stopIfTrue="1" operator="equal">
      <formula>"En cours"</formula>
    </cfRule>
  </conditionalFormatting>
  <conditionalFormatting sqref="AK100">
    <cfRule type="cellIs" dxfId="1196" priority="75624" stopIfTrue="1" operator="notEqual">
      <formula>"En cours"</formula>
    </cfRule>
  </conditionalFormatting>
  <conditionalFormatting sqref="AJ98">
    <cfRule type="cellIs" dxfId="1195" priority="75625" stopIfTrue="1" operator="equal">
      <formula>"En cours"</formula>
    </cfRule>
  </conditionalFormatting>
  <conditionalFormatting sqref="AJ98">
    <cfRule type="cellIs" dxfId="1194" priority="75626" stopIfTrue="1" operator="notEqual">
      <formula>"En cours"</formula>
    </cfRule>
  </conditionalFormatting>
  <conditionalFormatting sqref="AK98">
    <cfRule type="cellIs" dxfId="1193" priority="75627" stopIfTrue="1" operator="equal">
      <formula>"En cours"</formula>
    </cfRule>
  </conditionalFormatting>
  <conditionalFormatting sqref="AK98">
    <cfRule type="cellIs" dxfId="1192" priority="75628" stopIfTrue="1" operator="notEqual">
      <formula>"En cours"</formula>
    </cfRule>
  </conditionalFormatting>
  <conditionalFormatting sqref="AJ102">
    <cfRule type="cellIs" dxfId="1191" priority="75633" stopIfTrue="1" operator="equal">
      <formula>"En cours"</formula>
    </cfRule>
  </conditionalFormatting>
  <conditionalFormatting sqref="AJ102">
    <cfRule type="cellIs" dxfId="1190" priority="75634" stopIfTrue="1" operator="notEqual">
      <formula>"En cours"</formula>
    </cfRule>
  </conditionalFormatting>
  <conditionalFormatting sqref="AK102">
    <cfRule type="cellIs" dxfId="1189" priority="75635" stopIfTrue="1" operator="equal">
      <formula>"En cours"</formula>
    </cfRule>
  </conditionalFormatting>
  <conditionalFormatting sqref="AK102">
    <cfRule type="cellIs" dxfId="1188" priority="75636" stopIfTrue="1" operator="notEqual">
      <formula>"En cours"</formula>
    </cfRule>
  </conditionalFormatting>
  <conditionalFormatting sqref="AJ37">
    <cfRule type="cellIs" dxfId="1187" priority="82805" stopIfTrue="1" operator="equal">
      <formula>"En cours"</formula>
    </cfRule>
  </conditionalFormatting>
  <conditionalFormatting sqref="AJ37">
    <cfRule type="cellIs" dxfId="1186" priority="82806" stopIfTrue="1" operator="notEqual">
      <formula>"En cours"</formula>
    </cfRule>
  </conditionalFormatting>
  <conditionalFormatting sqref="AK37">
    <cfRule type="cellIs" dxfId="1185" priority="82807" stopIfTrue="1" operator="equal">
      <formula>"En cours"</formula>
    </cfRule>
  </conditionalFormatting>
  <conditionalFormatting sqref="AK37">
    <cfRule type="cellIs" dxfId="1184" priority="82808" stopIfTrue="1" operator="notEqual">
      <formula>"En cours"</formula>
    </cfRule>
  </conditionalFormatting>
  <conditionalFormatting sqref="AJ35">
    <cfRule type="cellIs" dxfId="1183" priority="82833" stopIfTrue="1" operator="equal">
      <formula>"En cours"</formula>
    </cfRule>
  </conditionalFormatting>
  <conditionalFormatting sqref="AJ35">
    <cfRule type="cellIs" dxfId="1182" priority="82834" stopIfTrue="1" operator="notEqual">
      <formula>"En cours"</formula>
    </cfRule>
  </conditionalFormatting>
  <conditionalFormatting sqref="AK35">
    <cfRule type="cellIs" dxfId="1181" priority="82835" stopIfTrue="1" operator="equal">
      <formula>"En cours"</formula>
    </cfRule>
  </conditionalFormatting>
  <conditionalFormatting sqref="AK35">
    <cfRule type="cellIs" dxfId="1180" priority="82836" stopIfTrue="1" operator="notEqual">
      <formula>"En cours"</formula>
    </cfRule>
  </conditionalFormatting>
  <conditionalFormatting sqref="AJ36">
    <cfRule type="cellIs" dxfId="1179" priority="82837" stopIfTrue="1" operator="equal">
      <formula>"En cours"</formula>
    </cfRule>
  </conditionalFormatting>
  <conditionalFormatting sqref="AJ36">
    <cfRule type="cellIs" dxfId="1178" priority="82838" stopIfTrue="1" operator="notEqual">
      <formula>"En cours"</formula>
    </cfRule>
  </conditionalFormatting>
  <conditionalFormatting sqref="AK36">
    <cfRule type="cellIs" dxfId="1177" priority="82839" stopIfTrue="1" operator="equal">
      <formula>"En cours"</formula>
    </cfRule>
  </conditionalFormatting>
  <conditionalFormatting sqref="AK36">
    <cfRule type="cellIs" dxfId="1176" priority="82840" stopIfTrue="1" operator="notEqual">
      <formula>"En cours"</formula>
    </cfRule>
  </conditionalFormatting>
  <conditionalFormatting sqref="AJ34">
    <cfRule type="cellIs" dxfId="1175" priority="82845" stopIfTrue="1" operator="equal">
      <formula>"En cours"</formula>
    </cfRule>
  </conditionalFormatting>
  <conditionalFormatting sqref="AJ34">
    <cfRule type="cellIs" dxfId="1174" priority="82846" stopIfTrue="1" operator="notEqual">
      <formula>"En cours"</formula>
    </cfRule>
  </conditionalFormatting>
  <conditionalFormatting sqref="AK34">
    <cfRule type="cellIs" dxfId="1173" priority="82847" stopIfTrue="1" operator="equal">
      <formula>"En cours"</formula>
    </cfRule>
  </conditionalFormatting>
  <conditionalFormatting sqref="AK34">
    <cfRule type="cellIs" dxfId="1172" priority="82848" stopIfTrue="1" operator="notEqual">
      <formula>"En cours"</formula>
    </cfRule>
  </conditionalFormatting>
  <conditionalFormatting sqref="AJ40">
    <cfRule type="cellIs" dxfId="1171" priority="82849" stopIfTrue="1" operator="equal">
      <formula>"En cours"</formula>
    </cfRule>
  </conditionalFormatting>
  <conditionalFormatting sqref="AJ40">
    <cfRule type="cellIs" dxfId="1170" priority="82850" stopIfTrue="1" operator="notEqual">
      <formula>"En cours"</formula>
    </cfRule>
  </conditionalFormatting>
  <conditionalFormatting sqref="AK40">
    <cfRule type="cellIs" dxfId="1169" priority="82851" stopIfTrue="1" operator="equal">
      <formula>"En cours"</formula>
    </cfRule>
  </conditionalFormatting>
  <conditionalFormatting sqref="AK40">
    <cfRule type="cellIs" dxfId="1168" priority="82852" stopIfTrue="1" operator="notEqual">
      <formula>"En cours"</formula>
    </cfRule>
  </conditionalFormatting>
  <conditionalFormatting sqref="AJ42">
    <cfRule type="cellIs" dxfId="1167" priority="82853" stopIfTrue="1" operator="equal">
      <formula>"En cours"</formula>
    </cfRule>
  </conditionalFormatting>
  <conditionalFormatting sqref="AJ42">
    <cfRule type="cellIs" dxfId="1166" priority="82854" stopIfTrue="1" operator="notEqual">
      <formula>"En cours"</formula>
    </cfRule>
  </conditionalFormatting>
  <conditionalFormatting sqref="AK42">
    <cfRule type="cellIs" dxfId="1165" priority="82855" stopIfTrue="1" operator="equal">
      <formula>"En cours"</formula>
    </cfRule>
  </conditionalFormatting>
  <conditionalFormatting sqref="AK42">
    <cfRule type="cellIs" dxfId="1164" priority="82856" stopIfTrue="1" operator="notEqual">
      <formula>"En cours"</formula>
    </cfRule>
  </conditionalFormatting>
  <conditionalFormatting sqref="AJ41">
    <cfRule type="cellIs" dxfId="1163" priority="82857" stopIfTrue="1" operator="equal">
      <formula>"En cours"</formula>
    </cfRule>
  </conditionalFormatting>
  <conditionalFormatting sqref="AJ41">
    <cfRule type="cellIs" dxfId="1162" priority="82858" stopIfTrue="1" operator="notEqual">
      <formula>"En cours"</formula>
    </cfRule>
  </conditionalFormatting>
  <conditionalFormatting sqref="AK41">
    <cfRule type="cellIs" dxfId="1161" priority="82859" stopIfTrue="1" operator="equal">
      <formula>"En cours"</formula>
    </cfRule>
  </conditionalFormatting>
  <conditionalFormatting sqref="AK41">
    <cfRule type="cellIs" dxfId="1160" priority="82860" stopIfTrue="1" operator="notEqual">
      <formula>"En cours"</formula>
    </cfRule>
  </conditionalFormatting>
  <conditionalFormatting sqref="AJ43">
    <cfRule type="cellIs" dxfId="1159" priority="82861" stopIfTrue="1" operator="equal">
      <formula>"En cours"</formula>
    </cfRule>
  </conditionalFormatting>
  <conditionalFormatting sqref="AJ43">
    <cfRule type="cellIs" dxfId="1158" priority="82862" stopIfTrue="1" operator="notEqual">
      <formula>"En cours"</formula>
    </cfRule>
  </conditionalFormatting>
  <conditionalFormatting sqref="AK43">
    <cfRule type="cellIs" dxfId="1157" priority="82863" stopIfTrue="1" operator="equal">
      <formula>"En cours"</formula>
    </cfRule>
  </conditionalFormatting>
  <conditionalFormatting sqref="AK43">
    <cfRule type="cellIs" dxfId="1156" priority="82864" stopIfTrue="1" operator="notEqual">
      <formula>"En cours"</formula>
    </cfRule>
  </conditionalFormatting>
  <conditionalFormatting sqref="AJ38">
    <cfRule type="cellIs" dxfId="1155" priority="82865" stopIfTrue="1" operator="equal">
      <formula>"En cours"</formula>
    </cfRule>
  </conditionalFormatting>
  <conditionalFormatting sqref="AJ38">
    <cfRule type="cellIs" dxfId="1154" priority="82866" stopIfTrue="1" operator="notEqual">
      <formula>"En cours"</formula>
    </cfRule>
  </conditionalFormatting>
  <conditionalFormatting sqref="AK38">
    <cfRule type="cellIs" dxfId="1153" priority="82867" stopIfTrue="1" operator="equal">
      <formula>"En cours"</formula>
    </cfRule>
  </conditionalFormatting>
  <conditionalFormatting sqref="AK38">
    <cfRule type="cellIs" dxfId="1152" priority="82868" stopIfTrue="1" operator="notEqual">
      <formula>"En cours"</formula>
    </cfRule>
  </conditionalFormatting>
  <conditionalFormatting sqref="AJ45">
    <cfRule type="cellIs" dxfId="1151" priority="82869" stopIfTrue="1" operator="equal">
      <formula>"En cours"</formula>
    </cfRule>
  </conditionalFormatting>
  <conditionalFormatting sqref="AJ45">
    <cfRule type="cellIs" dxfId="1150" priority="82870" stopIfTrue="1" operator="notEqual">
      <formula>"En cours"</formula>
    </cfRule>
  </conditionalFormatting>
  <conditionalFormatting sqref="AK45">
    <cfRule type="cellIs" dxfId="1149" priority="82871" stopIfTrue="1" operator="equal">
      <formula>"En cours"</formula>
    </cfRule>
  </conditionalFormatting>
  <conditionalFormatting sqref="AK45">
    <cfRule type="cellIs" dxfId="1148" priority="82872" stopIfTrue="1" operator="notEqual">
      <formula>"En cours"</formula>
    </cfRule>
  </conditionalFormatting>
  <conditionalFormatting sqref="AJ51">
    <cfRule type="cellIs" dxfId="1147" priority="82873" stopIfTrue="1" operator="equal">
      <formula>"En cours"</formula>
    </cfRule>
  </conditionalFormatting>
  <conditionalFormatting sqref="AJ51">
    <cfRule type="cellIs" dxfId="1146" priority="82874" stopIfTrue="1" operator="notEqual">
      <formula>"En cours"</formula>
    </cfRule>
  </conditionalFormatting>
  <conditionalFormatting sqref="AK51">
    <cfRule type="cellIs" dxfId="1145" priority="82875" stopIfTrue="1" operator="equal">
      <formula>"En cours"</formula>
    </cfRule>
  </conditionalFormatting>
  <conditionalFormatting sqref="AK51">
    <cfRule type="cellIs" dxfId="1144" priority="82876" stopIfTrue="1" operator="notEqual">
      <formula>"En cours"</formula>
    </cfRule>
  </conditionalFormatting>
  <conditionalFormatting sqref="AJ46">
    <cfRule type="cellIs" dxfId="1143" priority="82877" stopIfTrue="1" operator="equal">
      <formula>"En cours"</formula>
    </cfRule>
  </conditionalFormatting>
  <conditionalFormatting sqref="AJ46">
    <cfRule type="cellIs" dxfId="1142" priority="82878" stopIfTrue="1" operator="notEqual">
      <formula>"En cours"</formula>
    </cfRule>
  </conditionalFormatting>
  <conditionalFormatting sqref="AK46">
    <cfRule type="cellIs" dxfId="1141" priority="82879" stopIfTrue="1" operator="equal">
      <formula>"En cours"</formula>
    </cfRule>
  </conditionalFormatting>
  <conditionalFormatting sqref="AK46">
    <cfRule type="cellIs" dxfId="1140" priority="82880" stopIfTrue="1" operator="notEqual">
      <formula>"En cours"</formula>
    </cfRule>
  </conditionalFormatting>
  <conditionalFormatting sqref="AJ47">
    <cfRule type="cellIs" dxfId="1139" priority="82881" stopIfTrue="1" operator="equal">
      <formula>"En cours"</formula>
    </cfRule>
  </conditionalFormatting>
  <conditionalFormatting sqref="AJ47">
    <cfRule type="cellIs" dxfId="1138" priority="82882" stopIfTrue="1" operator="notEqual">
      <formula>"En cours"</formula>
    </cfRule>
  </conditionalFormatting>
  <conditionalFormatting sqref="AK47">
    <cfRule type="cellIs" dxfId="1137" priority="82883" stopIfTrue="1" operator="equal">
      <formula>"En cours"</formula>
    </cfRule>
  </conditionalFormatting>
  <conditionalFormatting sqref="AK47">
    <cfRule type="cellIs" dxfId="1136" priority="82884" stopIfTrue="1" operator="notEqual">
      <formula>"En cours"</formula>
    </cfRule>
  </conditionalFormatting>
  <conditionalFormatting sqref="AJ58">
    <cfRule type="cellIs" dxfId="1135" priority="82885" stopIfTrue="1" operator="equal">
      <formula>"En cours"</formula>
    </cfRule>
  </conditionalFormatting>
  <conditionalFormatting sqref="AJ58">
    <cfRule type="cellIs" dxfId="1134" priority="82886" stopIfTrue="1" operator="notEqual">
      <formula>"En cours"</formula>
    </cfRule>
  </conditionalFormatting>
  <conditionalFormatting sqref="AK58">
    <cfRule type="cellIs" dxfId="1133" priority="82887" stopIfTrue="1" operator="equal">
      <formula>"En cours"</formula>
    </cfRule>
  </conditionalFormatting>
  <conditionalFormatting sqref="AK58">
    <cfRule type="cellIs" dxfId="1132" priority="82888" stopIfTrue="1" operator="notEqual">
      <formula>"En cours"</formula>
    </cfRule>
  </conditionalFormatting>
  <conditionalFormatting sqref="AJ39">
    <cfRule type="cellIs" dxfId="1131" priority="82889" stopIfTrue="1" operator="equal">
      <formula>"En cours"</formula>
    </cfRule>
  </conditionalFormatting>
  <conditionalFormatting sqref="AJ39">
    <cfRule type="cellIs" dxfId="1130" priority="82890" stopIfTrue="1" operator="notEqual">
      <formula>"En cours"</formula>
    </cfRule>
  </conditionalFormatting>
  <conditionalFormatting sqref="AK39">
    <cfRule type="cellIs" dxfId="1129" priority="82891" stopIfTrue="1" operator="equal">
      <formula>"En cours"</formula>
    </cfRule>
  </conditionalFormatting>
  <conditionalFormatting sqref="AK39">
    <cfRule type="cellIs" dxfId="1128" priority="82892" stopIfTrue="1" operator="notEqual">
      <formula>"En cours"</formula>
    </cfRule>
  </conditionalFormatting>
  <conditionalFormatting sqref="AJ54">
    <cfRule type="cellIs" dxfId="1127" priority="82893" stopIfTrue="1" operator="equal">
      <formula>"En cours"</formula>
    </cfRule>
  </conditionalFormatting>
  <conditionalFormatting sqref="AJ54">
    <cfRule type="cellIs" dxfId="1126" priority="82894" stopIfTrue="1" operator="notEqual">
      <formula>"En cours"</formula>
    </cfRule>
  </conditionalFormatting>
  <conditionalFormatting sqref="AK54">
    <cfRule type="cellIs" dxfId="1125" priority="82895" stopIfTrue="1" operator="equal">
      <formula>"En cours"</formula>
    </cfRule>
  </conditionalFormatting>
  <conditionalFormatting sqref="AK54">
    <cfRule type="cellIs" dxfId="1124" priority="82896" stopIfTrue="1" operator="notEqual">
      <formula>"En cours"</formula>
    </cfRule>
  </conditionalFormatting>
  <conditionalFormatting sqref="AJ55">
    <cfRule type="cellIs" dxfId="1123" priority="82897" stopIfTrue="1" operator="equal">
      <formula>"En cours"</formula>
    </cfRule>
  </conditionalFormatting>
  <conditionalFormatting sqref="AJ55">
    <cfRule type="cellIs" dxfId="1122" priority="82898" stopIfTrue="1" operator="notEqual">
      <formula>"En cours"</formula>
    </cfRule>
  </conditionalFormatting>
  <conditionalFormatting sqref="AK55">
    <cfRule type="cellIs" dxfId="1121" priority="82899" stopIfTrue="1" operator="equal">
      <formula>"En cours"</formula>
    </cfRule>
  </conditionalFormatting>
  <conditionalFormatting sqref="AK55">
    <cfRule type="cellIs" dxfId="1120" priority="82900" stopIfTrue="1" operator="notEqual">
      <formula>"En cours"</formula>
    </cfRule>
  </conditionalFormatting>
  <conditionalFormatting sqref="AJ44">
    <cfRule type="cellIs" dxfId="1119" priority="82901" stopIfTrue="1" operator="equal">
      <formula>"En cours"</formula>
    </cfRule>
  </conditionalFormatting>
  <conditionalFormatting sqref="AJ44">
    <cfRule type="cellIs" dxfId="1118" priority="82902" stopIfTrue="1" operator="notEqual">
      <formula>"En cours"</formula>
    </cfRule>
  </conditionalFormatting>
  <conditionalFormatting sqref="AK44">
    <cfRule type="cellIs" dxfId="1117" priority="82903" stopIfTrue="1" operator="equal">
      <formula>"En cours"</formula>
    </cfRule>
  </conditionalFormatting>
  <conditionalFormatting sqref="AK44">
    <cfRule type="cellIs" dxfId="1116" priority="82904" stopIfTrue="1" operator="notEqual">
      <formula>"En cours"</formula>
    </cfRule>
  </conditionalFormatting>
  <conditionalFormatting sqref="AJ52">
    <cfRule type="cellIs" dxfId="1115" priority="82905" stopIfTrue="1" operator="equal">
      <formula>"En cours"</formula>
    </cfRule>
  </conditionalFormatting>
  <conditionalFormatting sqref="AJ52">
    <cfRule type="cellIs" dxfId="1114" priority="82906" stopIfTrue="1" operator="notEqual">
      <formula>"En cours"</formula>
    </cfRule>
  </conditionalFormatting>
  <conditionalFormatting sqref="AK52">
    <cfRule type="cellIs" dxfId="1113" priority="82907" stopIfTrue="1" operator="equal">
      <formula>"En cours"</formula>
    </cfRule>
  </conditionalFormatting>
  <conditionalFormatting sqref="AK52">
    <cfRule type="cellIs" dxfId="1112" priority="82908" stopIfTrue="1" operator="notEqual">
      <formula>"En cours"</formula>
    </cfRule>
  </conditionalFormatting>
  <conditionalFormatting sqref="AJ56">
    <cfRule type="cellIs" dxfId="1111" priority="82909" stopIfTrue="1" operator="equal">
      <formula>"En cours"</formula>
    </cfRule>
  </conditionalFormatting>
  <conditionalFormatting sqref="AJ56">
    <cfRule type="cellIs" dxfId="1110" priority="82910" stopIfTrue="1" operator="notEqual">
      <formula>"En cours"</formula>
    </cfRule>
  </conditionalFormatting>
  <conditionalFormatting sqref="AK56">
    <cfRule type="cellIs" dxfId="1109" priority="82911" stopIfTrue="1" operator="equal">
      <formula>"En cours"</formula>
    </cfRule>
  </conditionalFormatting>
  <conditionalFormatting sqref="AK56">
    <cfRule type="cellIs" dxfId="1108" priority="82912" stopIfTrue="1" operator="notEqual">
      <formula>"En cours"</formula>
    </cfRule>
  </conditionalFormatting>
  <conditionalFormatting sqref="AJ63">
    <cfRule type="cellIs" dxfId="1107" priority="82913" stopIfTrue="1" operator="equal">
      <formula>"En cours"</formula>
    </cfRule>
  </conditionalFormatting>
  <conditionalFormatting sqref="AJ63">
    <cfRule type="cellIs" dxfId="1106" priority="82914" stopIfTrue="1" operator="notEqual">
      <formula>"En cours"</formula>
    </cfRule>
  </conditionalFormatting>
  <conditionalFormatting sqref="AK63">
    <cfRule type="cellIs" dxfId="1105" priority="82915" stopIfTrue="1" operator="equal">
      <formula>"En cours"</formula>
    </cfRule>
  </conditionalFormatting>
  <conditionalFormatting sqref="AK63">
    <cfRule type="cellIs" dxfId="1104" priority="82916" stopIfTrue="1" operator="notEqual">
      <formula>"En cours"</formula>
    </cfRule>
  </conditionalFormatting>
  <conditionalFormatting sqref="AJ48">
    <cfRule type="cellIs" dxfId="1103" priority="82917" stopIfTrue="1" operator="equal">
      <formula>"En cours"</formula>
    </cfRule>
  </conditionalFormatting>
  <conditionalFormatting sqref="AJ48">
    <cfRule type="cellIs" dxfId="1102" priority="82918" stopIfTrue="1" operator="notEqual">
      <formula>"En cours"</formula>
    </cfRule>
  </conditionalFormatting>
  <conditionalFormatting sqref="AK48">
    <cfRule type="cellIs" dxfId="1101" priority="82919" stopIfTrue="1" operator="equal">
      <formula>"En cours"</formula>
    </cfRule>
  </conditionalFormatting>
  <conditionalFormatting sqref="AK48">
    <cfRule type="cellIs" dxfId="1100" priority="82920" stopIfTrue="1" operator="notEqual">
      <formula>"En cours"</formula>
    </cfRule>
  </conditionalFormatting>
  <conditionalFormatting sqref="AJ49">
    <cfRule type="cellIs" dxfId="1099" priority="82921" stopIfTrue="1" operator="equal">
      <formula>"En cours"</formula>
    </cfRule>
  </conditionalFormatting>
  <conditionalFormatting sqref="AJ49">
    <cfRule type="cellIs" dxfId="1098" priority="82922" stopIfTrue="1" operator="notEqual">
      <formula>"En cours"</formula>
    </cfRule>
  </conditionalFormatting>
  <conditionalFormatting sqref="AK49">
    <cfRule type="cellIs" dxfId="1097" priority="82923" stopIfTrue="1" operator="equal">
      <formula>"En cours"</formula>
    </cfRule>
  </conditionalFormatting>
  <conditionalFormatting sqref="AK49">
    <cfRule type="cellIs" dxfId="1096" priority="82924" stopIfTrue="1" operator="notEqual">
      <formula>"En cours"</formula>
    </cfRule>
  </conditionalFormatting>
  <conditionalFormatting sqref="AJ50">
    <cfRule type="cellIs" dxfId="1095" priority="82925" stopIfTrue="1" operator="equal">
      <formula>"En cours"</formula>
    </cfRule>
  </conditionalFormatting>
  <conditionalFormatting sqref="AJ50">
    <cfRule type="cellIs" dxfId="1094" priority="82926" stopIfTrue="1" operator="notEqual">
      <formula>"En cours"</formula>
    </cfRule>
  </conditionalFormatting>
  <conditionalFormatting sqref="AK50">
    <cfRule type="cellIs" dxfId="1093" priority="82927" stopIfTrue="1" operator="equal">
      <formula>"En cours"</formula>
    </cfRule>
  </conditionalFormatting>
  <conditionalFormatting sqref="AK50">
    <cfRule type="cellIs" dxfId="1092" priority="82928" stopIfTrue="1" operator="notEqual">
      <formula>"En cours"</formula>
    </cfRule>
  </conditionalFormatting>
  <conditionalFormatting sqref="AJ57">
    <cfRule type="cellIs" dxfId="1091" priority="82929" stopIfTrue="1" operator="equal">
      <formula>"En cours"</formula>
    </cfRule>
  </conditionalFormatting>
  <conditionalFormatting sqref="AJ57">
    <cfRule type="cellIs" dxfId="1090" priority="82930" stopIfTrue="1" operator="notEqual">
      <formula>"En cours"</formula>
    </cfRule>
  </conditionalFormatting>
  <conditionalFormatting sqref="AK57">
    <cfRule type="cellIs" dxfId="1089" priority="82931" stopIfTrue="1" operator="equal">
      <formula>"En cours"</formula>
    </cfRule>
  </conditionalFormatting>
  <conditionalFormatting sqref="AK57">
    <cfRule type="cellIs" dxfId="1088" priority="82932" stopIfTrue="1" operator="notEqual">
      <formula>"En cours"</formula>
    </cfRule>
  </conditionalFormatting>
  <conditionalFormatting sqref="AJ59">
    <cfRule type="cellIs" dxfId="1087" priority="82933" stopIfTrue="1" operator="equal">
      <formula>"En cours"</formula>
    </cfRule>
  </conditionalFormatting>
  <conditionalFormatting sqref="AJ59">
    <cfRule type="cellIs" dxfId="1086" priority="82934" stopIfTrue="1" operator="notEqual">
      <formula>"En cours"</formula>
    </cfRule>
  </conditionalFormatting>
  <conditionalFormatting sqref="AK59">
    <cfRule type="cellIs" dxfId="1085" priority="82935" stopIfTrue="1" operator="equal">
      <formula>"En cours"</formula>
    </cfRule>
  </conditionalFormatting>
  <conditionalFormatting sqref="AK59">
    <cfRule type="cellIs" dxfId="1084" priority="82936" stopIfTrue="1" operator="notEqual">
      <formula>"En cours"</formula>
    </cfRule>
  </conditionalFormatting>
  <conditionalFormatting sqref="AJ66">
    <cfRule type="cellIs" dxfId="1083" priority="82937" stopIfTrue="1" operator="equal">
      <formula>"En cours"</formula>
    </cfRule>
  </conditionalFormatting>
  <conditionalFormatting sqref="AJ66">
    <cfRule type="cellIs" dxfId="1082" priority="82938" stopIfTrue="1" operator="notEqual">
      <formula>"En cours"</formula>
    </cfRule>
  </conditionalFormatting>
  <conditionalFormatting sqref="AK66">
    <cfRule type="cellIs" dxfId="1081" priority="82939" stopIfTrue="1" operator="equal">
      <formula>"En cours"</formula>
    </cfRule>
  </conditionalFormatting>
  <conditionalFormatting sqref="AK66">
    <cfRule type="cellIs" dxfId="1080" priority="82940" stopIfTrue="1" operator="notEqual">
      <formula>"En cours"</formula>
    </cfRule>
  </conditionalFormatting>
  <conditionalFormatting sqref="AJ53">
    <cfRule type="cellIs" dxfId="1079" priority="82941" stopIfTrue="1" operator="equal">
      <formula>"En cours"</formula>
    </cfRule>
  </conditionalFormatting>
  <conditionalFormatting sqref="AJ53">
    <cfRule type="cellIs" dxfId="1078" priority="82942" stopIfTrue="1" operator="notEqual">
      <formula>"En cours"</formula>
    </cfRule>
  </conditionalFormatting>
  <conditionalFormatting sqref="AK53">
    <cfRule type="cellIs" dxfId="1077" priority="82943" stopIfTrue="1" operator="equal">
      <formula>"En cours"</formula>
    </cfRule>
  </conditionalFormatting>
  <conditionalFormatting sqref="AK53">
    <cfRule type="cellIs" dxfId="1076" priority="82944" stopIfTrue="1" operator="notEqual">
      <formula>"En cours"</formula>
    </cfRule>
  </conditionalFormatting>
  <conditionalFormatting sqref="AJ65">
    <cfRule type="cellIs" dxfId="1075" priority="82945" stopIfTrue="1" operator="equal">
      <formula>"En cours"</formula>
    </cfRule>
  </conditionalFormatting>
  <conditionalFormatting sqref="AJ65">
    <cfRule type="cellIs" dxfId="1074" priority="82946" stopIfTrue="1" operator="notEqual">
      <formula>"En cours"</formula>
    </cfRule>
  </conditionalFormatting>
  <conditionalFormatting sqref="AK65">
    <cfRule type="cellIs" dxfId="1073" priority="82947" stopIfTrue="1" operator="equal">
      <formula>"En cours"</formula>
    </cfRule>
  </conditionalFormatting>
  <conditionalFormatting sqref="AK65">
    <cfRule type="cellIs" dxfId="1072" priority="82948" stopIfTrue="1" operator="notEqual">
      <formula>"En cours"</formula>
    </cfRule>
  </conditionalFormatting>
  <conditionalFormatting sqref="AJ62">
    <cfRule type="cellIs" dxfId="1071" priority="82949" stopIfTrue="1" operator="equal">
      <formula>"En cours"</formula>
    </cfRule>
  </conditionalFormatting>
  <conditionalFormatting sqref="AJ62">
    <cfRule type="cellIs" dxfId="1070" priority="82950" stopIfTrue="1" operator="notEqual">
      <formula>"En cours"</formula>
    </cfRule>
  </conditionalFormatting>
  <conditionalFormatting sqref="AK62">
    <cfRule type="cellIs" dxfId="1069" priority="82951" stopIfTrue="1" operator="equal">
      <formula>"En cours"</formula>
    </cfRule>
  </conditionalFormatting>
  <conditionalFormatting sqref="AK62">
    <cfRule type="cellIs" dxfId="1068" priority="82952" stopIfTrue="1" operator="notEqual">
      <formula>"En cours"</formula>
    </cfRule>
  </conditionalFormatting>
  <conditionalFormatting sqref="AJ61">
    <cfRule type="cellIs" dxfId="1067" priority="82953" stopIfTrue="1" operator="equal">
      <formula>"En cours"</formula>
    </cfRule>
  </conditionalFormatting>
  <conditionalFormatting sqref="AJ61">
    <cfRule type="cellIs" dxfId="1066" priority="82954" stopIfTrue="1" operator="notEqual">
      <formula>"En cours"</formula>
    </cfRule>
  </conditionalFormatting>
  <conditionalFormatting sqref="AK61">
    <cfRule type="cellIs" dxfId="1065" priority="82955" stopIfTrue="1" operator="equal">
      <formula>"En cours"</formula>
    </cfRule>
  </conditionalFormatting>
  <conditionalFormatting sqref="AK61">
    <cfRule type="cellIs" dxfId="1064" priority="82956" stopIfTrue="1" operator="notEqual">
      <formula>"En cours"</formula>
    </cfRule>
  </conditionalFormatting>
  <conditionalFormatting sqref="AJ67">
    <cfRule type="cellIs" dxfId="1063" priority="82957" stopIfTrue="1" operator="equal">
      <formula>"En cours"</formula>
    </cfRule>
  </conditionalFormatting>
  <conditionalFormatting sqref="AJ67">
    <cfRule type="cellIs" dxfId="1062" priority="82958" stopIfTrue="1" operator="notEqual">
      <formula>"En cours"</formula>
    </cfRule>
  </conditionalFormatting>
  <conditionalFormatting sqref="AK67">
    <cfRule type="cellIs" dxfId="1061" priority="82959" stopIfTrue="1" operator="equal">
      <formula>"En cours"</formula>
    </cfRule>
  </conditionalFormatting>
  <conditionalFormatting sqref="AK67">
    <cfRule type="cellIs" dxfId="1060" priority="82960" stopIfTrue="1" operator="notEqual">
      <formula>"En cours"</formula>
    </cfRule>
  </conditionalFormatting>
  <conditionalFormatting sqref="AJ60">
    <cfRule type="cellIs" dxfId="1059" priority="82961" stopIfTrue="1" operator="equal">
      <formula>"En cours"</formula>
    </cfRule>
  </conditionalFormatting>
  <conditionalFormatting sqref="AJ60">
    <cfRule type="cellIs" dxfId="1058" priority="82962" stopIfTrue="1" operator="notEqual">
      <formula>"En cours"</formula>
    </cfRule>
  </conditionalFormatting>
  <conditionalFormatting sqref="AK60">
    <cfRule type="cellIs" dxfId="1057" priority="82963" stopIfTrue="1" operator="equal">
      <formula>"En cours"</formula>
    </cfRule>
  </conditionalFormatting>
  <conditionalFormatting sqref="AK60">
    <cfRule type="cellIs" dxfId="1056" priority="82964" stopIfTrue="1" operator="notEqual">
      <formula>"En cours"</formula>
    </cfRule>
  </conditionalFormatting>
  <conditionalFormatting sqref="AJ64">
    <cfRule type="cellIs" dxfId="1055" priority="82965" stopIfTrue="1" operator="equal">
      <formula>"En cours"</formula>
    </cfRule>
  </conditionalFormatting>
  <conditionalFormatting sqref="AJ64">
    <cfRule type="cellIs" dxfId="1054" priority="82966" stopIfTrue="1" operator="notEqual">
      <formula>"En cours"</formula>
    </cfRule>
  </conditionalFormatting>
  <conditionalFormatting sqref="AK64">
    <cfRule type="cellIs" dxfId="1053" priority="82967" stopIfTrue="1" operator="equal">
      <formula>"En cours"</formula>
    </cfRule>
  </conditionalFormatting>
  <conditionalFormatting sqref="AK64">
    <cfRule type="cellIs" dxfId="1052" priority="82968" stopIfTrue="1" operator="notEqual">
      <formula>"En cours"</formula>
    </cfRule>
  </conditionalFormatting>
  <conditionalFormatting sqref="AJ68">
    <cfRule type="cellIs" dxfId="1051" priority="82969" stopIfTrue="1" operator="equal">
      <formula>"En cours"</formula>
    </cfRule>
  </conditionalFormatting>
  <conditionalFormatting sqref="AJ68">
    <cfRule type="cellIs" dxfId="1050" priority="82970" stopIfTrue="1" operator="notEqual">
      <formula>"En cours"</formula>
    </cfRule>
  </conditionalFormatting>
  <conditionalFormatting sqref="AK68">
    <cfRule type="cellIs" dxfId="1049" priority="82971" stopIfTrue="1" operator="equal">
      <formula>"En cours"</formula>
    </cfRule>
  </conditionalFormatting>
  <conditionalFormatting sqref="AK68">
    <cfRule type="cellIs" dxfId="1048" priority="82972" stopIfTrue="1" operator="notEqual">
      <formula>"En cours"</formula>
    </cfRule>
  </conditionalFormatting>
  <conditionalFormatting sqref="AJ71">
    <cfRule type="cellIs" dxfId="1047" priority="82973" stopIfTrue="1" operator="equal">
      <formula>"En cours"</formula>
    </cfRule>
  </conditionalFormatting>
  <conditionalFormatting sqref="AJ71">
    <cfRule type="cellIs" dxfId="1046" priority="82974" stopIfTrue="1" operator="notEqual">
      <formula>"En cours"</formula>
    </cfRule>
  </conditionalFormatting>
  <conditionalFormatting sqref="AK71">
    <cfRule type="cellIs" dxfId="1045" priority="82975" stopIfTrue="1" operator="equal">
      <formula>"En cours"</formula>
    </cfRule>
  </conditionalFormatting>
  <conditionalFormatting sqref="AK71">
    <cfRule type="cellIs" dxfId="1044" priority="82976" stopIfTrue="1" operator="notEqual">
      <formula>"En cours"</formula>
    </cfRule>
  </conditionalFormatting>
  <conditionalFormatting sqref="AJ69">
    <cfRule type="cellIs" dxfId="1043" priority="82977" stopIfTrue="1" operator="equal">
      <formula>"En cours"</formula>
    </cfRule>
  </conditionalFormatting>
  <conditionalFormatting sqref="AJ69">
    <cfRule type="cellIs" dxfId="1042" priority="82978" stopIfTrue="1" operator="notEqual">
      <formula>"En cours"</formula>
    </cfRule>
  </conditionalFormatting>
  <conditionalFormatting sqref="AK69">
    <cfRule type="cellIs" dxfId="1041" priority="82979" stopIfTrue="1" operator="equal">
      <formula>"En cours"</formula>
    </cfRule>
  </conditionalFormatting>
  <conditionalFormatting sqref="AK69">
    <cfRule type="cellIs" dxfId="1040" priority="82980" stopIfTrue="1" operator="notEqual">
      <formula>"En cours"</formula>
    </cfRule>
  </conditionalFormatting>
  <conditionalFormatting sqref="AJ72">
    <cfRule type="cellIs" dxfId="1039" priority="82981" stopIfTrue="1" operator="equal">
      <formula>"En cours"</formula>
    </cfRule>
  </conditionalFormatting>
  <conditionalFormatting sqref="AJ72">
    <cfRule type="cellIs" dxfId="1038" priority="82982" stopIfTrue="1" operator="notEqual">
      <formula>"En cours"</formula>
    </cfRule>
  </conditionalFormatting>
  <conditionalFormatting sqref="AK72">
    <cfRule type="cellIs" dxfId="1037" priority="82983" stopIfTrue="1" operator="equal">
      <formula>"En cours"</formula>
    </cfRule>
  </conditionalFormatting>
  <conditionalFormatting sqref="AK72">
    <cfRule type="cellIs" dxfId="1036" priority="82984" stopIfTrue="1" operator="notEqual">
      <formula>"En cours"</formula>
    </cfRule>
  </conditionalFormatting>
  <conditionalFormatting sqref="AJ70">
    <cfRule type="cellIs" dxfId="1035" priority="82985" stopIfTrue="1" operator="equal">
      <formula>"En cours"</formula>
    </cfRule>
  </conditionalFormatting>
  <conditionalFormatting sqref="AJ70">
    <cfRule type="cellIs" dxfId="1034" priority="82986" stopIfTrue="1" operator="notEqual">
      <formula>"En cours"</formula>
    </cfRule>
  </conditionalFormatting>
  <conditionalFormatting sqref="AK70">
    <cfRule type="cellIs" dxfId="1033" priority="82987" stopIfTrue="1" operator="equal">
      <formula>"En cours"</formula>
    </cfRule>
  </conditionalFormatting>
  <conditionalFormatting sqref="AK70">
    <cfRule type="cellIs" dxfId="1032" priority="82988" stopIfTrue="1" operator="notEqual">
      <formula>"En cours"</formula>
    </cfRule>
  </conditionalFormatting>
  <conditionalFormatting sqref="AJ74">
    <cfRule type="cellIs" dxfId="1031" priority="82989" stopIfTrue="1" operator="equal">
      <formula>"En cours"</formula>
    </cfRule>
  </conditionalFormatting>
  <conditionalFormatting sqref="AJ74">
    <cfRule type="cellIs" dxfId="1030" priority="82990" stopIfTrue="1" operator="notEqual">
      <formula>"En cours"</formula>
    </cfRule>
  </conditionalFormatting>
  <conditionalFormatting sqref="AK74">
    <cfRule type="cellIs" dxfId="1029" priority="82991" stopIfTrue="1" operator="equal">
      <formula>"En cours"</formula>
    </cfRule>
  </conditionalFormatting>
  <conditionalFormatting sqref="AK74">
    <cfRule type="cellIs" dxfId="1028" priority="82992" stopIfTrue="1" operator="notEqual">
      <formula>"En cours"</formula>
    </cfRule>
  </conditionalFormatting>
  <conditionalFormatting sqref="AJ75">
    <cfRule type="cellIs" dxfId="1027" priority="82993" stopIfTrue="1" operator="equal">
      <formula>"En cours"</formula>
    </cfRule>
  </conditionalFormatting>
  <conditionalFormatting sqref="AJ75">
    <cfRule type="cellIs" dxfId="1026" priority="82994" stopIfTrue="1" operator="notEqual">
      <formula>"En cours"</formula>
    </cfRule>
  </conditionalFormatting>
  <conditionalFormatting sqref="AK75">
    <cfRule type="cellIs" dxfId="1025" priority="82995" stopIfTrue="1" operator="equal">
      <formula>"En cours"</formula>
    </cfRule>
  </conditionalFormatting>
  <conditionalFormatting sqref="AK75">
    <cfRule type="cellIs" dxfId="1024" priority="82996" stopIfTrue="1" operator="notEqual">
      <formula>"En cours"</formula>
    </cfRule>
  </conditionalFormatting>
  <conditionalFormatting sqref="AJ83">
    <cfRule type="cellIs" dxfId="1023" priority="82997" stopIfTrue="1" operator="equal">
      <formula>"En cours"</formula>
    </cfRule>
  </conditionalFormatting>
  <conditionalFormatting sqref="AJ83">
    <cfRule type="cellIs" dxfId="1022" priority="82998" stopIfTrue="1" operator="notEqual">
      <formula>"En cours"</formula>
    </cfRule>
  </conditionalFormatting>
  <conditionalFormatting sqref="AK83">
    <cfRule type="cellIs" dxfId="1021" priority="82999" stopIfTrue="1" operator="equal">
      <formula>"En cours"</formula>
    </cfRule>
  </conditionalFormatting>
  <conditionalFormatting sqref="AK83">
    <cfRule type="cellIs" dxfId="1020" priority="83000" stopIfTrue="1" operator="notEqual">
      <formula>"En cours"</formula>
    </cfRule>
  </conditionalFormatting>
  <conditionalFormatting sqref="AJ77">
    <cfRule type="cellIs" dxfId="1019" priority="83001" stopIfTrue="1" operator="equal">
      <formula>"En cours"</formula>
    </cfRule>
  </conditionalFormatting>
  <conditionalFormatting sqref="AJ77">
    <cfRule type="cellIs" dxfId="1018" priority="83002" stopIfTrue="1" operator="notEqual">
      <formula>"En cours"</formula>
    </cfRule>
  </conditionalFormatting>
  <conditionalFormatting sqref="AK77">
    <cfRule type="cellIs" dxfId="1017" priority="83003" stopIfTrue="1" operator="equal">
      <formula>"En cours"</formula>
    </cfRule>
  </conditionalFormatting>
  <conditionalFormatting sqref="AK77">
    <cfRule type="cellIs" dxfId="1016" priority="83004" stopIfTrue="1" operator="notEqual">
      <formula>"En cours"</formula>
    </cfRule>
  </conditionalFormatting>
  <conditionalFormatting sqref="AJ73">
    <cfRule type="cellIs" dxfId="1015" priority="83005" stopIfTrue="1" operator="equal">
      <formula>"En cours"</formula>
    </cfRule>
  </conditionalFormatting>
  <conditionalFormatting sqref="AJ73">
    <cfRule type="cellIs" dxfId="1014" priority="83006" stopIfTrue="1" operator="notEqual">
      <formula>"En cours"</formula>
    </cfRule>
  </conditionalFormatting>
  <conditionalFormatting sqref="AK73">
    <cfRule type="cellIs" dxfId="1013" priority="83007" stopIfTrue="1" operator="equal">
      <formula>"En cours"</formula>
    </cfRule>
  </conditionalFormatting>
  <conditionalFormatting sqref="AK73">
    <cfRule type="cellIs" dxfId="1012" priority="83008" stopIfTrue="1" operator="notEqual">
      <formula>"En cours"</formula>
    </cfRule>
  </conditionalFormatting>
  <conditionalFormatting sqref="AJ84">
    <cfRule type="cellIs" dxfId="1011" priority="83009" stopIfTrue="1" operator="equal">
      <formula>"En cours"</formula>
    </cfRule>
  </conditionalFormatting>
  <conditionalFormatting sqref="AJ84">
    <cfRule type="cellIs" dxfId="1010" priority="83010" stopIfTrue="1" operator="notEqual">
      <formula>"En cours"</formula>
    </cfRule>
  </conditionalFormatting>
  <conditionalFormatting sqref="AK84">
    <cfRule type="cellIs" dxfId="1009" priority="83011" stopIfTrue="1" operator="equal">
      <formula>"En cours"</formula>
    </cfRule>
  </conditionalFormatting>
  <conditionalFormatting sqref="AK84">
    <cfRule type="cellIs" dxfId="1008" priority="83012" stopIfTrue="1" operator="notEqual">
      <formula>"En cours"</formula>
    </cfRule>
  </conditionalFormatting>
  <conditionalFormatting sqref="AJ76">
    <cfRule type="cellIs" dxfId="1007" priority="83013" stopIfTrue="1" operator="equal">
      <formula>"En cours"</formula>
    </cfRule>
  </conditionalFormatting>
  <conditionalFormatting sqref="AJ76">
    <cfRule type="cellIs" dxfId="1006" priority="83014" stopIfTrue="1" operator="notEqual">
      <formula>"En cours"</formula>
    </cfRule>
  </conditionalFormatting>
  <conditionalFormatting sqref="AK76">
    <cfRule type="cellIs" dxfId="1005" priority="83015" stopIfTrue="1" operator="equal">
      <formula>"En cours"</formula>
    </cfRule>
  </conditionalFormatting>
  <conditionalFormatting sqref="AK76">
    <cfRule type="cellIs" dxfId="1004" priority="83016" stopIfTrue="1" operator="notEqual">
      <formula>"En cours"</formula>
    </cfRule>
  </conditionalFormatting>
  <conditionalFormatting sqref="AJ87">
    <cfRule type="cellIs" dxfId="1003" priority="83017" stopIfTrue="1" operator="equal">
      <formula>"En cours"</formula>
    </cfRule>
  </conditionalFormatting>
  <conditionalFormatting sqref="AJ87">
    <cfRule type="cellIs" dxfId="1002" priority="83018" stopIfTrue="1" operator="notEqual">
      <formula>"En cours"</formula>
    </cfRule>
  </conditionalFormatting>
  <conditionalFormatting sqref="AK87">
    <cfRule type="cellIs" dxfId="1001" priority="83019" stopIfTrue="1" operator="equal">
      <formula>"En cours"</formula>
    </cfRule>
  </conditionalFormatting>
  <conditionalFormatting sqref="AK87">
    <cfRule type="cellIs" dxfId="1000" priority="83020" stopIfTrue="1" operator="notEqual">
      <formula>"En cours"</formula>
    </cfRule>
  </conditionalFormatting>
  <conditionalFormatting sqref="AJ82">
    <cfRule type="cellIs" dxfId="999" priority="83021" stopIfTrue="1" operator="equal">
      <formula>"En cours"</formula>
    </cfRule>
  </conditionalFormatting>
  <conditionalFormatting sqref="AJ82">
    <cfRule type="cellIs" dxfId="998" priority="83022" stopIfTrue="1" operator="notEqual">
      <formula>"En cours"</formula>
    </cfRule>
  </conditionalFormatting>
  <conditionalFormatting sqref="AK82">
    <cfRule type="cellIs" dxfId="997" priority="83023" stopIfTrue="1" operator="equal">
      <formula>"En cours"</formula>
    </cfRule>
  </conditionalFormatting>
  <conditionalFormatting sqref="AK82">
    <cfRule type="cellIs" dxfId="996" priority="83024" stopIfTrue="1" operator="notEqual">
      <formula>"En cours"</formula>
    </cfRule>
  </conditionalFormatting>
  <conditionalFormatting sqref="AJ79">
    <cfRule type="cellIs" dxfId="995" priority="83025" stopIfTrue="1" operator="equal">
      <formula>"En cours"</formula>
    </cfRule>
  </conditionalFormatting>
  <conditionalFormatting sqref="AJ79">
    <cfRule type="cellIs" dxfId="994" priority="83026" stopIfTrue="1" operator="notEqual">
      <formula>"En cours"</formula>
    </cfRule>
  </conditionalFormatting>
  <conditionalFormatting sqref="AK79">
    <cfRule type="cellIs" dxfId="993" priority="83027" stopIfTrue="1" operator="equal">
      <formula>"En cours"</formula>
    </cfRule>
  </conditionalFormatting>
  <conditionalFormatting sqref="AK79">
    <cfRule type="cellIs" dxfId="992" priority="83028" stopIfTrue="1" operator="notEqual">
      <formula>"En cours"</formula>
    </cfRule>
  </conditionalFormatting>
  <conditionalFormatting sqref="AJ81">
    <cfRule type="cellIs" dxfId="991" priority="83029" stopIfTrue="1" operator="equal">
      <formula>"En cours"</formula>
    </cfRule>
  </conditionalFormatting>
  <conditionalFormatting sqref="AJ81">
    <cfRule type="cellIs" dxfId="990" priority="83030" stopIfTrue="1" operator="notEqual">
      <formula>"En cours"</formula>
    </cfRule>
  </conditionalFormatting>
  <conditionalFormatting sqref="AK81">
    <cfRule type="cellIs" dxfId="989" priority="83031" stopIfTrue="1" operator="equal">
      <formula>"En cours"</formula>
    </cfRule>
  </conditionalFormatting>
  <conditionalFormatting sqref="AK81">
    <cfRule type="cellIs" dxfId="988" priority="83032" stopIfTrue="1" operator="notEqual">
      <formula>"En cours"</formula>
    </cfRule>
  </conditionalFormatting>
  <conditionalFormatting sqref="AJ89">
    <cfRule type="cellIs" dxfId="987" priority="83033" stopIfTrue="1" operator="equal">
      <formula>"En cours"</formula>
    </cfRule>
  </conditionalFormatting>
  <conditionalFormatting sqref="AJ89">
    <cfRule type="cellIs" dxfId="986" priority="83034" stopIfTrue="1" operator="notEqual">
      <formula>"En cours"</formula>
    </cfRule>
  </conditionalFormatting>
  <conditionalFormatting sqref="AK89">
    <cfRule type="cellIs" dxfId="985" priority="83035" stopIfTrue="1" operator="equal">
      <formula>"En cours"</formula>
    </cfRule>
  </conditionalFormatting>
  <conditionalFormatting sqref="AK89">
    <cfRule type="cellIs" dxfId="984" priority="83036" stopIfTrue="1" operator="notEqual">
      <formula>"En cours"</formula>
    </cfRule>
  </conditionalFormatting>
  <conditionalFormatting sqref="AJ78">
    <cfRule type="cellIs" dxfId="983" priority="83037" stopIfTrue="1" operator="equal">
      <formula>"En cours"</formula>
    </cfRule>
  </conditionalFormatting>
  <conditionalFormatting sqref="AJ78">
    <cfRule type="cellIs" dxfId="982" priority="83038" stopIfTrue="1" operator="notEqual">
      <formula>"En cours"</formula>
    </cfRule>
  </conditionalFormatting>
  <conditionalFormatting sqref="AK78">
    <cfRule type="cellIs" dxfId="981" priority="83039" stopIfTrue="1" operator="equal">
      <formula>"En cours"</formula>
    </cfRule>
  </conditionalFormatting>
  <conditionalFormatting sqref="AK78">
    <cfRule type="cellIs" dxfId="980" priority="83040" stopIfTrue="1" operator="notEqual">
      <formula>"En cours"</formula>
    </cfRule>
  </conditionalFormatting>
  <conditionalFormatting sqref="AJ85">
    <cfRule type="cellIs" dxfId="979" priority="83041" stopIfTrue="1" operator="equal">
      <formula>"En cours"</formula>
    </cfRule>
  </conditionalFormatting>
  <conditionalFormatting sqref="AJ85">
    <cfRule type="cellIs" dxfId="978" priority="83042" stopIfTrue="1" operator="notEqual">
      <formula>"En cours"</formula>
    </cfRule>
  </conditionalFormatting>
  <conditionalFormatting sqref="AK85">
    <cfRule type="cellIs" dxfId="977" priority="83043" stopIfTrue="1" operator="equal">
      <formula>"En cours"</formula>
    </cfRule>
  </conditionalFormatting>
  <conditionalFormatting sqref="AK85">
    <cfRule type="cellIs" dxfId="976" priority="83044" stopIfTrue="1" operator="notEqual">
      <formula>"En cours"</formula>
    </cfRule>
  </conditionalFormatting>
  <conditionalFormatting sqref="AJ86">
    <cfRule type="cellIs" dxfId="975" priority="83045" stopIfTrue="1" operator="equal">
      <formula>"En cours"</formula>
    </cfRule>
  </conditionalFormatting>
  <conditionalFormatting sqref="AJ86">
    <cfRule type="cellIs" dxfId="974" priority="83046" stopIfTrue="1" operator="notEqual">
      <formula>"En cours"</formula>
    </cfRule>
  </conditionalFormatting>
  <conditionalFormatting sqref="AK86">
    <cfRule type="cellIs" dxfId="973" priority="83047" stopIfTrue="1" operator="equal">
      <formula>"En cours"</formula>
    </cfRule>
  </conditionalFormatting>
  <conditionalFormatting sqref="AK86">
    <cfRule type="cellIs" dxfId="972" priority="83048" stopIfTrue="1" operator="notEqual">
      <formula>"En cours"</formula>
    </cfRule>
  </conditionalFormatting>
  <conditionalFormatting sqref="AJ80">
    <cfRule type="cellIs" dxfId="971" priority="83049" stopIfTrue="1" operator="equal">
      <formula>"En cours"</formula>
    </cfRule>
  </conditionalFormatting>
  <conditionalFormatting sqref="AJ80">
    <cfRule type="cellIs" dxfId="970" priority="83050" stopIfTrue="1" operator="notEqual">
      <formula>"En cours"</formula>
    </cfRule>
  </conditionalFormatting>
  <conditionalFormatting sqref="AK80">
    <cfRule type="cellIs" dxfId="969" priority="83051" stopIfTrue="1" operator="equal">
      <formula>"En cours"</formula>
    </cfRule>
  </conditionalFormatting>
  <conditionalFormatting sqref="AK80">
    <cfRule type="cellIs" dxfId="968" priority="83052" stopIfTrue="1" operator="notEqual">
      <formula>"En cours"</formula>
    </cfRule>
  </conditionalFormatting>
  <conditionalFormatting sqref="AJ88">
    <cfRule type="cellIs" dxfId="967" priority="83053" stopIfTrue="1" operator="equal">
      <formula>"En cours"</formula>
    </cfRule>
  </conditionalFormatting>
  <conditionalFormatting sqref="AJ88">
    <cfRule type="cellIs" dxfId="966" priority="83054" stopIfTrue="1" operator="notEqual">
      <formula>"En cours"</formula>
    </cfRule>
  </conditionalFormatting>
  <conditionalFormatting sqref="AK88">
    <cfRule type="cellIs" dxfId="965" priority="83055" stopIfTrue="1" operator="equal">
      <formula>"En cours"</formula>
    </cfRule>
  </conditionalFormatting>
  <conditionalFormatting sqref="AK88">
    <cfRule type="cellIs" dxfId="964" priority="83056" stopIfTrue="1" operator="notEqual">
      <formula>"En cours"</formula>
    </cfRule>
  </conditionalFormatting>
  <conditionalFormatting sqref="AJ90">
    <cfRule type="cellIs" dxfId="963" priority="83057" stopIfTrue="1" operator="equal">
      <formula>"En cours"</formula>
    </cfRule>
  </conditionalFormatting>
  <conditionalFormatting sqref="AJ90">
    <cfRule type="cellIs" dxfId="962" priority="83058" stopIfTrue="1" operator="notEqual">
      <formula>"En cours"</formula>
    </cfRule>
  </conditionalFormatting>
  <conditionalFormatting sqref="AK90">
    <cfRule type="cellIs" dxfId="961" priority="83059" stopIfTrue="1" operator="equal">
      <formula>"En cours"</formula>
    </cfRule>
  </conditionalFormatting>
  <conditionalFormatting sqref="AK90">
    <cfRule type="cellIs" dxfId="960" priority="83060" stopIfTrue="1" operator="notEqual">
      <formula>"En cours"</formula>
    </cfRule>
  </conditionalFormatting>
  <conditionalFormatting sqref="AJ93">
    <cfRule type="cellIs" dxfId="959" priority="83061" stopIfTrue="1" operator="equal">
      <formula>"En cours"</formula>
    </cfRule>
  </conditionalFormatting>
  <conditionalFormatting sqref="AJ93">
    <cfRule type="cellIs" dxfId="958" priority="83062" stopIfTrue="1" operator="notEqual">
      <formula>"En cours"</formula>
    </cfRule>
  </conditionalFormatting>
  <conditionalFormatting sqref="AK93">
    <cfRule type="cellIs" dxfId="957" priority="83063" stopIfTrue="1" operator="equal">
      <formula>"En cours"</formula>
    </cfRule>
  </conditionalFormatting>
  <conditionalFormatting sqref="AK93">
    <cfRule type="cellIs" dxfId="956" priority="83064" stopIfTrue="1" operator="notEqual">
      <formula>"En cours"</formula>
    </cfRule>
  </conditionalFormatting>
  <conditionalFormatting sqref="AJ91">
    <cfRule type="cellIs" dxfId="955" priority="83065" stopIfTrue="1" operator="equal">
      <formula>"En cours"</formula>
    </cfRule>
  </conditionalFormatting>
  <conditionalFormatting sqref="AJ91">
    <cfRule type="cellIs" dxfId="954" priority="83066" stopIfTrue="1" operator="notEqual">
      <formula>"En cours"</formula>
    </cfRule>
  </conditionalFormatting>
  <conditionalFormatting sqref="AK91">
    <cfRule type="cellIs" dxfId="953" priority="83067" stopIfTrue="1" operator="equal">
      <formula>"En cours"</formula>
    </cfRule>
  </conditionalFormatting>
  <conditionalFormatting sqref="AK91">
    <cfRule type="cellIs" dxfId="952" priority="83068" stopIfTrue="1" operator="notEqual">
      <formula>"En cours"</formula>
    </cfRule>
  </conditionalFormatting>
  <conditionalFormatting sqref="AJ92">
    <cfRule type="cellIs" dxfId="951" priority="83069" stopIfTrue="1" operator="equal">
      <formula>"En cours"</formula>
    </cfRule>
  </conditionalFormatting>
  <conditionalFormatting sqref="AJ92">
    <cfRule type="cellIs" dxfId="950" priority="83070" stopIfTrue="1" operator="notEqual">
      <formula>"En cours"</formula>
    </cfRule>
  </conditionalFormatting>
  <conditionalFormatting sqref="AK92">
    <cfRule type="cellIs" dxfId="949" priority="83071" stopIfTrue="1" operator="equal">
      <formula>"En cours"</formula>
    </cfRule>
  </conditionalFormatting>
  <conditionalFormatting sqref="AK92">
    <cfRule type="cellIs" dxfId="948" priority="83072" stopIfTrue="1" operator="notEqual">
      <formula>"En cours"</formula>
    </cfRule>
  </conditionalFormatting>
  <conditionalFormatting sqref="AJ94">
    <cfRule type="cellIs" dxfId="947" priority="83073" stopIfTrue="1" operator="equal">
      <formula>"En cours"</formula>
    </cfRule>
  </conditionalFormatting>
  <conditionalFormatting sqref="AJ94">
    <cfRule type="cellIs" dxfId="946" priority="83074" stopIfTrue="1" operator="notEqual">
      <formula>"En cours"</formula>
    </cfRule>
  </conditionalFormatting>
  <conditionalFormatting sqref="AK94">
    <cfRule type="cellIs" dxfId="945" priority="83075" stopIfTrue="1" operator="equal">
      <formula>"En cours"</formula>
    </cfRule>
  </conditionalFormatting>
  <conditionalFormatting sqref="AK94">
    <cfRule type="cellIs" dxfId="944" priority="83076" stopIfTrue="1" operator="notEqual">
      <formula>"En cours"</formula>
    </cfRule>
  </conditionalFormatting>
  <conditionalFormatting sqref="AJ32">
    <cfRule type="cellIs" dxfId="943" priority="91905" stopIfTrue="1" operator="equal">
      <formula>"En cours"</formula>
    </cfRule>
  </conditionalFormatting>
  <conditionalFormatting sqref="AJ32">
    <cfRule type="cellIs" dxfId="942" priority="91906" stopIfTrue="1" operator="notEqual">
      <formula>"En cours"</formula>
    </cfRule>
  </conditionalFormatting>
  <conditionalFormatting sqref="AK32">
    <cfRule type="cellIs" dxfId="941" priority="91907" stopIfTrue="1" operator="equal">
      <formula>"En cours"</formula>
    </cfRule>
  </conditionalFormatting>
  <conditionalFormatting sqref="AK32">
    <cfRule type="cellIs" dxfId="940" priority="91908" stopIfTrue="1" operator="notEqual">
      <formula>"En cours"</formula>
    </cfRule>
  </conditionalFormatting>
  <conditionalFormatting sqref="AJ31">
    <cfRule type="cellIs" dxfId="939" priority="92137" stopIfTrue="1" operator="equal">
      <formula>"En cours"</formula>
    </cfRule>
  </conditionalFormatting>
  <conditionalFormatting sqref="AJ31">
    <cfRule type="cellIs" dxfId="938" priority="92138" stopIfTrue="1" operator="notEqual">
      <formula>"En cours"</formula>
    </cfRule>
  </conditionalFormatting>
  <conditionalFormatting sqref="AK31">
    <cfRule type="cellIs" dxfId="937" priority="92139" stopIfTrue="1" operator="equal">
      <formula>"En cours"</formula>
    </cfRule>
  </conditionalFormatting>
  <conditionalFormatting sqref="AK31">
    <cfRule type="cellIs" dxfId="936" priority="92140" stopIfTrue="1" operator="notEqual">
      <formula>"En cours"</formula>
    </cfRule>
  </conditionalFormatting>
  <conditionalFormatting sqref="AJ33">
    <cfRule type="cellIs" dxfId="935" priority="92217" stopIfTrue="1" operator="equal">
      <formula>"En cours"</formula>
    </cfRule>
  </conditionalFormatting>
  <conditionalFormatting sqref="AJ33">
    <cfRule type="cellIs" dxfId="934" priority="92218" stopIfTrue="1" operator="notEqual">
      <formula>"En cours"</formula>
    </cfRule>
  </conditionalFormatting>
  <conditionalFormatting sqref="AK33">
    <cfRule type="cellIs" dxfId="933" priority="92219" stopIfTrue="1" operator="equal">
      <formula>"En cours"</formula>
    </cfRule>
  </conditionalFormatting>
  <conditionalFormatting sqref="AK33">
    <cfRule type="cellIs" dxfId="932" priority="92220" stopIfTrue="1" operator="notEqual">
      <formula>"En cours"</formula>
    </cfRule>
  </conditionalFormatting>
  <conditionalFormatting sqref="AJ26">
    <cfRule type="cellIs" dxfId="923" priority="92993" stopIfTrue="1" operator="equal">
      <formula>"En cours"</formula>
    </cfRule>
  </conditionalFormatting>
  <conditionalFormatting sqref="AJ26">
    <cfRule type="cellIs" dxfId="922" priority="92994" stopIfTrue="1" operator="notEqual">
      <formula>"En cours"</formula>
    </cfRule>
  </conditionalFormatting>
  <conditionalFormatting sqref="AK26">
    <cfRule type="cellIs" dxfId="921" priority="92995" stopIfTrue="1" operator="equal">
      <formula>"En cours"</formula>
    </cfRule>
  </conditionalFormatting>
  <conditionalFormatting sqref="AK26">
    <cfRule type="cellIs" dxfId="920" priority="92996" stopIfTrue="1" operator="notEqual">
      <formula>"En cours"</formula>
    </cfRule>
  </conditionalFormatting>
  <conditionalFormatting sqref="AJ27">
    <cfRule type="cellIs" dxfId="919" priority="93017" stopIfTrue="1" operator="equal">
      <formula>"En cours"</formula>
    </cfRule>
  </conditionalFormatting>
  <conditionalFormatting sqref="AJ27">
    <cfRule type="cellIs" dxfId="918" priority="93018" stopIfTrue="1" operator="notEqual">
      <formula>"En cours"</formula>
    </cfRule>
  </conditionalFormatting>
  <conditionalFormatting sqref="AK27">
    <cfRule type="cellIs" dxfId="917" priority="93019" stopIfTrue="1" operator="equal">
      <formula>"En cours"</formula>
    </cfRule>
  </conditionalFormatting>
  <conditionalFormatting sqref="AK27">
    <cfRule type="cellIs" dxfId="916" priority="93020" stopIfTrue="1" operator="notEqual">
      <formula>"En cours"</formula>
    </cfRule>
  </conditionalFormatting>
  <conditionalFormatting sqref="AJ25">
    <cfRule type="cellIs" dxfId="915" priority="93025" stopIfTrue="1" operator="equal">
      <formula>"En cours"</formula>
    </cfRule>
  </conditionalFormatting>
  <conditionalFormatting sqref="AJ25">
    <cfRule type="cellIs" dxfId="914" priority="93026" stopIfTrue="1" operator="notEqual">
      <formula>"En cours"</formula>
    </cfRule>
  </conditionalFormatting>
  <conditionalFormatting sqref="AK25">
    <cfRule type="cellIs" dxfId="913" priority="93027" stopIfTrue="1" operator="equal">
      <formula>"En cours"</formula>
    </cfRule>
  </conditionalFormatting>
  <conditionalFormatting sqref="AK25">
    <cfRule type="cellIs" dxfId="912" priority="93028" stopIfTrue="1" operator="notEqual">
      <formula>"En cours"</formula>
    </cfRule>
  </conditionalFormatting>
  <conditionalFormatting sqref="AJ28">
    <cfRule type="cellIs" dxfId="911" priority="93029" stopIfTrue="1" operator="equal">
      <formula>"En cours"</formula>
    </cfRule>
  </conditionalFormatting>
  <conditionalFormatting sqref="AJ28">
    <cfRule type="cellIs" dxfId="910" priority="93030" stopIfTrue="1" operator="notEqual">
      <formula>"En cours"</formula>
    </cfRule>
  </conditionalFormatting>
  <conditionalFormatting sqref="AK28">
    <cfRule type="cellIs" dxfId="909" priority="93031" stopIfTrue="1" operator="equal">
      <formula>"En cours"</formula>
    </cfRule>
  </conditionalFormatting>
  <conditionalFormatting sqref="AK28">
    <cfRule type="cellIs" dxfId="908" priority="93032" stopIfTrue="1" operator="notEqual">
      <formula>"En cours"</formula>
    </cfRule>
  </conditionalFormatting>
  <conditionalFormatting sqref="AJ29">
    <cfRule type="cellIs" dxfId="903" priority="93053" stopIfTrue="1" operator="equal">
      <formula>"En cours"</formula>
    </cfRule>
  </conditionalFormatting>
  <conditionalFormatting sqref="AJ29">
    <cfRule type="cellIs" dxfId="902" priority="93054" stopIfTrue="1" operator="notEqual">
      <formula>"En cours"</formula>
    </cfRule>
  </conditionalFormatting>
  <conditionalFormatting sqref="AK29">
    <cfRule type="cellIs" dxfId="901" priority="93055" stopIfTrue="1" operator="equal">
      <formula>"En cours"</formula>
    </cfRule>
  </conditionalFormatting>
  <conditionalFormatting sqref="AK29">
    <cfRule type="cellIs" dxfId="900" priority="93056" stopIfTrue="1" operator="notEqual">
      <formula>"En cours"</formula>
    </cfRule>
  </conditionalFormatting>
  <conditionalFormatting sqref="AJ30">
    <cfRule type="cellIs" dxfId="895" priority="93065" stopIfTrue="1" operator="equal">
      <formula>"En cours"</formula>
    </cfRule>
  </conditionalFormatting>
  <conditionalFormatting sqref="AJ30">
    <cfRule type="cellIs" dxfId="894" priority="93066" stopIfTrue="1" operator="notEqual">
      <formula>"En cours"</formula>
    </cfRule>
  </conditionalFormatting>
  <conditionalFormatting sqref="AK30">
    <cfRule type="cellIs" dxfId="893" priority="93067" stopIfTrue="1" operator="equal">
      <formula>"En cours"</formula>
    </cfRule>
  </conditionalFormatting>
  <conditionalFormatting sqref="AK30">
    <cfRule type="cellIs" dxfId="892" priority="93068" stopIfTrue="1" operator="notEqual">
      <formula>"En cours"</formula>
    </cfRule>
  </conditionalFormatting>
  <conditionalFormatting sqref="AJ6">
    <cfRule type="cellIs" dxfId="751" priority="93277" stopIfTrue="1" operator="equal">
      <formula>"En cours"</formula>
    </cfRule>
  </conditionalFormatting>
  <conditionalFormatting sqref="AJ6">
    <cfRule type="cellIs" dxfId="750" priority="93278" stopIfTrue="1" operator="notEqual">
      <formula>"En cours"</formula>
    </cfRule>
  </conditionalFormatting>
  <conditionalFormatting sqref="AK6">
    <cfRule type="cellIs" dxfId="749" priority="93279" stopIfTrue="1" operator="equal">
      <formula>"En cours"</formula>
    </cfRule>
  </conditionalFormatting>
  <conditionalFormatting sqref="AK6">
    <cfRule type="cellIs" dxfId="748" priority="93280" stopIfTrue="1" operator="notEqual">
      <formula>"En cours"</formula>
    </cfRule>
  </conditionalFormatting>
  <conditionalFormatting sqref="AJ4">
    <cfRule type="cellIs" dxfId="747" priority="93281" stopIfTrue="1" operator="equal">
      <formula>"En cours"</formula>
    </cfRule>
  </conditionalFormatting>
  <conditionalFormatting sqref="AJ4">
    <cfRule type="cellIs" dxfId="746" priority="93282" stopIfTrue="1" operator="notEqual">
      <formula>"En cours"</formula>
    </cfRule>
  </conditionalFormatting>
  <conditionalFormatting sqref="AK4">
    <cfRule type="cellIs" dxfId="745" priority="93283" stopIfTrue="1" operator="equal">
      <formula>"En cours"</formula>
    </cfRule>
  </conditionalFormatting>
  <conditionalFormatting sqref="AK4">
    <cfRule type="cellIs" dxfId="744" priority="93284" stopIfTrue="1" operator="notEqual">
      <formula>"En cours"</formula>
    </cfRule>
  </conditionalFormatting>
  <conditionalFormatting sqref="AJ7">
    <cfRule type="cellIs" dxfId="743" priority="93285" stopIfTrue="1" operator="equal">
      <formula>"En cours"</formula>
    </cfRule>
  </conditionalFormatting>
  <conditionalFormatting sqref="AJ7">
    <cfRule type="cellIs" dxfId="742" priority="93286" stopIfTrue="1" operator="notEqual">
      <formula>"En cours"</formula>
    </cfRule>
  </conditionalFormatting>
  <conditionalFormatting sqref="AK7">
    <cfRule type="cellIs" dxfId="741" priority="93287" stopIfTrue="1" operator="equal">
      <formula>"En cours"</formula>
    </cfRule>
  </conditionalFormatting>
  <conditionalFormatting sqref="AK7">
    <cfRule type="cellIs" dxfId="740" priority="93288" stopIfTrue="1" operator="notEqual">
      <formula>"En cours"</formula>
    </cfRule>
  </conditionalFormatting>
  <conditionalFormatting sqref="AJ9">
    <cfRule type="cellIs" dxfId="735" priority="93293" stopIfTrue="1" operator="equal">
      <formula>"En cours"</formula>
    </cfRule>
  </conditionalFormatting>
  <conditionalFormatting sqref="AJ9">
    <cfRule type="cellIs" dxfId="734" priority="93294" stopIfTrue="1" operator="notEqual">
      <formula>"En cours"</formula>
    </cfRule>
  </conditionalFormatting>
  <conditionalFormatting sqref="AK9">
    <cfRule type="cellIs" dxfId="733" priority="93295" stopIfTrue="1" operator="equal">
      <formula>"En cours"</formula>
    </cfRule>
  </conditionalFormatting>
  <conditionalFormatting sqref="AK9">
    <cfRule type="cellIs" dxfId="732" priority="93296" stopIfTrue="1" operator="notEqual">
      <formula>"En cours"</formula>
    </cfRule>
  </conditionalFormatting>
  <conditionalFormatting sqref="AJ11">
    <cfRule type="cellIs" dxfId="727" priority="93301" stopIfTrue="1" operator="equal">
      <formula>"En cours"</formula>
    </cfRule>
  </conditionalFormatting>
  <conditionalFormatting sqref="AJ11">
    <cfRule type="cellIs" dxfId="726" priority="93302" stopIfTrue="1" operator="notEqual">
      <formula>"En cours"</formula>
    </cfRule>
  </conditionalFormatting>
  <conditionalFormatting sqref="AK11">
    <cfRule type="cellIs" dxfId="725" priority="93303" stopIfTrue="1" operator="equal">
      <formula>"En cours"</formula>
    </cfRule>
  </conditionalFormatting>
  <conditionalFormatting sqref="AK11">
    <cfRule type="cellIs" dxfId="724" priority="93304" stopIfTrue="1" operator="notEqual">
      <formula>"En cours"</formula>
    </cfRule>
  </conditionalFormatting>
  <conditionalFormatting sqref="AJ14">
    <cfRule type="cellIs" dxfId="719" priority="93309" stopIfTrue="1" operator="equal">
      <formula>"En cours"</formula>
    </cfRule>
  </conditionalFormatting>
  <conditionalFormatting sqref="AJ14">
    <cfRule type="cellIs" dxfId="718" priority="93310" stopIfTrue="1" operator="notEqual">
      <formula>"En cours"</formula>
    </cfRule>
  </conditionalFormatting>
  <conditionalFormatting sqref="AK14">
    <cfRule type="cellIs" dxfId="717" priority="93311" stopIfTrue="1" operator="equal">
      <formula>"En cours"</formula>
    </cfRule>
  </conditionalFormatting>
  <conditionalFormatting sqref="AK14">
    <cfRule type="cellIs" dxfId="716" priority="93312" stopIfTrue="1" operator="notEqual">
      <formula>"En cours"</formula>
    </cfRule>
  </conditionalFormatting>
  <conditionalFormatting sqref="AJ13">
    <cfRule type="cellIs" dxfId="715" priority="93313" stopIfTrue="1" operator="equal">
      <formula>"En cours"</formula>
    </cfRule>
  </conditionalFormatting>
  <conditionalFormatting sqref="AJ13">
    <cfRule type="cellIs" dxfId="714" priority="93314" stopIfTrue="1" operator="notEqual">
      <formula>"En cours"</formula>
    </cfRule>
  </conditionalFormatting>
  <conditionalFormatting sqref="AK13">
    <cfRule type="cellIs" dxfId="713" priority="93315" stopIfTrue="1" operator="equal">
      <formula>"En cours"</formula>
    </cfRule>
  </conditionalFormatting>
  <conditionalFormatting sqref="AK13">
    <cfRule type="cellIs" dxfId="712" priority="93316" stopIfTrue="1" operator="notEqual">
      <formula>"En cours"</formula>
    </cfRule>
  </conditionalFormatting>
  <conditionalFormatting sqref="AJ16">
    <cfRule type="cellIs" dxfId="711" priority="93317" stopIfTrue="1" operator="equal">
      <formula>"En cours"</formula>
    </cfRule>
  </conditionalFormatting>
  <conditionalFormatting sqref="AJ16">
    <cfRule type="cellIs" dxfId="710" priority="93318" stopIfTrue="1" operator="notEqual">
      <formula>"En cours"</formula>
    </cfRule>
  </conditionalFormatting>
  <conditionalFormatting sqref="AK16">
    <cfRule type="cellIs" dxfId="709" priority="93319" stopIfTrue="1" operator="equal">
      <formula>"En cours"</formula>
    </cfRule>
  </conditionalFormatting>
  <conditionalFormatting sqref="AK16">
    <cfRule type="cellIs" dxfId="708" priority="93320" stopIfTrue="1" operator="notEqual">
      <formula>"En cours"</formula>
    </cfRule>
  </conditionalFormatting>
  <conditionalFormatting sqref="AJ15">
    <cfRule type="cellIs" dxfId="707" priority="93321" stopIfTrue="1" operator="equal">
      <formula>"En cours"</formula>
    </cfRule>
  </conditionalFormatting>
  <conditionalFormatting sqref="AJ15">
    <cfRule type="cellIs" dxfId="706" priority="93322" stopIfTrue="1" operator="notEqual">
      <formula>"En cours"</formula>
    </cfRule>
  </conditionalFormatting>
  <conditionalFormatting sqref="AK15">
    <cfRule type="cellIs" dxfId="705" priority="93323" stopIfTrue="1" operator="equal">
      <formula>"En cours"</formula>
    </cfRule>
  </conditionalFormatting>
  <conditionalFormatting sqref="AK15">
    <cfRule type="cellIs" dxfId="704" priority="93324" stopIfTrue="1" operator="notEqual">
      <formula>"En cours"</formula>
    </cfRule>
  </conditionalFormatting>
  <conditionalFormatting sqref="AJ19">
    <cfRule type="cellIs" dxfId="703" priority="93325" stopIfTrue="1" operator="equal">
      <formula>"En cours"</formula>
    </cfRule>
  </conditionalFormatting>
  <conditionalFormatting sqref="AJ19">
    <cfRule type="cellIs" dxfId="702" priority="93326" stopIfTrue="1" operator="notEqual">
      <formula>"En cours"</formula>
    </cfRule>
  </conditionalFormatting>
  <conditionalFormatting sqref="AK19">
    <cfRule type="cellIs" dxfId="701" priority="93327" stopIfTrue="1" operator="equal">
      <formula>"En cours"</formula>
    </cfRule>
  </conditionalFormatting>
  <conditionalFormatting sqref="AK19">
    <cfRule type="cellIs" dxfId="700" priority="93328" stopIfTrue="1" operator="notEqual">
      <formula>"En cours"</formula>
    </cfRule>
  </conditionalFormatting>
  <conditionalFormatting sqref="AJ17">
    <cfRule type="cellIs" dxfId="699" priority="93329" stopIfTrue="1" operator="equal">
      <formula>"En cours"</formula>
    </cfRule>
  </conditionalFormatting>
  <conditionalFormatting sqref="AJ17">
    <cfRule type="cellIs" dxfId="698" priority="93330" stopIfTrue="1" operator="notEqual">
      <formula>"En cours"</formula>
    </cfRule>
  </conditionalFormatting>
  <conditionalFormatting sqref="AK17">
    <cfRule type="cellIs" dxfId="697" priority="93331" stopIfTrue="1" operator="equal">
      <formula>"En cours"</formula>
    </cfRule>
  </conditionalFormatting>
  <conditionalFormatting sqref="AK17">
    <cfRule type="cellIs" dxfId="696" priority="93332" stopIfTrue="1" operator="notEqual">
      <formula>"En cours"</formula>
    </cfRule>
  </conditionalFormatting>
  <conditionalFormatting sqref="AJ20">
    <cfRule type="cellIs" dxfId="695" priority="93333" stopIfTrue="1" operator="equal">
      <formula>"En cours"</formula>
    </cfRule>
  </conditionalFormatting>
  <conditionalFormatting sqref="AJ20">
    <cfRule type="cellIs" dxfId="694" priority="93334" stopIfTrue="1" operator="notEqual">
      <formula>"En cours"</formula>
    </cfRule>
  </conditionalFormatting>
  <conditionalFormatting sqref="AK20">
    <cfRule type="cellIs" dxfId="693" priority="93335" stopIfTrue="1" operator="equal">
      <formula>"En cours"</formula>
    </cfRule>
  </conditionalFormatting>
  <conditionalFormatting sqref="AK20">
    <cfRule type="cellIs" dxfId="692" priority="93336" stopIfTrue="1" operator="notEqual">
      <formula>"En cours"</formula>
    </cfRule>
  </conditionalFormatting>
  <conditionalFormatting sqref="AJ18">
    <cfRule type="cellIs" dxfId="691" priority="93337" stopIfTrue="1" operator="equal">
      <formula>"En cours"</formula>
    </cfRule>
  </conditionalFormatting>
  <conditionalFormatting sqref="AJ18">
    <cfRule type="cellIs" dxfId="690" priority="93338" stopIfTrue="1" operator="notEqual">
      <formula>"En cours"</formula>
    </cfRule>
  </conditionalFormatting>
  <conditionalFormatting sqref="AK18">
    <cfRule type="cellIs" dxfId="689" priority="93339" stopIfTrue="1" operator="equal">
      <formula>"En cours"</formula>
    </cfRule>
  </conditionalFormatting>
  <conditionalFormatting sqref="AK18">
    <cfRule type="cellIs" dxfId="688" priority="93340" stopIfTrue="1" operator="notEqual">
      <formula>"En cours"</formula>
    </cfRule>
  </conditionalFormatting>
  <conditionalFormatting sqref="AJ5">
    <cfRule type="cellIs" dxfId="655" priority="93373" stopIfTrue="1" operator="equal">
      <formula>"En cours"</formula>
    </cfRule>
  </conditionalFormatting>
  <conditionalFormatting sqref="AJ5">
    <cfRule type="cellIs" dxfId="654" priority="93374" stopIfTrue="1" operator="notEqual">
      <formula>"En cours"</formula>
    </cfRule>
  </conditionalFormatting>
  <conditionalFormatting sqref="AK5">
    <cfRule type="cellIs" dxfId="653" priority="93375" stopIfTrue="1" operator="equal">
      <formula>"En cours"</formula>
    </cfRule>
  </conditionalFormatting>
  <conditionalFormatting sqref="AK5">
    <cfRule type="cellIs" dxfId="652" priority="93376" stopIfTrue="1" operator="notEqual">
      <formula>"En cours"</formula>
    </cfRule>
  </conditionalFormatting>
  <conditionalFormatting sqref="AJ8">
    <cfRule type="cellIs" dxfId="651" priority="93377" stopIfTrue="1" operator="equal">
      <formula>"En cours"</formula>
    </cfRule>
  </conditionalFormatting>
  <conditionalFormatting sqref="AJ8">
    <cfRule type="cellIs" dxfId="650" priority="93378" stopIfTrue="1" operator="notEqual">
      <formula>"En cours"</formula>
    </cfRule>
  </conditionalFormatting>
  <conditionalFormatting sqref="AK8">
    <cfRule type="cellIs" dxfId="649" priority="93379" stopIfTrue="1" operator="equal">
      <formula>"En cours"</formula>
    </cfRule>
  </conditionalFormatting>
  <conditionalFormatting sqref="AK8">
    <cfRule type="cellIs" dxfId="648" priority="93380" stopIfTrue="1" operator="notEqual">
      <formula>"En cours"</formula>
    </cfRule>
  </conditionalFormatting>
  <conditionalFormatting sqref="AJ10">
    <cfRule type="cellIs" dxfId="647" priority="93381" stopIfTrue="1" operator="equal">
      <formula>"En cours"</formula>
    </cfRule>
  </conditionalFormatting>
  <conditionalFormatting sqref="AJ10">
    <cfRule type="cellIs" dxfId="646" priority="93382" stopIfTrue="1" operator="notEqual">
      <formula>"En cours"</formula>
    </cfRule>
  </conditionalFormatting>
  <conditionalFormatting sqref="AK10">
    <cfRule type="cellIs" dxfId="645" priority="93383" stopIfTrue="1" operator="equal">
      <formula>"En cours"</formula>
    </cfRule>
  </conditionalFormatting>
  <conditionalFormatting sqref="AK10">
    <cfRule type="cellIs" dxfId="644" priority="93384" stopIfTrue="1" operator="notEqual">
      <formula>"En cours"</formula>
    </cfRule>
  </conditionalFormatting>
  <conditionalFormatting sqref="AJ21">
    <cfRule type="cellIs" dxfId="643" priority="93385" stopIfTrue="1" operator="equal">
      <formula>"En cours"</formula>
    </cfRule>
  </conditionalFormatting>
  <conditionalFormatting sqref="AJ21">
    <cfRule type="cellIs" dxfId="642" priority="93386" stopIfTrue="1" operator="notEqual">
      <formula>"En cours"</formula>
    </cfRule>
  </conditionalFormatting>
  <conditionalFormatting sqref="AK21">
    <cfRule type="cellIs" dxfId="641" priority="93387" stopIfTrue="1" operator="equal">
      <formula>"En cours"</formula>
    </cfRule>
  </conditionalFormatting>
  <conditionalFormatting sqref="AK21">
    <cfRule type="cellIs" dxfId="640" priority="93388" stopIfTrue="1" operator="notEqual">
      <formula>"En cours"</formula>
    </cfRule>
  </conditionalFormatting>
  <conditionalFormatting sqref="AJ22">
    <cfRule type="cellIs" dxfId="639" priority="93389" stopIfTrue="1" operator="equal">
      <formula>"En cours"</formula>
    </cfRule>
  </conditionalFormatting>
  <conditionalFormatting sqref="AJ22">
    <cfRule type="cellIs" dxfId="638" priority="93390" stopIfTrue="1" operator="notEqual">
      <formula>"En cours"</formula>
    </cfRule>
  </conditionalFormatting>
  <conditionalFormatting sqref="AK22">
    <cfRule type="cellIs" dxfId="637" priority="93391" stopIfTrue="1" operator="equal">
      <formula>"En cours"</formula>
    </cfRule>
  </conditionalFormatting>
  <conditionalFormatting sqref="AK22">
    <cfRule type="cellIs" dxfId="636" priority="93392" stopIfTrue="1" operator="notEqual">
      <formula>"En cours"</formula>
    </cfRule>
  </conditionalFormatting>
  <conditionalFormatting sqref="AJ12">
    <cfRule type="cellIs" dxfId="635" priority="93393" stopIfTrue="1" operator="equal">
      <formula>"En cours"</formula>
    </cfRule>
  </conditionalFormatting>
  <conditionalFormatting sqref="AJ12">
    <cfRule type="cellIs" dxfId="634" priority="93394" stopIfTrue="1" operator="notEqual">
      <formula>"En cours"</formula>
    </cfRule>
  </conditionalFormatting>
  <conditionalFormatting sqref="AK12">
    <cfRule type="cellIs" dxfId="633" priority="93395" stopIfTrue="1" operator="equal">
      <formula>"En cours"</formula>
    </cfRule>
  </conditionalFormatting>
  <conditionalFormatting sqref="AK12">
    <cfRule type="cellIs" dxfId="632" priority="93396" stopIfTrue="1" operator="notEqual">
      <formula>"En cours"</formula>
    </cfRule>
  </conditionalFormatting>
  <conditionalFormatting sqref="AJ23">
    <cfRule type="cellIs" dxfId="631" priority="93397" stopIfTrue="1" operator="equal">
      <formula>"En cours"</formula>
    </cfRule>
  </conditionalFormatting>
  <conditionalFormatting sqref="AJ23">
    <cfRule type="cellIs" dxfId="630" priority="93398" stopIfTrue="1" operator="notEqual">
      <formula>"En cours"</formula>
    </cfRule>
  </conditionalFormatting>
  <conditionalFormatting sqref="AK23">
    <cfRule type="cellIs" dxfId="629" priority="93399" stopIfTrue="1" operator="equal">
      <formula>"En cours"</formula>
    </cfRule>
  </conditionalFormatting>
  <conditionalFormatting sqref="AK23">
    <cfRule type="cellIs" dxfId="628" priority="93400" stopIfTrue="1" operator="notEqual">
      <formula>"En cours"</formula>
    </cfRule>
  </conditionalFormatting>
  <conditionalFormatting sqref="AJ24">
    <cfRule type="cellIs" dxfId="627" priority="93401" stopIfTrue="1" operator="equal">
      <formula>"En cours"</formula>
    </cfRule>
  </conditionalFormatting>
  <conditionalFormatting sqref="AJ24">
    <cfRule type="cellIs" dxfId="626" priority="93402" stopIfTrue="1" operator="notEqual">
      <formula>"En cours"</formula>
    </cfRule>
  </conditionalFormatting>
  <conditionalFormatting sqref="AK24">
    <cfRule type="cellIs" dxfId="625" priority="93403" stopIfTrue="1" operator="equal">
      <formula>"En cours"</formula>
    </cfRule>
  </conditionalFormatting>
  <conditionalFormatting sqref="AK24">
    <cfRule type="cellIs" dxfId="624" priority="9340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13"/>
  <sheetViews>
    <sheetView topLeftCell="B1" workbookViewId="0">
      <pane ySplit="4" topLeftCell="A5" activePane="bottomLeft" state="frozen"/>
      <selection pane="bottomLeft" activeCell="B52" sqref="B52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95" t="s">
        <v>70</v>
      </c>
      <c r="C4" s="95" t="s">
        <v>78</v>
      </c>
      <c r="D4" s="95" t="s">
        <v>79</v>
      </c>
      <c r="E4" s="95" t="s">
        <v>71</v>
      </c>
      <c r="F4" s="95" t="s">
        <v>72</v>
      </c>
    </row>
    <row r="5" spans="2:6" x14ac:dyDescent="0.25">
      <c r="B5" s="200" t="s">
        <v>102</v>
      </c>
      <c r="C5" s="200" t="s">
        <v>100</v>
      </c>
      <c r="D5" s="200" t="s">
        <v>100</v>
      </c>
      <c r="E5" s="200" t="s">
        <v>103</v>
      </c>
      <c r="F5" s="201">
        <v>45517.790208333332</v>
      </c>
    </row>
    <row r="6" spans="2:6" x14ac:dyDescent="0.25">
      <c r="B6" s="200" t="s">
        <v>201</v>
      </c>
      <c r="C6" s="200" t="s">
        <v>100</v>
      </c>
      <c r="D6" s="200" t="s">
        <v>202</v>
      </c>
      <c r="E6" s="200" t="s">
        <v>202</v>
      </c>
      <c r="F6" s="201">
        <v>45517.790231481478</v>
      </c>
    </row>
    <row r="7" spans="2:6" x14ac:dyDescent="0.25">
      <c r="B7" s="200" t="s">
        <v>201</v>
      </c>
      <c r="C7" s="200" t="s">
        <v>203</v>
      </c>
      <c r="D7" s="200" t="s">
        <v>91</v>
      </c>
      <c r="E7" s="200" t="s">
        <v>202</v>
      </c>
      <c r="F7" s="201">
        <v>45517.790231481478</v>
      </c>
    </row>
    <row r="8" spans="2:6" x14ac:dyDescent="0.25">
      <c r="B8" s="200" t="s">
        <v>201</v>
      </c>
      <c r="C8" s="200" t="s">
        <v>208</v>
      </c>
      <c r="D8" s="200" t="s">
        <v>92</v>
      </c>
      <c r="E8" s="200" t="s">
        <v>202</v>
      </c>
      <c r="F8" s="201">
        <v>45517.790243055555</v>
      </c>
    </row>
    <row r="9" spans="2:6" x14ac:dyDescent="0.25">
      <c r="B9" s="200" t="s">
        <v>209</v>
      </c>
      <c r="C9" s="200" t="s">
        <v>202</v>
      </c>
      <c r="D9" s="200" t="s">
        <v>202</v>
      </c>
      <c r="E9" s="200" t="s">
        <v>202</v>
      </c>
      <c r="F9" s="201">
        <v>45517.790370370371</v>
      </c>
    </row>
    <row r="10" spans="2:6" x14ac:dyDescent="0.25">
      <c r="B10" s="200" t="s">
        <v>210</v>
      </c>
      <c r="C10" s="200" t="s">
        <v>100</v>
      </c>
      <c r="D10" s="200" t="s">
        <v>100</v>
      </c>
      <c r="E10" s="200" t="s">
        <v>211</v>
      </c>
      <c r="F10" s="201">
        <v>45517.790439814817</v>
      </c>
    </row>
    <row r="11" spans="2:6" x14ac:dyDescent="0.25">
      <c r="B11" s="200" t="s">
        <v>258</v>
      </c>
      <c r="C11" s="200" t="s">
        <v>100</v>
      </c>
      <c r="D11" s="200" t="s">
        <v>202</v>
      </c>
      <c r="E11" s="200" t="s">
        <v>202</v>
      </c>
      <c r="F11" s="201">
        <v>45517.790462962963</v>
      </c>
    </row>
    <row r="12" spans="2:6" x14ac:dyDescent="0.25">
      <c r="B12" s="200" t="s">
        <v>258</v>
      </c>
      <c r="C12" s="200" t="s">
        <v>203</v>
      </c>
      <c r="D12" s="200" t="s">
        <v>91</v>
      </c>
      <c r="E12" s="200" t="s">
        <v>202</v>
      </c>
      <c r="F12" s="201">
        <v>45517.790462962963</v>
      </c>
    </row>
    <row r="13" spans="2:6" x14ac:dyDescent="0.25">
      <c r="B13" s="200" t="s">
        <v>258</v>
      </c>
      <c r="C13" s="200" t="s">
        <v>208</v>
      </c>
      <c r="D13" s="200" t="s">
        <v>92</v>
      </c>
      <c r="E13" s="200" t="s">
        <v>202</v>
      </c>
      <c r="F13" s="201">
        <v>45517.790462962963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2024-08-13T17:00:11Z</dcterms:modified>
</cp:coreProperties>
</file>